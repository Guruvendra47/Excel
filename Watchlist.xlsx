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CHECK" sheetId="2" r:id="rId6"/>
    <sheet state="visible" name="Fresh Shares List" sheetId="3" r:id="rId7"/>
    <sheet state="visible" name="BOD Stgy" sheetId="4" r:id="rId8"/>
    <sheet state="visible" name="Pyramid Stgy" sheetId="5" r:id="rId9"/>
    <sheet state="visible" name="OPM % Stgy" sheetId="6" r:id="rId10"/>
    <sheet state="visible" name="Amount Allocation" sheetId="7" r:id="rId11"/>
    <sheet state="visible" name="Installment" sheetId="8" r:id="rId12"/>
    <sheet state="visible" name="History" sheetId="9" r:id="rId13"/>
    <sheet state="visible" name="Email" sheetId="10" r:id="rId14"/>
    <sheet state="visible" name="Conversion" sheetId="11" r:id="rId15"/>
    <sheet state="visible" name="Backend Data" sheetId="12" r:id="rId16"/>
    <sheet state="visible" name="Links" sheetId="13" r:id="rId17"/>
    <sheet state="visible" name="Rules" sheetId="14" r:id="rId18"/>
  </sheets>
  <definedNames>
    <definedName name="HistoryDate">History!$A:$A</definedName>
    <definedName name="HistorySecurity">History!$B:$B</definedName>
    <definedName name="HistoryPrice">History!$E:$E</definedName>
    <definedName name="HistoryQuantity">History!$D:$D</definedName>
    <definedName name="HistoryAction">History!$C:$C</definedName>
    <definedName name="HistoryTotal">History!$F:$F</definedName>
    <definedName hidden="1" localSheetId="0" name="_xlnm._FilterDatabase">Dashboard!$B$28:$O$118</definedName>
    <definedName hidden="1" localSheetId="2" name="_xlnm._FilterDatabase">'Fresh Shares List'!$A$15:$N$42</definedName>
    <definedName hidden="1" localSheetId="11" name="_xlnm._FilterDatabase">'Backend Data'!$A$2:$B$60</definedName>
  </definedNames>
  <calcPr/>
</workbook>
</file>

<file path=xl/sharedStrings.xml><?xml version="1.0" encoding="utf-8"?>
<sst xmlns="http://schemas.openxmlformats.org/spreadsheetml/2006/main" count="2653" uniqueCount="511">
  <si>
    <t>INDEX</t>
  </si>
  <si>
    <t>EUROPE</t>
  </si>
  <si>
    <t>N.Y &amp; N.DAQ</t>
  </si>
  <si>
    <t>NASDAQ</t>
  </si>
  <si>
    <t>NSE</t>
  </si>
  <si>
    <t>BSE</t>
  </si>
  <si>
    <t>TOKYO</t>
  </si>
  <si>
    <t>TAIWAN</t>
  </si>
  <si>
    <t>HONG KONG</t>
  </si>
  <si>
    <t>KOREA</t>
  </si>
  <si>
    <t>LONDON</t>
  </si>
  <si>
    <t>PARIS</t>
  </si>
  <si>
    <t>GERMANY</t>
  </si>
  <si>
    <t>EUROZONE</t>
  </si>
  <si>
    <t>Dow Jones</t>
  </si>
  <si>
    <t>S&amp;500</t>
  </si>
  <si>
    <t>Nasdaq</t>
  </si>
  <si>
    <t>Russell</t>
  </si>
  <si>
    <t>NIFTY 50</t>
  </si>
  <si>
    <t>SENSEX</t>
  </si>
  <si>
    <t>Nikkei 225</t>
  </si>
  <si>
    <t>TWSE</t>
  </si>
  <si>
    <t>HSI</t>
  </si>
  <si>
    <t>KOSPI</t>
  </si>
  <si>
    <t>FTSE 100</t>
  </si>
  <si>
    <t>CAC 40</t>
  </si>
  <si>
    <t>DAX</t>
  </si>
  <si>
    <t>STOXX 50</t>
  </si>
  <si>
    <t>.DJI</t>
  </si>
  <si>
    <t>.INX</t>
  </si>
  <si>
    <t>.IXIC</t>
  </si>
  <si>
    <t>RUT</t>
  </si>
  <si>
    <t>NIFTY_50</t>
  </si>
  <si>
    <t>NI225</t>
  </si>
  <si>
    <t>IX0001</t>
  </si>
  <si>
    <t>INDEXHANGSENG:HSI</t>
  </si>
  <si>
    <t>UKX</t>
  </si>
  <si>
    <t>PX1</t>
  </si>
  <si>
    <t>INDEXDB:DAX</t>
  </si>
  <si>
    <t>SX5E</t>
  </si>
  <si>
    <t>Single Stock Analysis</t>
  </si>
  <si>
    <t>ADRS</t>
  </si>
  <si>
    <t>Stock Overview</t>
  </si>
  <si>
    <t>NSE:AFFLE</t>
  </si>
  <si>
    <t>12 Month Trend Lines</t>
  </si>
  <si>
    <t>HDFC</t>
  </si>
  <si>
    <t xml:space="preserve">ICICI </t>
  </si>
  <si>
    <t>INFOSYS</t>
  </si>
  <si>
    <t>WIPRO</t>
  </si>
  <si>
    <t>DR.REDDY</t>
  </si>
  <si>
    <t>YATRA ONLINE</t>
  </si>
  <si>
    <t>Stock Price</t>
  </si>
  <si>
    <t>HDB</t>
  </si>
  <si>
    <t>IBN</t>
  </si>
  <si>
    <t>INFY</t>
  </si>
  <si>
    <t>WIT</t>
  </si>
  <si>
    <t>RDY</t>
  </si>
  <si>
    <t>YTRA</t>
  </si>
  <si>
    <t>52 % Change</t>
  </si>
  <si>
    <t>Signal</t>
  </si>
  <si>
    <t>52 Week High</t>
  </si>
  <si>
    <t>52 Week Low</t>
  </si>
  <si>
    <t>Market Cap (BN)</t>
  </si>
  <si>
    <t>EPS</t>
  </si>
  <si>
    <t xml:space="preserve">Days Gainer </t>
  </si>
  <si>
    <t>PE</t>
  </si>
  <si>
    <t>Days Losser</t>
  </si>
  <si>
    <t>Watchlists</t>
  </si>
  <si>
    <t>Portfolio Holdings</t>
  </si>
  <si>
    <t xml:space="preserve">Note: Target are set upon Mega cap - 10 to 20, Large cap - 15 to 25, Mid cap - 20 to 30, Small cap - 25 to 35                                                                                                        </t>
  </si>
  <si>
    <t>Ticker</t>
  </si>
  <si>
    <t>Company Name</t>
  </si>
  <si>
    <t>10% TB</t>
  </si>
  <si>
    <t>15% TB</t>
  </si>
  <si>
    <t>Mk Cap</t>
  </si>
  <si>
    <t>Price</t>
  </si>
  <si>
    <t>MTB S</t>
  </si>
  <si>
    <t>% Ch</t>
  </si>
  <si>
    <t>52Wk H</t>
  </si>
  <si>
    <t>52 Wk L</t>
  </si>
  <si>
    <t>TB %</t>
  </si>
  <si>
    <t>MTB</t>
  </si>
  <si>
    <t>Cap Bar</t>
  </si>
  <si>
    <t>Mk Cap (In 1 Cr)</t>
  </si>
  <si>
    <t>BOM:514183</t>
  </si>
  <si>
    <t>BOM:541167</t>
  </si>
  <si>
    <t>NSE:AARTIIND</t>
  </si>
  <si>
    <t>NSE:ALKYLAMINE</t>
  </si>
  <si>
    <t>NSE:AMIORG</t>
  </si>
  <si>
    <t>NSE:ASIANPAINT</t>
  </si>
  <si>
    <t>NSE:ASTRAL</t>
  </si>
  <si>
    <t>NSE:AUBANK</t>
  </si>
  <si>
    <t>NSE:BAJFINANCE</t>
  </si>
  <si>
    <t>NSE:BATAINDIA</t>
  </si>
  <si>
    <t>NSE:BERGEPAINT</t>
  </si>
  <si>
    <t>NSE:BSE</t>
  </si>
  <si>
    <t>NSE:CAMS</t>
  </si>
  <si>
    <t>NSE:CDSL</t>
  </si>
  <si>
    <t>NSE:CGPOWER</t>
  </si>
  <si>
    <t>NSE:CLEAN</t>
  </si>
  <si>
    <t>NSE:COLPAL</t>
  </si>
  <si>
    <t>NSE:DABUR</t>
  </si>
  <si>
    <t>NSE:DEEPAKNTR</t>
  </si>
  <si>
    <t>NSE:DIXON</t>
  </si>
  <si>
    <t>NSE:DMART</t>
  </si>
  <si>
    <t>NSE:FCL</t>
  </si>
  <si>
    <t>NSE:FEDERALBNK</t>
  </si>
  <si>
    <t>NSE:FINEORG</t>
  </si>
  <si>
    <t>NSE:GREENPANEL</t>
  </si>
  <si>
    <t>NSE:GVKPIL</t>
  </si>
  <si>
    <t>NSE:HAPPSTMNDS</t>
  </si>
  <si>
    <t>NSE:HCLTECH</t>
  </si>
  <si>
    <t>NSE:HDFCAMC</t>
  </si>
  <si>
    <t>NSE:HDFCBANK</t>
  </si>
  <si>
    <t>NSE:HDFCLIFE</t>
  </si>
  <si>
    <t>NSE:HINDUNILVR</t>
  </si>
  <si>
    <t>NSE:HLEGLAS</t>
  </si>
  <si>
    <t>NSE:HNDFDS</t>
  </si>
  <si>
    <t>NSE:ICICIBANK</t>
  </si>
  <si>
    <t>NSE:IEX</t>
  </si>
  <si>
    <t>NSE:INFY</t>
  </si>
  <si>
    <t>NSE:IPL</t>
  </si>
  <si>
    <t>NSE:IRCON</t>
  </si>
  <si>
    <t>NSE:IRCTC</t>
  </si>
  <si>
    <t>NSE:IRFC</t>
  </si>
  <si>
    <t>NSE:ITC</t>
  </si>
  <si>
    <t>NSE:JIOFIN</t>
  </si>
  <si>
    <t>NSE:JUBLFOOD</t>
  </si>
  <si>
    <t>NSE:LATENTVIEW</t>
  </si>
  <si>
    <t>NSE:LICI</t>
  </si>
  <si>
    <t>NSE:LTIM</t>
  </si>
  <si>
    <t>NSE:LTTS</t>
  </si>
  <si>
    <t>NSE:MARUTI</t>
  </si>
  <si>
    <t>NSE:MOLDTKPAC</t>
  </si>
  <si>
    <t>NSE:MOTHERSON</t>
  </si>
  <si>
    <t>NSE:MTARTECH</t>
  </si>
  <si>
    <t>NSE:MUTHOOTFIN</t>
  </si>
  <si>
    <t>NSE:NAZARA</t>
  </si>
  <si>
    <t>NSE:NESTLEIND</t>
  </si>
  <si>
    <t>NSE:PARADEEP</t>
  </si>
  <si>
    <t>NSE:PARAS</t>
  </si>
  <si>
    <t>NSE:PGHH</t>
  </si>
  <si>
    <t>NSE:PIDILITIND</t>
  </si>
  <si>
    <t>NSE:PIIND</t>
  </si>
  <si>
    <t>NSE:POLYCAB</t>
  </si>
  <si>
    <t>NSE:PRINCEPIPE</t>
  </si>
  <si>
    <t>NSE:RAILTEL</t>
  </si>
  <si>
    <t>NSE:RELAXO</t>
  </si>
  <si>
    <t>NSE:RELIANCE</t>
  </si>
  <si>
    <t>NSE:RTNINDIA</t>
  </si>
  <si>
    <t>NSE:RVNL</t>
  </si>
  <si>
    <t>NSE:SBICARD</t>
  </si>
  <si>
    <t>NSE:SBIN</t>
  </si>
  <si>
    <t>NSE:SRF</t>
  </si>
  <si>
    <t>NSE:SUZLON</t>
  </si>
  <si>
    <t>NSE:TATACONSUM</t>
  </si>
  <si>
    <t>NSE:TATAELXSI</t>
  </si>
  <si>
    <t>NSE:TATAMOTORS</t>
  </si>
  <si>
    <t>NSE:TATAPOWER</t>
  </si>
  <si>
    <t>NSE:TCS</t>
  </si>
  <si>
    <t>NSE:TECHM</t>
  </si>
  <si>
    <t>NSE:TITAN</t>
  </si>
  <si>
    <t>NSE:TRACXN</t>
  </si>
  <si>
    <t>NSE:TRENT</t>
  </si>
  <si>
    <t>NSE:TRIDENT</t>
  </si>
  <si>
    <t>NSE:UNOMINDA</t>
  </si>
  <si>
    <t>NSE:URJA</t>
  </si>
  <si>
    <t>NSE:VBL</t>
  </si>
  <si>
    <t>NSE:VINATIORGA</t>
  </si>
  <si>
    <t>NSE:WIPRO</t>
  </si>
  <si>
    <t>NSE:WONDERLA</t>
  </si>
  <si>
    <t>NSE:YESBANK</t>
  </si>
  <si>
    <t>NSE:ZENTEC</t>
  </si>
  <si>
    <t xml:space="preserve"> BEFORE MARKET</t>
  </si>
  <si>
    <t>AMERICA</t>
  </si>
  <si>
    <t xml:space="preserve">ADRS </t>
  </si>
  <si>
    <t>ASIA</t>
  </si>
  <si>
    <t>Infosys</t>
  </si>
  <si>
    <t>Dr. Reddy</t>
  </si>
  <si>
    <t>DURING MARKET</t>
  </si>
  <si>
    <t>Major Stocks</t>
  </si>
  <si>
    <t>TCS</t>
  </si>
  <si>
    <t>RELIANCE</t>
  </si>
  <si>
    <t>HDFCBANK</t>
  </si>
  <si>
    <t>ICICIBANK</t>
  </si>
  <si>
    <t>AFTER MARKET</t>
  </si>
  <si>
    <t>FII &amp; DII DATA</t>
  </si>
  <si>
    <t xml:space="preserve">CRUDE OIL </t>
  </si>
  <si>
    <t>No</t>
  </si>
  <si>
    <t>TB%</t>
  </si>
  <si>
    <t>NSE:HAL</t>
  </si>
  <si>
    <t>Fresh Shares Check Four Reason*</t>
  </si>
  <si>
    <t>BOM:530825</t>
  </si>
  <si>
    <t>BOM:539837</t>
  </si>
  <si>
    <t>NSE:AAVAS</t>
  </si>
  <si>
    <t>NSE:ATUL</t>
  </si>
  <si>
    <t>NSE:AWL</t>
  </si>
  <si>
    <t>NSE:BRITANNIA</t>
  </si>
  <si>
    <t>NSE:CHAMBLFERT</t>
  </si>
  <si>
    <t>NSE:CUMMINSIND</t>
  </si>
  <si>
    <t>NSE:DCMNVL</t>
  </si>
  <si>
    <t>NSE:DIVISLAB</t>
  </si>
  <si>
    <t>NSE:ETHOSLTD</t>
  </si>
  <si>
    <t>NSE:GILLETTE</t>
  </si>
  <si>
    <t>NSE:HINDWAREAP</t>
  </si>
  <si>
    <t>NSE:MEGASTAR</t>
  </si>
  <si>
    <t>NSE:METROPOLIS</t>
  </si>
  <si>
    <t>NSE:MHRIL</t>
  </si>
  <si>
    <t>NSE:MSUMI</t>
  </si>
  <si>
    <t>NSE:NHPC</t>
  </si>
  <si>
    <t>NSE:ROSSARI</t>
  </si>
  <si>
    <t>NSE:ROUTE</t>
  </si>
  <si>
    <t>NSE:SOLARINDS</t>
  </si>
  <si>
    <t>NSE:SONACOMS</t>
  </si>
  <si>
    <t>NSE:TALBROAUTO</t>
  </si>
  <si>
    <t>NSE:TATVA</t>
  </si>
  <si>
    <t>NSE:WESTLIFE</t>
  </si>
  <si>
    <t>NSE:WHIRLPOOL</t>
  </si>
  <si>
    <t>BOD STRATEGY</t>
  </si>
  <si>
    <t>20 Percent</t>
  </si>
  <si>
    <t>25 Percent</t>
  </si>
  <si>
    <t>30 Percent</t>
  </si>
  <si>
    <t>35 Percent</t>
  </si>
  <si>
    <t>40 Percent</t>
  </si>
  <si>
    <t>45 Percent</t>
  </si>
  <si>
    <t>50 Percent</t>
  </si>
  <si>
    <t>55 Percent</t>
  </si>
  <si>
    <t>60 Percent</t>
  </si>
  <si>
    <t>65 Percent</t>
  </si>
  <si>
    <t>70 Percent</t>
  </si>
  <si>
    <t>75 Percent</t>
  </si>
  <si>
    <t>80 Percent</t>
  </si>
  <si>
    <t>85 Percent</t>
  </si>
  <si>
    <t>90 Percent</t>
  </si>
  <si>
    <t xml:space="preserve">Total Qty </t>
  </si>
  <si>
    <t>Purchased Price</t>
  </si>
  <si>
    <t>Company</t>
  </si>
  <si>
    <t>Amount Aloated</t>
  </si>
  <si>
    <t>52 Wk High</t>
  </si>
  <si>
    <t>52 Wk Low</t>
  </si>
  <si>
    <t>Mk Cap (BN)</t>
  </si>
  <si>
    <t>20% Price</t>
  </si>
  <si>
    <t>Qty</t>
  </si>
  <si>
    <t>25% Price</t>
  </si>
  <si>
    <t>30% Price</t>
  </si>
  <si>
    <t>35% Price</t>
  </si>
  <si>
    <t>40% Price</t>
  </si>
  <si>
    <t>45% Price</t>
  </si>
  <si>
    <t>50% Price</t>
  </si>
  <si>
    <t>55% Price</t>
  </si>
  <si>
    <t>60% Price</t>
  </si>
  <si>
    <t>65% Price</t>
  </si>
  <si>
    <t>70% Price</t>
  </si>
  <si>
    <t>75% Price</t>
  </si>
  <si>
    <t>80% Price</t>
  </si>
  <si>
    <t>85% Price</t>
  </si>
  <si>
    <t>90% Price</t>
  </si>
  <si>
    <t>BOM:531739</t>
  </si>
  <si>
    <t>NSE:ALLCARGO</t>
  </si>
  <si>
    <t>NSE:BAJAJHFL</t>
  </si>
  <si>
    <t>NSE:EASEMYTRIP</t>
  </si>
  <si>
    <t>NSE:GREENPOWER</t>
  </si>
  <si>
    <t>NSE:SYNCOMF</t>
  </si>
  <si>
    <t>NSE:TARC</t>
  </si>
  <si>
    <t>NSE:UTKARSHBNK</t>
  </si>
  <si>
    <t>NSE:VIKASLIFE</t>
  </si>
  <si>
    <t>NSE:YASHO</t>
  </si>
  <si>
    <t>NSE:ZOMATO</t>
  </si>
  <si>
    <t>Total Qty</t>
  </si>
  <si>
    <t>Mkt Cap (In BN)</t>
  </si>
  <si>
    <t>Market Cap</t>
  </si>
  <si>
    <t>Date</t>
  </si>
  <si>
    <t xml:space="preserve">Low Qty </t>
  </si>
  <si>
    <t>Medium Qty - 50% more than low Qty</t>
  </si>
  <si>
    <t>High Qty - 50% more than Medium Qty</t>
  </si>
  <si>
    <t>High High Qty - 50% more than High Qty</t>
  </si>
  <si>
    <t>AARTIIND</t>
  </si>
  <si>
    <t>Financial and Banking Stocks</t>
  </si>
  <si>
    <t>Amount Alotted</t>
  </si>
  <si>
    <t>Amount Used</t>
  </si>
  <si>
    <t>Remaining Amount</t>
  </si>
  <si>
    <t>Max Loss share</t>
  </si>
  <si>
    <t>Mkt Bar</t>
  </si>
  <si>
    <t>Market Price</t>
  </si>
  <si>
    <t>P/LAmt</t>
  </si>
  <si>
    <t>% Chg</t>
  </si>
  <si>
    <t>Target Qty</t>
  </si>
  <si>
    <t xml:space="preserve">Deficit Qty </t>
  </si>
  <si>
    <t>Rule</t>
  </si>
  <si>
    <t>Target Price</t>
  </si>
  <si>
    <t>Transactions</t>
  </si>
  <si>
    <t>Conversion</t>
  </si>
  <si>
    <t>Security</t>
  </si>
  <si>
    <t>Action</t>
  </si>
  <si>
    <t>Quantity</t>
  </si>
  <si>
    <t>Total</t>
  </si>
  <si>
    <t>Buy</t>
  </si>
  <si>
    <t>Sell</t>
  </si>
  <si>
    <t>SPLIT</t>
  </si>
  <si>
    <t>2:1</t>
  </si>
  <si>
    <t>-</t>
  </si>
  <si>
    <t>5:2</t>
  </si>
  <si>
    <t>Email Alert</t>
  </si>
  <si>
    <t>Sign</t>
  </si>
  <si>
    <t>Current price</t>
  </si>
  <si>
    <t>Target Buy</t>
  </si>
  <si>
    <t>Target Sell</t>
  </si>
  <si>
    <t>Difference Buy</t>
  </si>
  <si>
    <t>Difference Sell</t>
  </si>
  <si>
    <t>Message Attatchment</t>
  </si>
  <si>
    <t>Email Required</t>
  </si>
  <si>
    <t>Email sent</t>
  </si>
  <si>
    <t>Subject</t>
  </si>
  <si>
    <t>Message</t>
  </si>
  <si>
    <t>Nil</t>
  </si>
  <si>
    <t>Currency Conversion</t>
  </si>
  <si>
    <t>INR</t>
  </si>
  <si>
    <t>Currency</t>
  </si>
  <si>
    <t>Shares</t>
  </si>
  <si>
    <t>Purchase</t>
  </si>
  <si>
    <t>Change</t>
  </si>
  <si>
    <t>Cost</t>
  </si>
  <si>
    <t>Value</t>
  </si>
  <si>
    <t>Gain</t>
  </si>
  <si>
    <t>Company List</t>
  </si>
  <si>
    <t>Annual Total Dividend</t>
  </si>
  <si>
    <t>Company Code</t>
  </si>
  <si>
    <t>Bank code</t>
  </si>
  <si>
    <t>Year</t>
  </si>
  <si>
    <t>Total Dividends</t>
  </si>
  <si>
    <t>Dividend Invested</t>
  </si>
  <si>
    <t>Dividend withdrew</t>
  </si>
  <si>
    <t>AUBANK</t>
  </si>
  <si>
    <t>FEDERALBNK</t>
  </si>
  <si>
    <t>AFFLE</t>
  </si>
  <si>
    <t>ASTRAL</t>
  </si>
  <si>
    <t>BERGEPAINT</t>
  </si>
  <si>
    <t>SBIN</t>
  </si>
  <si>
    <t>YESBANK</t>
  </si>
  <si>
    <t>CAMS</t>
  </si>
  <si>
    <t>CDSL</t>
  </si>
  <si>
    <t>CGPOWER</t>
  </si>
  <si>
    <t>DABUR</t>
  </si>
  <si>
    <t>DIXON</t>
  </si>
  <si>
    <t>DMART</t>
  </si>
  <si>
    <t>EASEMYTRIP</t>
  </si>
  <si>
    <t>GREENPOWER</t>
  </si>
  <si>
    <t>HAPPSTMNDS</t>
  </si>
  <si>
    <t>HCLTECH</t>
  </si>
  <si>
    <t>HDFCAMC</t>
  </si>
  <si>
    <t>HDFCLIFE</t>
  </si>
  <si>
    <t>HINDUNILVR</t>
  </si>
  <si>
    <t>HNDFDS</t>
  </si>
  <si>
    <t>IEX</t>
  </si>
  <si>
    <t>IPL</t>
  </si>
  <si>
    <t>IRCON</t>
  </si>
  <si>
    <t>IRCTC</t>
  </si>
  <si>
    <t>IRFC</t>
  </si>
  <si>
    <t>ITC</t>
  </si>
  <si>
    <t>LATENTVIEW</t>
  </si>
  <si>
    <t>LTIM</t>
  </si>
  <si>
    <t>MOLDTKPAC</t>
  </si>
  <si>
    <t>MOTHERSON</t>
  </si>
  <si>
    <t>MSUMI</t>
  </si>
  <si>
    <t>MUTHOOTFIN</t>
  </si>
  <si>
    <t>NAZARA</t>
  </si>
  <si>
    <t>PARAS</t>
  </si>
  <si>
    <t>PGHH</t>
  </si>
  <si>
    <t>PRINCEPIPE</t>
  </si>
  <si>
    <t>RAILTEL</t>
  </si>
  <si>
    <t>RVNL</t>
  </si>
  <si>
    <t>SRF</t>
  </si>
  <si>
    <t>SUZLON</t>
  </si>
  <si>
    <t>SYNCOMF</t>
  </si>
  <si>
    <t>TARC</t>
  </si>
  <si>
    <t>TATACONSUM</t>
  </si>
  <si>
    <t>TATAMOTORS</t>
  </si>
  <si>
    <t>TATAPOWER</t>
  </si>
  <si>
    <t>TECHM</t>
  </si>
  <si>
    <t>TRIDENT</t>
  </si>
  <si>
    <t>UNOMINDA</t>
  </si>
  <si>
    <t>URJA</t>
  </si>
  <si>
    <t>VBL</t>
  </si>
  <si>
    <t>WONDERLA</t>
  </si>
  <si>
    <t>ZOMATO</t>
  </si>
  <si>
    <t>MTARTECH</t>
  </si>
  <si>
    <t>Tables: var i = 1; [].forEach.call(document.querySelectorAll('table'), function(x) { console.log(i++, x); });</t>
  </si>
  <si>
    <t>Lists: var i = 1; [].forEach.call(document.querySelectorAll('ul,ol'), function(x) { console.log(i++, x); });</t>
  </si>
  <si>
    <t>Rules of Stock Market</t>
  </si>
  <si>
    <t>Small cap</t>
  </si>
  <si>
    <r>
      <rPr>
        <rFont val="Arial"/>
        <color rgb="FFFF4D4D"/>
        <sz val="12.0"/>
      </rPr>
      <t>30%</t>
    </r>
    <r>
      <rPr>
        <rFont val="Arial"/>
        <color theme="1"/>
        <sz val="12.0"/>
      </rPr>
      <t xml:space="preserve"> First installment</t>
    </r>
  </si>
  <si>
    <r>
      <rPr>
        <rFont val="Arial"/>
        <color rgb="FFFF4D4D"/>
        <sz val="12.0"/>
      </rPr>
      <t>35%</t>
    </r>
    <r>
      <rPr>
        <rFont val="Arial"/>
        <color theme="1"/>
        <sz val="12.0"/>
      </rPr>
      <t xml:space="preserve"> Second installment</t>
    </r>
  </si>
  <si>
    <t>Mid cap</t>
  </si>
  <si>
    <r>
      <rPr>
        <rFont val="Arial"/>
        <color rgb="FFFF4D4D"/>
        <sz val="12.0"/>
      </rPr>
      <t>20%</t>
    </r>
    <r>
      <rPr>
        <rFont val="Arial"/>
        <color theme="1"/>
        <sz val="12.0"/>
      </rPr>
      <t xml:space="preserve"> First installment</t>
    </r>
  </si>
  <si>
    <r>
      <rPr>
        <rFont val="Arial"/>
        <color rgb="FFFF4D4D"/>
        <sz val="12.0"/>
      </rPr>
      <t>25%</t>
    </r>
    <r>
      <rPr>
        <rFont val="Arial"/>
        <color theme="1"/>
        <sz val="12.0"/>
      </rPr>
      <t xml:space="preserve"> Second installment</t>
    </r>
  </si>
  <si>
    <t>Large cap</t>
  </si>
  <si>
    <r>
      <rPr>
        <rFont val="Arial"/>
        <color rgb="FFFF4D4D"/>
        <sz val="12.0"/>
      </rPr>
      <t>15%</t>
    </r>
    <r>
      <rPr>
        <rFont val="Arial"/>
        <color theme="1"/>
        <sz val="12.0"/>
      </rPr>
      <t xml:space="preserve"> First installment</t>
    </r>
  </si>
  <si>
    <r>
      <rPr>
        <rFont val="Arial"/>
        <color rgb="FFFF4D4D"/>
        <sz val="12.0"/>
      </rPr>
      <t>20%</t>
    </r>
    <r>
      <rPr>
        <rFont val="Arial"/>
        <color theme="1"/>
        <sz val="12.0"/>
      </rPr>
      <t xml:space="preserve"> Second installment</t>
    </r>
  </si>
  <si>
    <t>Mega cap</t>
  </si>
  <si>
    <r>
      <rPr>
        <rFont val="Arial"/>
        <color rgb="FFFF4D4D"/>
        <sz val="12.0"/>
      </rPr>
      <t>10% - 15%</t>
    </r>
    <r>
      <rPr>
        <rFont val="Arial"/>
        <color theme="1"/>
        <sz val="12.0"/>
      </rPr>
      <t xml:space="preserve"> First installment</t>
    </r>
  </si>
  <si>
    <r>
      <rPr>
        <rFont val="Arial"/>
        <color rgb="FFFF4D4D"/>
        <sz val="12.0"/>
      </rPr>
      <t>20%</t>
    </r>
    <r>
      <rPr>
        <rFont val="Arial"/>
        <color theme="1"/>
        <sz val="12.0"/>
      </rPr>
      <t xml:space="preserve"> Second installment</t>
    </r>
  </si>
  <si>
    <t>*****Note*****</t>
  </si>
  <si>
    <t xml:space="preserve">Always buy on Red </t>
  </si>
  <si>
    <t xml:space="preserve">Check market Conditions </t>
  </si>
  <si>
    <t>*****************************************************************************************************************************************************************************************************************************************</t>
  </si>
  <si>
    <t>Buying Share Quantity for Average</t>
  </si>
  <si>
    <t xml:space="preserve">Note : </t>
  </si>
  <si>
    <t>1st time Buy any Quantity of Shares But 2nd time it need to multipled by 2  with Total Number of Shares Below shown Example with 1 share</t>
  </si>
  <si>
    <t>Time</t>
  </si>
  <si>
    <t>No of Shares In Account</t>
  </si>
  <si>
    <t>*2 on Total shares in A/c</t>
  </si>
  <si>
    <t>No of Shares need to Buy</t>
  </si>
  <si>
    <t xml:space="preserve">First time = </t>
  </si>
  <si>
    <t>1 shares</t>
  </si>
  <si>
    <t xml:space="preserve">Second time = </t>
  </si>
  <si>
    <t>1*2</t>
  </si>
  <si>
    <t>2 shares</t>
  </si>
  <si>
    <t xml:space="preserve">Third time = </t>
  </si>
  <si>
    <t>3*2</t>
  </si>
  <si>
    <t>6 shares</t>
  </si>
  <si>
    <t xml:space="preserve">Fourth Time = </t>
  </si>
  <si>
    <t>9*2</t>
  </si>
  <si>
    <t>18 shares</t>
  </si>
  <si>
    <t xml:space="preserve">Fifth Time = </t>
  </si>
  <si>
    <t>27*2</t>
  </si>
  <si>
    <t>54 shares</t>
  </si>
  <si>
    <t>Buying share Calculator</t>
  </si>
  <si>
    <t>Share Orignal Value Percentage Calculation</t>
  </si>
  <si>
    <t>Calculation are Automatic you need to enter O V of share and No of Percentage share Dip Column in order to get the Percentage which required by share to Achieve its Original Value (O V)</t>
  </si>
  <si>
    <t>Formula  :</t>
  </si>
  <si>
    <t>Original Value divided by share left with value which will be multiplied by the Percentage the particulare share dip</t>
  </si>
  <si>
    <t>Org Vlue of share</t>
  </si>
  <si>
    <t>Total Percentage Sh Dip</t>
  </si>
  <si>
    <t>Percentage Sh Dip</t>
  </si>
  <si>
    <t>Share Dip Amount</t>
  </si>
  <si>
    <t>Orginal Sh Value</t>
  </si>
  <si>
    <t>% Rqd to again O V of Sh</t>
  </si>
  <si>
    <t>Share Orignal Value Percentage Calculator</t>
  </si>
  <si>
    <t>Total Dip %</t>
  </si>
  <si>
    <t>Share Org value</t>
  </si>
  <si>
    <t>% Rq gain Sh Org value</t>
  </si>
  <si>
    <r>
      <rPr>
        <rFont val="Arial"/>
        <color theme="1"/>
        <sz val="12.0"/>
      </rPr>
      <t>Share with price</t>
    </r>
    <r>
      <rPr>
        <rFont val="Arial"/>
        <color rgb="FFFF9900"/>
        <sz val="12.0"/>
      </rPr>
      <t xml:space="preserve"> </t>
    </r>
    <r>
      <rPr>
        <rFont val="Arial"/>
        <color rgb="FF22CF50"/>
        <sz val="12.0"/>
      </rPr>
      <t>1 to 100</t>
    </r>
    <r>
      <rPr>
        <rFont val="Arial"/>
        <color rgb="FF22CF50"/>
        <sz val="12.0"/>
      </rPr>
      <t xml:space="preserve"> </t>
    </r>
    <r>
      <rPr>
        <rFont val="Arial"/>
        <color theme="1"/>
        <sz val="12.0"/>
      </rPr>
      <t>Rupees</t>
    </r>
  </si>
  <si>
    <r>
      <rPr>
        <rFont val="Arial"/>
        <color theme="1"/>
        <sz val="12.0"/>
      </rPr>
      <t xml:space="preserve">Number of share you Need to Buy </t>
    </r>
    <r>
      <rPr>
        <rFont val="Arial"/>
        <color rgb="FF22CF50"/>
        <sz val="12.0"/>
      </rPr>
      <t>1000</t>
    </r>
  </si>
  <si>
    <r>
      <rPr>
        <rFont val="Arial"/>
        <color theme="1"/>
        <sz val="12.0"/>
      </rPr>
      <t>Share with price</t>
    </r>
    <r>
      <rPr>
        <rFont val="Arial"/>
        <color theme="4"/>
        <sz val="12.0"/>
      </rPr>
      <t xml:space="preserve"> 101 to 1000</t>
    </r>
    <r>
      <rPr>
        <rFont val="Arial"/>
        <color theme="1"/>
        <sz val="12.0"/>
      </rPr>
      <t xml:space="preserve"> Rupee</t>
    </r>
  </si>
  <si>
    <r>
      <rPr>
        <rFont val="Arial"/>
        <color theme="1"/>
        <sz val="12.0"/>
      </rPr>
      <t>Number of share you Need to Buy</t>
    </r>
    <r>
      <rPr>
        <rFont val="Arial"/>
        <color theme="1"/>
        <sz val="12.0"/>
      </rPr>
      <t xml:space="preserve"> </t>
    </r>
    <r>
      <rPr>
        <rFont val="Arial"/>
        <color rgb="FF4285F4"/>
        <sz val="12.0"/>
      </rPr>
      <t>100</t>
    </r>
  </si>
  <si>
    <r>
      <rPr>
        <rFont val="Arial"/>
        <color theme="1"/>
        <sz val="12.0"/>
      </rPr>
      <t xml:space="preserve">Share with price </t>
    </r>
    <r>
      <rPr>
        <rFont val="Arial"/>
        <color rgb="FFFFFF00"/>
        <sz val="12.0"/>
      </rPr>
      <t>1001 to 10000</t>
    </r>
    <r>
      <rPr>
        <rFont val="Arial"/>
        <color theme="1"/>
        <sz val="12.0"/>
      </rPr>
      <t xml:space="preserve"> Rupee</t>
    </r>
  </si>
  <si>
    <r>
      <rPr>
        <rFont val="Arial"/>
        <color theme="1"/>
        <sz val="12.0"/>
      </rPr>
      <t xml:space="preserve">Number of share you Need to Buy </t>
    </r>
    <r>
      <rPr>
        <rFont val="Arial"/>
        <color rgb="FFFFFF00"/>
        <sz val="12.0"/>
      </rPr>
      <t>10</t>
    </r>
  </si>
  <si>
    <r>
      <rPr>
        <rFont val="Arial"/>
        <color theme="1"/>
        <sz val="12.0"/>
      </rPr>
      <t>Share with price</t>
    </r>
    <r>
      <rPr>
        <rFont val="Arial"/>
        <color rgb="FF00FFFF"/>
        <sz val="12.0"/>
      </rPr>
      <t xml:space="preserve"> </t>
    </r>
    <r>
      <rPr>
        <rFont val="Arial"/>
        <color rgb="FF00FFFF"/>
        <sz val="12.0"/>
      </rPr>
      <t>10001 to 100000</t>
    </r>
    <r>
      <rPr>
        <rFont val="Arial"/>
        <color theme="1"/>
        <sz val="12.0"/>
      </rPr>
      <t xml:space="preserve"> Rupee</t>
    </r>
  </si>
  <si>
    <r>
      <rPr>
        <rFont val="Arial"/>
        <color theme="1"/>
        <sz val="12.0"/>
      </rPr>
      <t xml:space="preserve">Number of share you Need to Buy </t>
    </r>
    <r>
      <rPr>
        <rFont val="Arial"/>
        <color rgb="FF00FFFF"/>
        <sz val="12.0"/>
      </rPr>
      <t>1</t>
    </r>
  </si>
  <si>
    <t>**********Important Points***********</t>
  </si>
  <si>
    <t>Never Invest in Company whoes Result are Poor,But its Trading price is Going Up.</t>
  </si>
  <si>
    <r>
      <rPr>
        <rFont val="Arial"/>
        <color theme="1"/>
        <sz val="12.0"/>
      </rPr>
      <t xml:space="preserve">Invest on </t>
    </r>
    <r>
      <rPr>
        <rFont val="Arial"/>
        <color rgb="FFC4EE23"/>
        <sz val="12.0"/>
      </rPr>
      <t xml:space="preserve">Quality </t>
    </r>
    <r>
      <rPr>
        <rFont val="Arial"/>
        <color theme="1"/>
        <sz val="12.0"/>
      </rPr>
      <t xml:space="preserve">Rather than </t>
    </r>
    <r>
      <rPr>
        <rFont val="Arial"/>
        <color rgb="FFFFFF00"/>
        <sz val="12.0"/>
      </rPr>
      <t xml:space="preserve">Quantity </t>
    </r>
    <r>
      <rPr>
        <rFont val="Arial"/>
        <color theme="1"/>
        <sz val="12.0"/>
      </rPr>
      <t>of Share</t>
    </r>
  </si>
  <si>
    <t xml:space="preserve">Never Invest on Struggling Market Sector Helped by                </t>
  </si>
  <si>
    <t>Govt</t>
  </si>
  <si>
    <t>Finance Ministry</t>
  </si>
  <si>
    <t>RBI</t>
  </si>
  <si>
    <t>Before Investing in particulare Share. Investor has to see following Category in Order to Invest in good Stock</t>
  </si>
  <si>
    <t>Business Model</t>
  </si>
  <si>
    <t>Financial Statement. Balance sheet, Cash Flow statement</t>
  </si>
  <si>
    <t>Result</t>
  </si>
  <si>
    <t>Invest in share Even its on Top Level of Pyramid, But Never Invest Max amount (Lumpsum). Invest in following ways</t>
  </si>
  <si>
    <t>Min Quantity</t>
  </si>
  <si>
    <t>S.I.P</t>
  </si>
  <si>
    <t>Buy On Dip</t>
  </si>
  <si>
    <t>*****Important Note*****</t>
  </si>
  <si>
    <t xml:space="preserve">1. In Pyramid Buy less Qty at top level and Medium at 2nd level and High at 3rd Level and Higher at Bottom level. </t>
  </si>
  <si>
    <t>2. Level Gap will be 30 Percent from Buying Average Price Using Multiple of 2 on Total Number of share .</t>
  </si>
  <si>
    <t>BOD Strategy</t>
  </si>
  <si>
    <t>Before Investing check How many Percentage Particulare share is down on Buy On Dip on the Following Periods</t>
  </si>
  <si>
    <t>1 Month</t>
  </si>
  <si>
    <t>1 year</t>
  </si>
  <si>
    <t>5 year</t>
  </si>
  <si>
    <t>1. Fundamentally Strong Share</t>
  </si>
  <si>
    <t>2. Find the Particular Share Max Crash in Past History</t>
  </si>
  <si>
    <t>3. Current Market Price of Share Multipled by % of Crash And Divided By 10  (Here 10 is Number of installment)</t>
  </si>
  <si>
    <t>4. Substract Current market price with Installment Amount</t>
  </si>
  <si>
    <t>Positional Trading</t>
  </si>
  <si>
    <t>1.Fundamentally Strong Share</t>
  </si>
  <si>
    <t>2.Long Term Holding</t>
  </si>
  <si>
    <t>When u do Positional Trading</t>
  </si>
  <si>
    <t>Corporate Action</t>
  </si>
  <si>
    <t>On Bonus</t>
  </si>
  <si>
    <t>Buyback through Tender Offer Route Only Not open market</t>
  </si>
  <si>
    <t>Stock Split</t>
  </si>
  <si>
    <t xml:space="preserve">Example : Offical news came out for xyz Company stating in future date they will be Board Meeting and they may Aounnce bonus, split or Buyback                                                                </t>
  </si>
  <si>
    <t>Special Events</t>
  </si>
  <si>
    <t xml:space="preserve">Abnormal Delivery Percentage </t>
  </si>
  <si>
    <t xml:space="preserve">Nifty 50 Rebalancing - Invest on all Nomination Stock </t>
  </si>
  <si>
    <t>Abnormal delivery/High delivery</t>
  </si>
  <si>
    <t xml:space="preserve">*Not counted lowest delivery and Highest delivery on stock </t>
  </si>
  <si>
    <t>*Not counted if promoter sold or bought higher stocks</t>
  </si>
  <si>
    <t>*Not counted if promoter selling/buying without any reason</t>
  </si>
  <si>
    <t>How You Buy Shares in Positional Trading</t>
  </si>
  <si>
    <t>Buy in Form of Multiple of 2</t>
  </si>
  <si>
    <t>Buy share Below or on 30 percent of Buying Average Price</t>
  </si>
  <si>
    <r>
      <rPr>
        <rFont val="Arial"/>
        <color theme="1"/>
        <sz val="12.0"/>
      </rPr>
      <t xml:space="preserve">Example: Start with buying 1 share, then second Time share is bought when share is Trading below or on 30% of </t>
    </r>
    <r>
      <rPr>
        <rFont val="Arial"/>
        <b/>
        <color rgb="FF00FFFF"/>
        <sz val="14.0"/>
      </rPr>
      <t>Buying Average Price</t>
    </r>
    <r>
      <rPr>
        <rFont val="Arial"/>
        <color theme="1"/>
        <sz val="12.0"/>
      </rPr>
      <t xml:space="preserve"> and which will be 1 share*2=2 shares, then Third turn you need to buy 1+2 = 3 shares *2 which will be 6 shares and Fourth turn 1+2+6 = 9 shares *2 which will be 18 shares and so on if share comes down 30 percent from Buying Average Price. **********Important Note: Don't apply *2 on bought share on last time instead we need to use on Total number of shares**********</t>
    </r>
  </si>
  <si>
    <t>Four Reason to Accumulate Portfolio Holdings</t>
  </si>
  <si>
    <t>1. *Buy when it show MTB buy sign in Dashboard portfolio holdings</t>
  </si>
  <si>
    <t>2. *Buy when Companies quater results are good and large cap companies trading at 10% low from 52 week high and small companies at 15% low from 52 week high</t>
  </si>
  <si>
    <t>3. *Buy when there are abnormal delivery in stock in order to do Positional trading(PT)</t>
  </si>
  <si>
    <t>4. *Buy there is any important news is out and you 100 percent sure it will benfit the stock in future.</t>
  </si>
  <si>
    <t>WARREN BUFFET RULES</t>
  </si>
  <si>
    <t>1. Don't buy shares for 10 min if you can’t hold for 10 years.</t>
  </si>
  <si>
    <t>2. Always invest in SIP and Never invest in Lumpsum(Total amount).</t>
  </si>
  <si>
    <t>3. Be Fearful when others are Greedy and Be Greedy when others are Fearful.</t>
  </si>
  <si>
    <t>4. If you can't understand the business don't invest in share</t>
  </si>
  <si>
    <t>5. Do average</t>
  </si>
  <si>
    <t>Note: buy fresh share if "No" protfolio holding reasons are applicable.</t>
  </si>
  <si>
    <t>Note: MSCI index is preferred by foreign investors if any stocks add in msci index check FII holding percentage on ever quater.</t>
  </si>
  <si>
    <t>Pyramid Strategy</t>
  </si>
  <si>
    <t>Buy less when market is on Top and increase the amount as market go down.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</si>
</sst>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[Green]▲ 0.00%;[Red]▼ -0.00%"/>
    <numFmt numFmtId="165" formatCode="m/d/yyyy h:mm:ss"/>
    <numFmt numFmtId="166" formatCode="[$₹]#,##0.00"/>
    <numFmt numFmtId="167" formatCode="[$$]#,##0.00"/>
    <numFmt numFmtId="168" formatCode="[Green]▲ 0%;[Red]▼ -0%"/>
    <numFmt numFmtId="169" formatCode="mmmm&quot; &quot;yyyy"/>
    <numFmt numFmtId="170" formatCode="&quot; &quot;mmm&quot; &quot;yyyy"/>
    <numFmt numFmtId="171" formatCode="[$₹]#,##0"/>
    <numFmt numFmtId="172" formatCode="dd&quot;/&quot;mm&quot;/&quot;yyyy"/>
    <numFmt numFmtId="173" formatCode="dd/MM/yyyy"/>
    <numFmt numFmtId="174" formatCode="dd/mm/yyyy"/>
    <numFmt numFmtId="175" formatCode="#,##0.00;(#,##0.00)"/>
    <numFmt numFmtId="176" formatCode="&quot;$&quot;#,##0.00"/>
  </numFmts>
  <fonts count="98">
    <font>
      <sz val="10.0"/>
      <color rgb="FF000000"/>
      <name val="Arial"/>
      <scheme val="minor"/>
    </font>
    <font>
      <sz val="18.0"/>
      <color rgb="FFF3F3F3"/>
      <name val="Avenir"/>
    </font>
    <font>
      <sz val="20.0"/>
      <color rgb="FFF3F3F3"/>
      <name val="Avenir"/>
    </font>
    <font>
      <sz val="24.0"/>
      <color rgb="FFF3F3F3"/>
      <name val="Avenir"/>
    </font>
    <font/>
    <font>
      <sz val="18.0"/>
      <color rgb="FFFFFFFF"/>
      <name val="Avenir"/>
    </font>
    <font>
      <sz val="16.0"/>
      <color rgb="FFFFFFFF"/>
      <name val="Avenir"/>
    </font>
    <font>
      <sz val="14.0"/>
      <color rgb="FFFFFFFF"/>
      <name val="Avenir"/>
    </font>
    <font>
      <sz val="11.0"/>
      <color rgb="FFFF6D01"/>
      <name val="Avenir"/>
    </font>
    <font>
      <sz val="11.0"/>
      <color theme="8"/>
      <name val="Avenir"/>
    </font>
    <font>
      <sz val="11.0"/>
      <color rgb="FFFFFFFF"/>
      <name val="Avenir"/>
    </font>
    <font>
      <sz val="12.0"/>
      <color rgb="FFFFFFFF"/>
      <name val="Avenir"/>
    </font>
    <font>
      <sz val="12.0"/>
      <color theme="8"/>
      <name val="Avenir"/>
    </font>
    <font>
      <color rgb="FFFF6D01"/>
      <name val="Avenir"/>
    </font>
    <font>
      <color theme="8"/>
      <name val="Avenir"/>
    </font>
    <font>
      <sz val="14.0"/>
      <color rgb="FFF3F3F3"/>
      <name val="Avenir"/>
    </font>
    <font>
      <sz val="13.0"/>
      <color rgb="FFF3F3F3"/>
      <name val="Avenir"/>
    </font>
    <font>
      <sz val="13.0"/>
      <color rgb="FFFFFFFF"/>
      <name val="Avenir"/>
    </font>
    <font>
      <sz val="11.0"/>
      <color rgb="FFF3F3F3"/>
      <name val="Avenir"/>
    </font>
    <font>
      <color rgb="FFFFFFFF"/>
      <name val="Avenir"/>
    </font>
    <font>
      <sz val="12.0"/>
      <color rgb="FFF3F3F3"/>
      <name val="Avenir"/>
    </font>
    <font>
      <sz val="12.0"/>
      <color theme="7"/>
      <name val="Avenir"/>
    </font>
    <font>
      <sz val="12.0"/>
      <color rgb="FFFF0E0E"/>
      <name val="Avenir"/>
    </font>
    <font>
      <sz val="26.0"/>
      <color rgb="FFFFFFFF"/>
      <name val="Avenir"/>
    </font>
    <font>
      <sz val="24.0"/>
      <color rgb="FFFFFFFF"/>
      <name val="Avenir"/>
    </font>
    <font>
      <sz val="20.0"/>
      <color rgb="FFFFFFFF"/>
      <name val="Avenir"/>
    </font>
    <font>
      <sz val="12.0"/>
      <color rgb="FF000000"/>
      <name val="Avenir"/>
    </font>
    <font>
      <sz val="12.0"/>
      <color theme="1"/>
      <name val="Avenir"/>
    </font>
    <font>
      <sz val="18.0"/>
      <color rgb="FFF3F3F3"/>
      <name val="Volkhov"/>
    </font>
    <font>
      <sz val="20.0"/>
      <color rgb="FFF3F3F3"/>
      <name val="Volkhov"/>
    </font>
    <font>
      <sz val="16.0"/>
      <color rgb="FFFFFFFF"/>
      <name val="Volkhov"/>
    </font>
    <font>
      <sz val="14.0"/>
      <color rgb="FFFFFFFF"/>
      <name val="Volkhov"/>
    </font>
    <font>
      <b/>
      <sz val="11.0"/>
      <color rgb="FFFF6D01"/>
      <name val="Volkhov"/>
    </font>
    <font>
      <sz val="14.0"/>
      <color rgb="FFFF6D01"/>
      <name val="Volkhov"/>
    </font>
    <font>
      <sz val="11.0"/>
      <color rgb="FFFF6D01"/>
      <name val="Volkhov"/>
    </font>
    <font>
      <sz val="13.0"/>
      <color rgb="FFFFFFFF"/>
      <name val="Volkhov"/>
    </font>
    <font>
      <sz val="11.0"/>
      <color rgb="FFFFFFFF"/>
      <name val="Volkhov"/>
    </font>
    <font>
      <color rgb="FFFF6D01"/>
      <name val="Volkhov"/>
    </font>
    <font>
      <color theme="8"/>
      <name val="Volkhov"/>
    </font>
    <font>
      <sz val="11.0"/>
      <color theme="1"/>
      <name val="Volkhov"/>
    </font>
    <font>
      <sz val="18.0"/>
      <color rgb="FFF3F3F3"/>
      <name val="Arial"/>
      <scheme val="minor"/>
    </font>
    <font>
      <sz val="20.0"/>
      <color rgb="FFF3F3F3"/>
      <name val="Arial"/>
      <scheme val="minor"/>
    </font>
    <font>
      <sz val="14.0"/>
      <color rgb="FFF3F3F3"/>
      <name val="Arial"/>
      <scheme val="minor"/>
    </font>
    <font>
      <sz val="11.0"/>
      <color rgb="FFF3F3F3"/>
      <name val="Arial"/>
      <scheme val="minor"/>
    </font>
    <font>
      <sz val="14.0"/>
      <color rgb="FFFFFFFF"/>
      <name val="Arial"/>
      <scheme val="minor"/>
    </font>
    <font>
      <sz val="11.0"/>
      <color rgb="FFFFFFFF"/>
      <name val="Arial"/>
    </font>
    <font>
      <sz val="11.0"/>
      <color rgb="FFFFFFFF"/>
      <name val="Arial"/>
      <scheme val="minor"/>
    </font>
    <font>
      <sz val="12.0"/>
      <color rgb="FFF3F3F3"/>
      <name val="Arial"/>
      <scheme val="minor"/>
    </font>
    <font>
      <color rgb="FFF3F3F3"/>
      <name val="Arial"/>
    </font>
    <font>
      <color rgb="FFF3F3F3"/>
      <name val="Arial"/>
      <scheme val="minor"/>
    </font>
    <font>
      <color theme="8"/>
      <name val="Arial"/>
      <scheme val="minor"/>
    </font>
    <font>
      <sz val="12.0"/>
      <color rgb="FFFFFFFF"/>
      <name val="Arial"/>
      <scheme val="minor"/>
    </font>
    <font>
      <color rgb="FFFFFFFF"/>
      <name val="Arial"/>
      <scheme val="minor"/>
    </font>
    <font>
      <sz val="12.0"/>
      <color theme="8"/>
      <name val="Arial"/>
      <scheme val="minor"/>
    </font>
    <font>
      <sz val="24.0"/>
      <color rgb="FFFFFFFF"/>
      <name val="Arial"/>
      <scheme val="minor"/>
    </font>
    <font>
      <sz val="20.0"/>
      <color rgb="FFFFFFFF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b/>
      <sz val="15.0"/>
      <color rgb="FFFFFFFF"/>
      <name val="Arial"/>
      <scheme val="minor"/>
    </font>
    <font>
      <b/>
      <sz val="24.0"/>
      <color rgb="FFFFFFFF"/>
      <name val="Arial"/>
      <scheme val="minor"/>
    </font>
    <font>
      <b/>
      <sz val="18.0"/>
      <color rgb="FFFFFFFF"/>
      <name val="Arial"/>
      <scheme val="minor"/>
    </font>
    <font>
      <b/>
      <sz val="12.0"/>
      <color rgb="FFFFFFFF"/>
      <name val="Arial"/>
      <scheme val="minor"/>
    </font>
    <font>
      <b/>
      <sz val="11.0"/>
      <color rgb="FFFFFFFF"/>
      <name val="Arial"/>
      <scheme val="minor"/>
    </font>
    <font>
      <sz val="11.0"/>
      <color rgb="FFFFFFFF"/>
      <name val="Calibri"/>
    </font>
    <font>
      <b/>
      <sz val="12.0"/>
      <color rgb="FFFFFFFF"/>
      <name val="Arial"/>
    </font>
    <font>
      <sz val="9.0"/>
      <color rgb="FF000000"/>
      <name val="&quot;Google Sans Mono&quot;"/>
    </font>
    <font>
      <b/>
      <sz val="11.0"/>
      <color rgb="FFFFFFFF"/>
      <name val="Calibri"/>
    </font>
    <font>
      <sz val="16.0"/>
      <color theme="1"/>
      <name val="Arial"/>
      <scheme val="minor"/>
    </font>
    <font>
      <sz val="12.0"/>
      <color rgb="FF000000"/>
      <name val="Arial"/>
      <scheme val="minor"/>
    </font>
    <font>
      <sz val="11.0"/>
      <color rgb="FF000000"/>
      <name val="Arial"/>
    </font>
    <font>
      <color rgb="FF000000"/>
      <name val="Arial"/>
      <scheme val="minor"/>
    </font>
    <font>
      <sz val="11.0"/>
      <color theme="1"/>
      <name val="Arial"/>
    </font>
    <font>
      <sz val="11.0"/>
      <color theme="1"/>
      <name val="Avenir"/>
    </font>
    <font>
      <sz val="24.0"/>
      <color rgb="FFFFFFFF"/>
      <name val="Volkhov"/>
    </font>
    <font>
      <sz val="14.0"/>
      <color theme="1"/>
      <name val="Volkhov"/>
    </font>
    <font>
      <sz val="12.0"/>
      <color theme="1"/>
      <name val="Volkhov"/>
    </font>
    <font>
      <b/>
      <sz val="12.0"/>
      <color rgb="FF00B050"/>
      <name val="Avenir"/>
    </font>
    <font>
      <b/>
      <sz val="24.0"/>
      <color theme="8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sz val="18.0"/>
      <color theme="1"/>
      <name val="Arial"/>
      <scheme val="minor"/>
    </font>
    <font>
      <sz val="10.0"/>
      <color theme="1"/>
      <name val="Arial"/>
      <scheme val="minor"/>
    </font>
    <font>
      <b/>
      <sz val="15.0"/>
      <color rgb="FFF3F3F3"/>
      <name val="Arial"/>
      <scheme val="minor"/>
    </font>
    <font>
      <b/>
      <sz val="10.0"/>
      <color theme="1"/>
      <name val="Arial"/>
      <scheme val="minor"/>
    </font>
    <font>
      <b/>
      <sz val="15.0"/>
      <color theme="1"/>
      <name val="Arial"/>
      <scheme val="minor"/>
    </font>
    <font>
      <b/>
      <sz val="10.0"/>
      <color rgb="FFF3F3F3"/>
      <name val="Arial"/>
      <scheme val="minor"/>
    </font>
    <font>
      <b/>
      <sz val="10.0"/>
      <color rgb="FFFFFFFF"/>
      <name val="Arial"/>
      <scheme val="minor"/>
    </font>
    <font>
      <b/>
      <sz val="10.0"/>
      <color theme="4"/>
      <name val="Arial"/>
      <scheme val="minor"/>
    </font>
    <font>
      <sz val="10.0"/>
      <color rgb="FFF3F3F3"/>
      <name val="Arial"/>
      <scheme val="minor"/>
    </font>
    <font>
      <sz val="14.0"/>
      <color theme="1"/>
      <name val="Arial"/>
      <scheme val="minor"/>
    </font>
    <font>
      <sz val="11.0"/>
      <color theme="1"/>
      <name val="Arial"/>
      <scheme val="minor"/>
    </font>
    <font>
      <sz val="12.0"/>
      <color rgb="FFF3F3F3"/>
      <name val="Arial"/>
    </font>
    <font>
      <sz val="12.0"/>
      <color theme="1"/>
      <name val="Arial"/>
    </font>
    <font>
      <sz val="11.0"/>
      <color rgb="FFF3F3F3"/>
      <name val="Arial"/>
    </font>
    <font>
      <sz val="12.0"/>
      <color rgb="FFFFFF00"/>
      <name val="Arial"/>
      <scheme val="minor"/>
    </font>
    <font>
      <b/>
      <sz val="12.0"/>
      <color rgb="FF00FF00"/>
      <name val="Arial"/>
      <scheme val="minor"/>
    </font>
    <font>
      <b/>
      <sz val="14.0"/>
      <color rgb="FF9900FF"/>
      <name val="Arial"/>
      <scheme val="minor"/>
    </font>
    <font>
      <sz val="12.0"/>
      <color rgb="FF000000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2D2D2D"/>
        <bgColor rgb="FF2D2D2D"/>
      </patternFill>
    </fill>
    <fill>
      <patternFill patternType="solid">
        <fgColor rgb="FFFF6D01"/>
        <bgColor rgb="FFFF6D01"/>
      </patternFill>
    </fill>
    <fill>
      <patternFill patternType="solid">
        <fgColor theme="8"/>
        <bgColor theme="8"/>
      </patternFill>
    </fill>
    <fill>
      <patternFill patternType="solid">
        <fgColor rgb="FF434343"/>
        <bgColor rgb="FF434343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FF4D4D"/>
        <bgColor rgb="FFFF4D4D"/>
      </patternFill>
    </fill>
    <fill>
      <patternFill patternType="solid">
        <fgColor rgb="FF4A4A4A"/>
        <bgColor rgb="FF4A4A4A"/>
      </patternFill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  <fill>
      <patternFill patternType="solid">
        <fgColor theme="4"/>
        <bgColor theme="4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00FFFF"/>
        <bgColor rgb="FF00FFFF"/>
      </patternFill>
    </fill>
  </fills>
  <borders count="194">
    <border/>
    <border>
      <bottom style="medium">
        <color rgb="FFFFFFFF"/>
      </bottom>
    </border>
    <border>
      <right style="medium">
        <color rgb="FFFFFFFF"/>
      </right>
    </border>
    <border>
      <bottom style="thick">
        <color rgb="FFFFFFFF"/>
      </bottom>
    </border>
    <border>
      <right style="thick">
        <color rgb="FFFFFFFF"/>
      </right>
      <bottom style="thick">
        <color rgb="FFFFFFFF"/>
      </bottom>
    </border>
    <border>
      <left style="medium">
        <color rgb="FFFFFFFF"/>
      </left>
    </border>
    <border>
      <top style="thick">
        <color rgb="FFFFFFFF"/>
      </top>
      <bottom style="thick">
        <color rgb="FFFFFFFF"/>
      </bottom>
    </border>
    <border>
      <right style="medium">
        <color rgb="FFFFFFFF"/>
      </right>
      <top style="thick">
        <color rgb="FFFFFFFF"/>
      </top>
      <bottom style="thick">
        <color rgb="FFFFFFFF"/>
      </bottom>
    </border>
    <border>
      <top style="thick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medium">
        <color rgb="FFFFFFFF"/>
      </right>
      <top style="thick">
        <color rgb="FFFFFFFF"/>
      </top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medium">
        <color rgb="FFFFFFFF"/>
      </left>
      <right style="medium">
        <color rgb="FFFFFFFF"/>
      </right>
    </border>
    <border>
      <right style="medium">
        <color rgb="FFFFFFFF"/>
      </right>
      <bottom style="thick">
        <color rgb="FFFFFFFF"/>
      </bottom>
    </border>
    <border>
      <left style="medium">
        <color rgb="FFFFFFFF"/>
      </left>
      <right style="medium">
        <color rgb="FFFFFFFF"/>
      </right>
      <bottom style="thick">
        <color rgb="FFFFFFFF"/>
      </bottom>
    </border>
    <border>
      <left style="medium">
        <color rgb="FFFFFFFF"/>
      </left>
      <bottom style="thick">
        <color rgb="FFFFFFFF"/>
      </bottom>
    </border>
    <border>
      <right style="thick">
        <color rgb="FFFFFFFF"/>
      </right>
      <top style="thick">
        <color rgb="FFFFFFFF"/>
      </top>
    </border>
    <border>
      <left style="thick">
        <color rgb="FFFFFFFF"/>
      </left>
      <top style="thick">
        <color rgb="FFFFFFFF"/>
      </top>
      <bottom style="thick">
        <color rgb="FFFFFFFF"/>
      </bottom>
    </border>
    <border>
      <left style="thick">
        <color rgb="FFF3F3F3"/>
      </left>
      <top style="thick">
        <color rgb="FFF3F3F3"/>
      </top>
      <bottom style="thick">
        <color rgb="FFF3F3F3"/>
      </bottom>
    </border>
    <border>
      <top style="thick">
        <color rgb="FFF3F3F3"/>
      </top>
      <bottom style="thick">
        <color rgb="FFF3F3F3"/>
      </bottom>
    </border>
    <border>
      <right style="thick">
        <color rgb="FFF3F3F3"/>
      </right>
      <top style="thick">
        <color rgb="FFF3F3F3"/>
      </top>
      <bottom style="thick">
        <color rgb="FFF3F3F3"/>
      </bottom>
    </border>
    <border>
      <right style="medium">
        <color rgb="FFFFFFFF"/>
      </right>
      <top style="thick">
        <color rgb="FFF3F3F3"/>
      </top>
      <bottom style="thick">
        <color rgb="FFF3F3F3"/>
      </bottom>
    </border>
    <border>
      <left style="medium">
        <color rgb="FFFFFFFF"/>
      </left>
      <right style="thick">
        <color rgb="FFF3F3F3"/>
      </right>
      <top style="thick">
        <color rgb="FFF3F3F3"/>
      </top>
      <bottom style="thick">
        <color rgb="FFF3F3F3"/>
      </bottom>
    </border>
    <border>
      <right style="thick">
        <color rgb="FFFFFFFF"/>
      </right>
      <top style="thick">
        <color rgb="FFFFFFFF"/>
      </top>
      <bottom style="thick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thick">
        <color rgb="FFFFFFFF"/>
      </left>
    </border>
    <border>
      <right style="thick">
        <color rgb="FFFFFFFF"/>
      </right>
    </border>
    <border>
      <left style="medium">
        <color rgb="FFF3F3F3"/>
      </left>
      <right style="medium">
        <color rgb="FFF3F3F3"/>
      </right>
      <top style="medium">
        <color rgb="FFF3F3F3"/>
      </top>
    </border>
    <border>
      <left style="medium">
        <color rgb="FFF3F3F3"/>
      </left>
      <top style="medium">
        <color rgb="FFF3F3F3"/>
      </top>
    </border>
    <border>
      <left style="medium">
        <color rgb="FFF3F3F3"/>
      </left>
      <right style="medium">
        <color rgb="FFF3F3F3"/>
      </right>
      <bottom style="medium">
        <color rgb="FFF3F3F3"/>
      </bottom>
    </border>
    <border>
      <left style="medium">
        <color rgb="FFF3F3F3"/>
      </left>
      <bottom style="medium">
        <color rgb="FFF3F3F3"/>
      </bottom>
    </border>
    <border>
      <left style="medium">
        <color rgb="FFF3F3F3"/>
      </left>
      <right style="medium">
        <color rgb="FFF3F3F3"/>
      </right>
    </border>
    <border>
      <left style="medium">
        <color rgb="FFF3F3F3"/>
      </left>
    </border>
    <border>
      <left style="thick">
        <color rgb="FFFFFFFF"/>
      </left>
      <bottom style="thick">
        <color rgb="FFFFFFFF"/>
      </bottom>
    </border>
    <border>
      <left style="thick">
        <color rgb="FFFFFFFF"/>
      </left>
      <bottom style="medium">
        <color rgb="FFFFFFFF"/>
      </bottom>
    </border>
    <border>
      <right style="thick">
        <color rgb="FFFFFFFF"/>
      </right>
      <bottom style="medium">
        <color rgb="FFFFFFFF"/>
      </bottom>
    </border>
    <border>
      <top style="thick">
        <color rgb="FFFFFFFF"/>
      </top>
      <bottom style="medium">
        <color rgb="FFFFFFFF"/>
      </bottom>
    </border>
    <border>
      <top style="thick">
        <color rgb="FFFFFFFF"/>
      </top>
      <bottom style="thin">
        <color rgb="FFFFFFFF"/>
      </bottom>
    </border>
    <border>
      <right style="thin">
        <color rgb="FFFFFFFF"/>
      </right>
      <top style="thick">
        <color rgb="FFFFFFFF"/>
      </top>
      <bottom style="thin">
        <color rgb="FFFFFFFF"/>
      </bottom>
    </border>
    <border>
      <right style="thin">
        <color rgb="FFFFFFFF"/>
      </right>
      <top style="thick">
        <color rgb="FFFFFFFF"/>
      </top>
      <bottom style="thick">
        <color rgb="FFFFFFFF"/>
      </bottom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top style="medium">
        <color rgb="FFFFFFFF"/>
      </top>
      <bottom style="medium">
        <color rgb="FFFFFFFF"/>
      </bottom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left style="thick">
        <color rgb="FFFFFFFF"/>
      </left>
      <top style="thick">
        <color rgb="FFFFFFFF"/>
      </top>
    </border>
    <border>
      <left style="medium">
        <color rgb="FFFFFFFF"/>
      </left>
      <top style="medium">
        <color rgb="FFFFFFFF"/>
      </top>
    </border>
    <border>
      <top style="medium">
        <color rgb="FFFFFFFF"/>
      </top>
    </border>
    <border>
      <right style="medium">
        <color rgb="FFFFFFFF"/>
      </right>
      <top style="medium">
        <color rgb="FFFFFFFF"/>
      </top>
    </border>
    <border>
      <left style="medium">
        <color rgb="FFFFFFFF"/>
      </left>
      <bottom style="medium">
        <color rgb="FFFFFFFF"/>
      </bottom>
    </border>
    <border>
      <right style="medium">
        <color rgb="FFFFFFFF"/>
      </right>
      <bottom style="medium">
        <color rgb="FFFFFFFF"/>
      </bottom>
    </border>
    <border>
      <left style="medium">
        <color rgb="FFFFFFFF"/>
      </left>
      <right style="medium">
        <color rgb="FFFFFFFF"/>
      </right>
      <bottom style="medium">
        <color rgb="FFFFFFFF"/>
      </bottom>
    </border>
    <border>
      <left style="thick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thick">
        <color rgb="FFFFFFFF"/>
      </left>
      <right style="thin">
        <color rgb="FFFFFFFF"/>
      </right>
      <top style="medium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medium">
        <color rgb="FFFFFFFF"/>
      </top>
      <bottom style="thin">
        <color rgb="FFFFFFFF"/>
      </bottom>
    </border>
    <border>
      <left style="thick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ck">
        <color rgb="FFFFFFFF"/>
      </left>
      <right style="thin">
        <color rgb="FFFFFFFF"/>
      </right>
      <top style="thin">
        <color rgb="FFFFFFFF"/>
      </top>
      <bottom style="medium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FFFFFF"/>
      </bottom>
    </border>
    <border>
      <left style="thick">
        <color rgb="FFFFFFFF"/>
      </left>
      <right style="medium">
        <color rgb="FFFFFFFF"/>
      </right>
      <top style="medium">
        <color rgb="FFFFFFFF"/>
      </top>
    </border>
    <border>
      <left style="medium">
        <color rgb="FFFFFFFF"/>
      </left>
      <right style="medium">
        <color rgb="FFFFFFFF"/>
      </right>
      <top style="medium">
        <color rgb="FFFFFFFF"/>
      </top>
    </border>
    <border>
      <left style="thick">
        <color rgb="FFFFFFFF"/>
      </left>
      <right style="medium">
        <color rgb="FFFFFFFF"/>
      </right>
    </border>
    <border>
      <left style="thick">
        <color rgb="FFFFFFFF"/>
      </left>
      <right style="medium">
        <color rgb="FFFFFFFF"/>
      </right>
      <bottom style="thick">
        <color rgb="FFFFFFFF"/>
      </bottom>
    </border>
    <border>
      <left style="thick">
        <color rgb="FFF3F3F3"/>
      </left>
      <right style="medium">
        <color rgb="FFFFFFFF"/>
      </right>
      <top style="thick">
        <color rgb="FFF3F3F3"/>
      </top>
      <bottom style="thick">
        <color rgb="FFF3F3F3"/>
      </bottom>
    </border>
    <border>
      <left style="medium">
        <color rgb="FFFFFFFF"/>
      </left>
      <top style="thick">
        <color rgb="FFF3F3F3"/>
      </top>
      <bottom style="thick">
        <color rgb="FFF3F3F3"/>
      </bottom>
    </border>
    <border>
      <left style="thick">
        <color rgb="FFFFFFFF"/>
      </left>
      <right style="thin">
        <color rgb="FFFFFFFF"/>
      </right>
      <top style="thick">
        <color rgb="FFFFFFFF"/>
      </top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right style="thick">
        <color rgb="FFFFFFFF"/>
      </right>
      <bottom style="thin">
        <color rgb="FFFFFFFF"/>
      </bottom>
    </border>
    <border>
      <left style="thick">
        <color rgb="FF000000"/>
      </left>
      <right style="medium">
        <color rgb="FFFFFFFF"/>
      </right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ck">
        <color rgb="FFFFFFFF"/>
      </right>
      <top style="thin">
        <color rgb="FFFFFFFF"/>
      </top>
      <bottom style="thin">
        <color rgb="FFFFFFFF"/>
      </bottom>
    </border>
    <border>
      <right style="thick">
        <color rgb="FFF3F3F3"/>
      </right>
    </border>
    <border>
      <left style="thick">
        <color rgb="FFFFFFFF"/>
      </left>
      <right style="thin">
        <color rgb="FFFFFFFF"/>
      </right>
      <top style="thin">
        <color rgb="FFFFFFFF"/>
      </top>
      <bottom style="thick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ck">
        <color rgb="FFFFFFFF"/>
      </bottom>
    </border>
    <border>
      <left style="thin">
        <color rgb="FFFFFFFF"/>
      </left>
      <top style="thin">
        <color rgb="FFFFFFFF"/>
      </top>
      <bottom style="thick">
        <color rgb="FFFFFFFF"/>
      </bottom>
    </border>
    <border>
      <right style="thin">
        <color rgb="FFFFFFFF"/>
      </right>
      <top style="thin">
        <color rgb="FFFFFFFF"/>
      </top>
      <bottom style="thick">
        <color rgb="FFFFFFFF"/>
      </bottom>
    </border>
    <border>
      <right style="thick">
        <color rgb="FFFFFFFF"/>
      </right>
      <top style="thin">
        <color rgb="FFFFFFFF"/>
      </top>
      <bottom style="thick">
        <color rgb="FFFFFFFF"/>
      </bottom>
    </border>
    <border>
      <left style="thin">
        <color rgb="FFFFFFFF"/>
      </left>
      <top style="thick">
        <color rgb="FFFFFFFF"/>
      </top>
    </border>
    <border>
      <left style="thick">
        <color rgb="FFFFFFFF"/>
      </left>
      <bottom style="thick">
        <color rgb="FFF3F3F3"/>
      </bottom>
    </border>
    <border>
      <bottom style="thick">
        <color rgb="FFF3F3F3"/>
      </bottom>
    </border>
    <border>
      <left style="medium">
        <color rgb="FFFFFFFF"/>
      </left>
      <bottom style="thick">
        <color rgb="FFF3F3F3"/>
      </bottom>
    </border>
    <border>
      <right style="thick">
        <color rgb="FFF3F3F3"/>
      </right>
      <bottom style="thick">
        <color rgb="FFF3F3F3"/>
      </bottom>
    </border>
    <border>
      <left style="thick">
        <color rgb="FFFFFFFF"/>
      </left>
      <top style="thick">
        <color rgb="FFFFFFFF"/>
      </top>
      <bottom style="thin">
        <color rgb="FFFFFFFF"/>
      </bottom>
    </border>
    <border>
      <left style="thin">
        <color rgb="FF000000"/>
      </left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FFFFFF"/>
      </right>
    </border>
    <border>
      <left style="thick">
        <color rgb="FFFFFFFF"/>
      </left>
      <right style="thick">
        <color rgb="FFFFFFFF"/>
      </right>
      <bottom style="thick">
        <color rgb="FFFFFFFF"/>
      </bottom>
    </border>
    <border>
      <left style="medium">
        <color rgb="FFFF6D01"/>
      </left>
      <right style="medium">
        <color rgb="FFFF6D01"/>
      </right>
    </border>
    <border>
      <left style="medium">
        <color rgb="FFFF6D01"/>
      </left>
      <right style="medium">
        <color rgb="FFFFFFFF"/>
      </right>
    </border>
    <border>
      <left style="medium">
        <color rgb="FFFF6D01"/>
      </left>
      <right style="medium">
        <color rgb="FFFF6D01"/>
      </right>
      <bottom style="medium">
        <color rgb="FFFF6D01"/>
      </bottom>
    </border>
    <border>
      <left style="medium">
        <color rgb="FFFF6D01"/>
      </left>
      <right style="medium">
        <color rgb="FFFFFFFF"/>
      </right>
      <bottom style="medium">
        <color rgb="FFFF6D01"/>
      </bottom>
    </border>
    <border>
      <left style="thick">
        <color rgb="FFFF6D01"/>
      </left>
      <right style="thick">
        <color rgb="FFFF6D01"/>
      </right>
      <top style="medium">
        <color rgb="FFFF6D01"/>
      </top>
    </border>
    <border>
      <left style="medium">
        <color rgb="FFFF6D01"/>
      </left>
      <right style="medium">
        <color rgb="FFFF6D01"/>
      </right>
      <top style="medium">
        <color rgb="FFFF6D01"/>
      </top>
      <bottom style="medium">
        <color rgb="FFFF6D01"/>
      </bottom>
    </border>
    <border>
      <right style="medium">
        <color rgb="FFFF6D01"/>
      </right>
      <bottom style="medium">
        <color rgb="FFFF6D01"/>
      </bottom>
    </border>
    <border>
      <right style="medium">
        <color rgb="FFFF6D01"/>
      </right>
      <top style="medium">
        <color rgb="FFFF6D01"/>
      </top>
      <bottom style="medium">
        <color rgb="FFFF6D01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FFFFFF"/>
      </left>
      <top style="medium">
        <color rgb="FFFFFFFF"/>
      </top>
      <bottom style="medium">
        <color rgb="FFFFFFFF"/>
      </bottom>
    </border>
    <border>
      <left style="thin">
        <color rgb="FFFFFFFF"/>
      </left>
    </border>
    <border>
      <left style="thin">
        <color rgb="FFFFFFFF"/>
      </left>
      <top style="medium">
        <color rgb="FFFFFFFF"/>
      </top>
      <bottom style="medium">
        <color rgb="FFFFFFFF"/>
      </bottom>
    </border>
    <border>
      <left style="thick">
        <color rgb="FFFFFFFF"/>
      </left>
      <top style="thick">
        <color rgb="FFFFFFFF"/>
      </top>
      <bottom style="medium">
        <color rgb="FFFFFFFF"/>
      </bottom>
    </border>
    <border>
      <right style="thick">
        <color rgb="FFFFFFFF"/>
      </right>
      <top style="thick">
        <color rgb="FFFFFFFF"/>
      </top>
      <bottom style="medium">
        <color rgb="FFFFFFFF"/>
      </bottom>
    </border>
    <border>
      <left style="medium">
        <color rgb="FFFFFFFF"/>
      </left>
      <top style="medium">
        <color rgb="FFFFFFFF"/>
      </top>
      <bottom style="thick">
        <color rgb="FFFFFFFF"/>
      </bottom>
    </border>
    <border>
      <top style="medium">
        <color rgb="FFFFFFFF"/>
      </top>
      <bottom style="thick">
        <color rgb="FFFFFFFF"/>
      </bottom>
    </border>
    <border>
      <right style="medium">
        <color rgb="FFFFFFFF"/>
      </right>
      <top style="medium">
        <color rgb="FFFFFFFF"/>
      </top>
      <bottom style="thick">
        <color rgb="FFFFFFFF"/>
      </bottom>
    </border>
    <border>
      <left style="medium">
        <color rgb="FFFFFFFF"/>
      </left>
      <right style="thick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thick">
        <color rgb="FFFFFFFF"/>
      </right>
    </border>
    <border>
      <left style="medium">
        <color rgb="FFFFFFFF"/>
      </left>
      <right style="thick">
        <color rgb="FFFFFFFF"/>
      </right>
      <bottom style="thick">
        <color rgb="FFFFFFFF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ck">
        <color rgb="FFFF6D01"/>
      </left>
      <top style="thick">
        <color rgb="FFFF6D01"/>
      </top>
    </border>
    <border>
      <right style="thick">
        <color rgb="FFFF6D01"/>
      </right>
      <top style="thick">
        <color rgb="FFFF6D01"/>
      </top>
    </border>
    <border>
      <top style="thick">
        <color rgb="FFFF6D01"/>
      </top>
    </border>
    <border>
      <left style="thick">
        <color rgb="FFFF6D01"/>
      </left>
      <bottom style="thick">
        <color rgb="FFFF6D01"/>
      </bottom>
    </border>
    <border>
      <right style="thick">
        <color rgb="FFFF6D01"/>
      </right>
      <bottom style="thick">
        <color rgb="FFFF6D01"/>
      </bottom>
    </border>
    <border>
      <bottom style="thick">
        <color rgb="FFFF6D01"/>
      </bottom>
    </border>
    <border>
      <left style="medium">
        <color rgb="FFFF6D01"/>
      </left>
      <top style="medium">
        <color rgb="FFFF6D01"/>
      </top>
    </border>
    <border>
      <top style="medium">
        <color rgb="FFFF6D01"/>
      </top>
    </border>
    <border>
      <right style="medium">
        <color rgb="FFFF6D01"/>
      </right>
      <top style="medium">
        <color rgb="FFFF6D01"/>
      </top>
    </border>
    <border>
      <left style="medium">
        <color rgb="FFFF6D01"/>
      </left>
      <bottom style="medium">
        <color rgb="FFFF6D01"/>
      </bottom>
    </border>
    <border>
      <bottom style="medium">
        <color rgb="FFFF6D01"/>
      </bottom>
    </border>
    <border>
      <left style="medium">
        <color rgb="FFFF6D01"/>
      </left>
      <top style="medium">
        <color rgb="FFFF6D01"/>
      </top>
      <bottom style="medium">
        <color rgb="FFFF6D01"/>
      </bottom>
    </border>
    <border>
      <top style="medium">
        <color rgb="FFFF6D01"/>
      </top>
      <bottom style="medium">
        <color rgb="FFFF6D01"/>
      </bottom>
    </border>
    <border>
      <left style="dotted">
        <color rgb="FFFF6D01"/>
      </left>
      <top style="dotted">
        <color rgb="FFFF6D01"/>
      </top>
      <bottom style="dotted">
        <color rgb="FFFF6D01"/>
      </bottom>
    </border>
    <border>
      <right style="dotted">
        <color rgb="FFFF6D01"/>
      </right>
      <top style="dotted">
        <color rgb="FFFF6D01"/>
      </top>
      <bottom style="dotted">
        <color rgb="FFFF6D01"/>
      </bottom>
    </border>
    <border>
      <left style="thin">
        <color rgb="FFFF6D01"/>
      </left>
      <top style="thin">
        <color rgb="FFFF6D01"/>
      </top>
    </border>
    <border>
      <right style="thin">
        <color rgb="FFFF6D01"/>
      </right>
      <top style="thin">
        <color rgb="FFFF6D01"/>
      </top>
    </border>
    <border>
      <left style="thin">
        <color rgb="FFFF6D01"/>
      </left>
    </border>
    <border>
      <right style="thin">
        <color rgb="FFFF6D01"/>
      </right>
    </border>
    <border>
      <left style="thin">
        <color rgb="FFFF6D01"/>
      </left>
      <bottom style="thin">
        <color rgb="FFFF6D01"/>
      </bottom>
    </border>
    <border>
      <right style="thin">
        <color rgb="FFFF6D01"/>
      </right>
      <bottom style="thin">
        <color rgb="FFFF6D01"/>
      </bottom>
    </border>
    <border>
      <left style="medium">
        <color rgb="FFFF9900"/>
      </left>
      <top style="medium">
        <color rgb="FFFF9900"/>
      </top>
    </border>
    <border>
      <top style="medium">
        <color rgb="FFFF9900"/>
      </top>
    </border>
    <border>
      <right style="medium">
        <color rgb="FFFF9900"/>
      </right>
      <top style="medium">
        <color rgb="FFFF9900"/>
      </top>
    </border>
    <border>
      <left style="medium">
        <color rgb="FFFF9900"/>
      </left>
      <bottom style="medium">
        <color rgb="FFFF9900"/>
      </bottom>
    </border>
    <border>
      <bottom style="medium">
        <color rgb="FFFF9900"/>
      </bottom>
    </border>
    <border>
      <right style="medium">
        <color rgb="FFFF9900"/>
      </right>
      <bottom style="medium">
        <color rgb="FFFF9900"/>
      </bottom>
    </border>
    <border>
      <left style="thick">
        <color rgb="FFFF9900"/>
      </left>
      <top style="thick">
        <color rgb="FFFF9900"/>
      </top>
      <bottom style="thick">
        <color rgb="FFFF9900"/>
      </bottom>
    </border>
    <border>
      <top style="thick">
        <color rgb="FFFF9900"/>
      </top>
      <bottom style="thick">
        <color rgb="FFFF9900"/>
      </bottom>
    </border>
    <border>
      <right style="thick">
        <color rgb="FFFF9900"/>
      </right>
      <top style="thick">
        <color rgb="FFFF9900"/>
      </top>
      <bottom style="thick">
        <color rgb="FFFF9900"/>
      </bottom>
    </border>
    <border>
      <left style="thick">
        <color rgb="FFFF9900"/>
      </left>
      <top style="thick">
        <color rgb="FFFF9900"/>
      </top>
    </border>
    <border>
      <top style="thick">
        <color rgb="FFFF9900"/>
      </top>
    </border>
    <border>
      <right style="thick">
        <color rgb="FFFF9900"/>
      </right>
      <top style="thick">
        <color rgb="FFFF9900"/>
      </top>
    </border>
    <border>
      <left style="thick">
        <color rgb="FFFF9900"/>
      </left>
      <bottom style="thick">
        <color rgb="FFFF9900"/>
      </bottom>
    </border>
    <border>
      <bottom style="thick">
        <color rgb="FFFF9900"/>
      </bottom>
    </border>
    <border>
      <right style="thick">
        <color rgb="FFFF9900"/>
      </right>
      <bottom style="thick">
        <color rgb="FFFF9900"/>
      </bottom>
    </border>
    <border>
      <left style="medium">
        <color rgb="FFFF9900"/>
      </left>
      <top style="medium">
        <color rgb="FFFF9900"/>
      </top>
      <bottom style="medium">
        <color rgb="FFFF9900"/>
      </bottom>
    </border>
    <border>
      <top style="medium">
        <color rgb="FFFF9900"/>
      </top>
      <bottom style="medium">
        <color rgb="FFFF9900"/>
      </bottom>
    </border>
    <border>
      <right style="medium">
        <color rgb="FFFF9900"/>
      </right>
      <top style="medium">
        <color rgb="FFFF9900"/>
      </top>
      <bottom style="medium">
        <color rgb="FFFF9900"/>
      </bottom>
    </border>
    <border>
      <left style="medium">
        <color rgb="FFFF9900"/>
      </left>
      <top style="medium">
        <color rgb="FFFF9900"/>
      </top>
      <bottom style="thin">
        <color rgb="FFFF9900"/>
      </bottom>
    </border>
    <border>
      <top style="medium">
        <color rgb="FFFF9900"/>
      </top>
      <bottom style="thin">
        <color rgb="FFFF9900"/>
      </bottom>
    </border>
    <border>
      <right style="medium">
        <color rgb="FFFF9900"/>
      </right>
      <top style="medium">
        <color rgb="FFFF9900"/>
      </top>
      <bottom style="thin">
        <color rgb="FFFF9900"/>
      </bottom>
    </border>
    <border>
      <left style="medium">
        <color rgb="FFFF9900"/>
      </left>
      <top style="thin">
        <color rgb="FFFF9900"/>
      </top>
    </border>
    <border>
      <top style="thin">
        <color rgb="FFFF9900"/>
      </top>
    </border>
    <border>
      <right style="medium">
        <color rgb="FFFF9900"/>
      </right>
      <top style="thin">
        <color rgb="FFFF9900"/>
      </top>
    </border>
    <border>
      <left style="medium">
        <color rgb="FFFF9900"/>
      </left>
      <top style="dotted">
        <color rgb="FFFF9900"/>
      </top>
      <bottom style="medium">
        <color rgb="FFFF9900"/>
      </bottom>
    </border>
    <border>
      <top style="dotted">
        <color rgb="FFFF9900"/>
      </top>
      <bottom style="medium">
        <color rgb="FFFF9900"/>
      </bottom>
    </border>
    <border>
      <right style="medium">
        <color rgb="FFFF9900"/>
      </right>
      <top style="dotted">
        <color rgb="FFFF9900"/>
      </top>
      <bottom style="medium">
        <color rgb="FFFF9900"/>
      </bottom>
    </border>
    <border>
      <left style="medium">
        <color rgb="FFFF9900"/>
      </left>
      <top style="thin">
        <color rgb="FFFF9900"/>
      </top>
      <bottom style="thin">
        <color rgb="FFFF9900"/>
      </bottom>
    </border>
    <border>
      <top style="thin">
        <color rgb="FFFF9900"/>
      </top>
      <bottom style="thin">
        <color rgb="FFFF9900"/>
      </bottom>
    </border>
    <border>
      <right style="medium">
        <color rgb="FFFF9900"/>
      </right>
      <top style="thin">
        <color rgb="FFFF9900"/>
      </top>
      <bottom style="thin">
        <color rgb="FFFF9900"/>
      </bottom>
    </border>
    <border>
      <left style="medium">
        <color rgb="FFFF9900"/>
      </left>
      <top style="thin">
        <color rgb="FFFF9900"/>
      </top>
      <bottom style="medium">
        <color rgb="FFFF9900"/>
      </bottom>
    </border>
    <border>
      <top style="thin">
        <color rgb="FFFF9900"/>
      </top>
      <bottom style="medium">
        <color rgb="FFFF9900"/>
      </bottom>
    </border>
    <border>
      <right style="thin">
        <color rgb="FFFF9900"/>
      </right>
      <top style="thin">
        <color rgb="FFFF9900"/>
      </top>
      <bottom style="medium">
        <color rgb="FFFF9900"/>
      </bottom>
    </border>
    <border>
      <left style="thin">
        <color rgb="FFFF9900"/>
      </left>
      <top style="thin">
        <color rgb="FFFF9900"/>
      </top>
      <bottom style="medium">
        <color rgb="FFFF9900"/>
      </bottom>
    </border>
    <border>
      <right style="medium">
        <color rgb="FFFF9900"/>
      </right>
      <top style="thin">
        <color rgb="FFFF9900"/>
      </top>
      <bottom style="medium">
        <color rgb="FFFF9900"/>
      </bottom>
    </border>
    <border>
      <left style="medium">
        <color rgb="FFFF9900"/>
      </left>
      <bottom style="dotted">
        <color rgb="FFFF9900"/>
      </bottom>
    </border>
    <border>
      <bottom style="dotted">
        <color rgb="FFFF9900"/>
      </bottom>
    </border>
    <border>
      <right style="medium">
        <color rgb="FFFF9900"/>
      </right>
      <bottom style="dotted">
        <color rgb="FFFF9900"/>
      </bottom>
    </border>
    <border>
      <left style="medium">
        <color rgb="FFFF9900"/>
      </left>
      <top style="dotted">
        <color rgb="FFFF9900"/>
      </top>
      <bottom style="dotted">
        <color rgb="FFFF9900"/>
      </bottom>
    </border>
    <border>
      <top style="dotted">
        <color rgb="FFFF9900"/>
      </top>
      <bottom style="dotted">
        <color rgb="FFFF9900"/>
      </bottom>
    </border>
    <border>
      <right style="medium">
        <color rgb="FFFF9900"/>
      </right>
      <top style="dotted">
        <color rgb="FFFF9900"/>
      </top>
      <bottom style="dotted">
        <color rgb="FFFF9900"/>
      </bottom>
    </border>
    <border>
      <left style="medium">
        <color rgb="FFFF9900"/>
      </left>
      <top style="dotted">
        <color rgb="FFFF9900"/>
      </top>
    </border>
    <border>
      <top style="dotted">
        <color rgb="FFFF9900"/>
      </top>
    </border>
    <border>
      <right style="medium">
        <color rgb="FFFF9900"/>
      </right>
      <top style="dotted">
        <color rgb="FFFF9900"/>
      </top>
    </border>
    <border>
      <left style="thick">
        <color rgb="FFFF9900"/>
      </left>
      <right style="thick">
        <color rgb="FFFF9900"/>
      </right>
      <top style="thick">
        <color rgb="FFFF9900"/>
      </top>
      <bottom style="thick">
        <color rgb="FFFF9900"/>
      </bottom>
    </border>
    <border>
      <left style="double">
        <color rgb="FFFF9900"/>
      </left>
      <top style="double">
        <color rgb="FFFF9900"/>
      </top>
      <bottom style="double">
        <color rgb="FFFF9900"/>
      </bottom>
    </border>
    <border>
      <top style="double">
        <color rgb="FFFF9900"/>
      </top>
      <bottom style="double">
        <color rgb="FFFF9900"/>
      </bottom>
    </border>
    <border>
      <right style="double">
        <color rgb="FFFF9900"/>
      </right>
      <top style="double">
        <color rgb="FFFF9900"/>
      </top>
      <bottom style="double">
        <color rgb="FFFF9900"/>
      </bottom>
    </border>
    <border>
      <left style="medium">
        <color rgb="FFFF9900"/>
      </left>
      <bottom style="thin">
        <color rgb="FFFF9900"/>
      </bottom>
    </border>
    <border>
      <bottom style="thin">
        <color rgb="FFFF9900"/>
      </bottom>
    </border>
    <border>
      <right style="medium">
        <color rgb="FFFF9900"/>
      </right>
      <bottom style="thin">
        <color rgb="FFFF9900"/>
      </bottom>
    </border>
    <border>
      <left style="thin">
        <color rgb="FFFF6D01"/>
      </left>
      <top style="thin">
        <color rgb="FFFF6D01"/>
      </top>
      <bottom style="thin">
        <color rgb="FFFF6D01"/>
      </bottom>
    </border>
    <border>
      <top style="thin">
        <color rgb="FFFF6D01"/>
      </top>
      <bottom style="thin">
        <color rgb="FFFF6D01"/>
      </bottom>
    </border>
    <border>
      <right style="thin">
        <color rgb="FFFF6D01"/>
      </right>
      <top style="thin">
        <color rgb="FFFF6D01"/>
      </top>
      <bottom style="thin">
        <color rgb="FFFF6D01"/>
      </bottom>
    </border>
  </borders>
  <cellStyleXfs count="1">
    <xf borderId="0" fillId="0" fontId="0" numFmtId="0" applyAlignment="1" applyFont="1"/>
  </cellStyleXfs>
  <cellXfs count="69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1" fillId="2" fontId="1" numFmtId="0" xfId="0" applyAlignment="1" applyBorder="1" applyFont="1">
      <alignment vertical="center"/>
    </xf>
    <xf borderId="1" fillId="2" fontId="2" numFmtId="164" xfId="0" applyAlignment="1" applyBorder="1" applyFont="1" applyNumberFormat="1">
      <alignment vertical="center"/>
    </xf>
    <xf borderId="0" fillId="2" fontId="2" numFmtId="164" xfId="0" applyAlignment="1" applyFont="1" applyNumberFormat="1">
      <alignment vertical="center"/>
    </xf>
    <xf borderId="2" fillId="2" fontId="1" numFmtId="0" xfId="0" applyAlignment="1" applyBorder="1" applyFont="1">
      <alignment vertical="center"/>
    </xf>
    <xf borderId="3" fillId="3" fontId="3" numFmtId="165" xfId="0" applyAlignment="1" applyBorder="1" applyFill="1" applyFont="1" applyNumberFormat="1">
      <alignment vertical="center"/>
    </xf>
    <xf borderId="3" fillId="0" fontId="4" numFmtId="0" xfId="0" applyBorder="1" applyFont="1"/>
    <xf borderId="3" fillId="3" fontId="3" numFmtId="164" xfId="0" applyAlignment="1" applyBorder="1" applyFont="1" applyNumberFormat="1">
      <alignment vertical="center"/>
    </xf>
    <xf borderId="4" fillId="0" fontId="4" numFmtId="0" xfId="0" applyBorder="1" applyFont="1"/>
    <xf borderId="5" fillId="2" fontId="2" numFmtId="164" xfId="0" applyAlignment="1" applyBorder="1" applyFont="1" applyNumberFormat="1">
      <alignment vertical="center"/>
    </xf>
    <xf borderId="2" fillId="2" fontId="5" numFmtId="0" xfId="0" applyAlignment="1" applyBorder="1" applyFont="1">
      <alignment horizontal="center" readingOrder="0" vertical="center"/>
    </xf>
    <xf borderId="6" fillId="3" fontId="5" numFmtId="0" xfId="0" applyAlignment="1" applyBorder="1" applyFont="1">
      <alignment horizontal="center" readingOrder="0" vertical="center"/>
    </xf>
    <xf borderId="6" fillId="0" fontId="4" numFmtId="0" xfId="0" applyBorder="1" applyFont="1"/>
    <xf borderId="7" fillId="0" fontId="4" numFmtId="0" xfId="0" applyBorder="1" applyFont="1"/>
    <xf borderId="5" fillId="2" fontId="5" numFmtId="0" xfId="0" applyAlignment="1" applyBorder="1" applyFont="1">
      <alignment horizontal="center" vertical="center"/>
    </xf>
    <xf borderId="2" fillId="2" fontId="6" numFmtId="0" xfId="0" applyAlignment="1" applyBorder="1" applyFont="1">
      <alignment horizontal="center" readingOrder="0" vertical="center"/>
    </xf>
    <xf borderId="8" fillId="3" fontId="6" numFmtId="0" xfId="0" applyAlignment="1" applyBorder="1" applyFont="1">
      <alignment horizontal="center" readingOrder="0" vertical="center"/>
    </xf>
    <xf borderId="9" fillId="3" fontId="6" numFmtId="0" xfId="0" applyAlignment="1" applyBorder="1" applyFont="1">
      <alignment horizontal="center" readingOrder="0" vertical="center"/>
    </xf>
    <xf borderId="8" fillId="0" fontId="4" numFmtId="0" xfId="0" applyBorder="1" applyFont="1"/>
    <xf borderId="10" fillId="0" fontId="4" numFmtId="0" xfId="0" applyBorder="1" applyFont="1"/>
    <xf borderId="5" fillId="2" fontId="6" numFmtId="0" xfId="0" applyAlignment="1" applyBorder="1" applyFont="1">
      <alignment horizontal="center" vertical="center"/>
    </xf>
    <xf borderId="2" fillId="2" fontId="7" numFmtId="0" xfId="0" applyAlignment="1" applyBorder="1" applyFont="1">
      <alignment horizontal="center" readingOrder="0" vertical="center"/>
    </xf>
    <xf borderId="11" fillId="4" fontId="7" numFmtId="0" xfId="0" applyAlignment="1" applyBorder="1" applyFill="1" applyFont="1">
      <alignment horizontal="center" readingOrder="0" vertical="center"/>
    </xf>
    <xf borderId="12" fillId="4" fontId="7" numFmtId="0" xfId="0" applyAlignment="1" applyBorder="1" applyFont="1">
      <alignment horizontal="center" readingOrder="0" vertical="center"/>
    </xf>
    <xf borderId="9" fillId="4" fontId="7" numFmtId="0" xfId="0" applyAlignment="1" applyBorder="1" applyFont="1">
      <alignment horizontal="center" readingOrder="0" vertical="center"/>
    </xf>
    <xf borderId="0" fillId="2" fontId="7" numFmtId="0" xfId="0" applyAlignment="1" applyFont="1">
      <alignment horizontal="center" vertical="center"/>
    </xf>
    <xf borderId="2" fillId="2" fontId="8" numFmtId="0" xfId="0" applyAlignment="1" applyBorder="1" applyFont="1">
      <alignment horizontal="center" readingOrder="0" vertical="center"/>
    </xf>
    <xf borderId="11" fillId="3" fontId="8" numFmtId="0" xfId="0" applyAlignment="1" applyBorder="1" applyFont="1">
      <alignment horizontal="center" readingOrder="0" vertical="center"/>
    </xf>
    <xf borderId="9" fillId="3" fontId="8" numFmtId="0" xfId="0" applyAlignment="1" applyBorder="1" applyFont="1">
      <alignment horizontal="center" readingOrder="0" vertical="center"/>
    </xf>
    <xf borderId="0" fillId="2" fontId="9" numFmtId="0" xfId="0" applyAlignment="1" applyFont="1">
      <alignment horizontal="center" vertical="center"/>
    </xf>
    <xf borderId="0" fillId="2" fontId="8" numFmtId="0" xfId="0" applyAlignment="1" applyFont="1">
      <alignment horizontal="center" vertical="center"/>
    </xf>
    <xf borderId="2" fillId="2" fontId="10" numFmtId="4" xfId="0" applyAlignment="1" applyBorder="1" applyFont="1" applyNumberFormat="1">
      <alignment horizontal="center" vertical="center"/>
    </xf>
    <xf borderId="11" fillId="3" fontId="10" numFmtId="4" xfId="0" applyAlignment="1" applyBorder="1" applyFont="1" applyNumberFormat="1">
      <alignment horizontal="center" vertical="center"/>
    </xf>
    <xf borderId="9" fillId="3" fontId="10" numFmtId="4" xfId="0" applyAlignment="1" applyBorder="1" applyFont="1" applyNumberFormat="1">
      <alignment horizontal="center" vertical="center"/>
    </xf>
    <xf borderId="0" fillId="2" fontId="9" numFmtId="4" xfId="0" applyAlignment="1" applyFont="1" applyNumberFormat="1">
      <alignment horizontal="center" vertical="center"/>
    </xf>
    <xf borderId="2" fillId="2" fontId="11" numFmtId="164" xfId="0" applyAlignment="1" applyBorder="1" applyFont="1" applyNumberFormat="1">
      <alignment horizontal="center" vertical="center"/>
    </xf>
    <xf borderId="11" fillId="3" fontId="11" numFmtId="164" xfId="0" applyAlignment="1" applyBorder="1" applyFont="1" applyNumberFormat="1">
      <alignment horizontal="center" vertical="center"/>
    </xf>
    <xf borderId="9" fillId="3" fontId="11" numFmtId="164" xfId="0" applyAlignment="1" applyBorder="1" applyFont="1" applyNumberFormat="1">
      <alignment horizontal="center" vertical="center"/>
    </xf>
    <xf borderId="0" fillId="2" fontId="12" numFmtId="0" xfId="0" applyAlignment="1" applyFont="1">
      <alignment horizontal="center" vertical="center"/>
    </xf>
    <xf borderId="2" fillId="2" fontId="13" numFmtId="0" xfId="0" applyAlignment="1" applyBorder="1" applyFont="1">
      <alignment horizontal="center" vertical="center"/>
    </xf>
    <xf borderId="2" fillId="3" fontId="13" numFmtId="0" xfId="0" applyAlignment="1" applyBorder="1" applyFont="1">
      <alignment horizontal="center" vertical="center"/>
    </xf>
    <xf borderId="13" fillId="3" fontId="13" numFmtId="0" xfId="0" applyAlignment="1" applyBorder="1" applyFont="1">
      <alignment horizontal="center" vertical="center"/>
    </xf>
    <xf borderId="13" fillId="3" fontId="14" numFmtId="0" xfId="0" applyAlignment="1" applyBorder="1" applyFont="1">
      <alignment horizontal="center" vertical="center"/>
    </xf>
    <xf borderId="5" fillId="3" fontId="14" numFmtId="0" xfId="0" applyAlignment="1" applyBorder="1" applyFont="1">
      <alignment horizontal="center" vertical="center"/>
    </xf>
    <xf borderId="5" fillId="2" fontId="14" numFmtId="0" xfId="0" applyAlignment="1" applyBorder="1" applyFont="1">
      <alignment horizontal="center" vertical="center"/>
    </xf>
    <xf borderId="2" fillId="0" fontId="4" numFmtId="0" xfId="0" applyBorder="1" applyFont="1"/>
    <xf borderId="13" fillId="0" fontId="4" numFmtId="0" xfId="0" applyBorder="1" applyFont="1"/>
    <xf borderId="5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2" fillId="2" fontId="15" numFmtId="0" xfId="0" applyAlignment="1" applyBorder="1" applyFont="1">
      <alignment horizontal="center" readingOrder="0" vertical="center"/>
    </xf>
    <xf borderId="8" fillId="3" fontId="15" numFmtId="0" xfId="0" applyAlignment="1" applyBorder="1" applyFont="1">
      <alignment horizontal="center" readingOrder="0" vertical="center"/>
    </xf>
    <xf borderId="17" fillId="0" fontId="4" numFmtId="0" xfId="0" applyBorder="1" applyFont="1"/>
    <xf borderId="18" fillId="3" fontId="7" numFmtId="0" xfId="0" applyAlignment="1" applyBorder="1" applyFont="1">
      <alignment horizontal="center" vertical="center"/>
    </xf>
    <xf borderId="19" fillId="3" fontId="6" numFmtId="0" xfId="0" applyAlignment="1" applyBorder="1" applyFont="1">
      <alignment horizontal="center" readingOrder="0" vertical="center"/>
    </xf>
    <xf borderId="20" fillId="0" fontId="4" numFmtId="0" xfId="0" applyBorder="1" applyFont="1"/>
    <xf borderId="21" fillId="0" fontId="4" numFmtId="0" xfId="0" applyBorder="1" applyFont="1"/>
    <xf borderId="5" fillId="2" fontId="7" numFmtId="0" xfId="0" applyAlignment="1" applyBorder="1" applyFont="1">
      <alignment horizontal="center" readingOrder="0" vertical="center"/>
    </xf>
    <xf borderId="2" fillId="2" fontId="11" numFmtId="0" xfId="0" applyAlignment="1" applyBorder="1" applyFont="1">
      <alignment horizontal="center" readingOrder="0" vertical="center"/>
    </xf>
    <xf borderId="22" fillId="5" fontId="11" numFmtId="0" xfId="0" applyAlignment="1" applyBorder="1" applyFill="1" applyFont="1">
      <alignment horizontal="center" readingOrder="0" vertical="center"/>
    </xf>
    <xf borderId="23" fillId="5" fontId="11" numFmtId="0" xfId="0" applyAlignment="1" applyBorder="1" applyFont="1">
      <alignment horizontal="center" readingOrder="0" vertical="center"/>
    </xf>
    <xf borderId="6" fillId="3" fontId="16" numFmtId="0" xfId="0" applyAlignment="1" applyBorder="1" applyFont="1">
      <alignment horizontal="center" readingOrder="0" vertical="center"/>
    </xf>
    <xf borderId="24" fillId="0" fontId="4" numFmtId="0" xfId="0" applyBorder="1" applyFont="1"/>
    <xf borderId="25" fillId="5" fontId="17" numFmtId="0" xfId="0" applyAlignment="1" applyBorder="1" applyFont="1">
      <alignment horizontal="center" readingOrder="0" vertical="center"/>
    </xf>
    <xf borderId="5" fillId="2" fontId="8" numFmtId="0" xfId="0" applyAlignment="1" applyBorder="1" applyFont="1">
      <alignment horizontal="center" readingOrder="0" vertical="center"/>
    </xf>
    <xf borderId="2" fillId="2" fontId="18" numFmtId="0" xfId="0" applyAlignment="1" applyBorder="1" applyFont="1">
      <alignment horizontal="center" vertical="center"/>
    </xf>
    <xf borderId="2" fillId="3" fontId="18" numFmtId="0" xfId="0" applyAlignment="1" applyBorder="1" applyFont="1">
      <alignment horizontal="center" vertical="center"/>
    </xf>
    <xf borderId="5" fillId="3" fontId="18" numFmtId="166" xfId="0" applyAlignment="1" applyBorder="1" applyFont="1" applyNumberFormat="1">
      <alignment horizontal="center" vertical="center"/>
    </xf>
    <xf borderId="26" fillId="3" fontId="9" numFmtId="0" xfId="0" applyAlignment="1" applyBorder="1" applyFont="1">
      <alignment horizontal="center" vertical="center"/>
    </xf>
    <xf borderId="27" fillId="0" fontId="4" numFmtId="0" xfId="0" applyBorder="1" applyFont="1"/>
    <xf borderId="25" fillId="3" fontId="8" numFmtId="0" xfId="0" applyAlignment="1" applyBorder="1" applyFont="1">
      <alignment horizontal="center" readingOrder="0" vertical="center"/>
    </xf>
    <xf borderId="5" fillId="2" fontId="19" numFmtId="0" xfId="0" applyAlignment="1" applyBorder="1" applyFont="1">
      <alignment horizontal="center" readingOrder="0" vertical="center"/>
    </xf>
    <xf borderId="2" fillId="2" fontId="18" numFmtId="0" xfId="0" applyAlignment="1" applyBorder="1" applyFont="1">
      <alignment horizontal="center" readingOrder="0" vertical="center"/>
    </xf>
    <xf borderId="2" fillId="3" fontId="18" numFmtId="0" xfId="0" applyAlignment="1" applyBorder="1" applyFont="1">
      <alignment horizontal="center" readingOrder="0" vertical="center"/>
    </xf>
    <xf borderId="5" fillId="3" fontId="18" numFmtId="164" xfId="0" applyAlignment="1" applyBorder="1" applyFont="1" applyNumberFormat="1">
      <alignment horizontal="center" vertical="center"/>
    </xf>
    <xf borderId="26" fillId="0" fontId="4" numFmtId="0" xfId="0" applyBorder="1" applyFont="1"/>
    <xf borderId="28" fillId="3" fontId="10" numFmtId="166" xfId="0" applyAlignment="1" applyBorder="1" applyFont="1" applyNumberFormat="1">
      <alignment horizontal="center" vertical="center"/>
    </xf>
    <xf borderId="28" fillId="3" fontId="10" numFmtId="167" xfId="0" applyAlignment="1" applyBorder="1" applyFont="1" applyNumberFormat="1">
      <alignment horizontal="center" vertical="center"/>
    </xf>
    <xf borderId="29" fillId="3" fontId="10" numFmtId="167" xfId="0" applyAlignment="1" applyBorder="1" applyFont="1" applyNumberFormat="1">
      <alignment horizontal="center" vertical="center"/>
    </xf>
    <xf borderId="5" fillId="2" fontId="19" numFmtId="167" xfId="0" applyAlignment="1" applyBorder="1" applyFont="1" applyNumberFormat="1">
      <alignment horizontal="center" vertical="center"/>
    </xf>
    <xf borderId="5" fillId="3" fontId="18" numFmtId="10" xfId="0" applyAlignment="1" applyBorder="1" applyFont="1" applyNumberFormat="1">
      <alignment horizontal="center" vertical="center"/>
    </xf>
    <xf borderId="30" fillId="3" fontId="11" numFmtId="164" xfId="0" applyAlignment="1" applyBorder="1" applyFont="1" applyNumberFormat="1">
      <alignment horizontal="center" vertical="center"/>
    </xf>
    <xf borderId="31" fillId="3" fontId="11" numFmtId="164" xfId="0" applyAlignment="1" applyBorder="1" applyFont="1" applyNumberFormat="1">
      <alignment horizontal="center" vertical="center"/>
    </xf>
    <xf borderId="5" fillId="2" fontId="19" numFmtId="164" xfId="0" applyAlignment="1" applyBorder="1" applyFont="1" applyNumberFormat="1">
      <alignment horizontal="center" vertical="center"/>
    </xf>
    <xf borderId="32" fillId="3" fontId="8" numFmtId="0" xfId="0" applyAlignment="1" applyBorder="1" applyFont="1">
      <alignment horizontal="center" vertical="center"/>
    </xf>
    <xf borderId="32" fillId="3" fontId="9" numFmtId="0" xfId="0" applyAlignment="1" applyBorder="1" applyFont="1">
      <alignment horizontal="center" vertical="center"/>
    </xf>
    <xf borderId="33" fillId="3" fontId="9" numFmtId="0" xfId="0" applyAlignment="1" applyBorder="1" applyFont="1">
      <alignment horizontal="center" vertical="center"/>
    </xf>
    <xf borderId="5" fillId="3" fontId="18" numFmtId="2" xfId="0" applyAlignment="1" applyBorder="1" applyFont="1" applyNumberFormat="1">
      <alignment horizontal="center" vertical="center"/>
    </xf>
    <xf borderId="34" fillId="0" fontId="4" numFmtId="0" xfId="0" applyBorder="1" applyFont="1"/>
    <xf borderId="32" fillId="0" fontId="4" numFmtId="0" xfId="0" applyBorder="1" applyFont="1"/>
    <xf borderId="33" fillId="0" fontId="4" numFmtId="0" xfId="0" applyBorder="1" applyFont="1"/>
    <xf borderId="5" fillId="3" fontId="18" numFmtId="0" xfId="0" applyAlignment="1" applyBorder="1" applyFont="1">
      <alignment horizontal="center" vertical="center"/>
    </xf>
    <xf borderId="35" fillId="3" fontId="20" numFmtId="0" xfId="0" applyAlignment="1" applyBorder="1" applyFont="1">
      <alignment horizontal="center" readingOrder="0" vertical="center"/>
    </xf>
    <xf borderId="1" fillId="0" fontId="4" numFmtId="0" xfId="0" applyBorder="1" applyFont="1"/>
    <xf borderId="36" fillId="0" fontId="4" numFmtId="0" xfId="0" applyBorder="1" applyFont="1"/>
    <xf borderId="35" fillId="3" fontId="20" numFmtId="0" xfId="0" applyAlignment="1" applyBorder="1" applyFont="1">
      <alignment horizontal="center" vertical="center"/>
    </xf>
    <xf borderId="37" fillId="3" fontId="21" numFmtId="164" xfId="0" applyAlignment="1" applyBorder="1" applyFont="1" applyNumberFormat="1">
      <alignment horizontal="center" vertical="center"/>
    </xf>
    <xf borderId="34" fillId="3" fontId="20" numFmtId="0" xfId="0" applyAlignment="1" applyBorder="1" applyFont="1">
      <alignment horizontal="center" readingOrder="0" vertical="center"/>
    </xf>
    <xf borderId="26" fillId="3" fontId="20" numFmtId="0" xfId="0" applyAlignment="1" applyBorder="1" applyFont="1">
      <alignment horizontal="center" vertical="center"/>
    </xf>
    <xf borderId="3" fillId="3" fontId="22" numFmtId="164" xfId="0" applyAlignment="1" applyBorder="1" applyFont="1" applyNumberFormat="1">
      <alignment horizontal="center" vertical="center"/>
    </xf>
    <xf borderId="30" fillId="0" fontId="4" numFmtId="0" xfId="0" applyBorder="1" applyFont="1"/>
    <xf borderId="31" fillId="0" fontId="4" numFmtId="0" xfId="0" applyBorder="1" applyFont="1"/>
    <xf borderId="2" fillId="2" fontId="23" numFmtId="0" xfId="0" applyAlignment="1" applyBorder="1" applyFont="1">
      <alignment horizontal="center" readingOrder="0" vertical="center"/>
    </xf>
    <xf borderId="38" fillId="3" fontId="23" numFmtId="0" xfId="0" applyAlignment="1" applyBorder="1" applyFont="1">
      <alignment horizontal="center" readingOrder="0" vertical="center"/>
    </xf>
    <xf borderId="38" fillId="0" fontId="4" numFmtId="0" xfId="0" applyBorder="1" applyFont="1"/>
    <xf borderId="39" fillId="0" fontId="4" numFmtId="0" xfId="0" applyBorder="1" applyFont="1"/>
    <xf borderId="5" fillId="2" fontId="24" numFmtId="0" xfId="0" applyAlignment="1" applyBorder="1" applyFont="1">
      <alignment horizontal="center" readingOrder="0" vertical="center"/>
    </xf>
    <xf borderId="2" fillId="2" fontId="25" numFmtId="0" xfId="0" applyAlignment="1" applyBorder="1" applyFont="1">
      <alignment horizontal="center" readingOrder="0" vertical="center"/>
    </xf>
    <xf borderId="6" fillId="5" fontId="25" numFmtId="0" xfId="0" applyAlignment="1" applyBorder="1" applyFont="1">
      <alignment horizontal="center" readingOrder="0" vertical="center"/>
    </xf>
    <xf borderId="40" fillId="0" fontId="4" numFmtId="0" xfId="0" applyBorder="1" applyFont="1"/>
    <xf borderId="5" fillId="2" fontId="25" numFmtId="0" xfId="0" applyAlignment="1" applyBorder="1" applyFont="1">
      <alignment horizontal="center" readingOrder="0" vertical="center"/>
    </xf>
    <xf borderId="2" fillId="2" fontId="11" numFmtId="0" xfId="0" applyAlignment="1" applyBorder="1" applyFont="1">
      <alignment horizontal="right" readingOrder="0" vertical="center"/>
    </xf>
    <xf borderId="6" fillId="6" fontId="11" numFmtId="0" xfId="0" applyAlignment="1" applyBorder="1" applyFill="1" applyFont="1">
      <alignment horizontal="right" readingOrder="0" vertical="center"/>
    </xf>
    <xf borderId="5" fillId="2" fontId="11" numFmtId="0" xfId="0" applyAlignment="1" applyBorder="1" applyFont="1">
      <alignment horizontal="right" readingOrder="0" vertical="center"/>
    </xf>
    <xf borderId="2" fillId="2" fontId="17" numFmtId="0" xfId="0" applyAlignment="1" applyBorder="1" applyFont="1">
      <alignment horizontal="center" readingOrder="0" vertical="center"/>
    </xf>
    <xf borderId="6" fillId="5" fontId="17" numFmtId="0" xfId="0" applyAlignment="1" applyBorder="1" applyFont="1">
      <alignment horizontal="center" readingOrder="0" vertical="center"/>
    </xf>
    <xf borderId="6" fillId="5" fontId="17" numFmtId="164" xfId="0" applyAlignment="1" applyBorder="1" applyFont="1" applyNumberFormat="1">
      <alignment horizontal="center" readingOrder="0" vertical="center"/>
    </xf>
    <xf borderId="6" fillId="5" fontId="17" numFmtId="166" xfId="0" applyAlignment="1" applyBorder="1" applyFont="1" applyNumberFormat="1">
      <alignment horizontal="center" readingOrder="0" vertical="center"/>
    </xf>
    <xf borderId="3" fillId="5" fontId="17" numFmtId="0" xfId="0" applyAlignment="1" applyBorder="1" applyFont="1">
      <alignment horizontal="center" readingOrder="0" vertical="center"/>
    </xf>
    <xf borderId="5" fillId="2" fontId="17" numFmtId="0" xfId="0" applyAlignment="1" applyBorder="1" applyFont="1">
      <alignment horizontal="center" readingOrder="0" vertical="center"/>
    </xf>
    <xf borderId="2" fillId="2" fontId="26" numFmtId="0" xfId="0" applyAlignment="1" applyBorder="1" applyFont="1">
      <alignment horizontal="center" vertical="center"/>
    </xf>
    <xf borderId="0" fillId="7" fontId="26" numFmtId="0" xfId="0" applyAlignment="1" applyFill="1" applyFont="1">
      <alignment horizontal="center" vertical="center"/>
    </xf>
    <xf borderId="0" fillId="7" fontId="27" numFmtId="0" xfId="0" applyAlignment="1" applyFont="1">
      <alignment horizontal="center" vertical="center"/>
    </xf>
    <xf borderId="0" fillId="8" fontId="27" numFmtId="0" xfId="0" applyAlignment="1" applyFill="1" applyFont="1">
      <alignment horizontal="center" vertical="center"/>
    </xf>
    <xf borderId="0" fillId="8" fontId="27" numFmtId="166" xfId="0" applyAlignment="1" applyFont="1" applyNumberFormat="1">
      <alignment horizontal="center" vertical="center"/>
    </xf>
    <xf borderId="0" fillId="8" fontId="27" numFmtId="164" xfId="0" applyAlignment="1" applyFont="1" applyNumberFormat="1">
      <alignment horizontal="center" vertical="center"/>
    </xf>
    <xf borderId="0" fillId="0" fontId="27" numFmtId="166" xfId="0" applyAlignment="1" applyFont="1" applyNumberFormat="1">
      <alignment horizontal="center" readingOrder="0" vertical="center"/>
    </xf>
    <xf borderId="0" fillId="8" fontId="27" numFmtId="4" xfId="0" applyAlignment="1" applyFont="1" applyNumberFormat="1">
      <alignment horizontal="center" vertical="center"/>
    </xf>
    <xf borderId="5" fillId="2" fontId="27" numFmtId="4" xfId="0" applyAlignment="1" applyBorder="1" applyFont="1" applyNumberFormat="1">
      <alignment horizontal="center" vertical="center"/>
    </xf>
    <xf borderId="2" fillId="2" fontId="11" numFmtId="0" xfId="0" applyAlignment="1" applyBorder="1" applyFont="1">
      <alignment horizontal="center" vertical="center"/>
    </xf>
    <xf borderId="0" fillId="3" fontId="11" numFmtId="0" xfId="0" applyAlignment="1" applyFont="1">
      <alignment horizontal="center" vertical="center"/>
    </xf>
    <xf borderId="2" fillId="2" fontId="27" numFmtId="0" xfId="0" applyAlignment="1" applyBorder="1" applyFont="1">
      <alignment horizontal="center" readingOrder="0" vertical="center"/>
    </xf>
    <xf borderId="0" fillId="2" fontId="27" numFmtId="0" xfId="0" applyAlignment="1" applyFont="1">
      <alignment horizontal="center" readingOrder="0" vertical="center"/>
    </xf>
    <xf borderId="0" fillId="2" fontId="27" numFmtId="0" xfId="0" applyAlignment="1" applyFont="1">
      <alignment horizontal="center" vertical="center"/>
    </xf>
    <xf borderId="0" fillId="2" fontId="27" numFmtId="166" xfId="0" applyAlignment="1" applyFont="1" applyNumberFormat="1">
      <alignment horizontal="center" vertical="center"/>
    </xf>
    <xf borderId="0" fillId="2" fontId="27" numFmtId="164" xfId="0" applyAlignment="1" applyFont="1" applyNumberFormat="1">
      <alignment horizontal="center" vertical="center"/>
    </xf>
    <xf borderId="0" fillId="2" fontId="27" numFmtId="166" xfId="0" applyAlignment="1" applyFont="1" applyNumberFormat="1">
      <alignment horizontal="center" readingOrder="0" vertical="center"/>
    </xf>
    <xf borderId="0" fillId="3" fontId="27" numFmtId="0" xfId="0" applyAlignment="1" applyFont="1">
      <alignment horizontal="center" readingOrder="0" vertical="center"/>
    </xf>
    <xf borderId="0" fillId="0" fontId="27" numFmtId="0" xfId="0" applyAlignment="1" applyFont="1">
      <alignment horizontal="center" readingOrder="0" vertical="center"/>
    </xf>
    <xf borderId="2" fillId="2" fontId="26" numFmtId="0" xfId="0" applyAlignment="1" applyBorder="1" applyFont="1">
      <alignment horizontal="center" readingOrder="0" vertical="center"/>
    </xf>
    <xf borderId="0" fillId="7" fontId="26" numFmtId="0" xfId="0" applyAlignment="1" applyFont="1">
      <alignment horizontal="center" readingOrder="0" vertical="center"/>
    </xf>
    <xf borderId="0" fillId="2" fontId="27" numFmtId="4" xfId="0" applyAlignment="1" applyFont="1" applyNumberFormat="1">
      <alignment horizontal="center" vertical="center"/>
    </xf>
    <xf borderId="0" fillId="2" fontId="26" numFmtId="0" xfId="0" applyAlignment="1" applyFont="1">
      <alignment horizontal="center" readingOrder="0" vertical="center"/>
    </xf>
    <xf borderId="0" fillId="2" fontId="26" numFmtId="0" xfId="0" applyAlignment="1" applyFont="1">
      <alignment horizontal="center" vertical="center"/>
    </xf>
    <xf borderId="0" fillId="2" fontId="11" numFmtId="0" xfId="0" applyAlignment="1" applyFont="1">
      <alignment horizontal="center" vertical="center"/>
    </xf>
    <xf borderId="41" fillId="3" fontId="28" numFmtId="165" xfId="0" applyAlignment="1" applyBorder="1" applyFont="1" applyNumberFormat="1">
      <alignment vertical="center"/>
    </xf>
    <xf borderId="42" fillId="0" fontId="4" numFmtId="0" xfId="0" applyBorder="1" applyFont="1"/>
    <xf borderId="42" fillId="3" fontId="29" numFmtId="164" xfId="0" applyAlignment="1" applyBorder="1" applyFont="1" applyNumberFormat="1">
      <alignment vertical="center"/>
    </xf>
    <xf borderId="43" fillId="0" fontId="4" numFmtId="0" xfId="0" applyBorder="1" applyFont="1"/>
    <xf borderId="0" fillId="6" fontId="29" numFmtId="164" xfId="0" applyAlignment="1" applyFont="1" applyNumberFormat="1">
      <alignment vertical="center"/>
    </xf>
    <xf borderId="0" fillId="3" fontId="30" numFmtId="0" xfId="0" applyAlignment="1" applyFont="1">
      <alignment horizontal="center" readingOrder="0" vertical="center"/>
    </xf>
    <xf borderId="0" fillId="3" fontId="31" numFmtId="0" xfId="0" applyAlignment="1" applyFont="1">
      <alignment horizontal="center" readingOrder="0" vertical="center"/>
    </xf>
    <xf borderId="0" fillId="6" fontId="31" numFmtId="0" xfId="0" applyAlignment="1" applyFont="1">
      <alignment horizontal="center" vertical="center"/>
    </xf>
    <xf borderId="44" fillId="3" fontId="31" numFmtId="0" xfId="0" applyAlignment="1" applyBorder="1" applyFont="1">
      <alignment horizontal="center" readingOrder="0" vertical="center"/>
    </xf>
    <xf borderId="45" fillId="3" fontId="30" numFmtId="0" xfId="0" applyAlignment="1" applyBorder="1" applyFont="1">
      <alignment horizontal="center" readingOrder="0" vertical="center"/>
    </xf>
    <xf borderId="46" fillId="0" fontId="4" numFmtId="0" xfId="0" applyBorder="1" applyFont="1"/>
    <xf borderId="47" fillId="0" fontId="4" numFmtId="0" xfId="0" applyBorder="1" applyFont="1"/>
    <xf borderId="18" fillId="3" fontId="31" numFmtId="0" xfId="0" applyAlignment="1" applyBorder="1" applyFont="1">
      <alignment horizontal="center" readingOrder="0" vertical="center"/>
    </xf>
    <xf borderId="25" fillId="3" fontId="32" numFmtId="0" xfId="0" applyAlignment="1" applyBorder="1" applyFont="1">
      <alignment horizontal="center" readingOrder="0" vertical="center"/>
    </xf>
    <xf borderId="48" fillId="0" fontId="4" numFmtId="0" xfId="0" applyBorder="1" applyFont="1"/>
    <xf borderId="49" fillId="0" fontId="4" numFmtId="0" xfId="0" applyBorder="1" applyFont="1"/>
    <xf borderId="50" fillId="3" fontId="32" numFmtId="0" xfId="0" applyAlignment="1" applyBorder="1" applyFont="1">
      <alignment horizontal="center" readingOrder="0" vertical="center"/>
    </xf>
    <xf borderId="0" fillId="3" fontId="32" numFmtId="0" xfId="0" applyAlignment="1" applyFont="1">
      <alignment horizontal="center" readingOrder="0" vertical="center"/>
    </xf>
    <xf borderId="51" fillId="3" fontId="33" numFmtId="0" xfId="0" applyAlignment="1" applyBorder="1" applyFont="1">
      <alignment horizontal="center" readingOrder="0" vertical="center"/>
    </xf>
    <xf borderId="25" fillId="3" fontId="33" numFmtId="0" xfId="0" applyAlignment="1" applyBorder="1" applyFont="1">
      <alignment horizontal="center" readingOrder="0" vertical="center"/>
    </xf>
    <xf borderId="25" fillId="3" fontId="31" numFmtId="0" xfId="0" applyAlignment="1" applyBorder="1" applyFont="1">
      <alignment horizontal="center" readingOrder="0" vertical="center"/>
    </xf>
    <xf borderId="25" fillId="3" fontId="34" numFmtId="0" xfId="0" applyAlignment="1" applyBorder="1" applyFont="1">
      <alignment horizontal="center" readingOrder="0" vertical="center"/>
    </xf>
    <xf borderId="0" fillId="3" fontId="34" numFmtId="0" xfId="0" applyAlignment="1" applyFont="1">
      <alignment horizontal="center" readingOrder="0" vertical="center"/>
    </xf>
    <xf borderId="51" fillId="3" fontId="35" numFmtId="0" xfId="0" applyAlignment="1" applyBorder="1" applyFont="1">
      <alignment horizontal="center" readingOrder="0" vertical="center"/>
    </xf>
    <xf borderId="25" fillId="3" fontId="35" numFmtId="0" xfId="0" applyAlignment="1" applyBorder="1" applyFont="1">
      <alignment horizontal="center" readingOrder="0" vertical="center"/>
    </xf>
    <xf borderId="25" fillId="3" fontId="36" numFmtId="0" xfId="0" applyAlignment="1" applyBorder="1" applyFont="1">
      <alignment horizontal="center" readingOrder="0" vertical="center"/>
    </xf>
    <xf borderId="0" fillId="3" fontId="36" numFmtId="0" xfId="0" applyAlignment="1" applyFont="1">
      <alignment horizontal="center" readingOrder="0" vertical="center"/>
    </xf>
    <xf borderId="52" fillId="3" fontId="36" numFmtId="167" xfId="0" applyAlignment="1" applyBorder="1" applyFont="1" applyNumberFormat="1">
      <alignment horizontal="center" vertical="center"/>
    </xf>
    <xf borderId="53" fillId="3" fontId="36" numFmtId="167" xfId="0" applyAlignment="1" applyBorder="1" applyFont="1" applyNumberFormat="1">
      <alignment horizontal="center" vertical="center"/>
    </xf>
    <xf borderId="53" fillId="3" fontId="36" numFmtId="166" xfId="0" applyAlignment="1" applyBorder="1" applyFont="1" applyNumberFormat="1">
      <alignment horizontal="center" vertical="center"/>
    </xf>
    <xf borderId="53" fillId="3" fontId="36" numFmtId="4" xfId="0" applyAlignment="1" applyBorder="1" applyFont="1" applyNumberFormat="1">
      <alignment horizontal="center" vertical="center"/>
    </xf>
    <xf borderId="0" fillId="3" fontId="36" numFmtId="4" xfId="0" applyAlignment="1" applyFont="1" applyNumberFormat="1">
      <alignment horizontal="center" vertical="center"/>
    </xf>
    <xf borderId="54" fillId="3" fontId="36" numFmtId="167" xfId="0" applyAlignment="1" applyBorder="1" applyFont="1" applyNumberFormat="1">
      <alignment horizontal="center" vertical="center"/>
    </xf>
    <xf borderId="9" fillId="3" fontId="36" numFmtId="167" xfId="0" applyAlignment="1" applyBorder="1" applyFont="1" applyNumberFormat="1">
      <alignment horizontal="center" vertical="center"/>
    </xf>
    <xf borderId="9" fillId="3" fontId="36" numFmtId="166" xfId="0" applyAlignment="1" applyBorder="1" applyFont="1" applyNumberFormat="1">
      <alignment horizontal="center" vertical="center"/>
    </xf>
    <xf borderId="0" fillId="3" fontId="36" numFmtId="167" xfId="0" applyAlignment="1" applyFont="1" applyNumberFormat="1">
      <alignment horizontal="center" vertical="center"/>
    </xf>
    <xf borderId="55" fillId="3" fontId="36" numFmtId="164" xfId="0" applyAlignment="1" applyBorder="1" applyFont="1" applyNumberFormat="1">
      <alignment horizontal="center" vertical="center"/>
    </xf>
    <xf borderId="56" fillId="3" fontId="36" numFmtId="164" xfId="0" applyAlignment="1" applyBorder="1" applyFont="1" applyNumberFormat="1">
      <alignment horizontal="center" vertical="center"/>
    </xf>
    <xf borderId="0" fillId="3" fontId="36" numFmtId="164" xfId="0" applyAlignment="1" applyFont="1" applyNumberFormat="1">
      <alignment horizontal="center" vertical="center"/>
    </xf>
    <xf borderId="57" fillId="3" fontId="37" numFmtId="0" xfId="0" applyAlignment="1" applyBorder="1" applyFont="1">
      <alignment horizontal="center" vertical="center"/>
    </xf>
    <xf borderId="58" fillId="3" fontId="37" numFmtId="0" xfId="0" applyAlignment="1" applyBorder="1" applyFont="1">
      <alignment horizontal="center" vertical="center"/>
    </xf>
    <xf borderId="58" fillId="3" fontId="38" numFmtId="0" xfId="0" applyAlignment="1" applyBorder="1" applyFont="1">
      <alignment horizontal="center" vertical="center"/>
    </xf>
    <xf borderId="0" fillId="3" fontId="37" numFmtId="0" xfId="0" applyAlignment="1" applyFont="1">
      <alignment horizontal="center" vertical="center"/>
    </xf>
    <xf borderId="59" fillId="0" fontId="4" numFmtId="0" xfId="0" applyBorder="1" applyFont="1"/>
    <xf borderId="60" fillId="0" fontId="4" numFmtId="0" xfId="0" applyBorder="1" applyFont="1"/>
    <xf borderId="0" fillId="3" fontId="38" numFmtId="0" xfId="0" applyAlignment="1" applyFont="1">
      <alignment horizontal="center" vertical="center"/>
    </xf>
    <xf borderId="0" fillId="2" fontId="39" numFmtId="0" xfId="0" applyAlignment="1" applyFont="1">
      <alignment horizontal="center" readingOrder="0" vertical="center"/>
    </xf>
    <xf borderId="0" fillId="2" fontId="39" numFmtId="0" xfId="0" applyAlignment="1" applyFont="1">
      <alignment horizontal="center" vertical="center"/>
    </xf>
    <xf borderId="0" fillId="2" fontId="39" numFmtId="166" xfId="0" applyAlignment="1" applyFont="1" applyNumberFormat="1">
      <alignment horizontal="center" vertical="center"/>
    </xf>
    <xf borderId="0" fillId="2" fontId="39" numFmtId="164" xfId="0" applyAlignment="1" applyFont="1" applyNumberFormat="1">
      <alignment horizontal="center" vertical="center"/>
    </xf>
    <xf borderId="0" fillId="2" fontId="39" numFmtId="166" xfId="0" applyAlignment="1" applyFont="1" applyNumberFormat="1">
      <alignment horizontal="center" readingOrder="0" vertical="center"/>
    </xf>
    <xf borderId="0" fillId="2" fontId="39" numFmtId="4" xfId="0" applyAlignment="1" applyFont="1" applyNumberFormat="1">
      <alignment horizontal="center" vertical="center"/>
    </xf>
    <xf borderId="26" fillId="6" fontId="39" numFmtId="4" xfId="0" applyAlignment="1" applyBorder="1" applyFont="1" applyNumberFormat="1">
      <alignment horizontal="center" vertical="center"/>
    </xf>
    <xf borderId="0" fillId="6" fontId="39" numFmtId="4" xfId="0" applyAlignment="1" applyFont="1" applyNumberFormat="1">
      <alignment horizontal="center" vertical="center"/>
    </xf>
    <xf borderId="18" fillId="3" fontId="40" numFmtId="165" xfId="0" applyAlignment="1" applyBorder="1" applyFont="1" applyNumberFormat="1">
      <alignment horizontal="right" vertical="center"/>
    </xf>
    <xf borderId="6" fillId="3" fontId="41" numFmtId="164" xfId="0" applyAlignment="1" applyBorder="1" applyFont="1" applyNumberFormat="1">
      <alignment horizontal="left" vertical="center"/>
    </xf>
    <xf borderId="26" fillId="6" fontId="41" numFmtId="164" xfId="0" applyAlignment="1" applyBorder="1" applyFont="1" applyNumberFormat="1">
      <alignment horizontal="left" vertical="center"/>
    </xf>
    <xf borderId="44" fillId="3" fontId="42" numFmtId="0" xfId="0" applyAlignment="1" applyBorder="1" applyFont="1">
      <alignment horizontal="center" readingOrder="0" vertical="center"/>
    </xf>
    <xf borderId="0" fillId="3" fontId="43" numFmtId="0" xfId="0" applyAlignment="1" applyFont="1">
      <alignment horizontal="center" readingOrder="0" vertical="center"/>
    </xf>
    <xf borderId="18" fillId="3" fontId="43" numFmtId="0" xfId="0" applyAlignment="1" applyBorder="1" applyFont="1">
      <alignment horizontal="center" readingOrder="0" vertical="center"/>
    </xf>
    <xf borderId="6" fillId="3" fontId="43" numFmtId="0" xfId="0" applyAlignment="1" applyBorder="1" applyFont="1">
      <alignment horizontal="center" readingOrder="0" vertical="center"/>
    </xf>
    <xf borderId="18" fillId="3" fontId="44" numFmtId="0" xfId="0" applyAlignment="1" applyBorder="1" applyFont="1">
      <alignment horizontal="center" vertical="center"/>
    </xf>
    <xf borderId="26" fillId="6" fontId="44" numFmtId="0" xfId="0" applyAlignment="1" applyBorder="1" applyFont="1">
      <alignment horizontal="center" vertical="center"/>
    </xf>
    <xf borderId="61" fillId="5" fontId="45" numFmtId="0" xfId="0" applyAlignment="1" applyBorder="1" applyFont="1">
      <alignment horizontal="center" readingOrder="0" vertical="center"/>
    </xf>
    <xf borderId="62" fillId="5" fontId="46" numFmtId="0" xfId="0" applyAlignment="1" applyBorder="1" applyFont="1">
      <alignment horizontal="center" readingOrder="0" vertical="center"/>
    </xf>
    <xf borderId="63" fillId="3" fontId="43" numFmtId="0" xfId="0" applyAlignment="1" applyBorder="1" applyFont="1">
      <alignment horizontal="center" readingOrder="0" vertical="center"/>
    </xf>
    <xf borderId="12" fillId="3" fontId="43" numFmtId="164" xfId="0" applyAlignment="1" applyBorder="1" applyFont="1" applyNumberFormat="1">
      <alignment horizontal="center" vertical="center"/>
    </xf>
    <xf borderId="64" fillId="3" fontId="43" numFmtId="0" xfId="0" applyAlignment="1" applyBorder="1" applyFont="1">
      <alignment horizontal="center" vertical="center"/>
    </xf>
    <xf borderId="65" fillId="0" fontId="4" numFmtId="0" xfId="0" applyBorder="1" applyFont="1"/>
    <xf borderId="66" fillId="0" fontId="4" numFmtId="0" xfId="0" applyBorder="1" applyFont="1"/>
    <xf borderId="6" fillId="3" fontId="47" numFmtId="0" xfId="0" applyAlignment="1" applyBorder="1" applyFont="1">
      <alignment horizontal="center" readingOrder="0" vertical="center"/>
    </xf>
    <xf borderId="26" fillId="6" fontId="47" numFmtId="0" xfId="0" applyAlignment="1" applyBorder="1" applyFont="1">
      <alignment horizontal="center" readingOrder="0" vertical="center"/>
    </xf>
    <xf borderId="67" fillId="3" fontId="48" numFmtId="0" xfId="0" applyAlignment="1" applyBorder="1" applyFont="1">
      <alignment horizontal="center" vertical="center"/>
    </xf>
    <xf borderId="5" fillId="3" fontId="49" numFmtId="166" xfId="0" applyAlignment="1" applyBorder="1" applyFont="1" applyNumberFormat="1">
      <alignment horizontal="center" vertical="center"/>
    </xf>
    <xf borderId="54" fillId="3" fontId="43" numFmtId="0" xfId="0" applyAlignment="1" applyBorder="1" applyFont="1">
      <alignment horizontal="center" readingOrder="0" vertical="center"/>
    </xf>
    <xf borderId="9" fillId="3" fontId="43" numFmtId="164" xfId="0" applyAlignment="1" applyBorder="1" applyFont="1" applyNumberFormat="1">
      <alignment horizontal="center" vertical="center"/>
    </xf>
    <xf borderId="68" fillId="3" fontId="43" numFmtId="0" xfId="0" applyAlignment="1" applyBorder="1" applyFont="1">
      <alignment horizontal="center" vertical="center"/>
    </xf>
    <xf borderId="11" fillId="0" fontId="4" numFmtId="0" xfId="0" applyBorder="1" applyFont="1"/>
    <xf borderId="69" fillId="0" fontId="4" numFmtId="0" xfId="0" applyBorder="1" applyFont="1"/>
    <xf borderId="26" fillId="3" fontId="50" numFmtId="0" xfId="0" applyAlignment="1" applyBorder="1" applyFont="1">
      <alignment horizontal="center" vertical="center"/>
    </xf>
    <xf borderId="70" fillId="0" fontId="4" numFmtId="0" xfId="0" applyBorder="1" applyFont="1"/>
    <xf borderId="26" fillId="6" fontId="50" numFmtId="0" xfId="0" applyAlignment="1" applyBorder="1" applyFont="1">
      <alignment horizontal="center" vertical="center"/>
    </xf>
    <xf borderId="67" fillId="3" fontId="48" numFmtId="0" xfId="0" applyAlignment="1" applyBorder="1" applyFont="1">
      <alignment horizontal="center" readingOrder="0" vertical="center"/>
    </xf>
    <xf borderId="5" fillId="3" fontId="49" numFmtId="164" xfId="0" applyAlignment="1" applyBorder="1" applyFont="1" applyNumberFormat="1">
      <alignment horizontal="center" vertical="center"/>
    </xf>
    <xf borderId="5" fillId="3" fontId="49" numFmtId="10" xfId="0" applyAlignment="1" applyBorder="1" applyFont="1" applyNumberFormat="1">
      <alignment horizontal="center" vertical="center"/>
    </xf>
    <xf borderId="71" fillId="3" fontId="43" numFmtId="0" xfId="0" applyAlignment="1" applyBorder="1" applyFont="1">
      <alignment horizontal="center" readingOrder="0" vertical="center"/>
    </xf>
    <xf borderId="72" fillId="3" fontId="43" numFmtId="164" xfId="0" applyAlignment="1" applyBorder="1" applyFont="1" applyNumberFormat="1">
      <alignment horizontal="center" vertical="center"/>
    </xf>
    <xf borderId="73" fillId="3" fontId="43" numFmtId="0" xfId="0" applyAlignment="1" applyBorder="1" applyFont="1">
      <alignment horizontal="center" vertical="center"/>
    </xf>
    <xf borderId="74" fillId="0" fontId="4" numFmtId="0" xfId="0" applyBorder="1" applyFont="1"/>
    <xf borderId="75" fillId="0" fontId="4" numFmtId="0" xfId="0" applyBorder="1" applyFont="1"/>
    <xf borderId="26" fillId="3" fontId="47" numFmtId="0" xfId="0" applyAlignment="1" applyBorder="1" applyFont="1">
      <alignment horizontal="center" readingOrder="0" vertical="center"/>
    </xf>
    <xf borderId="0" fillId="3" fontId="51" numFmtId="0" xfId="0" applyAlignment="1" applyFont="1">
      <alignment horizontal="center" readingOrder="0" vertical="center"/>
    </xf>
    <xf borderId="76" fillId="3" fontId="51" numFmtId="164" xfId="0" applyAlignment="1" applyBorder="1" applyFont="1" applyNumberFormat="1">
      <alignment horizontal="center" readingOrder="0" vertical="center"/>
    </xf>
    <xf borderId="5" fillId="3" fontId="49" numFmtId="2" xfId="0" applyAlignment="1" applyBorder="1" applyFont="1" applyNumberFormat="1">
      <alignment horizontal="center" vertical="center"/>
    </xf>
    <xf borderId="35" fillId="0" fontId="4" numFmtId="0" xfId="0" applyBorder="1" applyFont="1"/>
    <xf borderId="64" fillId="0" fontId="4" numFmtId="0" xfId="0" applyBorder="1" applyFont="1"/>
    <xf borderId="5" fillId="3" fontId="49" numFmtId="0" xfId="0" applyAlignment="1" applyBorder="1" applyFont="1">
      <alignment horizontal="center" vertical="center"/>
    </xf>
    <xf borderId="46" fillId="3" fontId="52" numFmtId="0" xfId="0" applyAlignment="1" applyBorder="1" applyFont="1">
      <alignment horizontal="center" vertical="center"/>
    </xf>
    <xf borderId="5" fillId="3" fontId="53" numFmtId="164" xfId="0" applyAlignment="1" applyBorder="1" applyFont="1" applyNumberFormat="1">
      <alignment horizontal="center" vertical="center"/>
    </xf>
    <xf borderId="77" fillId="0" fontId="4" numFmtId="0" xfId="0" applyBorder="1" applyFont="1"/>
    <xf borderId="78" fillId="0" fontId="4" numFmtId="0" xfId="0" applyBorder="1" applyFont="1"/>
    <xf borderId="79" fillId="0" fontId="4" numFmtId="0" xfId="0" applyBorder="1" applyFont="1"/>
    <xf borderId="80" fillId="0" fontId="4" numFmtId="0" xfId="0" applyBorder="1" applyFont="1"/>
    <xf borderId="81" fillId="3" fontId="54" numFmtId="0" xfId="0" applyAlignment="1" applyBorder="1" applyFont="1">
      <alignment horizontal="center" readingOrder="0" vertical="center"/>
    </xf>
    <xf borderId="26" fillId="6" fontId="54" numFmtId="0" xfId="0" applyAlignment="1" applyBorder="1" applyFont="1">
      <alignment horizontal="center" readingOrder="0" vertical="center"/>
    </xf>
    <xf borderId="44" fillId="4" fontId="55" numFmtId="0" xfId="0" applyAlignment="1" applyBorder="1" applyFont="1">
      <alignment horizontal="center" readingOrder="0" shrinkToFit="0" vertical="center" wrapText="0"/>
    </xf>
    <xf borderId="26" fillId="6" fontId="55" numFmtId="0" xfId="0" applyAlignment="1" applyBorder="1" applyFont="1">
      <alignment horizontal="center" readingOrder="0" shrinkToFit="0" vertical="center" wrapText="0"/>
    </xf>
    <xf borderId="18" fillId="5" fontId="46" numFmtId="0" xfId="0" applyAlignment="1" applyBorder="1" applyFont="1">
      <alignment horizontal="center" readingOrder="0" vertical="center"/>
    </xf>
    <xf borderId="6" fillId="5" fontId="46" numFmtId="0" xfId="0" applyAlignment="1" applyBorder="1" applyFont="1">
      <alignment horizontal="center" readingOrder="0" vertical="center"/>
    </xf>
    <xf borderId="6" fillId="5" fontId="46" numFmtId="164" xfId="0" applyAlignment="1" applyBorder="1" applyFont="1" applyNumberFormat="1">
      <alignment horizontal="center" readingOrder="0" vertical="center"/>
    </xf>
    <xf borderId="6" fillId="5" fontId="46" numFmtId="166" xfId="0" applyAlignment="1" applyBorder="1" applyFont="1" applyNumberFormat="1">
      <alignment horizontal="center" readingOrder="0" vertical="center"/>
    </xf>
    <xf borderId="3" fillId="5" fontId="46" numFmtId="0" xfId="0" applyAlignment="1" applyBorder="1" applyFont="1">
      <alignment horizontal="center" readingOrder="0" vertical="center"/>
    </xf>
    <xf borderId="26" fillId="6" fontId="46" numFmtId="0" xfId="0" applyAlignment="1" applyBorder="1" applyFont="1">
      <alignment horizontal="center" readingOrder="0" vertical="center"/>
    </xf>
    <xf borderId="0" fillId="7" fontId="56" numFmtId="0" xfId="0" applyAlignment="1" applyFont="1">
      <alignment horizontal="center" vertical="center"/>
    </xf>
    <xf borderId="0" fillId="2" fontId="57" numFmtId="0" xfId="0" applyAlignment="1" applyFont="1">
      <alignment horizontal="center" vertical="center"/>
    </xf>
    <xf borderId="0" fillId="8" fontId="57" numFmtId="0" xfId="0" applyAlignment="1" applyFont="1">
      <alignment horizontal="center" vertical="center"/>
    </xf>
    <xf borderId="0" fillId="2" fontId="57" numFmtId="166" xfId="0" applyAlignment="1" applyFont="1" applyNumberFormat="1">
      <alignment horizontal="center" vertical="center"/>
    </xf>
    <xf borderId="0" fillId="2" fontId="57" numFmtId="164" xfId="0" applyAlignment="1" applyFont="1" applyNumberFormat="1">
      <alignment horizontal="center" vertical="center"/>
    </xf>
    <xf borderId="0" fillId="2" fontId="57" numFmtId="166" xfId="0" applyAlignment="1" applyFont="1" applyNumberFormat="1">
      <alignment horizontal="center" readingOrder="0" vertical="center"/>
    </xf>
    <xf borderId="0" fillId="8" fontId="57" numFmtId="166" xfId="0" applyAlignment="1" applyFont="1" applyNumberFormat="1">
      <alignment horizontal="center" vertical="center"/>
    </xf>
    <xf borderId="0" fillId="2" fontId="57" numFmtId="4" xfId="0" applyAlignment="1" applyFont="1" applyNumberFormat="1">
      <alignment horizontal="center" vertical="center"/>
    </xf>
    <xf borderId="26" fillId="6" fontId="57" numFmtId="4" xfId="0" applyAlignment="1" applyBorder="1" applyFont="1" applyNumberFormat="1">
      <alignment horizontal="center" vertical="center"/>
    </xf>
    <xf borderId="82" fillId="0" fontId="57" numFmtId="0" xfId="0" applyAlignment="1" applyBorder="1" applyFont="1">
      <alignment horizontal="center" readingOrder="0" vertical="center"/>
    </xf>
    <xf borderId="0" fillId="0" fontId="57" numFmtId="0" xfId="0" applyAlignment="1" applyFont="1">
      <alignment horizontal="center" readingOrder="0" vertical="center"/>
    </xf>
    <xf borderId="0" fillId="2" fontId="57" numFmtId="0" xfId="0" applyAlignment="1" applyFont="1">
      <alignment horizontal="center" readingOrder="0" vertical="center"/>
    </xf>
    <xf borderId="0" fillId="2" fontId="57" numFmtId="10" xfId="0" applyAlignment="1" applyFont="1" applyNumberFormat="1">
      <alignment horizontal="center" vertical="center"/>
    </xf>
    <xf borderId="0" fillId="0" fontId="57" numFmtId="0" xfId="0" applyAlignment="1" applyFont="1">
      <alignment horizontal="center" vertical="center"/>
    </xf>
    <xf borderId="0" fillId="0" fontId="57" numFmtId="164" xfId="0" applyAlignment="1" applyFont="1" applyNumberFormat="1">
      <alignment horizontal="center" vertical="center"/>
    </xf>
    <xf borderId="0" fillId="0" fontId="57" numFmtId="4" xfId="0" applyAlignment="1" applyFont="1" applyNumberFormat="1">
      <alignment horizontal="center" vertical="center"/>
    </xf>
    <xf borderId="0" fillId="9" fontId="58" numFmtId="0" xfId="0" applyAlignment="1" applyFill="1" applyFont="1">
      <alignment horizontal="center" readingOrder="0" vertical="center"/>
    </xf>
    <xf borderId="18" fillId="9" fontId="59" numFmtId="0" xfId="0" applyAlignment="1" applyBorder="1" applyFont="1">
      <alignment horizontal="center" readingOrder="0" vertical="center"/>
    </xf>
    <xf borderId="18" fillId="9" fontId="58" numFmtId="0" xfId="0" applyAlignment="1" applyBorder="1" applyFont="1">
      <alignment horizontal="center" readingOrder="0" vertical="center"/>
    </xf>
    <xf borderId="6" fillId="9" fontId="60" numFmtId="165" xfId="0" applyAlignment="1" applyBorder="1" applyFont="1" applyNumberFormat="1">
      <alignment horizontal="right" readingOrder="0" vertical="center"/>
    </xf>
    <xf borderId="6" fillId="9" fontId="60" numFmtId="0" xfId="0" applyAlignment="1" applyBorder="1" applyFont="1">
      <alignment horizontal="left" readingOrder="0" vertical="center"/>
    </xf>
    <xf borderId="18" fillId="9" fontId="60" numFmtId="0" xfId="0" applyAlignment="1" applyBorder="1" applyFont="1">
      <alignment horizontal="center" readingOrder="0" vertical="center"/>
    </xf>
    <xf borderId="18" fillId="9" fontId="61" numFmtId="0" xfId="0" applyAlignment="1" applyBorder="1" applyFont="1">
      <alignment horizontal="center" readingOrder="0" vertical="center"/>
    </xf>
    <xf borderId="6" fillId="9" fontId="61" numFmtId="0" xfId="0" applyAlignment="1" applyBorder="1" applyFont="1">
      <alignment horizontal="center" readingOrder="0" vertical="center"/>
    </xf>
    <xf borderId="6" fillId="9" fontId="61" numFmtId="166" xfId="0" applyAlignment="1" applyBorder="1" applyFont="1" applyNumberFormat="1">
      <alignment horizontal="center" readingOrder="0" vertical="center"/>
    </xf>
    <xf borderId="83" fillId="9" fontId="61" numFmtId="0" xfId="0" applyAlignment="1" applyBorder="1" applyFont="1">
      <alignment horizontal="center" readingOrder="0" vertical="center"/>
    </xf>
    <xf borderId="18" fillId="9" fontId="61" numFmtId="2" xfId="0" applyAlignment="1" applyBorder="1" applyFont="1" applyNumberFormat="1">
      <alignment horizontal="center" readingOrder="0" vertical="center"/>
    </xf>
    <xf borderId="6" fillId="9" fontId="61" numFmtId="2" xfId="0" applyAlignment="1" applyBorder="1" applyFont="1" applyNumberFormat="1">
      <alignment horizontal="center" readingOrder="0" vertical="center"/>
    </xf>
    <xf borderId="24" fillId="9" fontId="61" numFmtId="2" xfId="0" applyAlignment="1" applyBorder="1" applyFont="1" applyNumberFormat="1">
      <alignment horizontal="center" readingOrder="0" vertical="center"/>
    </xf>
    <xf borderId="24" fillId="9" fontId="62" numFmtId="0" xfId="0" applyAlignment="1" applyBorder="1" applyFont="1">
      <alignment horizontal="center" readingOrder="0" vertical="center"/>
    </xf>
    <xf borderId="83" fillId="9" fontId="62" numFmtId="3" xfId="0" applyAlignment="1" applyBorder="1" applyFont="1" applyNumberFormat="1">
      <alignment horizontal="center" readingOrder="0" vertical="center"/>
    </xf>
    <xf borderId="83" fillId="9" fontId="62" numFmtId="168" xfId="0" applyAlignment="1" applyBorder="1" applyFont="1" applyNumberFormat="1">
      <alignment horizontal="center" readingOrder="0" vertical="center"/>
    </xf>
    <xf borderId="18" fillId="9" fontId="62" numFmtId="0" xfId="0" applyAlignment="1" applyBorder="1" applyFont="1">
      <alignment horizontal="center" readingOrder="0" vertical="center"/>
    </xf>
    <xf borderId="24" fillId="9" fontId="62" numFmtId="168" xfId="0" applyAlignment="1" applyBorder="1" applyFont="1" applyNumberFormat="1">
      <alignment horizontal="center" readingOrder="0" vertical="center"/>
    </xf>
    <xf borderId="83" fillId="9" fontId="62" numFmtId="0" xfId="0" applyAlignment="1" applyBorder="1" applyFont="1">
      <alignment horizontal="center" readingOrder="0" vertical="center"/>
    </xf>
    <xf borderId="83" fillId="9" fontId="62" numFmtId="166" xfId="0" applyAlignment="1" applyBorder="1" applyFont="1" applyNumberFormat="1">
      <alignment horizontal="center" readingOrder="0" vertical="center"/>
    </xf>
    <xf borderId="18" fillId="9" fontId="62" numFmtId="168" xfId="0" applyAlignment="1" applyBorder="1" applyFont="1" applyNumberFormat="1">
      <alignment horizontal="center" readingOrder="0" vertical="center"/>
    </xf>
    <xf borderId="83" fillId="9" fontId="62" numFmtId="166" xfId="0" applyAlignment="1" applyBorder="1" applyFont="1" applyNumberFormat="1">
      <alignment horizontal="center" readingOrder="0" vertical="center"/>
    </xf>
    <xf borderId="82" fillId="9" fontId="63" numFmtId="0" xfId="0" applyAlignment="1" applyBorder="1" applyFont="1">
      <alignment horizontal="center" vertical="center"/>
    </xf>
    <xf borderId="0" fillId="9" fontId="63" numFmtId="0" xfId="0" applyAlignment="1" applyFont="1">
      <alignment horizontal="center" vertical="center"/>
    </xf>
    <xf borderId="0" fillId="9" fontId="63" numFmtId="166" xfId="0" applyAlignment="1" applyFont="1" applyNumberFormat="1">
      <alignment horizontal="center" vertical="center"/>
    </xf>
    <xf borderId="0" fillId="9" fontId="52" numFmtId="0" xfId="0" applyAlignment="1" applyFont="1">
      <alignment horizontal="center" vertical="center"/>
    </xf>
    <xf borderId="84" fillId="9" fontId="52" numFmtId="0" xfId="0" applyAlignment="1" applyBorder="1" applyFont="1">
      <alignment horizontal="center" readingOrder="0" vertical="center"/>
    </xf>
    <xf borderId="0" fillId="9" fontId="52" numFmtId="166" xfId="0" applyAlignment="1" applyFont="1" applyNumberFormat="1">
      <alignment horizontal="center" vertical="center"/>
    </xf>
    <xf borderId="84" fillId="9" fontId="52" numFmtId="166" xfId="0" applyAlignment="1" applyBorder="1" applyFont="1" applyNumberFormat="1">
      <alignment horizontal="center" vertical="center"/>
    </xf>
    <xf borderId="26" fillId="9" fontId="52" numFmtId="2" xfId="0" applyAlignment="1" applyBorder="1" applyFont="1" applyNumberFormat="1">
      <alignment horizontal="center" readingOrder="0" vertical="center"/>
    </xf>
    <xf borderId="0" fillId="9" fontId="52" numFmtId="2" xfId="0" applyAlignment="1" applyFont="1" applyNumberFormat="1">
      <alignment horizontal="center" readingOrder="0" vertical="center"/>
    </xf>
    <xf borderId="27" fillId="9" fontId="52" numFmtId="2" xfId="0" applyAlignment="1" applyBorder="1" applyFont="1" applyNumberFormat="1">
      <alignment horizontal="center" readingOrder="0" vertical="center"/>
    </xf>
    <xf borderId="84" fillId="9" fontId="52" numFmtId="3" xfId="0" applyAlignment="1" applyBorder="1" applyFont="1" applyNumberFormat="1">
      <alignment horizontal="center" vertical="center"/>
    </xf>
    <xf borderId="84" fillId="9" fontId="52" numFmtId="0" xfId="0" applyAlignment="1" applyBorder="1" applyFont="1">
      <alignment horizontal="center" vertical="center"/>
    </xf>
    <xf borderId="26" fillId="9" fontId="52" numFmtId="166" xfId="0" applyAlignment="1" applyBorder="1" applyFont="1" applyNumberFormat="1">
      <alignment horizontal="center" vertical="center"/>
    </xf>
    <xf borderId="27" fillId="9" fontId="52" numFmtId="0" xfId="0" applyAlignment="1" applyBorder="1" applyFont="1">
      <alignment horizontal="center" vertical="center"/>
    </xf>
    <xf borderId="84" fillId="9" fontId="52" numFmtId="166" xfId="0" applyAlignment="1" applyBorder="1" applyFont="1" applyNumberFormat="1">
      <alignment horizontal="center" vertical="center"/>
    </xf>
    <xf borderId="26" fillId="9" fontId="52" numFmtId="3" xfId="0" applyAlignment="1" applyBorder="1" applyFont="1" applyNumberFormat="1">
      <alignment horizontal="center" vertical="center"/>
    </xf>
    <xf borderId="82" fillId="9" fontId="45" numFmtId="0" xfId="0" applyAlignment="1" applyBorder="1" applyFont="1">
      <alignment horizontal="center" vertical="center"/>
    </xf>
    <xf borderId="0" fillId="9" fontId="45" numFmtId="0" xfId="0" applyAlignment="1" applyFont="1">
      <alignment horizontal="center" vertical="center"/>
    </xf>
    <xf borderId="0" fillId="9" fontId="45" numFmtId="166" xfId="0" applyAlignment="1" applyFont="1" applyNumberFormat="1">
      <alignment horizontal="center" vertical="center"/>
    </xf>
    <xf borderId="82" fillId="9" fontId="52" numFmtId="0" xfId="0" applyAlignment="1" applyBorder="1" applyFont="1">
      <alignment horizontal="center" readingOrder="0" vertical="center"/>
    </xf>
    <xf borderId="0" fillId="9" fontId="52" numFmtId="0" xfId="0" applyAlignment="1" applyFont="1">
      <alignment horizontal="center" readingOrder="0" vertical="center"/>
    </xf>
    <xf borderId="0" fillId="9" fontId="52" numFmtId="166" xfId="0" applyAlignment="1" applyFont="1" applyNumberFormat="1">
      <alignment horizontal="center" readingOrder="0" vertical="center"/>
    </xf>
    <xf borderId="0" fillId="9" fontId="63" numFmtId="0" xfId="0" applyAlignment="1" applyFont="1">
      <alignment horizontal="center" readingOrder="0" vertical="center"/>
    </xf>
    <xf borderId="0" fillId="9" fontId="63" numFmtId="166" xfId="0" applyAlignment="1" applyFont="1" applyNumberFormat="1">
      <alignment horizontal="center" readingOrder="0" vertical="center"/>
    </xf>
    <xf borderId="26" fillId="9" fontId="52" numFmtId="0" xfId="0" applyAlignment="1" applyBorder="1" applyFont="1">
      <alignment horizontal="center" vertical="center"/>
    </xf>
    <xf borderId="26" fillId="9" fontId="52" numFmtId="0" xfId="0" applyAlignment="1" applyBorder="1" applyFont="1">
      <alignment horizontal="center" readingOrder="0" vertical="center"/>
    </xf>
    <xf borderId="26" fillId="9" fontId="63" numFmtId="0" xfId="0" applyAlignment="1" applyBorder="1" applyFont="1">
      <alignment horizontal="center" vertical="center"/>
    </xf>
    <xf borderId="26" fillId="9" fontId="63" numFmtId="0" xfId="0" applyAlignment="1" applyBorder="1" applyFont="1">
      <alignment horizontal="center" readingOrder="0" vertical="center"/>
    </xf>
    <xf borderId="27" fillId="9" fontId="52" numFmtId="2" xfId="0" applyAlignment="1" applyBorder="1" applyFont="1" applyNumberFormat="1">
      <alignment horizontal="center" vertical="center"/>
    </xf>
    <xf borderId="26" fillId="9" fontId="52" numFmtId="2" xfId="0" applyAlignment="1" applyBorder="1" applyFont="1" applyNumberFormat="1">
      <alignment horizontal="center" vertical="center"/>
    </xf>
    <xf borderId="0" fillId="9" fontId="52" numFmtId="2" xfId="0" applyAlignment="1" applyFont="1" applyNumberFormat="1">
      <alignment horizontal="center" vertical="center"/>
    </xf>
    <xf borderId="85" fillId="9" fontId="52" numFmtId="0" xfId="0" applyAlignment="1" applyBorder="1" applyFont="1">
      <alignment horizontal="center" vertical="center"/>
    </xf>
    <xf borderId="34" fillId="9" fontId="52" numFmtId="2" xfId="0" applyAlignment="1" applyBorder="1" applyFont="1" applyNumberFormat="1">
      <alignment horizontal="center" vertical="center"/>
    </xf>
    <xf borderId="3" fillId="9" fontId="52" numFmtId="2" xfId="0" applyAlignment="1" applyBorder="1" applyFont="1" applyNumberFormat="1">
      <alignment horizontal="center" vertical="center"/>
    </xf>
    <xf borderId="4" fillId="9" fontId="52" numFmtId="2" xfId="0" applyAlignment="1" applyBorder="1" applyFont="1" applyNumberFormat="1">
      <alignment horizontal="center" vertical="center"/>
    </xf>
    <xf borderId="85" fillId="9" fontId="52" numFmtId="3" xfId="0" applyAlignment="1" applyBorder="1" applyFont="1" applyNumberFormat="1">
      <alignment horizontal="center" vertical="center"/>
    </xf>
    <xf borderId="34" fillId="9" fontId="52" numFmtId="0" xfId="0" applyAlignment="1" applyBorder="1" applyFont="1">
      <alignment horizontal="center" vertical="center"/>
    </xf>
    <xf borderId="4" fillId="9" fontId="52" numFmtId="0" xfId="0" applyAlignment="1" applyBorder="1" applyFont="1">
      <alignment horizontal="center" vertical="center"/>
    </xf>
    <xf borderId="85" fillId="9" fontId="52" numFmtId="166" xfId="0" applyAlignment="1" applyBorder="1" applyFont="1" applyNumberFormat="1">
      <alignment horizontal="center" vertical="center"/>
    </xf>
    <xf borderId="34" fillId="9" fontId="52" numFmtId="3" xfId="0" applyAlignment="1" applyBorder="1" applyFont="1" applyNumberFormat="1">
      <alignment horizontal="center" vertical="center"/>
    </xf>
    <xf borderId="85" fillId="9" fontId="52" numFmtId="166" xfId="0" applyAlignment="1" applyBorder="1" applyFont="1" applyNumberFormat="1">
      <alignment horizontal="center" vertical="center"/>
    </xf>
    <xf borderId="25" fillId="2" fontId="64" numFmtId="0" xfId="0" applyAlignment="1" applyBorder="1" applyFont="1">
      <alignment horizontal="center" vertical="bottom"/>
    </xf>
    <xf borderId="25" fillId="2" fontId="61" numFmtId="3" xfId="0" applyAlignment="1" applyBorder="1" applyFont="1" applyNumberFormat="1">
      <alignment horizontal="center" readingOrder="0"/>
    </xf>
    <xf borderId="25" fillId="2" fontId="64" numFmtId="166" xfId="0" applyAlignment="1" applyBorder="1" applyFont="1" applyNumberFormat="1">
      <alignment horizontal="center" readingOrder="0" vertical="bottom"/>
    </xf>
    <xf borderId="25" fillId="2" fontId="64" numFmtId="2" xfId="0" applyAlignment="1" applyBorder="1" applyFont="1" applyNumberFormat="1">
      <alignment horizontal="center" readingOrder="0" vertical="bottom"/>
    </xf>
    <xf borderId="25" fillId="2" fontId="64" numFmtId="0" xfId="0" applyAlignment="1" applyBorder="1" applyFont="1">
      <alignment horizontal="center" readingOrder="0" vertical="bottom"/>
    </xf>
    <xf borderId="25" fillId="0" fontId="57" numFmtId="0" xfId="0" applyAlignment="1" applyBorder="1" applyFont="1">
      <alignment horizontal="center" readingOrder="0"/>
    </xf>
    <xf borderId="5" fillId="2" fontId="65" numFmtId="0" xfId="0" applyAlignment="1" applyBorder="1" applyFont="1">
      <alignment horizontal="center"/>
    </xf>
    <xf borderId="13" fillId="0" fontId="57" numFmtId="0" xfId="0" applyAlignment="1" applyBorder="1" applyFont="1">
      <alignment horizontal="center"/>
    </xf>
    <xf borderId="13" fillId="0" fontId="57" numFmtId="166" xfId="0" applyAlignment="1" applyBorder="1" applyFont="1" applyNumberFormat="1">
      <alignment horizontal="center"/>
    </xf>
    <xf borderId="13" fillId="0" fontId="57" numFmtId="2" xfId="0" applyAlignment="1" applyBorder="1" applyFont="1" applyNumberFormat="1">
      <alignment horizontal="center"/>
    </xf>
    <xf borderId="0" fillId="0" fontId="57" numFmtId="0" xfId="0" applyAlignment="1" applyFont="1">
      <alignment horizontal="center"/>
    </xf>
    <xf borderId="86" fillId="0" fontId="57" numFmtId="0" xfId="0" applyAlignment="1" applyBorder="1" applyFont="1">
      <alignment horizontal="center"/>
    </xf>
    <xf borderId="87" fillId="0" fontId="57" numFmtId="0" xfId="0" applyAlignment="1" applyBorder="1" applyFont="1">
      <alignment horizontal="center"/>
    </xf>
    <xf borderId="5" fillId="0" fontId="57" numFmtId="0" xfId="0" applyAlignment="1" applyBorder="1" applyFont="1">
      <alignment horizontal="center"/>
    </xf>
    <xf borderId="88" fillId="0" fontId="57" numFmtId="0" xfId="0" applyAlignment="1" applyBorder="1" applyFont="1">
      <alignment horizontal="center"/>
    </xf>
    <xf borderId="89" fillId="0" fontId="57" numFmtId="0" xfId="0" applyAlignment="1" applyBorder="1" applyFont="1">
      <alignment horizontal="center"/>
    </xf>
    <xf borderId="2" fillId="0" fontId="57" numFmtId="0" xfId="0" applyAlignment="1" applyBorder="1" applyFont="1">
      <alignment horizontal="center"/>
    </xf>
    <xf borderId="0" fillId="0" fontId="57" numFmtId="166" xfId="0" applyAlignment="1" applyFont="1" applyNumberFormat="1">
      <alignment horizontal="center"/>
    </xf>
    <xf borderId="0" fillId="0" fontId="57" numFmtId="2" xfId="0" applyAlignment="1" applyFont="1" applyNumberFormat="1">
      <alignment horizontal="center"/>
    </xf>
    <xf borderId="50" fillId="0" fontId="57" numFmtId="0" xfId="0" applyAlignment="1" applyBorder="1" applyFont="1">
      <alignment horizontal="center"/>
    </xf>
    <xf borderId="50" fillId="0" fontId="57" numFmtId="166" xfId="0" applyAlignment="1" applyBorder="1" applyFont="1" applyNumberFormat="1">
      <alignment horizontal="center"/>
    </xf>
    <xf borderId="50" fillId="0" fontId="57" numFmtId="2" xfId="0" applyAlignment="1" applyBorder="1" applyFont="1" applyNumberFormat="1">
      <alignment horizontal="center"/>
    </xf>
    <xf borderId="44" fillId="4" fontId="66" numFmtId="169" xfId="0" applyAlignment="1" applyBorder="1" applyFont="1" applyNumberFormat="1">
      <alignment horizontal="center" readingOrder="0"/>
    </xf>
    <xf borderId="0" fillId="3" fontId="66" numFmtId="169" xfId="0" applyAlignment="1" applyFont="1" applyNumberFormat="1">
      <alignment horizontal="center" readingOrder="0"/>
    </xf>
    <xf borderId="0" fillId="3" fontId="57" numFmtId="169" xfId="0" applyFont="1" applyNumberFormat="1"/>
    <xf borderId="0" fillId="3" fontId="57" numFmtId="170" xfId="0" applyAlignment="1" applyFont="1" applyNumberFormat="1">
      <alignment horizontal="center"/>
    </xf>
    <xf borderId="90" fillId="3" fontId="57" numFmtId="170" xfId="0" applyAlignment="1" applyBorder="1" applyFont="1" applyNumberFormat="1">
      <alignment horizontal="center"/>
    </xf>
    <xf borderId="0" fillId="3" fontId="63" numFmtId="0" xfId="0" applyAlignment="1" applyFont="1">
      <alignment horizontal="center" readingOrder="0"/>
    </xf>
    <xf borderId="91" fillId="3" fontId="57" numFmtId="9" xfId="0" applyAlignment="1" applyBorder="1" applyFont="1" applyNumberFormat="1">
      <alignment horizontal="center"/>
    </xf>
    <xf borderId="91" fillId="3" fontId="57" numFmtId="10" xfId="0" applyAlignment="1" applyBorder="1" applyFont="1" applyNumberFormat="1">
      <alignment horizontal="center"/>
    </xf>
    <xf borderId="82" fillId="3" fontId="66" numFmtId="166" xfId="0" applyAlignment="1" applyBorder="1" applyFont="1" applyNumberFormat="1">
      <alignment horizontal="center" readingOrder="0"/>
    </xf>
    <xf borderId="91" fillId="3" fontId="57" numFmtId="166" xfId="0" applyAlignment="1" applyBorder="1" applyFont="1" applyNumberFormat="1">
      <alignment horizontal="center"/>
    </xf>
    <xf borderId="82" fillId="3" fontId="66" numFmtId="9" xfId="0" applyAlignment="1" applyBorder="1" applyFont="1" applyNumberFormat="1">
      <alignment horizontal="center" readingOrder="0"/>
    </xf>
    <xf borderId="0" fillId="3" fontId="57" numFmtId="9" xfId="0" applyFont="1" applyNumberFormat="1"/>
    <xf borderId="0" fillId="3" fontId="57" numFmtId="10" xfId="0" applyFont="1" applyNumberFormat="1"/>
    <xf borderId="82" fillId="3" fontId="66" numFmtId="169" xfId="0" applyAlignment="1" applyBorder="1" applyFont="1" applyNumberFormat="1">
      <alignment horizontal="center" readingOrder="0"/>
    </xf>
    <xf borderId="0" fillId="3" fontId="57" numFmtId="169" xfId="0" applyFont="1" applyNumberFormat="1"/>
    <xf borderId="82" fillId="3" fontId="66" numFmtId="9" xfId="0" applyAlignment="1" applyBorder="1" applyFont="1" applyNumberFormat="1">
      <alignment horizontal="center" readingOrder="0" vertical="bottom"/>
    </xf>
    <xf borderId="0" fillId="3" fontId="66" numFmtId="9" xfId="0" applyAlignment="1" applyFont="1" applyNumberFormat="1">
      <alignment horizontal="center" readingOrder="0" vertical="bottom"/>
    </xf>
    <xf borderId="0" fillId="3" fontId="57" numFmtId="0" xfId="0" applyAlignment="1" applyFont="1">
      <alignment readingOrder="0"/>
    </xf>
    <xf borderId="44" fillId="4" fontId="67" numFmtId="0" xfId="0" applyAlignment="1" applyBorder="1" applyFont="1">
      <alignment horizontal="center" readingOrder="0" vertical="center"/>
    </xf>
    <xf borderId="0" fillId="3" fontId="66" numFmtId="170" xfId="0" applyAlignment="1" applyFont="1" applyNumberFormat="1">
      <alignment horizontal="center" readingOrder="0"/>
    </xf>
    <xf borderId="92" fillId="3" fontId="57" numFmtId="170" xfId="0" applyAlignment="1" applyBorder="1" applyFont="1" applyNumberFormat="1">
      <alignment horizontal="center"/>
    </xf>
    <xf borderId="93" fillId="3" fontId="57" numFmtId="170" xfId="0" applyAlignment="1" applyBorder="1" applyFont="1" applyNumberFormat="1">
      <alignment horizontal="center"/>
    </xf>
    <xf borderId="91" fillId="3" fontId="57" numFmtId="170" xfId="0" applyAlignment="1" applyBorder="1" applyFont="1" applyNumberFormat="1">
      <alignment horizontal="center"/>
    </xf>
    <xf borderId="82" fillId="3" fontId="66" numFmtId="0" xfId="0" applyAlignment="1" applyBorder="1" applyFont="1">
      <alignment horizontal="center" readingOrder="0" vertical="bottom"/>
    </xf>
    <xf borderId="88" fillId="3" fontId="57" numFmtId="9" xfId="0" applyAlignment="1" applyBorder="1" applyFont="1" applyNumberFormat="1">
      <alignment horizontal="center"/>
    </xf>
    <xf borderId="0" fillId="3" fontId="66" numFmtId="9" xfId="0" applyAlignment="1" applyFont="1" applyNumberFormat="1">
      <alignment horizontal="center" readingOrder="0"/>
    </xf>
    <xf borderId="0" fillId="3" fontId="57" numFmtId="166" xfId="0" applyAlignment="1" applyFont="1" applyNumberFormat="1">
      <alignment horizontal="center"/>
    </xf>
    <xf borderId="25" fillId="0" fontId="68" numFmtId="0" xfId="0" applyAlignment="1" applyBorder="1" applyFont="1">
      <alignment horizontal="center" readingOrder="0"/>
    </xf>
    <xf borderId="25" fillId="0" fontId="68" numFmtId="171" xfId="0" applyAlignment="1" applyBorder="1" applyFont="1" applyNumberFormat="1">
      <alignment horizontal="center" readingOrder="0"/>
    </xf>
    <xf borderId="0" fillId="0" fontId="68" numFmtId="0" xfId="0" applyAlignment="1" applyFont="1">
      <alignment horizontal="center"/>
    </xf>
    <xf borderId="0" fillId="2" fontId="69" numFmtId="0" xfId="0" applyAlignment="1" applyFont="1">
      <alignment horizontal="center" vertical="center"/>
    </xf>
    <xf borderId="0" fillId="0" fontId="70" numFmtId="171" xfId="0" applyAlignment="1" applyFont="1" applyNumberFormat="1">
      <alignment horizontal="center" readingOrder="0"/>
    </xf>
    <xf borderId="0" fillId="0" fontId="70" numFmtId="0" xfId="0" applyAlignment="1" applyFont="1">
      <alignment horizontal="center"/>
    </xf>
    <xf borderId="94" fillId="0" fontId="70" numFmtId="0" xfId="0" applyAlignment="1" applyBorder="1" applyFont="1">
      <alignment horizontal="center"/>
    </xf>
    <xf borderId="95" fillId="0" fontId="70" numFmtId="0" xfId="0" applyAlignment="1" applyBorder="1" applyFont="1">
      <alignment horizontal="center"/>
    </xf>
    <xf borderId="96" fillId="0" fontId="70" numFmtId="0" xfId="0" applyAlignment="1" applyBorder="1" applyFont="1">
      <alignment horizontal="center"/>
    </xf>
    <xf borderId="82" fillId="2" fontId="69" numFmtId="0" xfId="0" applyAlignment="1" applyBorder="1" applyFont="1">
      <alignment horizontal="center" readingOrder="0" vertical="center"/>
    </xf>
    <xf borderId="97" fillId="0" fontId="70" numFmtId="0" xfId="0" applyAlignment="1" applyBorder="1" applyFont="1">
      <alignment horizontal="center"/>
    </xf>
    <xf borderId="98" fillId="0" fontId="70" numFmtId="0" xfId="0" applyAlignment="1" applyBorder="1" applyFont="1">
      <alignment horizontal="center"/>
    </xf>
    <xf borderId="82" fillId="2" fontId="45" numFmtId="0" xfId="0" applyAlignment="1" applyBorder="1" applyFont="1">
      <alignment horizontal="center" vertical="center"/>
    </xf>
    <xf borderId="82" fillId="2" fontId="71" numFmtId="0" xfId="0" applyAlignment="1" applyBorder="1" applyFont="1">
      <alignment horizontal="center" readingOrder="0" vertical="center"/>
    </xf>
    <xf borderId="82" fillId="2" fontId="45" numFmtId="0" xfId="0" applyAlignment="1" applyBorder="1" applyFont="1">
      <alignment horizontal="center" readingOrder="0" vertical="center"/>
    </xf>
    <xf borderId="82" fillId="2" fontId="69" numFmtId="0" xfId="0" applyAlignment="1" applyBorder="1" applyFont="1">
      <alignment horizontal="center" vertical="center"/>
    </xf>
    <xf borderId="99" fillId="0" fontId="70" numFmtId="0" xfId="0" applyAlignment="1" applyBorder="1" applyFont="1">
      <alignment horizontal="center"/>
    </xf>
    <xf borderId="100" fillId="0" fontId="70" numFmtId="0" xfId="0" applyAlignment="1" applyBorder="1" applyFont="1">
      <alignment horizontal="center"/>
    </xf>
    <xf borderId="101" fillId="0" fontId="70" numFmtId="0" xfId="0" applyAlignment="1" applyBorder="1" applyFont="1">
      <alignment horizontal="center"/>
    </xf>
    <xf borderId="0" fillId="2" fontId="69" numFmtId="0" xfId="0" applyAlignment="1" applyFont="1">
      <alignment horizontal="center" readingOrder="0" vertical="center"/>
    </xf>
    <xf borderId="0" fillId="0" fontId="70" numFmtId="171" xfId="0" applyAlignment="1" applyFont="1" applyNumberFormat="1">
      <alignment horizontal="center"/>
    </xf>
    <xf borderId="45" fillId="3" fontId="10" numFmtId="166" xfId="0" applyAlignment="1" applyBorder="1" applyFont="1" applyNumberFormat="1">
      <alignment horizontal="center" readingOrder="0" vertical="center"/>
    </xf>
    <xf borderId="8" fillId="3" fontId="10" numFmtId="166" xfId="0" applyAlignment="1" applyBorder="1" applyFont="1" applyNumberFormat="1">
      <alignment horizontal="center" readingOrder="0" vertical="center"/>
    </xf>
    <xf borderId="46" fillId="3" fontId="10" numFmtId="0" xfId="0" applyAlignment="1" applyBorder="1" applyFont="1">
      <alignment horizontal="center" readingOrder="0" vertical="center"/>
    </xf>
    <xf borderId="8" fillId="3" fontId="10" numFmtId="0" xfId="0" applyAlignment="1" applyBorder="1" applyFont="1">
      <alignment horizontal="center" readingOrder="0" vertical="center"/>
    </xf>
    <xf borderId="0" fillId="3" fontId="10" numFmtId="166" xfId="0" applyAlignment="1" applyFont="1" applyNumberFormat="1">
      <alignment horizontal="center" readingOrder="0" vertical="center"/>
    </xf>
    <xf borderId="41" fillId="2" fontId="11" numFmtId="0" xfId="0" applyAlignment="1" applyBorder="1" applyFont="1">
      <alignment horizontal="center" vertical="center"/>
    </xf>
    <xf borderId="42" fillId="2" fontId="11" numFmtId="3" xfId="0" applyAlignment="1" applyBorder="1" applyFont="1" applyNumberFormat="1">
      <alignment horizontal="center" readingOrder="0" vertical="center"/>
    </xf>
    <xf borderId="42" fillId="2" fontId="11" numFmtId="166" xfId="0" applyAlignment="1" applyBorder="1" applyFont="1" applyNumberFormat="1">
      <alignment horizontal="center" readingOrder="0" vertical="center"/>
    </xf>
    <xf borderId="42" fillId="2" fontId="11" numFmtId="0" xfId="0" applyAlignment="1" applyBorder="1" applyFont="1">
      <alignment horizontal="center" vertical="center"/>
    </xf>
    <xf borderId="41" fillId="2" fontId="11" numFmtId="166" xfId="0" applyAlignment="1" applyBorder="1" applyFont="1" applyNumberFormat="1">
      <alignment horizontal="center" readingOrder="0" vertical="center"/>
    </xf>
    <xf borderId="43" fillId="2" fontId="11" numFmtId="4" xfId="0" applyAlignment="1" applyBorder="1" applyFont="1" applyNumberFormat="1">
      <alignment horizontal="center" readingOrder="0" vertical="center"/>
    </xf>
    <xf borderId="42" fillId="2" fontId="11" numFmtId="164" xfId="0" applyAlignment="1" applyBorder="1" applyFont="1" applyNumberFormat="1">
      <alignment horizontal="center" readingOrder="0" vertical="center"/>
    </xf>
    <xf borderId="102" fillId="2" fontId="11" numFmtId="168" xfId="0" applyAlignment="1" applyBorder="1" applyFont="1" applyNumberFormat="1">
      <alignment horizontal="center" readingOrder="0" vertical="center"/>
    </xf>
    <xf borderId="42" fillId="2" fontId="11" numFmtId="168" xfId="0" applyAlignment="1" applyBorder="1" applyFont="1" applyNumberFormat="1">
      <alignment horizontal="center" readingOrder="0" vertical="center"/>
    </xf>
    <xf borderId="43" fillId="2" fontId="11" numFmtId="168" xfId="0" applyAlignment="1" applyBorder="1" applyFont="1" applyNumberFormat="1">
      <alignment horizontal="center" readingOrder="0" vertical="center"/>
    </xf>
    <xf borderId="82" fillId="2" fontId="10" numFmtId="0" xfId="0" applyAlignment="1" applyBorder="1" applyFont="1">
      <alignment horizontal="center" vertical="center"/>
    </xf>
    <xf borderId="0" fillId="2" fontId="10" numFmtId="0" xfId="0" applyAlignment="1" applyFont="1">
      <alignment horizontal="center" vertical="center"/>
    </xf>
    <xf borderId="0" fillId="2" fontId="10" numFmtId="166" xfId="0" applyAlignment="1" applyFont="1" applyNumberFormat="1">
      <alignment horizontal="center" vertical="center"/>
    </xf>
    <xf borderId="5" fillId="2" fontId="10" numFmtId="166" xfId="0" applyAlignment="1" applyBorder="1" applyFont="1" applyNumberFormat="1">
      <alignment horizontal="center" vertical="center"/>
    </xf>
    <xf borderId="0" fillId="2" fontId="10" numFmtId="164" xfId="0" applyAlignment="1" applyFont="1" applyNumberFormat="1">
      <alignment horizontal="center" vertical="center"/>
    </xf>
    <xf borderId="0" fillId="2" fontId="10" numFmtId="3" xfId="0" applyAlignment="1" applyFont="1" applyNumberFormat="1">
      <alignment horizontal="center" readingOrder="0" vertical="center"/>
    </xf>
    <xf borderId="0" fillId="2" fontId="10" numFmtId="171" xfId="0" applyAlignment="1" applyFont="1" applyNumberFormat="1">
      <alignment horizontal="center" readingOrder="0" vertical="center"/>
    </xf>
    <xf borderId="0" fillId="8" fontId="72" numFmtId="0" xfId="0" applyAlignment="1" applyFont="1">
      <alignment horizontal="center" vertical="center"/>
    </xf>
    <xf borderId="82" fillId="2" fontId="72" numFmtId="0" xfId="0" applyAlignment="1" applyBorder="1" applyFont="1">
      <alignment horizontal="center" readingOrder="0" vertical="center"/>
    </xf>
    <xf borderId="0" fillId="2" fontId="72" numFmtId="0" xfId="0" applyAlignment="1" applyFont="1">
      <alignment horizontal="center" readingOrder="0" vertical="center"/>
    </xf>
    <xf borderId="0" fillId="2" fontId="72" numFmtId="166" xfId="0" applyAlignment="1" applyFont="1" applyNumberFormat="1">
      <alignment horizontal="center" readingOrder="0" vertical="center"/>
    </xf>
    <xf borderId="82" fillId="2" fontId="10" numFmtId="0" xfId="0" applyAlignment="1" applyBorder="1" applyFont="1">
      <alignment horizontal="center" readingOrder="0" vertical="center"/>
    </xf>
    <xf borderId="0" fillId="2" fontId="10" numFmtId="0" xfId="0" applyAlignment="1" applyFont="1">
      <alignment horizontal="center" readingOrder="0" vertical="center"/>
    </xf>
    <xf borderId="0" fillId="2" fontId="10" numFmtId="166" xfId="0" applyAlignment="1" applyFont="1" applyNumberFormat="1">
      <alignment horizontal="center" readingOrder="0" vertical="center"/>
    </xf>
    <xf borderId="0" fillId="2" fontId="10" numFmtId="166" xfId="0" applyAlignment="1" applyFont="1" applyNumberFormat="1">
      <alignment vertical="center"/>
    </xf>
    <xf borderId="0" fillId="2" fontId="10" numFmtId="3" xfId="0" applyAlignment="1" applyFont="1" applyNumberFormat="1">
      <alignment horizontal="center" vertical="center"/>
    </xf>
    <xf borderId="0" fillId="2" fontId="10" numFmtId="0" xfId="0" applyAlignment="1" applyFont="1">
      <alignment vertical="center"/>
    </xf>
    <xf borderId="0" fillId="2" fontId="10" numFmtId="164" xfId="0" applyAlignment="1" applyFont="1" applyNumberFormat="1">
      <alignment vertical="center"/>
    </xf>
    <xf borderId="2" fillId="2" fontId="10" numFmtId="4" xfId="0" applyAlignment="1" applyBorder="1" applyFont="1" applyNumberFormat="1">
      <alignment vertical="center"/>
    </xf>
    <xf borderId="5" fillId="2" fontId="10" numFmtId="166" xfId="0" applyAlignment="1" applyBorder="1" applyFont="1" applyNumberFormat="1">
      <alignment vertical="center"/>
    </xf>
    <xf borderId="0" fillId="2" fontId="72" numFmtId="0" xfId="0" applyAlignment="1" applyFont="1">
      <alignment horizontal="center" vertical="center"/>
    </xf>
    <xf borderId="0" fillId="2" fontId="72" numFmtId="166" xfId="0" applyAlignment="1" applyFont="1" applyNumberFormat="1">
      <alignment horizontal="center" vertical="center"/>
    </xf>
    <xf borderId="0" fillId="2" fontId="72" numFmtId="0" xfId="0" applyAlignment="1" applyFont="1">
      <alignment vertical="center"/>
    </xf>
    <xf borderId="5" fillId="2" fontId="72" numFmtId="166" xfId="0" applyAlignment="1" applyBorder="1" applyFont="1" applyNumberFormat="1">
      <alignment vertical="center"/>
    </xf>
    <xf borderId="0" fillId="2" fontId="72" numFmtId="166" xfId="0" applyAlignment="1" applyFont="1" applyNumberFormat="1">
      <alignment vertical="center"/>
    </xf>
    <xf borderId="2" fillId="2" fontId="72" numFmtId="4" xfId="0" applyAlignment="1" applyBorder="1" applyFont="1" applyNumberFormat="1">
      <alignment vertical="center"/>
    </xf>
    <xf borderId="0" fillId="2" fontId="72" numFmtId="164" xfId="0" applyAlignment="1" applyFont="1" applyNumberFormat="1">
      <alignment vertical="center"/>
    </xf>
    <xf borderId="0" fillId="2" fontId="72" numFmtId="3" xfId="0" applyAlignment="1" applyFont="1" applyNumberFormat="1">
      <alignment horizontal="center" vertical="center"/>
    </xf>
    <xf borderId="48" fillId="2" fontId="72" numFmtId="166" xfId="0" applyAlignment="1" applyBorder="1" applyFont="1" applyNumberFormat="1">
      <alignment vertical="center"/>
    </xf>
    <xf borderId="1" fillId="2" fontId="72" numFmtId="166" xfId="0" applyAlignment="1" applyBorder="1" applyFont="1" applyNumberFormat="1">
      <alignment vertical="center"/>
    </xf>
    <xf borderId="49" fillId="2" fontId="72" numFmtId="4" xfId="0" applyAlignment="1" applyBorder="1" applyFont="1" applyNumberFormat="1">
      <alignment vertical="center"/>
    </xf>
    <xf borderId="0" fillId="2" fontId="73" numFmtId="172" xfId="0" applyAlignment="1" applyFont="1" applyNumberFormat="1">
      <alignment horizontal="center" vertical="bottom"/>
    </xf>
    <xf borderId="103" fillId="2" fontId="73" numFmtId="0" xfId="0" applyAlignment="1" applyBorder="1" applyFont="1">
      <alignment horizontal="center" readingOrder="0" vertical="bottom"/>
    </xf>
    <xf borderId="46" fillId="2" fontId="74" numFmtId="172" xfId="0" applyAlignment="1" applyBorder="1" applyFont="1" applyNumberFormat="1">
      <alignment horizontal="center" vertical="bottom"/>
    </xf>
    <xf borderId="46" fillId="2" fontId="74" numFmtId="0" xfId="0" applyAlignment="1" applyBorder="1" applyFont="1">
      <alignment horizontal="center" vertical="bottom"/>
    </xf>
    <xf borderId="46" fillId="2" fontId="74" numFmtId="166" xfId="0" applyAlignment="1" applyBorder="1" applyFont="1" applyNumberFormat="1">
      <alignment horizontal="center" vertical="bottom"/>
    </xf>
    <xf borderId="42" fillId="2" fontId="74" numFmtId="166" xfId="0" applyAlignment="1" applyBorder="1" applyFont="1" applyNumberFormat="1">
      <alignment horizontal="center" vertical="bottom"/>
    </xf>
    <xf borderId="104" fillId="2" fontId="74" numFmtId="166" xfId="0" applyAlignment="1" applyBorder="1" applyFont="1" applyNumberFormat="1">
      <alignment horizontal="center" vertical="bottom"/>
    </xf>
    <xf borderId="0" fillId="2" fontId="27" numFmtId="173" xfId="0" applyAlignment="1" applyFont="1" applyNumberFormat="1">
      <alignment horizontal="center" vertical="bottom"/>
    </xf>
    <xf borderId="0" fillId="2" fontId="27" numFmtId="0" xfId="0" applyAlignment="1" applyFont="1">
      <alignment horizontal="center" vertical="bottom"/>
    </xf>
    <xf borderId="0" fillId="2" fontId="27" numFmtId="3" xfId="0" applyAlignment="1" applyFont="1" applyNumberFormat="1">
      <alignment horizontal="center" vertical="bottom"/>
    </xf>
    <xf borderId="0" fillId="2" fontId="27" numFmtId="166" xfId="0" applyAlignment="1" applyFont="1" applyNumberFormat="1">
      <alignment horizontal="center" vertical="bottom"/>
    </xf>
    <xf borderId="0" fillId="2" fontId="75" numFmtId="166" xfId="0" applyAlignment="1" applyFont="1" applyNumberFormat="1">
      <alignment horizontal="center" vertical="bottom"/>
    </xf>
    <xf borderId="103" fillId="2" fontId="75" numFmtId="166" xfId="0" applyAlignment="1" applyBorder="1" applyFont="1" applyNumberFormat="1">
      <alignment horizontal="center" vertical="bottom"/>
    </xf>
    <xf borderId="0" fillId="2" fontId="27" numFmtId="174" xfId="0" applyAlignment="1" applyFont="1" applyNumberFormat="1">
      <alignment horizontal="center" vertical="bottom"/>
    </xf>
    <xf borderId="0" fillId="2" fontId="27" numFmtId="0" xfId="0" applyAlignment="1" applyFont="1">
      <alignment horizontal="center" vertical="bottom"/>
    </xf>
    <xf borderId="0" fillId="2" fontId="27" numFmtId="173" xfId="0" applyAlignment="1" applyFont="1" applyNumberFormat="1">
      <alignment horizontal="center" readingOrder="0" vertical="bottom"/>
    </xf>
    <xf borderId="0" fillId="2" fontId="27" numFmtId="0" xfId="0" applyAlignment="1" applyFont="1">
      <alignment horizontal="center" readingOrder="0" vertical="bottom"/>
    </xf>
    <xf borderId="0" fillId="2" fontId="27" numFmtId="166" xfId="0" applyAlignment="1" applyFont="1" applyNumberFormat="1">
      <alignment horizontal="center" readingOrder="0" vertical="bottom"/>
    </xf>
    <xf borderId="0" fillId="2" fontId="76" numFmtId="0" xfId="0" applyAlignment="1" applyFont="1">
      <alignment horizontal="center" vertical="bottom"/>
    </xf>
    <xf borderId="0" fillId="2" fontId="75" numFmtId="172" xfId="0" applyAlignment="1" applyFont="1" applyNumberFormat="1">
      <alignment horizontal="center"/>
    </xf>
    <xf borderId="0" fillId="2" fontId="75" numFmtId="0" xfId="0" applyAlignment="1" applyFont="1">
      <alignment horizontal="center"/>
    </xf>
    <xf borderId="0" fillId="2" fontId="75" numFmtId="166" xfId="0" applyAlignment="1" applyFont="1" applyNumberFormat="1">
      <alignment horizontal="center"/>
    </xf>
    <xf borderId="0" fillId="2" fontId="75" numFmtId="166" xfId="0" applyAlignment="1" applyFont="1" applyNumberFormat="1">
      <alignment horizontal="center"/>
    </xf>
    <xf borderId="103" fillId="2" fontId="75" numFmtId="166" xfId="0" applyAlignment="1" applyBorder="1" applyFont="1" applyNumberFormat="1">
      <alignment horizontal="center"/>
    </xf>
    <xf borderId="18" fillId="3" fontId="77" numFmtId="0" xfId="0" applyAlignment="1" applyBorder="1" applyFont="1">
      <alignment horizontal="center" readingOrder="0"/>
    </xf>
    <xf borderId="18" fillId="0" fontId="78" numFmtId="0" xfId="0" applyAlignment="1" applyBorder="1" applyFont="1">
      <alignment horizontal="center" readingOrder="0"/>
    </xf>
    <xf borderId="6" fillId="0" fontId="78" numFmtId="0" xfId="0" applyAlignment="1" applyBorder="1" applyFont="1">
      <alignment horizontal="center" readingOrder="0"/>
    </xf>
    <xf borderId="6" fillId="0" fontId="78" numFmtId="166" xfId="0" applyAlignment="1" applyBorder="1" applyFont="1" applyNumberFormat="1">
      <alignment horizontal="center" readingOrder="0"/>
    </xf>
    <xf borderId="24" fillId="0" fontId="78" numFmtId="175" xfId="0" applyAlignment="1" applyBorder="1" applyFont="1" applyNumberFormat="1">
      <alignment horizontal="center" readingOrder="0"/>
    </xf>
    <xf borderId="6" fillId="0" fontId="79" numFmtId="175" xfId="0" applyAlignment="1" applyBorder="1" applyFont="1" applyNumberFormat="1">
      <alignment horizontal="center" readingOrder="0"/>
    </xf>
    <xf borderId="6" fillId="0" fontId="79" numFmtId="10" xfId="0" applyAlignment="1" applyBorder="1" applyFont="1" applyNumberFormat="1">
      <alignment horizontal="center" readingOrder="0"/>
    </xf>
    <xf borderId="24" fillId="0" fontId="79" numFmtId="166" xfId="0" applyAlignment="1" applyBorder="1" applyFont="1" applyNumberFormat="1">
      <alignment horizontal="center" readingOrder="0"/>
    </xf>
    <xf borderId="6" fillId="0" fontId="79" numFmtId="0" xfId="0" applyAlignment="1" applyBorder="1" applyFont="1">
      <alignment horizontal="center" readingOrder="0"/>
    </xf>
    <xf borderId="24" fillId="0" fontId="79" numFmtId="0" xfId="0" applyAlignment="1" applyBorder="1" applyFont="1">
      <alignment horizontal="center" readingOrder="0"/>
    </xf>
    <xf borderId="27" fillId="0" fontId="57" numFmtId="175" xfId="0" applyAlignment="1" applyBorder="1" applyFont="1" applyNumberFormat="1">
      <alignment horizontal="center"/>
    </xf>
    <xf borderId="0" fillId="0" fontId="57" numFmtId="175" xfId="0" applyAlignment="1" applyFont="1" applyNumberFormat="1">
      <alignment horizontal="center" readingOrder="0"/>
    </xf>
    <xf borderId="0" fillId="0" fontId="57" numFmtId="10" xfId="0" applyAlignment="1" applyFont="1" applyNumberFormat="1">
      <alignment horizontal="center"/>
    </xf>
    <xf borderId="27" fillId="0" fontId="57" numFmtId="166" xfId="0" applyAlignment="1" applyBorder="1" applyFont="1" applyNumberFormat="1">
      <alignment horizontal="center" readingOrder="0"/>
    </xf>
    <xf borderId="0" fillId="0" fontId="57" numFmtId="0" xfId="0" applyFont="1"/>
    <xf borderId="0" fillId="0" fontId="57" numFmtId="175" xfId="0" applyAlignment="1" applyFont="1" applyNumberFormat="1">
      <alignment horizontal="center"/>
    </xf>
    <xf borderId="27" fillId="0" fontId="57" numFmtId="166" xfId="0" applyAlignment="1" applyBorder="1" applyFont="1" applyNumberFormat="1">
      <alignment horizontal="center"/>
    </xf>
    <xf borderId="18" fillId="0" fontId="60" numFmtId="0" xfId="0" applyAlignment="1" applyBorder="1" applyFont="1">
      <alignment horizontal="right" readingOrder="0"/>
    </xf>
    <xf borderId="6" fillId="0" fontId="60" numFmtId="0" xfId="0" applyAlignment="1" applyBorder="1" applyFont="1">
      <alignment horizontal="left" readingOrder="0"/>
    </xf>
    <xf borderId="6" fillId="3" fontId="80" numFmtId="0" xfId="0" applyAlignment="1" applyBorder="1" applyFont="1">
      <alignment horizontal="center"/>
    </xf>
    <xf borderId="24" fillId="3" fontId="80" numFmtId="0" xfId="0" applyAlignment="1" applyBorder="1" applyFont="1">
      <alignment horizontal="center"/>
    </xf>
    <xf borderId="18" fillId="0" fontId="79" numFmtId="0" xfId="0" applyAlignment="1" applyBorder="1" applyFont="1">
      <alignment horizontal="center" readingOrder="0"/>
    </xf>
    <xf borderId="0" fillId="0" fontId="81" numFmtId="0" xfId="0" applyAlignment="1" applyFont="1">
      <alignment horizontal="center"/>
    </xf>
    <xf borderId="0" fillId="0" fontId="81" numFmtId="166" xfId="0" applyAlignment="1" applyFont="1" applyNumberFormat="1">
      <alignment horizontal="center"/>
    </xf>
    <xf borderId="105" fillId="10" fontId="82" numFmtId="0" xfId="0" applyAlignment="1" applyBorder="1" applyFill="1" applyFont="1">
      <alignment horizontal="center" readingOrder="0"/>
    </xf>
    <xf borderId="106" fillId="0" fontId="4" numFmtId="0" xfId="0" applyBorder="1" applyFont="1"/>
    <xf borderId="0" fillId="10" fontId="83" numFmtId="166" xfId="0" applyAlignment="1" applyFont="1" applyNumberFormat="1">
      <alignment horizontal="center" readingOrder="0" vertical="bottom"/>
    </xf>
    <xf borderId="107" fillId="10" fontId="84" numFmtId="166" xfId="0" applyAlignment="1" applyBorder="1" applyFont="1" applyNumberFormat="1">
      <alignment horizontal="center" readingOrder="0" vertical="bottom"/>
    </xf>
    <xf borderId="108" fillId="0" fontId="4" numFmtId="0" xfId="0" applyBorder="1" applyFont="1"/>
    <xf borderId="109" fillId="0" fontId="4" numFmtId="0" xfId="0" applyBorder="1" applyFont="1"/>
    <xf borderId="102" fillId="10" fontId="85" numFmtId="0" xfId="0" applyAlignment="1" applyBorder="1" applyFont="1">
      <alignment horizontal="center" readingOrder="0" vertical="bottom"/>
    </xf>
    <xf borderId="110" fillId="10" fontId="86" numFmtId="0" xfId="0" applyAlignment="1" applyBorder="1" applyFont="1">
      <alignment horizontal="center" readingOrder="0"/>
    </xf>
    <xf borderId="5" fillId="10" fontId="83" numFmtId="0" xfId="0" applyAlignment="1" applyBorder="1" applyFont="1">
      <alignment horizontal="center" vertical="bottom"/>
    </xf>
    <xf borderId="0" fillId="10" fontId="87" numFmtId="176" xfId="0" applyAlignment="1" applyFont="1" applyNumberFormat="1">
      <alignment horizontal="center" vertical="bottom"/>
    </xf>
    <xf borderId="2" fillId="10" fontId="83" numFmtId="166" xfId="0" applyAlignment="1" applyBorder="1" applyFont="1" applyNumberFormat="1">
      <alignment horizontal="center" readingOrder="0" vertical="bottom"/>
    </xf>
    <xf borderId="26" fillId="10" fontId="85" numFmtId="0" xfId="0" applyAlignment="1" applyBorder="1" applyFont="1">
      <alignment horizontal="center" readingOrder="0" vertical="bottom"/>
    </xf>
    <xf borderId="111" fillId="10" fontId="86" numFmtId="9" xfId="0" applyAlignment="1" applyBorder="1" applyFont="1" applyNumberFormat="1">
      <alignment horizontal="center" readingOrder="0"/>
    </xf>
    <xf borderId="0" fillId="10" fontId="0" numFmtId="176" xfId="0" applyAlignment="1" applyFont="1" applyNumberFormat="1">
      <alignment horizontal="center" readingOrder="0" vertical="bottom"/>
    </xf>
    <xf borderId="5" fillId="10" fontId="81" numFmtId="0" xfId="0" applyAlignment="1" applyBorder="1" applyFont="1">
      <alignment horizontal="center" vertical="bottom"/>
    </xf>
    <xf borderId="2" fillId="10" fontId="0" numFmtId="176" xfId="0" applyAlignment="1" applyBorder="1" applyFont="1" applyNumberFormat="1">
      <alignment horizontal="center" readingOrder="0" vertical="bottom"/>
    </xf>
    <xf borderId="26" fillId="10" fontId="85" numFmtId="0" xfId="0" applyAlignment="1" applyBorder="1" applyFont="1">
      <alignment horizontal="center" vertical="bottom"/>
    </xf>
    <xf borderId="111" fillId="10" fontId="86" numFmtId="9" xfId="0" applyAlignment="1" applyBorder="1" applyFont="1" applyNumberFormat="1">
      <alignment horizontal="center" vertical="bottom"/>
    </xf>
    <xf borderId="0" fillId="10" fontId="81" numFmtId="176" xfId="0" applyAlignment="1" applyFont="1" applyNumberFormat="1">
      <alignment horizontal="center" readingOrder="0" vertical="bottom"/>
    </xf>
    <xf borderId="2" fillId="10" fontId="81" numFmtId="176" xfId="0" applyAlignment="1" applyBorder="1" applyFont="1" applyNumberFormat="1">
      <alignment horizontal="center" readingOrder="0" vertical="bottom"/>
    </xf>
    <xf borderId="26" fillId="10" fontId="85" numFmtId="0" xfId="0" applyAlignment="1" applyBorder="1" applyFont="1">
      <alignment horizontal="center" readingOrder="0"/>
    </xf>
    <xf borderId="0" fillId="10" fontId="81" numFmtId="176" xfId="0" applyAlignment="1" applyFont="1" applyNumberFormat="1">
      <alignment horizontal="center" vertical="bottom"/>
    </xf>
    <xf borderId="0" fillId="10" fontId="0" numFmtId="176" xfId="0" applyAlignment="1" applyFont="1" applyNumberFormat="1">
      <alignment horizontal="center" vertical="bottom"/>
    </xf>
    <xf borderId="2" fillId="10" fontId="81" numFmtId="176" xfId="0" applyAlignment="1" applyBorder="1" applyFont="1" applyNumberFormat="1">
      <alignment horizontal="center" vertical="bottom"/>
    </xf>
    <xf borderId="26" fillId="10" fontId="85" numFmtId="9" xfId="0" applyAlignment="1" applyBorder="1" applyFont="1" applyNumberFormat="1">
      <alignment horizontal="center" readingOrder="0"/>
    </xf>
    <xf borderId="26" fillId="10" fontId="85" numFmtId="9" xfId="0" applyAlignment="1" applyBorder="1" applyFont="1" applyNumberFormat="1">
      <alignment horizontal="center" readingOrder="0" vertical="bottom"/>
    </xf>
    <xf borderId="111" fillId="10" fontId="83" numFmtId="166" xfId="0" applyAlignment="1" applyBorder="1" applyFont="1" applyNumberFormat="1">
      <alignment horizontal="center"/>
    </xf>
    <xf borderId="48" fillId="10" fontId="81" numFmtId="0" xfId="0" applyAlignment="1" applyBorder="1" applyFont="1">
      <alignment horizontal="center" vertical="bottom"/>
    </xf>
    <xf borderId="1" fillId="10" fontId="81" numFmtId="176" xfId="0" applyAlignment="1" applyBorder="1" applyFont="1" applyNumberFormat="1">
      <alignment horizontal="center" vertical="bottom"/>
    </xf>
    <xf borderId="49" fillId="10" fontId="81" numFmtId="176" xfId="0" applyAlignment="1" applyBorder="1" applyFont="1" applyNumberFormat="1">
      <alignment horizontal="center" vertical="bottom"/>
    </xf>
    <xf borderId="0" fillId="10" fontId="83" numFmtId="166" xfId="0" applyAlignment="1" applyFont="1" applyNumberFormat="1">
      <alignment horizontal="center"/>
    </xf>
    <xf borderId="0" fillId="10" fontId="83" numFmtId="0" xfId="0" applyAlignment="1" applyFont="1">
      <alignment horizontal="center"/>
    </xf>
    <xf borderId="0" fillId="10" fontId="85" numFmtId="0" xfId="0" applyAlignment="1" applyFont="1">
      <alignment horizontal="center" readingOrder="0"/>
    </xf>
    <xf borderId="26" fillId="10" fontId="88" numFmtId="9" xfId="0" applyAlignment="1" applyBorder="1" applyFont="1" applyNumberFormat="1">
      <alignment horizontal="center" readingOrder="0"/>
    </xf>
    <xf borderId="26" fillId="10" fontId="81" numFmtId="0" xfId="0" applyAlignment="1" applyBorder="1" applyFont="1">
      <alignment horizontal="center" readingOrder="0"/>
    </xf>
    <xf borderId="111" fillId="10" fontId="81" numFmtId="0" xfId="0" applyBorder="1" applyFont="1"/>
    <xf borderId="26" fillId="10" fontId="81" numFmtId="0" xfId="0" applyBorder="1" applyFont="1"/>
    <xf borderId="26" fillId="10" fontId="83" numFmtId="0" xfId="0" applyAlignment="1" applyBorder="1" applyFont="1">
      <alignment horizontal="center"/>
    </xf>
    <xf borderId="34" fillId="10" fontId="83" numFmtId="0" xfId="0" applyAlignment="1" applyBorder="1" applyFont="1">
      <alignment horizontal="center"/>
    </xf>
    <xf borderId="112" fillId="10" fontId="83" numFmtId="166" xfId="0" applyAlignment="1" applyBorder="1" applyFont="1" applyNumberFormat="1">
      <alignment horizontal="center"/>
    </xf>
    <xf borderId="0" fillId="0" fontId="57" numFmtId="0" xfId="0" applyAlignment="1" applyFont="1">
      <alignment readingOrder="0"/>
    </xf>
    <xf borderId="113" fillId="4" fontId="60" numFmtId="0" xfId="0" applyAlignment="1" applyBorder="1" applyFont="1">
      <alignment horizontal="center" readingOrder="0" vertical="center"/>
    </xf>
    <xf borderId="114" fillId="0" fontId="4" numFmtId="0" xfId="0" applyBorder="1" applyFont="1"/>
    <xf borderId="115" fillId="0" fontId="4" numFmtId="0" xfId="0" applyBorder="1" applyFont="1"/>
    <xf borderId="116" fillId="0" fontId="4" numFmtId="0" xfId="0" applyBorder="1" applyFont="1"/>
    <xf borderId="117" fillId="0" fontId="4" numFmtId="0" xfId="0" applyBorder="1" applyFont="1"/>
    <xf borderId="118" fillId="0" fontId="4" numFmtId="0" xfId="0" applyBorder="1" applyFont="1"/>
    <xf borderId="0" fillId="0" fontId="78" numFmtId="0" xfId="0" applyFont="1"/>
    <xf borderId="0" fillId="0" fontId="89" numFmtId="0" xfId="0" applyAlignment="1" applyFont="1">
      <alignment horizontal="center" readingOrder="0" vertical="center"/>
    </xf>
    <xf borderId="119" fillId="0" fontId="89" numFmtId="0" xfId="0" applyAlignment="1" applyBorder="1" applyFont="1">
      <alignment horizontal="center" readingOrder="0" vertical="center"/>
    </xf>
    <xf borderId="120" fillId="0" fontId="4" numFmtId="0" xfId="0" applyBorder="1" applyFont="1"/>
    <xf borderId="121" fillId="0" fontId="78" numFmtId="0" xfId="0" applyAlignment="1" applyBorder="1" applyFont="1">
      <alignment horizontal="center" readingOrder="0" vertical="center"/>
    </xf>
    <xf borderId="122" fillId="0" fontId="4" numFmtId="0" xfId="0" applyBorder="1" applyFont="1"/>
    <xf borderId="123" fillId="0" fontId="4" numFmtId="0" xfId="0" applyBorder="1" applyFont="1"/>
    <xf borderId="124" fillId="0" fontId="78" numFmtId="0" xfId="0" applyAlignment="1" applyBorder="1" applyFont="1">
      <alignment horizontal="center" readingOrder="0" vertical="center"/>
    </xf>
    <xf borderId="0" fillId="0" fontId="89" numFmtId="0" xfId="0" applyFont="1"/>
    <xf borderId="121" fillId="11" fontId="47" numFmtId="0" xfId="0" applyAlignment="1" applyBorder="1" applyFill="1" applyFont="1">
      <alignment horizontal="center" readingOrder="0" vertical="center"/>
    </xf>
    <xf borderId="0" fillId="0" fontId="78" numFmtId="0" xfId="0" applyAlignment="1" applyFont="1">
      <alignment horizontal="center" readingOrder="0" vertical="center"/>
    </xf>
    <xf borderId="124" fillId="12" fontId="47" numFmtId="0" xfId="0" applyAlignment="1" applyBorder="1" applyFill="1" applyFont="1">
      <alignment horizontal="center" readingOrder="0" vertical="center"/>
    </xf>
    <xf borderId="0" fillId="0" fontId="78" numFmtId="0" xfId="0" applyAlignment="1" applyFont="1">
      <alignment readingOrder="0"/>
    </xf>
    <xf borderId="125" fillId="0" fontId="78" numFmtId="0" xfId="0" applyAlignment="1" applyBorder="1" applyFont="1">
      <alignment horizontal="center" readingOrder="0" vertical="center"/>
    </xf>
    <xf borderId="126" fillId="0" fontId="4" numFmtId="0" xfId="0" applyBorder="1" applyFont="1"/>
    <xf borderId="127" fillId="0" fontId="4" numFmtId="0" xfId="0" applyBorder="1" applyFont="1"/>
    <xf borderId="128" fillId="0" fontId="4" numFmtId="0" xfId="0" applyBorder="1" applyFont="1"/>
    <xf borderId="129" fillId="0" fontId="4" numFmtId="0" xfId="0" applyBorder="1" applyFont="1"/>
    <xf borderId="92" fillId="0" fontId="4" numFmtId="0" xfId="0" applyBorder="1" applyFont="1"/>
    <xf borderId="130" fillId="0" fontId="78" numFmtId="0" xfId="0" applyAlignment="1" applyBorder="1" applyFont="1">
      <alignment horizontal="center" readingOrder="0"/>
    </xf>
    <xf borderId="131" fillId="0" fontId="90" numFmtId="0" xfId="0" applyAlignment="1" applyBorder="1" applyFont="1">
      <alignment horizontal="center" readingOrder="0"/>
    </xf>
    <xf borderId="131" fillId="0" fontId="4" numFmtId="0" xfId="0" applyBorder="1" applyFont="1"/>
    <xf borderId="93" fillId="0" fontId="4" numFmtId="0" xfId="0" applyBorder="1" applyFont="1"/>
    <xf borderId="0" fillId="0" fontId="78" numFmtId="0" xfId="0" applyAlignment="1" applyFont="1">
      <alignment horizontal="center"/>
    </xf>
    <xf borderId="0" fillId="0" fontId="78" numFmtId="0" xfId="0" applyAlignment="1" applyFont="1">
      <alignment horizontal="center" readingOrder="0" shrinkToFit="0" wrapText="0"/>
    </xf>
    <xf borderId="125" fillId="0" fontId="78" numFmtId="0" xfId="0" applyAlignment="1" applyBorder="1" applyFont="1">
      <alignment horizontal="center" readingOrder="0"/>
    </xf>
    <xf borderId="132" fillId="0" fontId="78" numFmtId="0" xfId="0" applyAlignment="1" applyBorder="1" applyFont="1">
      <alignment horizontal="center" readingOrder="0" shrinkToFit="0" wrapText="0"/>
    </xf>
    <xf borderId="133" fillId="0" fontId="4" numFmtId="0" xfId="0" applyBorder="1" applyFont="1"/>
    <xf borderId="132" fillId="0" fontId="78" numFmtId="0" xfId="0" applyAlignment="1" applyBorder="1" applyFont="1">
      <alignment horizontal="center" readingOrder="0"/>
    </xf>
    <xf borderId="132" fillId="3" fontId="91" numFmtId="0" xfId="0" applyAlignment="1" applyBorder="1" applyFont="1">
      <alignment horizontal="center" readingOrder="0" shrinkToFit="0" wrapText="0"/>
    </xf>
    <xf borderId="134" fillId="0" fontId="78" numFmtId="0" xfId="0" applyAlignment="1" applyBorder="1" applyFont="1">
      <alignment horizontal="center" readingOrder="0" vertical="center"/>
    </xf>
    <xf borderId="135" fillId="0" fontId="4" numFmtId="0" xfId="0" applyBorder="1" applyFont="1"/>
    <xf borderId="134" fillId="0" fontId="89" numFmtId="0" xfId="0" applyAlignment="1" applyBorder="1" applyFont="1">
      <alignment horizontal="center" readingOrder="0" vertical="center"/>
    </xf>
    <xf borderId="134" fillId="0" fontId="89" numFmtId="0" xfId="0" applyAlignment="1" applyBorder="1" applyFont="1">
      <alignment horizontal="center" vertical="center"/>
    </xf>
    <xf borderId="0" fillId="0" fontId="78" numFmtId="0" xfId="0" applyAlignment="1" applyFont="1">
      <alignment horizontal="center" readingOrder="0"/>
    </xf>
    <xf borderId="136" fillId="0" fontId="4" numFmtId="0" xfId="0" applyBorder="1" applyFont="1"/>
    <xf borderId="137" fillId="0" fontId="4" numFmtId="0" xfId="0" applyBorder="1" applyFont="1"/>
    <xf borderId="138" fillId="0" fontId="4" numFmtId="0" xfId="0" applyBorder="1" applyFont="1"/>
    <xf borderId="139" fillId="0" fontId="4" numFmtId="0" xfId="0" applyBorder="1" applyFont="1"/>
    <xf borderId="0" fillId="0" fontId="92" numFmtId="0" xfId="0" applyAlignment="1" applyFont="1">
      <alignment horizontal="center" vertical="center"/>
    </xf>
    <xf borderId="126" fillId="3" fontId="91" numFmtId="0" xfId="0" applyAlignment="1" applyBorder="1" applyFont="1">
      <alignment horizontal="center" readingOrder="0" vertical="center"/>
    </xf>
    <xf borderId="0" fillId="0" fontId="78" numFmtId="0" xfId="0" applyAlignment="1" applyFont="1">
      <alignment horizontal="center" vertical="center"/>
    </xf>
    <xf borderId="126" fillId="0" fontId="81" numFmtId="0" xfId="0" applyAlignment="1" applyBorder="1" applyFont="1">
      <alignment horizontal="center" readingOrder="0" vertical="center"/>
    </xf>
    <xf borderId="130" fillId="0" fontId="78" numFmtId="0" xfId="0" applyAlignment="1" applyBorder="1" applyFont="1">
      <alignment horizontal="center" readingOrder="0" vertical="center"/>
    </xf>
    <xf borderId="131" fillId="0" fontId="78" numFmtId="0" xfId="0" applyAlignment="1" applyBorder="1" applyFont="1">
      <alignment horizontal="center" readingOrder="0" vertical="center"/>
    </xf>
    <xf borderId="132" fillId="0" fontId="90" numFmtId="166" xfId="0" applyAlignment="1" applyBorder="1" applyFont="1" applyNumberFormat="1">
      <alignment horizontal="center" readingOrder="0" shrinkToFit="0" vertical="center" wrapText="0"/>
    </xf>
    <xf borderId="132" fillId="0" fontId="90" numFmtId="9" xfId="0" applyAlignment="1" applyBorder="1" applyFont="1" applyNumberFormat="1">
      <alignment horizontal="center" readingOrder="0" vertical="center"/>
    </xf>
    <xf borderId="132" fillId="0" fontId="90" numFmtId="166" xfId="0" applyAlignment="1" applyBorder="1" applyFont="1" applyNumberFormat="1">
      <alignment horizontal="center" readingOrder="0" vertical="center"/>
    </xf>
    <xf borderId="132" fillId="3" fontId="93" numFmtId="9" xfId="0" applyAlignment="1" applyBorder="1" applyFont="1" applyNumberFormat="1">
      <alignment horizontal="center" readingOrder="0" shrinkToFit="0" vertical="center" wrapText="0"/>
    </xf>
    <xf borderId="132" fillId="0" fontId="90" numFmtId="9" xfId="0" applyAlignment="1" applyBorder="1" applyFont="1" applyNumberFormat="1">
      <alignment horizontal="center" readingOrder="0" shrinkToFit="0" vertical="center" wrapText="0"/>
    </xf>
    <xf borderId="140" fillId="3" fontId="67" numFmtId="0" xfId="0" applyAlignment="1" applyBorder="1" applyFont="1">
      <alignment horizontal="center" readingOrder="0" vertical="center"/>
    </xf>
    <xf borderId="141" fillId="0" fontId="4" numFmtId="0" xfId="0" applyBorder="1" applyFont="1"/>
    <xf borderId="142" fillId="0" fontId="4" numFmtId="0" xfId="0" applyBorder="1" applyFont="1"/>
    <xf borderId="143" fillId="0" fontId="4" numFmtId="0" xfId="0" applyBorder="1" applyFont="1"/>
    <xf borderId="144" fillId="0" fontId="4" numFmtId="0" xfId="0" applyBorder="1" applyFont="1"/>
    <xf borderId="145" fillId="0" fontId="4" numFmtId="0" xfId="0" applyBorder="1" applyFont="1"/>
    <xf borderId="119" fillId="0" fontId="78" numFmtId="0" xfId="0" applyAlignment="1" applyBorder="1" applyFont="1">
      <alignment horizontal="center" readingOrder="0" vertical="center"/>
    </xf>
    <xf borderId="121" fillId="0" fontId="4" numFmtId="0" xfId="0" applyBorder="1" applyFont="1"/>
    <xf borderId="124" fillId="0" fontId="4" numFmtId="0" xfId="0" applyBorder="1" applyFont="1"/>
    <xf borderId="0" fillId="2" fontId="78" numFmtId="0" xfId="0" applyAlignment="1" applyFont="1">
      <alignment horizontal="center" readingOrder="0" vertical="center"/>
    </xf>
    <xf borderId="119" fillId="13" fontId="78" numFmtId="0" xfId="0" applyAlignment="1" applyBorder="1" applyFill="1" applyFont="1">
      <alignment horizontal="center" readingOrder="0" vertical="center"/>
    </xf>
    <xf borderId="121" fillId="14" fontId="78" numFmtId="0" xfId="0" applyAlignment="1" applyBorder="1" applyFill="1" applyFont="1">
      <alignment horizontal="center" readingOrder="0" vertical="center"/>
    </xf>
    <xf borderId="119" fillId="15" fontId="78" numFmtId="0" xfId="0" applyAlignment="1" applyBorder="1" applyFill="1" applyFont="1">
      <alignment horizontal="center" readingOrder="0" vertical="center"/>
    </xf>
    <xf borderId="121" fillId="16" fontId="78" numFmtId="0" xfId="0" applyAlignment="1" applyBorder="1" applyFill="1" applyFont="1">
      <alignment horizontal="center" readingOrder="0" vertical="center"/>
    </xf>
    <xf borderId="0" fillId="0" fontId="78" numFmtId="0" xfId="0" applyAlignment="1" applyFont="1">
      <alignment horizontal="center" readingOrder="0" shrinkToFit="0" vertical="center" wrapText="1"/>
    </xf>
    <xf borderId="0" fillId="3" fontId="91" numFmtId="0" xfId="0" applyAlignment="1" applyFont="1">
      <alignment vertical="bottom"/>
    </xf>
    <xf borderId="146" fillId="0" fontId="78" numFmtId="0" xfId="0" applyAlignment="1" applyBorder="1" applyFont="1">
      <alignment horizontal="center" readingOrder="0"/>
    </xf>
    <xf borderId="147" fillId="0" fontId="4" numFmtId="0" xfId="0" applyBorder="1" applyFont="1"/>
    <xf borderId="148" fillId="0" fontId="4" numFmtId="0" xfId="0" applyBorder="1" applyFont="1"/>
    <xf borderId="146" fillId="0" fontId="78" numFmtId="0" xfId="0" applyAlignment="1" applyBorder="1" applyFont="1">
      <alignment horizontal="center" readingOrder="0" vertical="center"/>
    </xf>
    <xf borderId="146" fillId="0" fontId="94" numFmtId="0" xfId="0" applyAlignment="1" applyBorder="1" applyFont="1">
      <alignment horizontal="center" readingOrder="0"/>
    </xf>
    <xf borderId="149" fillId="0" fontId="47" numFmtId="0" xfId="0" applyAlignment="1" applyBorder="1" applyFont="1">
      <alignment horizontal="center" readingOrder="0" shrinkToFit="0" vertical="center" wrapText="1"/>
    </xf>
    <xf borderId="150" fillId="0" fontId="4" numFmtId="0" xfId="0" applyBorder="1" applyFont="1"/>
    <xf borderId="151" fillId="0" fontId="4" numFmtId="0" xfId="0" applyBorder="1" applyFont="1"/>
    <xf borderId="146" fillId="0" fontId="47" numFmtId="0" xfId="0" applyAlignment="1" applyBorder="1" applyFont="1">
      <alignment horizontal="center" readingOrder="0" vertical="center"/>
    </xf>
    <xf borderId="152" fillId="0" fontId="4" numFmtId="0" xfId="0" applyBorder="1" applyFont="1"/>
    <xf borderId="153" fillId="0" fontId="4" numFmtId="0" xfId="0" applyBorder="1" applyFont="1"/>
    <xf borderId="154" fillId="0" fontId="4" numFmtId="0" xfId="0" applyBorder="1" applyFont="1"/>
    <xf borderId="149" fillId="6" fontId="51" numFmtId="0" xfId="0" applyAlignment="1" applyBorder="1" applyFont="1">
      <alignment horizontal="center" readingOrder="0" shrinkToFit="0" vertical="center" wrapText="1"/>
    </xf>
    <xf borderId="155" fillId="0" fontId="78" numFmtId="0" xfId="0" applyAlignment="1" applyBorder="1" applyFont="1">
      <alignment horizontal="center" readingOrder="0" vertical="center"/>
    </xf>
    <xf borderId="156" fillId="0" fontId="4" numFmtId="0" xfId="0" applyBorder="1" applyFont="1"/>
    <xf borderId="157" fillId="0" fontId="4" numFmtId="0" xfId="0" applyBorder="1" applyFont="1"/>
    <xf borderId="155" fillId="0" fontId="47" numFmtId="0" xfId="0" applyAlignment="1" applyBorder="1" applyFont="1">
      <alignment horizontal="center" readingOrder="0" vertical="center"/>
    </xf>
    <xf borderId="158" fillId="0" fontId="78" numFmtId="0" xfId="0" applyAlignment="1" applyBorder="1" applyFont="1">
      <alignment horizontal="center" readingOrder="0" shrinkToFit="0" vertical="center" wrapText="1"/>
    </xf>
    <xf borderId="159" fillId="0" fontId="4" numFmtId="0" xfId="0" applyBorder="1" applyFont="1"/>
    <xf borderId="160" fillId="0" fontId="4" numFmtId="0" xfId="0" applyBorder="1" applyFont="1"/>
    <xf borderId="161" fillId="0" fontId="78" numFmtId="0" xfId="0" applyAlignment="1" applyBorder="1" applyFont="1">
      <alignment horizontal="center" readingOrder="0" shrinkToFit="0" vertical="center" wrapText="1"/>
    </xf>
    <xf borderId="162" fillId="0" fontId="4" numFmtId="0" xfId="0" applyBorder="1" applyFont="1"/>
    <xf borderId="163" fillId="0" fontId="4" numFmtId="0" xfId="0" applyBorder="1" applyFont="1"/>
    <xf borderId="164" fillId="0" fontId="78" numFmtId="0" xfId="0" applyAlignment="1" applyBorder="1" applyFont="1">
      <alignment horizontal="center" readingOrder="0" shrinkToFit="0" vertical="center" wrapText="1"/>
    </xf>
    <xf borderId="165" fillId="0" fontId="4" numFmtId="0" xfId="0" applyBorder="1" applyFont="1"/>
    <xf borderId="166" fillId="0" fontId="4" numFmtId="0" xfId="0" applyBorder="1" applyFont="1"/>
    <xf borderId="140" fillId="0" fontId="95" numFmtId="0" xfId="0" applyAlignment="1" applyBorder="1" applyFont="1">
      <alignment horizontal="center" readingOrder="0"/>
    </xf>
    <xf borderId="167" fillId="0" fontId="78" numFmtId="0" xfId="0" applyAlignment="1" applyBorder="1" applyFont="1">
      <alignment horizontal="center" readingOrder="0" shrinkToFit="0" wrapText="1"/>
    </xf>
    <xf borderId="168" fillId="0" fontId="4" numFmtId="0" xfId="0" applyBorder="1" applyFont="1"/>
    <xf borderId="169" fillId="0" fontId="4" numFmtId="0" xfId="0" applyBorder="1" applyFont="1"/>
    <xf borderId="170" fillId="0" fontId="78" numFmtId="0" xfId="0" applyAlignment="1" applyBorder="1" applyFont="1">
      <alignment horizontal="center" readingOrder="0" vertical="center"/>
    </xf>
    <xf borderId="171" fillId="0" fontId="4" numFmtId="0" xfId="0" applyBorder="1" applyFont="1"/>
    <xf borderId="172" fillId="0" fontId="4" numFmtId="0" xfId="0" applyBorder="1" applyFont="1"/>
    <xf borderId="173" fillId="0" fontId="78" numFmtId="0" xfId="0" applyAlignment="1" applyBorder="1" applyFont="1">
      <alignment horizontal="center" readingOrder="0" vertical="center"/>
    </xf>
    <xf borderId="174" fillId="0" fontId="4" numFmtId="0" xfId="0" applyBorder="1" applyFont="1"/>
    <xf borderId="158" fillId="0" fontId="78" numFmtId="0" xfId="0" applyAlignment="1" applyBorder="1" applyFont="1">
      <alignment horizontal="center" readingOrder="0"/>
    </xf>
    <xf borderId="159" fillId="0" fontId="4" numFmtId="0" xfId="0" applyBorder="1" applyFont="1"/>
    <xf borderId="160" fillId="0" fontId="4" numFmtId="0" xfId="0" applyBorder="1" applyFont="1"/>
    <xf borderId="175" fillId="0" fontId="78" numFmtId="0" xfId="0" applyAlignment="1" applyBorder="1" applyFont="1">
      <alignment horizontal="center" readingOrder="0" vertical="center"/>
    </xf>
    <xf borderId="176" fillId="0" fontId="4" numFmtId="0" xfId="0" applyBorder="1" applyFont="1"/>
    <xf borderId="177" fillId="0" fontId="4" numFmtId="0" xfId="0" applyBorder="1" applyFont="1"/>
    <xf borderId="178" fillId="0" fontId="78" numFmtId="0" xfId="0" applyAlignment="1" applyBorder="1" applyFont="1">
      <alignment horizontal="center" readingOrder="0" shrinkToFit="0" vertical="center" wrapText="1"/>
    </xf>
    <xf borderId="179" fillId="0" fontId="4" numFmtId="0" xfId="0" applyBorder="1" applyFont="1"/>
    <xf borderId="180" fillId="0" fontId="4" numFmtId="0" xfId="0" applyBorder="1" applyFont="1"/>
    <xf borderId="181" fillId="0" fontId="78" numFmtId="0" xfId="0" applyAlignment="1" applyBorder="1" applyFont="1">
      <alignment horizontal="center" readingOrder="0" shrinkToFit="0" vertical="center" wrapText="1"/>
    </xf>
    <xf borderId="182" fillId="0" fontId="4" numFmtId="0" xfId="0" applyBorder="1" applyFont="1"/>
    <xf borderId="183" fillId="0" fontId="4" numFmtId="0" xfId="0" applyBorder="1" applyFont="1"/>
    <xf borderId="143" fillId="0" fontId="4" numFmtId="0" xfId="0" applyBorder="1" applyFont="1"/>
    <xf borderId="144" fillId="0" fontId="4" numFmtId="0" xfId="0" applyBorder="1" applyFont="1"/>
    <xf borderId="145" fillId="0" fontId="4" numFmtId="0" xfId="0" applyBorder="1" applyFont="1"/>
    <xf borderId="146" fillId="0" fontId="96" numFmtId="0" xfId="0" applyAlignment="1" applyBorder="1" applyFont="1">
      <alignment horizontal="center" readingOrder="0"/>
    </xf>
    <xf borderId="152" fillId="0" fontId="78" numFmtId="0" xfId="0" applyAlignment="1" applyBorder="1" applyFont="1">
      <alignment horizontal="center" readingOrder="0" vertical="center"/>
    </xf>
    <xf borderId="184" fillId="0" fontId="78" numFmtId="0" xfId="0" applyAlignment="1" applyBorder="1" applyFont="1">
      <alignment horizontal="center" readingOrder="0" vertical="center"/>
    </xf>
    <xf borderId="146" fillId="0" fontId="78" numFmtId="0" xfId="0" applyAlignment="1" applyBorder="1" applyFont="1">
      <alignment horizontal="center" readingOrder="0" shrinkToFit="0" vertical="center" wrapText="1"/>
    </xf>
    <xf borderId="185" fillId="0" fontId="78" numFmtId="0" xfId="0" applyAlignment="1" applyBorder="1" applyFont="1">
      <alignment horizontal="center" readingOrder="0" shrinkToFit="0" wrapText="1"/>
    </xf>
    <xf borderId="186" fillId="0" fontId="4" numFmtId="0" xfId="0" applyBorder="1" applyFont="1"/>
    <xf borderId="187" fillId="0" fontId="4" numFmtId="0" xfId="0" applyBorder="1" applyFont="1"/>
    <xf borderId="146" fillId="0" fontId="90" numFmtId="0" xfId="0" applyAlignment="1" applyBorder="1" applyFont="1">
      <alignment horizontal="center" readingOrder="0"/>
    </xf>
    <xf borderId="147" fillId="0" fontId="4" numFmtId="0" xfId="0" applyBorder="1" applyFont="1"/>
    <xf borderId="148" fillId="0" fontId="4" numFmtId="0" xfId="0" applyBorder="1" applyFont="1"/>
    <xf borderId="185" fillId="0" fontId="78" numFmtId="0" xfId="0" applyAlignment="1" applyBorder="1" applyFont="1">
      <alignment readingOrder="0" shrinkToFit="0" wrapText="1"/>
    </xf>
    <xf borderId="155" fillId="0" fontId="78" numFmtId="0" xfId="0" applyAlignment="1" applyBorder="1" applyFont="1">
      <alignment horizontal="center" readingOrder="0"/>
    </xf>
    <xf borderId="188" fillId="0" fontId="78" numFmtId="0" xfId="0" applyAlignment="1" applyBorder="1" applyFont="1">
      <alignment horizontal="center" readingOrder="0" shrinkToFit="0" vertical="center" wrapText="1"/>
    </xf>
    <xf borderId="189" fillId="0" fontId="4" numFmtId="0" xfId="0" applyBorder="1" applyFont="1"/>
    <xf borderId="190" fillId="0" fontId="4" numFmtId="0" xfId="0" applyBorder="1" applyFont="1"/>
    <xf borderId="167" fillId="0" fontId="78" numFmtId="0" xfId="0" applyAlignment="1" applyBorder="1" applyFont="1">
      <alignment horizontal="center" readingOrder="0" shrinkToFit="0" vertical="center" wrapText="1"/>
    </xf>
    <xf borderId="170" fillId="0" fontId="78" numFmtId="0" xfId="0" applyAlignment="1" applyBorder="1" applyFont="1">
      <alignment horizontal="center" readingOrder="0" shrinkToFit="0" vertical="center" wrapText="1"/>
    </xf>
    <xf borderId="188" fillId="0" fontId="97" numFmtId="0" xfId="0" applyAlignment="1" applyBorder="1" applyFont="1">
      <alignment horizontal="center" readingOrder="0" shrinkToFit="0" vertical="center" wrapText="1"/>
    </xf>
    <xf borderId="167" fillId="0" fontId="97" numFmtId="0" xfId="0" applyAlignment="1" applyBorder="1" applyFont="1">
      <alignment horizontal="center" readingOrder="0" shrinkToFit="0" vertical="center" wrapText="1"/>
    </xf>
    <xf borderId="170" fillId="0" fontId="97" numFmtId="0" xfId="0" applyAlignment="1" applyBorder="1" applyFont="1">
      <alignment horizontal="center" readingOrder="0" shrinkToFit="0" vertical="center" wrapText="1"/>
    </xf>
    <xf borderId="0" fillId="0" fontId="78" numFmtId="0" xfId="0" applyAlignment="1" applyFont="1">
      <alignment horizontal="left" readingOrder="0" vertical="center"/>
    </xf>
    <xf borderId="0" fillId="0" fontId="78" numFmtId="0" xfId="0" applyAlignment="1" applyFont="1">
      <alignment shrinkToFit="0" wrapText="0"/>
    </xf>
    <xf borderId="0" fillId="0" fontId="78" numFmtId="0" xfId="0" applyAlignment="1" applyFont="1">
      <alignment readingOrder="0" shrinkToFit="0" wrapText="0"/>
    </xf>
    <xf borderId="191" fillId="0" fontId="78" numFmtId="0" xfId="0" applyAlignment="1" applyBorder="1" applyFont="1">
      <alignment horizontal="center" readingOrder="0" shrinkToFit="0" wrapText="0"/>
    </xf>
    <xf borderId="192" fillId="0" fontId="4" numFmtId="0" xfId="0" applyBorder="1" applyFont="1"/>
    <xf borderId="193" fillId="0" fontId="4" numFmtId="0" xfId="0" applyBorder="1" applyFont="1"/>
    <xf borderId="0" fillId="0" fontId="78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80">
    <dxf>
      <font>
        <color rgb="FFFF6D01"/>
      </font>
      <fill>
        <patternFill patternType="solid">
          <fgColor rgb="FF2D2D2D"/>
          <bgColor rgb="FF2D2D2D"/>
        </patternFill>
      </fill>
      <border/>
    </dxf>
    <dxf>
      <font>
        <color rgb="FF9900FF"/>
      </font>
      <fill>
        <patternFill patternType="solid">
          <fgColor rgb="FFD9D2E9"/>
          <bgColor rgb="FFD9D2E9"/>
        </patternFill>
      </fill>
      <border/>
    </dxf>
    <dxf>
      <font>
        <color rgb="FFFF0000"/>
      </font>
      <fill>
        <patternFill patternType="solid">
          <fgColor rgb="FFF4CCCC"/>
          <bgColor rgb="FFF4CCCC"/>
        </patternFill>
      </fill>
      <border/>
    </dxf>
    <dxf>
      <font>
        <b/>
        <color rgb="FFFF6D01"/>
      </font>
      <fill>
        <patternFill patternType="solid">
          <fgColor rgb="FFFCE5CD"/>
          <bgColor rgb="FFFCE5CD"/>
        </patternFill>
      </fill>
      <border/>
    </dxf>
    <dxf>
      <font>
        <color rgb="FF34A853"/>
      </font>
      <fill>
        <patternFill patternType="solid">
          <fgColor rgb="FFD9EAD3"/>
          <bgColor rgb="FFD9EAD3"/>
        </patternFill>
      </fill>
      <border/>
    </dxf>
    <dxf>
      <font>
        <color rgb="FF22CF50"/>
      </font>
      <fill>
        <patternFill patternType="solid">
          <fgColor rgb="FFD9EAD3"/>
          <bgColor rgb="FFD9EAD3"/>
        </patternFill>
      </fill>
      <border/>
    </dxf>
    <dxf>
      <font>
        <b/>
        <color rgb="FFFF0000"/>
      </font>
      <fill>
        <patternFill patternType="solid">
          <fgColor rgb="FFF4CCCC"/>
          <bgColor rgb="FFF4CCCC"/>
        </patternFill>
      </fill>
      <border/>
    </dxf>
    <dxf>
      <font>
        <b/>
        <color theme="8"/>
      </font>
      <fill>
        <patternFill patternType="solid">
          <fgColor rgb="FFFCE5CD"/>
          <bgColor rgb="FFFCE5CD"/>
        </patternFill>
      </fill>
      <border/>
    </dxf>
    <dxf>
      <font>
        <b/>
        <color theme="7"/>
      </font>
      <fill>
        <patternFill patternType="solid">
          <fgColor rgb="FFD9EAD3"/>
          <bgColor rgb="FFD9EAD3"/>
        </patternFill>
      </fill>
      <border/>
    </dxf>
    <dxf>
      <font>
        <b/>
        <color rgb="FF34A853"/>
      </font>
      <fill>
        <patternFill patternType="solid">
          <fgColor rgb="FFD9EAD3"/>
          <bgColor rgb="FFD9EAD3"/>
        </patternFill>
      </fill>
      <border/>
    </dxf>
    <dxf>
      <font>
        <color rgb="FF0000FF"/>
      </font>
      <fill>
        <patternFill patternType="solid">
          <fgColor rgb="FFCFE2F3"/>
          <bgColor rgb="FFCFE2F3"/>
        </patternFill>
      </fill>
      <border/>
    </dxf>
    <dxf>
      <font>
        <color rgb="FFFF6D01"/>
      </font>
      <fill>
        <patternFill patternType="solid">
          <fgColor rgb="FF434343"/>
          <bgColor rgb="FF434343"/>
        </patternFill>
      </fill>
      <border/>
    </dxf>
    <dxf>
      <font>
        <color rgb="FF22CF50"/>
      </font>
      <fill>
        <patternFill patternType="solid">
          <fgColor rgb="FF434343"/>
          <bgColor rgb="FF434343"/>
        </patternFill>
      </fill>
      <border/>
    </dxf>
    <dxf>
      <font>
        <color rgb="FF00FF00"/>
      </font>
      <fill>
        <patternFill patternType="solid">
          <fgColor rgb="FF2D2D2D"/>
          <bgColor rgb="FF2D2D2D"/>
        </patternFill>
      </fill>
      <border/>
    </dxf>
    <dxf>
      <font>
        <color rgb="FFFF0000"/>
      </font>
      <fill>
        <patternFill patternType="solid">
          <fgColor rgb="FF2D2D2D"/>
          <bgColor rgb="FF2D2D2D"/>
        </patternFill>
      </fill>
      <border/>
    </dxf>
    <dxf>
      <font>
        <color rgb="FFF3F3F3"/>
      </font>
      <fill>
        <patternFill patternType="solid">
          <fgColor rgb="FF434343"/>
          <bgColor rgb="FF434343"/>
        </patternFill>
      </fill>
      <border/>
    </dxf>
    <dxf>
      <font>
        <b/>
        <color rgb="FF22CF50"/>
      </font>
      <fill>
        <patternFill patternType="solid">
          <fgColor rgb="FF2D2D2D"/>
          <bgColor rgb="FF2D2D2D"/>
        </patternFill>
      </fill>
      <border/>
    </dxf>
    <dxf>
      <font>
        <b/>
        <color rgb="FFF10707"/>
      </font>
      <fill>
        <patternFill patternType="solid">
          <fgColor rgb="FF2D2D2D"/>
          <bgColor rgb="FF2D2D2D"/>
        </patternFill>
      </fill>
      <border/>
    </dxf>
    <dxf>
      <font>
        <b/>
        <color rgb="FFFFFF00"/>
      </font>
      <fill>
        <patternFill patternType="solid">
          <fgColor rgb="FF2D2D2D"/>
          <bgColor rgb="FF2D2D2D"/>
        </patternFill>
      </fill>
      <border/>
    </dxf>
    <dxf>
      <font>
        <b/>
        <color rgb="FF00FFFF"/>
      </font>
      <fill>
        <patternFill patternType="solid">
          <fgColor rgb="FF2D2D2D"/>
          <bgColor rgb="FF2D2D2D"/>
        </patternFill>
      </fill>
      <border/>
    </dxf>
    <dxf>
      <font>
        <color rgb="FFF3F3F3"/>
      </font>
      <fill>
        <patternFill patternType="solid">
          <fgColor rgb="FF2D2D2D"/>
          <bgColor rgb="FF2D2D2D"/>
        </patternFill>
      </fill>
      <border/>
    </dxf>
    <dxf>
      <font>
        <b/>
        <color rgb="FF9900FF"/>
      </font>
      <fill>
        <patternFill patternType="solid">
          <fgColor rgb="FFD9D2E9"/>
          <bgColor rgb="FFD9D2E9"/>
        </patternFill>
      </fill>
      <border/>
    </dxf>
    <dxf>
      <font>
        <color rgb="FFFF6D01"/>
      </font>
      <fill>
        <patternFill patternType="solid">
          <fgColor rgb="FFFCE5CD"/>
          <bgColor rgb="FFFCE5CD"/>
        </patternFill>
      </fill>
      <border/>
    </dxf>
    <dxf>
      <font>
        <b/>
        <color rgb="FF3EAA5B"/>
      </font>
      <fill>
        <patternFill patternType="solid">
          <fgColor rgb="FF2D2D2D"/>
          <bgColor rgb="FF2D2D2D"/>
        </patternFill>
      </fill>
      <border/>
    </dxf>
    <dxf>
      <font>
        <b/>
        <color rgb="FF22CF50"/>
      </font>
      <fill>
        <patternFill patternType="solid">
          <fgColor rgb="FFD9EAD3"/>
          <bgColor rgb="FFD9EAD3"/>
        </patternFill>
      </fill>
      <border/>
    </dxf>
    <dxf>
      <font>
        <b/>
        <color rgb="FF0000FF"/>
      </font>
      <fill>
        <patternFill patternType="solid">
          <fgColor rgb="FFCFE2F3"/>
          <bgColor rgb="FFCFE2F3"/>
        </patternFill>
      </fill>
      <border/>
    </dxf>
    <dxf>
      <font>
        <b/>
        <color theme="8"/>
      </font>
      <fill>
        <patternFill patternType="solid">
          <fgColor rgb="FF434343"/>
          <bgColor rgb="FF434343"/>
        </patternFill>
      </fill>
      <border/>
    </dxf>
    <dxf>
      <font>
        <b/>
        <color rgb="FF22CF50"/>
      </font>
      <fill>
        <patternFill patternType="solid">
          <fgColor rgb="FF434343"/>
          <bgColor rgb="FF434343"/>
        </patternFill>
      </fill>
      <border/>
    </dxf>
    <dxf>
      <font>
        <b/>
        <color rgb="FFFF6D01"/>
      </font>
      <fill>
        <patternFill patternType="solid">
          <fgColor rgb="FF434343"/>
          <bgColor rgb="FF434343"/>
        </patternFill>
      </fill>
      <border/>
    </dxf>
    <dxf>
      <font>
        <b/>
        <color theme="0"/>
      </font>
      <fill>
        <patternFill patternType="solid">
          <fgColor rgb="FFFF6D01"/>
          <bgColor rgb="FFFF6D01"/>
        </patternFill>
      </fill>
      <border/>
    </dxf>
    <dxf>
      <font>
        <color rgb="FFFF0E0E"/>
      </font>
      <fill>
        <patternFill patternType="solid">
          <fgColor rgb="FF2D2D2D"/>
          <bgColor rgb="FF2D2D2D"/>
        </patternFill>
      </fill>
      <border/>
    </dxf>
    <dxf>
      <font>
        <color rgb="FFFFFFFF"/>
      </font>
      <fill>
        <patternFill patternType="solid">
          <fgColor rgb="FFE06666"/>
          <bgColor rgb="FFE06666"/>
        </patternFill>
      </fill>
      <border/>
    </dxf>
    <dxf>
      <font>
        <b/>
        <color theme="0"/>
      </font>
      <fill>
        <patternFill patternType="solid">
          <fgColor rgb="FF00D9FF"/>
          <bgColor rgb="FF00D9FF"/>
        </patternFill>
      </fill>
      <border/>
    </dxf>
    <dxf>
      <font>
        <b/>
        <color rgb="FF9900FF"/>
      </font>
      <fill>
        <patternFill patternType="solid">
          <fgColor rgb="FF2D2D2D"/>
          <bgColor rgb="FF2D2D2D"/>
        </patternFill>
      </fill>
      <border/>
    </dxf>
    <dxf>
      <font>
        <b/>
        <color rgb="FFFF00FF"/>
      </font>
      <fill>
        <patternFill patternType="solid">
          <fgColor rgb="FF2D2D2D"/>
          <bgColor rgb="FF2D2D2D"/>
        </patternFill>
      </fill>
      <border/>
    </dxf>
    <dxf>
      <font>
        <b/>
        <color rgb="FF0000FF"/>
      </font>
      <fill>
        <patternFill patternType="solid">
          <fgColor rgb="FF2D2D2D"/>
          <bgColor rgb="FF2D2D2D"/>
        </patternFill>
      </fill>
      <border/>
    </dxf>
    <dxf>
      <font>
        <b/>
        <color rgb="FFFBBC04"/>
      </font>
      <fill>
        <patternFill patternType="solid">
          <fgColor rgb="FF2D2D2D"/>
          <bgColor rgb="FF2D2D2D"/>
        </patternFill>
      </fill>
      <border/>
    </dxf>
    <dxf>
      <font>
        <b/>
        <color rgb="FFFF099D"/>
      </font>
      <fill>
        <patternFill patternType="solid">
          <fgColor rgb="FF2D2D2D"/>
          <bgColor rgb="FF2D2D2D"/>
        </patternFill>
      </fill>
      <border/>
    </dxf>
    <dxf>
      <font>
        <b/>
        <color theme="4"/>
      </font>
      <fill>
        <patternFill patternType="solid">
          <fgColor rgb="FF2D2D2D"/>
          <bgColor rgb="FF2D2D2D"/>
        </patternFill>
      </fill>
      <border/>
    </dxf>
    <dxf>
      <font>
        <b/>
        <color rgb="FFFFFFFF"/>
      </font>
      <fill>
        <patternFill patternType="solid">
          <fgColor rgb="FF00FF00"/>
          <bgColor rgb="FF00FF00"/>
        </patternFill>
      </fill>
      <border/>
    </dxf>
    <dxf>
      <font>
        <b/>
        <color rgb="FFFF4D4D"/>
      </font>
      <fill>
        <patternFill patternType="solid">
          <fgColor rgb="FFFCE5CD"/>
          <bgColor rgb="FFFCE5CD"/>
        </patternFill>
      </fill>
      <border/>
    </dxf>
    <dxf>
      <font>
        <b/>
        <color theme="8"/>
      </font>
      <fill>
        <patternFill patternType="solid">
          <fgColor rgb="FF2D2D2D"/>
          <bgColor rgb="FF2D2D2D"/>
        </patternFill>
      </fill>
      <border/>
    </dxf>
    <dxf>
      <font>
        <color rgb="FFFFFFFF"/>
      </font>
      <fill>
        <patternFill patternType="solid">
          <fgColor rgb="FF9900FF"/>
          <bgColor rgb="FF9900FF"/>
        </patternFill>
      </fill>
      <border/>
    </dxf>
    <dxf>
      <font>
        <b/>
      </font>
      <fill>
        <patternFill patternType="solid">
          <fgColor rgb="FF4A86E8"/>
          <bgColor rgb="FF4A86E8"/>
        </patternFill>
      </fill>
      <border/>
    </dxf>
    <dxf>
      <font>
        <b/>
        <color rgb="FFF10707"/>
      </font>
      <fill>
        <patternFill patternType="solid">
          <fgColor rgb="FFF4CCCC"/>
          <bgColor rgb="FFF4CCCC"/>
        </patternFill>
      </fill>
      <border/>
    </dxf>
    <dxf>
      <font>
        <b/>
        <color rgb="FFFFFFFF"/>
      </font>
      <fill>
        <patternFill patternType="solid">
          <fgColor rgb="FFE06666"/>
          <bgColor rgb="FFE06666"/>
        </patternFill>
      </fill>
      <border/>
    </dxf>
    <dxf>
      <font>
        <b/>
        <color rgb="FF3EAA5B"/>
      </font>
      <fill>
        <patternFill patternType="solid">
          <fgColor rgb="FFD9EAD3"/>
          <bgColor rgb="FFD9EAD3"/>
        </patternFill>
      </fill>
      <border/>
    </dxf>
    <dxf>
      <font>
        <color rgb="FFFFFFFF"/>
      </font>
      <fill>
        <patternFill patternType="solid">
          <fgColor rgb="FFFF4D4D"/>
          <bgColor rgb="FFFF4D4D"/>
        </patternFill>
      </fill>
      <border/>
    </dxf>
    <dxf>
      <font>
        <color rgb="FFFFFFFF"/>
      </font>
      <fill>
        <patternFill patternType="solid">
          <fgColor rgb="FFFBBC04"/>
          <bgColor rgb="FFFBBC04"/>
        </patternFill>
      </fill>
      <border/>
    </dxf>
    <dxf>
      <font>
        <b/>
        <color rgb="FFF3F3F3"/>
      </font>
      <fill>
        <patternFill patternType="solid">
          <fgColor rgb="FFFF6D01"/>
          <bgColor rgb="FFFF6D01"/>
        </patternFill>
      </fill>
      <border/>
    </dxf>
    <dxf>
      <font>
        <b/>
        <color rgb="FFF3F3F3"/>
      </font>
      <fill>
        <patternFill patternType="solid">
          <fgColor rgb="FF2D2D2D"/>
          <bgColor rgb="FF2D2D2D"/>
        </patternFill>
      </fill>
      <border/>
    </dxf>
    <dxf>
      <font>
        <color rgb="FFFFFFFF"/>
      </font>
      <fill>
        <patternFill patternType="solid">
          <fgColor rgb="FF855BFF"/>
          <bgColor rgb="FF855BFF"/>
        </patternFill>
      </fill>
      <border/>
    </dxf>
    <dxf>
      <font>
        <color rgb="FFFFFFFF"/>
      </font>
      <fill>
        <patternFill patternType="solid">
          <fgColor rgb="FF3DC1DD"/>
          <bgColor rgb="FF3DC1DD"/>
        </patternFill>
      </fill>
      <border/>
    </dxf>
    <dxf>
      <font>
        <color rgb="FFFFFFFF"/>
      </font>
      <fill>
        <patternFill patternType="solid">
          <fgColor rgb="FF717171"/>
          <bgColor rgb="FF717171"/>
        </patternFill>
      </fill>
      <border/>
    </dxf>
    <dxf>
      <font>
        <color rgb="FFFFFFFF"/>
      </font>
      <fill>
        <patternFill patternType="solid">
          <fgColor theme="5"/>
          <bgColor theme="5"/>
        </patternFill>
      </fill>
      <border/>
    </dxf>
    <dxf>
      <font>
        <color rgb="FFFFFFFF"/>
      </font>
      <fill>
        <patternFill patternType="solid">
          <fgColor rgb="FF990000"/>
          <bgColor rgb="FF990000"/>
        </patternFill>
      </fill>
      <border/>
    </dxf>
    <dxf>
      <font>
        <color rgb="FFFFFFFF"/>
      </font>
      <fill>
        <patternFill patternType="solid">
          <fgColor rgb="FFEA4335"/>
          <bgColor rgb="FFEA4335"/>
        </patternFill>
      </fill>
      <border/>
    </dxf>
    <dxf>
      <font>
        <b/>
        <color rgb="FF38761D"/>
      </font>
      <fill>
        <patternFill patternType="solid">
          <fgColor rgb="FFD9EAD3"/>
          <bgColor rgb="FFD9EAD3"/>
        </patternFill>
      </fill>
      <border/>
    </dxf>
    <dxf>
      <font>
        <color rgb="FF00D9FF"/>
      </font>
      <fill>
        <patternFill patternType="solid">
          <fgColor rgb="FF2D2D2D"/>
          <bgColor rgb="FF2D2D2D"/>
        </patternFill>
      </fill>
      <border/>
    </dxf>
    <dxf>
      <font>
        <color rgb="FFFF4D4D"/>
      </font>
      <fill>
        <patternFill patternType="solid">
          <fgColor rgb="FF434343"/>
          <bgColor rgb="FF434343"/>
        </patternFill>
      </fill>
      <border/>
    </dxf>
    <dxf>
      <font>
        <color rgb="FF22CF50"/>
      </font>
      <fill>
        <patternFill patternType="solid">
          <fgColor rgb="FF2D2D2D"/>
          <bgColor rgb="FF2D2D2D"/>
        </patternFill>
      </fill>
      <border/>
    </dxf>
    <dxf>
      <font>
        <b/>
        <color rgb="FFEA4335"/>
      </font>
      <fill>
        <patternFill patternType="solid">
          <fgColor rgb="FFF4CCCC"/>
          <bgColor rgb="FFF4CCCC"/>
        </patternFill>
      </fill>
      <border/>
    </dxf>
    <dxf>
      <font>
        <b/>
        <color rgb="FFFF0E0E"/>
      </font>
      <fill>
        <patternFill patternType="solid">
          <fgColor rgb="FFF4CCCC"/>
          <bgColor rgb="FFF4CCCC"/>
        </patternFill>
      </fill>
      <border/>
    </dxf>
    <dxf>
      <font>
        <color rgb="FFFFFFFF"/>
      </font>
      <fill>
        <patternFill patternType="solid">
          <fgColor rgb="FF0B8043"/>
          <bgColor rgb="FF0B8043"/>
        </patternFill>
      </fill>
      <border/>
    </dxf>
    <dxf>
      <font>
        <b/>
        <color rgb="FFFFFFFF"/>
      </font>
      <fill>
        <patternFill patternType="solid">
          <fgColor rgb="FFF10707"/>
          <bgColor rgb="FFF10707"/>
        </patternFill>
      </fill>
      <border/>
    </dxf>
    <dxf>
      <font>
        <b/>
        <color rgb="FFFFFFFF"/>
      </font>
      <fill>
        <patternFill patternType="solid">
          <fgColor rgb="FFA854E0"/>
          <bgColor rgb="FFA854E0"/>
        </patternFill>
      </fill>
      <border/>
    </dxf>
    <dxf>
      <font>
        <color rgb="FFFFFFFF"/>
      </font>
      <fill>
        <patternFill patternType="solid">
          <fgColor rgb="FF2D2D2D"/>
          <bgColor rgb="FF2D2D2D"/>
        </patternFill>
      </fill>
      <border/>
    </dxf>
    <dxf>
      <font>
        <color theme="0"/>
      </font>
      <fill>
        <patternFill patternType="solid">
          <fgColor rgb="FF2D2D2D"/>
          <bgColor rgb="FF2D2D2D"/>
        </patternFill>
      </fill>
      <border/>
    </dxf>
    <dxf>
      <font>
        <b/>
        <color rgb="FFFF6D01"/>
      </font>
      <fill>
        <patternFill patternType="solid">
          <fgColor rgb="FF2D2D2D"/>
          <bgColor rgb="FF2D2D2D"/>
        </patternFill>
      </fill>
      <border/>
    </dxf>
    <dxf>
      <font>
        <b/>
        <color rgb="FFFF0E0E"/>
      </font>
      <fill>
        <patternFill patternType="solid">
          <fgColor rgb="FF2D2D2D"/>
          <bgColor rgb="FF2D2D2D"/>
        </patternFill>
      </fill>
      <border/>
    </dxf>
    <dxf>
      <font>
        <b/>
        <color rgb="FFC4EE23"/>
      </font>
      <fill>
        <patternFill patternType="solid">
          <fgColor rgb="FF2D2D2D"/>
          <bgColor rgb="FF2D2D2D"/>
        </patternFill>
      </fill>
      <border/>
    </dxf>
    <dxf>
      <font>
        <b/>
        <color rgb="FF00D9FF"/>
      </font>
      <fill>
        <patternFill patternType="solid">
          <fgColor rgb="FF2D2D2D"/>
          <bgColor rgb="FF2D2D2D"/>
        </patternFill>
      </fill>
      <border/>
    </dxf>
    <dxf>
      <font>
        <color rgb="FFFF9900"/>
      </font>
      <fill>
        <patternFill patternType="solid">
          <fgColor rgb="FF2D2D2D"/>
          <bgColor rgb="FF2D2D2D"/>
        </patternFill>
      </fill>
      <border/>
    </dxf>
    <dxf>
      <font>
        <b/>
        <color rgb="FFFF0000"/>
      </font>
      <fill>
        <patternFill patternType="solid">
          <fgColor rgb="FF2D2D2D"/>
          <bgColor rgb="FF2D2D2D"/>
        </patternFill>
      </fill>
      <border/>
    </dxf>
    <dxf>
      <font>
        <b/>
        <color rgb="FF3E3EF1"/>
      </font>
      <fill>
        <patternFill patternType="solid">
          <fgColor rgb="FF2D2D2D"/>
          <bgColor rgb="FF2D2D2D"/>
        </patternFill>
      </fill>
      <border/>
    </dxf>
    <dxf>
      <font>
        <b/>
        <color rgb="FF0050FF"/>
      </font>
      <fill>
        <patternFill patternType="solid">
          <fgColor rgb="FF2D2D2D"/>
          <bgColor rgb="FF2D2D2D"/>
        </patternFill>
      </fill>
      <border/>
    </dxf>
    <dxf>
      <font>
        <b/>
        <color theme="9"/>
      </font>
      <fill>
        <patternFill patternType="solid">
          <fgColor rgb="FF2D2D2D"/>
          <bgColor rgb="FF2D2D2D"/>
        </patternFill>
      </fill>
      <border/>
    </dxf>
    <dxf>
      <font>
        <b/>
        <color rgb="FF00FF00"/>
      </font>
      <fill>
        <patternFill patternType="solid">
          <fgColor rgb="FF2D2D2D"/>
          <bgColor rgb="FF2D2D2D"/>
        </patternFill>
      </fill>
      <border/>
    </dxf>
    <dxf>
      <font>
        <b/>
      </font>
      <fill>
        <patternFill patternType="solid">
          <fgColor rgb="FFFCE8B2"/>
          <bgColor rgb="FFFCE8B2"/>
        </patternFill>
      </fill>
      <border/>
    </dxf>
    <dxf>
      <font>
        <b/>
        <color rgb="FF000000"/>
      </font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Operating Profit Margin Strategy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'OPM % Stgy'!$B$5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>Trend line</c:name>
            <c:spPr>
              <a:ln w="9525">
                <a:solidFill>
                  <a:srgbClr val="FF0000"/>
                </a:solidFill>
              </a:ln>
            </c:spPr>
            <c:trendlineType val="linear"/>
            <c:dispRSqr val="0"/>
            <c:dispEq val="0"/>
          </c:trendline>
          <c:cat>
            <c:strRef>
              <c:f>'OPM % Stgy'!$C$4:$O$4</c:f>
            </c:strRef>
          </c:cat>
          <c:val>
            <c:numRef>
              <c:f>'OPM % Stgy'!$C$5:$O$5</c:f>
              <c:numCache/>
            </c:numRef>
          </c:val>
        </c:ser>
        <c:axId val="650957286"/>
        <c:axId val="451740002"/>
      </c:areaChart>
      <c:catAx>
        <c:axId val="6509572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51740002"/>
      </c:catAx>
      <c:valAx>
        <c:axId val="4517400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OPM %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0957286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E599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Financing Margin Percentage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'OPM % Stgy'!$B$57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  <a:prstDash val="solid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>Trend line</c:name>
            <c:spPr>
              <a:ln w="9525">
                <a:solidFill>
                  <a:srgbClr val="FF0000"/>
                </a:solidFill>
              </a:ln>
            </c:spPr>
            <c:trendlineType val="linear"/>
            <c:dispRSqr val="0"/>
            <c:dispEq val="0"/>
          </c:trendline>
          <c:cat>
            <c:strRef>
              <c:f>'OPM % Stgy'!$C$56:$O$56</c:f>
            </c:strRef>
          </c:cat>
          <c:val>
            <c:numRef>
              <c:f>'OPM % Stgy'!$C$57:$O$57</c:f>
              <c:numCache/>
            </c:numRef>
          </c:val>
        </c:ser>
        <c:axId val="1595572188"/>
        <c:axId val="1956590091"/>
      </c:areaChart>
      <c:catAx>
        <c:axId val="15955721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6590091"/>
      </c:catAx>
      <c:valAx>
        <c:axId val="19565900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Financing Margin %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55721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6AA84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Net Profit &amp; Borrowings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'OPM % Stgy'!$B$6</c:f>
            </c:strRef>
          </c:tx>
          <c:spPr>
            <a:solidFill>
              <a:schemeClr val="accent4">
                <a:alpha val="30000"/>
              </a:schemeClr>
            </a:solidFill>
            <a:ln cmpd="sng">
              <a:solidFill>
                <a:schemeClr val="accent4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>Trend line</c:name>
            <c:spPr>
              <a:ln w="19050">
                <a:solidFill>
                  <a:srgbClr val="3EAA5B"/>
                </a:solidFill>
              </a:ln>
            </c:spPr>
            <c:trendlineType val="linear"/>
            <c:dispRSqr val="0"/>
            <c:dispEq val="0"/>
          </c:trendline>
          <c:cat>
            <c:strRef>
              <c:f>'OPM % Stgy'!$C$4:$O$4</c:f>
            </c:strRef>
          </c:cat>
          <c:val>
            <c:numRef>
              <c:f>'OPM % Stgy'!$C$6:$O$6</c:f>
              <c:numCache/>
            </c:numRef>
          </c:val>
        </c:ser>
        <c:ser>
          <c:idx val="1"/>
          <c:order val="1"/>
          <c:tx>
            <c:strRef>
              <c:f>'OPM % Stgy'!$B$7</c:f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EA4335"/>
                </a:solidFill>
              </a:ln>
            </c:spPr>
            <c:trendlineType val="linear"/>
            <c:dispRSqr val="0"/>
            <c:dispEq val="0"/>
          </c:trendline>
          <c:cat>
            <c:strRef>
              <c:f>'OPM % Stgy'!$C$4:$O$4</c:f>
            </c:strRef>
          </c:cat>
          <c:val>
            <c:numRef>
              <c:f>'OPM % Stgy'!$C$7:$O$7</c:f>
              <c:numCache/>
            </c:numRef>
          </c:val>
        </c:ser>
        <c:axId val="1184175972"/>
        <c:axId val="1426672777"/>
      </c:areaChart>
      <c:catAx>
        <c:axId val="11841759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426672777"/>
      </c:catAx>
      <c:valAx>
        <c:axId val="14266727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Net Profit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4175972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9CB9C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Net Profit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'OPM % Stgy'!$B$58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>Trend line</c:name>
            <c:spPr>
              <a:ln w="9525">
                <a:solidFill>
                  <a:srgbClr val="FF0000"/>
                </a:solidFill>
              </a:ln>
            </c:spPr>
            <c:trendlineType val="linear"/>
            <c:dispRSqr val="0"/>
            <c:dispEq val="0"/>
          </c:trendline>
          <c:cat>
            <c:strRef>
              <c:f>'OPM % Stgy'!$C$56:$O$56</c:f>
            </c:strRef>
          </c:cat>
          <c:val>
            <c:numRef>
              <c:f>'OPM % Stgy'!$C$58:$O$58</c:f>
              <c:numCache/>
            </c:numRef>
          </c:val>
        </c:ser>
        <c:axId val="1753455139"/>
        <c:axId val="596909699"/>
      </c:areaChart>
      <c:catAx>
        <c:axId val="17534551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6909699"/>
      </c:catAx>
      <c:valAx>
        <c:axId val="5969096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Net Profit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34551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93C47D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Remaining Amount Chart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"/>
            <c:explosion val="0"/>
            <c:spPr>
              <a:solidFill>
                <a:srgbClr val="EA4335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34A853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F6D01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46BDC6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Pt>
            <c:idx val="89"/>
          </c:dPt>
          <c:dPt>
            <c:idx val="90"/>
          </c:dPt>
          <c:dPt>
            <c:idx val="91"/>
          </c:dPt>
          <c:dPt>
            <c:idx val="92"/>
          </c:dPt>
          <c:dPt>
            <c:idx val="93"/>
          </c:dPt>
          <c:dPt>
            <c:idx val="94"/>
          </c:dPt>
          <c:dPt>
            <c:idx val="95"/>
          </c:dPt>
          <c:dPt>
            <c:idx val="96"/>
          </c:dPt>
          <c:dPt>
            <c:idx val="97"/>
          </c:dPt>
          <c:dPt>
            <c:idx val="98"/>
          </c:dPt>
          <c:dPt>
            <c:idx val="99"/>
          </c:dPt>
          <c:dPt>
            <c:idx val="100"/>
          </c:dPt>
          <c:dPt>
            <c:idx val="101"/>
          </c:dPt>
          <c:dPt>
            <c:idx val="102"/>
          </c:dPt>
          <c:dPt>
            <c:idx val="103"/>
          </c:dPt>
          <c:dPt>
            <c:idx val="104"/>
          </c:dPt>
          <c:dPt>
            <c:idx val="105"/>
          </c:dPt>
          <c:dPt>
            <c:idx val="106"/>
          </c:dPt>
          <c:dPt>
            <c:idx val="107"/>
          </c:dPt>
          <c:dPt>
            <c:idx val="108"/>
          </c:dPt>
          <c:dPt>
            <c:idx val="109"/>
          </c:dPt>
          <c:dPt>
            <c:idx val="110"/>
          </c:dPt>
          <c:dPt>
            <c:idx val="111"/>
          </c:dPt>
          <c:dPt>
            <c:idx val="112"/>
          </c:dPt>
          <c:dPt>
            <c:idx val="113"/>
          </c:dPt>
          <c:dPt>
            <c:idx val="114"/>
          </c:dPt>
          <c:dPt>
            <c:idx val="115"/>
          </c:dPt>
          <c:dPt>
            <c:idx val="116"/>
          </c:dPt>
          <c:dPt>
            <c:idx val="117"/>
          </c:dPt>
          <c:dPt>
            <c:idx val="118"/>
          </c:dPt>
          <c:dPt>
            <c:idx val="119"/>
          </c:dPt>
          <c:dPt>
            <c:idx val="120"/>
          </c:dPt>
          <c:dPt>
            <c:idx val="121"/>
          </c:dPt>
          <c:dPt>
            <c:idx val="122"/>
          </c:dPt>
          <c:dPt>
            <c:idx val="123"/>
          </c:dPt>
          <c:dPt>
            <c:idx val="124"/>
          </c:dPt>
          <c:dPt>
            <c:idx val="125"/>
          </c:dPt>
          <c:dPt>
            <c:idx val="126"/>
          </c:dPt>
          <c:dPt>
            <c:idx val="127"/>
          </c:dPt>
          <c:dPt>
            <c:idx val="128"/>
          </c:dPt>
          <c:dPt>
            <c:idx val="129"/>
          </c:dPt>
          <c:dPt>
            <c:idx val="130"/>
          </c:dPt>
          <c:dPt>
            <c:idx val="131"/>
          </c:dPt>
          <c:dPt>
            <c:idx val="132"/>
          </c:dPt>
          <c:dPt>
            <c:idx val="133"/>
          </c:dPt>
          <c:dPt>
            <c:idx val="134"/>
          </c:dPt>
          <c:dPt>
            <c:idx val="135"/>
          </c:dPt>
          <c:dPt>
            <c:idx val="136"/>
          </c:dPt>
          <c:dPt>
            <c:idx val="137"/>
          </c:dPt>
          <c:dPt>
            <c:idx val="138"/>
          </c:dPt>
          <c:dPt>
            <c:idx val="139"/>
          </c:dPt>
          <c:dPt>
            <c:idx val="140"/>
          </c:dPt>
          <c:dPt>
            <c:idx val="141"/>
          </c:dPt>
          <c:dPt>
            <c:idx val="142"/>
          </c:dPt>
          <c:dPt>
            <c:idx val="143"/>
          </c:dPt>
          <c:dPt>
            <c:idx val="144"/>
          </c:dPt>
          <c:dPt>
            <c:idx val="145"/>
          </c:dPt>
          <c:dPt>
            <c:idx val="146"/>
          </c:dPt>
          <c:dPt>
            <c:idx val="147"/>
          </c:dPt>
          <c:dPt>
            <c:idx val="148"/>
          </c:dPt>
          <c:dPt>
            <c:idx val="149"/>
          </c:dPt>
          <c:dPt>
            <c:idx val="150"/>
          </c:dPt>
          <c:dPt>
            <c:idx val="151"/>
          </c:dPt>
          <c:dPt>
            <c:idx val="152"/>
          </c:dPt>
          <c:dPt>
            <c:idx val="153"/>
          </c:dPt>
          <c:dPt>
            <c:idx val="154"/>
          </c:dPt>
          <c:dPt>
            <c:idx val="155"/>
          </c:dPt>
          <c:dPt>
            <c:idx val="156"/>
          </c:dPt>
          <c:dPt>
            <c:idx val="157"/>
          </c:dPt>
          <c:dPt>
            <c:idx val="158"/>
          </c:dPt>
          <c:dPt>
            <c:idx val="159"/>
          </c:dPt>
          <c:dPt>
            <c:idx val="160"/>
          </c:dPt>
          <c:dPt>
            <c:idx val="161"/>
          </c:dPt>
          <c:dPt>
            <c:idx val="162"/>
          </c:dPt>
          <c:dPt>
            <c:idx val="163"/>
          </c:dPt>
          <c:dPt>
            <c:idx val="164"/>
          </c:dPt>
          <c:dPt>
            <c:idx val="165"/>
          </c:dPt>
          <c:dPt>
            <c:idx val="166"/>
          </c:dPt>
          <c:dPt>
            <c:idx val="167"/>
          </c:dPt>
          <c:dPt>
            <c:idx val="168"/>
          </c:dPt>
          <c:dPt>
            <c:idx val="169"/>
          </c:dPt>
          <c:dPt>
            <c:idx val="170"/>
          </c:dPt>
          <c:dPt>
            <c:idx val="171"/>
          </c:dPt>
          <c:dPt>
            <c:idx val="172"/>
          </c:dPt>
          <c:dPt>
            <c:idx val="173"/>
          </c:dPt>
          <c:dPt>
            <c:idx val="174"/>
          </c:dPt>
          <c:dPt>
            <c:idx val="175"/>
          </c:dPt>
          <c:dPt>
            <c:idx val="176"/>
          </c:dPt>
          <c:dPt>
            <c:idx val="177"/>
          </c:dPt>
          <c:dPt>
            <c:idx val="178"/>
          </c:dPt>
          <c:dPt>
            <c:idx val="179"/>
          </c:dPt>
          <c:dPt>
            <c:idx val="180"/>
          </c:dPt>
          <c:dPt>
            <c:idx val="181"/>
          </c:dPt>
          <c:dPt>
            <c:idx val="182"/>
          </c:dPt>
          <c:dPt>
            <c:idx val="183"/>
          </c:dPt>
          <c:dPt>
            <c:idx val="184"/>
          </c:dPt>
          <c:dPt>
            <c:idx val="185"/>
          </c:dPt>
          <c:dPt>
            <c:idx val="186"/>
          </c:dPt>
          <c:dPt>
            <c:idx val="187"/>
          </c:dPt>
          <c:dPt>
            <c:idx val="188"/>
          </c:dPt>
          <c:dPt>
            <c:idx val="189"/>
          </c:dPt>
          <c:dPt>
            <c:idx val="190"/>
          </c:dPt>
          <c:dPt>
            <c:idx val="191"/>
          </c:dPt>
          <c:dPt>
            <c:idx val="192"/>
          </c:dPt>
          <c:dPt>
            <c:idx val="193"/>
          </c:dPt>
          <c:dPt>
            <c:idx val="194"/>
          </c:dPt>
          <c:dPt>
            <c:idx val="195"/>
          </c:dPt>
          <c:dPt>
            <c:idx val="196"/>
          </c:dPt>
          <c:dPt>
            <c:idx val="197"/>
          </c:dPt>
          <c:dPt>
            <c:idx val="198"/>
          </c:dPt>
          <c:dPt>
            <c:idx val="199"/>
          </c:dPt>
          <c:dPt>
            <c:idx val="200"/>
          </c:dPt>
          <c:dPt>
            <c:idx val="201"/>
          </c:dPt>
          <c:dPt>
            <c:idx val="202"/>
          </c:dPt>
          <c:dPt>
            <c:idx val="203"/>
          </c:dPt>
          <c:dPt>
            <c:idx val="204"/>
          </c:dPt>
          <c:dPt>
            <c:idx val="205"/>
          </c:dPt>
          <c:dPt>
            <c:idx val="206"/>
          </c:dPt>
          <c:dPt>
            <c:idx val="207"/>
          </c:dPt>
          <c:dPt>
            <c:idx val="208"/>
          </c:dPt>
          <c:dPt>
            <c:idx val="209"/>
          </c:dPt>
          <c:dPt>
            <c:idx val="210"/>
          </c:dPt>
          <c:dPt>
            <c:idx val="211"/>
          </c:dPt>
          <c:dPt>
            <c:idx val="212"/>
          </c:dPt>
          <c:dPt>
            <c:idx val="213"/>
          </c:dPt>
          <c:dPt>
            <c:idx val="214"/>
          </c:dPt>
          <c:dPt>
            <c:idx val="215"/>
          </c:dPt>
          <c:dPt>
            <c:idx val="216"/>
          </c:dPt>
          <c:dPt>
            <c:idx val="217"/>
          </c:dPt>
          <c:dPt>
            <c:idx val="218"/>
          </c:dPt>
          <c:dPt>
            <c:idx val="219"/>
          </c:dPt>
          <c:dPt>
            <c:idx val="220"/>
          </c:dPt>
          <c:dPt>
            <c:idx val="221"/>
          </c:dPt>
          <c:dPt>
            <c:idx val="222"/>
          </c:dPt>
          <c:dPt>
            <c:idx val="223"/>
          </c:dPt>
          <c:dPt>
            <c:idx val="224"/>
          </c:dPt>
          <c:dPt>
            <c:idx val="225"/>
          </c:dPt>
          <c:dPt>
            <c:idx val="226"/>
          </c:dPt>
          <c:dPt>
            <c:idx val="227"/>
          </c:dPt>
          <c:dPt>
            <c:idx val="228"/>
          </c:dPt>
          <c:dPt>
            <c:idx val="229"/>
          </c:dPt>
          <c:dPt>
            <c:idx val="230"/>
          </c:dPt>
          <c:dPt>
            <c:idx val="231"/>
          </c:dPt>
          <c:dPt>
            <c:idx val="232"/>
          </c:dPt>
          <c:dPt>
            <c:idx val="233"/>
          </c:dPt>
          <c:dPt>
            <c:idx val="234"/>
          </c:dPt>
          <c:dPt>
            <c:idx val="235"/>
          </c:dPt>
          <c:dPt>
            <c:idx val="236"/>
          </c:dPt>
          <c:dPt>
            <c:idx val="237"/>
          </c:dPt>
          <c:dPt>
            <c:idx val="238"/>
          </c:dPt>
          <c:dPt>
            <c:idx val="239"/>
          </c:dPt>
          <c:dPt>
            <c:idx val="240"/>
          </c:dPt>
          <c:dPt>
            <c:idx val="241"/>
          </c:dPt>
          <c:dPt>
            <c:idx val="242"/>
          </c:dPt>
          <c:dPt>
            <c:idx val="243"/>
          </c:dPt>
          <c:dPt>
            <c:idx val="244"/>
          </c:dPt>
          <c:dPt>
            <c:idx val="245"/>
          </c:dPt>
          <c:dPt>
            <c:idx val="246"/>
          </c:dPt>
          <c:dPt>
            <c:idx val="247"/>
          </c:dPt>
          <c:dPt>
            <c:idx val="248"/>
          </c:dPt>
          <c:dPt>
            <c:idx val="249"/>
          </c:dPt>
          <c:dPt>
            <c:idx val="250"/>
          </c:dPt>
          <c:dPt>
            <c:idx val="251"/>
          </c:dPt>
          <c:dPt>
            <c:idx val="252"/>
          </c:dPt>
          <c:dPt>
            <c:idx val="253"/>
          </c:dPt>
          <c:dPt>
            <c:idx val="254"/>
          </c:dPt>
          <c:dPt>
            <c:idx val="255"/>
          </c:dPt>
          <c:dPt>
            <c:idx val="256"/>
          </c:dPt>
          <c:dPt>
            <c:idx val="257"/>
          </c:dPt>
          <c:dPt>
            <c:idx val="258"/>
          </c:dPt>
          <c:dPt>
            <c:idx val="259"/>
          </c:dPt>
          <c:dPt>
            <c:idx val="260"/>
          </c:dPt>
          <c:dPt>
            <c:idx val="261"/>
          </c:dPt>
          <c:dPt>
            <c:idx val="262"/>
          </c:dPt>
          <c:dPt>
            <c:idx val="263"/>
          </c:dPt>
          <c:dPt>
            <c:idx val="264"/>
          </c:dPt>
          <c:dPt>
            <c:idx val="265"/>
          </c:dPt>
          <c:dPt>
            <c:idx val="266"/>
          </c:dPt>
          <c:dPt>
            <c:idx val="267"/>
          </c:dPt>
          <c:dPt>
            <c:idx val="268"/>
          </c:dPt>
          <c:dPt>
            <c:idx val="269"/>
          </c:dPt>
          <c:dPt>
            <c:idx val="270"/>
          </c:dPt>
          <c:dPt>
            <c:idx val="271"/>
          </c:dPt>
          <c:dPt>
            <c:idx val="272"/>
          </c:dPt>
          <c:dPt>
            <c:idx val="273"/>
          </c:dPt>
          <c:dPt>
            <c:idx val="274"/>
          </c:dPt>
          <c:dPt>
            <c:idx val="275"/>
          </c:dPt>
          <c:dPt>
            <c:idx val="276"/>
          </c:dPt>
          <c:dPt>
            <c:idx val="277"/>
          </c:dPt>
          <c:dPt>
            <c:idx val="278"/>
          </c:dPt>
          <c:dPt>
            <c:idx val="279"/>
          </c:dPt>
          <c:dPt>
            <c:idx val="280"/>
          </c:dPt>
          <c:dPt>
            <c:idx val="281"/>
          </c:dPt>
          <c:dPt>
            <c:idx val="282"/>
          </c:dPt>
          <c:dPt>
            <c:idx val="283"/>
          </c:dPt>
          <c:dPt>
            <c:idx val="284"/>
          </c:dPt>
          <c:dPt>
            <c:idx val="285"/>
          </c:dPt>
          <c:dPt>
            <c:idx val="286"/>
          </c:dPt>
          <c:dPt>
            <c:idx val="287"/>
          </c:dPt>
          <c:dPt>
            <c:idx val="288"/>
          </c:dPt>
          <c:dPt>
            <c:idx val="289"/>
          </c:dPt>
          <c:dPt>
            <c:idx val="290"/>
          </c:dPt>
          <c:dPt>
            <c:idx val="291"/>
          </c:dPt>
          <c:dPt>
            <c:idx val="292"/>
          </c:dPt>
          <c:dPt>
            <c:idx val="293"/>
          </c:dPt>
          <c:dPt>
            <c:idx val="294"/>
          </c:dPt>
          <c:dPt>
            <c:idx val="295"/>
          </c:dPt>
          <c:dPt>
            <c:idx val="296"/>
          </c:dPt>
          <c:dPt>
            <c:idx val="297"/>
          </c:dPt>
          <c:dPt>
            <c:idx val="298"/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'Amount Allocation'!$A$2:$A$300</c:f>
            </c:strRef>
          </c:cat>
          <c:val>
            <c:numRef>
              <c:f>'Amount Allocation'!$D$2:$D$300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9.jpg"/><Relationship Id="rId3" Type="http://schemas.openxmlformats.org/officeDocument/2006/relationships/image" Target="../media/image7.jpg"/><Relationship Id="rId4" Type="http://schemas.openxmlformats.org/officeDocument/2006/relationships/image" Target="../media/image8.jpg"/><Relationship Id="rId5" Type="http://schemas.openxmlformats.org/officeDocument/2006/relationships/image" Target="../media/image5.jpg"/><Relationship Id="rId6" Type="http://schemas.openxmlformats.org/officeDocument/2006/relationships/image" Target="../media/image10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314325</xdr:colOff>
      <xdr:row>3</xdr:row>
      <xdr:rowOff>104775</xdr:rowOff>
    </xdr:from>
    <xdr:ext cx="476250" cy="333375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1276350</xdr:colOff>
      <xdr:row>3</xdr:row>
      <xdr:rowOff>104775</xdr:rowOff>
    </xdr:from>
    <xdr:ext cx="476250" cy="33337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390525</xdr:colOff>
      <xdr:row>3</xdr:row>
      <xdr:rowOff>104775</xdr:rowOff>
    </xdr:from>
    <xdr:ext cx="476250" cy="333375"/>
    <xdr:pic>
      <xdr:nvPicPr>
        <xdr:cNvPr id="0" name="image3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600075</xdr:colOff>
      <xdr:row>3</xdr:row>
      <xdr:rowOff>104775</xdr:rowOff>
    </xdr:from>
    <xdr:ext cx="476250" cy="333375"/>
    <xdr:pic>
      <xdr:nvPicPr>
        <xdr:cNvPr id="0" name="image6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447675</xdr:colOff>
      <xdr:row>3</xdr:row>
      <xdr:rowOff>104775</xdr:rowOff>
    </xdr:from>
    <xdr:ext cx="476250" cy="333375"/>
    <xdr:pic>
      <xdr:nvPicPr>
        <xdr:cNvPr id="0" name="image9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390525</xdr:colOff>
      <xdr:row>3</xdr:row>
      <xdr:rowOff>104775</xdr:rowOff>
    </xdr:from>
    <xdr:ext cx="476250" cy="333375"/>
    <xdr:pic>
      <xdr:nvPicPr>
        <xdr:cNvPr id="0" name="image4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3</xdr:row>
      <xdr:rowOff>104775</xdr:rowOff>
    </xdr:from>
    <xdr:ext cx="476250" cy="333375"/>
    <xdr:pic>
      <xdr:nvPicPr>
        <xdr:cNvPr id="0" name="image7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381000</xdr:colOff>
      <xdr:row>3</xdr:row>
      <xdr:rowOff>104775</xdr:rowOff>
    </xdr:from>
    <xdr:ext cx="542925" cy="333375"/>
    <xdr:pic>
      <xdr:nvPicPr>
        <xdr:cNvPr id="0" name="image8.jp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323850</xdr:colOff>
      <xdr:row>3</xdr:row>
      <xdr:rowOff>104775</xdr:rowOff>
    </xdr:from>
    <xdr:ext cx="476250" cy="333375"/>
    <xdr:pic>
      <xdr:nvPicPr>
        <xdr:cNvPr id="0" name="image5.jp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514350</xdr:colOff>
      <xdr:row>3</xdr:row>
      <xdr:rowOff>104775</xdr:rowOff>
    </xdr:from>
    <xdr:ext cx="476250" cy="333375"/>
    <xdr:pic>
      <xdr:nvPicPr>
        <xdr:cNvPr id="0" name="image10.jp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</xdr:colOff>
      <xdr:row>8</xdr:row>
      <xdr:rowOff>66675</xdr:rowOff>
    </xdr:from>
    <xdr:ext cx="9315450" cy="41529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9525</xdr:colOff>
      <xdr:row>60</xdr:row>
      <xdr:rowOff>19050</xdr:rowOff>
    </xdr:from>
    <xdr:ext cx="9258300" cy="39433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30</xdr:row>
      <xdr:rowOff>104775</xdr:rowOff>
    </xdr:from>
    <xdr:ext cx="9315450" cy="39909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9525</xdr:colOff>
      <xdr:row>81</xdr:row>
      <xdr:rowOff>0</xdr:rowOff>
    </xdr:from>
    <xdr:ext cx="9258300" cy="39433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</xdr:colOff>
      <xdr:row>1</xdr:row>
      <xdr:rowOff>9525</xdr:rowOff>
    </xdr:from>
    <xdr:ext cx="6667500" cy="37528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75"/>
    <col customWidth="1" min="2" max="2" width="18.5"/>
    <col customWidth="1" min="3" max="3" width="39.25"/>
    <col customWidth="1" min="4" max="4" width="22.13"/>
    <col customWidth="1" min="5" max="5" width="18.63"/>
    <col customWidth="1" min="6" max="6" width="18.0"/>
    <col customWidth="1" min="7" max="7" width="17.63"/>
    <col customWidth="1" min="8" max="8" width="12.5"/>
    <col customWidth="1" min="9" max="9" width="18.25"/>
    <col customWidth="1" min="10" max="10" width="21.63"/>
    <col customWidth="1" min="11" max="11" width="16.25"/>
    <col customWidth="1" min="12" max="12" width="12.38"/>
    <col customWidth="1" min="13" max="13" width="18.75"/>
    <col customWidth="1" min="14" max="14" width="20.13"/>
    <col customWidth="1" min="15" max="15" width="19.0"/>
    <col customWidth="1" min="16" max="16" width="5.75"/>
  </cols>
  <sheetData>
    <row r="1" ht="22.5" customHeight="1">
      <c r="A1" s="1"/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4"/>
    </row>
    <row r="2" ht="37.5" customHeight="1">
      <c r="A2" s="5"/>
      <c r="B2" s="6">
        <f>Now()</f>
        <v>46210.80511</v>
      </c>
      <c r="C2" s="7"/>
      <c r="D2" s="7"/>
      <c r="E2" s="7"/>
      <c r="F2" s="7"/>
      <c r="G2" s="7"/>
      <c r="H2" s="7"/>
      <c r="I2" s="8" t="str">
        <f>if(OR((weekday(B2))=1,(weekday(B2))=7),"Market Closed",if(time(hour(now()),minute(now()),second(now()))&gt;TIME(15,30,0),"Market Closed",if((time(hour(now()),minute(now()),second(now()))&gt;TIME(9,15,0)),"Market Open","Market Closed")))</f>
        <v>Market Closed</v>
      </c>
      <c r="J2" s="7"/>
      <c r="K2" s="7"/>
      <c r="L2" s="7"/>
      <c r="M2" s="7"/>
      <c r="N2" s="7"/>
      <c r="O2" s="9"/>
      <c r="P2" s="10"/>
    </row>
    <row r="3">
      <c r="A3" s="11"/>
      <c r="B3" s="12" t="s">
        <v>0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4"/>
      <c r="P3" s="15"/>
    </row>
    <row r="4" ht="41.25" customHeight="1">
      <c r="A4" s="16"/>
      <c r="B4" s="17"/>
      <c r="C4" s="18"/>
      <c r="D4" s="18"/>
      <c r="E4" s="17"/>
      <c r="F4" s="18"/>
      <c r="G4" s="18"/>
      <c r="H4" s="18"/>
      <c r="I4" s="18"/>
      <c r="J4" s="18"/>
      <c r="K4" s="18"/>
      <c r="L4" s="17" t="s">
        <v>1</v>
      </c>
      <c r="M4" s="19"/>
      <c r="N4" s="19"/>
      <c r="O4" s="20"/>
      <c r="P4" s="21"/>
    </row>
    <row r="5">
      <c r="A5" s="22"/>
      <c r="B5" s="23" t="s">
        <v>2</v>
      </c>
      <c r="C5" s="24" t="s">
        <v>2</v>
      </c>
      <c r="D5" s="25" t="s">
        <v>3</v>
      </c>
      <c r="E5" s="25" t="s">
        <v>2</v>
      </c>
      <c r="F5" s="25" t="s">
        <v>4</v>
      </c>
      <c r="G5" s="25" t="s">
        <v>5</v>
      </c>
      <c r="H5" s="25" t="s">
        <v>6</v>
      </c>
      <c r="I5" s="25" t="s">
        <v>7</v>
      </c>
      <c r="J5" s="25" t="s">
        <v>8</v>
      </c>
      <c r="K5" s="25" t="s">
        <v>9</v>
      </c>
      <c r="L5" s="25" t="s">
        <v>10</v>
      </c>
      <c r="M5" s="25" t="s">
        <v>11</v>
      </c>
      <c r="N5" s="25" t="s">
        <v>12</v>
      </c>
      <c r="O5" s="25" t="s">
        <v>13</v>
      </c>
      <c r="P5" s="26"/>
    </row>
    <row r="6">
      <c r="A6" s="27"/>
      <c r="B6" s="28" t="s">
        <v>14</v>
      </c>
      <c r="C6" s="29" t="s">
        <v>15</v>
      </c>
      <c r="D6" s="29" t="s">
        <v>16</v>
      </c>
      <c r="E6" s="29" t="s">
        <v>17</v>
      </c>
      <c r="F6" s="29" t="s">
        <v>18</v>
      </c>
      <c r="G6" s="29" t="s">
        <v>19</v>
      </c>
      <c r="H6" s="29" t="s">
        <v>20</v>
      </c>
      <c r="I6" s="29" t="s">
        <v>21</v>
      </c>
      <c r="J6" s="29" t="s">
        <v>22</v>
      </c>
      <c r="K6" s="29" t="s">
        <v>23</v>
      </c>
      <c r="L6" s="29" t="s">
        <v>24</v>
      </c>
      <c r="M6" s="29" t="s">
        <v>25</v>
      </c>
      <c r="N6" s="29" t="s">
        <v>26</v>
      </c>
      <c r="O6" s="29" t="s">
        <v>27</v>
      </c>
      <c r="P6" s="30"/>
    </row>
    <row r="7">
      <c r="A7" s="27"/>
      <c r="B7" s="28" t="s">
        <v>28</v>
      </c>
      <c r="C7" s="29" t="s">
        <v>29</v>
      </c>
      <c r="D7" s="29" t="s">
        <v>30</v>
      </c>
      <c r="E7" s="29" t="s">
        <v>31</v>
      </c>
      <c r="F7" s="29" t="s">
        <v>32</v>
      </c>
      <c r="G7" s="29" t="s">
        <v>19</v>
      </c>
      <c r="H7" s="29" t="s">
        <v>33</v>
      </c>
      <c r="I7" s="29" t="s">
        <v>34</v>
      </c>
      <c r="J7" s="29" t="s">
        <v>35</v>
      </c>
      <c r="K7" s="29" t="s">
        <v>23</v>
      </c>
      <c r="L7" s="29" t="s">
        <v>36</v>
      </c>
      <c r="M7" s="29" t="s">
        <v>37</v>
      </c>
      <c r="N7" s="29" t="s">
        <v>38</v>
      </c>
      <c r="O7" s="29" t="s">
        <v>39</v>
      </c>
      <c r="P7" s="31"/>
    </row>
    <row r="8">
      <c r="A8" s="32"/>
      <c r="B8" s="33">
        <f>IFERROR(__xludf.DUMMYFUNCTION("GOOGLEFINANCE(B7)"),53179.02)</f>
        <v>53179.02</v>
      </c>
      <c r="C8" s="34">
        <f>IFERROR(__xludf.DUMMYFUNCTION("GOOGLEFINANCE(C7)"),7525.82)</f>
        <v>7525.82</v>
      </c>
      <c r="D8" s="34">
        <f>IFERROR(__xludf.DUMMYFUNCTION("GOOGLEFINANCE(D7)"),25928.17)</f>
        <v>25928.17</v>
      </c>
      <c r="E8" s="34">
        <f>IFERROR(__xludf.DUMMYFUNCTION("GOOGLEFINANCE(E7)"),3009.54)</f>
        <v>3009.54</v>
      </c>
      <c r="F8" s="34">
        <f>IFERROR(__xludf.DUMMYFUNCTION("GOOGLEFINANCE(F7)"),24398.7)</f>
        <v>24398.7</v>
      </c>
      <c r="G8" s="34">
        <f>IFERROR(__xludf.DUMMYFUNCTION("GOOGLEFINANCE(G7)"),78180.72)</f>
        <v>78180.72</v>
      </c>
      <c r="H8" s="34">
        <f>IFERROR(__xludf.DUMMYFUNCTION("GOOGLEFINANCE(H7)"),68256.96)</f>
        <v>68256.96</v>
      </c>
      <c r="I8" s="34">
        <f>IFERROR(__xludf.DUMMYFUNCTION("GOOGLEFINANCE(I7)"),45479.11)</f>
        <v>45479.11</v>
      </c>
      <c r="J8" s="34">
        <f>IFERROR(__xludf.DUMMYFUNCTION("GOOGLEFINANCE(J7)"),23496.89)</f>
        <v>23496.89</v>
      </c>
      <c r="K8" s="34">
        <f>IFERROR(__xludf.DUMMYFUNCTION("GOOGLEFINANCE(K7)"),7656.31)</f>
        <v>7656.31</v>
      </c>
      <c r="L8" s="34">
        <f>IFERROR(__xludf.DUMMYFUNCTION("GOOGLEFINANCE(L7)"),10729.99)</f>
        <v>10729.99</v>
      </c>
      <c r="M8" s="34">
        <f>IFERROR(__xludf.DUMMYFUNCTION("GOOGLEFINANCE(M7)"),8500.94)</f>
        <v>8500.94</v>
      </c>
      <c r="N8" s="34">
        <f>IFERROR(__xludf.DUMMYFUNCTION("GOOGLEFINANCE(N7)"),25644.75)</f>
        <v>25644.75</v>
      </c>
      <c r="O8" s="34">
        <f>IFERROR(__xludf.DUMMYFUNCTION("GOOGLEFINANCE(O7)"),6361.62)</f>
        <v>6361.62</v>
      </c>
      <c r="P8" s="35"/>
    </row>
    <row r="9">
      <c r="A9" s="32"/>
      <c r="B9" s="33">
        <f>IFERROR(__xludf.DUMMYFUNCTION("GOOGLEFINANCE(B7,""Change"")"),123.11)</f>
        <v>123.11</v>
      </c>
      <c r="C9" s="34">
        <f>IFERROR(__xludf.DUMMYFUNCTION("GOOGLEFINANCE(C7,""Change"")"),-11.61)</f>
        <v>-11.61</v>
      </c>
      <c r="D9" s="34">
        <f>IFERROR(__xludf.DUMMYFUNCTION("GOOGLEFINANCE(D7,""Change"")"),-192.99)</f>
        <v>-192.99</v>
      </c>
      <c r="E9" s="34">
        <f>IFERROR(__xludf.DUMMYFUNCTION("GOOGLEFINANCE(E7,""Change"")"),13.43)</f>
        <v>13.43</v>
      </c>
      <c r="F9" s="34">
        <f>IFERROR(__xludf.DUMMYFUNCTION("GOOGLEFINANCE(F7,""Change"")"),-31.65)</f>
        <v>-31.65</v>
      </c>
      <c r="G9" s="34">
        <f>IFERROR(__xludf.DUMMYFUNCTION("GOOGLEFINANCE(G7,""Change"")"),-104.35)</f>
        <v>-104.35</v>
      </c>
      <c r="H9" s="34">
        <f>IFERROR(__xludf.DUMMYFUNCTION("GOOGLEFINANCE(H7,""Change"")"),-1480.73)</f>
        <v>-1480.73</v>
      </c>
      <c r="I9" s="34">
        <f>IFERROR(__xludf.DUMMYFUNCTION("GOOGLEFINANCE(I7,""Change"")"),-1077.28)</f>
        <v>-1077.28</v>
      </c>
      <c r="J9" s="34">
        <f>IFERROR(__xludf.DUMMYFUNCTION("GOOGLEFINANCE(J7,""Change"")"),-119.43)</f>
        <v>-119.43</v>
      </c>
      <c r="K9" s="34">
        <f>IFERROR(__xludf.DUMMYFUNCTION("GOOGLEFINANCE(K7,""Change"")"),-395.02)</f>
        <v>-395.02</v>
      </c>
      <c r="L9" s="34">
        <f>IFERROR(__xludf.DUMMYFUNCTION("GOOGLEFINANCE(L7,""Change"")"),78.22)</f>
        <v>78.22</v>
      </c>
      <c r="M9" s="34">
        <f>IFERROR(__xludf.DUMMYFUNCTION("GOOGLEFINANCE(M7,""Change"")"),21.07)</f>
        <v>21.07</v>
      </c>
      <c r="N9" s="34">
        <f>IFERROR(__xludf.DUMMYFUNCTION("GOOGLEFINANCE(N7,""Change"")"),-173.14)</f>
        <v>-173.14</v>
      </c>
      <c r="O9" s="34">
        <f>IFERROR(__xludf.DUMMYFUNCTION("GOOGLEFINANCE(O7,""Change"")"),-36.39)</f>
        <v>-36.39</v>
      </c>
      <c r="P9" s="35"/>
    </row>
    <row r="10">
      <c r="A10" s="36"/>
      <c r="B10" s="37">
        <f t="shared" ref="B10:O10" si="1">B9/B8</f>
        <v>0.002315010694</v>
      </c>
      <c r="C10" s="38">
        <f t="shared" si="1"/>
        <v>-0.001542689036</v>
      </c>
      <c r="D10" s="38">
        <f t="shared" si="1"/>
        <v>-0.007443255733</v>
      </c>
      <c r="E10" s="38">
        <f t="shared" si="1"/>
        <v>0.004462475993</v>
      </c>
      <c r="F10" s="38">
        <f t="shared" si="1"/>
        <v>-0.001297200261</v>
      </c>
      <c r="G10" s="38">
        <f t="shared" si="1"/>
        <v>-0.001334728051</v>
      </c>
      <c r="H10" s="38">
        <f t="shared" si="1"/>
        <v>-0.0216934654</v>
      </c>
      <c r="I10" s="38">
        <f t="shared" si="1"/>
        <v>-0.02368735888</v>
      </c>
      <c r="J10" s="38">
        <f t="shared" si="1"/>
        <v>-0.00508280032</v>
      </c>
      <c r="K10" s="38">
        <f t="shared" si="1"/>
        <v>-0.05159404465</v>
      </c>
      <c r="L10" s="38">
        <f t="shared" si="1"/>
        <v>0.00728984836</v>
      </c>
      <c r="M10" s="38">
        <f t="shared" si="1"/>
        <v>0.002478549431</v>
      </c>
      <c r="N10" s="38">
        <f t="shared" si="1"/>
        <v>-0.006751479348</v>
      </c>
      <c r="O10" s="38">
        <f t="shared" si="1"/>
        <v>-0.005720241071</v>
      </c>
      <c r="P10" s="39"/>
    </row>
    <row r="11">
      <c r="A11" s="40"/>
      <c r="B11" s="41" t="str">
        <f>IFERROR(__xludf.DUMMYFUNCTION("SPARKLINE(INDEX(GOOGLEFINANCE(B7,""Price"",WORKDAY(TODAY(),-252),today()),,2))"),"")</f>
        <v/>
      </c>
      <c r="C11" s="42" t="str">
        <f>IFERROR(__xludf.DUMMYFUNCTION("SPARKLINE(INDEX(GOOGLEFINANCE(C7,""Price"",WORKDAY(TODAY(),-252),today()),,2))"),"")</f>
        <v/>
      </c>
      <c r="D11" s="43" t="str">
        <f>IFERROR(__xludf.DUMMYFUNCTION("SPARKLINE(INDEX(GOOGLEFINANCE(D7,""Price"",WORKDAY(TODAY(),-252),today()),,2))"),"")</f>
        <v/>
      </c>
      <c r="E11" s="43" t="str">
        <f>IFERROR(__xludf.DUMMYFUNCTION("SPARKLINE(INDEX(GOOGLEFINANCE(E7,""Price"",WORKDAY(TODAY(),-252),today()),,2))"),"")</f>
        <v/>
      </c>
      <c r="F11" s="43" t="str">
        <f>IFERROR(__xludf.DUMMYFUNCTION("SPARKLINE(INDEX(GOOGLEFINANCE(F7,""Price"",WORKDAY(TODAY(),-252),today()),,2))"),"")</f>
        <v/>
      </c>
      <c r="G11" s="43" t="str">
        <f>IFERROR(__xludf.DUMMYFUNCTION("SPARKLINE(INDEX(GOOGLEFINANCE(G7,""Price"",WORKDAY(TODAY(),-252),today()),,2))"),"")</f>
        <v/>
      </c>
      <c r="H11" s="42" t="str">
        <f>IFERROR(__xludf.DUMMYFUNCTION("SPARKLINE(INDEX(GOOGLEFINANCE(H7,""Price"",WORKDAY(TODAY(),-252),today()),,2))"),"")</f>
        <v/>
      </c>
      <c r="I11" s="43" t="str">
        <f>IFERROR(__xludf.DUMMYFUNCTION("SPARKLINE(INDEX(GOOGLEFINANCE(I7,""Price"",WORKDAY(TODAY(),-252),today()),,2))"),"")</f>
        <v/>
      </c>
      <c r="J11" s="43" t="str">
        <f>IFERROR(__xludf.DUMMYFUNCTION("SPARKLINE(INDEX(GOOGLEFINANCE(J7,""Price"",WORKDAY(TODAY(),-252),today()),,2))"),"")</f>
        <v/>
      </c>
      <c r="K11" s="44" t="str">
        <f>IFERROR(__xludf.DUMMYFUNCTION("SPARKLINE(INDEX(GOOGLEFINANCE(K7,""Price"",WORKDAY(TODAY(),-252),today()),,2))"),"")</f>
        <v/>
      </c>
      <c r="L11" s="43" t="str">
        <f>IFERROR(__xludf.DUMMYFUNCTION("SPARKLINE(INDEX(GOOGLEFINANCE(L7,""Price"",WORKDAY(TODAY(),-252),today()),,2))"),"")</f>
        <v/>
      </c>
      <c r="M11" s="43" t="str">
        <f>IFERROR(__xludf.DUMMYFUNCTION("SPARKLINE(INDEX(GOOGLEFINANCE(M7,""Price"",WORKDAY(TODAY(),-252),today()),,2))"),"")</f>
        <v/>
      </c>
      <c r="N11" s="44" t="str">
        <f>IFERROR(__xludf.DUMMYFUNCTION("SPARKLINE(INDEX(GOOGLEFINANCE(N7,""Price"",WORKDAY(TODAY(),-252),today()),,2))"),"")</f>
        <v/>
      </c>
      <c r="O11" s="44" t="str">
        <f>IFERROR(__xludf.DUMMYFUNCTION("SPARKLINE(INDEX(GOOGLEFINANCE(O7,""Price"",WORKDAY(TODAY(),-252),today()),,2))"),"")</f>
        <v/>
      </c>
      <c r="P11" s="45"/>
    </row>
    <row r="12">
      <c r="A12" s="40"/>
      <c r="B12" s="46"/>
      <c r="C12" s="47"/>
      <c r="D12" s="47"/>
      <c r="E12" s="47"/>
      <c r="F12" s="47"/>
      <c r="G12" s="47"/>
      <c r="H12" s="47"/>
      <c r="I12" s="47"/>
      <c r="J12" s="47"/>
      <c r="K12" s="48"/>
      <c r="L12" s="47"/>
      <c r="M12" s="47"/>
      <c r="N12" s="48"/>
      <c r="O12" s="48"/>
      <c r="P12" s="45"/>
    </row>
    <row r="13">
      <c r="A13" s="40"/>
      <c r="B13" s="46"/>
      <c r="C13" s="47"/>
      <c r="D13" s="47"/>
      <c r="E13" s="47"/>
      <c r="F13" s="47"/>
      <c r="G13" s="47"/>
      <c r="H13" s="47"/>
      <c r="I13" s="47"/>
      <c r="J13" s="47"/>
      <c r="K13" s="48"/>
      <c r="L13" s="47"/>
      <c r="M13" s="47"/>
      <c r="N13" s="48"/>
      <c r="O13" s="48"/>
      <c r="P13" s="45"/>
    </row>
    <row r="14">
      <c r="A14" s="40"/>
      <c r="B14" s="49"/>
      <c r="C14" s="50"/>
      <c r="D14" s="50"/>
      <c r="E14" s="50"/>
      <c r="F14" s="50"/>
      <c r="G14" s="50"/>
      <c r="H14" s="50"/>
      <c r="I14" s="50"/>
      <c r="J14" s="50"/>
      <c r="K14" s="51"/>
      <c r="L14" s="50"/>
      <c r="M14" s="50"/>
      <c r="N14" s="51"/>
      <c r="O14" s="51"/>
      <c r="P14" s="45"/>
    </row>
    <row r="15">
      <c r="A15" s="52"/>
      <c r="B15" s="53" t="s">
        <v>40</v>
      </c>
      <c r="C15" s="54"/>
      <c r="D15" s="55" t="str">
        <f>IFERROR(__xludf.DUMMYFUNCTION("GOOGLEFINANCE(C16,""Name"")"),"Affle 3i Ltd")</f>
        <v>Affle 3i Ltd</v>
      </c>
      <c r="E15" s="13"/>
      <c r="F15" s="13"/>
      <c r="G15" s="13"/>
      <c r="H15" s="13"/>
      <c r="I15" s="13"/>
      <c r="J15" s="56" t="s">
        <v>41</v>
      </c>
      <c r="K15" s="57"/>
      <c r="L15" s="57"/>
      <c r="M15" s="57"/>
      <c r="N15" s="57"/>
      <c r="O15" s="58"/>
      <c r="P15" s="59"/>
    </row>
    <row r="16">
      <c r="A16" s="60"/>
      <c r="B16" s="61" t="s">
        <v>42</v>
      </c>
      <c r="C16" s="62" t="s">
        <v>43</v>
      </c>
      <c r="D16" s="63" t="s">
        <v>44</v>
      </c>
      <c r="E16" s="13"/>
      <c r="F16" s="13"/>
      <c r="G16" s="13"/>
      <c r="H16" s="13"/>
      <c r="I16" s="64"/>
      <c r="J16" s="65" t="s">
        <v>45</v>
      </c>
      <c r="K16" s="65" t="s">
        <v>46</v>
      </c>
      <c r="L16" s="65" t="s">
        <v>47</v>
      </c>
      <c r="M16" s="65" t="s">
        <v>48</v>
      </c>
      <c r="N16" s="65" t="s">
        <v>49</v>
      </c>
      <c r="O16" s="65" t="s">
        <v>50</v>
      </c>
      <c r="P16" s="66"/>
    </row>
    <row r="17">
      <c r="A17" s="67"/>
      <c r="B17" s="68" t="s">
        <v>51</v>
      </c>
      <c r="C17" s="69">
        <f>IFERROR(__xludf.DUMMYFUNCTION("GOOGLEFINANCE(C16,""price"")"),1465.1)</f>
        <v>1465.1</v>
      </c>
      <c r="D17" s="70" t="str">
        <f>IFERROR(__xludf.DUMMYFUNCTION("SPARKLINE(INDEX(GOOGLEFINANCE(C16,""Price"",WORKDAY(TODAY(),-252),today()),,2),{""CHARTTYPE"",""COLUMN""})"),"")</f>
        <v/>
      </c>
      <c r="I17" s="71"/>
      <c r="J17" s="72" t="s">
        <v>52</v>
      </c>
      <c r="K17" s="72" t="s">
        <v>53</v>
      </c>
      <c r="L17" s="72" t="s">
        <v>54</v>
      </c>
      <c r="M17" s="72" t="s">
        <v>55</v>
      </c>
      <c r="N17" s="72" t="s">
        <v>56</v>
      </c>
      <c r="O17" s="72" t="s">
        <v>57</v>
      </c>
      <c r="P17" s="73"/>
    </row>
    <row r="18">
      <c r="A18" s="74"/>
      <c r="B18" s="75" t="s">
        <v>58</v>
      </c>
      <c r="C18" s="76">
        <f>if(isblank(C16),"",(C17-C20)/C20)</f>
        <v>-0.3297497598</v>
      </c>
      <c r="D18" s="77"/>
      <c r="I18" s="71"/>
      <c r="J18" s="78">
        <f>IFERROR(__xludf.DUMMYFUNCTION("GOOGLEFINANCE(J17)"),27.29)</f>
        <v>27.29</v>
      </c>
      <c r="K18" s="78">
        <f>IFERROR(__xludf.DUMMYFUNCTION("GOOGLEFINANCE(K17)"),29.89)</f>
        <v>29.89</v>
      </c>
      <c r="L18" s="79">
        <f>IFERROR(__xludf.DUMMYFUNCTION("GOOGLEFINANCE(L17)"),11.36)</f>
        <v>11.36</v>
      </c>
      <c r="M18" s="79">
        <f>IFERROR(__xludf.DUMMYFUNCTION("GOOGLEFINANCE(M17)"),1.89)</f>
        <v>1.89</v>
      </c>
      <c r="N18" s="79">
        <f>IFERROR(__xludf.DUMMYFUNCTION("GOOGLEFINANCE(N17)"),14.55)</f>
        <v>14.55</v>
      </c>
      <c r="O18" s="80">
        <f>IFERROR(__xludf.DUMMYFUNCTION("GOOGLEFINANCE(O17)"),0.91)</f>
        <v>0.91</v>
      </c>
      <c r="P18" s="81"/>
    </row>
    <row r="19">
      <c r="A19" s="74"/>
      <c r="B19" s="75" t="s">
        <v>59</v>
      </c>
      <c r="C19" s="82" t="str">
        <f>if(C18&lt;-10%,"Buy","Hold")</f>
        <v>Buy</v>
      </c>
      <c r="D19" s="77"/>
      <c r="I19" s="71"/>
      <c r="J19" s="78">
        <f>IFERROR(__xludf.DUMMYFUNCTION("GOOGLEFINANCE(J17,""Change"")"),-0.11)</f>
        <v>-0.11</v>
      </c>
      <c r="K19" s="78">
        <f>IFERROR(__xludf.DUMMYFUNCTION("GOOGLEFINANCE(K17,""Change"")"),-0.19)</f>
        <v>-0.19</v>
      </c>
      <c r="L19" s="79">
        <f>IFERROR(__xludf.DUMMYFUNCTION("GOOGLEFINANCE(L17,""Change"")"),0.48)</f>
        <v>0.48</v>
      </c>
      <c r="M19" s="79">
        <f>IFERROR(__xludf.DUMMYFUNCTION("GOOGLEFINANCE(M17,""Change"")"),0.04)</f>
        <v>0.04</v>
      </c>
      <c r="N19" s="79">
        <f>IFERROR(__xludf.DUMMYFUNCTION("GOOGLEFINANCE(N17,""Change"")"),0.19)</f>
        <v>0.19</v>
      </c>
      <c r="O19" s="80">
        <f>IFERROR(__xludf.DUMMYFUNCTION("GOOGLEFINANCE(O17,""Change"")"),0.03)</f>
        <v>0.03</v>
      </c>
      <c r="P19" s="81"/>
    </row>
    <row r="20">
      <c r="A20" s="67"/>
      <c r="B20" s="68" t="s">
        <v>60</v>
      </c>
      <c r="C20" s="69">
        <f>IFERROR(__xludf.DUMMYFUNCTION("GOOGLEFINANCE(C16,""HIGH52"")"),2185.9)</f>
        <v>2185.9</v>
      </c>
      <c r="D20" s="77"/>
      <c r="I20" s="71"/>
      <c r="J20" s="83">
        <f t="shared" ref="J20:O20" si="2">J19/J18</f>
        <v>-0.004030780506</v>
      </c>
      <c r="K20" s="83">
        <f t="shared" si="2"/>
        <v>-0.006356641017</v>
      </c>
      <c r="L20" s="83">
        <f t="shared" si="2"/>
        <v>0.04225352113</v>
      </c>
      <c r="M20" s="83">
        <f t="shared" si="2"/>
        <v>0.02116402116</v>
      </c>
      <c r="N20" s="83">
        <f t="shared" si="2"/>
        <v>0.01305841924</v>
      </c>
      <c r="O20" s="84">
        <f t="shared" si="2"/>
        <v>0.03296703297</v>
      </c>
      <c r="P20" s="85"/>
    </row>
    <row r="21">
      <c r="A21" s="67"/>
      <c r="B21" s="68" t="s">
        <v>61</v>
      </c>
      <c r="C21" s="69">
        <f>IFERROR(__xludf.DUMMYFUNCTION("GOOGLEFINANCE(C16,""LOW52"")"),1251.3)</f>
        <v>1251.3</v>
      </c>
      <c r="D21" s="77"/>
      <c r="I21" s="71"/>
      <c r="J21" s="86" t="str">
        <f>IFERROR(__xludf.DUMMYFUNCTION("SPARKLINE(INDEX(GOOGLEFINANCE(J17,""Price"",WORKDAY(TODAY(),-252),today()),,2))"),"")</f>
        <v/>
      </c>
      <c r="K21" s="86" t="str">
        <f>IFERROR(__xludf.DUMMYFUNCTION("SPARKLINE(INDEX(GOOGLEFINANCE(K17,""Price"",WORKDAY(TODAY(),-252),today()),,2))"),"")</f>
        <v/>
      </c>
      <c r="L21" s="87" t="str">
        <f>IFERROR(__xludf.DUMMYFUNCTION("SPARKLINE(INDEX(GOOGLEFINANCE(L17,""Price"",WORKDAY(TODAY(),-252),today()),,2))"),"")</f>
        <v/>
      </c>
      <c r="M21" s="87" t="str">
        <f>IFERROR(__xludf.DUMMYFUNCTION("SPARKLINE(INDEX(GOOGLEFINANCE(M17,""Price"",WORKDAY(TODAY(),-252),today()),,2))"),"")</f>
        <v/>
      </c>
      <c r="N21" s="87" t="str">
        <f>IFERROR(__xludf.DUMMYFUNCTION("SPARKLINE(INDEX(GOOGLEFINANCE(N17,""Price"",WORKDAY(TODAY(),-252),today()),,2))"),"")</f>
        <v/>
      </c>
      <c r="O21" s="88" t="str">
        <f>IFERROR(__xludf.DUMMYFUNCTION("SPARKLINE(INDEX(GOOGLEFINANCE(O17,""Price"",WORKDAY(TODAY(),-252),today()),,2))"),"")</f>
        <v/>
      </c>
      <c r="P21" s="45"/>
    </row>
    <row r="22">
      <c r="A22" s="74"/>
      <c r="B22" s="75" t="s">
        <v>62</v>
      </c>
      <c r="C22" s="89">
        <f>IFERROR(__xludf.DUMMYFUNCTION("googlefinance(C16,""Marketcap"")/1000000000"),206.059572106)</f>
        <v>206.0595721</v>
      </c>
      <c r="D22" s="90"/>
      <c r="E22" s="7"/>
      <c r="F22" s="7"/>
      <c r="G22" s="7"/>
      <c r="H22" s="7"/>
      <c r="I22" s="9"/>
      <c r="J22" s="91"/>
      <c r="K22" s="91"/>
      <c r="L22" s="91"/>
      <c r="M22" s="91"/>
      <c r="N22" s="91"/>
      <c r="O22" s="92"/>
      <c r="P22" s="45"/>
    </row>
    <row r="23">
      <c r="A23" s="74"/>
      <c r="B23" s="75" t="s">
        <v>63</v>
      </c>
      <c r="C23" s="93">
        <f>IFERROR(__xludf.DUMMYFUNCTION("GOOGLEFINANCE(C16,""EPS"")"),32.38)</f>
        <v>32.38</v>
      </c>
      <c r="D23" s="94" t="s">
        <v>64</v>
      </c>
      <c r="E23" s="95"/>
      <c r="F23" s="96"/>
      <c r="G23" s="97" t="str">
        <f>offset(B29:B122,MATCH(MAX(I29:I122),I29:I122,0),0,1)</f>
        <v>#N/A</v>
      </c>
      <c r="H23" s="96"/>
      <c r="I23" s="98" t="str">
        <f>(Max(I29:I122))</f>
        <v>#N/A</v>
      </c>
      <c r="J23" s="91"/>
      <c r="K23" s="91"/>
      <c r="L23" s="91"/>
      <c r="M23" s="91"/>
      <c r="N23" s="91"/>
      <c r="O23" s="92"/>
      <c r="P23" s="45"/>
    </row>
    <row r="24">
      <c r="A24" s="74"/>
      <c r="B24" s="75" t="s">
        <v>65</v>
      </c>
      <c r="C24" s="93">
        <f>IFERROR(__xludf.DUMMYFUNCTION("GOOGLEFINANCE(C16,""PE"")"),45.25)</f>
        <v>45.25</v>
      </c>
      <c r="D24" s="99" t="s">
        <v>66</v>
      </c>
      <c r="E24" s="7"/>
      <c r="F24" s="9"/>
      <c r="G24" s="100" t="str">
        <f>offset(B29:B122,MATCH(MIN(I29:I122),I29:I122,0),0,1)</f>
        <v>#N/A</v>
      </c>
      <c r="H24" s="71"/>
      <c r="I24" s="101" t="str">
        <f>(Min(I29:I122))</f>
        <v>#N/A</v>
      </c>
      <c r="J24" s="102"/>
      <c r="K24" s="102"/>
      <c r="L24" s="102"/>
      <c r="M24" s="102"/>
      <c r="N24" s="102"/>
      <c r="O24" s="103"/>
      <c r="P24" s="45"/>
    </row>
    <row r="25">
      <c r="A25" s="104"/>
      <c r="B25" s="105" t="s">
        <v>67</v>
      </c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7"/>
      <c r="P25" s="108"/>
    </row>
    <row r="26">
      <c r="A26" s="109"/>
      <c r="B26" s="110" t="s">
        <v>68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11"/>
      <c r="P26" s="112"/>
    </row>
    <row r="27">
      <c r="A27" s="113"/>
      <c r="B27" s="114" t="s">
        <v>69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15"/>
    </row>
    <row r="28">
      <c r="A28" s="116"/>
      <c r="B28" s="117" t="s">
        <v>70</v>
      </c>
      <c r="C28" s="117" t="s">
        <v>71</v>
      </c>
      <c r="D28" s="117" t="s">
        <v>72</v>
      </c>
      <c r="E28" s="117" t="s">
        <v>73</v>
      </c>
      <c r="F28" s="117" t="s">
        <v>74</v>
      </c>
      <c r="G28" s="117" t="s">
        <v>75</v>
      </c>
      <c r="H28" s="117" t="s">
        <v>76</v>
      </c>
      <c r="I28" s="118" t="s">
        <v>77</v>
      </c>
      <c r="J28" s="117" t="s">
        <v>78</v>
      </c>
      <c r="K28" s="117" t="s">
        <v>79</v>
      </c>
      <c r="L28" s="117" t="s">
        <v>80</v>
      </c>
      <c r="M28" s="119" t="s">
        <v>81</v>
      </c>
      <c r="N28" s="120" t="s">
        <v>82</v>
      </c>
      <c r="O28" s="117" t="s">
        <v>83</v>
      </c>
      <c r="P28" s="121"/>
    </row>
    <row r="29">
      <c r="A29" s="122"/>
      <c r="B29" s="123" t="s">
        <v>84</v>
      </c>
      <c r="C29" s="124" t="str">
        <f>IFERROR(__xludf.DUMMYFUNCTION("if(ISBLANK(B29),"""",GOOGLEFINANCE(B29,""NAME""))"),"Black Rose Industries Ltd")</f>
        <v>Black Rose Industries Ltd</v>
      </c>
      <c r="D29" s="125" t="str">
        <f t="shared" ref="D29:D118" si="3">if(ISBLANK(B29),"",if(L29&lt;-10%,"B","H"))</f>
        <v>B</v>
      </c>
      <c r="E29" s="125" t="str">
        <f t="shared" ref="E29:E118" si="4">if(ISBLANK(B29),"",if(L29&lt;-15%,"B","H"))</f>
        <v>B</v>
      </c>
      <c r="F29" s="126" t="str">
        <f t="shared" ref="F29:F118" si="5">IF(ISBLANK(B29), "", IF(O29 &gt; 600000, "Mega Cap", IF(O29 &gt; 30000, "Large Cap", IF(O29 &gt; 7500, "Mid Cap", "Small Cap"))))</f>
        <v>Small Cap</v>
      </c>
      <c r="G29" s="126">
        <f>IFERROR(__xludf.DUMMYFUNCTION("if(ISBLANK(B29),"""",GOOGLEFINANCE(B29,""price""))"),113.4)</f>
        <v>113.4</v>
      </c>
      <c r="H29" s="126" t="str">
        <f t="shared" ref="H29:H118" si="6">if(ISBLANK(B29),"",if(ISBLANK(M29),"",if(M29=0,"Extra",if(G29&lt;M29,"Buy","Hold"))))</f>
        <v>Hold</v>
      </c>
      <c r="I29" s="127">
        <f>IFERROR(__xludf.DUMMYFUNCTION("if(ISBLANK(B29),"""",GOOGLEFINANCE(B29,""CHANGEPCT"")/100)"),0.024399999999999998)</f>
        <v>0.0244</v>
      </c>
      <c r="J29" s="126">
        <f>IFERROR(__xludf.DUMMYFUNCTION("if(ISBLANK(B29),"""",GOOGLEFINANCE(B29,""HIGH52""))"),137.95)</f>
        <v>137.95</v>
      </c>
      <c r="K29" s="126">
        <f>IFERROR(__xludf.DUMMYFUNCTION("if(ISBLANK(B29),"""",GOOGLEFINANCE(B29,""LOW52""))"),61.0)</f>
        <v>61</v>
      </c>
      <c r="L29" s="127">
        <f t="shared" ref="L29:L118" si="7">if(isblank(B29),"",(G29-J29)/J29)</f>
        <v>-0.1779630301</v>
      </c>
      <c r="M29" s="128">
        <f>J29-(J29*0.45)</f>
        <v>75.8725</v>
      </c>
      <c r="N29" s="126" t="str">
        <f t="shared" ref="N29:N118" si="8">IF(ISBLANK(B29), "", IF(AND(O29 &gt;= 0, O29 &lt;= 7500), "||||", IF(AND(O29 &gt; 7500, O29 &lt;= 30000), "|||", IF(AND(O29 &gt; 30000, O29 &lt;= 600000), "||", IF(O29 &gt; 600000, "|", "")))))
</f>
        <v>||||</v>
      </c>
      <c r="O29" s="129">
        <f>IFERROR(__xludf.DUMMYFUNCTION("if(ISBLANK(B29),"""",googlefinance(B29,""Marketcap"")/10000000)"),571.0470062)</f>
        <v>571.0470062</v>
      </c>
      <c r="P29" s="130"/>
    </row>
    <row r="30">
      <c r="A30" s="131"/>
      <c r="B30" s="132" t="s">
        <v>85</v>
      </c>
      <c r="C30" s="124" t="str">
        <f>IFERROR(__xludf.DUMMYFUNCTION("if(ISBLANK(B30),"""",GOOGLEFINANCE(B30,""NAME""))"),"Yasho Industries Ltd")</f>
        <v>Yasho Industries Ltd</v>
      </c>
      <c r="D30" s="125" t="str">
        <f t="shared" si="3"/>
        <v>H</v>
      </c>
      <c r="E30" s="125" t="str">
        <f t="shared" si="4"/>
        <v>H</v>
      </c>
      <c r="F30" s="126" t="str">
        <f t="shared" si="5"/>
        <v>Small Cap</v>
      </c>
      <c r="G30" s="126">
        <f>IFERROR(__xludf.DUMMYFUNCTION("if(ISBLANK(B30),"""",GOOGLEFINANCE(B30,""price""))"),2887.0)</f>
        <v>2887</v>
      </c>
      <c r="H30" s="126" t="str">
        <f t="shared" si="6"/>
        <v>Hold</v>
      </c>
      <c r="I30" s="127">
        <f>IFERROR(__xludf.DUMMYFUNCTION("if(ISBLANK(B30),"""",GOOGLEFINANCE(B30,""CHANGEPCT"")/100)"),0.0060999999999999995)</f>
        <v>0.0061</v>
      </c>
      <c r="J30" s="126">
        <f>IFERROR(__xludf.DUMMYFUNCTION("if(ISBLANK(B30),"""",GOOGLEFINANCE(B30,""HIGH52""))"),3176.3)</f>
        <v>3176.3</v>
      </c>
      <c r="K30" s="126">
        <f>IFERROR(__xludf.DUMMYFUNCTION("if(ISBLANK(B30),"""",GOOGLEFINANCE(B30,""LOW52""))"),1151.0)</f>
        <v>1151</v>
      </c>
      <c r="L30" s="127">
        <f t="shared" si="7"/>
        <v>-0.0910808173</v>
      </c>
      <c r="M30" s="128">
        <f>J30-(J30*0.35)</f>
        <v>2064.595</v>
      </c>
      <c r="N30" s="126" t="str">
        <f t="shared" si="8"/>
        <v>||||</v>
      </c>
      <c r="O30" s="129">
        <f>IFERROR(__xludf.DUMMYFUNCTION("if(ISBLANK(B30),"""",googlefinance(B30,""Marketcap"")/10000000)"),3477.7469218)</f>
        <v>3477.746922</v>
      </c>
      <c r="P30" s="130"/>
    </row>
    <row r="31">
      <c r="A31" s="133"/>
      <c r="B31" s="134" t="s">
        <v>86</v>
      </c>
      <c r="C31" s="135" t="str">
        <f>IFERROR(__xludf.DUMMYFUNCTION("if(ISBLANK(B31),"""",GOOGLEFINANCE(B31,""NAME""))"),"Aarti Industries Ltd")</f>
        <v>Aarti Industries Ltd</v>
      </c>
      <c r="D31" s="125" t="str">
        <f t="shared" si="3"/>
        <v>H</v>
      </c>
      <c r="E31" s="125" t="str">
        <f t="shared" si="4"/>
        <v>H</v>
      </c>
      <c r="F31" s="126" t="str">
        <f t="shared" si="5"/>
        <v>Mid Cap</v>
      </c>
      <c r="G31" s="136">
        <f>IFERROR(__xludf.DUMMYFUNCTION("if(ISBLANK(B31),"""",GOOGLEFINANCE(B31,""price""))"),478.6)</f>
        <v>478.6</v>
      </c>
      <c r="H31" s="126" t="str">
        <f t="shared" si="6"/>
        <v>Hold</v>
      </c>
      <c r="I31" s="137">
        <f>IFERROR(__xludf.DUMMYFUNCTION("if(ISBLANK(B31),"""",GOOGLEFINANCE(B31,""CHANGEPCT"")/100)"),-0.0203)</f>
        <v>-0.0203</v>
      </c>
      <c r="J31" s="136">
        <f>IFERROR(__xludf.DUMMYFUNCTION("if(ISBLANK(B31),"""",GOOGLEFINANCE(B31,""HIGH52""))"),523.1)</f>
        <v>523.1</v>
      </c>
      <c r="K31" s="136">
        <f>IFERROR(__xludf.DUMMYFUNCTION("if(ISBLANK(B31),"""",GOOGLEFINANCE(B31,""LOW52""))"),338.05)</f>
        <v>338.05</v>
      </c>
      <c r="L31" s="137">
        <f t="shared" si="7"/>
        <v>-0.08506977633</v>
      </c>
      <c r="M31" s="138">
        <f>J31-(J31*0.55)</f>
        <v>235.395</v>
      </c>
      <c r="N31" s="126" t="str">
        <f t="shared" si="8"/>
        <v>|||</v>
      </c>
      <c r="O31" s="129">
        <f>IFERROR(__xludf.DUMMYFUNCTION("if(ISBLANK(B31),"""",googlefinance(B31,""Marketcap"")/10000000)"),17360.0952973)</f>
        <v>17360.0953</v>
      </c>
      <c r="P31" s="130"/>
    </row>
    <row r="32">
      <c r="A32" s="133"/>
      <c r="B32" s="134" t="s">
        <v>43</v>
      </c>
      <c r="C32" s="135" t="str">
        <f>IFERROR(__xludf.DUMMYFUNCTION("if(ISBLANK(B32),"""",GOOGLEFINANCE(B32,""NAME""))"),"Affle 3i Ltd")</f>
        <v>Affle 3i Ltd</v>
      </c>
      <c r="D32" s="125" t="str">
        <f t="shared" si="3"/>
        <v>B</v>
      </c>
      <c r="E32" s="125" t="str">
        <f t="shared" si="4"/>
        <v>B</v>
      </c>
      <c r="F32" s="126" t="str">
        <f t="shared" si="5"/>
        <v>Mid Cap</v>
      </c>
      <c r="G32" s="136">
        <f>IFERROR(__xludf.DUMMYFUNCTION("if(ISBLANK(B32),"""",GOOGLEFINANCE(B32,""price""))"),1465.1)</f>
        <v>1465.1</v>
      </c>
      <c r="H32" s="126" t="str">
        <f t="shared" si="6"/>
        <v>Buy</v>
      </c>
      <c r="I32" s="137">
        <f>IFERROR(__xludf.DUMMYFUNCTION("if(ISBLANK(B32),"""",GOOGLEFINANCE(B32,""CHANGEPCT"")/100)"),0.012199999999999999)</f>
        <v>0.0122</v>
      </c>
      <c r="J32" s="136">
        <f>IFERROR(__xludf.DUMMYFUNCTION("if(ISBLANK(B32),"""",GOOGLEFINANCE(B32,""HIGH52""))"),2185.9)</f>
        <v>2185.9</v>
      </c>
      <c r="K32" s="136">
        <f>IFERROR(__xludf.DUMMYFUNCTION("if(ISBLANK(B32),"""",GOOGLEFINANCE(B32,""LOW52""))"),1251.3)</f>
        <v>1251.3</v>
      </c>
      <c r="L32" s="137">
        <f t="shared" si="7"/>
        <v>-0.3297497598</v>
      </c>
      <c r="M32" s="138">
        <f>J32-(J32*0.27)</f>
        <v>1595.707</v>
      </c>
      <c r="N32" s="126" t="str">
        <f t="shared" si="8"/>
        <v>|||</v>
      </c>
      <c r="O32" s="129">
        <f>IFERROR(__xludf.DUMMYFUNCTION("if(ISBLANK(B32),"""",googlefinance(B32,""Marketcap"")/10000000)"),20605.9572106)</f>
        <v>20605.95721</v>
      </c>
      <c r="P32" s="130"/>
    </row>
    <row r="33">
      <c r="A33" s="133"/>
      <c r="B33" s="134" t="s">
        <v>87</v>
      </c>
      <c r="C33" s="124" t="str">
        <f>IFERROR(__xludf.DUMMYFUNCTION("if(ISBLANK(B33),"""",GOOGLEFINANCE(B33,""NAME""))"),"Alkyl Amines Chemicals Ltd")</f>
        <v>Alkyl Amines Chemicals Ltd</v>
      </c>
      <c r="D33" s="125" t="str">
        <f t="shared" si="3"/>
        <v>B</v>
      </c>
      <c r="E33" s="125" t="str">
        <f t="shared" si="4"/>
        <v>B</v>
      </c>
      <c r="F33" s="126" t="str">
        <f t="shared" si="5"/>
        <v>Mid Cap</v>
      </c>
      <c r="G33" s="126">
        <f>IFERROR(__xludf.DUMMYFUNCTION("if(ISBLANK(B33),"""",GOOGLEFINANCE(B33,""price""))"),1802.0)</f>
        <v>1802</v>
      </c>
      <c r="H33" s="126" t="str">
        <f t="shared" si="6"/>
        <v>Hold</v>
      </c>
      <c r="I33" s="127">
        <f>IFERROR(__xludf.DUMMYFUNCTION("if(ISBLANK(B33),"""",GOOGLEFINANCE(B33,""CHANGEPCT"")/100)"),0.0018)</f>
        <v>0.0018</v>
      </c>
      <c r="J33" s="126">
        <f>IFERROR(__xludf.DUMMYFUNCTION("if(ISBLANK(B33),"""",GOOGLEFINANCE(B33,""HIGH52""))"),2438.8)</f>
        <v>2438.8</v>
      </c>
      <c r="K33" s="126">
        <f>IFERROR(__xludf.DUMMYFUNCTION("if(ISBLANK(B33),"""",GOOGLEFINANCE(B33,""LOW52""))"),1212.0)</f>
        <v>1212</v>
      </c>
      <c r="L33" s="127">
        <f t="shared" si="7"/>
        <v>-0.2611120223</v>
      </c>
      <c r="M33" s="138">
        <f>J33-(J33*0.4)</f>
        <v>1463.28</v>
      </c>
      <c r="N33" s="126" t="str">
        <f t="shared" si="8"/>
        <v>|||</v>
      </c>
      <c r="O33" s="129">
        <f>IFERROR(__xludf.DUMMYFUNCTION("if(ISBLANK(B33),"""",googlefinance(B33,""Marketcap"")/10000000)"),9157.1022823)</f>
        <v>9157.102282</v>
      </c>
      <c r="P33" s="130"/>
    </row>
    <row r="34">
      <c r="A34" s="131"/>
      <c r="B34" s="132" t="s">
        <v>88</v>
      </c>
      <c r="C34" s="124" t="str">
        <f>IFERROR(__xludf.DUMMYFUNCTION("if(ISBLANK(B34),"""",GOOGLEFINANCE(B34,""NAME""))"),"#N/A")</f>
        <v>#N/A</v>
      </c>
      <c r="D34" s="125" t="str">
        <f t="shared" si="3"/>
        <v>#N/A</v>
      </c>
      <c r="E34" s="125" t="str">
        <f t="shared" si="4"/>
        <v>#N/A</v>
      </c>
      <c r="F34" s="126" t="str">
        <f t="shared" si="5"/>
        <v>#N/A</v>
      </c>
      <c r="G34" s="126" t="str">
        <f>IFERROR(__xludf.DUMMYFUNCTION("if(ISBLANK(B34),"""",GOOGLEFINANCE(B34,""price""))"),"#N/A")</f>
        <v>#N/A</v>
      </c>
      <c r="H34" s="126" t="str">
        <f t="shared" si="6"/>
        <v>#N/A</v>
      </c>
      <c r="I34" s="127" t="str">
        <f>IFERROR(__xludf.DUMMYFUNCTION("if(ISBLANK(B34),"""",GOOGLEFINANCE(B34,""CHANGEPCT"")/100)"),"#N/A")</f>
        <v>#N/A</v>
      </c>
      <c r="J34" s="126" t="str">
        <f>IFERROR(__xludf.DUMMYFUNCTION("if(ISBLANK(B34),"""",GOOGLEFINANCE(B34,""HIGH52""))"),"#N/A")</f>
        <v>#N/A</v>
      </c>
      <c r="K34" s="126" t="str">
        <f>IFERROR(__xludf.DUMMYFUNCTION("if(ISBLANK(B34),"""",GOOGLEFINANCE(B34,""LOW52""))"),"#N/A")</f>
        <v>#N/A</v>
      </c>
      <c r="L34" s="127" t="str">
        <f t="shared" si="7"/>
        <v>#N/A</v>
      </c>
      <c r="M34" s="128" t="str">
        <f>J34-(J34*0.27)</f>
        <v>#N/A</v>
      </c>
      <c r="N34" s="126" t="str">
        <f t="shared" si="8"/>
        <v>#N/A</v>
      </c>
      <c r="O34" s="129" t="str">
        <f>IFERROR(__xludf.DUMMYFUNCTION("if(ISBLANK(B34),"""",googlefinance(B34,""Marketcap"")/10000000)"),"#N/A")</f>
        <v>#N/A</v>
      </c>
      <c r="P34" s="130"/>
    </row>
    <row r="35">
      <c r="A35" s="133"/>
      <c r="B35" s="134" t="s">
        <v>89</v>
      </c>
      <c r="C35" s="124" t="str">
        <f>IFERROR(__xludf.DUMMYFUNCTION("if(ISBLANK(B35),"""",GOOGLEFINANCE(B35,""NAME""))"),"Asian Paints Ltd")</f>
        <v>Asian Paints Ltd</v>
      </c>
      <c r="D35" s="125" t="str">
        <f t="shared" si="3"/>
        <v>H</v>
      </c>
      <c r="E35" s="125" t="str">
        <f t="shared" si="4"/>
        <v>H</v>
      </c>
      <c r="F35" s="126" t="str">
        <f t="shared" si="5"/>
        <v>Large Cap</v>
      </c>
      <c r="G35" s="126">
        <f>IFERROR(__xludf.DUMMYFUNCTION("if(ISBLANK(B35),"""",GOOGLEFINANCE(B35,""price""))"),2730.2)</f>
        <v>2730.2</v>
      </c>
      <c r="H35" s="126" t="str">
        <f t="shared" si="6"/>
        <v>Hold</v>
      </c>
      <c r="I35" s="127">
        <f>IFERROR(__xludf.DUMMYFUNCTION("if(ISBLANK(B35),"""",GOOGLEFINANCE(B35,""CHANGEPCT"")/100)"),-0.009000000000000001)</f>
        <v>-0.009</v>
      </c>
      <c r="J35" s="126">
        <f>IFERROR(__xludf.DUMMYFUNCTION("if(ISBLANK(B35),"""",GOOGLEFINANCE(B35,""HIGH52""))"),2985.7)</f>
        <v>2985.7</v>
      </c>
      <c r="K35" s="126">
        <f>IFERROR(__xludf.DUMMYFUNCTION("if(ISBLANK(B35),"""",GOOGLEFINANCE(B35,""LOW52""))"),2115.0)</f>
        <v>2115</v>
      </c>
      <c r="L35" s="127">
        <f t="shared" si="7"/>
        <v>-0.08557457213</v>
      </c>
      <c r="M35" s="136">
        <f>J35-(J35*0.4)</f>
        <v>1791.42</v>
      </c>
      <c r="N35" s="126" t="str">
        <f t="shared" si="8"/>
        <v>||</v>
      </c>
      <c r="O35" s="129">
        <f>IFERROR(__xludf.DUMMYFUNCTION("if(ISBLANK(B35),"""",googlefinance(B35,""Marketcap"")/10000000)"),262067.7477967)</f>
        <v>262067.7478</v>
      </c>
      <c r="P35" s="130"/>
    </row>
    <row r="36">
      <c r="A36" s="133"/>
      <c r="B36" s="134" t="s">
        <v>90</v>
      </c>
      <c r="C36" s="135" t="str">
        <f>IFERROR(__xludf.DUMMYFUNCTION("if(ISBLANK(B36),"""",GOOGLEFINANCE(B36,""NAME""))"),"Astral Ltd")</f>
        <v>Astral Ltd</v>
      </c>
      <c r="D36" s="125" t="str">
        <f t="shared" si="3"/>
        <v>B</v>
      </c>
      <c r="E36" s="125" t="str">
        <f t="shared" si="4"/>
        <v>B</v>
      </c>
      <c r="F36" s="126" t="str">
        <f t="shared" si="5"/>
        <v>Large Cap</v>
      </c>
      <c r="G36" s="136">
        <f>IFERROR(__xludf.DUMMYFUNCTION("if(ISBLANK(B36),"""",GOOGLEFINANCE(B36,""price""))"),1356.9)</f>
        <v>1356.9</v>
      </c>
      <c r="H36" s="126" t="str">
        <f t="shared" si="6"/>
        <v>Hold</v>
      </c>
      <c r="I36" s="137">
        <f>IFERROR(__xludf.DUMMYFUNCTION("if(ISBLANK(B36),"""",GOOGLEFINANCE(B36,""CHANGEPCT"")/100)"),-0.0231)</f>
        <v>-0.0231</v>
      </c>
      <c r="J36" s="136">
        <f>IFERROR(__xludf.DUMMYFUNCTION("if(ISBLANK(B36),"""",GOOGLEFINANCE(B36,""HIGH52""))"),1768.7)</f>
        <v>1768.7</v>
      </c>
      <c r="K36" s="136">
        <f>IFERROR(__xludf.DUMMYFUNCTION("if(ISBLANK(B36),"""",GOOGLEFINANCE(B36,""LOW52""))"),1263.7)</f>
        <v>1263.7</v>
      </c>
      <c r="L36" s="137">
        <f t="shared" si="7"/>
        <v>-0.2328263697</v>
      </c>
      <c r="M36" s="136">
        <f>J36-(J36*0.5)</f>
        <v>884.35</v>
      </c>
      <c r="N36" s="126" t="str">
        <f t="shared" si="8"/>
        <v>||</v>
      </c>
      <c r="O36" s="129">
        <f>IFERROR(__xludf.DUMMYFUNCTION("if(ISBLANK(B36),"""",googlefinance(B36,""Marketcap"")/10000000)"),36451.0430988)</f>
        <v>36451.0431</v>
      </c>
      <c r="P36" s="130"/>
    </row>
    <row r="37">
      <c r="A37" s="133"/>
      <c r="B37" s="134" t="s">
        <v>91</v>
      </c>
      <c r="C37" s="135" t="str">
        <f>IFERROR(__xludf.DUMMYFUNCTION("if(ISBLANK(B37),"""",GOOGLEFINANCE(B37,""NAME""))"),"AU Small Finance Bank Ltd")</f>
        <v>AU Small Finance Bank Ltd</v>
      </c>
      <c r="D37" s="125" t="str">
        <f t="shared" si="3"/>
        <v>H</v>
      </c>
      <c r="E37" s="125" t="str">
        <f t="shared" si="4"/>
        <v>H</v>
      </c>
      <c r="F37" s="126" t="str">
        <f t="shared" si="5"/>
        <v>Large Cap</v>
      </c>
      <c r="G37" s="136">
        <f>IFERROR(__xludf.DUMMYFUNCTION("if(ISBLANK(B37),"""",GOOGLEFINANCE(B37,""price""))"),1066.0)</f>
        <v>1066</v>
      </c>
      <c r="H37" s="126" t="str">
        <f t="shared" si="6"/>
        <v>Hold</v>
      </c>
      <c r="I37" s="137">
        <f>IFERROR(__xludf.DUMMYFUNCTION("if(ISBLANK(B37),"""",GOOGLEFINANCE(B37,""CHANGEPCT"")/100)"),0.0043)</f>
        <v>0.0043</v>
      </c>
      <c r="J37" s="136">
        <f>IFERROR(__xludf.DUMMYFUNCTION("if(ISBLANK(B37),"""",GOOGLEFINANCE(B37,""HIGH52""))"),1079.55)</f>
        <v>1079.55</v>
      </c>
      <c r="K37" s="136">
        <f>IFERROR(__xludf.DUMMYFUNCTION("if(ISBLANK(B37),"""",GOOGLEFINANCE(B37,""LOW52""))"),682.15)</f>
        <v>682.15</v>
      </c>
      <c r="L37" s="137">
        <f t="shared" si="7"/>
        <v>-0.0125515261</v>
      </c>
      <c r="M37" s="136">
        <f>J37-(J37*0.35)</f>
        <v>701.7075</v>
      </c>
      <c r="N37" s="126" t="str">
        <f t="shared" si="8"/>
        <v>||</v>
      </c>
      <c r="O37" s="129">
        <f>IFERROR(__xludf.DUMMYFUNCTION("if(ISBLANK(B37),"""",googlefinance(B37,""Marketcap"")/10000000)"),79446.9502445)</f>
        <v>79446.95024</v>
      </c>
      <c r="P37" s="130"/>
    </row>
    <row r="38">
      <c r="A38" s="133"/>
      <c r="B38" s="134" t="s">
        <v>92</v>
      </c>
      <c r="C38" s="135" t="str">
        <f>IFERROR(__xludf.DUMMYFUNCTION("if(ISBLANK(B38),"""",GOOGLEFINANCE(B38,""NAME""))"),"Bajaj Finance Ltd")</f>
        <v>Bajaj Finance Ltd</v>
      </c>
      <c r="D38" s="125" t="str">
        <f t="shared" si="3"/>
        <v>H</v>
      </c>
      <c r="E38" s="125" t="str">
        <f t="shared" si="4"/>
        <v>H</v>
      </c>
      <c r="F38" s="126" t="str">
        <f t="shared" si="5"/>
        <v>Large Cap</v>
      </c>
      <c r="G38" s="136">
        <f>IFERROR(__xludf.DUMMYFUNCTION("if(ISBLANK(B38),"""",GOOGLEFINANCE(B38,""price""))"),1039.4)</f>
        <v>1039.4</v>
      </c>
      <c r="H38" s="126" t="str">
        <f t="shared" si="6"/>
        <v>Hold</v>
      </c>
      <c r="I38" s="137">
        <f>IFERROR(__xludf.DUMMYFUNCTION("if(ISBLANK(B38),"""",GOOGLEFINANCE(B38,""CHANGEPCT"")/100)"),0.01)</f>
        <v>0.01</v>
      </c>
      <c r="J38" s="136">
        <f>IFERROR(__xludf.DUMMYFUNCTION("if(ISBLANK(B38),"""",GOOGLEFINANCE(B38,""HIGH52""))"),1102.5)</f>
        <v>1102.5</v>
      </c>
      <c r="K38" s="136">
        <f>IFERROR(__xludf.DUMMYFUNCTION("if(ISBLANK(B38),"""",GOOGLEFINANCE(B38,""LOW52""))"),787.9)</f>
        <v>787.9</v>
      </c>
      <c r="L38" s="137">
        <f t="shared" si="7"/>
        <v>-0.05723356009</v>
      </c>
      <c r="M38" s="136">
        <f>J38-(J38*0.25)</f>
        <v>826.875</v>
      </c>
      <c r="N38" s="126" t="str">
        <f t="shared" si="8"/>
        <v>||</v>
      </c>
      <c r="O38" s="129">
        <f>IFERROR(__xludf.DUMMYFUNCTION("if(ISBLANK(B38),"""",googlefinance(B38,""Marketcap"")/10000000)"),64744.715915)</f>
        <v>64744.71592</v>
      </c>
      <c r="P38" s="130"/>
    </row>
    <row r="39">
      <c r="A39" s="133"/>
      <c r="B39" s="134" t="s">
        <v>93</v>
      </c>
      <c r="C39" s="124" t="str">
        <f>IFERROR(__xludf.DUMMYFUNCTION("if(ISBLANK(B39),"""",GOOGLEFINANCE(B39,""NAME""))"),"Bata India Ltd")</f>
        <v>Bata India Ltd</v>
      </c>
      <c r="D39" s="125" t="str">
        <f t="shared" si="3"/>
        <v>B</v>
      </c>
      <c r="E39" s="125" t="str">
        <f t="shared" si="4"/>
        <v>B</v>
      </c>
      <c r="F39" s="126" t="str">
        <f t="shared" si="5"/>
        <v>Mid Cap</v>
      </c>
      <c r="G39" s="126">
        <f>IFERROR(__xludf.DUMMYFUNCTION("if(ISBLANK(B39),"""",GOOGLEFINANCE(B39,""price""))"),684.0)</f>
        <v>684</v>
      </c>
      <c r="H39" s="126" t="str">
        <f t="shared" si="6"/>
        <v>Buy</v>
      </c>
      <c r="I39" s="127">
        <f>IFERROR(__xludf.DUMMYFUNCTION("if(ISBLANK(B39),"""",GOOGLEFINANCE(B39,""CHANGEPCT"")/100)"),-0.0074)</f>
        <v>-0.0074</v>
      </c>
      <c r="J39" s="126">
        <f>IFERROR(__xludf.DUMMYFUNCTION("if(ISBLANK(B39),"""",GOOGLEFINANCE(B39,""HIGH52""))"),1284.9)</f>
        <v>1284.9</v>
      </c>
      <c r="K39" s="126">
        <f>IFERROR(__xludf.DUMMYFUNCTION("if(ISBLANK(B39),"""",GOOGLEFINANCE(B39,""LOW52""))"),605.0)</f>
        <v>605</v>
      </c>
      <c r="L39" s="127">
        <f t="shared" si="7"/>
        <v>-0.4676628531</v>
      </c>
      <c r="M39" s="138">
        <f>J39-(J39*0.27)</f>
        <v>937.977</v>
      </c>
      <c r="N39" s="126" t="str">
        <f t="shared" si="8"/>
        <v>|||</v>
      </c>
      <c r="O39" s="129">
        <f>IFERROR(__xludf.DUMMYFUNCTION("if(ISBLANK(B39),"""",googlefinance(B39,""Marketcap"")/10000000)"),8779.2723946)</f>
        <v>8779.272395</v>
      </c>
      <c r="P39" s="130"/>
    </row>
    <row r="40">
      <c r="A40" s="133"/>
      <c r="B40" s="134" t="s">
        <v>94</v>
      </c>
      <c r="C40" s="135" t="str">
        <f>IFERROR(__xludf.DUMMYFUNCTION("if(ISBLANK(B40),"""",GOOGLEFINANCE(B40,""NAME""))"),"Berger Paints India Ltd")</f>
        <v>Berger Paints India Ltd</v>
      </c>
      <c r="D40" s="125" t="str">
        <f t="shared" si="3"/>
        <v>B</v>
      </c>
      <c r="E40" s="125" t="str">
        <f t="shared" si="4"/>
        <v>B</v>
      </c>
      <c r="F40" s="126" t="str">
        <f t="shared" si="5"/>
        <v>Large Cap</v>
      </c>
      <c r="G40" s="136">
        <f>IFERROR(__xludf.DUMMYFUNCTION("if(ISBLANK(B40),"""",GOOGLEFINANCE(B40,""price""))"),509.9)</f>
        <v>509.9</v>
      </c>
      <c r="H40" s="126" t="str">
        <f t="shared" si="6"/>
        <v>Hold</v>
      </c>
      <c r="I40" s="137">
        <f>IFERROR(__xludf.DUMMYFUNCTION("if(ISBLANK(B40),"""",GOOGLEFINANCE(B40,""CHANGEPCT"")/100)"),-0.0229)</f>
        <v>-0.0229</v>
      </c>
      <c r="J40" s="136">
        <f>IFERROR(__xludf.DUMMYFUNCTION("if(ISBLANK(B40),"""",GOOGLEFINANCE(B40,""HIGH52""))"),600.0)</f>
        <v>600</v>
      </c>
      <c r="K40" s="136">
        <f>IFERROR(__xludf.DUMMYFUNCTION("if(ISBLANK(B40),"""",GOOGLEFINANCE(B40,""LOW52""))"),391.1)</f>
        <v>391.1</v>
      </c>
      <c r="L40" s="137">
        <f t="shared" si="7"/>
        <v>-0.1501666667</v>
      </c>
      <c r="M40" s="136">
        <f>J40-(J40*0.3)</f>
        <v>420</v>
      </c>
      <c r="N40" s="126" t="str">
        <f t="shared" si="8"/>
        <v>||</v>
      </c>
      <c r="O40" s="129">
        <f>IFERROR(__xludf.DUMMYFUNCTION("if(ISBLANK(B40),"""",googlefinance(B40,""Marketcap"")/10000000)"),59337.4062917)</f>
        <v>59337.40629</v>
      </c>
      <c r="P40" s="130"/>
    </row>
    <row r="41">
      <c r="A41" s="122"/>
      <c r="B41" s="123" t="s">
        <v>95</v>
      </c>
      <c r="C41" s="124" t="str">
        <f>IFERROR(__xludf.DUMMYFUNCTION("if(ISBLANK(B41),"""",GOOGLEFINANCE(B41,""NAME""))"),"BSE Ltd")</f>
        <v>BSE Ltd</v>
      </c>
      <c r="D41" s="125" t="str">
        <f t="shared" si="3"/>
        <v>B</v>
      </c>
      <c r="E41" s="125" t="str">
        <f t="shared" si="4"/>
        <v>B</v>
      </c>
      <c r="F41" s="126" t="str">
        <f t="shared" si="5"/>
        <v>Large Cap</v>
      </c>
      <c r="G41" s="126">
        <f>IFERROR(__xludf.DUMMYFUNCTION("if(ISBLANK(B41),"""",GOOGLEFINANCE(B41,""price""))"),3678.7)</f>
        <v>3678.7</v>
      </c>
      <c r="H41" s="126" t="str">
        <f t="shared" si="6"/>
        <v>Hold</v>
      </c>
      <c r="I41" s="127">
        <f>IFERROR(__xludf.DUMMYFUNCTION("if(ISBLANK(B41),"""",GOOGLEFINANCE(B41,""CHANGEPCT"")/100)"),-0.0326)</f>
        <v>-0.0326</v>
      </c>
      <c r="J41" s="126">
        <f>IFERROR(__xludf.DUMMYFUNCTION("if(ISBLANK(B41),"""",GOOGLEFINANCE(B41,""HIGH52""))"),4446.8)</f>
        <v>4446.8</v>
      </c>
      <c r="K41" s="126">
        <f>IFERROR(__xludf.DUMMYFUNCTION("if(ISBLANK(B41),"""",GOOGLEFINANCE(B41,""LOW52""))"),2021.5)</f>
        <v>2021.5</v>
      </c>
      <c r="L41" s="127">
        <f t="shared" si="7"/>
        <v>-0.1727309526</v>
      </c>
      <c r="M41" s="138">
        <f>J41-(J41*0.55)</f>
        <v>2001.06</v>
      </c>
      <c r="N41" s="126" t="str">
        <f t="shared" si="8"/>
        <v>||</v>
      </c>
      <c r="O41" s="129">
        <f>IFERROR(__xludf.DUMMYFUNCTION("if(ISBLANK(B41),"""",googlefinance(B41,""Marketcap"")/10000000)"),149833.1179282)</f>
        <v>149833.1179</v>
      </c>
      <c r="P41" s="130"/>
    </row>
    <row r="42">
      <c r="A42" s="122"/>
      <c r="B42" s="123" t="s">
        <v>96</v>
      </c>
      <c r="C42" s="124" t="str">
        <f>IFERROR(__xludf.DUMMYFUNCTION("if(ISBLANK(B42),"""",GOOGLEFINANCE(B42,""NAME""))"),"Computer Age Management Services Ltd")</f>
        <v>Computer Age Management Services Ltd</v>
      </c>
      <c r="D42" s="125" t="str">
        <f t="shared" si="3"/>
        <v>H</v>
      </c>
      <c r="E42" s="125" t="str">
        <f t="shared" si="4"/>
        <v>H</v>
      </c>
      <c r="F42" s="126" t="str">
        <f t="shared" si="5"/>
        <v>Mid Cap</v>
      </c>
      <c r="G42" s="126">
        <f>IFERROR(__xludf.DUMMYFUNCTION("if(ISBLANK(B42),"""",GOOGLEFINANCE(B42,""price""))"),777.35)</f>
        <v>777.35</v>
      </c>
      <c r="H42" s="126" t="str">
        <f t="shared" si="6"/>
        <v>Hold</v>
      </c>
      <c r="I42" s="127">
        <f>IFERROR(__xludf.DUMMYFUNCTION("if(ISBLANK(B42),"""",GOOGLEFINANCE(B42,""CHANGEPCT"")/100)"),-0.014499999999999999)</f>
        <v>-0.0145</v>
      </c>
      <c r="J42" s="126">
        <f>IFERROR(__xludf.DUMMYFUNCTION("if(ISBLANK(B42),"""",GOOGLEFINANCE(B42,""HIGH52""))"),857.8)</f>
        <v>857.8</v>
      </c>
      <c r="K42" s="126">
        <f>IFERROR(__xludf.DUMMYFUNCTION("if(ISBLANK(B42),"""",GOOGLEFINANCE(B42,""LOW52""))"),611.4)</f>
        <v>611.4</v>
      </c>
      <c r="L42" s="127">
        <f t="shared" si="7"/>
        <v>-0.0937864304</v>
      </c>
      <c r="M42" s="138">
        <f>J42-(J42*0.45)</f>
        <v>471.79</v>
      </c>
      <c r="N42" s="126" t="str">
        <f t="shared" si="8"/>
        <v>|||</v>
      </c>
      <c r="O42" s="129">
        <f>IFERROR(__xludf.DUMMYFUNCTION("if(ISBLANK(B42),"""",googlefinance(B42,""Marketcap"")/10000000)"),19294.1917485)</f>
        <v>19294.19175</v>
      </c>
      <c r="P42" s="130"/>
    </row>
    <row r="43">
      <c r="A43" s="133"/>
      <c r="B43" s="134" t="s">
        <v>97</v>
      </c>
      <c r="C43" s="135" t="str">
        <f>IFERROR(__xludf.DUMMYFUNCTION("if(ISBLANK(B43),"""",GOOGLEFINANCE(B43,""NAME""))"),"Central Depository Services (India) Ltd")</f>
        <v>Central Depository Services (India) Ltd</v>
      </c>
      <c r="D43" s="125" t="str">
        <f t="shared" si="3"/>
        <v>B</v>
      </c>
      <c r="E43" s="125" t="str">
        <f t="shared" si="4"/>
        <v>B</v>
      </c>
      <c r="F43" s="126" t="str">
        <f t="shared" si="5"/>
        <v>Mid Cap</v>
      </c>
      <c r="G43" s="136">
        <f>IFERROR(__xludf.DUMMYFUNCTION("if(ISBLANK(B43),"""",GOOGLEFINANCE(B43,""price""))"),1358.0)</f>
        <v>1358</v>
      </c>
      <c r="H43" s="126" t="str">
        <f t="shared" si="6"/>
        <v>Hold</v>
      </c>
      <c r="I43" s="137">
        <f>IFERROR(__xludf.DUMMYFUNCTION("if(ISBLANK(B43),"""",GOOGLEFINANCE(B43,""CHANGEPCT"")/100)"),-4.0E-4)</f>
        <v>-0.0004</v>
      </c>
      <c r="J43" s="136">
        <f>IFERROR(__xludf.DUMMYFUNCTION("if(ISBLANK(B43),"""",GOOGLEFINANCE(B43,""HIGH52""))"),1794.9)</f>
        <v>1794.9</v>
      </c>
      <c r="K43" s="136">
        <f>IFERROR(__xludf.DUMMYFUNCTION("if(ISBLANK(B43),"""",GOOGLEFINANCE(B43,""LOW52""))"),1116.3)</f>
        <v>1116.3</v>
      </c>
      <c r="L43" s="137">
        <f t="shared" si="7"/>
        <v>-0.2434118892</v>
      </c>
      <c r="M43" s="138">
        <f>J43-(J43*0.55)</f>
        <v>807.705</v>
      </c>
      <c r="N43" s="126" t="str">
        <f t="shared" si="8"/>
        <v>|||</v>
      </c>
      <c r="O43" s="129">
        <f>IFERROR(__xludf.DUMMYFUNCTION("if(ISBLANK(B43),"""",googlefinance(B43,""Marketcap"")/10000000)"),28382.18642)</f>
        <v>28382.18642</v>
      </c>
      <c r="P43" s="130"/>
    </row>
    <row r="44">
      <c r="A44" s="122"/>
      <c r="B44" s="123" t="s">
        <v>98</v>
      </c>
      <c r="C44" s="124" t="str">
        <f>IFERROR(__xludf.DUMMYFUNCTION("if(ISBLANK(B44),"""",GOOGLEFINANCE(B44,""NAME""))"),"CG Power and Industrial Solutions Ltd")</f>
        <v>CG Power and Industrial Solutions Ltd</v>
      </c>
      <c r="D44" s="125" t="str">
        <f t="shared" si="3"/>
        <v>H</v>
      </c>
      <c r="E44" s="125" t="str">
        <f t="shared" si="4"/>
        <v>H</v>
      </c>
      <c r="F44" s="126" t="str">
        <f t="shared" si="5"/>
        <v>Large Cap</v>
      </c>
      <c r="G44" s="126">
        <f>IFERROR(__xludf.DUMMYFUNCTION("if(ISBLANK(B44),"""",GOOGLEFINANCE(B44,""price""))"),910.45)</f>
        <v>910.45</v>
      </c>
      <c r="H44" s="126" t="str">
        <f t="shared" si="6"/>
        <v>Extra</v>
      </c>
      <c r="I44" s="127">
        <f>IFERROR(__xludf.DUMMYFUNCTION("if(ISBLANK(B44),"""",GOOGLEFINANCE(B44,""CHANGEPCT"")/100)"),-0.0158)</f>
        <v>-0.0158</v>
      </c>
      <c r="J44" s="126">
        <f>IFERROR(__xludf.DUMMYFUNCTION("if(ISBLANK(B44),"""",GOOGLEFINANCE(B44,""HIGH52""))"),980.9)</f>
        <v>980.9</v>
      </c>
      <c r="K44" s="126">
        <f>IFERROR(__xludf.DUMMYFUNCTION("if(ISBLANK(B44),"""",GOOGLEFINANCE(B44,""LOW52""))"),525.5)</f>
        <v>525.5</v>
      </c>
      <c r="L44" s="127">
        <f t="shared" si="7"/>
        <v>-0.07182179631</v>
      </c>
      <c r="M44" s="138">
        <v>0.0</v>
      </c>
      <c r="N44" s="126" t="str">
        <f t="shared" si="8"/>
        <v>||</v>
      </c>
      <c r="O44" s="129">
        <f>IFERROR(__xludf.DUMMYFUNCTION("if(ISBLANK(B44),"""",googlefinance(B44,""Marketcap"")/10000000)"),139273.68)</f>
        <v>139273.68</v>
      </c>
      <c r="P44" s="130"/>
    </row>
    <row r="45">
      <c r="A45" s="133"/>
      <c r="B45" s="134" t="s">
        <v>99</v>
      </c>
      <c r="C45" s="124" t="str">
        <f>IFERROR(__xludf.DUMMYFUNCTION("if(ISBLANK(B45),"""",GOOGLEFINANCE(B45,""NAME""))"),"Clean Science and Technology Ltd")</f>
        <v>Clean Science and Technology Ltd</v>
      </c>
      <c r="D45" s="125" t="str">
        <f t="shared" si="3"/>
        <v>B</v>
      </c>
      <c r="E45" s="125" t="str">
        <f t="shared" si="4"/>
        <v>B</v>
      </c>
      <c r="F45" s="126" t="str">
        <f t="shared" si="5"/>
        <v>Mid Cap</v>
      </c>
      <c r="G45" s="126">
        <f>IFERROR(__xludf.DUMMYFUNCTION("if(ISBLANK(B45),"""",GOOGLEFINANCE(B45,""price""))"),798.0)</f>
        <v>798</v>
      </c>
      <c r="H45" s="126" t="str">
        <f t="shared" si="6"/>
        <v>Buy</v>
      </c>
      <c r="I45" s="127">
        <f>IFERROR(__xludf.DUMMYFUNCTION("if(ISBLANK(B45),"""",GOOGLEFINANCE(B45,""CHANGEPCT"")/100)"),0.0067)</f>
        <v>0.0067</v>
      </c>
      <c r="J45" s="126">
        <f>IFERROR(__xludf.DUMMYFUNCTION("if(ISBLANK(B45),"""",GOOGLEFINANCE(B45,""HIGH52""))"),1490.0)</f>
        <v>1490</v>
      </c>
      <c r="K45" s="126">
        <f>IFERROR(__xludf.DUMMYFUNCTION("if(ISBLANK(B45),"""",GOOGLEFINANCE(B45,""LOW52""))"),652.0)</f>
        <v>652</v>
      </c>
      <c r="L45" s="127">
        <f t="shared" si="7"/>
        <v>-0.4644295302</v>
      </c>
      <c r="M45" s="138">
        <f>J45-(J45*0.4)</f>
        <v>894</v>
      </c>
      <c r="N45" s="126" t="str">
        <f t="shared" si="8"/>
        <v>|||</v>
      </c>
      <c r="O45" s="129">
        <f>IFERROR(__xludf.DUMMYFUNCTION("if(ISBLANK(B45),"""",googlefinance(B45,""Marketcap"")/10000000)"),8537.4206266)</f>
        <v>8537.420627</v>
      </c>
      <c r="P45" s="130"/>
    </row>
    <row r="46">
      <c r="A46" s="131"/>
      <c r="B46" s="132" t="s">
        <v>100</v>
      </c>
      <c r="C46" s="124" t="str">
        <f>IFERROR(__xludf.DUMMYFUNCTION("if(ISBLANK(B46),"""",GOOGLEFINANCE(B46,""NAME""))"),"Colgate-Palmolive (India) Ltd")</f>
        <v>Colgate-Palmolive (India) Ltd</v>
      </c>
      <c r="D46" s="125" t="str">
        <f t="shared" si="3"/>
        <v>B</v>
      </c>
      <c r="E46" s="125" t="str">
        <f t="shared" si="4"/>
        <v>B</v>
      </c>
      <c r="F46" s="126" t="str">
        <f t="shared" si="5"/>
        <v>Large Cap</v>
      </c>
      <c r="G46" s="126">
        <f>IFERROR(__xludf.DUMMYFUNCTION("if(ISBLANK(B46),"""",GOOGLEFINANCE(B46,""price""))"),2076.4)</f>
        <v>2076.4</v>
      </c>
      <c r="H46" s="126" t="str">
        <f t="shared" si="6"/>
        <v>Hold</v>
      </c>
      <c r="I46" s="127">
        <f>IFERROR(__xludf.DUMMYFUNCTION("if(ISBLANK(B46),"""",GOOGLEFINANCE(B46,""CHANGEPCT"")/100)"),-0.0015)</f>
        <v>-0.0015</v>
      </c>
      <c r="J46" s="126">
        <f>IFERROR(__xludf.DUMMYFUNCTION("if(ISBLANK(B46),"""",GOOGLEFINANCE(B46,""HIGH52""))"),2504.0)</f>
        <v>2504</v>
      </c>
      <c r="K46" s="126">
        <f>IFERROR(__xludf.DUMMYFUNCTION("if(ISBLANK(B46),"""",GOOGLEFINANCE(B46,""LOW52""))"),1782.0)</f>
        <v>1782</v>
      </c>
      <c r="L46" s="127">
        <f t="shared" si="7"/>
        <v>-0.1707667732</v>
      </c>
      <c r="M46" s="128">
        <f>J46-(J46*0.45)</f>
        <v>1377.2</v>
      </c>
      <c r="N46" s="126" t="str">
        <f t="shared" si="8"/>
        <v>||</v>
      </c>
      <c r="O46" s="129">
        <f>IFERROR(__xludf.DUMMYFUNCTION("if(ISBLANK(B46),"""",googlefinance(B46,""Marketcap"")/10000000)"),56475.0873278)</f>
        <v>56475.08733</v>
      </c>
      <c r="P46" s="130"/>
    </row>
    <row r="47">
      <c r="A47" s="133"/>
      <c r="B47" s="134" t="s">
        <v>101</v>
      </c>
      <c r="C47" s="135" t="str">
        <f>IFERROR(__xludf.DUMMYFUNCTION("if(ISBLANK(B47),"""",GOOGLEFINANCE(B47,""NAME""))"),"Dabur India Ltd")</f>
        <v>Dabur India Ltd</v>
      </c>
      <c r="D47" s="125" t="str">
        <f t="shared" si="3"/>
        <v>B</v>
      </c>
      <c r="E47" s="125" t="str">
        <f t="shared" si="4"/>
        <v>B</v>
      </c>
      <c r="F47" s="126" t="str">
        <f t="shared" si="5"/>
        <v>Large Cap</v>
      </c>
      <c r="G47" s="136">
        <f>IFERROR(__xludf.DUMMYFUNCTION("if(ISBLANK(B47),"""",GOOGLEFINANCE(B47,""price""))"),454.0)</f>
        <v>454</v>
      </c>
      <c r="H47" s="126" t="str">
        <f t="shared" si="6"/>
        <v>Hold</v>
      </c>
      <c r="I47" s="137">
        <f>IFERROR(__xludf.DUMMYFUNCTION("if(ISBLANK(B47),"""",GOOGLEFINANCE(B47,""CHANGEPCT"")/100)"),0.009399999999999999)</f>
        <v>0.0094</v>
      </c>
      <c r="J47" s="136">
        <f>IFERROR(__xludf.DUMMYFUNCTION("if(ISBLANK(B47),"""",GOOGLEFINANCE(B47,""HIGH52""))"),577.0)</f>
        <v>577</v>
      </c>
      <c r="K47" s="136">
        <f>IFERROR(__xludf.DUMMYFUNCTION("if(ISBLANK(B47),"""",GOOGLEFINANCE(B47,""LOW52""))"),403.35)</f>
        <v>403.35</v>
      </c>
      <c r="L47" s="137">
        <f t="shared" si="7"/>
        <v>-0.2131715771</v>
      </c>
      <c r="M47" s="136">
        <f>J47-(J47*0.35)</f>
        <v>375.05</v>
      </c>
      <c r="N47" s="126" t="str">
        <f t="shared" si="8"/>
        <v>||</v>
      </c>
      <c r="O47" s="129">
        <f>IFERROR(__xludf.DUMMYFUNCTION("if(ISBLANK(B47),"""",googlefinance(B47,""Marketcap"")/10000000)"),80157.8625102)</f>
        <v>80157.86251</v>
      </c>
      <c r="P47" s="130"/>
    </row>
    <row r="48">
      <c r="A48" s="133"/>
      <c r="B48" s="134" t="s">
        <v>102</v>
      </c>
      <c r="C48" s="124" t="str">
        <f>IFERROR(__xludf.DUMMYFUNCTION("if(ISBLANK(B48),"""",GOOGLEFINANCE(B48,""NAME""))"),"Deepak Nitrite Ltd")</f>
        <v>Deepak Nitrite Ltd</v>
      </c>
      <c r="D48" s="125" t="str">
        <f t="shared" si="3"/>
        <v>B</v>
      </c>
      <c r="E48" s="125" t="str">
        <f t="shared" si="4"/>
        <v>B</v>
      </c>
      <c r="F48" s="126" t="str">
        <f t="shared" si="5"/>
        <v>Mid Cap</v>
      </c>
      <c r="G48" s="126">
        <f>IFERROR(__xludf.DUMMYFUNCTION("if(ISBLANK(B48),"""",GOOGLEFINANCE(B48,""price""))"),1606.8)</f>
        <v>1606.8</v>
      </c>
      <c r="H48" s="126" t="str">
        <f t="shared" si="6"/>
        <v>Hold</v>
      </c>
      <c r="I48" s="127">
        <f>IFERROR(__xludf.DUMMYFUNCTION("if(ISBLANK(B48),"""",GOOGLEFINANCE(B48,""CHANGEPCT"")/100)"),0.0029)</f>
        <v>0.0029</v>
      </c>
      <c r="J48" s="126">
        <f>IFERROR(__xludf.DUMMYFUNCTION("if(ISBLANK(B48),"""",GOOGLEFINANCE(B48,""HIGH52""))"),1999.5)</f>
        <v>1999.5</v>
      </c>
      <c r="K48" s="126">
        <f>IFERROR(__xludf.DUMMYFUNCTION("if(ISBLANK(B48),"""",GOOGLEFINANCE(B48,""LOW52""))"),1280.0)</f>
        <v>1280</v>
      </c>
      <c r="L48" s="127">
        <f t="shared" si="7"/>
        <v>-0.1963990998</v>
      </c>
      <c r="M48" s="136">
        <f>J48-(J48*0.45)</f>
        <v>1099.725</v>
      </c>
      <c r="N48" s="126" t="str">
        <f t="shared" si="8"/>
        <v>|||</v>
      </c>
      <c r="O48" s="129">
        <f>IFERROR(__xludf.DUMMYFUNCTION("if(ISBLANK(B48),"""",googlefinance(B48,""Marketcap"")/10000000)"),21915.6279059)</f>
        <v>21915.62791</v>
      </c>
      <c r="P48" s="130"/>
    </row>
    <row r="49">
      <c r="A49" s="133"/>
      <c r="B49" s="134" t="s">
        <v>103</v>
      </c>
      <c r="C49" s="135" t="str">
        <f>IFERROR(__xludf.DUMMYFUNCTION("if(ISBLANK(B49),"""",GOOGLEFINANCE(B49,""NAME""))"),"Dixon Technologies (India) Ltd")</f>
        <v>Dixon Technologies (India) Ltd</v>
      </c>
      <c r="D49" s="125" t="str">
        <f t="shared" si="3"/>
        <v>B</v>
      </c>
      <c r="E49" s="125" t="str">
        <f t="shared" si="4"/>
        <v>B</v>
      </c>
      <c r="F49" s="126" t="str">
        <f t="shared" si="5"/>
        <v>Large Cap</v>
      </c>
      <c r="G49" s="136">
        <f>IFERROR(__xludf.DUMMYFUNCTION("if(ISBLANK(B49),"""",GOOGLEFINANCE(B49,""price""))"),13237.0)</f>
        <v>13237</v>
      </c>
      <c r="H49" s="126" t="str">
        <f t="shared" si="6"/>
        <v>Hold</v>
      </c>
      <c r="I49" s="137">
        <f>IFERROR(__xludf.DUMMYFUNCTION("if(ISBLANK(B49),"""",GOOGLEFINANCE(B49,""CHANGEPCT"")/100)"),-0.005)</f>
        <v>-0.005</v>
      </c>
      <c r="J49" s="136">
        <f>IFERROR(__xludf.DUMMYFUNCTION("if(ISBLANK(B49),"""",GOOGLEFINANCE(B49,""HIGH52""))"),18471.0)</f>
        <v>18471</v>
      </c>
      <c r="K49" s="136">
        <f>IFERROR(__xludf.DUMMYFUNCTION("if(ISBLANK(B49),"""",GOOGLEFINANCE(B49,""LOW52""))"),9600.0)</f>
        <v>9600</v>
      </c>
      <c r="L49" s="137">
        <f t="shared" si="7"/>
        <v>-0.2833631097</v>
      </c>
      <c r="M49" s="136">
        <f>J49-(J49*0.35)</f>
        <v>12006.15</v>
      </c>
      <c r="N49" s="126" t="str">
        <f t="shared" si="8"/>
        <v>||</v>
      </c>
      <c r="O49" s="129">
        <f>IFERROR(__xludf.DUMMYFUNCTION("if(ISBLANK(B49),"""",googlefinance(B49,""Marketcap"")/10000000)"),80859.432304)</f>
        <v>80859.4323</v>
      </c>
      <c r="P49" s="130"/>
    </row>
    <row r="50">
      <c r="A50" s="133"/>
      <c r="B50" s="139" t="s">
        <v>104</v>
      </c>
      <c r="C50" s="135" t="str">
        <f>IFERROR(__xludf.DUMMYFUNCTION("if(ISBLANK(B50),"""",GOOGLEFINANCE(B50,""NAME""))"),"Avenue Supermarts Ltd")</f>
        <v>Avenue Supermarts Ltd</v>
      </c>
      <c r="D50" s="125" t="str">
        <f t="shared" si="3"/>
        <v>B</v>
      </c>
      <c r="E50" s="125" t="str">
        <f t="shared" si="4"/>
        <v>B</v>
      </c>
      <c r="F50" s="126" t="str">
        <f t="shared" si="5"/>
        <v>Large Cap</v>
      </c>
      <c r="G50" s="136">
        <f>IFERROR(__xludf.DUMMYFUNCTION("if(ISBLANK(B50),"""",GOOGLEFINANCE(B50,""price""))"),4070.0)</f>
        <v>4070</v>
      </c>
      <c r="H50" s="126" t="str">
        <f t="shared" si="6"/>
        <v>Hold</v>
      </c>
      <c r="I50" s="137">
        <f>IFERROR(__xludf.DUMMYFUNCTION("if(ISBLANK(B50),"""",GOOGLEFINANCE(B50,""CHANGEPCT"")/100)"),0.0013)</f>
        <v>0.0013</v>
      </c>
      <c r="J50" s="136">
        <f>IFERROR(__xludf.DUMMYFUNCTION("if(ISBLANK(B50),"""",GOOGLEFINANCE(B50,""HIGH52""))"),4949.5)</f>
        <v>4949.5</v>
      </c>
      <c r="K50" s="136">
        <f>IFERROR(__xludf.DUMMYFUNCTION("if(ISBLANK(B50),"""",GOOGLEFINANCE(B50,""LOW52""))"),3529.0)</f>
        <v>3529</v>
      </c>
      <c r="L50" s="137">
        <f t="shared" si="7"/>
        <v>-0.1776947166</v>
      </c>
      <c r="M50" s="136">
        <f>J50-(J50*0.45)</f>
        <v>2722.225</v>
      </c>
      <c r="N50" s="126" t="str">
        <f t="shared" si="8"/>
        <v>||</v>
      </c>
      <c r="O50" s="129">
        <f>IFERROR(__xludf.DUMMYFUNCTION("if(ISBLANK(B50),"""",googlefinance(B50,""Marketcap"")/10000000)"),264613.3948661)</f>
        <v>264613.3949</v>
      </c>
      <c r="P50" s="130"/>
    </row>
    <row r="51">
      <c r="A51" s="133"/>
      <c r="B51" s="140" t="s">
        <v>105</v>
      </c>
      <c r="C51" s="124" t="str">
        <f>IFERROR(__xludf.DUMMYFUNCTION("if(ISBLANK(B51),"""",GOOGLEFINANCE(B51,""NAME""))"),"Fineotex Chemical Ltd")</f>
        <v>Fineotex Chemical Ltd</v>
      </c>
      <c r="D51" s="125" t="str">
        <f t="shared" si="3"/>
        <v>B</v>
      </c>
      <c r="E51" s="125" t="str">
        <f t="shared" si="4"/>
        <v>B</v>
      </c>
      <c r="F51" s="126" t="str">
        <f t="shared" si="5"/>
        <v>Small Cap</v>
      </c>
      <c r="G51" s="126">
        <f>IFERROR(__xludf.DUMMYFUNCTION("if(ISBLANK(B51),"""",GOOGLEFINANCE(B51,""price""))"),37.19)</f>
        <v>37.19</v>
      </c>
      <c r="H51" s="126" t="str">
        <f t="shared" si="6"/>
        <v>Hold</v>
      </c>
      <c r="I51" s="127">
        <f>IFERROR(__xludf.DUMMYFUNCTION("if(ISBLANK(B51),"""",GOOGLEFINANCE(B51,""CHANGEPCT"")/100)"),-0.0059)</f>
        <v>-0.0059</v>
      </c>
      <c r="J51" s="126">
        <f>IFERROR(__xludf.DUMMYFUNCTION("if(ISBLANK(B51),"""",GOOGLEFINANCE(B51,""HIGH52""))"),47.18)</f>
        <v>47.18</v>
      </c>
      <c r="K51" s="126">
        <f>IFERROR(__xludf.DUMMYFUNCTION("if(ISBLANK(B51),"""",GOOGLEFINANCE(B51,""LOW52""))"),19.1)</f>
        <v>19.1</v>
      </c>
      <c r="L51" s="127">
        <f t="shared" si="7"/>
        <v>-0.2117422637</v>
      </c>
      <c r="M51" s="128">
        <f>J51-(J51*0.55)</f>
        <v>21.231</v>
      </c>
      <c r="N51" s="126" t="str">
        <f t="shared" si="8"/>
        <v>||||</v>
      </c>
      <c r="O51" s="129">
        <f>IFERROR(__xludf.DUMMYFUNCTION("if(ISBLANK(B51),"""",googlefinance(B51,""Marketcap"")/10000000)"),4330.77534)</f>
        <v>4330.77534</v>
      </c>
      <c r="P51" s="130"/>
    </row>
    <row r="52">
      <c r="A52" s="122"/>
      <c r="B52" s="123" t="s">
        <v>106</v>
      </c>
      <c r="C52" s="124" t="str">
        <f>IFERROR(__xludf.DUMMYFUNCTION("if(ISBLANK(B52),"""",GOOGLEFINANCE(B52,""NAME""))"),"Federal Bank Ltd")</f>
        <v>Federal Bank Ltd</v>
      </c>
      <c r="D52" s="125" t="str">
        <f t="shared" si="3"/>
        <v>H</v>
      </c>
      <c r="E52" s="125" t="str">
        <f t="shared" si="4"/>
        <v>H</v>
      </c>
      <c r="F52" s="126" t="str">
        <f t="shared" si="5"/>
        <v>Large Cap</v>
      </c>
      <c r="G52" s="126">
        <f>IFERROR(__xludf.DUMMYFUNCTION("if(ISBLANK(B52),"""",GOOGLEFINANCE(B52,""price""))"),331.2)</f>
        <v>331.2</v>
      </c>
      <c r="H52" s="126" t="str">
        <f t="shared" si="6"/>
        <v>Hold</v>
      </c>
      <c r="I52" s="127">
        <f>IFERROR(__xludf.DUMMYFUNCTION("if(ISBLANK(B52),"""",GOOGLEFINANCE(B52,""CHANGEPCT"")/100)"),0.0027)</f>
        <v>0.0027</v>
      </c>
      <c r="J52" s="126">
        <f>IFERROR(__xludf.DUMMYFUNCTION("if(ISBLANK(B52),"""",GOOGLEFINANCE(B52,""HIGH52""))"),334.3)</f>
        <v>334.3</v>
      </c>
      <c r="K52" s="126">
        <f>IFERROR(__xludf.DUMMYFUNCTION("if(ISBLANK(B52),"""",GOOGLEFINANCE(B52,""LOW52""))"),185.11)</f>
        <v>185.11</v>
      </c>
      <c r="L52" s="127">
        <f t="shared" si="7"/>
        <v>-0.009273107987</v>
      </c>
      <c r="M52" s="136">
        <f>J52-(J52*0.25)</f>
        <v>250.725</v>
      </c>
      <c r="N52" s="126" t="str">
        <f t="shared" si="8"/>
        <v>||</v>
      </c>
      <c r="O52" s="129">
        <f>IFERROR(__xludf.DUMMYFUNCTION("if(ISBLANK(B52),"""",googlefinance(B52,""Marketcap"")/10000000)"),81475.6907902)</f>
        <v>81475.69079</v>
      </c>
      <c r="P52" s="130"/>
    </row>
    <row r="53">
      <c r="A53" s="133"/>
      <c r="B53" s="140" t="s">
        <v>107</v>
      </c>
      <c r="C53" s="124" t="str">
        <f>IFERROR(__xludf.DUMMYFUNCTION("if(ISBLANK(B53),"""",GOOGLEFINANCE(B53,""NAME""))"),"Fine Organic Industries Ltd")</f>
        <v>Fine Organic Industries Ltd</v>
      </c>
      <c r="D53" s="125" t="str">
        <f t="shared" si="3"/>
        <v>H</v>
      </c>
      <c r="E53" s="125" t="str">
        <f t="shared" si="4"/>
        <v>H</v>
      </c>
      <c r="F53" s="126" t="str">
        <f t="shared" si="5"/>
        <v>Mid Cap</v>
      </c>
      <c r="G53" s="126">
        <f>IFERROR(__xludf.DUMMYFUNCTION("if(ISBLANK(B53),"""",GOOGLEFINANCE(B53,""price""))"),4999.0)</f>
        <v>4999</v>
      </c>
      <c r="H53" s="126" t="str">
        <f t="shared" si="6"/>
        <v>Hold</v>
      </c>
      <c r="I53" s="127">
        <f>IFERROR(__xludf.DUMMYFUNCTION("if(ISBLANK(B53),"""",GOOGLEFINANCE(B53,""CHANGEPCT"")/100)"),-0.027000000000000003)</f>
        <v>-0.027</v>
      </c>
      <c r="J53" s="126">
        <f>IFERROR(__xludf.DUMMYFUNCTION("if(ISBLANK(B53),"""",GOOGLEFINANCE(B53,""HIGH52""))"),5494.0)</f>
        <v>5494</v>
      </c>
      <c r="K53" s="126">
        <f>IFERROR(__xludf.DUMMYFUNCTION("if(ISBLANK(B53),"""",GOOGLEFINANCE(B53,""LOW52""))"),3856.0)</f>
        <v>3856</v>
      </c>
      <c r="L53" s="127">
        <f t="shared" si="7"/>
        <v>-0.09009828904</v>
      </c>
      <c r="M53" s="138">
        <f>J53-(J53*0.45)</f>
        <v>3021.7</v>
      </c>
      <c r="N53" s="126" t="str">
        <f t="shared" si="8"/>
        <v>|||</v>
      </c>
      <c r="O53" s="129">
        <f>IFERROR(__xludf.DUMMYFUNCTION("if(ISBLANK(B53),"""",googlefinance(B53,""Marketcap"")/10000000)"),15346.0574365)</f>
        <v>15346.05744</v>
      </c>
      <c r="P53" s="130"/>
    </row>
    <row r="54">
      <c r="A54" s="133"/>
      <c r="B54" s="134" t="s">
        <v>108</v>
      </c>
      <c r="C54" s="124" t="str">
        <f>IFERROR(__xludf.DUMMYFUNCTION("if(ISBLANK(B54),"""",GOOGLEFINANCE(B54,""NAME""))"),"Greenpanel Industries Ltd")</f>
        <v>Greenpanel Industries Ltd</v>
      </c>
      <c r="D54" s="125" t="str">
        <f t="shared" si="3"/>
        <v>B</v>
      </c>
      <c r="E54" s="125" t="str">
        <f t="shared" si="4"/>
        <v>B</v>
      </c>
      <c r="F54" s="126" t="str">
        <f t="shared" si="5"/>
        <v>Small Cap</v>
      </c>
      <c r="G54" s="126">
        <f>IFERROR(__xludf.DUMMYFUNCTION("if(ISBLANK(B54),"""",GOOGLEFINANCE(B54,""price""))"),196.37)</f>
        <v>196.37</v>
      </c>
      <c r="H54" s="126" t="str">
        <f t="shared" si="6"/>
        <v>Hold</v>
      </c>
      <c r="I54" s="127">
        <f>IFERROR(__xludf.DUMMYFUNCTION("if(ISBLANK(B54),"""",GOOGLEFINANCE(B54,""CHANGEPCT"")/100)"),0.0405)</f>
        <v>0.0405</v>
      </c>
      <c r="J54" s="126">
        <f>IFERROR(__xludf.DUMMYFUNCTION("if(ISBLANK(B54),"""",GOOGLEFINANCE(B54,""HIGH52""))"),335.2)</f>
        <v>335.2</v>
      </c>
      <c r="K54" s="126">
        <f>IFERROR(__xludf.DUMMYFUNCTION("if(ISBLANK(B54),"""",GOOGLEFINANCE(B54,""LOW52""))"),163.01)</f>
        <v>163.01</v>
      </c>
      <c r="L54" s="127">
        <f t="shared" si="7"/>
        <v>-0.4141706444</v>
      </c>
      <c r="M54" s="128">
        <f>J54-(J54*0.55)</f>
        <v>150.84</v>
      </c>
      <c r="N54" s="126" t="str">
        <f t="shared" si="8"/>
        <v>||||</v>
      </c>
      <c r="O54" s="129">
        <f>IFERROR(__xludf.DUMMYFUNCTION("if(ISBLANK(B54),"""",googlefinance(B54,""Marketcap"")/10000000)"),2399.2711934)</f>
        <v>2399.271193</v>
      </c>
      <c r="P54" s="130"/>
    </row>
    <row r="55">
      <c r="A55" s="141"/>
      <c r="B55" s="142" t="s">
        <v>109</v>
      </c>
      <c r="C55" s="124" t="str">
        <f>IFERROR(__xludf.DUMMYFUNCTION("if(ISBLANK(B55),"""",GOOGLEFINANCE(B55,""NAME""))"),"GVK Power &amp; Infrastructure Ltd")</f>
        <v>GVK Power &amp; Infrastructure Ltd</v>
      </c>
      <c r="D55" s="125" t="str">
        <f t="shared" si="3"/>
        <v>B</v>
      </c>
      <c r="E55" s="125" t="str">
        <f t="shared" si="4"/>
        <v>B</v>
      </c>
      <c r="F55" s="126" t="str">
        <f t="shared" si="5"/>
        <v>Small Cap</v>
      </c>
      <c r="G55" s="126">
        <f>IFERROR(__xludf.DUMMYFUNCTION("if(ISBLANK(B55),"""",GOOGLEFINANCE(B55,""price""))"),2.61)</f>
        <v>2.61</v>
      </c>
      <c r="H55" s="126" t="str">
        <f t="shared" si="6"/>
        <v>Hold</v>
      </c>
      <c r="I55" s="127">
        <f>IFERROR(__xludf.DUMMYFUNCTION("if(ISBLANK(B55),"""",GOOGLEFINANCE(B55,""CHANGEPCT"")/100)"),-0.011399999999999999)</f>
        <v>-0.0114</v>
      </c>
      <c r="J55" s="126">
        <f>IFERROR(__xludf.DUMMYFUNCTION("if(ISBLANK(B55),"""",GOOGLEFINANCE(B55,""HIGH52""))"),4.24)</f>
        <v>4.24</v>
      </c>
      <c r="K55" s="126">
        <f>IFERROR(__xludf.DUMMYFUNCTION("if(ISBLANK(B55),"""",GOOGLEFINANCE(B55,""LOW52""))"),2.37)</f>
        <v>2.37</v>
      </c>
      <c r="L55" s="127">
        <f t="shared" si="7"/>
        <v>-0.3844339623</v>
      </c>
      <c r="M55" s="136">
        <f>J55-(J55*0.8)</f>
        <v>0.848</v>
      </c>
      <c r="N55" s="126" t="str">
        <f t="shared" si="8"/>
        <v>||||</v>
      </c>
      <c r="O55" s="129">
        <f>IFERROR(__xludf.DUMMYFUNCTION("if(ISBLANK(B55),"""",googlefinance(B55,""Marketcap"")/10000000)"),412.2669829)</f>
        <v>412.2669829</v>
      </c>
      <c r="P55" s="130"/>
    </row>
    <row r="56">
      <c r="A56" s="133"/>
      <c r="B56" s="134" t="s">
        <v>110</v>
      </c>
      <c r="C56" s="135" t="str">
        <f>IFERROR(__xludf.DUMMYFUNCTION("if(ISBLANK(B56),"""",GOOGLEFINANCE(B56,""NAME""))"),"Happiest Minds Technologies Ltd")</f>
        <v>Happiest Minds Technologies Ltd</v>
      </c>
      <c r="D56" s="125" t="str">
        <f t="shared" si="3"/>
        <v>B</v>
      </c>
      <c r="E56" s="125" t="str">
        <f t="shared" si="4"/>
        <v>B</v>
      </c>
      <c r="F56" s="126" t="str">
        <f t="shared" si="5"/>
        <v>Small Cap</v>
      </c>
      <c r="G56" s="136">
        <f>IFERROR(__xludf.DUMMYFUNCTION("if(ISBLANK(B56),"""",GOOGLEFINANCE(B56,""price""))"),349.5)</f>
        <v>349.5</v>
      </c>
      <c r="H56" s="126" t="str">
        <f t="shared" si="6"/>
        <v>Buy</v>
      </c>
      <c r="I56" s="137">
        <f>IFERROR(__xludf.DUMMYFUNCTION("if(ISBLANK(B56),"""",GOOGLEFINANCE(B56,""CHANGEPCT"")/100)"),0.0062)</f>
        <v>0.0062</v>
      </c>
      <c r="J56" s="136">
        <f>IFERROR(__xludf.DUMMYFUNCTION("if(ISBLANK(B56),"""",GOOGLEFINANCE(B56,""HIGH52""))"),651.9)</f>
        <v>651.9</v>
      </c>
      <c r="K56" s="136">
        <f>IFERROR(__xludf.DUMMYFUNCTION("if(ISBLANK(B56),"""",GOOGLEFINANCE(B56,""LOW52""))"),330.2)</f>
        <v>330.2</v>
      </c>
      <c r="L56" s="137">
        <f t="shared" si="7"/>
        <v>-0.4638748274</v>
      </c>
      <c r="M56" s="138">
        <f>J56-(J56*0.45)</f>
        <v>358.545</v>
      </c>
      <c r="N56" s="126" t="str">
        <f t="shared" si="8"/>
        <v>||||</v>
      </c>
      <c r="O56" s="129">
        <f>IFERROR(__xludf.DUMMYFUNCTION("if(ISBLANK(B56),"""",googlefinance(B56,""Marketcap"")/10000000)"),5251.653405)</f>
        <v>5251.653405</v>
      </c>
      <c r="P56" s="130"/>
    </row>
    <row r="57">
      <c r="A57" s="133"/>
      <c r="B57" s="134" t="s">
        <v>111</v>
      </c>
      <c r="C57" s="135" t="str">
        <f>IFERROR(__xludf.DUMMYFUNCTION("if(ISBLANK(B57),"""",GOOGLEFINANCE(B57,""NAME""))"),"HCL Technologies Ltd")</f>
        <v>HCL Technologies Ltd</v>
      </c>
      <c r="D57" s="125" t="str">
        <f t="shared" si="3"/>
        <v>B</v>
      </c>
      <c r="E57" s="125" t="str">
        <f t="shared" si="4"/>
        <v>B</v>
      </c>
      <c r="F57" s="126" t="str">
        <f t="shared" si="5"/>
        <v>Large Cap</v>
      </c>
      <c r="G57" s="136">
        <f>IFERROR(__xludf.DUMMYFUNCTION("if(ISBLANK(B57),"""",GOOGLEFINANCE(B57,""price""))"),1170.0)</f>
        <v>1170</v>
      </c>
      <c r="H57" s="126" t="str">
        <f t="shared" si="6"/>
        <v>Hold</v>
      </c>
      <c r="I57" s="137">
        <f>IFERROR(__xludf.DUMMYFUNCTION("if(ISBLANK(B57),"""",GOOGLEFINANCE(B57,""CHANGEPCT"")/100)"),0.0316)</f>
        <v>0.0316</v>
      </c>
      <c r="J57" s="136">
        <f>IFERROR(__xludf.DUMMYFUNCTION("if(ISBLANK(B57),"""",GOOGLEFINANCE(B57,""HIGH52""))"),1780.1)</f>
        <v>1780.1</v>
      </c>
      <c r="K57" s="136">
        <f>IFERROR(__xludf.DUMMYFUNCTION("if(ISBLANK(B57),"""",GOOGLEFINANCE(B57,""LOW52""))"),1030.0)</f>
        <v>1030</v>
      </c>
      <c r="L57" s="137">
        <f t="shared" si="7"/>
        <v>-0.3427335543</v>
      </c>
      <c r="M57" s="136">
        <f>J57-(J57*0.4)</f>
        <v>1068.06</v>
      </c>
      <c r="N57" s="126" t="str">
        <f t="shared" si="8"/>
        <v>||</v>
      </c>
      <c r="O57" s="129">
        <f>IFERROR(__xludf.DUMMYFUNCTION("if(ISBLANK(B57),"""",googlefinance(B57,""Marketcap"")/10000000)"),316574.622)</f>
        <v>316574.622</v>
      </c>
      <c r="P57" s="130"/>
    </row>
    <row r="58">
      <c r="A58" s="133"/>
      <c r="B58" s="134" t="s">
        <v>112</v>
      </c>
      <c r="C58" s="135" t="str">
        <f>IFERROR(__xludf.DUMMYFUNCTION("if(ISBLANK(B58),"""",GOOGLEFINANCE(B58,""NAME""))"),"HDFC Asset Management Company Ltd")</f>
        <v>HDFC Asset Management Company Ltd</v>
      </c>
      <c r="D58" s="125" t="str">
        <f t="shared" si="3"/>
        <v>H</v>
      </c>
      <c r="E58" s="125" t="str">
        <f t="shared" si="4"/>
        <v>H</v>
      </c>
      <c r="F58" s="126" t="str">
        <f t="shared" si="5"/>
        <v>Large Cap</v>
      </c>
      <c r="G58" s="136">
        <f>IFERROR(__xludf.DUMMYFUNCTION("if(ISBLANK(B58),"""",GOOGLEFINANCE(B58,""price""))"),2784.0)</f>
        <v>2784</v>
      </c>
      <c r="H58" s="126" t="str">
        <f t="shared" si="6"/>
        <v>Hold</v>
      </c>
      <c r="I58" s="137">
        <f>IFERROR(__xludf.DUMMYFUNCTION("if(ISBLANK(B58),"""",GOOGLEFINANCE(B58,""CHANGEPCT"")/100)"),0.0038)</f>
        <v>0.0038</v>
      </c>
      <c r="J58" s="136">
        <f>IFERROR(__xludf.DUMMYFUNCTION("if(ISBLANK(B58),"""",GOOGLEFINANCE(B58,""HIGH52""))"),2967.25)</f>
        <v>2967.25</v>
      </c>
      <c r="K58" s="136">
        <f>IFERROR(__xludf.DUMMYFUNCTION("if(ISBLANK(B58),"""",GOOGLEFINANCE(B58,""LOW52""))"),2205.6)</f>
        <v>2205.6</v>
      </c>
      <c r="L58" s="137">
        <f t="shared" si="7"/>
        <v>-0.06175751959</v>
      </c>
      <c r="M58" s="136">
        <f>J58-(J58*0.35)</f>
        <v>1928.7125</v>
      </c>
      <c r="N58" s="126" t="str">
        <f t="shared" si="8"/>
        <v>||</v>
      </c>
      <c r="O58" s="129">
        <f>IFERROR(__xludf.DUMMYFUNCTION("if(ISBLANK(B58),"""",googlefinance(B58,""Marketcap"")/10000000)"),119337.07872)</f>
        <v>119337.0787</v>
      </c>
      <c r="P58" s="130"/>
    </row>
    <row r="59">
      <c r="A59" s="122"/>
      <c r="B59" s="123" t="s">
        <v>113</v>
      </c>
      <c r="C59" s="124" t="str">
        <f>IFERROR(__xludf.DUMMYFUNCTION("if(ISBLANK(B59),"""",GOOGLEFINANCE(B59,""NAME""))"),"HDFC Bank Ltd")</f>
        <v>HDFC Bank Ltd</v>
      </c>
      <c r="D59" s="125" t="str">
        <f t="shared" si="3"/>
        <v>B</v>
      </c>
      <c r="E59" s="125" t="str">
        <f t="shared" si="4"/>
        <v>B</v>
      </c>
      <c r="F59" s="126" t="str">
        <f t="shared" si="5"/>
        <v>Mid Cap</v>
      </c>
      <c r="G59" s="126">
        <f>IFERROR(__xludf.DUMMYFUNCTION("if(ISBLANK(B59),"""",GOOGLEFINANCE(B59,""price""))"),827.5)</f>
        <v>827.5</v>
      </c>
      <c r="H59" s="126" t="str">
        <f t="shared" si="6"/>
        <v>Hold</v>
      </c>
      <c r="I59" s="127">
        <f>IFERROR(__xludf.DUMMYFUNCTION("if(ISBLANK(B59),"""",GOOGLEFINANCE(B59,""CHANGEPCT"")/100)"),-0.0028000000000000004)</f>
        <v>-0.0028</v>
      </c>
      <c r="J59" s="126">
        <f>IFERROR(__xludf.DUMMYFUNCTION("if(ISBLANK(B59),"""",GOOGLEFINANCE(B59,""HIGH52""))"),1020.5)</f>
        <v>1020.5</v>
      </c>
      <c r="K59" s="126">
        <f>IFERROR(__xludf.DUMMYFUNCTION("if(ISBLANK(B59),"""",GOOGLEFINANCE(B59,""LOW52""))"),726.65)</f>
        <v>726.65</v>
      </c>
      <c r="L59" s="127">
        <f t="shared" si="7"/>
        <v>-0.1891229789</v>
      </c>
      <c r="M59" s="138">
        <f>J59-(J59*0.2)</f>
        <v>816.4</v>
      </c>
      <c r="N59" s="126" t="str">
        <f t="shared" si="8"/>
        <v>|||</v>
      </c>
      <c r="O59" s="129">
        <f>IFERROR(__xludf.DUMMYFUNCTION("if(ISBLANK(B59),"""",googlefinance(B59,""Marketcap"")/10000000)"),13727.1521463)</f>
        <v>13727.15215</v>
      </c>
      <c r="P59" s="130"/>
    </row>
    <row r="60">
      <c r="A60" s="122"/>
      <c r="B60" s="123" t="s">
        <v>114</v>
      </c>
      <c r="C60" s="124" t="str">
        <f>IFERROR(__xludf.DUMMYFUNCTION("if(ISBLANK(B60),"""",GOOGLEFINANCE(B60,""NAME""))"),"HDFC Life Insurance Company Ltd")</f>
        <v>HDFC Life Insurance Company Ltd</v>
      </c>
      <c r="D60" s="125" t="str">
        <f t="shared" si="3"/>
        <v>B</v>
      </c>
      <c r="E60" s="125" t="str">
        <f t="shared" si="4"/>
        <v>B</v>
      </c>
      <c r="F60" s="126" t="str">
        <f t="shared" si="5"/>
        <v>Large Cap</v>
      </c>
      <c r="G60" s="126">
        <f>IFERROR(__xludf.DUMMYFUNCTION("if(ISBLANK(B60),"""",GOOGLEFINANCE(B60,""price""))"),572.75)</f>
        <v>572.75</v>
      </c>
      <c r="H60" s="126" t="str">
        <f t="shared" si="6"/>
        <v>Buy</v>
      </c>
      <c r="I60" s="127">
        <f>IFERROR(__xludf.DUMMYFUNCTION("if(ISBLANK(B60),"""",GOOGLEFINANCE(B60,""CHANGEPCT"")/100)"),0.0152)</f>
        <v>0.0152</v>
      </c>
      <c r="J60" s="126">
        <f>IFERROR(__xludf.DUMMYFUNCTION("if(ISBLANK(B60),"""",GOOGLEFINANCE(B60,""HIGH52""))"),815.0)</f>
        <v>815</v>
      </c>
      <c r="K60" s="126">
        <f>IFERROR(__xludf.DUMMYFUNCTION("if(ISBLANK(B60),"""",GOOGLEFINANCE(B60,""LOW52""))"),543.0)</f>
        <v>543</v>
      </c>
      <c r="L60" s="127">
        <f t="shared" si="7"/>
        <v>-0.2972392638</v>
      </c>
      <c r="M60" s="136">
        <f>J60-(J60*0.25)</f>
        <v>611.25</v>
      </c>
      <c r="N60" s="126" t="str">
        <f t="shared" si="8"/>
        <v>||</v>
      </c>
      <c r="O60" s="129">
        <f>IFERROR(__xludf.DUMMYFUNCTION("if(ISBLANK(B60),"""",googlefinance(B60,""Marketcap"")/10000000)"),124397.577125)</f>
        <v>124397.5771</v>
      </c>
      <c r="P60" s="130"/>
    </row>
    <row r="61">
      <c r="A61" s="122"/>
      <c r="B61" s="123" t="s">
        <v>115</v>
      </c>
      <c r="C61" s="124" t="str">
        <f>IFERROR(__xludf.DUMMYFUNCTION("if(ISBLANK(B61),"""",GOOGLEFINANCE(B61,""NAME""))"),"Hindustan Unilever Ltd")</f>
        <v>Hindustan Unilever Ltd</v>
      </c>
      <c r="D61" s="125" t="str">
        <f t="shared" si="3"/>
        <v>B</v>
      </c>
      <c r="E61" s="125" t="str">
        <f t="shared" si="4"/>
        <v>B</v>
      </c>
      <c r="F61" s="126" t="str">
        <f t="shared" si="5"/>
        <v>Large Cap</v>
      </c>
      <c r="G61" s="126">
        <f>IFERROR(__xludf.DUMMYFUNCTION("if(ISBLANK(B61),"""",GOOGLEFINANCE(B61,""price""))"),2203.1)</f>
        <v>2203.1</v>
      </c>
      <c r="H61" s="126" t="str">
        <f t="shared" si="6"/>
        <v>Hold</v>
      </c>
      <c r="I61" s="127">
        <f>IFERROR(__xludf.DUMMYFUNCTION("if(ISBLANK(B61),"""",GOOGLEFINANCE(B61,""CHANGEPCT"")/100)"),5.0E-4)</f>
        <v>0.0005</v>
      </c>
      <c r="J61" s="126">
        <f>IFERROR(__xludf.DUMMYFUNCTION("if(ISBLANK(B61),"""",GOOGLEFINANCE(B61,""HIGH52""))"),2715.44)</f>
        <v>2715.44</v>
      </c>
      <c r="K61" s="126">
        <f>IFERROR(__xludf.DUMMYFUNCTION("if(ISBLANK(B61),"""",GOOGLEFINANCE(B61,""LOW52""))"),2022.5)</f>
        <v>2022.5</v>
      </c>
      <c r="L61" s="127">
        <f t="shared" si="7"/>
        <v>-0.1886766049</v>
      </c>
      <c r="M61" s="136">
        <f>J61-(J61*0.35)</f>
        <v>1765.036</v>
      </c>
      <c r="N61" s="126" t="str">
        <f t="shared" si="8"/>
        <v>||</v>
      </c>
      <c r="O61" s="129">
        <f>IFERROR(__xludf.DUMMYFUNCTION("if(ISBLANK(B61),"""",googlefinance(B61,""Marketcap"")/10000000)"),519039.3151724)</f>
        <v>519039.3152</v>
      </c>
      <c r="P61" s="130"/>
    </row>
    <row r="62">
      <c r="A62" s="141"/>
      <c r="B62" s="142" t="s">
        <v>116</v>
      </c>
      <c r="C62" s="124" t="str">
        <f>IFERROR(__xludf.DUMMYFUNCTION("if(ISBLANK(B62),"""",GOOGLEFINANCE(B62,""NAME""))"),"HLE Glascoat Ltd")</f>
        <v>HLE Glascoat Ltd</v>
      </c>
      <c r="D62" s="125" t="str">
        <f t="shared" si="3"/>
        <v>B</v>
      </c>
      <c r="E62" s="125" t="str">
        <f t="shared" si="4"/>
        <v>B</v>
      </c>
      <c r="F62" s="126" t="str">
        <f t="shared" si="5"/>
        <v>Small Cap</v>
      </c>
      <c r="G62" s="126">
        <f>IFERROR(__xludf.DUMMYFUNCTION("if(ISBLANK(B62),"""",GOOGLEFINANCE(B62,""price""))"),404.0)</f>
        <v>404</v>
      </c>
      <c r="H62" s="126" t="str">
        <f t="shared" si="6"/>
        <v>Hold</v>
      </c>
      <c r="I62" s="127">
        <f>IFERROR(__xludf.DUMMYFUNCTION("if(ISBLANK(B62),"""",GOOGLEFINANCE(B62,""CHANGEPCT"")/100)"),0.042800000000000005)</f>
        <v>0.0428</v>
      </c>
      <c r="J62" s="126">
        <f>IFERROR(__xludf.DUMMYFUNCTION("if(ISBLANK(B62),"""",GOOGLEFINANCE(B62,""HIGH52""))"),661.95)</f>
        <v>661.95</v>
      </c>
      <c r="K62" s="126">
        <f>IFERROR(__xludf.DUMMYFUNCTION("if(ISBLANK(B62),"""",GOOGLEFINANCE(B62,""LOW52""))"),250.0)</f>
        <v>250</v>
      </c>
      <c r="L62" s="127">
        <f t="shared" si="7"/>
        <v>-0.3896820002</v>
      </c>
      <c r="M62" s="128">
        <f>J62-(J62*0.65)</f>
        <v>231.6825</v>
      </c>
      <c r="N62" s="126" t="str">
        <f t="shared" si="8"/>
        <v>||||</v>
      </c>
      <c r="O62" s="129">
        <f>IFERROR(__xludf.DUMMYFUNCTION("if(ISBLANK(B62),"""",googlefinance(B62,""Marketcap"")/10000000)"),2805.971496)</f>
        <v>2805.971496</v>
      </c>
      <c r="P62" s="130"/>
    </row>
    <row r="63">
      <c r="A63" s="133"/>
      <c r="B63" s="134" t="s">
        <v>117</v>
      </c>
      <c r="C63" s="135" t="str">
        <f>IFERROR(__xludf.DUMMYFUNCTION("if(ISBLANK(B63),"""",GOOGLEFINANCE(B63,""NAME""))"),"Hindustan Foods Ltd(NDA)")</f>
        <v>Hindustan Foods Ltd(NDA)</v>
      </c>
      <c r="D63" s="125" t="str">
        <f t="shared" si="3"/>
        <v>H</v>
      </c>
      <c r="E63" s="125" t="str">
        <f t="shared" si="4"/>
        <v>H</v>
      </c>
      <c r="F63" s="136" t="str">
        <f t="shared" si="5"/>
        <v>Small Cap</v>
      </c>
      <c r="G63" s="136">
        <f>IFERROR(__xludf.DUMMYFUNCTION("if(ISBLANK(B63),"""",GOOGLEFINANCE(B63,""price""))"),540.0)</f>
        <v>540</v>
      </c>
      <c r="H63" s="136" t="str">
        <f t="shared" si="6"/>
        <v>Hold</v>
      </c>
      <c r="I63" s="137">
        <f>IFERROR(__xludf.DUMMYFUNCTION("if(ISBLANK(B63),"""",GOOGLEFINANCE(B63,""CHANGEPCT"")/100)"),-0.0029)</f>
        <v>-0.0029</v>
      </c>
      <c r="J63" s="136">
        <f>IFERROR(__xludf.DUMMYFUNCTION("if(ISBLANK(B63),"""",GOOGLEFINANCE(B63,""HIGH52""))"),584.9)</f>
        <v>584.9</v>
      </c>
      <c r="K63" s="136">
        <f>IFERROR(__xludf.DUMMYFUNCTION("if(ISBLANK(B63),"""",GOOGLEFINANCE(B63,""LOW52""))"),442.0)</f>
        <v>442</v>
      </c>
      <c r="L63" s="137">
        <f t="shared" si="7"/>
        <v>-0.07676525902</v>
      </c>
      <c r="M63" s="138">
        <f>J63-(J63*0.3)</f>
        <v>409.43</v>
      </c>
      <c r="N63" s="136" t="str">
        <f t="shared" si="8"/>
        <v>||||</v>
      </c>
      <c r="O63" s="143">
        <f>IFERROR(__xludf.DUMMYFUNCTION("if(ISBLANK(B63),"""",googlefinance(B63,""Marketcap"")/10000000)"),6542.7804)</f>
        <v>6542.7804</v>
      </c>
      <c r="P63" s="130"/>
    </row>
    <row r="64">
      <c r="A64" s="133"/>
      <c r="B64" s="134" t="s">
        <v>118</v>
      </c>
      <c r="C64" s="135" t="str">
        <f>IFERROR(__xludf.DUMMYFUNCTION("if(ISBLANK(B64),"""",GOOGLEFINANCE(B64,""NAME""))"),"ICICI Bank Ltd")</f>
        <v>ICICI Bank Ltd</v>
      </c>
      <c r="D64" s="125" t="str">
        <f t="shared" si="3"/>
        <v>H</v>
      </c>
      <c r="E64" s="125" t="str">
        <f t="shared" si="4"/>
        <v>H</v>
      </c>
      <c r="F64" s="136" t="str">
        <f t="shared" si="5"/>
        <v>Mid Cap</v>
      </c>
      <c r="G64" s="136">
        <f>IFERROR(__xludf.DUMMYFUNCTION("if(ISBLANK(B64),"""",GOOGLEFINANCE(B64,""price""))"),1412.0)</f>
        <v>1412</v>
      </c>
      <c r="H64" s="136" t="str">
        <f t="shared" si="6"/>
        <v>Hold</v>
      </c>
      <c r="I64" s="137">
        <f>IFERROR(__xludf.DUMMYFUNCTION("if(ISBLANK(B64),"""",GOOGLEFINANCE(B64,""CHANGEPCT"")/100)"),-0.0104)</f>
        <v>-0.0104</v>
      </c>
      <c r="J64" s="136">
        <f>IFERROR(__xludf.DUMMYFUNCTION("if(ISBLANK(B64),"""",GOOGLEFINANCE(B64,""HIGH52""))"),1500.0)</f>
        <v>1500</v>
      </c>
      <c r="K64" s="136">
        <f>IFERROR(__xludf.DUMMYFUNCTION("if(ISBLANK(B64),"""",GOOGLEFINANCE(B64,""LOW52""))"),1187.6)</f>
        <v>1187.6</v>
      </c>
      <c r="L64" s="137">
        <f t="shared" si="7"/>
        <v>-0.05866666667</v>
      </c>
      <c r="M64" s="138">
        <f>J64-(J64*0.2)</f>
        <v>1200</v>
      </c>
      <c r="N64" s="136" t="str">
        <f t="shared" si="8"/>
        <v>|||</v>
      </c>
      <c r="O64" s="143">
        <f>IFERROR(__xludf.DUMMYFUNCTION("if(ISBLANK(B64),"""",googlefinance(B64,""Marketcap"")/10000000)"),10778.4593179)</f>
        <v>10778.45932</v>
      </c>
      <c r="P64" s="130"/>
    </row>
    <row r="65">
      <c r="A65" s="133"/>
      <c r="B65" s="134" t="s">
        <v>119</v>
      </c>
      <c r="C65" s="135" t="str">
        <f>IFERROR(__xludf.DUMMYFUNCTION("if(ISBLANK(B65),"""",GOOGLEFINANCE(B65,""NAME""))"),"Indian Energy Exchange Ltd")</f>
        <v>Indian Energy Exchange Ltd</v>
      </c>
      <c r="D65" s="125" t="str">
        <f t="shared" si="3"/>
        <v>B</v>
      </c>
      <c r="E65" s="125" t="str">
        <f t="shared" si="4"/>
        <v>B</v>
      </c>
      <c r="F65" s="136" t="str">
        <f t="shared" si="5"/>
        <v>Mid Cap</v>
      </c>
      <c r="G65" s="136">
        <f>IFERROR(__xludf.DUMMYFUNCTION("if(ISBLANK(B65),"""",GOOGLEFINANCE(B65,""price""))"),122.44)</f>
        <v>122.44</v>
      </c>
      <c r="H65" s="136" t="str">
        <f t="shared" si="6"/>
        <v>Extra</v>
      </c>
      <c r="I65" s="137">
        <f>IFERROR(__xludf.DUMMYFUNCTION("if(ISBLANK(B65),"""",GOOGLEFINANCE(B65,""CHANGEPCT"")/100)"),-0.0101)</f>
        <v>-0.0101</v>
      </c>
      <c r="J65" s="136">
        <f>IFERROR(__xludf.DUMMYFUNCTION("if(ISBLANK(B65),"""",GOOGLEFINANCE(B65,""HIGH52""))"),211.75)</f>
        <v>211.75</v>
      </c>
      <c r="K65" s="136">
        <f>IFERROR(__xludf.DUMMYFUNCTION("if(ISBLANK(B65),"""",GOOGLEFINANCE(B65,""LOW52""))"),114.6)</f>
        <v>114.6</v>
      </c>
      <c r="L65" s="137">
        <f t="shared" si="7"/>
        <v>-0.4217709563</v>
      </c>
      <c r="M65" s="138">
        <v>0.0</v>
      </c>
      <c r="N65" s="136" t="str">
        <f t="shared" si="8"/>
        <v>|||</v>
      </c>
      <c r="O65" s="143">
        <f>IFERROR(__xludf.DUMMYFUNCTION("if(ISBLANK(B65),"""",googlefinance(B65,""Marketcap"")/10000000)"),10891.223141)</f>
        <v>10891.22314</v>
      </c>
      <c r="P65" s="130"/>
    </row>
    <row r="66">
      <c r="A66" s="141"/>
      <c r="B66" s="144" t="s">
        <v>120</v>
      </c>
      <c r="C66" s="135" t="str">
        <f>IFERROR(__xludf.DUMMYFUNCTION("if(ISBLANK(B66),"""",GOOGLEFINANCE(B66,""NAME""))"),"Infosys Ltd")</f>
        <v>Infosys Ltd</v>
      </c>
      <c r="D66" s="125" t="str">
        <f t="shared" si="3"/>
        <v>B</v>
      </c>
      <c r="E66" s="125" t="str">
        <f t="shared" si="4"/>
        <v>B</v>
      </c>
      <c r="F66" s="136" t="str">
        <f t="shared" si="5"/>
        <v>Small Cap</v>
      </c>
      <c r="G66" s="136">
        <f>IFERROR(__xludf.DUMMYFUNCTION("if(ISBLANK(B66),"""",GOOGLEFINANCE(B66,""price""))"),1071.9)</f>
        <v>1071.9</v>
      </c>
      <c r="H66" s="136" t="str">
        <f t="shared" si="6"/>
        <v>Hold</v>
      </c>
      <c r="I66" s="137">
        <f>IFERROR(__xludf.DUMMYFUNCTION("if(ISBLANK(B66),"""",GOOGLEFINANCE(B66,""CHANGEPCT"")/100)"),0.0285)</f>
        <v>0.0285</v>
      </c>
      <c r="J66" s="136">
        <f>IFERROR(__xludf.DUMMYFUNCTION("if(ISBLANK(B66),"""",GOOGLEFINANCE(B66,""HIGH52""))"),1728.0)</f>
        <v>1728</v>
      </c>
      <c r="K66" s="136">
        <f>IFERROR(__xludf.DUMMYFUNCTION("if(ISBLANK(B66),"""",GOOGLEFINANCE(B66,""LOW52""))"),982.4)</f>
        <v>982.4</v>
      </c>
      <c r="L66" s="137">
        <f t="shared" si="7"/>
        <v>-0.3796875</v>
      </c>
      <c r="M66" s="138">
        <f>J66-(J66*0.4)</f>
        <v>1036.8</v>
      </c>
      <c r="N66" s="136" t="str">
        <f t="shared" si="8"/>
        <v>||||</v>
      </c>
      <c r="O66" s="143">
        <f>IFERROR(__xludf.DUMMYFUNCTION("if(ISBLANK(B66),"""",googlefinance(B66,""Marketcap"")/10000000)"),4537.1518373)</f>
        <v>4537.151837</v>
      </c>
      <c r="P66" s="130"/>
    </row>
    <row r="67">
      <c r="A67" s="133"/>
      <c r="B67" s="134" t="s">
        <v>121</v>
      </c>
      <c r="C67" s="135" t="str">
        <f>IFERROR(__xludf.DUMMYFUNCTION("if(ISBLANK(B67),"""",GOOGLEFINANCE(B67,""NAME""))"),"India Pesticides Ltd")</f>
        <v>India Pesticides Ltd</v>
      </c>
      <c r="D67" s="125" t="str">
        <f t="shared" si="3"/>
        <v>B</v>
      </c>
      <c r="E67" s="125" t="str">
        <f t="shared" si="4"/>
        <v>B</v>
      </c>
      <c r="F67" s="136" t="str">
        <f t="shared" si="5"/>
        <v>Small Cap</v>
      </c>
      <c r="G67" s="136">
        <f>IFERROR(__xludf.DUMMYFUNCTION("if(ISBLANK(B67),"""",GOOGLEFINANCE(B67,""price""))"),158.5)</f>
        <v>158.5</v>
      </c>
      <c r="H67" s="136" t="str">
        <f t="shared" si="6"/>
        <v>Hold</v>
      </c>
      <c r="I67" s="137">
        <f>IFERROR(__xludf.DUMMYFUNCTION("if(ISBLANK(B67),"""",GOOGLEFINANCE(B67,""CHANGEPCT"")/100)"),-0.0199)</f>
        <v>-0.0199</v>
      </c>
      <c r="J67" s="136">
        <f>IFERROR(__xludf.DUMMYFUNCTION("if(ISBLANK(B67),"""",GOOGLEFINANCE(B67,""HIGH52""))"),245.84)</f>
        <v>245.84</v>
      </c>
      <c r="K67" s="136">
        <f>IFERROR(__xludf.DUMMYFUNCTION("if(ISBLANK(B67),"""",GOOGLEFINANCE(B67,""LOW52""))"),125.0)</f>
        <v>125</v>
      </c>
      <c r="L67" s="137">
        <f t="shared" si="7"/>
        <v>-0.3552717214</v>
      </c>
      <c r="M67" s="138">
        <f>J67-(J67*0.75)</f>
        <v>61.46</v>
      </c>
      <c r="N67" s="136" t="str">
        <f t="shared" si="8"/>
        <v>||||</v>
      </c>
      <c r="O67" s="143">
        <f>IFERROR(__xludf.DUMMYFUNCTION("if(ISBLANK(B67),"""",googlefinance(B67,""Marketcap"")/10000000)"),1837.5610542)</f>
        <v>1837.561054</v>
      </c>
      <c r="P67" s="130"/>
    </row>
    <row r="68">
      <c r="A68" s="122"/>
      <c r="B68" s="145" t="s">
        <v>122</v>
      </c>
      <c r="C68" s="135" t="str">
        <f>IFERROR(__xludf.DUMMYFUNCTION("if(ISBLANK(B68),"""",GOOGLEFINANCE(B68,""NAME""))"),"Ircon International Ltd")</f>
        <v>Ircon International Ltd</v>
      </c>
      <c r="D68" s="125" t="str">
        <f t="shared" si="3"/>
        <v>B</v>
      </c>
      <c r="E68" s="125" t="str">
        <f t="shared" si="4"/>
        <v>B</v>
      </c>
      <c r="F68" s="136" t="str">
        <f t="shared" si="5"/>
        <v>Mid Cap</v>
      </c>
      <c r="G68" s="136">
        <f>IFERROR(__xludf.DUMMYFUNCTION("if(ISBLANK(B68),"""",GOOGLEFINANCE(B68,""price""))"),133.03)</f>
        <v>133.03</v>
      </c>
      <c r="H68" s="136" t="str">
        <f t="shared" si="6"/>
        <v>Hold</v>
      </c>
      <c r="I68" s="137">
        <f>IFERROR(__xludf.DUMMYFUNCTION("if(ISBLANK(B68),"""",GOOGLEFINANCE(B68,""CHANGEPCT"")/100)"),-0.0092)</f>
        <v>-0.0092</v>
      </c>
      <c r="J68" s="136">
        <f>IFERROR(__xludf.DUMMYFUNCTION("if(ISBLANK(B68),"""",GOOGLEFINANCE(B68,""HIGH52""))"),200.15)</f>
        <v>200.15</v>
      </c>
      <c r="K68" s="136">
        <f>IFERROR(__xludf.DUMMYFUNCTION("if(ISBLANK(B68),"""",GOOGLEFINANCE(B68,""LOW52""))"),114.5)</f>
        <v>114.5</v>
      </c>
      <c r="L68" s="137">
        <f t="shared" si="7"/>
        <v>-0.3353484886</v>
      </c>
      <c r="M68" s="138">
        <f>J68-(J68*0.65)</f>
        <v>70.0525</v>
      </c>
      <c r="N68" s="136" t="str">
        <f t="shared" si="8"/>
        <v>|||</v>
      </c>
      <c r="O68" s="143">
        <f>IFERROR(__xludf.DUMMYFUNCTION("if(ISBLANK(B68),"""",googlefinance(B68,""Marketcap"")/10000000)"),12524.4403813)</f>
        <v>12524.44038</v>
      </c>
      <c r="P68" s="130"/>
    </row>
    <row r="69">
      <c r="A69" s="133"/>
      <c r="B69" s="134" t="s">
        <v>123</v>
      </c>
      <c r="C69" s="135" t="str">
        <f>IFERROR(__xludf.DUMMYFUNCTION("if(ISBLANK(B69),"""",GOOGLEFINANCE(B69,""NAME""))"),"Indian Railway Ctrng nd Trsm Corp Ltd")</f>
        <v>Indian Railway Ctrng nd Trsm Corp Ltd</v>
      </c>
      <c r="D69" s="125" t="str">
        <f t="shared" si="3"/>
        <v>B</v>
      </c>
      <c r="E69" s="125" t="str">
        <f t="shared" si="4"/>
        <v>B</v>
      </c>
      <c r="F69" s="136" t="str">
        <f t="shared" si="5"/>
        <v>Large Cap</v>
      </c>
      <c r="G69" s="136">
        <f>IFERROR(__xludf.DUMMYFUNCTION("if(ISBLANK(B69),"""",GOOGLEFINANCE(B69,""price""))"),501.65)</f>
        <v>501.65</v>
      </c>
      <c r="H69" s="136" t="str">
        <f t="shared" si="6"/>
        <v>Hold</v>
      </c>
      <c r="I69" s="137">
        <f>IFERROR(__xludf.DUMMYFUNCTION("if(ISBLANK(B69),"""",GOOGLEFINANCE(B69,""CHANGEPCT"")/100)"),-0.0143)</f>
        <v>-0.0143</v>
      </c>
      <c r="J69" s="136">
        <f>IFERROR(__xludf.DUMMYFUNCTION("if(ISBLANK(B69),"""",GOOGLEFINANCE(B69,""HIGH52""))"),798.6)</f>
        <v>798.6</v>
      </c>
      <c r="K69" s="136">
        <f>IFERROR(__xludf.DUMMYFUNCTION("if(ISBLANK(B69),"""",GOOGLEFINANCE(B69,""LOW52""))"),492.65)</f>
        <v>492.65</v>
      </c>
      <c r="L69" s="137">
        <f t="shared" si="7"/>
        <v>-0.3718382169</v>
      </c>
      <c r="M69" s="136">
        <f>J69-(J69*0.45)</f>
        <v>439.23</v>
      </c>
      <c r="N69" s="136" t="str">
        <f t="shared" si="8"/>
        <v>||</v>
      </c>
      <c r="O69" s="143">
        <f>IFERROR(__xludf.DUMMYFUNCTION("if(ISBLANK(B69),"""",googlefinance(B69,""Marketcap"")/10000000)"),40061.4856208)</f>
        <v>40061.48562</v>
      </c>
      <c r="P69" s="130"/>
    </row>
    <row r="70">
      <c r="A70" s="122"/>
      <c r="B70" s="145" t="s">
        <v>124</v>
      </c>
      <c r="C70" s="135" t="str">
        <f>IFERROR(__xludf.DUMMYFUNCTION("if(ISBLANK(B70),"""",GOOGLEFINANCE(B70,""NAME""))"),"Indian Railway Finance Corp Ltd")</f>
        <v>Indian Railway Finance Corp Ltd</v>
      </c>
      <c r="D70" s="125" t="str">
        <f t="shared" si="3"/>
        <v>B</v>
      </c>
      <c r="E70" s="125" t="str">
        <f t="shared" si="4"/>
        <v>B</v>
      </c>
      <c r="F70" s="136" t="str">
        <f t="shared" si="5"/>
        <v>Large Cap</v>
      </c>
      <c r="G70" s="136">
        <f>IFERROR(__xludf.DUMMYFUNCTION("if(ISBLANK(B70),"""",GOOGLEFINANCE(B70,""price""))"),89.9)</f>
        <v>89.9</v>
      </c>
      <c r="H70" s="136" t="str">
        <f t="shared" si="6"/>
        <v>Hold</v>
      </c>
      <c r="I70" s="137">
        <f>IFERROR(__xludf.DUMMYFUNCTION("if(ISBLANK(B70),"""",GOOGLEFINANCE(B70,""CHANGEPCT"")/100)"),-0.0038)</f>
        <v>-0.0038</v>
      </c>
      <c r="J70" s="136">
        <f>IFERROR(__xludf.DUMMYFUNCTION("if(ISBLANK(B70),"""",GOOGLEFINANCE(B70,""HIGH52""))"),140.0)</f>
        <v>140</v>
      </c>
      <c r="K70" s="136">
        <f>IFERROR(__xludf.DUMMYFUNCTION("if(ISBLANK(B70),"""",GOOGLEFINANCE(B70,""LOW52""))"),87.0)</f>
        <v>87</v>
      </c>
      <c r="L70" s="137">
        <f t="shared" si="7"/>
        <v>-0.3578571429</v>
      </c>
      <c r="M70" s="136">
        <f>J70-(J70*0.6)</f>
        <v>56</v>
      </c>
      <c r="N70" s="136" t="str">
        <f t="shared" si="8"/>
        <v>||</v>
      </c>
      <c r="O70" s="143">
        <f>IFERROR(__xludf.DUMMYFUNCTION("if(ISBLANK(B70),"""",googlefinance(B70,""Marketcap"")/10000000)"),117593.1601603)</f>
        <v>117593.1602</v>
      </c>
      <c r="P70" s="130"/>
    </row>
    <row r="71">
      <c r="A71" s="122"/>
      <c r="B71" s="145" t="s">
        <v>125</v>
      </c>
      <c r="C71" s="135" t="str">
        <f>IFERROR(__xludf.DUMMYFUNCTION("if(ISBLANK(B71),"""",GOOGLEFINANCE(B71,""NAME""))"),"ITC Ltd")</f>
        <v>ITC Ltd</v>
      </c>
      <c r="D71" s="125" t="str">
        <f t="shared" si="3"/>
        <v>B</v>
      </c>
      <c r="E71" s="125" t="str">
        <f t="shared" si="4"/>
        <v>B</v>
      </c>
      <c r="F71" s="136" t="str">
        <f t="shared" si="5"/>
        <v>Large Cap</v>
      </c>
      <c r="G71" s="136">
        <f>IFERROR(__xludf.DUMMYFUNCTION("if(ISBLANK(B71),"""",GOOGLEFINANCE(B71,""price""))"),288.0)</f>
        <v>288</v>
      </c>
      <c r="H71" s="136" t="str">
        <f t="shared" si="6"/>
        <v>Hold</v>
      </c>
      <c r="I71" s="137">
        <f>IFERROR(__xludf.DUMMYFUNCTION("if(ISBLANK(B71),"""",GOOGLEFINANCE(B71,""CHANGEPCT"")/100)"),-9.0E-4)</f>
        <v>-0.0009</v>
      </c>
      <c r="J71" s="136">
        <f>IFERROR(__xludf.DUMMYFUNCTION("if(ISBLANK(B71),"""",GOOGLEFINANCE(B71,""HIGH52""))"),427.0)</f>
        <v>427</v>
      </c>
      <c r="K71" s="136">
        <f>IFERROR(__xludf.DUMMYFUNCTION("if(ISBLANK(B71),"""",GOOGLEFINANCE(B71,""LOW52""))"),275.05)</f>
        <v>275.05</v>
      </c>
      <c r="L71" s="137">
        <f t="shared" si="7"/>
        <v>-0.3255269321</v>
      </c>
      <c r="M71" s="136">
        <f>J71-(J71*0.45)</f>
        <v>234.85</v>
      </c>
      <c r="N71" s="136" t="str">
        <f t="shared" si="8"/>
        <v>||</v>
      </c>
      <c r="O71" s="143">
        <f>IFERROR(__xludf.DUMMYFUNCTION("if(ISBLANK(B71),"""",googlefinance(B71,""Marketcap"")/10000000)"),361544.4751617)</f>
        <v>361544.4752</v>
      </c>
      <c r="P71" s="130"/>
    </row>
    <row r="72">
      <c r="A72" s="141"/>
      <c r="B72" s="144" t="s">
        <v>126</v>
      </c>
      <c r="C72" s="135" t="str">
        <f>IFERROR(__xludf.DUMMYFUNCTION("if(ISBLANK(B72),"""",GOOGLEFINANCE(B72,""NAME""))"),"Jio Financial Services Ltd")</f>
        <v>Jio Financial Services Ltd</v>
      </c>
      <c r="D72" s="125" t="str">
        <f t="shared" si="3"/>
        <v>B</v>
      </c>
      <c r="E72" s="125" t="str">
        <f t="shared" si="4"/>
        <v>B</v>
      </c>
      <c r="F72" s="136" t="str">
        <f t="shared" si="5"/>
        <v>Large Cap</v>
      </c>
      <c r="G72" s="136">
        <f>IFERROR(__xludf.DUMMYFUNCTION("if(ISBLANK(B72),"""",GOOGLEFINANCE(B72,""price""))"),243.0)</f>
        <v>243</v>
      </c>
      <c r="H72" s="136" t="str">
        <f t="shared" si="6"/>
        <v>Hold</v>
      </c>
      <c r="I72" s="137">
        <f>IFERROR(__xludf.DUMMYFUNCTION("if(ISBLANK(B72),"""",GOOGLEFINANCE(B72,""CHANGEPCT"")/100)"),0.0125)</f>
        <v>0.0125</v>
      </c>
      <c r="J72" s="136">
        <f>IFERROR(__xludf.DUMMYFUNCTION("if(ISBLANK(B72),"""",GOOGLEFINANCE(B72,""HIGH52""))"),338.6)</f>
        <v>338.6</v>
      </c>
      <c r="K72" s="136">
        <f>IFERROR(__xludf.DUMMYFUNCTION("if(ISBLANK(B72),"""",GOOGLEFINANCE(B72,""LOW52""))"),223.3)</f>
        <v>223.3</v>
      </c>
      <c r="L72" s="137">
        <f t="shared" si="7"/>
        <v>-0.2823390431</v>
      </c>
      <c r="M72" s="136">
        <f>J72-(J72*0.65)</f>
        <v>118.51</v>
      </c>
      <c r="N72" s="136" t="str">
        <f t="shared" si="8"/>
        <v>||</v>
      </c>
      <c r="O72" s="143">
        <f>IFERROR(__xludf.DUMMYFUNCTION("if(ISBLANK(B72),"""",googlefinance(B72,""Marketcap"")/10000000)"),154808.5606037)</f>
        <v>154808.5606</v>
      </c>
      <c r="P72" s="130"/>
    </row>
    <row r="73">
      <c r="A73" s="133"/>
      <c r="B73" s="134" t="s">
        <v>127</v>
      </c>
      <c r="C73" s="135" t="str">
        <f>IFERROR(__xludf.DUMMYFUNCTION("if(ISBLANK(B73),"""",GOOGLEFINANCE(B73,""NAME""))"),"Jubilant FoodWorks Ltd")</f>
        <v>Jubilant FoodWorks Ltd</v>
      </c>
      <c r="D73" s="125" t="str">
        <f t="shared" si="3"/>
        <v>B</v>
      </c>
      <c r="E73" s="125" t="str">
        <f t="shared" si="4"/>
        <v>B</v>
      </c>
      <c r="F73" s="136" t="str">
        <f t="shared" si="5"/>
        <v>Mid Cap</v>
      </c>
      <c r="G73" s="136">
        <f>IFERROR(__xludf.DUMMYFUNCTION("if(ISBLANK(B73),"""",GOOGLEFINANCE(B73,""price""))"),455.7)</f>
        <v>455.7</v>
      </c>
      <c r="H73" s="136" t="str">
        <f t="shared" si="6"/>
        <v>Buy</v>
      </c>
      <c r="I73" s="137">
        <f>IFERROR(__xludf.DUMMYFUNCTION("if(ISBLANK(B73),"""",GOOGLEFINANCE(B73,""CHANGEPCT"")/100)"),0.0398)</f>
        <v>0.0398</v>
      </c>
      <c r="J73" s="136">
        <f>IFERROR(__xludf.DUMMYFUNCTION("if(ISBLANK(B73),"""",GOOGLEFINANCE(B73,""HIGH52""))"),714.7)</f>
        <v>714.7</v>
      </c>
      <c r="K73" s="136">
        <f>IFERROR(__xludf.DUMMYFUNCTION("if(ISBLANK(B73),"""",GOOGLEFINANCE(B73,""LOW52""))"),408.8)</f>
        <v>408.8</v>
      </c>
      <c r="L73" s="137">
        <f t="shared" si="7"/>
        <v>-0.3623898139</v>
      </c>
      <c r="M73" s="136">
        <f>J73-(J73*0.35)</f>
        <v>464.555</v>
      </c>
      <c r="N73" s="136" t="str">
        <f t="shared" si="8"/>
        <v>|||</v>
      </c>
      <c r="O73" s="143">
        <f>IFERROR(__xludf.DUMMYFUNCTION("if(ISBLANK(B73),"""",googlefinance(B73,""Marketcap"")/10000000)"),29937.8209465)</f>
        <v>29937.82095</v>
      </c>
      <c r="P73" s="130"/>
    </row>
    <row r="74">
      <c r="A74" s="133"/>
      <c r="B74" s="134" t="s">
        <v>128</v>
      </c>
      <c r="C74" s="135" t="str">
        <f>IFERROR(__xludf.DUMMYFUNCTION("if(ISBLANK(B74),"""",GOOGLEFINANCE(B74,""NAME""))"),"Latent View Analytics Ltd")</f>
        <v>Latent View Analytics Ltd</v>
      </c>
      <c r="D74" s="125" t="str">
        <f t="shared" si="3"/>
        <v>B</v>
      </c>
      <c r="E74" s="125" t="str">
        <f t="shared" si="4"/>
        <v>B</v>
      </c>
      <c r="F74" s="136" t="str">
        <f t="shared" si="5"/>
        <v>Small Cap</v>
      </c>
      <c r="G74" s="136">
        <f>IFERROR(__xludf.DUMMYFUNCTION("if(ISBLANK(B74),"""",GOOGLEFINANCE(B74,""price""))"),301.8)</f>
        <v>301.8</v>
      </c>
      <c r="H74" s="136" t="str">
        <f t="shared" si="6"/>
        <v>Hold</v>
      </c>
      <c r="I74" s="137">
        <f>IFERROR(__xludf.DUMMYFUNCTION("if(ISBLANK(B74),"""",GOOGLEFINANCE(B74,""CHANGEPCT"")/100)"),0.0556)</f>
        <v>0.0556</v>
      </c>
      <c r="J74" s="136">
        <f>IFERROR(__xludf.DUMMYFUNCTION("if(ISBLANK(B74),"""",GOOGLEFINANCE(B74,""HIGH52""))"),517.5)</f>
        <v>517.5</v>
      </c>
      <c r="K74" s="136">
        <f>IFERROR(__xludf.DUMMYFUNCTION("if(ISBLANK(B74),"""",GOOGLEFINANCE(B74,""LOW52""))"),248.0)</f>
        <v>248</v>
      </c>
      <c r="L74" s="137">
        <f t="shared" si="7"/>
        <v>-0.4168115942</v>
      </c>
      <c r="M74" s="138">
        <f t="shared" ref="M74:M76" si="9">J74-(J74*0.45)</f>
        <v>284.625</v>
      </c>
      <c r="N74" s="136" t="str">
        <f t="shared" si="8"/>
        <v>||||</v>
      </c>
      <c r="O74" s="143">
        <f>IFERROR(__xludf.DUMMYFUNCTION("if(ISBLANK(B74),"""",googlefinance(B74,""Marketcap"")/10000000)"),6232.3834456)</f>
        <v>6232.383446</v>
      </c>
      <c r="P74" s="130"/>
    </row>
    <row r="75">
      <c r="A75" s="133"/>
      <c r="B75" s="134" t="s">
        <v>129</v>
      </c>
      <c r="C75" s="135" t="str">
        <f>IFERROR(__xludf.DUMMYFUNCTION("if(ISBLANK(B75),"""",GOOGLEFINANCE(B75,""NAME""))"),"Life Insurance Corporation of India")</f>
        <v>Life Insurance Corporation of India</v>
      </c>
      <c r="D75" s="125" t="str">
        <f t="shared" si="3"/>
        <v>H</v>
      </c>
      <c r="E75" s="125" t="str">
        <f t="shared" si="4"/>
        <v>H</v>
      </c>
      <c r="F75" s="136" t="str">
        <f t="shared" si="5"/>
        <v>Large Cap</v>
      </c>
      <c r="G75" s="136">
        <f>IFERROR(__xludf.DUMMYFUNCTION("if(ISBLANK(B75),"""",GOOGLEFINANCE(B75,""price""))"),435.5)</f>
        <v>435.5</v>
      </c>
      <c r="H75" s="136" t="str">
        <f t="shared" si="6"/>
        <v>Hold</v>
      </c>
      <c r="I75" s="137">
        <f>IFERROR(__xludf.DUMMYFUNCTION("if(ISBLANK(B75),"""",GOOGLEFINANCE(B75,""CHANGEPCT"")/100)"),0.0149)</f>
        <v>0.0149</v>
      </c>
      <c r="J75" s="136">
        <f>IFERROR(__xludf.DUMMYFUNCTION("if(ISBLANK(B75),"""",GOOGLEFINANCE(B75,""HIGH52""))"),476.5)</f>
        <v>476.5</v>
      </c>
      <c r="K75" s="136">
        <f>IFERROR(__xludf.DUMMYFUNCTION("if(ISBLANK(B75),"""",GOOGLEFINANCE(B75,""LOW52""))"),360.75)</f>
        <v>360.75</v>
      </c>
      <c r="L75" s="137">
        <f t="shared" si="7"/>
        <v>-0.08604407135</v>
      </c>
      <c r="M75" s="136">
        <f t="shared" si="9"/>
        <v>262.075</v>
      </c>
      <c r="N75" s="136" t="str">
        <f t="shared" si="8"/>
        <v>||</v>
      </c>
      <c r="O75" s="143">
        <f>IFERROR(__xludf.DUMMYFUNCTION("if(ISBLANK(B75),"""",googlefinance(B75,""Marketcap"")/10000000)"),275436.5896613)</f>
        <v>275436.5897</v>
      </c>
      <c r="P75" s="130"/>
    </row>
    <row r="76">
      <c r="A76" s="133"/>
      <c r="B76" s="134" t="s">
        <v>130</v>
      </c>
      <c r="C76" s="135" t="str">
        <f>IFERROR(__xludf.DUMMYFUNCTION("if(ISBLANK(B76),"""",GOOGLEFINANCE(B76,""NAME""))"),"#N/A")</f>
        <v>#N/A</v>
      </c>
      <c r="D76" s="125" t="str">
        <f t="shared" si="3"/>
        <v>#N/A</v>
      </c>
      <c r="E76" s="125" t="str">
        <f t="shared" si="4"/>
        <v>#N/A</v>
      </c>
      <c r="F76" s="136" t="str">
        <f t="shared" si="5"/>
        <v>#N/A</v>
      </c>
      <c r="G76" s="136" t="str">
        <f>IFERROR(__xludf.DUMMYFUNCTION("if(ISBLANK(B76),"""",GOOGLEFINANCE(B76,""price""))"),"#N/A")</f>
        <v>#N/A</v>
      </c>
      <c r="H76" s="136" t="str">
        <f t="shared" si="6"/>
        <v>#N/A</v>
      </c>
      <c r="I76" s="137" t="str">
        <f>IFERROR(__xludf.DUMMYFUNCTION("if(ISBLANK(B76),"""",GOOGLEFINANCE(B76,""CHANGEPCT"")/100)"),"#N/A")</f>
        <v>#N/A</v>
      </c>
      <c r="J76" s="136" t="str">
        <f>IFERROR(__xludf.DUMMYFUNCTION("if(ISBLANK(B76),"""",GOOGLEFINANCE(B76,""HIGH52""))"),"#N/A")</f>
        <v>#N/A</v>
      </c>
      <c r="K76" s="136" t="str">
        <f>IFERROR(__xludf.DUMMYFUNCTION("if(ISBLANK(B76),"""",GOOGLEFINANCE(B76,""LOW52""))"),"#N/A")</f>
        <v>#N/A</v>
      </c>
      <c r="L76" s="137" t="str">
        <f t="shared" si="7"/>
        <v>#N/A</v>
      </c>
      <c r="M76" s="136" t="str">
        <f t="shared" si="9"/>
        <v>#N/A</v>
      </c>
      <c r="N76" s="136" t="str">
        <f t="shared" si="8"/>
        <v>#N/A</v>
      </c>
      <c r="O76" s="143" t="str">
        <f>IFERROR(__xludf.DUMMYFUNCTION("if(ISBLANK(B76),"""",googlefinance(B76,""Marketcap"")/10000000)"),"#N/A")</f>
        <v>#N/A</v>
      </c>
      <c r="P76" s="130"/>
    </row>
    <row r="77">
      <c r="A77" s="133"/>
      <c r="B77" s="134" t="s">
        <v>131</v>
      </c>
      <c r="C77" s="135" t="str">
        <f>IFERROR(__xludf.DUMMYFUNCTION("if(ISBLANK(B77),"""",GOOGLEFINANCE(B77,""NAME""))"),"L&amp;T Technology Services Ltd")</f>
        <v>L&amp;T Technology Services Ltd</v>
      </c>
      <c r="D77" s="125" t="str">
        <f t="shared" si="3"/>
        <v>B</v>
      </c>
      <c r="E77" s="125" t="str">
        <f t="shared" si="4"/>
        <v>B</v>
      </c>
      <c r="F77" s="136" t="str">
        <f t="shared" si="5"/>
        <v>Large Cap</v>
      </c>
      <c r="G77" s="136">
        <f>IFERROR(__xludf.DUMMYFUNCTION("if(ISBLANK(B77),"""",GOOGLEFINANCE(B77,""price""))"),3238.0)</f>
        <v>3238</v>
      </c>
      <c r="H77" s="136" t="str">
        <f t="shared" si="6"/>
        <v>Hold</v>
      </c>
      <c r="I77" s="137">
        <f>IFERROR(__xludf.DUMMYFUNCTION("if(ISBLANK(B77),"""",GOOGLEFINANCE(B77,""CHANGEPCT"")/100)"),0.0241)</f>
        <v>0.0241</v>
      </c>
      <c r="J77" s="136">
        <f>IFERROR(__xludf.DUMMYFUNCTION("if(ISBLANK(B77),"""",GOOGLEFINANCE(B77,""HIGH52""))"),4726.0)</f>
        <v>4726</v>
      </c>
      <c r="K77" s="136">
        <f>IFERROR(__xludf.DUMMYFUNCTION("if(ISBLANK(B77),"""",GOOGLEFINANCE(B77,""LOW52""))"),3010.0)</f>
        <v>3010</v>
      </c>
      <c r="L77" s="137">
        <f t="shared" si="7"/>
        <v>-0.3148539992</v>
      </c>
      <c r="M77" s="136">
        <f>J77-(J77*0.35)</f>
        <v>3071.9</v>
      </c>
      <c r="N77" s="136" t="str">
        <f t="shared" si="8"/>
        <v>||</v>
      </c>
      <c r="O77" s="143">
        <f>IFERROR(__xludf.DUMMYFUNCTION("if(ISBLANK(B77),"""",googlefinance(B77,""Marketcap"")/10000000)"),34344.9803)</f>
        <v>34344.9803</v>
      </c>
      <c r="P77" s="130"/>
    </row>
    <row r="78">
      <c r="A78" s="122"/>
      <c r="B78" s="145" t="s">
        <v>132</v>
      </c>
      <c r="C78" s="135" t="str">
        <f>IFERROR(__xludf.DUMMYFUNCTION("if(ISBLANK(B78),"""",GOOGLEFINANCE(B78,""NAME""))"),"Maruti Suzuki India Ltd")</f>
        <v>Maruti Suzuki India Ltd</v>
      </c>
      <c r="D78" s="125" t="str">
        <f t="shared" si="3"/>
        <v>B</v>
      </c>
      <c r="E78" s="125" t="str">
        <f t="shared" si="4"/>
        <v>B</v>
      </c>
      <c r="F78" s="136" t="str">
        <f t="shared" si="5"/>
        <v>Large Cap</v>
      </c>
      <c r="G78" s="136">
        <f>IFERROR(__xludf.DUMMYFUNCTION("if(ISBLANK(B78),"""",GOOGLEFINANCE(B78,""price""))"),14528.0)</f>
        <v>14528</v>
      </c>
      <c r="H78" s="136" t="str">
        <f t="shared" si="6"/>
        <v>Hold</v>
      </c>
      <c r="I78" s="137">
        <f>IFERROR(__xludf.DUMMYFUNCTION("if(ISBLANK(B78),"""",GOOGLEFINANCE(B78,""CHANGEPCT"")/100)"),0.005)</f>
        <v>0.005</v>
      </c>
      <c r="J78" s="136">
        <f>IFERROR(__xludf.DUMMYFUNCTION("if(ISBLANK(B78),"""",GOOGLEFINANCE(B78,""HIGH52""))"),17370.0)</f>
        <v>17370</v>
      </c>
      <c r="K78" s="136">
        <f>IFERROR(__xludf.DUMMYFUNCTION("if(ISBLANK(B78),"""",GOOGLEFINANCE(B78,""LOW52""))"),12201.0)</f>
        <v>12201</v>
      </c>
      <c r="L78" s="137">
        <f t="shared" si="7"/>
        <v>-0.1636154289</v>
      </c>
      <c r="M78" s="138">
        <v>5000.0</v>
      </c>
      <c r="N78" s="136" t="str">
        <f t="shared" si="8"/>
        <v>||</v>
      </c>
      <c r="O78" s="143">
        <f>IFERROR(__xludf.DUMMYFUNCTION("if(ISBLANK(B78),"""",googlefinance(B78,""Marketcap"")/10000000)"),457262.6497752)</f>
        <v>457262.6498</v>
      </c>
      <c r="P78" s="130"/>
    </row>
    <row r="79">
      <c r="A79" s="133"/>
      <c r="B79" s="134" t="s">
        <v>133</v>
      </c>
      <c r="C79" s="135" t="str">
        <f>IFERROR(__xludf.DUMMYFUNCTION("if(ISBLANK(B79),"""",GOOGLEFINANCE(B79,""NAME""))"),"Mold-Tek Packaging Ltd")</f>
        <v>Mold-Tek Packaging Ltd</v>
      </c>
      <c r="D79" s="125" t="str">
        <f t="shared" si="3"/>
        <v>B</v>
      </c>
      <c r="E79" s="125" t="str">
        <f t="shared" si="4"/>
        <v>B</v>
      </c>
      <c r="F79" s="136" t="str">
        <f t="shared" si="5"/>
        <v>Small Cap</v>
      </c>
      <c r="G79" s="136">
        <f>IFERROR(__xludf.DUMMYFUNCTION("if(ISBLANK(B79),"""",GOOGLEFINANCE(B79,""price""))"),694.65)</f>
        <v>694.65</v>
      </c>
      <c r="H79" s="136" t="str">
        <f t="shared" si="6"/>
        <v>Hold</v>
      </c>
      <c r="I79" s="137">
        <f>IFERROR(__xludf.DUMMYFUNCTION("if(ISBLANK(B79),"""",GOOGLEFINANCE(B79,""CHANGEPCT"")/100)"),0.0184)</f>
        <v>0.0184</v>
      </c>
      <c r="J79" s="136">
        <f>IFERROR(__xludf.DUMMYFUNCTION("if(ISBLANK(B79),"""",GOOGLEFINANCE(B79,""HIGH52""))"),892.9)</f>
        <v>892.9</v>
      </c>
      <c r="K79" s="136">
        <f>IFERROR(__xludf.DUMMYFUNCTION("if(ISBLANK(B79),"""",GOOGLEFINANCE(B79,""LOW52""))"),464.9)</f>
        <v>464.9</v>
      </c>
      <c r="L79" s="137">
        <f t="shared" si="7"/>
        <v>-0.2220293426</v>
      </c>
      <c r="M79" s="138">
        <f>J79-(J79*0.65)</f>
        <v>312.515</v>
      </c>
      <c r="N79" s="136" t="str">
        <f t="shared" si="8"/>
        <v>||||</v>
      </c>
      <c r="O79" s="143">
        <f>IFERROR(__xludf.DUMMYFUNCTION("if(ISBLANK(B79),"""",googlefinance(B79,""Marketcap"")/10000000)"),2309.5105308)</f>
        <v>2309.510531</v>
      </c>
      <c r="P79" s="130"/>
    </row>
    <row r="80">
      <c r="A80" s="133"/>
      <c r="B80" s="134" t="s">
        <v>134</v>
      </c>
      <c r="C80" s="135" t="str">
        <f>IFERROR(__xludf.DUMMYFUNCTION("if(ISBLANK(B80),"""",GOOGLEFINANCE(B80,""NAME""))"),"Samvardhana Motherson International Ltd")</f>
        <v>Samvardhana Motherson International Ltd</v>
      </c>
      <c r="D80" s="125" t="str">
        <f t="shared" si="3"/>
        <v>H</v>
      </c>
      <c r="E80" s="125" t="str">
        <f t="shared" si="4"/>
        <v>H</v>
      </c>
      <c r="F80" s="136" t="str">
        <f t="shared" si="5"/>
        <v>Large Cap</v>
      </c>
      <c r="G80" s="136">
        <f>IFERROR(__xludf.DUMMYFUNCTION("if(ISBLANK(B80),"""",GOOGLEFINANCE(B80,""price""))"),143.0)</f>
        <v>143</v>
      </c>
      <c r="H80" s="136" t="str">
        <f t="shared" si="6"/>
        <v>Hold</v>
      </c>
      <c r="I80" s="137">
        <f>IFERROR(__xludf.DUMMYFUNCTION("if(ISBLANK(B80),"""",GOOGLEFINANCE(B80,""CHANGEPCT"")/100)"),-0.016)</f>
        <v>-0.016</v>
      </c>
      <c r="J80" s="136">
        <f>IFERROR(__xludf.DUMMYFUNCTION("if(ISBLANK(B80),"""",GOOGLEFINANCE(B80,""HIGH52""))"),155.25)</f>
        <v>155.25</v>
      </c>
      <c r="K80" s="136">
        <f>IFERROR(__xludf.DUMMYFUNCTION("if(ISBLANK(B80),"""",GOOGLEFINANCE(B80,""LOW52""))"),89.7)</f>
        <v>89.7</v>
      </c>
      <c r="L80" s="137">
        <f t="shared" si="7"/>
        <v>-0.07890499195</v>
      </c>
      <c r="M80" s="136">
        <f>J80-(J80*0.55)</f>
        <v>69.8625</v>
      </c>
      <c r="N80" s="136" t="str">
        <f t="shared" si="8"/>
        <v>||</v>
      </c>
      <c r="O80" s="143">
        <f>IFERROR(__xludf.DUMMYFUNCTION("if(ISBLANK(B80),"""",googlefinance(B80,""Marketcap"")/10000000)"),96944.2045)</f>
        <v>96944.2045</v>
      </c>
      <c r="P80" s="130"/>
    </row>
    <row r="81">
      <c r="A81" s="133"/>
      <c r="B81" s="134" t="s">
        <v>135</v>
      </c>
      <c r="C81" s="135" t="str">
        <f>IFERROR(__xludf.DUMMYFUNCTION("if(ISBLANK(B81),"""",GOOGLEFINANCE(B81,""NAME""))"),"MTAR Technologies Ltd")</f>
        <v>MTAR Technologies Ltd</v>
      </c>
      <c r="D81" s="125" t="str">
        <f t="shared" si="3"/>
        <v>B</v>
      </c>
      <c r="E81" s="125" t="str">
        <f t="shared" si="4"/>
        <v>B</v>
      </c>
      <c r="F81" s="136" t="str">
        <f t="shared" si="5"/>
        <v>Mid Cap</v>
      </c>
      <c r="G81" s="136">
        <f>IFERROR(__xludf.DUMMYFUNCTION("if(ISBLANK(B81),"""",GOOGLEFINANCE(B81,""price""))"),7000.0)</f>
        <v>7000</v>
      </c>
      <c r="H81" s="136" t="str">
        <f t="shared" si="6"/>
        <v>Hold</v>
      </c>
      <c r="I81" s="137">
        <f>IFERROR(__xludf.DUMMYFUNCTION("if(ISBLANK(B81),"""",GOOGLEFINANCE(B81,""CHANGEPCT"")/100)"),-0.0067)</f>
        <v>-0.0067</v>
      </c>
      <c r="J81" s="136">
        <f>IFERROR(__xludf.DUMMYFUNCTION("if(ISBLANK(B81),"""",GOOGLEFINANCE(B81,""HIGH52""))"),8714.0)</f>
        <v>8714</v>
      </c>
      <c r="K81" s="136">
        <f>IFERROR(__xludf.DUMMYFUNCTION("if(ISBLANK(B81),"""",GOOGLEFINANCE(B81,""LOW52""))"),1390.5)</f>
        <v>1390.5</v>
      </c>
      <c r="L81" s="137">
        <f t="shared" si="7"/>
        <v>-0.1966949736</v>
      </c>
      <c r="M81" s="138">
        <f>J81-(J81*0.45)</f>
        <v>4792.7</v>
      </c>
      <c r="N81" s="136" t="str">
        <f t="shared" si="8"/>
        <v>|||</v>
      </c>
      <c r="O81" s="143">
        <f>IFERROR(__xludf.DUMMYFUNCTION("if(ISBLANK(B81),"""",googlefinance(B81,""Marketcap"")/10000000)"),21547.2100835)</f>
        <v>21547.21008</v>
      </c>
      <c r="P81" s="130"/>
    </row>
    <row r="82">
      <c r="A82" s="122"/>
      <c r="B82" s="145" t="s">
        <v>136</v>
      </c>
      <c r="C82" s="135" t="str">
        <f>IFERROR(__xludf.DUMMYFUNCTION("if(ISBLANK(B82),"""",GOOGLEFINANCE(B82,""NAME""))"),"Muthoot Finance Ltd")</f>
        <v>Muthoot Finance Ltd</v>
      </c>
      <c r="D82" s="125" t="str">
        <f t="shared" si="3"/>
        <v>B</v>
      </c>
      <c r="E82" s="125" t="str">
        <f t="shared" si="4"/>
        <v>B</v>
      </c>
      <c r="F82" s="136" t="str">
        <f t="shared" si="5"/>
        <v>Large Cap</v>
      </c>
      <c r="G82" s="136">
        <f>IFERROR(__xludf.DUMMYFUNCTION("if(ISBLANK(B82),"""",GOOGLEFINANCE(B82,""price""))"),3116.0)</f>
        <v>3116</v>
      </c>
      <c r="H82" s="136" t="str">
        <f t="shared" si="6"/>
        <v>Buy</v>
      </c>
      <c r="I82" s="137">
        <f>IFERROR(__xludf.DUMMYFUNCTION("if(ISBLANK(B82),"""",GOOGLEFINANCE(B82,""CHANGEPCT"")/100)"),-0.0069)</f>
        <v>-0.0069</v>
      </c>
      <c r="J82" s="136">
        <f>IFERROR(__xludf.DUMMYFUNCTION("if(ISBLANK(B82),"""",GOOGLEFINANCE(B82,""HIGH52""))"),4149.5)</f>
        <v>4149.5</v>
      </c>
      <c r="K82" s="136">
        <f>IFERROR(__xludf.DUMMYFUNCTION("if(ISBLANK(B82),"""",GOOGLEFINANCE(B82,""LOW52""))"),2476.6)</f>
        <v>2476.6</v>
      </c>
      <c r="L82" s="137">
        <f t="shared" si="7"/>
        <v>-0.2490661525</v>
      </c>
      <c r="M82" s="136">
        <f>J82-(J82*0.2)</f>
        <v>3319.6</v>
      </c>
      <c r="N82" s="136" t="str">
        <f t="shared" si="8"/>
        <v>||</v>
      </c>
      <c r="O82" s="143">
        <f>IFERROR(__xludf.DUMMYFUNCTION("if(ISBLANK(B82),"""",googlefinance(B82,""Marketcap"")/10000000)"),125546.230395)</f>
        <v>125546.2304</v>
      </c>
      <c r="P82" s="130"/>
    </row>
    <row r="83">
      <c r="A83" s="133"/>
      <c r="B83" s="134" t="s">
        <v>137</v>
      </c>
      <c r="C83" s="135" t="str">
        <f>IFERROR(__xludf.DUMMYFUNCTION("if(ISBLANK(B83),"""",GOOGLEFINANCE(B83,""NAME""))"),"Nazara Technologies Ltd")</f>
        <v>Nazara Technologies Ltd</v>
      </c>
      <c r="D83" s="125" t="str">
        <f t="shared" si="3"/>
        <v>B</v>
      </c>
      <c r="E83" s="125" t="str">
        <f t="shared" si="4"/>
        <v>B</v>
      </c>
      <c r="F83" s="136" t="str">
        <f t="shared" si="5"/>
        <v>Mid Cap</v>
      </c>
      <c r="G83" s="136">
        <f>IFERROR(__xludf.DUMMYFUNCTION("if(ISBLANK(B83),"""",GOOGLEFINANCE(B83,""price""))"),301.9)</f>
        <v>301.9</v>
      </c>
      <c r="H83" s="136" t="str">
        <f t="shared" si="6"/>
        <v>Hold</v>
      </c>
      <c r="I83" s="137">
        <f>IFERROR(__xludf.DUMMYFUNCTION("if(ISBLANK(B83),"""",GOOGLEFINANCE(B83,""CHANGEPCT"")/100)"),0.0109)</f>
        <v>0.0109</v>
      </c>
      <c r="J83" s="136">
        <f>IFERROR(__xludf.DUMMYFUNCTION("if(ISBLANK(B83),"""",GOOGLEFINANCE(B83,""HIGH52""))"),363.25)</f>
        <v>363.25</v>
      </c>
      <c r="K83" s="136">
        <f>IFERROR(__xludf.DUMMYFUNCTION("if(ISBLANK(B83),"""",GOOGLEFINANCE(B83,""LOW52""))"),215.7)</f>
        <v>215.7</v>
      </c>
      <c r="L83" s="137">
        <f t="shared" si="7"/>
        <v>-0.1688919477</v>
      </c>
      <c r="M83" s="138">
        <f t="shared" ref="M83:M84" si="10">J83-(J83*0.3)</f>
        <v>254.275</v>
      </c>
      <c r="N83" s="136" t="str">
        <f t="shared" si="8"/>
        <v>|||</v>
      </c>
      <c r="O83" s="143">
        <f>IFERROR(__xludf.DUMMYFUNCTION("if(ISBLANK(B83),"""",googlefinance(B83,""Marketcap"")/10000000)"),11184.3351048)</f>
        <v>11184.3351</v>
      </c>
      <c r="P83" s="130"/>
    </row>
    <row r="84">
      <c r="A84" s="141"/>
      <c r="B84" s="144" t="s">
        <v>138</v>
      </c>
      <c r="C84" s="135" t="str">
        <f>IFERROR(__xludf.DUMMYFUNCTION("if(ISBLANK(B84),"""",GOOGLEFINANCE(B84,""NAME""))"),"Nestle India Ltd")</f>
        <v>Nestle India Ltd</v>
      </c>
      <c r="D84" s="125" t="str">
        <f t="shared" si="3"/>
        <v>H</v>
      </c>
      <c r="E84" s="125" t="str">
        <f t="shared" si="4"/>
        <v>H</v>
      </c>
      <c r="F84" s="136" t="str">
        <f t="shared" si="5"/>
        <v>Large Cap</v>
      </c>
      <c r="G84" s="136">
        <f>IFERROR(__xludf.DUMMYFUNCTION("if(ISBLANK(B84),"""",GOOGLEFINANCE(B84,""price""))"),1466.9)</f>
        <v>1466.9</v>
      </c>
      <c r="H84" s="136" t="str">
        <f t="shared" si="6"/>
        <v>Hold</v>
      </c>
      <c r="I84" s="137">
        <f>IFERROR(__xludf.DUMMYFUNCTION("if(ISBLANK(B84),"""",GOOGLEFINANCE(B84,""CHANGEPCT"")/100)"),-0.0046)</f>
        <v>-0.0046</v>
      </c>
      <c r="J84" s="136">
        <f>IFERROR(__xludf.DUMMYFUNCTION("if(ISBLANK(B84),"""",GOOGLEFINANCE(B84,""HIGH52""))"),1498.1)</f>
        <v>1498.1</v>
      </c>
      <c r="K84" s="136">
        <f>IFERROR(__xludf.DUMMYFUNCTION("if(ISBLANK(B84),"""",GOOGLEFINANCE(B84,""LOW52""))"),1084.7)</f>
        <v>1084.7</v>
      </c>
      <c r="L84" s="137">
        <f t="shared" si="7"/>
        <v>-0.02082638008</v>
      </c>
      <c r="M84" s="136">
        <f t="shared" si="10"/>
        <v>1048.67</v>
      </c>
      <c r="N84" s="136" t="str">
        <f t="shared" si="8"/>
        <v>||</v>
      </c>
      <c r="O84" s="143">
        <f>IFERROR(__xludf.DUMMYFUNCTION("if(ISBLANK(B84),"""",googlefinance(B84,""Marketcap"")/10000000)"),282864.3853677)</f>
        <v>282864.3854</v>
      </c>
      <c r="P84" s="130"/>
    </row>
    <row r="85">
      <c r="A85" s="141"/>
      <c r="B85" s="144" t="s">
        <v>139</v>
      </c>
      <c r="C85" s="135" t="str">
        <f>IFERROR(__xludf.DUMMYFUNCTION("if(ISBLANK(B85),"""",GOOGLEFINANCE(B85,""NAME""))"),"Paradeep Phosphates Ltd")</f>
        <v>Paradeep Phosphates Ltd</v>
      </c>
      <c r="D85" s="125" t="str">
        <f t="shared" si="3"/>
        <v>B</v>
      </c>
      <c r="E85" s="125" t="str">
        <f t="shared" si="4"/>
        <v>B</v>
      </c>
      <c r="F85" s="136" t="str">
        <f t="shared" si="5"/>
        <v>Mid Cap</v>
      </c>
      <c r="G85" s="136">
        <f>IFERROR(__xludf.DUMMYFUNCTION("if(ISBLANK(B85),"""",GOOGLEFINANCE(B85,""price""))"),139.3)</f>
        <v>139.3</v>
      </c>
      <c r="H85" s="136" t="str">
        <f t="shared" si="6"/>
        <v>Buy</v>
      </c>
      <c r="I85" s="137">
        <f>IFERROR(__xludf.DUMMYFUNCTION("if(ISBLANK(B85),"""",GOOGLEFINANCE(B85,""CHANGEPCT"")/100)"),-0.0253)</f>
        <v>-0.0253</v>
      </c>
      <c r="J85" s="136">
        <f>IFERROR(__xludf.DUMMYFUNCTION("if(ISBLANK(B85),"""",GOOGLEFINANCE(B85,""HIGH52""))"),234.39)</f>
        <v>234.39</v>
      </c>
      <c r="K85" s="136">
        <f>IFERROR(__xludf.DUMMYFUNCTION("if(ISBLANK(B85),"""",GOOGLEFINANCE(B85,""LOW52""))"),99.7)</f>
        <v>99.7</v>
      </c>
      <c r="L85" s="137">
        <f t="shared" si="7"/>
        <v>-0.4056913691</v>
      </c>
      <c r="M85" s="138">
        <f>J85-(J85*0.4)</f>
        <v>140.634</v>
      </c>
      <c r="N85" s="136" t="str">
        <f t="shared" si="8"/>
        <v>|||</v>
      </c>
      <c r="O85" s="143">
        <f>IFERROR(__xludf.DUMMYFUNCTION("if(ISBLANK(B85),"""",googlefinance(B85,""Marketcap"")/10000000)"),14455.528575)</f>
        <v>14455.52858</v>
      </c>
      <c r="P85" s="130"/>
    </row>
    <row r="86">
      <c r="A86" s="133"/>
      <c r="B86" s="134" t="s">
        <v>140</v>
      </c>
      <c r="C86" s="135" t="str">
        <f>IFERROR(__xludf.DUMMYFUNCTION("if(ISBLANK(B86),"""",GOOGLEFINANCE(B86,""NAME""))"),"Paras Defence and Space Technologies Ltd")</f>
        <v>Paras Defence and Space Technologies Ltd</v>
      </c>
      <c r="D86" s="125" t="str">
        <f t="shared" si="3"/>
        <v>B</v>
      </c>
      <c r="E86" s="125" t="str">
        <f t="shared" si="4"/>
        <v>H</v>
      </c>
      <c r="F86" s="136" t="str">
        <f t="shared" si="5"/>
        <v>Mid Cap</v>
      </c>
      <c r="G86" s="136">
        <f>IFERROR(__xludf.DUMMYFUNCTION("if(ISBLANK(B86),"""",GOOGLEFINANCE(B86,""price""))"),1292.0)</f>
        <v>1292</v>
      </c>
      <c r="H86" s="136" t="str">
        <f t="shared" si="6"/>
        <v>Hold</v>
      </c>
      <c r="I86" s="137">
        <f>IFERROR(__xludf.DUMMYFUNCTION("if(ISBLANK(B86),"""",GOOGLEFINANCE(B86,""CHANGEPCT"")/100)"),-0.0489)</f>
        <v>-0.0489</v>
      </c>
      <c r="J86" s="136">
        <f>IFERROR(__xludf.DUMMYFUNCTION("if(ISBLANK(B86),"""",GOOGLEFINANCE(B86,""HIGH52""))"),1443.0)</f>
        <v>1443</v>
      </c>
      <c r="K86" s="136">
        <f>IFERROR(__xludf.DUMMYFUNCTION("if(ISBLANK(B86),"""",GOOGLEFINANCE(B86,""LOW52""))"),580.5)</f>
        <v>580.5</v>
      </c>
      <c r="L86" s="137">
        <f t="shared" si="7"/>
        <v>-0.1046431046</v>
      </c>
      <c r="M86" s="138">
        <f>J86-(J86*0.5)</f>
        <v>721.5</v>
      </c>
      <c r="N86" s="136" t="str">
        <f t="shared" si="8"/>
        <v>|||</v>
      </c>
      <c r="O86" s="143">
        <f>IFERROR(__xludf.DUMMYFUNCTION("if(ISBLANK(B86),"""",googlefinance(B86,""Marketcap"")/10000000)"),10436.0546727)</f>
        <v>10436.05467</v>
      </c>
      <c r="P86" s="130"/>
    </row>
    <row r="87">
      <c r="A87" s="133"/>
      <c r="B87" s="134" t="s">
        <v>141</v>
      </c>
      <c r="C87" s="135" t="str">
        <f>IFERROR(__xludf.DUMMYFUNCTION("if(ISBLANK(B87),"""",GOOGLEFINANCE(B87,""NAME""))"),"Procter &amp; Gamble Hygiene &amp; Health Care")</f>
        <v>Procter &amp; Gamble Hygiene &amp; Health Care</v>
      </c>
      <c r="D87" s="125" t="str">
        <f t="shared" si="3"/>
        <v>B</v>
      </c>
      <c r="E87" s="125" t="str">
        <f t="shared" si="4"/>
        <v>B</v>
      </c>
      <c r="F87" s="136" t="str">
        <f t="shared" si="5"/>
        <v>Mid Cap</v>
      </c>
      <c r="G87" s="136">
        <f>IFERROR(__xludf.DUMMYFUNCTION("if(ISBLANK(B87),"""",GOOGLEFINANCE(B87,""price""))"),9024.0)</f>
        <v>9024</v>
      </c>
      <c r="H87" s="136" t="str">
        <f t="shared" si="6"/>
        <v>Buy</v>
      </c>
      <c r="I87" s="137">
        <f>IFERROR(__xludf.DUMMYFUNCTION("if(ISBLANK(B87),"""",GOOGLEFINANCE(B87,""CHANGEPCT"")/100)"),0.0069)</f>
        <v>0.0069</v>
      </c>
      <c r="J87" s="136">
        <f>IFERROR(__xludf.DUMMYFUNCTION("if(ISBLANK(B87),"""",GOOGLEFINANCE(B87,""HIGH52""))"),14540.0)</f>
        <v>14540</v>
      </c>
      <c r="K87" s="136">
        <f>IFERROR(__xludf.DUMMYFUNCTION("if(ISBLANK(B87),"""",GOOGLEFINANCE(B87,""LOW52""))"),8750.5)</f>
        <v>8750.5</v>
      </c>
      <c r="L87" s="137">
        <f t="shared" si="7"/>
        <v>-0.3793672627</v>
      </c>
      <c r="M87" s="138">
        <f>J87-(J87*0.35)</f>
        <v>9451</v>
      </c>
      <c r="N87" s="136" t="str">
        <f t="shared" si="8"/>
        <v>|||</v>
      </c>
      <c r="O87" s="143">
        <f>IFERROR(__xludf.DUMMYFUNCTION("if(ISBLANK(B87),"""",googlefinance(B87,""Marketcap"")/10000000)"),29343.7014327)</f>
        <v>29343.70143</v>
      </c>
      <c r="P87" s="130"/>
    </row>
    <row r="88">
      <c r="A88" s="133"/>
      <c r="B88" s="134" t="s">
        <v>142</v>
      </c>
      <c r="C88" s="135" t="str">
        <f>IFERROR(__xludf.DUMMYFUNCTION("if(ISBLANK(B88),"""",GOOGLEFINANCE(B88,""NAME""))"),"Pidilite Industries Ltd")</f>
        <v>Pidilite Industries Ltd</v>
      </c>
      <c r="D88" s="125" t="str">
        <f t="shared" si="3"/>
        <v>H</v>
      </c>
      <c r="E88" s="125" t="str">
        <f t="shared" si="4"/>
        <v>H</v>
      </c>
      <c r="F88" s="136" t="str">
        <f t="shared" si="5"/>
        <v>Large Cap</v>
      </c>
      <c r="G88" s="136">
        <f>IFERROR(__xludf.DUMMYFUNCTION("if(ISBLANK(B88),"""",GOOGLEFINANCE(B88,""price""))"),1618.8)</f>
        <v>1618.8</v>
      </c>
      <c r="H88" s="136" t="str">
        <f t="shared" si="6"/>
        <v>Hold</v>
      </c>
      <c r="I88" s="137">
        <f>IFERROR(__xludf.DUMMYFUNCTION("if(ISBLANK(B88),"""",GOOGLEFINANCE(B88,""CHANGEPCT"")/100)"),0.0012)</f>
        <v>0.0012</v>
      </c>
      <c r="J88" s="136">
        <f>IFERROR(__xludf.DUMMYFUNCTION("if(ISBLANK(B88),"""",GOOGLEFINANCE(B88,""HIGH52""))"),1626.7)</f>
        <v>1626.7</v>
      </c>
      <c r="K88" s="136">
        <f>IFERROR(__xludf.DUMMYFUNCTION("if(ISBLANK(B88),"""",GOOGLEFINANCE(B88,""LOW52""))"),1259.0)</f>
        <v>1259</v>
      </c>
      <c r="L88" s="137">
        <f t="shared" si="7"/>
        <v>-0.004856457859</v>
      </c>
      <c r="M88" s="136">
        <f>J88-(J88*0.25)</f>
        <v>1220.025</v>
      </c>
      <c r="N88" s="136" t="str">
        <f t="shared" si="8"/>
        <v>||</v>
      </c>
      <c r="O88" s="143">
        <f>IFERROR(__xludf.DUMMYFUNCTION("if(ISBLANK(B88),"""",googlefinance(B88,""Marketcap"")/10000000)"),82434.0079627)</f>
        <v>82434.00796</v>
      </c>
      <c r="P88" s="130"/>
    </row>
    <row r="89">
      <c r="A89" s="133"/>
      <c r="B89" s="134" t="s">
        <v>143</v>
      </c>
      <c r="C89" s="135" t="str">
        <f>IFERROR(__xludf.DUMMYFUNCTION("if(ISBLANK(B89),"""",GOOGLEFINANCE(B89,""NAME""))"),"PI Industries Ltd")</f>
        <v>PI Industries Ltd</v>
      </c>
      <c r="D89" s="125" t="str">
        <f t="shared" si="3"/>
        <v>B</v>
      </c>
      <c r="E89" s="125" t="str">
        <f t="shared" si="4"/>
        <v>B</v>
      </c>
      <c r="F89" s="136" t="str">
        <f t="shared" si="5"/>
        <v>Large Cap</v>
      </c>
      <c r="G89" s="136">
        <f>IFERROR(__xludf.DUMMYFUNCTION("if(ISBLANK(B89),"""",GOOGLEFINANCE(B89,""price""))"),2648.0)</f>
        <v>2648</v>
      </c>
      <c r="H89" s="136" t="str">
        <f t="shared" si="6"/>
        <v>Hold</v>
      </c>
      <c r="I89" s="137">
        <f>IFERROR(__xludf.DUMMYFUNCTION("if(ISBLANK(B89),"""",GOOGLEFINANCE(B89,""CHANGEPCT"")/100)"),-0.0106)</f>
        <v>-0.0106</v>
      </c>
      <c r="J89" s="136">
        <f>IFERROR(__xludf.DUMMYFUNCTION("if(ISBLANK(B89),"""",GOOGLEFINANCE(B89,""HIGH52""))"),4330.0)</f>
        <v>4330</v>
      </c>
      <c r="K89" s="136">
        <f>IFERROR(__xludf.DUMMYFUNCTION("if(ISBLANK(B89),"""",GOOGLEFINANCE(B89,""LOW52""))"),2541.0)</f>
        <v>2541</v>
      </c>
      <c r="L89" s="137">
        <f t="shared" si="7"/>
        <v>-0.3884526559</v>
      </c>
      <c r="M89" s="136">
        <f>J89-(J89*0.45)</f>
        <v>2381.5</v>
      </c>
      <c r="N89" s="136" t="str">
        <f t="shared" si="8"/>
        <v>||</v>
      </c>
      <c r="O89" s="143">
        <f>IFERROR(__xludf.DUMMYFUNCTION("if(ISBLANK(B89),"""",googlefinance(B89,""Marketcap"")/10000000)"),40171.00736)</f>
        <v>40171.00736</v>
      </c>
      <c r="P89" s="130"/>
    </row>
    <row r="90">
      <c r="A90" s="133"/>
      <c r="B90" s="134" t="s">
        <v>144</v>
      </c>
      <c r="C90" s="135" t="str">
        <f>IFERROR(__xludf.DUMMYFUNCTION("if(ISBLANK(B90),"""",GOOGLEFINANCE(B90,""NAME""))"),"Polycab India Ltd")</f>
        <v>Polycab India Ltd</v>
      </c>
      <c r="D90" s="125" t="str">
        <f t="shared" si="3"/>
        <v>H</v>
      </c>
      <c r="E90" s="125" t="str">
        <f t="shared" si="4"/>
        <v>H</v>
      </c>
      <c r="F90" s="136" t="str">
        <f t="shared" si="5"/>
        <v>Large Cap</v>
      </c>
      <c r="G90" s="136">
        <f>IFERROR(__xludf.DUMMYFUNCTION("if(ISBLANK(B90),"""",GOOGLEFINANCE(B90,""price""))"),9364.0)</f>
        <v>9364</v>
      </c>
      <c r="H90" s="136" t="str">
        <f t="shared" si="6"/>
        <v>Hold</v>
      </c>
      <c r="I90" s="137">
        <f>IFERROR(__xludf.DUMMYFUNCTION("if(ISBLANK(B90),"""",GOOGLEFINANCE(B90,""CHANGEPCT"")/100)"),-0.023)</f>
        <v>-0.023</v>
      </c>
      <c r="J90" s="136">
        <f>IFERROR(__xludf.DUMMYFUNCTION("if(ISBLANK(B90),"""",GOOGLEFINANCE(B90,""HIGH52""))"),10126.0)</f>
        <v>10126</v>
      </c>
      <c r="K90" s="136">
        <f>IFERROR(__xludf.DUMMYFUNCTION("if(ISBLANK(B90),"""",GOOGLEFINANCE(B90,""LOW52""))"),6605.0)</f>
        <v>6605</v>
      </c>
      <c r="L90" s="137">
        <f t="shared" si="7"/>
        <v>-0.07525182698</v>
      </c>
      <c r="M90" s="136">
        <f>J90-(J90*0.4)</f>
        <v>6075.6</v>
      </c>
      <c r="N90" s="136" t="str">
        <f t="shared" si="8"/>
        <v>||</v>
      </c>
      <c r="O90" s="143">
        <f>IFERROR(__xludf.DUMMYFUNCTION("if(ISBLANK(B90),"""",googlefinance(B90,""Marketcap"")/10000000)"),141720.8752037)</f>
        <v>141720.8752</v>
      </c>
      <c r="P90" s="130"/>
    </row>
    <row r="91">
      <c r="A91" s="133"/>
      <c r="B91" s="134" t="s">
        <v>145</v>
      </c>
      <c r="C91" s="135" t="str">
        <f>IFERROR(__xludf.DUMMYFUNCTION("if(ISBLANK(B91),"""",GOOGLEFINANCE(B91,""NAME""))"),"Prince Pipes and Fittings Ltd")</f>
        <v>Prince Pipes and Fittings Ltd</v>
      </c>
      <c r="D91" s="125" t="str">
        <f t="shared" si="3"/>
        <v>B</v>
      </c>
      <c r="E91" s="125" t="str">
        <f t="shared" si="4"/>
        <v>B</v>
      </c>
      <c r="F91" s="136" t="str">
        <f t="shared" si="5"/>
        <v>Small Cap</v>
      </c>
      <c r="G91" s="136">
        <f>IFERROR(__xludf.DUMMYFUNCTION("if(ISBLANK(B91),"""",GOOGLEFINANCE(B91,""price""))"),269.9)</f>
        <v>269.9</v>
      </c>
      <c r="H91" s="136" t="str">
        <f t="shared" si="6"/>
        <v>Hold</v>
      </c>
      <c r="I91" s="137">
        <f>IFERROR(__xludf.DUMMYFUNCTION("if(ISBLANK(B91),"""",GOOGLEFINANCE(B91,""CHANGEPCT"")/100)"),-0.009000000000000001)</f>
        <v>-0.009</v>
      </c>
      <c r="J91" s="136">
        <f>IFERROR(__xludf.DUMMYFUNCTION("if(ISBLANK(B91),"""",GOOGLEFINANCE(B91,""HIGH52""))"),376.2)</f>
        <v>376.2</v>
      </c>
      <c r="K91" s="136">
        <f>IFERROR(__xludf.DUMMYFUNCTION("if(ISBLANK(B91),"""",GOOGLEFINANCE(B91,""LOW52""))"),205.0)</f>
        <v>205</v>
      </c>
      <c r="L91" s="137">
        <f t="shared" si="7"/>
        <v>-0.2825624668</v>
      </c>
      <c r="M91" s="138">
        <f>J91-(J91*0.85)</f>
        <v>56.43</v>
      </c>
      <c r="N91" s="136" t="str">
        <f t="shared" si="8"/>
        <v>||||</v>
      </c>
      <c r="O91" s="143">
        <f>IFERROR(__xludf.DUMMYFUNCTION("if(ISBLANK(B91),"""",googlefinance(B91,""Marketcap"")/10000000)"),2987.9604925)</f>
        <v>2987.960493</v>
      </c>
      <c r="P91" s="130"/>
    </row>
    <row r="92">
      <c r="A92" s="122"/>
      <c r="B92" s="145" t="s">
        <v>146</v>
      </c>
      <c r="C92" s="135" t="str">
        <f>IFERROR(__xludf.DUMMYFUNCTION("if(ISBLANK(B92),"""",GOOGLEFINANCE(B92,""NAME""))"),"Railtel Corporation of India Ltd")</f>
        <v>Railtel Corporation of India Ltd</v>
      </c>
      <c r="D92" s="125" t="str">
        <f t="shared" si="3"/>
        <v>B</v>
      </c>
      <c r="E92" s="125" t="str">
        <f t="shared" si="4"/>
        <v>B</v>
      </c>
      <c r="F92" s="136" t="str">
        <f t="shared" si="5"/>
        <v>Mid Cap</v>
      </c>
      <c r="G92" s="136">
        <f>IFERROR(__xludf.DUMMYFUNCTION("if(ISBLANK(B92),"""",GOOGLEFINANCE(B92,""price""))"),311.3)</f>
        <v>311.3</v>
      </c>
      <c r="H92" s="136" t="str">
        <f t="shared" si="6"/>
        <v>Hold</v>
      </c>
      <c r="I92" s="137">
        <f>IFERROR(__xludf.DUMMYFUNCTION("if(ISBLANK(B92),"""",GOOGLEFINANCE(B92,""CHANGEPCT"")/100)"),0.005699999999999999)</f>
        <v>0.0057</v>
      </c>
      <c r="J92" s="136">
        <f>IFERROR(__xludf.DUMMYFUNCTION("if(ISBLANK(B92),"""",GOOGLEFINANCE(B92,""HIGH52""))"),426.0)</f>
        <v>426</v>
      </c>
      <c r="K92" s="136">
        <f>IFERROR(__xludf.DUMMYFUNCTION("if(ISBLANK(B92),"""",GOOGLEFINANCE(B92,""LOW52""))"),245.0)</f>
        <v>245</v>
      </c>
      <c r="L92" s="137">
        <f t="shared" si="7"/>
        <v>-0.2692488263</v>
      </c>
      <c r="M92" s="138">
        <f>J92-(J92*0.55)</f>
        <v>191.7</v>
      </c>
      <c r="N92" s="136" t="str">
        <f t="shared" si="8"/>
        <v>|||</v>
      </c>
      <c r="O92" s="143">
        <f>IFERROR(__xludf.DUMMYFUNCTION("if(ISBLANK(B92),"""",googlefinance(B92,""Marketcap"")/10000000)"),9990.8088872)</f>
        <v>9990.808887</v>
      </c>
      <c r="P92" s="130"/>
    </row>
    <row r="93">
      <c r="A93" s="131"/>
      <c r="B93" s="146" t="s">
        <v>147</v>
      </c>
      <c r="C93" s="135" t="str">
        <f>IFERROR(__xludf.DUMMYFUNCTION("if(ISBLANK(B93),"""",GOOGLEFINANCE(B93,""NAME""))"),"Relaxo Footwears Ltd")</f>
        <v>Relaxo Footwears Ltd</v>
      </c>
      <c r="D93" s="125" t="str">
        <f t="shared" si="3"/>
        <v>B</v>
      </c>
      <c r="E93" s="125" t="str">
        <f t="shared" si="4"/>
        <v>B</v>
      </c>
      <c r="F93" s="136" t="str">
        <f t="shared" si="5"/>
        <v>Mid Cap</v>
      </c>
      <c r="G93" s="136">
        <f>IFERROR(__xludf.DUMMYFUNCTION("if(ISBLANK(B93),"""",GOOGLEFINANCE(B93,""price""))"),391.5)</f>
        <v>391.5</v>
      </c>
      <c r="H93" s="136" t="str">
        <f t="shared" si="6"/>
        <v>Hold</v>
      </c>
      <c r="I93" s="137">
        <f>IFERROR(__xludf.DUMMYFUNCTION("if(ISBLANK(B93),"""",GOOGLEFINANCE(B93,""CHANGEPCT"")/100)"),-0.0231)</f>
        <v>-0.0231</v>
      </c>
      <c r="J93" s="136">
        <f>IFERROR(__xludf.DUMMYFUNCTION("if(ISBLANK(B93),"""",GOOGLEFINANCE(B93,""HIGH52""))"),526.0)</f>
        <v>526</v>
      </c>
      <c r="K93" s="136">
        <f>IFERROR(__xludf.DUMMYFUNCTION("if(ISBLANK(B93),"""",GOOGLEFINANCE(B93,""LOW52""))"),236.5)</f>
        <v>236.5</v>
      </c>
      <c r="L93" s="137">
        <f t="shared" si="7"/>
        <v>-0.2557034221</v>
      </c>
      <c r="M93" s="138">
        <f>J93-(J93*0.65)</f>
        <v>184.1</v>
      </c>
      <c r="N93" s="136" t="str">
        <f t="shared" si="8"/>
        <v>|||</v>
      </c>
      <c r="O93" s="143">
        <f>IFERROR(__xludf.DUMMYFUNCTION("if(ISBLANK(B93),"""",googlefinance(B93,""Marketcap"")/10000000)"),9745.942275)</f>
        <v>9745.942275</v>
      </c>
      <c r="P93" s="130"/>
    </row>
    <row r="94">
      <c r="A94" s="122"/>
      <c r="B94" s="145" t="s">
        <v>148</v>
      </c>
      <c r="C94" s="135" t="str">
        <f>IFERROR(__xludf.DUMMYFUNCTION("if(ISBLANK(B94),"""",GOOGLEFINANCE(B94,""NAME""))"),"Reliance Industries Ltd")</f>
        <v>Reliance Industries Ltd</v>
      </c>
      <c r="D94" s="125" t="str">
        <f t="shared" si="3"/>
        <v>B</v>
      </c>
      <c r="E94" s="125" t="str">
        <f t="shared" si="4"/>
        <v>B</v>
      </c>
      <c r="F94" s="136" t="str">
        <f t="shared" si="5"/>
        <v>Mega Cap</v>
      </c>
      <c r="G94" s="136">
        <f>IFERROR(__xludf.DUMMYFUNCTION("if(ISBLANK(B94),"""",GOOGLEFINANCE(B94,""price""))"),1305.0)</f>
        <v>1305</v>
      </c>
      <c r="H94" s="136" t="str">
        <f t="shared" si="6"/>
        <v>Hold</v>
      </c>
      <c r="I94" s="137">
        <f>IFERROR(__xludf.DUMMYFUNCTION("if(ISBLANK(B94),"""",GOOGLEFINANCE(B94,""CHANGEPCT"")/100)"),-0.0123)</f>
        <v>-0.0123</v>
      </c>
      <c r="J94" s="136">
        <f>IFERROR(__xludf.DUMMYFUNCTION("if(ISBLANK(B94),"""",GOOGLEFINANCE(B94,""HIGH52""))"),1611.8)</f>
        <v>1611.8</v>
      </c>
      <c r="K94" s="136">
        <f>IFERROR(__xludf.DUMMYFUNCTION("if(ISBLANK(B94),"""",GOOGLEFINANCE(B94,""LOW52""))"),1253.2)</f>
        <v>1253.2</v>
      </c>
      <c r="L94" s="137">
        <f t="shared" si="7"/>
        <v>-0.1903461968</v>
      </c>
      <c r="M94" s="136">
        <f>J94-(J94*0.35)</f>
        <v>1047.67</v>
      </c>
      <c r="N94" s="136" t="str">
        <f t="shared" si="8"/>
        <v>|</v>
      </c>
      <c r="O94" s="143">
        <f>IFERROR(__xludf.DUMMYFUNCTION("if(ISBLANK(B94),"""",googlefinance(B94,""Marketcap"")/10000000)"),1767711.9387287)</f>
        <v>1767711.939</v>
      </c>
      <c r="P94" s="130"/>
    </row>
    <row r="95">
      <c r="A95" s="131"/>
      <c r="B95" s="146" t="s">
        <v>149</v>
      </c>
      <c r="C95" s="135" t="str">
        <f>IFERROR(__xludf.DUMMYFUNCTION("if(ISBLANK(B95),"""",GOOGLEFINANCE(B95,""NAME""))"),"Rattanindia Enterprises Ltd")</f>
        <v>Rattanindia Enterprises Ltd</v>
      </c>
      <c r="D95" s="125" t="str">
        <f t="shared" si="3"/>
        <v>B</v>
      </c>
      <c r="E95" s="125" t="str">
        <f t="shared" si="4"/>
        <v>B</v>
      </c>
      <c r="F95" s="136" t="str">
        <f t="shared" si="5"/>
        <v>Small Cap</v>
      </c>
      <c r="G95" s="136">
        <f>IFERROR(__xludf.DUMMYFUNCTION("if(ISBLANK(B95),"""",GOOGLEFINANCE(B95,""price""))"),32.9)</f>
        <v>32.9</v>
      </c>
      <c r="H95" s="136" t="str">
        <f t="shared" si="6"/>
        <v>Hold</v>
      </c>
      <c r="I95" s="137">
        <f>IFERROR(__xludf.DUMMYFUNCTION("if(ISBLANK(B95),"""",GOOGLEFINANCE(B95,""CHANGEPCT"")/100)"),-0.0126)</f>
        <v>-0.0126</v>
      </c>
      <c r="J95" s="136">
        <f>IFERROR(__xludf.DUMMYFUNCTION("if(ISBLANK(B95),"""",GOOGLEFINANCE(B95,""HIGH52""))"),69.7)</f>
        <v>69.7</v>
      </c>
      <c r="K95" s="136">
        <f>IFERROR(__xludf.DUMMYFUNCTION("if(ISBLANK(B95),"""",GOOGLEFINANCE(B95,""LOW52""))"),24.4)</f>
        <v>24.4</v>
      </c>
      <c r="L95" s="137">
        <f t="shared" si="7"/>
        <v>-0.5279770445</v>
      </c>
      <c r="M95" s="138">
        <f>J95-(J95*0.75)</f>
        <v>17.425</v>
      </c>
      <c r="N95" s="136" t="str">
        <f t="shared" si="8"/>
        <v>||||</v>
      </c>
      <c r="O95" s="143">
        <f>IFERROR(__xludf.DUMMYFUNCTION("if(ISBLANK(B95),"""",googlefinance(B95,""Marketcap"")/10000000)"),4543.1184407)</f>
        <v>4543.118441</v>
      </c>
      <c r="P95" s="130"/>
    </row>
    <row r="96">
      <c r="A96" s="133"/>
      <c r="B96" s="134" t="s">
        <v>150</v>
      </c>
      <c r="C96" s="135" t="str">
        <f>IFERROR(__xludf.DUMMYFUNCTION("if(ISBLANK(B96),"""",GOOGLEFINANCE(B96,""NAME""))"),"Rail Vikas Nigam Ltd")</f>
        <v>Rail Vikas Nigam Ltd</v>
      </c>
      <c r="D96" s="125" t="str">
        <f t="shared" si="3"/>
        <v>B</v>
      </c>
      <c r="E96" s="125" t="str">
        <f t="shared" si="4"/>
        <v>B</v>
      </c>
      <c r="F96" s="136" t="str">
        <f t="shared" si="5"/>
        <v>Large Cap</v>
      </c>
      <c r="G96" s="136">
        <f>IFERROR(__xludf.DUMMYFUNCTION("if(ISBLANK(B96),"""",GOOGLEFINANCE(B96,""price""))"),232.4)</f>
        <v>232.4</v>
      </c>
      <c r="H96" s="136" t="str">
        <f t="shared" si="6"/>
        <v>Hold</v>
      </c>
      <c r="I96" s="137">
        <f>IFERROR(__xludf.DUMMYFUNCTION("if(ISBLANK(B96),"""",GOOGLEFINANCE(B96,""CHANGEPCT"")/100)"),-0.0062)</f>
        <v>-0.0062</v>
      </c>
      <c r="J96" s="136">
        <f>IFERROR(__xludf.DUMMYFUNCTION("if(ISBLANK(B96),"""",GOOGLEFINANCE(B96,""HIGH52""))"),400.7)</f>
        <v>400.7</v>
      </c>
      <c r="K96" s="136">
        <f>IFERROR(__xludf.DUMMYFUNCTION("if(ISBLANK(B96),"""",GOOGLEFINANCE(B96,""LOW52""))"),221.55)</f>
        <v>221.55</v>
      </c>
      <c r="L96" s="137">
        <f t="shared" si="7"/>
        <v>-0.4200149738</v>
      </c>
      <c r="M96" s="136">
        <f>J96-(J96*0.5)</f>
        <v>200.35</v>
      </c>
      <c r="N96" s="136" t="str">
        <f t="shared" si="8"/>
        <v>||</v>
      </c>
      <c r="O96" s="143">
        <f>IFERROR(__xludf.DUMMYFUNCTION("if(ISBLANK(B96),"""",googlefinance(B96,""Marketcap"")/10000000)"),48552.045675)</f>
        <v>48552.04568</v>
      </c>
      <c r="P96" s="130"/>
    </row>
    <row r="97">
      <c r="A97" s="131"/>
      <c r="B97" s="146" t="s">
        <v>151</v>
      </c>
      <c r="C97" s="135" t="str">
        <f>IFERROR(__xludf.DUMMYFUNCTION("if(ISBLANK(B97),"""",GOOGLEFINANCE(B97,""NAME""))"),"SBI Cards and Payment Services Ltd")</f>
        <v>SBI Cards and Payment Services Ltd</v>
      </c>
      <c r="D97" s="125" t="str">
        <f t="shared" si="3"/>
        <v>B</v>
      </c>
      <c r="E97" s="125" t="str">
        <f t="shared" si="4"/>
        <v>B</v>
      </c>
      <c r="F97" s="136" t="str">
        <f t="shared" si="5"/>
        <v>Large Cap</v>
      </c>
      <c r="G97" s="136">
        <f>IFERROR(__xludf.DUMMYFUNCTION("if(ISBLANK(B97),"""",GOOGLEFINANCE(B97,""price""))"),604.4)</f>
        <v>604.4</v>
      </c>
      <c r="H97" s="136" t="str">
        <f t="shared" si="6"/>
        <v>Buy</v>
      </c>
      <c r="I97" s="137">
        <f>IFERROR(__xludf.DUMMYFUNCTION("if(ISBLANK(B97),"""",GOOGLEFINANCE(B97,""CHANGEPCT"")/100)"),0.0015)</f>
        <v>0.0015</v>
      </c>
      <c r="J97" s="136">
        <f>IFERROR(__xludf.DUMMYFUNCTION("if(ISBLANK(B97),"""",GOOGLEFINANCE(B97,""HIGH52""))"),1004.75)</f>
        <v>1004.75</v>
      </c>
      <c r="K97" s="136">
        <f>IFERROR(__xludf.DUMMYFUNCTION("if(ISBLANK(B97),"""",GOOGLEFINANCE(B97,""LOW52""))"),565.45)</f>
        <v>565.45</v>
      </c>
      <c r="L97" s="137">
        <f t="shared" si="7"/>
        <v>-0.3984573277</v>
      </c>
      <c r="M97" s="138">
        <f>J97-(J97*0.25)</f>
        <v>753.5625</v>
      </c>
      <c r="N97" s="136" t="str">
        <f t="shared" si="8"/>
        <v>||</v>
      </c>
      <c r="O97" s="143">
        <f>IFERROR(__xludf.DUMMYFUNCTION("if(ISBLANK(B97),"""",googlefinance(B97,""Marketcap"")/10000000)"),57515.5766592)</f>
        <v>57515.57666</v>
      </c>
      <c r="P97" s="130"/>
    </row>
    <row r="98">
      <c r="A98" s="122"/>
      <c r="B98" s="145" t="s">
        <v>152</v>
      </c>
      <c r="C98" s="135" t="str">
        <f>IFERROR(__xludf.DUMMYFUNCTION("if(ISBLANK(B98),"""",GOOGLEFINANCE(B98,""NAME""))"),"State Bank of India")</f>
        <v>State Bank of India</v>
      </c>
      <c r="D98" s="125" t="str">
        <f t="shared" si="3"/>
        <v>B</v>
      </c>
      <c r="E98" s="125" t="str">
        <f t="shared" si="4"/>
        <v>B</v>
      </c>
      <c r="F98" s="136" t="str">
        <f t="shared" si="5"/>
        <v>Mega Cap</v>
      </c>
      <c r="G98" s="136">
        <f>IFERROR(__xludf.DUMMYFUNCTION("if(ISBLANK(B98),"""",GOOGLEFINANCE(B98,""price""))"),1036.2)</f>
        <v>1036.2</v>
      </c>
      <c r="H98" s="136" t="str">
        <f t="shared" si="6"/>
        <v>Hold</v>
      </c>
      <c r="I98" s="137">
        <f>IFERROR(__xludf.DUMMYFUNCTION("if(ISBLANK(B98),"""",GOOGLEFINANCE(B98,""CHANGEPCT"")/100)"),-0.0014000000000000002)</f>
        <v>-0.0014</v>
      </c>
      <c r="J98" s="136">
        <f>IFERROR(__xludf.DUMMYFUNCTION("if(ISBLANK(B98),"""",GOOGLEFINANCE(B98,""HIGH52""))"),1234.7)</f>
        <v>1234.7</v>
      </c>
      <c r="K98" s="136">
        <f>IFERROR(__xludf.DUMMYFUNCTION("if(ISBLANK(B98),"""",GOOGLEFINANCE(B98,""LOW52""))"),786.55)</f>
        <v>786.55</v>
      </c>
      <c r="L98" s="137">
        <f t="shared" si="7"/>
        <v>-0.1607677978</v>
      </c>
      <c r="M98" s="136">
        <f>J98-(J98*0.3)</f>
        <v>864.29</v>
      </c>
      <c r="N98" s="136" t="str">
        <f t="shared" si="8"/>
        <v>|</v>
      </c>
      <c r="O98" s="143">
        <f>IFERROR(__xludf.DUMMYFUNCTION("if(ISBLANK(B98),"""",googlefinance(B98,""Marketcap"")/10000000)"),957953.4773313)</f>
        <v>957953.4773</v>
      </c>
      <c r="P98" s="130"/>
    </row>
    <row r="99">
      <c r="A99" s="133"/>
      <c r="B99" s="134" t="s">
        <v>153</v>
      </c>
      <c r="C99" s="135" t="str">
        <f>IFERROR(__xludf.DUMMYFUNCTION("if(ISBLANK(B99),"""",GOOGLEFINANCE(B99,""NAME""))"),"SRF Ltd")</f>
        <v>SRF Ltd</v>
      </c>
      <c r="D99" s="125" t="str">
        <f t="shared" si="3"/>
        <v>B</v>
      </c>
      <c r="E99" s="125" t="str">
        <f t="shared" si="4"/>
        <v>B</v>
      </c>
      <c r="F99" s="136" t="str">
        <f t="shared" si="5"/>
        <v>Large Cap</v>
      </c>
      <c r="G99" s="136">
        <f>IFERROR(__xludf.DUMMYFUNCTION("if(ISBLANK(B99),"""",GOOGLEFINANCE(B99,""price""))"),2811.3)</f>
        <v>2811.3</v>
      </c>
      <c r="H99" s="136" t="str">
        <f t="shared" si="6"/>
        <v>Hold</v>
      </c>
      <c r="I99" s="137">
        <f>IFERROR(__xludf.DUMMYFUNCTION("if(ISBLANK(B99),"""",GOOGLEFINANCE(B99,""CHANGEPCT"")/100)"),-0.0069)</f>
        <v>-0.0069</v>
      </c>
      <c r="J99" s="136">
        <f>IFERROR(__xludf.DUMMYFUNCTION("if(ISBLANK(B99),"""",GOOGLEFINANCE(B99,""HIGH52""))"),3325.0)</f>
        <v>3325</v>
      </c>
      <c r="K99" s="136">
        <f>IFERROR(__xludf.DUMMYFUNCTION("if(ISBLANK(B99),"""",GOOGLEFINANCE(B99,""LOW52""))"),2355.0)</f>
        <v>2355</v>
      </c>
      <c r="L99" s="137">
        <f t="shared" si="7"/>
        <v>-0.1544962406</v>
      </c>
      <c r="M99" s="138">
        <f>J99-(J99*0.22)</f>
        <v>2593.5</v>
      </c>
      <c r="N99" s="136" t="str">
        <f t="shared" si="8"/>
        <v>||</v>
      </c>
      <c r="O99" s="143">
        <f>IFERROR(__xludf.DUMMYFUNCTION("if(ISBLANK(B99),"""",googlefinance(B99,""Marketcap"")/10000000)"),83130.63495)</f>
        <v>83130.63495</v>
      </c>
      <c r="P99" s="130"/>
    </row>
    <row r="100">
      <c r="A100" s="122"/>
      <c r="B100" s="145" t="s">
        <v>154</v>
      </c>
      <c r="C100" s="135" t="str">
        <f>IFERROR(__xludf.DUMMYFUNCTION("if(ISBLANK(B100),"""",GOOGLEFINANCE(B100,""NAME""))"),"Suzlon Energy Ltd")</f>
        <v>Suzlon Energy Ltd</v>
      </c>
      <c r="D100" s="125" t="str">
        <f t="shared" si="3"/>
        <v>B</v>
      </c>
      <c r="E100" s="125" t="str">
        <f t="shared" si="4"/>
        <v>B</v>
      </c>
      <c r="F100" s="136" t="str">
        <f t="shared" si="5"/>
        <v>Large Cap</v>
      </c>
      <c r="G100" s="136">
        <f>IFERROR(__xludf.DUMMYFUNCTION("if(ISBLANK(B100),"""",GOOGLEFINANCE(B100,""price""))"),54.4)</f>
        <v>54.4</v>
      </c>
      <c r="H100" s="136" t="str">
        <f t="shared" si="6"/>
        <v>Hold</v>
      </c>
      <c r="I100" s="137">
        <f>IFERROR(__xludf.DUMMYFUNCTION("if(ISBLANK(B100),"""",GOOGLEFINANCE(B100,""CHANGEPCT"")/100)"),-0.019299999999999998)</f>
        <v>-0.0193</v>
      </c>
      <c r="J100" s="136">
        <f>IFERROR(__xludf.DUMMYFUNCTION("if(ISBLANK(B100),"""",GOOGLEFINANCE(B100,""HIGH52""))"),68.3)</f>
        <v>68.3</v>
      </c>
      <c r="K100" s="136">
        <f>IFERROR(__xludf.DUMMYFUNCTION("if(ISBLANK(B100),"""",GOOGLEFINANCE(B100,""LOW52""))"),38.19)</f>
        <v>38.19</v>
      </c>
      <c r="L100" s="137">
        <f t="shared" si="7"/>
        <v>-0.2035139092</v>
      </c>
      <c r="M100" s="136">
        <f>J100-(J100*0.45)</f>
        <v>37.565</v>
      </c>
      <c r="N100" s="136" t="str">
        <f t="shared" si="8"/>
        <v>||</v>
      </c>
      <c r="O100" s="143">
        <f>IFERROR(__xludf.DUMMYFUNCTION("if(ISBLANK(B100),"""",googlefinance(B100,""Marketcap"")/10000000)"),74547.0963334)</f>
        <v>74547.09633</v>
      </c>
      <c r="P100" s="130"/>
    </row>
    <row r="101">
      <c r="A101" s="122"/>
      <c r="B101" s="145" t="s">
        <v>155</v>
      </c>
      <c r="C101" s="135" t="str">
        <f>IFERROR(__xludf.DUMMYFUNCTION("if(ISBLANK(B101),"""",GOOGLEFINANCE(B101,""NAME""))"),"Tata Consumer Products Ltd")</f>
        <v>Tata Consumer Products Ltd</v>
      </c>
      <c r="D101" s="125" t="str">
        <f t="shared" si="3"/>
        <v>B</v>
      </c>
      <c r="E101" s="125" t="str">
        <f t="shared" si="4"/>
        <v>H</v>
      </c>
      <c r="F101" s="136" t="str">
        <f t="shared" si="5"/>
        <v>Large Cap</v>
      </c>
      <c r="G101" s="136">
        <f>IFERROR(__xludf.DUMMYFUNCTION("if(ISBLANK(B101),"""",GOOGLEFINANCE(B101,""price""))"),1121.1)</f>
        <v>1121.1</v>
      </c>
      <c r="H101" s="136" t="str">
        <f t="shared" si="6"/>
        <v>Hold</v>
      </c>
      <c r="I101" s="137">
        <f>IFERROR(__xludf.DUMMYFUNCTION("if(ISBLANK(B101),"""",GOOGLEFINANCE(B101,""CHANGEPCT"")/100)"),0.0029)</f>
        <v>0.0029</v>
      </c>
      <c r="J101" s="136">
        <f>IFERROR(__xludf.DUMMYFUNCTION("if(ISBLANK(B101),"""",GOOGLEFINANCE(B101,""HIGH52""))"),1282.7)</f>
        <v>1282.7</v>
      </c>
      <c r="K101" s="136">
        <f>IFERROR(__xludf.DUMMYFUNCTION("if(ISBLANK(B101),"""",GOOGLEFINANCE(B101,""LOW52""))"),1007.2)</f>
        <v>1007.2</v>
      </c>
      <c r="L101" s="137">
        <f t="shared" si="7"/>
        <v>-0.125984252</v>
      </c>
      <c r="M101" s="136">
        <f>J101-(J101*0.3)</f>
        <v>897.89</v>
      </c>
      <c r="N101" s="136" t="str">
        <f t="shared" si="8"/>
        <v>||</v>
      </c>
      <c r="O101" s="143">
        <f>IFERROR(__xludf.DUMMYFUNCTION("if(ISBLANK(B101),"""",googlefinance(B101,""Marketcap"")/10000000)"),110659.1191426)</f>
        <v>110659.1191</v>
      </c>
      <c r="P101" s="130"/>
    </row>
    <row r="102">
      <c r="A102" s="141"/>
      <c r="B102" s="144" t="s">
        <v>156</v>
      </c>
      <c r="C102" s="135" t="str">
        <f>IFERROR(__xludf.DUMMYFUNCTION("if(ISBLANK(B102),"""",GOOGLEFINANCE(B102,""NAME""))"),"Tata Elxsi Ltd")</f>
        <v>Tata Elxsi Ltd</v>
      </c>
      <c r="D102" s="125" t="str">
        <f t="shared" si="3"/>
        <v>B</v>
      </c>
      <c r="E102" s="125" t="str">
        <f t="shared" si="4"/>
        <v>B</v>
      </c>
      <c r="F102" s="136" t="str">
        <f t="shared" si="5"/>
        <v>Mid Cap</v>
      </c>
      <c r="G102" s="136">
        <f>IFERROR(__xludf.DUMMYFUNCTION("if(ISBLANK(B102),"""",GOOGLEFINANCE(B102,""price""))"),3708.0)</f>
        <v>3708</v>
      </c>
      <c r="H102" s="136" t="str">
        <f t="shared" si="6"/>
        <v>Hold</v>
      </c>
      <c r="I102" s="137">
        <f>IFERROR(__xludf.DUMMYFUNCTION("if(ISBLANK(B102),"""",GOOGLEFINANCE(B102,""CHANGEPCT"")/100)"),0.013500000000000002)</f>
        <v>0.0135</v>
      </c>
      <c r="J102" s="136">
        <f>IFERROR(__xludf.DUMMYFUNCTION("if(ISBLANK(B102),"""",GOOGLEFINANCE(B102,""HIGH52""))"),6439.5)</f>
        <v>6439.5</v>
      </c>
      <c r="K102" s="136">
        <f>IFERROR(__xludf.DUMMYFUNCTION("if(ISBLANK(B102),"""",GOOGLEFINANCE(B102,""LOW52""))"),3562.0)</f>
        <v>3562</v>
      </c>
      <c r="L102" s="137">
        <f t="shared" si="7"/>
        <v>-0.4241788959</v>
      </c>
      <c r="M102" s="136">
        <f>J102-(J102*0.5)</f>
        <v>3219.75</v>
      </c>
      <c r="N102" s="136" t="str">
        <f t="shared" si="8"/>
        <v>|||</v>
      </c>
      <c r="O102" s="143">
        <f>IFERROR(__xludf.DUMMYFUNCTION("if(ISBLANK(B102),"""",googlefinance(B102,""Marketcap"")/10000000)"),23100.680556)</f>
        <v>23100.68056</v>
      </c>
      <c r="P102" s="130"/>
    </row>
    <row r="103">
      <c r="A103" s="122"/>
      <c r="B103" s="145" t="s">
        <v>157</v>
      </c>
      <c r="C103" s="135" t="str">
        <f>IFERROR(__xludf.DUMMYFUNCTION("if(ISBLANK(B103),"""",GOOGLEFINANCE(B103,""NAME""))"),"#N/A")</f>
        <v>#N/A</v>
      </c>
      <c r="D103" s="125" t="str">
        <f t="shared" si="3"/>
        <v>#N/A</v>
      </c>
      <c r="E103" s="125" t="str">
        <f t="shared" si="4"/>
        <v>#N/A</v>
      </c>
      <c r="F103" s="136" t="str">
        <f t="shared" si="5"/>
        <v>#N/A</v>
      </c>
      <c r="G103" s="136" t="str">
        <f>IFERROR(__xludf.DUMMYFUNCTION("if(ISBLANK(B103),"""",GOOGLEFINANCE(B103,""price""))"),"#N/A")</f>
        <v>#N/A</v>
      </c>
      <c r="H103" s="136" t="str">
        <f t="shared" si="6"/>
        <v>#N/A</v>
      </c>
      <c r="I103" s="137" t="str">
        <f>IFERROR(__xludf.DUMMYFUNCTION("if(ISBLANK(B103),"""",GOOGLEFINANCE(B103,""CHANGEPCT"")/100)"),"#N/A")</f>
        <v>#N/A</v>
      </c>
      <c r="J103" s="136" t="str">
        <f>IFERROR(__xludf.DUMMYFUNCTION("if(ISBLANK(B103),"""",GOOGLEFINANCE(B103,""HIGH52""))"),"#N/A")</f>
        <v>#N/A</v>
      </c>
      <c r="K103" s="136" t="str">
        <f>IFERROR(__xludf.DUMMYFUNCTION("if(ISBLANK(B103),"""",GOOGLEFINANCE(B103,""LOW52""))"),"#N/A")</f>
        <v>#N/A</v>
      </c>
      <c r="L103" s="137" t="str">
        <f t="shared" si="7"/>
        <v>#N/A</v>
      </c>
      <c r="M103" s="136" t="str">
        <f>J103-(J103*0.65)</f>
        <v>#N/A</v>
      </c>
      <c r="N103" s="136" t="str">
        <f t="shared" si="8"/>
        <v>#N/A</v>
      </c>
      <c r="O103" s="143" t="str">
        <f>IFERROR(__xludf.DUMMYFUNCTION("if(ISBLANK(B103),"""",googlefinance(B103,""Marketcap"")/10000000)"),"#N/A")</f>
        <v>#N/A</v>
      </c>
      <c r="P103" s="130"/>
    </row>
    <row r="104">
      <c r="A104" s="122"/>
      <c r="B104" s="145" t="s">
        <v>158</v>
      </c>
      <c r="C104" s="135" t="str">
        <f>IFERROR(__xludf.DUMMYFUNCTION("if(ISBLANK(B104),"""",GOOGLEFINANCE(B104,""NAME""))"),"Tata Power Company Ltd")</f>
        <v>Tata Power Company Ltd</v>
      </c>
      <c r="D104" s="125" t="str">
        <f t="shared" si="3"/>
        <v>B</v>
      </c>
      <c r="E104" s="125" t="str">
        <f t="shared" si="4"/>
        <v>B</v>
      </c>
      <c r="F104" s="136" t="str">
        <f t="shared" si="5"/>
        <v>Large Cap</v>
      </c>
      <c r="G104" s="136">
        <f>IFERROR(__xludf.DUMMYFUNCTION("if(ISBLANK(B104),"""",GOOGLEFINANCE(B104,""price""))"),377.1)</f>
        <v>377.1</v>
      </c>
      <c r="H104" s="136" t="str">
        <f t="shared" si="6"/>
        <v>Hold</v>
      </c>
      <c r="I104" s="137">
        <f>IFERROR(__xludf.DUMMYFUNCTION("if(ISBLANK(B104),"""",GOOGLEFINANCE(B104,""CHANGEPCT"")/100)"),-0.0012)</f>
        <v>-0.0012</v>
      </c>
      <c r="J104" s="136">
        <f>IFERROR(__xludf.DUMMYFUNCTION("if(ISBLANK(B104),"""",GOOGLEFINANCE(B104,""HIGH52""))"),464.9)</f>
        <v>464.9</v>
      </c>
      <c r="K104" s="136">
        <f>IFERROR(__xludf.DUMMYFUNCTION("if(ISBLANK(B104),"""",GOOGLEFINANCE(B104,""LOW52""))"),342.5)</f>
        <v>342.5</v>
      </c>
      <c r="L104" s="137">
        <f t="shared" si="7"/>
        <v>-0.1888578189</v>
      </c>
      <c r="M104" s="136">
        <f t="shared" ref="M104:M105" si="11">J104-(J104*0.35)</f>
        <v>302.185</v>
      </c>
      <c r="N104" s="136" t="str">
        <f t="shared" si="8"/>
        <v>||</v>
      </c>
      <c r="O104" s="143">
        <f>IFERROR(__xludf.DUMMYFUNCTION("if(ISBLANK(B104),"""",googlefinance(B104,""Marketcap"")/10000000)"),120528.1909805)</f>
        <v>120528.191</v>
      </c>
      <c r="P104" s="130"/>
    </row>
    <row r="105">
      <c r="A105" s="122"/>
      <c r="B105" s="145" t="s">
        <v>159</v>
      </c>
      <c r="C105" s="135" t="str">
        <f>IFERROR(__xludf.DUMMYFUNCTION("if(ISBLANK(B105),"""",GOOGLEFINANCE(B105,""NAME""))"),"Tata Consultancy Services Ltd")</f>
        <v>Tata Consultancy Services Ltd</v>
      </c>
      <c r="D105" s="125" t="str">
        <f t="shared" si="3"/>
        <v>B</v>
      </c>
      <c r="E105" s="125" t="str">
        <f t="shared" si="4"/>
        <v>B</v>
      </c>
      <c r="F105" s="136" t="str">
        <f t="shared" si="5"/>
        <v>Mega Cap</v>
      </c>
      <c r="G105" s="136">
        <f>IFERROR(__xludf.DUMMYFUNCTION("if(ISBLANK(B105),"""",GOOGLEFINANCE(B105,""price""))"),2095.9)</f>
        <v>2095.9</v>
      </c>
      <c r="H105" s="136" t="str">
        <f t="shared" si="6"/>
        <v>Buy</v>
      </c>
      <c r="I105" s="137">
        <f>IFERROR(__xludf.DUMMYFUNCTION("if(ISBLANK(B105),"""",GOOGLEFINANCE(B105,""CHANGEPCT"")/100)"),0.018600000000000002)</f>
        <v>0.0186</v>
      </c>
      <c r="J105" s="136">
        <f>IFERROR(__xludf.DUMMYFUNCTION("if(ISBLANK(B105),"""",GOOGLEFINANCE(B105,""HIGH52""))"),3426.1)</f>
        <v>3426.1</v>
      </c>
      <c r="K105" s="136">
        <f>IFERROR(__xludf.DUMMYFUNCTION("if(ISBLANK(B105),"""",GOOGLEFINANCE(B105,""LOW52""))"),1976.8)</f>
        <v>1976.8</v>
      </c>
      <c r="L105" s="137">
        <f t="shared" si="7"/>
        <v>-0.388254867</v>
      </c>
      <c r="M105" s="136">
        <f t="shared" si="11"/>
        <v>2226.965</v>
      </c>
      <c r="N105" s="136" t="str">
        <f t="shared" si="8"/>
        <v>|</v>
      </c>
      <c r="O105" s="143">
        <f>IFERROR(__xludf.DUMMYFUNCTION("if(ISBLANK(B105),"""",googlefinance(B105,""Marketcap"")/10000000)"),758408.9272081)</f>
        <v>758408.9272</v>
      </c>
      <c r="P105" s="130"/>
    </row>
    <row r="106">
      <c r="A106" s="122"/>
      <c r="B106" s="145" t="s">
        <v>160</v>
      </c>
      <c r="C106" s="135" t="str">
        <f>IFERROR(__xludf.DUMMYFUNCTION("if(ISBLANK(B106),"""",GOOGLEFINANCE(B106,""NAME""))"),"Tech Mahindra Ltd")</f>
        <v>Tech Mahindra Ltd</v>
      </c>
      <c r="D106" s="125" t="str">
        <f t="shared" si="3"/>
        <v>B</v>
      </c>
      <c r="E106" s="125" t="str">
        <f t="shared" si="4"/>
        <v>B</v>
      </c>
      <c r="F106" s="136" t="str">
        <f t="shared" si="5"/>
        <v>Large Cap</v>
      </c>
      <c r="G106" s="136">
        <f>IFERROR(__xludf.DUMMYFUNCTION("if(ISBLANK(B106),"""",GOOGLEFINANCE(B106,""price""))"),1447.0)</f>
        <v>1447</v>
      </c>
      <c r="H106" s="136" t="str">
        <f t="shared" si="6"/>
        <v>Hold</v>
      </c>
      <c r="I106" s="137">
        <f>IFERROR(__xludf.DUMMYFUNCTION("if(ISBLANK(B106),"""",GOOGLEFINANCE(B106,""CHANGEPCT"")/100)"),0.0288)</f>
        <v>0.0288</v>
      </c>
      <c r="J106" s="136">
        <f>IFERROR(__xludf.DUMMYFUNCTION("if(ISBLANK(B106),"""",GOOGLEFINANCE(B106,""HIGH52""))"),1854.0)</f>
        <v>1854</v>
      </c>
      <c r="K106" s="136">
        <f>IFERROR(__xludf.DUMMYFUNCTION("if(ISBLANK(B106),"""",GOOGLEFINANCE(B106,""LOW52""))"),1304.1)</f>
        <v>1304.1</v>
      </c>
      <c r="L106" s="137">
        <f t="shared" si="7"/>
        <v>-0.2195253506</v>
      </c>
      <c r="M106" s="136">
        <f>J106-(J106*0.4)</f>
        <v>1112.4</v>
      </c>
      <c r="N106" s="136" t="str">
        <f t="shared" si="8"/>
        <v>||</v>
      </c>
      <c r="O106" s="143">
        <f>IFERROR(__xludf.DUMMYFUNCTION("if(ISBLANK(B106),"""",googlefinance(B106,""Marketcap"")/10000000)"),141533.8873227)</f>
        <v>141533.8873</v>
      </c>
      <c r="P106" s="130"/>
    </row>
    <row r="107">
      <c r="A107" s="131"/>
      <c r="B107" s="146" t="s">
        <v>161</v>
      </c>
      <c r="C107" s="135" t="str">
        <f>IFERROR(__xludf.DUMMYFUNCTION("if(ISBLANK(B107),"""",GOOGLEFINANCE(B107,""NAME""))"),"Titan Company Ltd")</f>
        <v>Titan Company Ltd</v>
      </c>
      <c r="D107" s="125" t="str">
        <f t="shared" si="3"/>
        <v>H</v>
      </c>
      <c r="E107" s="125" t="str">
        <f t="shared" si="4"/>
        <v>H</v>
      </c>
      <c r="F107" s="136" t="str">
        <f t="shared" si="5"/>
        <v>Large Cap</v>
      </c>
      <c r="G107" s="136">
        <f>IFERROR(__xludf.DUMMYFUNCTION("if(ISBLANK(B107),"""",GOOGLEFINANCE(B107,""price""))"),4591.2)</f>
        <v>4591.2</v>
      </c>
      <c r="H107" s="136" t="str">
        <f t="shared" si="6"/>
        <v>Hold</v>
      </c>
      <c r="I107" s="137">
        <f>IFERROR(__xludf.DUMMYFUNCTION("if(ISBLANK(B107),"""",GOOGLEFINANCE(B107,""CHANGEPCT"")/100)"),0.023799999999999998)</f>
        <v>0.0238</v>
      </c>
      <c r="J107" s="136">
        <f>IFERROR(__xludf.DUMMYFUNCTION("if(ISBLANK(B107),"""",GOOGLEFINANCE(B107,""HIGH52""))"),4655.9)</f>
        <v>4655.9</v>
      </c>
      <c r="K107" s="136">
        <f>IFERROR(__xludf.DUMMYFUNCTION("if(ISBLANK(B107),"""",GOOGLEFINANCE(B107,""LOW52""))"),3303.1)</f>
        <v>3303.1</v>
      </c>
      <c r="L107" s="137">
        <f t="shared" si="7"/>
        <v>-0.01389634657</v>
      </c>
      <c r="M107" s="138">
        <f>J107-(J107*0.3)</f>
        <v>3259.13</v>
      </c>
      <c r="N107" s="136" t="str">
        <f t="shared" si="8"/>
        <v>||</v>
      </c>
      <c r="O107" s="143">
        <f>IFERROR(__xludf.DUMMYFUNCTION("if(ISBLANK(B107),"""",googlefinance(B107,""Marketcap"")/10000000)"),408367.7652339)</f>
        <v>408367.7652</v>
      </c>
      <c r="P107" s="130"/>
    </row>
    <row r="108">
      <c r="A108" s="131"/>
      <c r="B108" s="146" t="s">
        <v>162</v>
      </c>
      <c r="C108" s="135" t="str">
        <f>IFERROR(__xludf.DUMMYFUNCTION("if(ISBLANK(B108),"""",GOOGLEFINANCE(B108,""NAME""))"),"Tracxn Technologies Ltd")</f>
        <v>Tracxn Technologies Ltd</v>
      </c>
      <c r="D108" s="125" t="str">
        <f t="shared" si="3"/>
        <v>B</v>
      </c>
      <c r="E108" s="125" t="str">
        <f t="shared" si="4"/>
        <v>B</v>
      </c>
      <c r="F108" s="136" t="str">
        <f t="shared" si="5"/>
        <v>Small Cap</v>
      </c>
      <c r="G108" s="136">
        <f>IFERROR(__xludf.DUMMYFUNCTION("if(ISBLANK(B108),"""",GOOGLEFINANCE(B108,""price""))"),30.27)</f>
        <v>30.27</v>
      </c>
      <c r="H108" s="136" t="str">
        <f t="shared" si="6"/>
        <v>Hold</v>
      </c>
      <c r="I108" s="137">
        <f>IFERROR(__xludf.DUMMYFUNCTION("if(ISBLANK(B108),"""",GOOGLEFINANCE(B108,""CHANGEPCT"")/100)"),0.0182)</f>
        <v>0.0182</v>
      </c>
      <c r="J108" s="136">
        <f>IFERROR(__xludf.DUMMYFUNCTION("if(ISBLANK(B108),"""",GOOGLEFINANCE(B108,""HIGH52""))"),63.89)</f>
        <v>63.89</v>
      </c>
      <c r="K108" s="136">
        <f>IFERROR(__xludf.DUMMYFUNCTION("if(ISBLANK(B108),"""",GOOGLEFINANCE(B108,""LOW52""))"),25.39)</f>
        <v>25.39</v>
      </c>
      <c r="L108" s="137">
        <f t="shared" si="7"/>
        <v>-0.5262169354</v>
      </c>
      <c r="M108" s="138">
        <f>J108-(J108*0.65)</f>
        <v>22.3615</v>
      </c>
      <c r="N108" s="136" t="str">
        <f t="shared" si="8"/>
        <v>||||</v>
      </c>
      <c r="O108" s="143">
        <f>IFERROR(__xludf.DUMMYFUNCTION("if(ISBLANK(B108),"""",googlefinance(B108,""Marketcap"")/10000000)"),322.1904282)</f>
        <v>322.1904282</v>
      </c>
      <c r="P108" s="130"/>
    </row>
    <row r="109">
      <c r="A109" s="133"/>
      <c r="B109" s="134" t="s">
        <v>163</v>
      </c>
      <c r="C109" s="135" t="str">
        <f>IFERROR(__xludf.DUMMYFUNCTION("if(ISBLANK(B109),"""",GOOGLEFINANCE(B109,""NAME""))"),"Trent Ltd")</f>
        <v>Trent Ltd</v>
      </c>
      <c r="D109" s="125" t="str">
        <f t="shared" si="3"/>
        <v>B</v>
      </c>
      <c r="E109" s="125" t="str">
        <f t="shared" si="4"/>
        <v>B</v>
      </c>
      <c r="F109" s="136" t="str">
        <f t="shared" si="5"/>
        <v>Large Cap</v>
      </c>
      <c r="G109" s="136">
        <f>IFERROR(__xludf.DUMMYFUNCTION("if(ISBLANK(B109),"""",GOOGLEFINANCE(B109,""price""))"),2921.0)</f>
        <v>2921</v>
      </c>
      <c r="H109" s="136" t="str">
        <f t="shared" si="6"/>
        <v>Hold</v>
      </c>
      <c r="I109" s="137">
        <f>IFERROR(__xludf.DUMMYFUNCTION("if(ISBLANK(B109),"""",GOOGLEFINANCE(B109,""CHANGEPCT"")/100)"),-0.1264)</f>
        <v>-0.1264</v>
      </c>
      <c r="J109" s="136">
        <f>IFERROR(__xludf.DUMMYFUNCTION("if(ISBLANK(B109),"""",GOOGLEFINANCE(B109,""HIGH52""))"),3782.66)</f>
        <v>3782.66</v>
      </c>
      <c r="K109" s="136">
        <f>IFERROR(__xludf.DUMMYFUNCTION("if(ISBLANK(B109),"""",GOOGLEFINANCE(B109,""LOW52""))"),2183.66)</f>
        <v>2183.66</v>
      </c>
      <c r="L109" s="137">
        <f t="shared" si="7"/>
        <v>-0.2277920828</v>
      </c>
      <c r="M109" s="136">
        <f t="shared" ref="M109:M110" si="12">J109-(J109*0.45)</f>
        <v>2080.463</v>
      </c>
      <c r="N109" s="136" t="str">
        <f t="shared" si="8"/>
        <v>||</v>
      </c>
      <c r="O109" s="143">
        <f>IFERROR(__xludf.DUMMYFUNCTION("if(ISBLANK(B109),"""",googlefinance(B109,""Marketcap"")/10000000)"),104076.6605705)</f>
        <v>104076.6606</v>
      </c>
      <c r="P109" s="130"/>
    </row>
    <row r="110">
      <c r="A110" s="122"/>
      <c r="B110" s="145" t="s">
        <v>164</v>
      </c>
      <c r="C110" s="135" t="str">
        <f>IFERROR(__xludf.DUMMYFUNCTION("if(ISBLANK(B110),"""",GOOGLEFINANCE(B110,""NAME""))"),"Trident Ltd")</f>
        <v>Trident Ltd</v>
      </c>
      <c r="D110" s="125" t="str">
        <f t="shared" si="3"/>
        <v>B</v>
      </c>
      <c r="E110" s="125" t="str">
        <f t="shared" si="4"/>
        <v>B</v>
      </c>
      <c r="F110" s="136" t="str">
        <f t="shared" si="5"/>
        <v>Mid Cap</v>
      </c>
      <c r="G110" s="136">
        <f>IFERROR(__xludf.DUMMYFUNCTION("if(ISBLANK(B110),"""",GOOGLEFINANCE(B110,""price""))"),25.96)</f>
        <v>25.96</v>
      </c>
      <c r="H110" s="136" t="str">
        <f t="shared" si="6"/>
        <v>Hold</v>
      </c>
      <c r="I110" s="137">
        <f>IFERROR(__xludf.DUMMYFUNCTION("if(ISBLANK(B110),"""",GOOGLEFINANCE(B110,""CHANGEPCT"")/100)"),-0.011000000000000001)</f>
        <v>-0.011</v>
      </c>
      <c r="J110" s="136">
        <f>IFERROR(__xludf.DUMMYFUNCTION("if(ISBLANK(B110),"""",GOOGLEFINANCE(B110,""HIGH52""))"),33.66)</f>
        <v>33.66</v>
      </c>
      <c r="K110" s="136">
        <f>IFERROR(__xludf.DUMMYFUNCTION("if(ISBLANK(B110),"""",GOOGLEFINANCE(B110,""LOW52""))"),21.98)</f>
        <v>21.98</v>
      </c>
      <c r="L110" s="137">
        <f t="shared" si="7"/>
        <v>-0.2287581699</v>
      </c>
      <c r="M110" s="138">
        <f t="shared" si="12"/>
        <v>18.513</v>
      </c>
      <c r="N110" s="136" t="str">
        <f t="shared" si="8"/>
        <v>|||</v>
      </c>
      <c r="O110" s="143">
        <f>IFERROR(__xludf.DUMMYFUNCTION("if(ISBLANK(B110),"""",googlefinance(B110,""Marketcap"")/10000000)"),13073.0945448)</f>
        <v>13073.09454</v>
      </c>
      <c r="P110" s="130"/>
    </row>
    <row r="111">
      <c r="A111" s="133"/>
      <c r="B111" s="134" t="s">
        <v>165</v>
      </c>
      <c r="C111" s="135" t="str">
        <f>IFERROR(__xludf.DUMMYFUNCTION("if(ISBLANK(B111),"""",GOOGLEFINANCE(B111,""NAME""))"),"UNO Minda Ltd")</f>
        <v>UNO Minda Ltd</v>
      </c>
      <c r="D111" s="125" t="str">
        <f t="shared" si="3"/>
        <v>B</v>
      </c>
      <c r="E111" s="125" t="str">
        <f t="shared" si="4"/>
        <v>B</v>
      </c>
      <c r="F111" s="136" t="str">
        <f t="shared" si="5"/>
        <v>Large Cap</v>
      </c>
      <c r="G111" s="136">
        <f>IFERROR(__xludf.DUMMYFUNCTION("if(ISBLANK(B111),"""",GOOGLEFINANCE(B111,""price""))"),1126.0)</f>
        <v>1126</v>
      </c>
      <c r="H111" s="136" t="str">
        <f t="shared" si="6"/>
        <v>Hold</v>
      </c>
      <c r="I111" s="137">
        <f>IFERROR(__xludf.DUMMYFUNCTION("if(ISBLANK(B111),"""",GOOGLEFINANCE(B111,""CHANGEPCT"")/100)"),-0.0105)</f>
        <v>-0.0105</v>
      </c>
      <c r="J111" s="136">
        <f>IFERROR(__xludf.DUMMYFUNCTION("if(ISBLANK(B111),"""",GOOGLEFINANCE(B111,""HIGH52""))"),1382.0)</f>
        <v>1382</v>
      </c>
      <c r="K111" s="136">
        <f>IFERROR(__xludf.DUMMYFUNCTION("if(ISBLANK(B111),"""",GOOGLEFINANCE(B111,""LOW52""))"),994.0)</f>
        <v>994</v>
      </c>
      <c r="L111" s="137">
        <f t="shared" si="7"/>
        <v>-0.1852387844</v>
      </c>
      <c r="M111" s="136">
        <f>J111-(J111*0.4)</f>
        <v>829.2</v>
      </c>
      <c r="N111" s="136" t="str">
        <f t="shared" si="8"/>
        <v>||</v>
      </c>
      <c r="O111" s="143">
        <f>IFERROR(__xludf.DUMMYFUNCTION("if(ISBLANK(B111),"""",googlefinance(B111,""Marketcap"")/10000000)"),65028.58)</f>
        <v>65028.58</v>
      </c>
      <c r="P111" s="130"/>
    </row>
    <row r="112">
      <c r="A112" s="133"/>
      <c r="B112" s="134" t="s">
        <v>166</v>
      </c>
      <c r="C112" s="135" t="str">
        <f>IFERROR(__xludf.DUMMYFUNCTION("if(ISBLANK(B112),"""",GOOGLEFINANCE(B112,""NAME""))"),"Urja Global Ltd")</f>
        <v>Urja Global Ltd</v>
      </c>
      <c r="D112" s="125" t="str">
        <f t="shared" si="3"/>
        <v>B</v>
      </c>
      <c r="E112" s="125" t="str">
        <f t="shared" si="4"/>
        <v>B</v>
      </c>
      <c r="F112" s="136" t="str">
        <f t="shared" si="5"/>
        <v>Small Cap</v>
      </c>
      <c r="G112" s="136">
        <f>IFERROR(__xludf.DUMMYFUNCTION("if(ISBLANK(B112),"""",GOOGLEFINANCE(B112,""price""))"),9.59)</f>
        <v>9.59</v>
      </c>
      <c r="H112" s="136" t="str">
        <f t="shared" si="6"/>
        <v>Hold</v>
      </c>
      <c r="I112" s="137">
        <f>IFERROR(__xludf.DUMMYFUNCTION("if(ISBLANK(B112),"""",GOOGLEFINANCE(B112,""CHANGEPCT"")/100)"),-0.0134)</f>
        <v>-0.0134</v>
      </c>
      <c r="J112" s="136">
        <f>IFERROR(__xludf.DUMMYFUNCTION("if(ISBLANK(B112),"""",GOOGLEFINANCE(B112,""HIGH52""))"),16.18)</f>
        <v>16.18</v>
      </c>
      <c r="K112" s="136">
        <f>IFERROR(__xludf.DUMMYFUNCTION("if(ISBLANK(B112),"""",GOOGLEFINANCE(B112,""LOW52""))"),8.0)</f>
        <v>8</v>
      </c>
      <c r="L112" s="137">
        <f t="shared" si="7"/>
        <v>-0.4072929543</v>
      </c>
      <c r="M112" s="138">
        <f>J112-(J112*0.67)</f>
        <v>5.3394</v>
      </c>
      <c r="N112" s="136" t="str">
        <f t="shared" si="8"/>
        <v>||||</v>
      </c>
      <c r="O112" s="143">
        <f>IFERROR(__xludf.DUMMYFUNCTION("if(ISBLANK(B112),"""",googlefinance(B112,""Marketcap"")/10000000)"),504.435188)</f>
        <v>504.435188</v>
      </c>
      <c r="P112" s="130"/>
    </row>
    <row r="113">
      <c r="A113" s="133"/>
      <c r="B113" s="134" t="s">
        <v>167</v>
      </c>
      <c r="C113" s="135" t="str">
        <f>IFERROR(__xludf.DUMMYFUNCTION("if(ISBLANK(B113),"""",GOOGLEFINANCE(B113,""NAME""))"),"Varun Beverages Ltd")</f>
        <v>Varun Beverages Ltd</v>
      </c>
      <c r="D113" s="125" t="str">
        <f t="shared" si="3"/>
        <v>B</v>
      </c>
      <c r="E113" s="125" t="str">
        <f t="shared" si="4"/>
        <v>H</v>
      </c>
      <c r="F113" s="136" t="str">
        <f t="shared" si="5"/>
        <v>Large Cap</v>
      </c>
      <c r="G113" s="136">
        <f>IFERROR(__xludf.DUMMYFUNCTION("if(ISBLANK(B113),"""",GOOGLEFINANCE(B113,""price""))"),484.0)</f>
        <v>484</v>
      </c>
      <c r="H113" s="136" t="str">
        <f t="shared" si="6"/>
        <v>Hold</v>
      </c>
      <c r="I113" s="137">
        <f>IFERROR(__xludf.DUMMYFUNCTION("if(ISBLANK(B113),"""",GOOGLEFINANCE(B113,""CHANGEPCT"")/100)"),-0.0219)</f>
        <v>-0.0219</v>
      </c>
      <c r="J113" s="136">
        <f>IFERROR(__xludf.DUMMYFUNCTION("if(ISBLANK(B113),"""",GOOGLEFINANCE(B113,""HIGH52""))"),555.8)</f>
        <v>555.8</v>
      </c>
      <c r="K113" s="136">
        <f>IFERROR(__xludf.DUMMYFUNCTION("if(ISBLANK(B113),"""",GOOGLEFINANCE(B113,""LOW52""))"),381.0)</f>
        <v>381</v>
      </c>
      <c r="L113" s="137">
        <f t="shared" si="7"/>
        <v>-0.1291831594</v>
      </c>
      <c r="M113" s="136">
        <f>J113-(J113*0.45)</f>
        <v>305.69</v>
      </c>
      <c r="N113" s="136" t="str">
        <f t="shared" si="8"/>
        <v>||</v>
      </c>
      <c r="O113" s="143">
        <f>IFERROR(__xludf.DUMMYFUNCTION("if(ISBLANK(B113),"""",googlefinance(B113,""Marketcap"")/10000000)"),163851.56825)</f>
        <v>163851.5683</v>
      </c>
      <c r="P113" s="130"/>
    </row>
    <row r="114">
      <c r="A114" s="133"/>
      <c r="B114" s="134" t="s">
        <v>168</v>
      </c>
      <c r="C114" s="135" t="str">
        <f>IFERROR(__xludf.DUMMYFUNCTION("if(ISBLANK(B114),"""",GOOGLEFINANCE(B114,""NAME""))"),"Vinati Organics Ltd")</f>
        <v>Vinati Organics Ltd</v>
      </c>
      <c r="D114" s="125" t="str">
        <f t="shared" si="3"/>
        <v>B</v>
      </c>
      <c r="E114" s="125" t="str">
        <f t="shared" si="4"/>
        <v>B</v>
      </c>
      <c r="F114" s="136" t="str">
        <f t="shared" si="5"/>
        <v>Mid Cap</v>
      </c>
      <c r="G114" s="136">
        <f>IFERROR(__xludf.DUMMYFUNCTION("if(ISBLANK(B114),"""",GOOGLEFINANCE(B114,""price""))"),1353.5)</f>
        <v>1353.5</v>
      </c>
      <c r="H114" s="136" t="str">
        <f t="shared" si="6"/>
        <v>Hold</v>
      </c>
      <c r="I114" s="137">
        <f>IFERROR(__xludf.DUMMYFUNCTION("if(ISBLANK(B114),"""",GOOGLEFINANCE(B114,""CHANGEPCT"")/100)"),0.0073)</f>
        <v>0.0073</v>
      </c>
      <c r="J114" s="136">
        <f>IFERROR(__xludf.DUMMYFUNCTION("if(ISBLANK(B114),"""",GOOGLEFINANCE(B114,""HIGH52""))"),2040.0)</f>
        <v>2040</v>
      </c>
      <c r="K114" s="136">
        <f>IFERROR(__xludf.DUMMYFUNCTION("if(ISBLANK(B114),"""",GOOGLEFINANCE(B114,""LOW52""))"),1203.0)</f>
        <v>1203</v>
      </c>
      <c r="L114" s="137">
        <f t="shared" si="7"/>
        <v>-0.3365196078</v>
      </c>
      <c r="M114" s="138">
        <f>J114-(J114*0.4)</f>
        <v>1224</v>
      </c>
      <c r="N114" s="136" t="str">
        <f t="shared" si="8"/>
        <v>|||</v>
      </c>
      <c r="O114" s="143">
        <f>IFERROR(__xludf.DUMMYFUNCTION("if(ISBLANK(B114),"""",googlefinance(B114,""Marketcap"")/10000000)"),14031.13896)</f>
        <v>14031.13896</v>
      </c>
      <c r="P114" s="130"/>
    </row>
    <row r="115">
      <c r="A115" s="133"/>
      <c r="B115" s="134" t="s">
        <v>169</v>
      </c>
      <c r="C115" s="135" t="str">
        <f>IFERROR(__xludf.DUMMYFUNCTION("if(ISBLANK(B115),"""",GOOGLEFINANCE(B115,""NAME""))"),"Wipro Ltd")</f>
        <v>Wipro Ltd</v>
      </c>
      <c r="D115" s="125" t="str">
        <f t="shared" si="3"/>
        <v>B</v>
      </c>
      <c r="E115" s="125" t="str">
        <f t="shared" si="4"/>
        <v>B</v>
      </c>
      <c r="F115" s="136" t="str">
        <f t="shared" si="5"/>
        <v>Small Cap</v>
      </c>
      <c r="G115" s="136">
        <f>IFERROR(__xludf.DUMMYFUNCTION("if(ISBLANK(B115),"""",GOOGLEFINANCE(B115,""price""))"),173.0)</f>
        <v>173</v>
      </c>
      <c r="H115" s="136" t="str">
        <f t="shared" si="6"/>
        <v>Buy</v>
      </c>
      <c r="I115" s="137">
        <f>IFERROR(__xludf.DUMMYFUNCTION("if(ISBLANK(B115),"""",GOOGLEFINANCE(B115,""CHANGEPCT"")/100)"),-0.0076)</f>
        <v>-0.0076</v>
      </c>
      <c r="J115" s="136">
        <f>IFERROR(__xludf.DUMMYFUNCTION("if(ISBLANK(B115),"""",GOOGLEFINANCE(B115,""HIGH52""))"),273.1)</f>
        <v>273.1</v>
      </c>
      <c r="K115" s="136">
        <f>IFERROR(__xludf.DUMMYFUNCTION("if(ISBLANK(B115),"""",GOOGLEFINANCE(B115,""LOW52""))"),169.0)</f>
        <v>169</v>
      </c>
      <c r="L115" s="137">
        <f t="shared" si="7"/>
        <v>-0.3665324057</v>
      </c>
      <c r="M115" s="138">
        <f>J115-(J115*0.35)</f>
        <v>177.515</v>
      </c>
      <c r="N115" s="136" t="str">
        <f t="shared" si="8"/>
        <v>||||</v>
      </c>
      <c r="O115" s="143">
        <f>IFERROR(__xludf.DUMMYFUNCTION("if(ISBLANK(B115),"""",googlefinance(B115,""Marketcap"")/10000000)"),1824.5063822)</f>
        <v>1824.506382</v>
      </c>
      <c r="P115" s="130"/>
    </row>
    <row r="116">
      <c r="A116" s="122"/>
      <c r="B116" s="145" t="s">
        <v>170</v>
      </c>
      <c r="C116" s="135" t="str">
        <f>IFERROR(__xludf.DUMMYFUNCTION("if(ISBLANK(B116),"""",GOOGLEFINANCE(B116,""NAME""))"),"Wonderla Holidays Ltd")</f>
        <v>Wonderla Holidays Ltd</v>
      </c>
      <c r="D116" s="125" t="str">
        <f t="shared" si="3"/>
        <v>B</v>
      </c>
      <c r="E116" s="125" t="str">
        <f t="shared" si="4"/>
        <v>B</v>
      </c>
      <c r="F116" s="136" t="str">
        <f t="shared" si="5"/>
        <v>Small Cap</v>
      </c>
      <c r="G116" s="136">
        <f>IFERROR(__xludf.DUMMYFUNCTION("if(ISBLANK(B116),"""",GOOGLEFINANCE(B116,""price""))"),486.8)</f>
        <v>486.8</v>
      </c>
      <c r="H116" s="136" t="str">
        <f t="shared" si="6"/>
        <v>Hold</v>
      </c>
      <c r="I116" s="137">
        <f>IFERROR(__xludf.DUMMYFUNCTION("if(ISBLANK(B116),"""",GOOGLEFINANCE(B116,""CHANGEPCT"")/100)"),-0.012)</f>
        <v>-0.012</v>
      </c>
      <c r="J116" s="136">
        <f>IFERROR(__xludf.DUMMYFUNCTION("if(ISBLANK(B116),"""",GOOGLEFINANCE(B116,""HIGH52""))"),680.7)</f>
        <v>680.7</v>
      </c>
      <c r="K116" s="136">
        <f>IFERROR(__xludf.DUMMYFUNCTION("if(ISBLANK(B116),"""",GOOGLEFINANCE(B116,""LOW52""))"),455.0)</f>
        <v>455</v>
      </c>
      <c r="L116" s="137">
        <f t="shared" si="7"/>
        <v>-0.2848538269</v>
      </c>
      <c r="M116" s="138">
        <f>J116-(J116*0.55)</f>
        <v>306.315</v>
      </c>
      <c r="N116" s="136" t="str">
        <f t="shared" si="8"/>
        <v>||||</v>
      </c>
      <c r="O116" s="143">
        <f>IFERROR(__xludf.DUMMYFUNCTION("if(ISBLANK(B116),"""",googlefinance(B116,""Marketcap"")/10000000)"),3088.7483565)</f>
        <v>3088.748357</v>
      </c>
      <c r="P116" s="130"/>
    </row>
    <row r="117">
      <c r="A117" s="122"/>
      <c r="B117" s="145" t="s">
        <v>171</v>
      </c>
      <c r="C117" s="135" t="str">
        <f>IFERROR(__xludf.DUMMYFUNCTION("if(ISBLANK(B117),"""",GOOGLEFINANCE(B117,""NAME""))"),"Yes Bank Ltd")</f>
        <v>Yes Bank Ltd</v>
      </c>
      <c r="D117" s="125" t="str">
        <f t="shared" si="3"/>
        <v>H</v>
      </c>
      <c r="E117" s="125" t="str">
        <f t="shared" si="4"/>
        <v>H</v>
      </c>
      <c r="F117" s="136" t="str">
        <f t="shared" si="5"/>
        <v>Large Cap</v>
      </c>
      <c r="G117" s="136">
        <f>IFERROR(__xludf.DUMMYFUNCTION("if(ISBLANK(B117),"""",GOOGLEFINANCE(B117,""price""))"),24.05)</f>
        <v>24.05</v>
      </c>
      <c r="H117" s="136" t="str">
        <f t="shared" si="6"/>
        <v>Hold</v>
      </c>
      <c r="I117" s="137">
        <f>IFERROR(__xludf.DUMMYFUNCTION("if(ISBLANK(B117),"""",GOOGLEFINANCE(B117,""CHANGEPCT"")/100)"),-0.0087)</f>
        <v>-0.0087</v>
      </c>
      <c r="J117" s="136">
        <f>IFERROR(__xludf.DUMMYFUNCTION("if(ISBLANK(B117),"""",GOOGLEFINANCE(B117,""HIGH52""))"),25.78)</f>
        <v>25.78</v>
      </c>
      <c r="K117" s="136">
        <f>IFERROR(__xludf.DUMMYFUNCTION("if(ISBLANK(B117),"""",GOOGLEFINANCE(B117,""LOW52""))"),17.2)</f>
        <v>17.2</v>
      </c>
      <c r="L117" s="137">
        <f t="shared" si="7"/>
        <v>-0.06710628394</v>
      </c>
      <c r="M117" s="138">
        <f>J117-(J117*0.5)</f>
        <v>12.89</v>
      </c>
      <c r="N117" s="136" t="str">
        <f t="shared" si="8"/>
        <v>||</v>
      </c>
      <c r="O117" s="143">
        <f>IFERROR(__xludf.DUMMYFUNCTION("if(ISBLANK(B117),"""",googlefinance(B117,""Marketcap"")/10000000)"),75330.9675481)</f>
        <v>75330.96755</v>
      </c>
      <c r="P117" s="130"/>
    </row>
    <row r="118">
      <c r="A118" s="141"/>
      <c r="B118" s="144" t="s">
        <v>172</v>
      </c>
      <c r="C118" s="135" t="str">
        <f>IFERROR(__xludf.DUMMYFUNCTION("if(ISBLANK(B118),"""",GOOGLEFINANCE(B118,""NAME""))"),"Zen Technologies Limited")</f>
        <v>Zen Technologies Limited</v>
      </c>
      <c r="D118" s="125" t="str">
        <f t="shared" si="3"/>
        <v>H</v>
      </c>
      <c r="E118" s="125" t="str">
        <f t="shared" si="4"/>
        <v>H</v>
      </c>
      <c r="F118" s="136" t="str">
        <f t="shared" si="5"/>
        <v>Mid Cap</v>
      </c>
      <c r="G118" s="136">
        <f>IFERROR(__xludf.DUMMYFUNCTION("if(ISBLANK(B118),"""",GOOGLEFINANCE(B118,""price""))"),1861.0)</f>
        <v>1861</v>
      </c>
      <c r="H118" s="136" t="str">
        <f t="shared" si="6"/>
        <v>Hold</v>
      </c>
      <c r="I118" s="137">
        <f>IFERROR(__xludf.DUMMYFUNCTION("if(ISBLANK(B118),"""",GOOGLEFINANCE(B118,""CHANGEPCT"")/100)"),0.0044)</f>
        <v>0.0044</v>
      </c>
      <c r="J118" s="136">
        <f>IFERROR(__xludf.DUMMYFUNCTION("if(ISBLANK(B118),"""",GOOGLEFINANCE(B118,""HIGH52""))"),2024.0)</f>
        <v>2024</v>
      </c>
      <c r="K118" s="136">
        <f>IFERROR(__xludf.DUMMYFUNCTION("if(ISBLANK(B118),"""",GOOGLEFINANCE(B118,""LOW52""))"),1223.0)</f>
        <v>1223</v>
      </c>
      <c r="L118" s="137">
        <f t="shared" si="7"/>
        <v>-0.08053359684</v>
      </c>
      <c r="M118" s="138">
        <f>J118-(J118*0.65)</f>
        <v>708.4</v>
      </c>
      <c r="N118" s="136" t="str">
        <f t="shared" si="8"/>
        <v>|||</v>
      </c>
      <c r="O118" s="143">
        <f>IFERROR(__xludf.DUMMYFUNCTION("if(ISBLANK(B118),"""",googlefinance(B118,""Marketcap"")/10000000)"),16756.6611106)</f>
        <v>16756.66111</v>
      </c>
      <c r="P118" s="130"/>
    </row>
    <row r="119">
      <c r="A119" s="141"/>
      <c r="B119" s="144"/>
      <c r="C119" s="135"/>
      <c r="D119" s="135"/>
      <c r="E119" s="135"/>
      <c r="F119" s="136"/>
      <c r="G119" s="136"/>
      <c r="H119" s="136"/>
      <c r="I119" s="137"/>
      <c r="J119" s="136"/>
      <c r="K119" s="136"/>
      <c r="L119" s="137"/>
      <c r="M119" s="138"/>
      <c r="N119" s="136"/>
      <c r="O119" s="143"/>
      <c r="P119" s="130"/>
    </row>
    <row r="120">
      <c r="A120" s="133"/>
      <c r="B120" s="134"/>
      <c r="C120" s="135"/>
      <c r="D120" s="135"/>
      <c r="E120" s="135"/>
      <c r="F120" s="136"/>
      <c r="G120" s="136"/>
      <c r="H120" s="136"/>
      <c r="I120" s="137"/>
      <c r="J120" s="136"/>
      <c r="K120" s="136"/>
      <c r="L120" s="137"/>
      <c r="M120" s="138"/>
      <c r="N120" s="136"/>
      <c r="O120" s="143"/>
      <c r="P120" s="130"/>
    </row>
    <row r="121">
      <c r="A121" s="133"/>
      <c r="B121" s="134"/>
      <c r="C121" s="135"/>
      <c r="D121" s="135"/>
      <c r="E121" s="135"/>
      <c r="F121" s="136"/>
      <c r="G121" s="136"/>
      <c r="H121" s="136"/>
      <c r="I121" s="137"/>
      <c r="J121" s="136"/>
      <c r="K121" s="136"/>
      <c r="L121" s="137"/>
      <c r="M121" s="138"/>
      <c r="N121" s="136"/>
      <c r="O121" s="143"/>
      <c r="P121" s="130"/>
    </row>
    <row r="122">
      <c r="A122" s="133"/>
      <c r="B122" s="134"/>
      <c r="C122" s="135"/>
      <c r="D122" s="135"/>
      <c r="E122" s="135"/>
      <c r="F122" s="136"/>
      <c r="G122" s="136"/>
      <c r="H122" s="136"/>
      <c r="I122" s="137"/>
      <c r="J122" s="136"/>
      <c r="K122" s="136"/>
      <c r="L122" s="137"/>
      <c r="M122" s="138"/>
      <c r="N122" s="136"/>
      <c r="O122" s="143"/>
      <c r="P122" s="130"/>
    </row>
  </sheetData>
  <autoFilter ref="$B$28:$O$118">
    <sortState ref="B28:O118">
      <sortCondition ref="B28:B118"/>
    </sortState>
  </autoFilter>
  <mergeCells count="36">
    <mergeCell ref="G11:G14"/>
    <mergeCell ref="H11:H14"/>
    <mergeCell ref="D17:I22"/>
    <mergeCell ref="D23:F23"/>
    <mergeCell ref="G23:H23"/>
    <mergeCell ref="D24:F24"/>
    <mergeCell ref="G24:H24"/>
    <mergeCell ref="I11:I14"/>
    <mergeCell ref="J11:J14"/>
    <mergeCell ref="J21:J24"/>
    <mergeCell ref="K21:K24"/>
    <mergeCell ref="L21:L24"/>
    <mergeCell ref="M21:M24"/>
    <mergeCell ref="N21:N24"/>
    <mergeCell ref="E11:E14"/>
    <mergeCell ref="F11:F14"/>
    <mergeCell ref="K11:K14"/>
    <mergeCell ref="L11:L14"/>
    <mergeCell ref="M11:M14"/>
    <mergeCell ref="N11:N14"/>
    <mergeCell ref="C11:C14"/>
    <mergeCell ref="B15:C15"/>
    <mergeCell ref="D15:I15"/>
    <mergeCell ref="J15:O15"/>
    <mergeCell ref="D16:I16"/>
    <mergeCell ref="B2:H2"/>
    <mergeCell ref="I2:O2"/>
    <mergeCell ref="B3:O3"/>
    <mergeCell ref="L4:O4"/>
    <mergeCell ref="B11:B14"/>
    <mergeCell ref="D11:D14"/>
    <mergeCell ref="O11:O14"/>
    <mergeCell ref="O21:O24"/>
    <mergeCell ref="B25:O25"/>
    <mergeCell ref="B26:O26"/>
    <mergeCell ref="B27:O27"/>
  </mergeCells>
  <conditionalFormatting sqref="A10:O10">
    <cfRule type="cellIs" dxfId="0" priority="1" operator="equal">
      <formula>0</formula>
    </cfRule>
  </conditionalFormatting>
  <conditionalFormatting sqref="N29:N122">
    <cfRule type="cellIs" dxfId="1" priority="2" operator="equal">
      <formula>"|"</formula>
    </cfRule>
  </conditionalFormatting>
  <conditionalFormatting sqref="F29:F122 N29:N122">
    <cfRule type="cellIs" dxfId="2" priority="3" operator="equal">
      <formula>"Small cap"</formula>
    </cfRule>
  </conditionalFormatting>
  <conditionalFormatting sqref="F29:F122 N29:N122">
    <cfRule type="cellIs" dxfId="3" priority="4" operator="equal">
      <formula>"Mid cap"</formula>
    </cfRule>
  </conditionalFormatting>
  <conditionalFormatting sqref="F29:F122 N29:N122">
    <cfRule type="cellIs" dxfId="4" priority="5" operator="equal">
      <formula>"Large cap"</formula>
    </cfRule>
  </conditionalFormatting>
  <conditionalFormatting sqref="I29:I122">
    <cfRule type="cellIs" dxfId="4" priority="6" operator="greaterThan">
      <formula>0</formula>
    </cfRule>
  </conditionalFormatting>
  <conditionalFormatting sqref="I29:I122">
    <cfRule type="cellIs" dxfId="2" priority="7" operator="lessThan">
      <formula>0</formula>
    </cfRule>
  </conditionalFormatting>
  <conditionalFormatting sqref="L29:L122">
    <cfRule type="cellIs" dxfId="2" priority="8" operator="between">
      <formula>"-10%"</formula>
      <formula>"-15%"</formula>
    </cfRule>
  </conditionalFormatting>
  <conditionalFormatting sqref="L29:L122">
    <cfRule type="cellIs" dxfId="3" priority="9" operator="between">
      <formula>"-0.01%"</formula>
      <formula>"-10%"</formula>
    </cfRule>
  </conditionalFormatting>
  <conditionalFormatting sqref="L29:L122">
    <cfRule type="cellIs" dxfId="5" priority="10" operator="greaterThan">
      <formula>"0%"</formula>
    </cfRule>
  </conditionalFormatting>
  <conditionalFormatting sqref="N28:P122">
    <cfRule type="cellIs" dxfId="4" priority="11" operator="between">
      <formula>30000</formula>
      <formula>600000</formula>
    </cfRule>
  </conditionalFormatting>
  <conditionalFormatting sqref="N28:P122">
    <cfRule type="cellIs" dxfId="2" priority="12" operator="lessThan">
      <formula>7500</formula>
    </cfRule>
  </conditionalFormatting>
  <conditionalFormatting sqref="N29:N122">
    <cfRule type="cellIs" dxfId="4" priority="13" operator="equal">
      <formula>"||"</formula>
    </cfRule>
  </conditionalFormatting>
  <conditionalFormatting sqref="N29:N122">
    <cfRule type="cellIs" dxfId="3" priority="14" operator="equal">
      <formula>"|||"</formula>
    </cfRule>
  </conditionalFormatting>
  <conditionalFormatting sqref="N29:N122">
    <cfRule type="cellIs" dxfId="6" priority="15" operator="equal">
      <formula>"||||"</formula>
    </cfRule>
  </conditionalFormatting>
  <conditionalFormatting sqref="N28:P122">
    <cfRule type="cellIs" dxfId="3" priority="16" operator="between">
      <formula>7500</formula>
      <formula>30000</formula>
    </cfRule>
  </conditionalFormatting>
  <conditionalFormatting sqref="C19">
    <cfRule type="cellIs" dxfId="7" priority="17" operator="equal">
      <formula>"Hold"</formula>
    </cfRule>
  </conditionalFormatting>
  <conditionalFormatting sqref="C19">
    <cfRule type="cellIs" dxfId="8" priority="18" operator="equal">
      <formula>"Buy"</formula>
    </cfRule>
  </conditionalFormatting>
  <conditionalFormatting sqref="C18">
    <cfRule type="cellIs" dxfId="9" priority="19" operator="greaterThan">
      <formula>"0%"</formula>
    </cfRule>
  </conditionalFormatting>
  <conditionalFormatting sqref="C18">
    <cfRule type="cellIs" dxfId="6" priority="20" operator="lessThan">
      <formula>0</formula>
    </cfRule>
  </conditionalFormatting>
  <conditionalFormatting sqref="L29:L122">
    <cfRule type="cellIs" dxfId="10" priority="21" operator="between">
      <formula>"-15%"</formula>
      <formula>"-20%"</formula>
    </cfRule>
  </conditionalFormatting>
  <conditionalFormatting sqref="L29:L122">
    <cfRule type="cellIs" dxfId="1" priority="22" operator="lessThan">
      <formula>"-20.10%"</formula>
    </cfRule>
  </conditionalFormatting>
  <conditionalFormatting sqref="D29:E122">
    <cfRule type="cellIs" dxfId="11" priority="23" operator="equal">
      <formula>"H"</formula>
    </cfRule>
  </conditionalFormatting>
  <conditionalFormatting sqref="D29:E122">
    <cfRule type="cellIs" dxfId="12" priority="24" operator="equal">
      <formula>"B"</formula>
    </cfRule>
  </conditionalFormatting>
  <conditionalFormatting sqref="A10:O10 J20:P20">
    <cfRule type="cellIs" dxfId="13" priority="25" operator="greaterThan">
      <formula>0</formula>
    </cfRule>
  </conditionalFormatting>
  <conditionalFormatting sqref="A10:O10 J20:P20">
    <cfRule type="cellIs" dxfId="14" priority="26" operator="lessThan">
      <formula>0</formula>
    </cfRule>
  </conditionalFormatting>
  <conditionalFormatting sqref="H28:H122 G38">
    <cfRule type="cellIs" dxfId="12" priority="27" operator="equal">
      <formula>"Buy"</formula>
    </cfRule>
  </conditionalFormatting>
  <conditionalFormatting sqref="H28:H122 G38">
    <cfRule type="cellIs" dxfId="11" priority="28" operator="equal">
      <formula>"Hold"</formula>
    </cfRule>
  </conditionalFormatting>
  <conditionalFormatting sqref="N28:P122">
    <cfRule type="cellIs" dxfId="1" priority="29" operator="greaterThan">
      <formula>600000</formula>
    </cfRule>
  </conditionalFormatting>
  <conditionalFormatting sqref="F29:F122 N29:N122">
    <cfRule type="cellIs" dxfId="1" priority="30" operator="equal">
      <formula>"Mega cap"</formula>
    </cfRule>
  </conditionalFormatting>
  <conditionalFormatting sqref="D29:P122">
    <cfRule type="notContainsBlanks" dxfId="15" priority="31">
      <formula>LEN(TRIM(D29))&gt;0</formula>
    </cfRule>
  </conditionalFormatting>
  <conditionalFormatting sqref="I1:P2">
    <cfRule type="cellIs" dxfId="16" priority="32" operator="equal">
      <formula>"Market Open"</formula>
    </cfRule>
  </conditionalFormatting>
  <conditionalFormatting sqref="I1:P2">
    <cfRule type="cellIs" dxfId="17" priority="33" operator="equal">
      <formula>"Market Closed"</formula>
    </cfRule>
  </conditionalFormatting>
  <conditionalFormatting sqref="C29:C122">
    <cfRule type="cellIs" dxfId="18" priority="34" operator="equal">
      <formula>"Daikaffil Chemicals India Ltd"</formula>
    </cfRule>
  </conditionalFormatting>
  <conditionalFormatting sqref="C29:C122">
    <cfRule type="cellIs" dxfId="18" priority="35" operator="equal">
      <formula>"Allsec Technologies Ltd"</formula>
    </cfRule>
  </conditionalFormatting>
  <conditionalFormatting sqref="C29:C122">
    <cfRule type="cellIs" dxfId="18" priority="36" operator="equal">
      <formula>"BSE Ltd"</formula>
    </cfRule>
  </conditionalFormatting>
  <conditionalFormatting sqref="C29:C122">
    <cfRule type="cellIs" dxfId="18" priority="37" operator="equal">
      <formula>"CG power and Industrial Solutions Ltd"</formula>
    </cfRule>
  </conditionalFormatting>
  <conditionalFormatting sqref="C29:C122">
    <cfRule type="cellIs" dxfId="18" priority="38" operator="equal">
      <formula>"State Bank of India"</formula>
    </cfRule>
  </conditionalFormatting>
  <conditionalFormatting sqref="C29:C122">
    <cfRule type="cellIs" dxfId="18" priority="39" operator="equal">
      <formula>"Suzlon Energy Ltd"</formula>
    </cfRule>
  </conditionalFormatting>
  <conditionalFormatting sqref="C29:C122">
    <cfRule type="cellIs" dxfId="18" priority="40" operator="equal">
      <formula>"Tata Power Company Limited"</formula>
    </cfRule>
  </conditionalFormatting>
  <conditionalFormatting sqref="C29:C122">
    <cfRule type="cellIs" dxfId="18" priority="41" operator="equal">
      <formula>"Wonderla Holidays Ltd"</formula>
    </cfRule>
  </conditionalFormatting>
  <conditionalFormatting sqref="C29:C122">
    <cfRule type="cellIs" dxfId="18" priority="42" operator="equal">
      <formula>"ITC Ltd"</formula>
    </cfRule>
  </conditionalFormatting>
  <conditionalFormatting sqref="C29:C122">
    <cfRule type="cellIs" dxfId="18" priority="43" operator="equal">
      <formula>"Yes Bank Limited"</formula>
    </cfRule>
  </conditionalFormatting>
  <conditionalFormatting sqref="C29:C122">
    <cfRule type="cellIs" dxfId="19" priority="44" operator="equal">
      <formula>"Ircon International Ltd"</formula>
    </cfRule>
  </conditionalFormatting>
  <conditionalFormatting sqref="C29:C122">
    <cfRule type="cellIs" dxfId="19" priority="45" operator="equal">
      <formula>"Indian Railway Finance Corp Ltd"</formula>
    </cfRule>
  </conditionalFormatting>
  <conditionalFormatting sqref="C29:C122">
    <cfRule type="cellIs" dxfId="19" priority="46" operator="equal">
      <formula>"Rail Vikas Nigam Ltd"</formula>
    </cfRule>
  </conditionalFormatting>
  <conditionalFormatting sqref="C29:C122">
    <cfRule type="cellIs" dxfId="18" priority="47" operator="equal">
      <formula>"Tracxn Technologies Ltd"</formula>
    </cfRule>
  </conditionalFormatting>
  <conditionalFormatting sqref="C29:C122">
    <cfRule type="cellIs" dxfId="19" priority="48" operator="equal">
      <formula>"Railtel Corp Of India Ltd"</formula>
    </cfRule>
  </conditionalFormatting>
  <conditionalFormatting sqref="A29:C122">
    <cfRule type="notContainsBlanks" dxfId="20" priority="49">
      <formula>LEN(TRIM(A29))&gt;0</formula>
    </cfRule>
  </conditionalFormatting>
  <dataValidations>
    <dataValidation type="list" allowBlank="1" sqref="C16">
      <formula1>$B$29:$B$82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5.5"/>
    <col customWidth="1" min="2" max="2" width="38.88"/>
    <col customWidth="1" min="3" max="3" width="22.13"/>
    <col customWidth="1" min="4" max="4" width="17.25"/>
    <col customWidth="1" min="5" max="5" width="17.38"/>
    <col customWidth="1" min="6" max="6" width="18.88"/>
    <col customWidth="1" min="7" max="7" width="15.25"/>
    <col customWidth="1" min="8" max="8" width="14.75"/>
    <col customWidth="1" min="9" max="9" width="24.38"/>
    <col customWidth="1" min="10" max="10" width="14.5"/>
    <col customWidth="1" min="11" max="11" width="15.0"/>
    <col customWidth="1" min="12" max="12" width="21.75"/>
    <col customWidth="1" min="13" max="13" width="18.13"/>
    <col customWidth="1" min="14" max="14" width="16.5"/>
    <col customWidth="1" min="15" max="15" width="13.88"/>
    <col customWidth="1" min="16" max="16" width="5.63"/>
  </cols>
  <sheetData>
    <row r="1">
      <c r="A1" s="147">
        <f>Now()</f>
        <v>46210.80511</v>
      </c>
      <c r="B1" s="148"/>
      <c r="C1" s="148"/>
      <c r="D1" s="148"/>
      <c r="E1" s="148"/>
      <c r="F1" s="148"/>
      <c r="G1" s="148"/>
      <c r="H1" s="149" t="str">
        <f>if(OR((weekday(A1))=1,(weekday(A1))=7),"Market Closed",if(time(hour(now()),minute(now()),second(now()))&gt;TIME(15,30,0),"Market Closed",if((time(hour(now()),minute(now()),second(now()))&gt;TIME(9,15,0)),"Market Open","Market Closed")))</f>
        <v>Market Closed</v>
      </c>
      <c r="I1" s="148"/>
      <c r="J1" s="148"/>
      <c r="K1" s="148"/>
      <c r="L1" s="148"/>
      <c r="M1" s="148"/>
      <c r="N1" s="148"/>
      <c r="O1" s="150"/>
      <c r="P1" s="151"/>
    </row>
    <row r="2">
      <c r="A2" s="152" t="s">
        <v>173</v>
      </c>
      <c r="B2" s="152"/>
      <c r="C2" s="152"/>
      <c r="D2" s="152"/>
      <c r="E2" s="152"/>
      <c r="F2" s="152"/>
      <c r="G2" s="152"/>
      <c r="H2" s="152"/>
      <c r="I2" s="152"/>
      <c r="J2" s="152"/>
      <c r="K2" s="153"/>
      <c r="L2" s="153"/>
      <c r="M2" s="153"/>
      <c r="N2" s="153"/>
      <c r="O2" s="154"/>
      <c r="P2" s="154"/>
    </row>
    <row r="3">
      <c r="A3" s="155" t="s">
        <v>174</v>
      </c>
      <c r="B3" s="19"/>
      <c r="C3" s="19"/>
      <c r="D3" s="54"/>
      <c r="E3" s="156" t="s">
        <v>175</v>
      </c>
      <c r="F3" s="157"/>
      <c r="G3" s="157"/>
      <c r="H3" s="157"/>
      <c r="I3" s="158"/>
      <c r="J3" s="159" t="s">
        <v>176</v>
      </c>
      <c r="K3" s="13"/>
      <c r="L3" s="13"/>
      <c r="M3" s="13"/>
      <c r="N3" s="13"/>
      <c r="O3" s="64"/>
      <c r="P3" s="153"/>
    </row>
    <row r="4">
      <c r="A4" s="160" t="s">
        <v>2</v>
      </c>
      <c r="B4" s="160" t="s">
        <v>2</v>
      </c>
      <c r="C4" s="160" t="s">
        <v>3</v>
      </c>
      <c r="D4" s="160" t="s">
        <v>2</v>
      </c>
      <c r="E4" s="161"/>
      <c r="F4" s="95"/>
      <c r="G4" s="95"/>
      <c r="H4" s="95"/>
      <c r="I4" s="162"/>
      <c r="J4" s="163" t="s">
        <v>4</v>
      </c>
      <c r="K4" s="163" t="s">
        <v>5</v>
      </c>
      <c r="L4" s="163" t="s">
        <v>6</v>
      </c>
      <c r="M4" s="163" t="s">
        <v>7</v>
      </c>
      <c r="N4" s="163" t="s">
        <v>8</v>
      </c>
      <c r="O4" s="163" t="s">
        <v>9</v>
      </c>
      <c r="P4" s="164"/>
    </row>
    <row r="5">
      <c r="A5" s="165" t="s">
        <v>14</v>
      </c>
      <c r="B5" s="166" t="s">
        <v>15</v>
      </c>
      <c r="C5" s="166" t="s">
        <v>16</v>
      </c>
      <c r="D5" s="166" t="s">
        <v>17</v>
      </c>
      <c r="E5" s="167" t="s">
        <v>177</v>
      </c>
      <c r="F5" s="167" t="s">
        <v>46</v>
      </c>
      <c r="G5" s="167" t="s">
        <v>48</v>
      </c>
      <c r="H5" s="167" t="s">
        <v>45</v>
      </c>
      <c r="I5" s="167" t="s">
        <v>178</v>
      </c>
      <c r="J5" s="168" t="s">
        <v>18</v>
      </c>
      <c r="K5" s="168" t="s">
        <v>19</v>
      </c>
      <c r="L5" s="168" t="s">
        <v>20</v>
      </c>
      <c r="M5" s="168" t="s">
        <v>21</v>
      </c>
      <c r="N5" s="168" t="s">
        <v>22</v>
      </c>
      <c r="O5" s="168" t="s">
        <v>23</v>
      </c>
      <c r="P5" s="169"/>
    </row>
    <row r="6">
      <c r="A6" s="170" t="s">
        <v>28</v>
      </c>
      <c r="B6" s="171" t="s">
        <v>29</v>
      </c>
      <c r="C6" s="171" t="s">
        <v>30</v>
      </c>
      <c r="D6" s="171" t="s">
        <v>31</v>
      </c>
      <c r="E6" s="171" t="s">
        <v>54</v>
      </c>
      <c r="F6" s="171" t="s">
        <v>53</v>
      </c>
      <c r="G6" s="171" t="s">
        <v>55</v>
      </c>
      <c r="H6" s="171" t="s">
        <v>52</v>
      </c>
      <c r="I6" s="171" t="s">
        <v>56</v>
      </c>
      <c r="J6" s="172" t="s">
        <v>32</v>
      </c>
      <c r="K6" s="172" t="s">
        <v>19</v>
      </c>
      <c r="L6" s="172" t="s">
        <v>33</v>
      </c>
      <c r="M6" s="172" t="s">
        <v>34</v>
      </c>
      <c r="N6" s="172" t="s">
        <v>35</v>
      </c>
      <c r="O6" s="172" t="s">
        <v>23</v>
      </c>
      <c r="P6" s="173"/>
    </row>
    <row r="7">
      <c r="A7" s="174">
        <f>IFERROR(__xludf.DUMMYFUNCTION("GOOGLEFINANCE(A6)"),53179.02)</f>
        <v>53179.02</v>
      </c>
      <c r="B7" s="175">
        <f>IFERROR(__xludf.DUMMYFUNCTION("GOOGLEFINANCE(B6)"),7525.82)</f>
        <v>7525.82</v>
      </c>
      <c r="C7" s="175">
        <f>IFERROR(__xludf.DUMMYFUNCTION("GOOGLEFINANCE(C6)"),25928.17)</f>
        <v>25928.17</v>
      </c>
      <c r="D7" s="175">
        <f>IFERROR(__xludf.DUMMYFUNCTION("GOOGLEFINANCE(D6)"),3009.54)</f>
        <v>3009.54</v>
      </c>
      <c r="E7" s="175">
        <f>IFERROR(__xludf.DUMMYFUNCTION("GOOGLEFINANCE(E6)"),11.36)</f>
        <v>11.36</v>
      </c>
      <c r="F7" s="175">
        <f>IFERROR(__xludf.DUMMYFUNCTION("GOOGLEFINANCE(F6)"),29.89)</f>
        <v>29.89</v>
      </c>
      <c r="G7" s="175">
        <f>IFERROR(__xludf.DUMMYFUNCTION("GOOGLEFINANCE(G6)"),1.89)</f>
        <v>1.89</v>
      </c>
      <c r="H7" s="175">
        <f>IFERROR(__xludf.DUMMYFUNCTION("GOOGLEFINANCE(H6)"),27.29)</f>
        <v>27.29</v>
      </c>
      <c r="I7" s="175">
        <f>IFERROR(__xludf.DUMMYFUNCTION("GOOGLEFINANCE(I6)"),14.55)</f>
        <v>14.55</v>
      </c>
      <c r="J7" s="176">
        <f>IFERROR(__xludf.DUMMYFUNCTION("GOOGLEFINANCE(J6)"),24398.7)</f>
        <v>24398.7</v>
      </c>
      <c r="K7" s="176">
        <f>IFERROR(__xludf.DUMMYFUNCTION("GOOGLEFINANCE(K6)"),78180.72)</f>
        <v>78180.72</v>
      </c>
      <c r="L7" s="175">
        <f>IFERROR(__xludf.DUMMYFUNCTION("GOOGLEFINANCE(L6)"),68256.96)</f>
        <v>68256.96</v>
      </c>
      <c r="M7" s="177">
        <f>IFERROR(__xludf.DUMMYFUNCTION("GOOGLEFINANCE(M6)"),45479.11)</f>
        <v>45479.11</v>
      </c>
      <c r="N7" s="177">
        <f>IFERROR(__xludf.DUMMYFUNCTION("GOOGLEFINANCE(N6)"),23496.89)</f>
        <v>23496.89</v>
      </c>
      <c r="O7" s="177">
        <f>IFERROR(__xludf.DUMMYFUNCTION("GOOGLEFINANCE(O6)"),7656.31)</f>
        <v>7656.31</v>
      </c>
      <c r="P7" s="178"/>
    </row>
    <row r="8">
      <c r="A8" s="179">
        <f>IFERROR(__xludf.DUMMYFUNCTION("GOOGLEFINANCE(A6,""Change"")"),123.11)</f>
        <v>123.11</v>
      </c>
      <c r="B8" s="180">
        <f>IFERROR(__xludf.DUMMYFUNCTION("GOOGLEFINANCE(B6,""Change"")"),-11.61)</f>
        <v>-11.61</v>
      </c>
      <c r="C8" s="180">
        <f>IFERROR(__xludf.DUMMYFUNCTION("GOOGLEFINANCE(C6,""Change"")"),-192.99)</f>
        <v>-192.99</v>
      </c>
      <c r="D8" s="180">
        <f>IFERROR(__xludf.DUMMYFUNCTION("GOOGLEFINANCE(D6,""Change"")"),13.43)</f>
        <v>13.43</v>
      </c>
      <c r="E8" s="180">
        <f>IFERROR(__xludf.DUMMYFUNCTION("GOOGLEFINANCE(E6,""Change"")"),0.48)</f>
        <v>0.48</v>
      </c>
      <c r="F8" s="180">
        <f>IFERROR(__xludf.DUMMYFUNCTION("GOOGLEFINANCE(F6,""Change"")"),-0.19)</f>
        <v>-0.19</v>
      </c>
      <c r="G8" s="180">
        <f>IFERROR(__xludf.DUMMYFUNCTION("GOOGLEFINANCE(G6,""Change"")"),0.04)</f>
        <v>0.04</v>
      </c>
      <c r="H8" s="180">
        <f>IFERROR(__xludf.DUMMYFUNCTION("GOOGLEFINANCE(H6,""Change"")"),-0.11)</f>
        <v>-0.11</v>
      </c>
      <c r="I8" s="180">
        <f>IFERROR(__xludf.DUMMYFUNCTION("GOOGLEFINANCE(I6,""Change"")"),0.19)</f>
        <v>0.19</v>
      </c>
      <c r="J8" s="181">
        <f>IFERROR(__xludf.DUMMYFUNCTION("GOOGLEFINANCE(J6,""Change"")"),-31.65)</f>
        <v>-31.65</v>
      </c>
      <c r="K8" s="181">
        <f>IFERROR(__xludf.DUMMYFUNCTION("GOOGLEFINANCE(K6,""Change"")"),-104.35)</f>
        <v>-104.35</v>
      </c>
      <c r="L8" s="180">
        <f>IFERROR(__xludf.DUMMYFUNCTION("GOOGLEFINANCE(L6,""Change"")"),-1480.73)</f>
        <v>-1480.73</v>
      </c>
      <c r="M8" s="180">
        <f>IFERROR(__xludf.DUMMYFUNCTION("GOOGLEFINANCE(M6,""Change"")"),-1077.28)</f>
        <v>-1077.28</v>
      </c>
      <c r="N8" s="180">
        <f>IFERROR(__xludf.DUMMYFUNCTION("GOOGLEFINANCE(N6,""Change"")"),-119.43)</f>
        <v>-119.43</v>
      </c>
      <c r="O8" s="180">
        <f>IFERROR(__xludf.DUMMYFUNCTION("GOOGLEFINANCE(O6,""Change"")"),-395.02)</f>
        <v>-395.02</v>
      </c>
      <c r="P8" s="182"/>
    </row>
    <row r="9">
      <c r="A9" s="183">
        <f t="shared" ref="A9:O9" si="1">A8/A7</f>
        <v>0.002315010694</v>
      </c>
      <c r="B9" s="184">
        <f t="shared" si="1"/>
        <v>-0.001542689036</v>
      </c>
      <c r="C9" s="184">
        <f t="shared" si="1"/>
        <v>-0.007443255733</v>
      </c>
      <c r="D9" s="184">
        <f t="shared" si="1"/>
        <v>0.004462475993</v>
      </c>
      <c r="E9" s="184">
        <f t="shared" si="1"/>
        <v>0.04225352113</v>
      </c>
      <c r="F9" s="184">
        <f t="shared" si="1"/>
        <v>-0.006356641017</v>
      </c>
      <c r="G9" s="184">
        <f t="shared" si="1"/>
        <v>0.02116402116</v>
      </c>
      <c r="H9" s="184">
        <f t="shared" si="1"/>
        <v>-0.004030780506</v>
      </c>
      <c r="I9" s="184">
        <f t="shared" si="1"/>
        <v>0.01305841924</v>
      </c>
      <c r="J9" s="184">
        <f t="shared" si="1"/>
        <v>-0.001297200261</v>
      </c>
      <c r="K9" s="184">
        <f t="shared" si="1"/>
        <v>-0.001334728051</v>
      </c>
      <c r="L9" s="184">
        <f t="shared" si="1"/>
        <v>-0.0216934654</v>
      </c>
      <c r="M9" s="184">
        <f t="shared" si="1"/>
        <v>-0.02368735888</v>
      </c>
      <c r="N9" s="184">
        <f t="shared" si="1"/>
        <v>-0.00508280032</v>
      </c>
      <c r="O9" s="184">
        <f t="shared" si="1"/>
        <v>-0.05159404465</v>
      </c>
      <c r="P9" s="185"/>
    </row>
    <row r="10">
      <c r="A10" s="186" t="str">
        <f>IFERROR(__xludf.DUMMYFUNCTION("SPARKLINE(INDEX(GOOGLEFINANCE(A6,""Price"",WORKDAY(TODAY(),-252),today()),,2),{""CHARTTYPE"",""COLUMN""})"),"")</f>
        <v/>
      </c>
      <c r="B10" s="187" t="str">
        <f>IFERROR(__xludf.DUMMYFUNCTION("SPARKLINE(INDEX(GOOGLEFINANCE(B6,""Price"",WORKDAY(TODAY(),-252),today()),,2),{""CHARTTYPE"",""COLUMN""})"),"")</f>
        <v/>
      </c>
      <c r="C10" s="188" t="str">
        <f>IFERROR(__xludf.DUMMYFUNCTION("SPARKLINE(INDEX(GOOGLEFINANCE(C6,""Price"",WORKDAY(TODAY(),-252),today()),,2),{""CHARTTYPE"",""COLUMN""})"),"")</f>
        <v/>
      </c>
      <c r="D10" s="188" t="str">
        <f>IFERROR(__xludf.DUMMYFUNCTION("SPARKLINE(INDEX(GOOGLEFINANCE(D6,""Price"",WORKDAY(TODAY(),-252),today()),,2),{""CHARTTYPE"",""COLUMN""})"),"")</f>
        <v/>
      </c>
      <c r="E10" s="188" t="str">
        <f>IFERROR(__xludf.DUMMYFUNCTION("SPARKLINE(INDEX(GOOGLEFINANCE(E6,""Price"",WORKDAY(TODAY(),-252),today()),,2),{""CHARTTYPE"",""COLUMN""})"),"")</f>
        <v/>
      </c>
      <c r="F10" s="188" t="str">
        <f>IFERROR(__xludf.DUMMYFUNCTION("SPARKLINE(INDEX(GOOGLEFINANCE(F6,""Price"",WORKDAY(TODAY(),-252),today()),,2),{""CHARTTYPE"",""COLUMN""})"),"")</f>
        <v/>
      </c>
      <c r="G10" s="188" t="str">
        <f>IFERROR(__xludf.DUMMYFUNCTION("SPARKLINE(INDEX(GOOGLEFINANCE(G6,""Price"",WORKDAY(TODAY(),-252),today()),,2),{""CHARTTYPE"",""COLUMN""})"),"")</f>
        <v/>
      </c>
      <c r="H10" s="188" t="str">
        <f>IFERROR(__xludf.DUMMYFUNCTION("SPARKLINE(INDEX(GOOGLEFINANCE(H6,""Price"",WORKDAY(TODAY(),-252),today()),,2),{""CHARTTYPE"",""COLUMN""})"),"")</f>
        <v/>
      </c>
      <c r="I10" s="188" t="str">
        <f>IFERROR(__xludf.DUMMYFUNCTION("SPARKLINE(INDEX(GOOGLEFINANCE(I6,""Price"",WORKDAY(TODAY(),-252),today()),,2),{""CHARTTYPE"",""COLUMN""})"),"")</f>
        <v/>
      </c>
      <c r="J10" s="188" t="str">
        <f>IFERROR(__xludf.DUMMYFUNCTION("SPARKLINE(INDEX(GOOGLEFINANCE(J6,""Price"",WORKDAY(TODAY(),-252),today()),,2),{""CHARTTYPE"",""COLUMN""})"),"")</f>
        <v/>
      </c>
      <c r="K10" s="188" t="str">
        <f>IFERROR(__xludf.DUMMYFUNCTION("SPARKLINE(INDEX(GOOGLEFINANCE(K6,""Price"",WORKDAY(TODAY(),-252),today()),,2),{""CHARTTYPE"",""COLUMN""})"),"")</f>
        <v/>
      </c>
      <c r="L10" s="187" t="str">
        <f>IFERROR(__xludf.DUMMYFUNCTION("SPARKLINE(INDEX(GOOGLEFINANCE(L6,""Price"",WORKDAY(TODAY(),-252),today()),,2),{""CHARTTYPE"",""COLUMN""})"),"")</f>
        <v/>
      </c>
      <c r="M10" s="187" t="str">
        <f>IFERROR(__xludf.DUMMYFUNCTION("SPARKLINE(INDEX(GOOGLEFINANCE(M6,""Price"",WORKDAY(TODAY(),-252),today()),,2),{""CHARTTYPE"",""COLUMN""})"),"")</f>
        <v/>
      </c>
      <c r="N10" s="187" t="str">
        <f>IFERROR(__xludf.DUMMYFUNCTION("SPARKLINE(INDEX(GOOGLEFINANCE(N6,""Price"",WORKDAY(TODAY(),-252),today()),,2),{""CHARTTYPE"",""COLUMN""})"),"")</f>
        <v/>
      </c>
      <c r="O10" s="187" t="str">
        <f>IFERROR(__xludf.DUMMYFUNCTION("SPARKLINE(INDEX(GOOGLEFINANCE(O6,""Price"",WORKDAY(TODAY(),-252),today()),,2),{""CHARTTYPE"",""COLUMN""})"),"")</f>
        <v/>
      </c>
      <c r="P10" s="189"/>
    </row>
    <row r="11">
      <c r="A11" s="190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189"/>
    </row>
    <row r="12">
      <c r="A12" s="190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189"/>
    </row>
    <row r="13">
      <c r="A13" s="191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189"/>
    </row>
    <row r="14">
      <c r="A14" s="189"/>
      <c r="B14" s="189"/>
      <c r="C14" s="192"/>
      <c r="D14" s="192"/>
      <c r="E14" s="192"/>
      <c r="F14" s="192"/>
      <c r="G14" s="192"/>
      <c r="H14" s="192"/>
      <c r="I14" s="192"/>
      <c r="J14" s="192"/>
      <c r="K14" s="192"/>
      <c r="L14" s="189"/>
      <c r="M14" s="189"/>
      <c r="N14" s="189"/>
      <c r="O14" s="189"/>
      <c r="P14" s="189"/>
    </row>
    <row r="15">
      <c r="A15" s="152" t="s">
        <v>179</v>
      </c>
      <c r="B15" s="189"/>
      <c r="C15" s="192"/>
      <c r="D15" s="192"/>
      <c r="E15" s="192"/>
      <c r="F15" s="192"/>
      <c r="G15" s="192"/>
      <c r="H15" s="192"/>
      <c r="I15" s="192"/>
      <c r="J15" s="192"/>
      <c r="K15" s="192"/>
      <c r="L15" s="189"/>
      <c r="M15" s="189"/>
      <c r="N15" s="189"/>
      <c r="O15" s="189"/>
      <c r="P15" s="189"/>
    </row>
    <row r="16">
      <c r="A16" s="189"/>
      <c r="B16" s="189"/>
      <c r="C16" s="192"/>
      <c r="D16" s="192"/>
      <c r="E16" s="192"/>
      <c r="F16" s="192"/>
      <c r="G16" s="192"/>
      <c r="H16" s="192"/>
      <c r="I16" s="192"/>
      <c r="J16" s="192"/>
      <c r="K16" s="192"/>
      <c r="L16" s="189"/>
      <c r="M16" s="189"/>
      <c r="N16" s="189"/>
      <c r="O16" s="189"/>
      <c r="P16" s="189"/>
    </row>
    <row r="17">
      <c r="A17" s="156" t="s">
        <v>180</v>
      </c>
      <c r="B17" s="157"/>
      <c r="C17" s="157"/>
      <c r="D17" s="157"/>
      <c r="E17" s="158"/>
      <c r="F17" s="192"/>
      <c r="G17" s="192"/>
      <c r="H17" s="192"/>
      <c r="I17" s="192"/>
      <c r="J17" s="192"/>
      <c r="K17" s="192"/>
      <c r="L17" s="189"/>
      <c r="M17" s="189"/>
      <c r="N17" s="189"/>
      <c r="O17" s="189"/>
      <c r="P17" s="189"/>
    </row>
    <row r="18">
      <c r="A18" s="161"/>
      <c r="B18" s="95"/>
      <c r="C18" s="95"/>
      <c r="D18" s="95"/>
      <c r="E18" s="162"/>
      <c r="F18" s="192"/>
      <c r="G18" s="192"/>
      <c r="H18" s="192"/>
      <c r="I18" s="192"/>
      <c r="J18" s="192"/>
      <c r="K18" s="192"/>
      <c r="L18" s="189"/>
      <c r="M18" s="189"/>
      <c r="N18" s="189"/>
      <c r="O18" s="189"/>
      <c r="P18" s="189"/>
    </row>
    <row r="19">
      <c r="A19" s="167" t="s">
        <v>45</v>
      </c>
      <c r="B19" s="167" t="s">
        <v>46</v>
      </c>
      <c r="C19" s="167" t="s">
        <v>181</v>
      </c>
      <c r="D19" s="167" t="s">
        <v>177</v>
      </c>
      <c r="E19" s="167" t="s">
        <v>182</v>
      </c>
      <c r="F19" s="167"/>
      <c r="G19" s="192"/>
      <c r="H19" s="192"/>
      <c r="I19" s="192"/>
      <c r="J19" s="192"/>
      <c r="K19" s="192"/>
      <c r="L19" s="189"/>
      <c r="M19" s="189"/>
      <c r="N19" s="189"/>
      <c r="O19" s="189"/>
      <c r="P19" s="189"/>
    </row>
    <row r="20">
      <c r="A20" s="171" t="s">
        <v>183</v>
      </c>
      <c r="B20" s="171" t="s">
        <v>184</v>
      </c>
      <c r="C20" s="171" t="s">
        <v>159</v>
      </c>
      <c r="D20" s="171" t="s">
        <v>54</v>
      </c>
      <c r="E20" s="171" t="s">
        <v>148</v>
      </c>
      <c r="F20" s="171"/>
      <c r="G20" s="192"/>
      <c r="H20" s="192"/>
      <c r="I20" s="192"/>
      <c r="J20" s="192"/>
      <c r="K20" s="192"/>
      <c r="L20" s="189"/>
      <c r="M20" s="189"/>
      <c r="N20" s="189"/>
      <c r="O20" s="189"/>
      <c r="P20" s="189"/>
    </row>
    <row r="21">
      <c r="A21" s="175">
        <f>IFERROR(__xludf.DUMMYFUNCTION("GOOGLEFINANCE(A20)"),827.5)</f>
        <v>827.5</v>
      </c>
      <c r="B21" s="175">
        <f>IFERROR(__xludf.DUMMYFUNCTION("GOOGLEFINANCE(B20)"),1412.0)</f>
        <v>1412</v>
      </c>
      <c r="C21" s="175">
        <f>IFERROR(__xludf.DUMMYFUNCTION("GOOGLEFINANCE(C20)"),2095.9)</f>
        <v>2095.9</v>
      </c>
      <c r="D21" s="175">
        <f>IFERROR(__xludf.DUMMYFUNCTION("GOOGLEFINANCE(D20)"),11.36)</f>
        <v>11.36</v>
      </c>
      <c r="E21" s="175">
        <f>IFERROR(__xludf.DUMMYFUNCTION("GOOGLEFINANCE(E20)"),1305.0)</f>
        <v>1305</v>
      </c>
      <c r="F21" s="175"/>
      <c r="G21" s="192"/>
      <c r="H21" s="192"/>
      <c r="I21" s="192"/>
      <c r="J21" s="192"/>
      <c r="K21" s="192"/>
      <c r="L21" s="189"/>
      <c r="M21" s="189"/>
      <c r="N21" s="189"/>
      <c r="O21" s="189"/>
      <c r="P21" s="189"/>
    </row>
    <row r="22">
      <c r="A22" s="180">
        <f>IFERROR(__xludf.DUMMYFUNCTION("GOOGLEFINANCE(A20,""Change"")"),-2.35)</f>
        <v>-2.35</v>
      </c>
      <c r="B22" s="180">
        <f>IFERROR(__xludf.DUMMYFUNCTION("GOOGLEFINANCE(B20,""Change"")"),-14.9)</f>
        <v>-14.9</v>
      </c>
      <c r="C22" s="180">
        <f>IFERROR(__xludf.DUMMYFUNCTION("GOOGLEFINANCE(C20,""Change"")"),38.3)</f>
        <v>38.3</v>
      </c>
      <c r="D22" s="180">
        <f>IFERROR(__xludf.DUMMYFUNCTION("GOOGLEFINANCE(D20,""Change"")"),0.48)</f>
        <v>0.48</v>
      </c>
      <c r="E22" s="180">
        <f>IFERROR(__xludf.DUMMYFUNCTION("GOOGLEFINANCE(E20,""Change"")"),-16.3)</f>
        <v>-16.3</v>
      </c>
      <c r="F22" s="180"/>
      <c r="G22" s="192"/>
      <c r="H22" s="192"/>
      <c r="I22" s="192"/>
      <c r="J22" s="192"/>
      <c r="K22" s="192"/>
      <c r="L22" s="189"/>
      <c r="M22" s="189"/>
      <c r="N22" s="189"/>
      <c r="O22" s="189"/>
      <c r="P22" s="189"/>
    </row>
    <row r="23">
      <c r="A23" s="184">
        <f t="shared" ref="A23:E23" si="2">A22/A21</f>
        <v>-0.002839879154</v>
      </c>
      <c r="B23" s="184">
        <f t="shared" si="2"/>
        <v>-0.01055240793</v>
      </c>
      <c r="C23" s="184">
        <f t="shared" si="2"/>
        <v>0.0182737726</v>
      </c>
      <c r="D23" s="184">
        <f t="shared" si="2"/>
        <v>0.04225352113</v>
      </c>
      <c r="E23" s="184">
        <f t="shared" si="2"/>
        <v>-0.01249042146</v>
      </c>
      <c r="F23" s="184"/>
      <c r="G23" s="192"/>
      <c r="H23" s="192"/>
      <c r="I23" s="192"/>
      <c r="J23" s="192"/>
      <c r="K23" s="192"/>
      <c r="L23" s="189"/>
      <c r="M23" s="189"/>
      <c r="N23" s="189"/>
      <c r="O23" s="189"/>
      <c r="P23" s="189"/>
    </row>
    <row r="24">
      <c r="A24" s="188" t="str">
        <f>IFERROR(__xludf.DUMMYFUNCTION("SPARKLINE(INDEX(GOOGLEFINANCE(A20,""Price"",WORKDAY(TODAY(),-252),today()),,2),{""CHARTTYPE"",""COLUMN""})"),"")</f>
        <v/>
      </c>
      <c r="B24" s="188" t="str">
        <f>IFERROR(__xludf.DUMMYFUNCTION("SPARKLINE(INDEX(GOOGLEFINANCE(B20,""Price"",WORKDAY(TODAY(),-252),today()),,2),{""CHARTTYPE"",""COLUMN""})"),"")</f>
        <v/>
      </c>
      <c r="C24" s="188" t="str">
        <f>IFERROR(__xludf.DUMMYFUNCTION("SPARKLINE(INDEX(GOOGLEFINANCE(C20,""Price"",WORKDAY(TODAY(),-252),today()),,2),{""CHARTTYPE"",""COLUMN""})"),"")</f>
        <v/>
      </c>
      <c r="D24" s="188" t="str">
        <f>IFERROR(__xludf.DUMMYFUNCTION("SPARKLINE(INDEX(GOOGLEFINANCE(D20,""Price"",WORKDAY(TODAY(),-252),today()),,2),{""CHARTTYPE"",""COLUMN""})"),"")</f>
        <v/>
      </c>
      <c r="E24" s="188" t="str">
        <f>IFERROR(__xludf.DUMMYFUNCTION("SPARKLINE(INDEX(GOOGLEFINANCE(E20,""Price"",WORKDAY(TODAY(),-252),today()),,2),{""CHARTTYPE"",""COLUMN""})"),"")</f>
        <v/>
      </c>
      <c r="F24" s="188"/>
      <c r="G24" s="192"/>
      <c r="H24" s="192"/>
      <c r="I24" s="192"/>
      <c r="J24" s="192"/>
      <c r="K24" s="192"/>
      <c r="L24" s="189"/>
      <c r="M24" s="189"/>
      <c r="N24" s="189"/>
      <c r="O24" s="189"/>
      <c r="P24" s="189"/>
    </row>
    <row r="25">
      <c r="A25" s="47"/>
      <c r="B25" s="47"/>
      <c r="C25" s="47"/>
      <c r="D25" s="47"/>
      <c r="E25" s="47"/>
      <c r="F25" s="47"/>
      <c r="G25" s="192"/>
      <c r="H25" s="192"/>
      <c r="I25" s="192"/>
      <c r="J25" s="192"/>
      <c r="K25" s="192"/>
      <c r="L25" s="189"/>
      <c r="M25" s="189"/>
      <c r="N25" s="189"/>
      <c r="O25" s="189"/>
      <c r="P25" s="189"/>
    </row>
    <row r="26">
      <c r="A26" s="47"/>
      <c r="B26" s="47"/>
      <c r="C26" s="47"/>
      <c r="D26" s="47"/>
      <c r="E26" s="47"/>
      <c r="F26" s="47"/>
      <c r="G26" s="152"/>
      <c r="H26" s="152"/>
      <c r="I26" s="152"/>
      <c r="J26" s="152"/>
      <c r="K26" s="153"/>
      <c r="L26" s="153"/>
      <c r="M26" s="153"/>
      <c r="N26" s="153"/>
      <c r="O26" s="154"/>
      <c r="P26" s="154"/>
    </row>
    <row r="27">
      <c r="A27" s="50"/>
      <c r="B27" s="50"/>
      <c r="C27" s="50"/>
      <c r="D27" s="50"/>
      <c r="E27" s="50"/>
      <c r="F27" s="50"/>
      <c r="G27" s="152"/>
      <c r="H27" s="152"/>
      <c r="I27" s="152"/>
      <c r="J27" s="152"/>
      <c r="K27" s="153"/>
      <c r="L27" s="153"/>
      <c r="M27" s="153"/>
      <c r="N27" s="153"/>
      <c r="O27" s="154"/>
      <c r="P27" s="154"/>
    </row>
    <row r="28">
      <c r="A28" s="152"/>
      <c r="B28" s="152"/>
      <c r="C28" s="152"/>
      <c r="D28" s="152"/>
      <c r="E28" s="152"/>
      <c r="F28" s="152"/>
      <c r="G28" s="152"/>
      <c r="H28" s="152"/>
      <c r="I28" s="152"/>
      <c r="J28" s="152"/>
      <c r="K28" s="153"/>
      <c r="L28" s="153"/>
      <c r="M28" s="153"/>
      <c r="N28" s="153"/>
      <c r="O28" s="154"/>
      <c r="P28" s="154"/>
    </row>
    <row r="29">
      <c r="A29" s="152" t="s">
        <v>185</v>
      </c>
      <c r="B29" s="152"/>
      <c r="C29" s="152"/>
      <c r="D29" s="152"/>
      <c r="E29" s="152"/>
      <c r="F29" s="152"/>
      <c r="G29" s="152"/>
      <c r="H29" s="152"/>
      <c r="I29" s="152"/>
      <c r="J29" s="152"/>
      <c r="K29" s="153"/>
      <c r="L29" s="153"/>
      <c r="M29" s="153"/>
      <c r="N29" s="153"/>
      <c r="O29" s="154"/>
      <c r="P29" s="154"/>
    </row>
    <row r="30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3"/>
      <c r="L30" s="153"/>
      <c r="M30" s="153"/>
      <c r="N30" s="153"/>
      <c r="O30" s="154"/>
      <c r="P30" s="154"/>
    </row>
    <row r="31">
      <c r="A31" s="152" t="s">
        <v>186</v>
      </c>
      <c r="B31" s="152"/>
      <c r="C31" s="152"/>
      <c r="D31" s="152"/>
      <c r="E31" s="152"/>
      <c r="F31" s="152"/>
      <c r="G31" s="152"/>
      <c r="H31" s="152"/>
      <c r="I31" s="152"/>
      <c r="J31" s="152"/>
      <c r="K31" s="153"/>
      <c r="L31" s="153"/>
      <c r="M31" s="153"/>
      <c r="N31" s="153"/>
      <c r="O31" s="154"/>
      <c r="P31" s="154"/>
    </row>
    <row r="32">
      <c r="A32" s="152" t="s">
        <v>187</v>
      </c>
      <c r="B32" s="152"/>
      <c r="C32" s="152"/>
      <c r="D32" s="152"/>
      <c r="E32" s="152"/>
      <c r="F32" s="152"/>
      <c r="G32" s="152"/>
      <c r="H32" s="152"/>
      <c r="I32" s="152"/>
      <c r="J32" s="152"/>
      <c r="K32" s="153"/>
      <c r="L32" s="153"/>
      <c r="M32" s="153"/>
      <c r="N32" s="153"/>
      <c r="O32" s="154"/>
      <c r="P32" s="154"/>
    </row>
    <row r="33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3"/>
      <c r="L33" s="153"/>
      <c r="M33" s="153"/>
      <c r="N33" s="153"/>
      <c r="O33" s="154"/>
      <c r="P33" s="154"/>
    </row>
    <row r="34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3"/>
      <c r="L34" s="153"/>
      <c r="M34" s="153"/>
      <c r="N34" s="153"/>
      <c r="O34" s="154"/>
      <c r="P34" s="154"/>
    </row>
    <row r="35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3"/>
      <c r="L35" s="153"/>
      <c r="M35" s="153"/>
      <c r="N35" s="153"/>
      <c r="O35" s="154"/>
      <c r="P35" s="154"/>
    </row>
    <row r="36">
      <c r="A36" s="152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4"/>
      <c r="P36" s="154"/>
    </row>
    <row r="37">
      <c r="A37" s="193"/>
      <c r="B37" s="194"/>
      <c r="C37" s="194"/>
      <c r="D37" s="194"/>
      <c r="E37" s="195"/>
      <c r="F37" s="195"/>
      <c r="G37" s="195"/>
      <c r="H37" s="196"/>
      <c r="I37" s="195"/>
      <c r="J37" s="195"/>
      <c r="K37" s="196"/>
      <c r="L37" s="197"/>
      <c r="M37" s="195"/>
      <c r="N37" s="198"/>
      <c r="O37" s="199"/>
      <c r="P37" s="200"/>
    </row>
  </sheetData>
  <mergeCells count="27">
    <mergeCell ref="E10:E13"/>
    <mergeCell ref="F10:F13"/>
    <mergeCell ref="G10:G13"/>
    <mergeCell ref="H10:H13"/>
    <mergeCell ref="I10:I13"/>
    <mergeCell ref="J10:J13"/>
    <mergeCell ref="K10:K13"/>
    <mergeCell ref="L10:L13"/>
    <mergeCell ref="M10:M13"/>
    <mergeCell ref="N10:N13"/>
    <mergeCell ref="A1:G1"/>
    <mergeCell ref="H1:O1"/>
    <mergeCell ref="A3:D3"/>
    <mergeCell ref="E3:I4"/>
    <mergeCell ref="J3:O3"/>
    <mergeCell ref="A10:A13"/>
    <mergeCell ref="B10:B13"/>
    <mergeCell ref="O10:O13"/>
    <mergeCell ref="E24:E27"/>
    <mergeCell ref="F24:F27"/>
    <mergeCell ref="C10:C13"/>
    <mergeCell ref="D10:D13"/>
    <mergeCell ref="A17:E18"/>
    <mergeCell ref="A24:A27"/>
    <mergeCell ref="B24:B27"/>
    <mergeCell ref="C24:C27"/>
    <mergeCell ref="D24:D27"/>
  </mergeCells>
  <conditionalFormatting sqref="M37">
    <cfRule type="cellIs" dxfId="21" priority="1" operator="equal">
      <formula>"|"</formula>
    </cfRule>
  </conditionalFormatting>
  <conditionalFormatting sqref="E37 M37">
    <cfRule type="cellIs" dxfId="2" priority="2" operator="equal">
      <formula>"Small cap"</formula>
    </cfRule>
  </conditionalFormatting>
  <conditionalFormatting sqref="E37 M37">
    <cfRule type="cellIs" dxfId="3" priority="3" operator="equal">
      <formula>"Mid cap"</formula>
    </cfRule>
  </conditionalFormatting>
  <conditionalFormatting sqref="E37 M37">
    <cfRule type="cellIs" dxfId="4" priority="4" operator="equal">
      <formula>"Large cap"</formula>
    </cfRule>
  </conditionalFormatting>
  <conditionalFormatting sqref="H37">
    <cfRule type="cellIs" dxfId="8" priority="5" operator="greaterThan">
      <formula>0</formula>
    </cfRule>
  </conditionalFormatting>
  <conditionalFormatting sqref="H37">
    <cfRule type="cellIs" dxfId="6" priority="6" operator="lessThan">
      <formula>0</formula>
    </cfRule>
  </conditionalFormatting>
  <conditionalFormatting sqref="H37">
    <cfRule type="cellIs" dxfId="7" priority="7" operator="equal">
      <formula>0</formula>
    </cfRule>
  </conditionalFormatting>
  <conditionalFormatting sqref="K37">
    <cfRule type="cellIs" dxfId="2" priority="8" operator="between">
      <formula>"-10%"</formula>
      <formula>"-15%"</formula>
    </cfRule>
  </conditionalFormatting>
  <conditionalFormatting sqref="K37">
    <cfRule type="cellIs" dxfId="22" priority="9" operator="between">
      <formula>"-0.01%"</formula>
      <formula>"-10%"</formula>
    </cfRule>
  </conditionalFormatting>
  <conditionalFormatting sqref="K37">
    <cfRule type="cellIs" dxfId="5" priority="10" operator="greaterThan">
      <formula>"0%"</formula>
    </cfRule>
  </conditionalFormatting>
  <conditionalFormatting sqref="M37:P37">
    <cfRule type="cellIs" dxfId="4" priority="11" operator="between">
      <formula>30000</formula>
      <formula>600000</formula>
    </cfRule>
  </conditionalFormatting>
  <conditionalFormatting sqref="M37:P37">
    <cfRule type="cellIs" dxfId="2" priority="12" operator="lessThan">
      <formula>7500</formula>
    </cfRule>
  </conditionalFormatting>
  <conditionalFormatting sqref="M37">
    <cfRule type="cellIs" dxfId="9" priority="13" operator="equal">
      <formula>"||"</formula>
    </cfRule>
  </conditionalFormatting>
  <conditionalFormatting sqref="M37">
    <cfRule type="cellIs" dxfId="3" priority="14" operator="equal">
      <formula>"|||"</formula>
    </cfRule>
  </conditionalFormatting>
  <conditionalFormatting sqref="M37">
    <cfRule type="cellIs" dxfId="6" priority="15" operator="equal">
      <formula>"||||"</formula>
    </cfRule>
  </conditionalFormatting>
  <conditionalFormatting sqref="M37:P37">
    <cfRule type="cellIs" dxfId="22" priority="16" operator="between">
      <formula>7500</formula>
      <formula>30000</formula>
    </cfRule>
  </conditionalFormatting>
  <conditionalFormatting sqref="K37">
    <cfRule type="cellIs" dxfId="10" priority="17" operator="between">
      <formula>"-15%"</formula>
      <formula>"-20%"</formula>
    </cfRule>
  </conditionalFormatting>
  <conditionalFormatting sqref="K37">
    <cfRule type="cellIs" dxfId="1" priority="18" operator="lessThan">
      <formula>"-20.10%"</formula>
    </cfRule>
  </conditionalFormatting>
  <conditionalFormatting sqref="C37:D37">
    <cfRule type="cellIs" dxfId="11" priority="19" operator="equal">
      <formula>"Hold"</formula>
    </cfRule>
  </conditionalFormatting>
  <conditionalFormatting sqref="C37:D37">
    <cfRule type="cellIs" dxfId="12" priority="20" operator="equal">
      <formula>"Buy"</formula>
    </cfRule>
  </conditionalFormatting>
  <conditionalFormatting sqref="A9:P9 A23:F23">
    <cfRule type="cellIs" dxfId="13" priority="21" operator="greaterThan">
      <formula>0</formula>
    </cfRule>
  </conditionalFormatting>
  <conditionalFormatting sqref="A9:P9 A23:F23">
    <cfRule type="cellIs" dxfId="14" priority="22" operator="lessThan">
      <formula>0</formula>
    </cfRule>
  </conditionalFormatting>
  <conditionalFormatting sqref="G37">
    <cfRule type="cellIs" dxfId="12" priority="23" operator="equal">
      <formula>"Buy"</formula>
    </cfRule>
  </conditionalFormatting>
  <conditionalFormatting sqref="G37">
    <cfRule type="cellIs" dxfId="11" priority="24" operator="equal">
      <formula>"Hold"</formula>
    </cfRule>
  </conditionalFormatting>
  <conditionalFormatting sqref="M37:P37">
    <cfRule type="cellIs" dxfId="1" priority="25" operator="greaterThan">
      <formula>600000</formula>
    </cfRule>
  </conditionalFormatting>
  <conditionalFormatting sqref="E37 M37">
    <cfRule type="cellIs" dxfId="1" priority="26" operator="equal">
      <formula>"Mega cap"</formula>
    </cfRule>
  </conditionalFormatting>
  <conditionalFormatting sqref="C37:P37">
    <cfRule type="notContainsBlanks" dxfId="15" priority="27">
      <formula>LEN(TRIM(C37))&gt;0</formula>
    </cfRule>
  </conditionalFormatting>
  <conditionalFormatting sqref="A9:P9 A23:F23">
    <cfRule type="cellIs" dxfId="0" priority="28" operator="equal">
      <formula>0</formula>
    </cfRule>
  </conditionalFormatting>
  <conditionalFormatting sqref="H1:P1">
    <cfRule type="cellIs" dxfId="23" priority="29" operator="equal">
      <formula>"Market Open"</formula>
    </cfRule>
  </conditionalFormatting>
  <conditionalFormatting sqref="H1:P1">
    <cfRule type="cellIs" dxfId="17" priority="30" operator="equal">
      <formula>"Market Closed"</formula>
    </cfRule>
  </conditionalFormatting>
  <conditionalFormatting sqref="B37">
    <cfRule type="cellIs" dxfId="18" priority="31" operator="equal">
      <formula>"Daikaffil Chemicals India Ltd"</formula>
    </cfRule>
  </conditionalFormatting>
  <conditionalFormatting sqref="B37">
    <cfRule type="cellIs" dxfId="18" priority="32" operator="equal">
      <formula>"Allsec Technologies Ltd"</formula>
    </cfRule>
  </conditionalFormatting>
  <conditionalFormatting sqref="B37">
    <cfRule type="cellIs" dxfId="18" priority="33" operator="equal">
      <formula>"BSE Ltd"</formula>
    </cfRule>
  </conditionalFormatting>
  <conditionalFormatting sqref="B37">
    <cfRule type="cellIs" dxfId="18" priority="34" operator="equal">
      <formula>"CG power and Industrial Solutions Ltd"</formula>
    </cfRule>
  </conditionalFormatting>
  <conditionalFormatting sqref="B37">
    <cfRule type="cellIs" dxfId="18" priority="35" operator="equal">
      <formula>"State Bank of India"</formula>
    </cfRule>
  </conditionalFormatting>
  <conditionalFormatting sqref="B37">
    <cfRule type="cellIs" dxfId="18" priority="36" operator="equal">
      <formula>"Suzlon Energy Ltd"</formula>
    </cfRule>
  </conditionalFormatting>
  <conditionalFormatting sqref="B37">
    <cfRule type="cellIs" dxfId="18" priority="37" operator="equal">
      <formula>"Tata Power Company Limited"</formula>
    </cfRule>
  </conditionalFormatting>
  <conditionalFormatting sqref="B37">
    <cfRule type="cellIs" dxfId="18" priority="38" operator="equal">
      <formula>"Wonderla Holidays Ltd"</formula>
    </cfRule>
  </conditionalFormatting>
  <conditionalFormatting sqref="B37">
    <cfRule type="cellIs" dxfId="18" priority="39" operator="equal">
      <formula>"ITC Ltd"</formula>
    </cfRule>
  </conditionalFormatting>
  <conditionalFormatting sqref="B37">
    <cfRule type="cellIs" dxfId="18" priority="40" operator="equal">
      <formula>"Yes Bank Limited"</formula>
    </cfRule>
  </conditionalFormatting>
  <conditionalFormatting sqref="B37">
    <cfRule type="cellIs" dxfId="19" priority="41" operator="equal">
      <formula>"Ircon International Ltd"</formula>
    </cfRule>
  </conditionalFormatting>
  <conditionalFormatting sqref="B37">
    <cfRule type="cellIs" dxfId="19" priority="42" operator="equal">
      <formula>"Indian Railway Finance Corp Ltd"</formula>
    </cfRule>
  </conditionalFormatting>
  <conditionalFormatting sqref="B37">
    <cfRule type="cellIs" dxfId="19" priority="43" operator="equal">
      <formula>"Rail Vikas Nigam Ltd"</formula>
    </cfRule>
  </conditionalFormatting>
  <conditionalFormatting sqref="B37">
    <cfRule type="cellIs" dxfId="18" priority="44" operator="equal">
      <formula>"Tracxn Technologies Ltd"</formula>
    </cfRule>
  </conditionalFormatting>
  <conditionalFormatting sqref="B37">
    <cfRule type="cellIs" dxfId="19" priority="45" operator="equal">
      <formula>"Railtel Corp Of India Ltd"</formula>
    </cfRule>
  </conditionalFormatting>
  <conditionalFormatting sqref="A37:B37">
    <cfRule type="notContainsBlanks" dxfId="20" priority="46">
      <formula>LEN(TRIM(A37))&gt;0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5"/>
    <col customWidth="1" min="2" max="2" width="33.38"/>
    <col customWidth="1" min="3" max="4" width="11.38"/>
    <col customWidth="1" min="5" max="5" width="12.63"/>
    <col customWidth="1" min="6" max="7" width="11.38"/>
    <col customWidth="1" min="8" max="8" width="21.25"/>
    <col customWidth="1" min="9" max="9" width="19.88"/>
    <col customWidth="1" min="10" max="10" width="19.63"/>
    <col customWidth="1" min="11" max="11" width="15.0"/>
    <col customWidth="1" min="12" max="12" width="14.13"/>
    <col customWidth="1" min="13" max="13" width="22.13"/>
    <col customWidth="1" min="14" max="14" width="16.5"/>
    <col customWidth="1" min="15" max="15" width="2.5"/>
  </cols>
  <sheetData>
    <row r="1">
      <c r="A1" s="201">
        <f>Now()</f>
        <v>46210.80511</v>
      </c>
      <c r="B1" s="13"/>
      <c r="C1" s="13"/>
      <c r="D1" s="13"/>
      <c r="E1" s="13"/>
      <c r="F1" s="13"/>
      <c r="G1" s="13"/>
      <c r="H1" s="202" t="str">
        <f>if(OR((weekday(A1))=1,(weekday(A1))=7),"Market Closed",if(time(hour(now()),minute(now()),second(now()))&gt;TIME(15,30,0),"Market Closed",if((time(hour(now()),minute(now()),second(now()))&gt;TIME(9,15,0)),"Market Open","Market Closed")))</f>
        <v>Market Closed</v>
      </c>
      <c r="I1" s="13"/>
      <c r="J1" s="13"/>
      <c r="K1" s="13"/>
      <c r="L1" s="13"/>
      <c r="M1" s="13"/>
      <c r="N1" s="64"/>
      <c r="O1" s="203"/>
    </row>
    <row r="2">
      <c r="A2" s="204" t="s">
        <v>40</v>
      </c>
      <c r="B2" s="54"/>
      <c r="C2" s="205" t="s">
        <v>188</v>
      </c>
      <c r="D2" s="206" t="s">
        <v>189</v>
      </c>
      <c r="E2" s="206" t="s">
        <v>70</v>
      </c>
      <c r="F2" s="64"/>
      <c r="G2" s="207" t="s">
        <v>71</v>
      </c>
      <c r="H2" s="64"/>
      <c r="I2" s="208" t="str">
        <f>IFERROR(__xludf.DUMMYFUNCTION("GOOGLEFINANCE(B3,""Name"")"),"Hindustan Aeronautics Ltd")</f>
        <v>Hindustan Aeronautics Ltd</v>
      </c>
      <c r="J2" s="13"/>
      <c r="K2" s="13"/>
      <c r="L2" s="13"/>
      <c r="M2" s="13"/>
      <c r="N2" s="13"/>
      <c r="O2" s="209"/>
    </row>
    <row r="3">
      <c r="A3" s="210" t="s">
        <v>42</v>
      </c>
      <c r="B3" s="211" t="s">
        <v>190</v>
      </c>
      <c r="C3" s="212">
        <v>1.0</v>
      </c>
      <c r="D3" s="213">
        <f>MIN(IFNA(K16:K47,""))</f>
        <v>-0.7045320777</v>
      </c>
      <c r="E3" s="214" t="str">
        <f t="array" ref="E3">XLOOKUP(D3,K16:K203,A16:A203)</f>
        <v>BOM:530825</v>
      </c>
      <c r="F3" s="215"/>
      <c r="G3" s="214" t="str">
        <f>IFERROR(__xludf.DUMMYFUNCTION("GOOGLEFINANCE(E3,""NAME"")"),"Daikaffil Chemicals India Ltd")</f>
        <v>Daikaffil Chemicals India Ltd</v>
      </c>
      <c r="H3" s="216"/>
      <c r="I3" s="217" t="s">
        <v>44</v>
      </c>
      <c r="J3" s="13"/>
      <c r="K3" s="13"/>
      <c r="L3" s="13"/>
      <c r="M3" s="13"/>
      <c r="N3" s="13"/>
      <c r="O3" s="218"/>
    </row>
    <row r="4">
      <c r="A4" s="219" t="s">
        <v>51</v>
      </c>
      <c r="B4" s="220">
        <f>IFERROR(__xludf.DUMMYFUNCTION("GOOGLEFINANCE(B3,""price"")"),4401.0)</f>
        <v>4401</v>
      </c>
      <c r="C4" s="221">
        <v>2.0</v>
      </c>
      <c r="D4" s="222">
        <f>SMALL(IFNA(K16:K47,""),2)</f>
        <v>-0.4601167315</v>
      </c>
      <c r="E4" s="223" t="str">
        <f t="array" ref="E4">XLOOKUP(D4,K16:K204,A16:A204)</f>
        <v>NSE:ROUTE</v>
      </c>
      <c r="F4" s="224"/>
      <c r="G4" s="223" t="str">
        <f>IFERROR(__xludf.DUMMYFUNCTION("GOOGLEFINANCE(E4,""NAME"")"),"Route Mobile Ltd")</f>
        <v>Route Mobile Ltd</v>
      </c>
      <c r="H4" s="225"/>
      <c r="I4" s="226" t="str">
        <f>IFERROR(__xludf.DUMMYFUNCTION("SPARKLINE(INDEX(GOOGLEFINANCE(B3,""Price"",WORKDAY(TODAY(),-252),today()),,2),{""CHARTTYPE"",""COLUMN""})"),"")</f>
        <v/>
      </c>
      <c r="N4" s="227"/>
      <c r="O4" s="228"/>
    </row>
    <row r="5">
      <c r="A5" s="229" t="s">
        <v>58</v>
      </c>
      <c r="B5" s="230">
        <f>if(isblank(B3),"",(B4-B7)/B7)</f>
        <v>-0.1310957552</v>
      </c>
      <c r="C5" s="221">
        <v>3.0</v>
      </c>
      <c r="D5" s="222">
        <f>SMALL(IFNA(K16:K48,""),3)</f>
        <v>-0.457117655</v>
      </c>
      <c r="E5" s="223" t="str">
        <f t="array" ref="E5">XLOOKUP(D5,K16:K205,A16:A205)</f>
        <v>NSE:WHIRLPOOL</v>
      </c>
      <c r="F5" s="224"/>
      <c r="G5" s="223" t="str">
        <f>IFERROR(__xludf.DUMMYFUNCTION("GOOGLEFINANCE(E5,""NAME"")"),"Whirlpool Of India Ltd")</f>
        <v>Whirlpool Of India Ltd</v>
      </c>
      <c r="H5" s="225"/>
      <c r="I5" s="77"/>
      <c r="N5" s="227"/>
      <c r="O5" s="228"/>
    </row>
    <row r="6">
      <c r="A6" s="229" t="s">
        <v>59</v>
      </c>
      <c r="B6" s="231" t="str">
        <f>if(B5&lt;-10%,"Buy","Hold")</f>
        <v>Buy</v>
      </c>
      <c r="C6" s="221">
        <v>4.0</v>
      </c>
      <c r="D6" s="222">
        <f>SMALL(IFNA(K16:K49,""),4)</f>
        <v>-0.3926701571</v>
      </c>
      <c r="E6" s="223" t="str">
        <f t="array" ref="E6">XLOOKUP(D6,K16:K206,A16:A206)</f>
        <v>NSE:MHRIL</v>
      </c>
      <c r="F6" s="224"/>
      <c r="G6" s="223" t="str">
        <f>IFERROR(__xludf.DUMMYFUNCTION("GOOGLEFINANCE(E6,""NAME"")"),"Mahindra Holidays and Resorts India Ltd")</f>
        <v>Mahindra Holidays and Resorts India Ltd</v>
      </c>
      <c r="H6" s="225"/>
      <c r="I6" s="77"/>
      <c r="N6" s="227"/>
      <c r="O6" s="228"/>
    </row>
    <row r="7">
      <c r="A7" s="219" t="s">
        <v>60</v>
      </c>
      <c r="B7" s="220">
        <f>IFERROR(__xludf.DUMMYFUNCTION("GOOGLEFINANCE(B3,""HIGH52"")"),5065.0)</f>
        <v>5065</v>
      </c>
      <c r="C7" s="232">
        <v>5.0</v>
      </c>
      <c r="D7" s="233">
        <f>SMALL(IFNA(K16:K50,""),5)</f>
        <v>-0.3798828125</v>
      </c>
      <c r="E7" s="234" t="str">
        <f t="array" ref="E7">XLOOKUP(D7,K16:K207,A16:A207)</f>
        <v>NSE:WESTLIFE</v>
      </c>
      <c r="F7" s="235"/>
      <c r="G7" s="234" t="str">
        <f>IFERROR(__xludf.DUMMYFUNCTION("GOOGLEFINANCE(E7,""NAME"")"),"Westlife Foodworld Ltd")</f>
        <v>Westlife Foodworld Ltd</v>
      </c>
      <c r="H7" s="236"/>
      <c r="I7" s="77"/>
      <c r="N7" s="227"/>
      <c r="O7" s="228"/>
    </row>
    <row r="8">
      <c r="A8" s="219" t="s">
        <v>61</v>
      </c>
      <c r="B8" s="220">
        <f>IFERROR(__xludf.DUMMYFUNCTION("GOOGLEFINANCE(B3,""LOW52"")"),3479.1)</f>
        <v>3479.1</v>
      </c>
      <c r="C8" s="237" t="s">
        <v>64</v>
      </c>
      <c r="E8" s="238" t="str">
        <f>offset(A16:A49,MATCH(MAX(H16:H49),H16:H49,0),0,1)</f>
        <v>NSE:HAL</v>
      </c>
      <c r="G8" s="239">
        <f>(Max(H16:H49))</f>
        <v>0.0115</v>
      </c>
      <c r="H8" s="54"/>
      <c r="I8" s="77"/>
      <c r="N8" s="227"/>
      <c r="O8" s="228"/>
    </row>
    <row r="9">
      <c r="A9" s="229" t="s">
        <v>62</v>
      </c>
      <c r="B9" s="240">
        <f>IFERROR(__xludf.DUMMYFUNCTION("googlefinance(B3,""Marketcap"")/1000000000"),2942.895888)</f>
        <v>2942.895888</v>
      </c>
      <c r="C9" s="241"/>
      <c r="D9" s="95"/>
      <c r="G9" s="242"/>
      <c r="H9" s="216"/>
      <c r="I9" s="77"/>
      <c r="N9" s="227"/>
      <c r="O9" s="228"/>
    </row>
    <row r="10">
      <c r="A10" s="229" t="s">
        <v>63</v>
      </c>
      <c r="B10" s="243">
        <f>IFERROR(__xludf.DUMMYFUNCTION("GOOGLEFINANCE(B3,""EPS"")"),136.3)</f>
        <v>136.3</v>
      </c>
      <c r="C10" s="237" t="s">
        <v>66</v>
      </c>
      <c r="E10" s="244" t="str">
        <f>offset(A16:A49,MATCH(MIN(H16:H49),H16:H49,0),0,1)</f>
        <v>NSE:DIVISLAB</v>
      </c>
      <c r="F10" s="157"/>
      <c r="G10" s="245">
        <f>(Min(H16:H50))</f>
        <v>-0.0342</v>
      </c>
      <c r="I10" s="77"/>
      <c r="N10" s="227"/>
      <c r="O10" s="228"/>
    </row>
    <row r="11">
      <c r="A11" s="229" t="s">
        <v>65</v>
      </c>
      <c r="B11" s="243">
        <f>IFERROR(__xludf.DUMMYFUNCTION("GOOGLEFINANCE(B3,""PE"")"),32.29)</f>
        <v>32.29</v>
      </c>
      <c r="C11" s="246"/>
      <c r="D11" s="247"/>
      <c r="E11" s="247"/>
      <c r="F11" s="247"/>
      <c r="G11" s="248"/>
      <c r="H11" s="247"/>
      <c r="I11" s="246"/>
      <c r="J11" s="247"/>
      <c r="K11" s="247"/>
      <c r="L11" s="247"/>
      <c r="M11" s="247"/>
      <c r="N11" s="249"/>
      <c r="O11" s="228"/>
    </row>
    <row r="12">
      <c r="A12" s="250" t="s">
        <v>67</v>
      </c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7"/>
      <c r="O12" s="251"/>
    </row>
    <row r="13">
      <c r="A13" s="252" t="s">
        <v>191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253"/>
    </row>
    <row r="14">
      <c r="A14" s="77"/>
      <c r="O14" s="253"/>
    </row>
    <row r="15">
      <c r="A15" s="254" t="s">
        <v>70</v>
      </c>
      <c r="B15" s="255" t="s">
        <v>71</v>
      </c>
      <c r="C15" s="255" t="s">
        <v>72</v>
      </c>
      <c r="D15" s="255" t="s">
        <v>73</v>
      </c>
      <c r="E15" s="255" t="s">
        <v>74</v>
      </c>
      <c r="F15" s="255" t="s">
        <v>75</v>
      </c>
      <c r="G15" s="255" t="s">
        <v>76</v>
      </c>
      <c r="H15" s="256" t="s">
        <v>77</v>
      </c>
      <c r="I15" s="255" t="s">
        <v>78</v>
      </c>
      <c r="J15" s="255" t="s">
        <v>79</v>
      </c>
      <c r="K15" s="255" t="s">
        <v>80</v>
      </c>
      <c r="L15" s="257" t="s">
        <v>81</v>
      </c>
      <c r="M15" s="258" t="s">
        <v>82</v>
      </c>
      <c r="N15" s="255" t="s">
        <v>83</v>
      </c>
      <c r="O15" s="259"/>
    </row>
    <row r="16">
      <c r="A16" s="260" t="s">
        <v>192</v>
      </c>
      <c r="B16" s="261" t="str">
        <f>IFERROR(__xludf.DUMMYFUNCTION("if(ISBLANK(A16),"""",GOOGLEFINANCE(A16,""NAME""))"),"Daikaffil Chemicals India Ltd")</f>
        <v>Daikaffil Chemicals India Ltd</v>
      </c>
      <c r="C16" s="261" t="str">
        <f t="shared" ref="C16:C42" si="1">if(ISBLANK(A16),"",if(K16&lt;-10%,"Buy","Hold"))</f>
        <v>Buy</v>
      </c>
      <c r="D16" s="262" t="str">
        <f t="shared" ref="D16:D42" si="2">if(ISBLANK(A16),"",if(K16&lt;-15%,"Buy","Hold"))</f>
        <v>Buy</v>
      </c>
      <c r="E16" s="263" t="str">
        <f t="shared" ref="E16:E49" si="3">if(ISBLANK(A16),"",if(N16&gt;1401,"Large cap",if(N16&gt;100,"Mid cap","Small cap")))</f>
        <v>Small cap</v>
      </c>
      <c r="F16" s="263">
        <f>IFERROR(__xludf.DUMMYFUNCTION("if(ISBLANK(A16),"""",GOOGLEFINANCE(A16,""price""))"),50.2)</f>
        <v>50.2</v>
      </c>
      <c r="G16" s="263" t="str">
        <f t="shared" ref="G16:G42" si="4">if(ISBLANK(A16),"",if(L16=0,"Buy@CMP",if(F16&lt;L16,"Buy","Hold")))</f>
        <v>Buy@CMP</v>
      </c>
      <c r="H16" s="264">
        <f>IFERROR(__xludf.DUMMYFUNCTION("if(ISBLANK(A16),"""",GOOGLEFINANCE(A16,""CHANGEPCT"")/100)"),-0.0199)</f>
        <v>-0.0199</v>
      </c>
      <c r="I16" s="263">
        <f>IFERROR(__xludf.DUMMYFUNCTION("if(ISBLANK(A16),"""",GOOGLEFINANCE(A16,""HIGH52""))"),169.9)</f>
        <v>169.9</v>
      </c>
      <c r="J16" s="263">
        <f>IFERROR(__xludf.DUMMYFUNCTION("if(ISBLANK(A16),"""",GOOGLEFINANCE(A16,""LOW52""))"),28.48)</f>
        <v>28.48</v>
      </c>
      <c r="K16" s="264">
        <f t="shared" ref="K16:K42" si="5">if(isblank(A16),"",(F16-I16)/I16)</f>
        <v>-0.7045320777</v>
      </c>
      <c r="L16" s="265">
        <v>0.0</v>
      </c>
      <c r="M16" s="266" t="str">
        <f t="shared" ref="M16:M42" si="6">IF(ISBLANK(A16), "", IF(AND($N16 &gt;= 0, $N16 &lt;= 75), "||||", IF(AND($N16 &gt; 75, $N16 &lt;= 300), "|||", IF(AND($N16 &gt; 300, $N16 &lt;= 6000), "||", IF($N16 &gt; 6000, "|", "")))))
</f>
        <v>||||</v>
      </c>
      <c r="N16" s="267">
        <f>IFERROR(__xludf.DUMMYFUNCTION("if(ISBLANK(A16),"""",googlefinance(A16,""Marketcap"")/1000000000)"),0.301200004)</f>
        <v>0.301200004</v>
      </c>
      <c r="O16" s="268"/>
    </row>
    <row r="17">
      <c r="A17" s="269" t="s">
        <v>193</v>
      </c>
      <c r="B17" s="261" t="str">
        <f>IFERROR(__xludf.DUMMYFUNCTION("if(ISBLANK(A17),"""",GOOGLEFINANCE(A17,""NAME""))"),"Raghav Productivity Enhancers Ltd")</f>
        <v>Raghav Productivity Enhancers Ltd</v>
      </c>
      <c r="C17" s="261" t="str">
        <f t="shared" si="1"/>
        <v>Hold</v>
      </c>
      <c r="D17" s="262" t="str">
        <f t="shared" si="2"/>
        <v>Hold</v>
      </c>
      <c r="E17" s="263" t="str">
        <f t="shared" si="3"/>
        <v>Small cap</v>
      </c>
      <c r="F17" s="263">
        <f>IFERROR(__xludf.DUMMYFUNCTION("if(ISBLANK(A17),"""",GOOGLEFINANCE(A17,""price""))"),1306.0)</f>
        <v>1306</v>
      </c>
      <c r="G17" s="263" t="str">
        <f t="shared" si="4"/>
        <v>Buy@CMP</v>
      </c>
      <c r="H17" s="264">
        <f>IFERROR(__xludf.DUMMYFUNCTION("if(ISBLANK(A17),"""",GOOGLEFINANCE(A17,""CHANGEPCT"")/100)"),0.0087)</f>
        <v>0.0087</v>
      </c>
      <c r="I17" s="263">
        <f>IFERROR(__xludf.DUMMYFUNCTION("if(ISBLANK(A17),"""",GOOGLEFINANCE(A17,""HIGH52""))"),1319.75)</f>
        <v>1319.75</v>
      </c>
      <c r="J17" s="263">
        <f>IFERROR(__xludf.DUMMYFUNCTION("if(ISBLANK(A17),"""",GOOGLEFINANCE(A17,""LOW52""))"),562.9)</f>
        <v>562.9</v>
      </c>
      <c r="K17" s="264">
        <f t="shared" si="5"/>
        <v>-0.01041863989</v>
      </c>
      <c r="L17" s="265">
        <v>0.0</v>
      </c>
      <c r="M17" s="266" t="str">
        <f t="shared" si="6"/>
        <v>||||</v>
      </c>
      <c r="N17" s="267">
        <f>IFERROR(__xludf.DUMMYFUNCTION("if(ISBLANK(A17),"""",googlefinance(A17,""Marketcap"")/1000000000)"),60.061319526)</f>
        <v>60.06131953</v>
      </c>
      <c r="O17" s="268"/>
    </row>
    <row r="18">
      <c r="A18" s="270" t="s">
        <v>194</v>
      </c>
      <c r="B18" s="261" t="str">
        <f>IFERROR(__xludf.DUMMYFUNCTION("if(ISBLANK(A18),"""",GOOGLEFINANCE(A18,""NAME""))"),"Aavas Financiers Ltd")</f>
        <v>Aavas Financiers Ltd</v>
      </c>
      <c r="C18" s="261" t="str">
        <f t="shared" si="1"/>
        <v>Buy</v>
      </c>
      <c r="D18" s="262" t="str">
        <f t="shared" si="2"/>
        <v>Buy</v>
      </c>
      <c r="E18" s="263" t="str">
        <f t="shared" si="3"/>
        <v>Mid cap</v>
      </c>
      <c r="F18" s="263">
        <f>IFERROR(__xludf.DUMMYFUNCTION("if(ISBLANK(A18),"""",GOOGLEFINANCE(A18,""price""))"),1505.0)</f>
        <v>1505</v>
      </c>
      <c r="G18" s="263" t="str">
        <f t="shared" si="4"/>
        <v>Buy@CMP</v>
      </c>
      <c r="H18" s="264">
        <f>IFERROR(__xludf.DUMMYFUNCTION("if(ISBLANK(A18),"""",GOOGLEFINANCE(A18,""CHANGEPCT"")/100)"),-0.0059)</f>
        <v>-0.0059</v>
      </c>
      <c r="I18" s="263">
        <f>IFERROR(__xludf.DUMMYFUNCTION("if(ISBLANK(A18),"""",GOOGLEFINANCE(A18,""HIGH52""))"),2049.0)</f>
        <v>2049</v>
      </c>
      <c r="J18" s="263">
        <f>IFERROR(__xludf.DUMMYFUNCTION("if(ISBLANK(A18),"""",GOOGLEFINANCE(A18,""LOW52""))"),1060.4)</f>
        <v>1060.4</v>
      </c>
      <c r="K18" s="264">
        <f t="shared" si="5"/>
        <v>-0.2654953636</v>
      </c>
      <c r="L18" s="265">
        <v>0.0</v>
      </c>
      <c r="M18" s="266" t="str">
        <f t="shared" si="6"/>
        <v>|||</v>
      </c>
      <c r="N18" s="267">
        <f>IFERROR(__xludf.DUMMYFUNCTION("if(ISBLANK(A18),"""",googlefinance(A18,""Marketcap"")/1000000000)"),119.761242045)</f>
        <v>119.761242</v>
      </c>
      <c r="O18" s="268"/>
    </row>
    <row r="19">
      <c r="A19" s="271" t="s">
        <v>195</v>
      </c>
      <c r="B19" s="261" t="str">
        <f>IFERROR(__xludf.DUMMYFUNCTION("if(ISBLANK(A19),"""",GOOGLEFINANCE(A19,""NAME""))"),"Atul Ltd")</f>
        <v>Atul Ltd</v>
      </c>
      <c r="C19" s="261" t="str">
        <f t="shared" si="1"/>
        <v>Buy</v>
      </c>
      <c r="D19" s="262" t="str">
        <f t="shared" si="2"/>
        <v>Buy</v>
      </c>
      <c r="E19" s="263" t="str">
        <f t="shared" si="3"/>
        <v>Mid cap</v>
      </c>
      <c r="F19" s="263">
        <f>IFERROR(__xludf.DUMMYFUNCTION("if(ISBLANK(A19),"""",GOOGLEFINANCE(A19,""price""))"),6430.0)</f>
        <v>6430</v>
      </c>
      <c r="G19" s="263" t="str">
        <f t="shared" si="4"/>
        <v>Buy@CMP</v>
      </c>
      <c r="H19" s="264">
        <f>IFERROR(__xludf.DUMMYFUNCTION("if(ISBLANK(A19),"""",GOOGLEFINANCE(A19,""CHANGEPCT"")/100)"),-0.0046)</f>
        <v>-0.0046</v>
      </c>
      <c r="I19" s="263">
        <f>IFERROR(__xludf.DUMMYFUNCTION("if(ISBLANK(A19),"""",GOOGLEFINANCE(A19,""HIGH52""))"),7788.0)</f>
        <v>7788</v>
      </c>
      <c r="J19" s="263">
        <f>IFERROR(__xludf.DUMMYFUNCTION("if(ISBLANK(A19),"""",GOOGLEFINANCE(A19,""LOW52""))"),5560.5)</f>
        <v>5560.5</v>
      </c>
      <c r="K19" s="264">
        <f t="shared" si="5"/>
        <v>-0.1743708269</v>
      </c>
      <c r="L19" s="265">
        <v>0.0</v>
      </c>
      <c r="M19" s="266" t="str">
        <f t="shared" si="6"/>
        <v>|||</v>
      </c>
      <c r="N19" s="267">
        <f>IFERROR(__xludf.DUMMYFUNCTION("if(ISBLANK(A19),"""",googlefinance(A19,""Marketcap"")/1000000000)"),189.3105168)</f>
        <v>189.3105168</v>
      </c>
      <c r="O19" s="268"/>
    </row>
    <row r="20">
      <c r="A20" s="270" t="s">
        <v>196</v>
      </c>
      <c r="B20" s="261" t="str">
        <f>IFERROR(__xludf.DUMMYFUNCTION("if(ISBLANK(A20),"""",GOOGLEFINANCE(A20,""NAME""))"),"AWL Agri Business Ltd")</f>
        <v>AWL Agri Business Ltd</v>
      </c>
      <c r="C20" s="261" t="str">
        <f t="shared" si="1"/>
        <v>Buy</v>
      </c>
      <c r="D20" s="262" t="str">
        <f t="shared" si="2"/>
        <v>Buy</v>
      </c>
      <c r="E20" s="263" t="str">
        <f t="shared" si="3"/>
        <v>Mid cap</v>
      </c>
      <c r="F20" s="263">
        <f>IFERROR(__xludf.DUMMYFUNCTION("if(ISBLANK(A20),"""",GOOGLEFINANCE(A20,""price""))"),185.98)</f>
        <v>185.98</v>
      </c>
      <c r="G20" s="263" t="str">
        <f t="shared" si="4"/>
        <v>Buy@CMP</v>
      </c>
      <c r="H20" s="264">
        <f>IFERROR(__xludf.DUMMYFUNCTION("if(ISBLANK(A20),"""",GOOGLEFINANCE(A20,""CHANGEPCT"")/100)"),-0.025099999999999997)</f>
        <v>-0.0251</v>
      </c>
      <c r="I20" s="263">
        <f>IFERROR(__xludf.DUMMYFUNCTION("if(ISBLANK(A20),"""",GOOGLEFINANCE(A20,""HIGH52""))"),286.0)</f>
        <v>286</v>
      </c>
      <c r="J20" s="263">
        <f>IFERROR(__xludf.DUMMYFUNCTION("if(ISBLANK(A20),"""",GOOGLEFINANCE(A20,""LOW52""))"),171.19)</f>
        <v>171.19</v>
      </c>
      <c r="K20" s="264">
        <f t="shared" si="5"/>
        <v>-0.3497202797</v>
      </c>
      <c r="L20" s="265">
        <v>0.0</v>
      </c>
      <c r="M20" s="266" t="str">
        <f t="shared" si="6"/>
        <v>|||</v>
      </c>
      <c r="N20" s="267">
        <f>IFERROR(__xludf.DUMMYFUNCTION("if(ISBLANK(A20),"""",googlefinance(A20,""Marketcap"")/1000000000)"),240.421754645)</f>
        <v>240.4217546</v>
      </c>
      <c r="O20" s="268"/>
    </row>
    <row r="21">
      <c r="A21" s="271" t="s">
        <v>197</v>
      </c>
      <c r="B21" s="261" t="str">
        <f>IFERROR(__xludf.DUMMYFUNCTION("if(ISBLANK(A21),"""",GOOGLEFINANCE(A21,""NAME""))"),"Britannia Industries Ltd")</f>
        <v>Britannia Industries Ltd</v>
      </c>
      <c r="C21" s="261" t="str">
        <f t="shared" si="1"/>
        <v>Buy</v>
      </c>
      <c r="D21" s="262" t="str">
        <f t="shared" si="2"/>
        <v>Hold</v>
      </c>
      <c r="E21" s="263" t="str">
        <f t="shared" si="3"/>
        <v>Mid cap</v>
      </c>
      <c r="F21" s="263">
        <f>IFERROR(__xludf.DUMMYFUNCTION("if(ISBLANK(A21),"""",GOOGLEFINANCE(A21,""price""))"),5452.0)</f>
        <v>5452</v>
      </c>
      <c r="G21" s="263" t="str">
        <f t="shared" si="4"/>
        <v>Buy@CMP</v>
      </c>
      <c r="H21" s="264">
        <f>IFERROR(__xludf.DUMMYFUNCTION("if(ISBLANK(A21),"""",GOOGLEFINANCE(A21,""CHANGEPCT"")/100)"),-5.0E-4)</f>
        <v>-0.0005</v>
      </c>
      <c r="I21" s="263">
        <f>IFERROR(__xludf.DUMMYFUNCTION("if(ISBLANK(A21),"""",GOOGLEFINANCE(A21,""HIGH52""))"),6336.0)</f>
        <v>6336</v>
      </c>
      <c r="J21" s="263">
        <f>IFERROR(__xludf.DUMMYFUNCTION("if(ISBLANK(A21),"""",GOOGLEFINANCE(A21,""LOW52""))"),5035.0)</f>
        <v>5035</v>
      </c>
      <c r="K21" s="264">
        <f t="shared" si="5"/>
        <v>-0.139520202</v>
      </c>
      <c r="L21" s="265">
        <v>0.0</v>
      </c>
      <c r="M21" s="266" t="str">
        <f t="shared" si="6"/>
        <v>||</v>
      </c>
      <c r="N21" s="267">
        <f>IFERROR(__xludf.DUMMYFUNCTION("if(ISBLANK(A21),"""",googlefinance(A21,""Marketcap"")/1000000000)"),1313.2139716)</f>
        <v>1313.213972</v>
      </c>
      <c r="O21" s="268"/>
    </row>
    <row r="22">
      <c r="A22" s="271" t="s">
        <v>198</v>
      </c>
      <c r="B22" s="261" t="str">
        <f>IFERROR(__xludf.DUMMYFUNCTION("if(ISBLANK(A22),"""",GOOGLEFINANCE(A22,""NAME""))"),"Chambal Fertilisers and Chemicals Ltd")</f>
        <v>Chambal Fertilisers and Chemicals Ltd</v>
      </c>
      <c r="C22" s="261" t="str">
        <f t="shared" si="1"/>
        <v>Buy</v>
      </c>
      <c r="D22" s="262" t="str">
        <f t="shared" si="2"/>
        <v>Buy</v>
      </c>
      <c r="E22" s="263" t="str">
        <f t="shared" si="3"/>
        <v>Mid cap</v>
      </c>
      <c r="F22" s="263">
        <f>IFERROR(__xludf.DUMMYFUNCTION("if(ISBLANK(A22),"""",GOOGLEFINANCE(A22,""price""))"),464.45)</f>
        <v>464.45</v>
      </c>
      <c r="G22" s="263" t="str">
        <f t="shared" si="4"/>
        <v>Buy@CMP</v>
      </c>
      <c r="H22" s="264">
        <f>IFERROR(__xludf.DUMMYFUNCTION("if(ISBLANK(A22),"""",GOOGLEFINANCE(A22,""CHANGEPCT"")/100)"),-0.024399999999999998)</f>
        <v>-0.0244</v>
      </c>
      <c r="I22" s="263">
        <f>IFERROR(__xludf.DUMMYFUNCTION("if(ISBLANK(A22),"""",GOOGLEFINANCE(A22,""HIGH52""))"),580.7)</f>
        <v>580.7</v>
      </c>
      <c r="J22" s="263">
        <f>IFERROR(__xludf.DUMMYFUNCTION("if(ISBLANK(A22),"""",GOOGLEFINANCE(A22,""LOW52""))"),399.75)</f>
        <v>399.75</v>
      </c>
      <c r="K22" s="264">
        <f t="shared" si="5"/>
        <v>-0.2001894266</v>
      </c>
      <c r="L22" s="265">
        <v>0.0</v>
      </c>
      <c r="M22" s="266" t="str">
        <f t="shared" si="6"/>
        <v>|||</v>
      </c>
      <c r="N22" s="267">
        <f>IFERROR(__xludf.DUMMYFUNCTION("if(ISBLANK(A22),"""",googlefinance(A22,""Marketcap"")/1000000000)"),186.08291918)</f>
        <v>186.0829192</v>
      </c>
      <c r="O22" s="268"/>
    </row>
    <row r="23">
      <c r="A23" s="271" t="s">
        <v>199</v>
      </c>
      <c r="B23" s="261" t="str">
        <f>IFERROR(__xludf.DUMMYFUNCTION("if(ISBLANK(A23),"""",GOOGLEFINANCE(A23,""NAME""))"),"Cummins India Ltd")</f>
        <v>Cummins India Ltd</v>
      </c>
      <c r="C23" s="261" t="str">
        <f t="shared" si="1"/>
        <v>Buy</v>
      </c>
      <c r="D23" s="262" t="str">
        <f t="shared" si="2"/>
        <v>Hold</v>
      </c>
      <c r="E23" s="263" t="str">
        <f t="shared" si="3"/>
        <v>Large cap</v>
      </c>
      <c r="F23" s="263">
        <f>IFERROR(__xludf.DUMMYFUNCTION("if(ISBLANK(A23),"""",GOOGLEFINANCE(A23,""price""))"),5465.0)</f>
        <v>5465</v>
      </c>
      <c r="G23" s="263" t="str">
        <f t="shared" si="4"/>
        <v>Buy@CMP</v>
      </c>
      <c r="H23" s="264">
        <f>IFERROR(__xludf.DUMMYFUNCTION("if(ISBLANK(A23),"""",GOOGLEFINANCE(A23,""CHANGEPCT"")/100)"),-0.0203)</f>
        <v>-0.0203</v>
      </c>
      <c r="I23" s="263">
        <f>IFERROR(__xludf.DUMMYFUNCTION("if(ISBLANK(A23),"""",GOOGLEFINANCE(A23,""HIGH52""))"),6100.0)</f>
        <v>6100</v>
      </c>
      <c r="J23" s="263">
        <f>IFERROR(__xludf.DUMMYFUNCTION("if(ISBLANK(A23),"""",GOOGLEFINANCE(A23,""LOW52""))"),3330.3)</f>
        <v>3330.3</v>
      </c>
      <c r="K23" s="264">
        <f t="shared" si="5"/>
        <v>-0.1040983607</v>
      </c>
      <c r="L23" s="265">
        <v>0.0</v>
      </c>
      <c r="M23" s="266" t="str">
        <f t="shared" si="6"/>
        <v>||</v>
      </c>
      <c r="N23" s="267">
        <f>IFERROR(__xludf.DUMMYFUNCTION("if(ISBLANK(A23),"""",googlefinance(A23,""Marketcap"")/1000000000)"),1514.898)</f>
        <v>1514.898</v>
      </c>
      <c r="O23" s="268"/>
    </row>
    <row r="24">
      <c r="A24" s="271" t="s">
        <v>200</v>
      </c>
      <c r="B24" s="261" t="str">
        <f>IFERROR(__xludf.DUMMYFUNCTION("if(ISBLANK(A24),"""",GOOGLEFINANCE(A24,""NAME""))"),"DCM Nouvelle Ltd")</f>
        <v>DCM Nouvelle Ltd</v>
      </c>
      <c r="C24" s="261" t="str">
        <f t="shared" si="1"/>
        <v>Buy</v>
      </c>
      <c r="D24" s="262" t="str">
        <f t="shared" si="2"/>
        <v>Buy</v>
      </c>
      <c r="E24" s="263" t="str">
        <f t="shared" si="3"/>
        <v>Small cap</v>
      </c>
      <c r="F24" s="263">
        <f>IFERROR(__xludf.DUMMYFUNCTION("if(ISBLANK(A24),"""",GOOGLEFINANCE(A24,""price""))"),148.2)</f>
        <v>148.2</v>
      </c>
      <c r="G24" s="263" t="str">
        <f t="shared" si="4"/>
        <v>Buy@CMP</v>
      </c>
      <c r="H24" s="264">
        <f>IFERROR(__xludf.DUMMYFUNCTION("if(ISBLANK(A24),"""",GOOGLEFINANCE(A24,""CHANGEPCT"")/100)"),-0.0342)</f>
        <v>-0.0342</v>
      </c>
      <c r="I24" s="263">
        <f>IFERROR(__xludf.DUMMYFUNCTION("if(ISBLANK(A24),"""",GOOGLEFINANCE(A24,""HIGH52""))"),203.8)</f>
        <v>203.8</v>
      </c>
      <c r="J24" s="263">
        <f>IFERROR(__xludf.DUMMYFUNCTION("if(ISBLANK(A24),"""",GOOGLEFINANCE(A24,""LOW52""))"),95.6)</f>
        <v>95.6</v>
      </c>
      <c r="K24" s="264">
        <f t="shared" si="5"/>
        <v>-0.2728164868</v>
      </c>
      <c r="L24" s="265">
        <v>0.0</v>
      </c>
      <c r="M24" s="266" t="str">
        <f t="shared" si="6"/>
        <v>||||</v>
      </c>
      <c r="N24" s="267">
        <f>IFERROR(__xludf.DUMMYFUNCTION("if(ISBLANK(A24),"""",googlefinance(A24,""Marketcap"")/1000000000)"),2.739835945)</f>
        <v>2.739835945</v>
      </c>
      <c r="O24" s="268"/>
    </row>
    <row r="25">
      <c r="A25" s="271" t="s">
        <v>201</v>
      </c>
      <c r="B25" s="261" t="str">
        <f>IFERROR(__xludf.DUMMYFUNCTION("if(ISBLANK(A25),"""",GOOGLEFINANCE(A25,""NAME""))"),"Divi's Laboratories Ltd")</f>
        <v>Divi's Laboratories Ltd</v>
      </c>
      <c r="C25" s="261" t="str">
        <f t="shared" si="1"/>
        <v>Hold</v>
      </c>
      <c r="D25" s="262" t="str">
        <f t="shared" si="2"/>
        <v>Hold</v>
      </c>
      <c r="E25" s="263" t="str">
        <f t="shared" si="3"/>
        <v>Large cap</v>
      </c>
      <c r="F25" s="263">
        <f>IFERROR(__xludf.DUMMYFUNCTION("if(ISBLANK(A25),"""",GOOGLEFINANCE(A25,""price""))"),6760.0)</f>
        <v>6760</v>
      </c>
      <c r="G25" s="263" t="str">
        <f t="shared" si="4"/>
        <v>Buy@CMP</v>
      </c>
      <c r="H25" s="264">
        <f>IFERROR(__xludf.DUMMYFUNCTION("if(ISBLANK(A25),"""",GOOGLEFINANCE(A25,""CHANGEPCT"")/100)"),-0.014199999999999999)</f>
        <v>-0.0142</v>
      </c>
      <c r="I25" s="263">
        <f>IFERROR(__xludf.DUMMYFUNCTION("if(ISBLANK(A25),"""",GOOGLEFINANCE(A25,""HIGH52""))"),7071.5)</f>
        <v>7071.5</v>
      </c>
      <c r="J25" s="263">
        <f>IFERROR(__xludf.DUMMYFUNCTION("if(ISBLANK(A25),"""",GOOGLEFINANCE(A25,""LOW52""))"),5636.5)</f>
        <v>5636.5</v>
      </c>
      <c r="K25" s="264">
        <f t="shared" si="5"/>
        <v>-0.0440500601</v>
      </c>
      <c r="L25" s="265">
        <v>0.0</v>
      </c>
      <c r="M25" s="266" t="str">
        <f t="shared" si="6"/>
        <v>||</v>
      </c>
      <c r="N25" s="267">
        <f>IFERROR(__xludf.DUMMYFUNCTION("if(ISBLANK(A25),"""",googlefinance(A25,""Marketcap"")/1000000000)"),1803.676043028)</f>
        <v>1803.676043</v>
      </c>
      <c r="O25" s="268"/>
    </row>
    <row r="26">
      <c r="A26" s="270" t="s">
        <v>202</v>
      </c>
      <c r="B26" s="261" t="str">
        <f>IFERROR(__xludf.DUMMYFUNCTION("if(ISBLANK(A26),"""",GOOGLEFINANCE(A26,""NAME""))"),"Ethos Ltd")</f>
        <v>Ethos Ltd</v>
      </c>
      <c r="C26" s="261" t="str">
        <f t="shared" si="1"/>
        <v>Buy</v>
      </c>
      <c r="D26" s="262" t="str">
        <f t="shared" si="2"/>
        <v>Buy</v>
      </c>
      <c r="E26" s="263" t="str">
        <f t="shared" si="3"/>
        <v>Small cap</v>
      </c>
      <c r="F26" s="263">
        <f>IFERROR(__xludf.DUMMYFUNCTION("if(ISBLANK(A26),"""",GOOGLEFINANCE(A26,""price""))"),2503.2)</f>
        <v>2503.2</v>
      </c>
      <c r="G26" s="263" t="str">
        <f t="shared" si="4"/>
        <v>Buy@CMP</v>
      </c>
      <c r="H26" s="264">
        <f>IFERROR(__xludf.DUMMYFUNCTION("if(ISBLANK(A26),"""",GOOGLEFINANCE(A26,""CHANGEPCT"")/100)"),-0.0134)</f>
        <v>-0.0134</v>
      </c>
      <c r="I26" s="263">
        <f>IFERROR(__xludf.DUMMYFUNCTION("if(ISBLANK(A26),"""",GOOGLEFINANCE(A26,""HIGH52""))"),3245.9)</f>
        <v>3245.9</v>
      </c>
      <c r="J26" s="263">
        <f>IFERROR(__xludf.DUMMYFUNCTION("if(ISBLANK(A26),"""",GOOGLEFINANCE(A26,""LOW52""))"),1919.4)</f>
        <v>1919.4</v>
      </c>
      <c r="K26" s="264">
        <f t="shared" si="5"/>
        <v>-0.2288117317</v>
      </c>
      <c r="L26" s="265">
        <v>0.0</v>
      </c>
      <c r="M26" s="266" t="str">
        <f t="shared" si="6"/>
        <v>||||</v>
      </c>
      <c r="N26" s="267">
        <f>IFERROR(__xludf.DUMMYFUNCTION("if(ISBLANK(A26),"""",googlefinance(A26,""Marketcap"")/1000000000)"),66.979848301)</f>
        <v>66.9798483</v>
      </c>
      <c r="O26" s="268"/>
    </row>
    <row r="27">
      <c r="A27" s="270" t="s">
        <v>203</v>
      </c>
      <c r="B27" s="261" t="str">
        <f>IFERROR(__xludf.DUMMYFUNCTION("if(ISBLANK(A27),"""",GOOGLEFINANCE(A27,""NAME""))"),"Gillette India Ltd")</f>
        <v>Gillette India Ltd</v>
      </c>
      <c r="C27" s="261" t="str">
        <f t="shared" si="1"/>
        <v>Buy</v>
      </c>
      <c r="D27" s="262" t="str">
        <f t="shared" si="2"/>
        <v>Buy</v>
      </c>
      <c r="E27" s="263" t="str">
        <f t="shared" si="3"/>
        <v>Mid cap</v>
      </c>
      <c r="F27" s="263">
        <f>IFERROR(__xludf.DUMMYFUNCTION("if(ISBLANK(A27),"""",GOOGLEFINANCE(A27,""price""))"),7862.0)</f>
        <v>7862</v>
      </c>
      <c r="G27" s="263" t="str">
        <f t="shared" si="4"/>
        <v>Buy@CMP</v>
      </c>
      <c r="H27" s="264">
        <f>IFERROR(__xludf.DUMMYFUNCTION("if(ISBLANK(A27),"""",GOOGLEFINANCE(A27,""CHANGEPCT"")/100)"),0.0115)</f>
        <v>0.0115</v>
      </c>
      <c r="I27" s="263">
        <f>IFERROR(__xludf.DUMMYFUNCTION("if(ISBLANK(A27),"""",GOOGLEFINANCE(A27,""HIGH52""))"),11500.0)</f>
        <v>11500</v>
      </c>
      <c r="J27" s="263">
        <f>IFERROR(__xludf.DUMMYFUNCTION("if(ISBLANK(A27),"""",GOOGLEFINANCE(A27,""LOW52""))"),7206.0)</f>
        <v>7206</v>
      </c>
      <c r="K27" s="264">
        <f t="shared" si="5"/>
        <v>-0.3163478261</v>
      </c>
      <c r="L27" s="265">
        <v>0.0</v>
      </c>
      <c r="M27" s="266" t="str">
        <f t="shared" si="6"/>
        <v>|||</v>
      </c>
      <c r="N27" s="267">
        <f>IFERROR(__xludf.DUMMYFUNCTION("if(ISBLANK(A27),"""",googlefinance(A27,""Marketcap"")/1000000000)"),256.18492102)</f>
        <v>256.184921</v>
      </c>
      <c r="O27" s="268"/>
    </row>
    <row r="28">
      <c r="A28" s="270" t="s">
        <v>190</v>
      </c>
      <c r="B28" s="261" t="str">
        <f>IFERROR(__xludf.DUMMYFUNCTION("if(ISBLANK(A28),"""",GOOGLEFINANCE(A28,""NAME""))"),"Hindustan Aeronautics Ltd")</f>
        <v>Hindustan Aeronautics Ltd</v>
      </c>
      <c r="C28" s="261" t="str">
        <f t="shared" si="1"/>
        <v>Buy</v>
      </c>
      <c r="D28" s="262" t="str">
        <f t="shared" si="2"/>
        <v>Hold</v>
      </c>
      <c r="E28" s="263" t="str">
        <f t="shared" si="3"/>
        <v>Large cap</v>
      </c>
      <c r="F28" s="263">
        <f>IFERROR(__xludf.DUMMYFUNCTION("if(ISBLANK(A28),"""",GOOGLEFINANCE(A28,""price""))"),4401.0)</f>
        <v>4401</v>
      </c>
      <c r="G28" s="263" t="str">
        <f t="shared" si="4"/>
        <v>Buy@CMP</v>
      </c>
      <c r="H28" s="264">
        <f>IFERROR(__xludf.DUMMYFUNCTION("if(ISBLANK(A28),"""",GOOGLEFINANCE(A28,""CHANGEPCT"")/100)"),-0.0089)</f>
        <v>-0.0089</v>
      </c>
      <c r="I28" s="263">
        <f>IFERROR(__xludf.DUMMYFUNCTION("if(ISBLANK(A28),"""",GOOGLEFINANCE(A28,""HIGH52""))"),5065.0)</f>
        <v>5065</v>
      </c>
      <c r="J28" s="263">
        <f>IFERROR(__xludf.DUMMYFUNCTION("if(ISBLANK(A28),"""",GOOGLEFINANCE(A28,""LOW52""))"),3479.1)</f>
        <v>3479.1</v>
      </c>
      <c r="K28" s="264">
        <f t="shared" si="5"/>
        <v>-0.1310957552</v>
      </c>
      <c r="L28" s="265">
        <v>0.0</v>
      </c>
      <c r="M28" s="266" t="str">
        <f t="shared" si="6"/>
        <v>||</v>
      </c>
      <c r="N28" s="267">
        <f>IFERROR(__xludf.DUMMYFUNCTION("if(ISBLANK(A28),"""",googlefinance(A28,""Marketcap"")/1000000000)"),2942.895888)</f>
        <v>2942.895888</v>
      </c>
      <c r="O28" s="268"/>
    </row>
    <row r="29">
      <c r="A29" s="271" t="s">
        <v>204</v>
      </c>
      <c r="B29" s="261" t="str">
        <f>IFERROR(__xludf.DUMMYFUNCTION("if(ISBLANK(A29),"""",GOOGLEFINANCE(A29,""NAME""))"),"Hindware Home Innovation Ltd")</f>
        <v>Hindware Home Innovation Ltd</v>
      </c>
      <c r="C29" s="261" t="str">
        <f t="shared" si="1"/>
        <v>Buy</v>
      </c>
      <c r="D29" s="262" t="str">
        <f t="shared" si="2"/>
        <v>Buy</v>
      </c>
      <c r="E29" s="263" t="str">
        <f t="shared" si="3"/>
        <v>Small cap</v>
      </c>
      <c r="F29" s="263">
        <f>IFERROR(__xludf.DUMMYFUNCTION("if(ISBLANK(A29),"""",GOOGLEFINANCE(A29,""price""))"),249.95)</f>
        <v>249.95</v>
      </c>
      <c r="G29" s="263" t="str">
        <f t="shared" si="4"/>
        <v>Buy@CMP</v>
      </c>
      <c r="H29" s="264">
        <f>IFERROR(__xludf.DUMMYFUNCTION("if(ISBLANK(A29),"""",GOOGLEFINANCE(A29,""CHANGEPCT"")/100)"),0.0)</f>
        <v>0</v>
      </c>
      <c r="I29" s="263">
        <f>IFERROR(__xludf.DUMMYFUNCTION("if(ISBLANK(A29),"""",GOOGLEFINANCE(A29,""HIGH52""))"),392.7)</f>
        <v>392.7</v>
      </c>
      <c r="J29" s="263">
        <f>IFERROR(__xludf.DUMMYFUNCTION("if(ISBLANK(A29),"""",GOOGLEFINANCE(A29,""LOW52""))"),170.5)</f>
        <v>170.5</v>
      </c>
      <c r="K29" s="264">
        <f t="shared" si="5"/>
        <v>-0.36350904</v>
      </c>
      <c r="L29" s="265">
        <v>0.0</v>
      </c>
      <c r="M29" s="266" t="str">
        <f t="shared" si="6"/>
        <v>||||</v>
      </c>
      <c r="N29" s="267">
        <f>IFERROR(__xludf.DUMMYFUNCTION("if(ISBLANK(A29),"""",googlefinance(A29,""Marketcap"")/1000000000)"),20.907409926)</f>
        <v>20.90740993</v>
      </c>
      <c r="O29" s="268"/>
    </row>
    <row r="30">
      <c r="A30" s="270" t="s">
        <v>205</v>
      </c>
      <c r="B30" s="261" t="str">
        <f>IFERROR(__xludf.DUMMYFUNCTION("if(ISBLANK(A30),"""",GOOGLEFINANCE(A30,""NAME""))"),"Megastar Foods Ltd")</f>
        <v>Megastar Foods Ltd</v>
      </c>
      <c r="C30" s="261" t="str">
        <f t="shared" si="1"/>
        <v>Hold</v>
      </c>
      <c r="D30" s="262" t="str">
        <f t="shared" si="2"/>
        <v>Hold</v>
      </c>
      <c r="E30" s="263" t="str">
        <f t="shared" si="3"/>
        <v>Small cap</v>
      </c>
      <c r="F30" s="263">
        <f>IFERROR(__xludf.DUMMYFUNCTION("if(ISBLANK(A30),"""",GOOGLEFINANCE(A30,""price""))"),369.0)</f>
        <v>369</v>
      </c>
      <c r="G30" s="263" t="str">
        <f t="shared" si="4"/>
        <v>Buy@CMP</v>
      </c>
      <c r="H30" s="264">
        <f>IFERROR(__xludf.DUMMYFUNCTION("if(ISBLANK(A30),"""",GOOGLEFINANCE(A30,""CHANGEPCT"")/100)"),0.0033)</f>
        <v>0.0033</v>
      </c>
      <c r="I30" s="263">
        <f>IFERROR(__xludf.DUMMYFUNCTION("if(ISBLANK(A30),"""",GOOGLEFINANCE(A30,""HIGH52""))"),377.0)</f>
        <v>377</v>
      </c>
      <c r="J30" s="263">
        <f>IFERROR(__xludf.DUMMYFUNCTION("if(ISBLANK(A30),"""",GOOGLEFINANCE(A30,""LOW52""))"),203.0)</f>
        <v>203</v>
      </c>
      <c r="K30" s="264">
        <f t="shared" si="5"/>
        <v>-0.02122015915</v>
      </c>
      <c r="L30" s="265">
        <v>0.0</v>
      </c>
      <c r="M30" s="266" t="str">
        <f t="shared" si="6"/>
        <v>||||</v>
      </c>
      <c r="N30" s="267">
        <f>IFERROR(__xludf.DUMMYFUNCTION("if(ISBLANK(A30),"""",googlefinance(A30,""Marketcap"")/1000000000)"),4.1673753)</f>
        <v>4.1673753</v>
      </c>
      <c r="O30" s="268"/>
    </row>
    <row r="31">
      <c r="A31" s="271" t="s">
        <v>206</v>
      </c>
      <c r="B31" s="261" t="str">
        <f>IFERROR(__xludf.DUMMYFUNCTION("if(ISBLANK(A31),"""",GOOGLEFINANCE(A31,""NAME""))"),"Metropolis Healthcare Ltd")</f>
        <v>Metropolis Healthcare Ltd</v>
      </c>
      <c r="C31" s="261" t="str">
        <f t="shared" si="1"/>
        <v>Hold</v>
      </c>
      <c r="D31" s="262" t="str">
        <f t="shared" si="2"/>
        <v>Hold</v>
      </c>
      <c r="E31" s="263" t="str">
        <f t="shared" si="3"/>
        <v>Mid cap</v>
      </c>
      <c r="F31" s="263">
        <f>IFERROR(__xludf.DUMMYFUNCTION("if(ISBLANK(A31),"""",GOOGLEFINANCE(A31,""price""))"),563.6)</f>
        <v>563.6</v>
      </c>
      <c r="G31" s="263" t="str">
        <f t="shared" si="4"/>
        <v>Buy@CMP</v>
      </c>
      <c r="H31" s="264">
        <f>IFERROR(__xludf.DUMMYFUNCTION("if(ISBLANK(A31),"""",GOOGLEFINANCE(A31,""CHANGEPCT"")/100)"),-0.0173)</f>
        <v>-0.0173</v>
      </c>
      <c r="I31" s="263">
        <f>IFERROR(__xludf.DUMMYFUNCTION("if(ISBLANK(A31),"""",GOOGLEFINANCE(A31,""HIGH52""))"),600.0)</f>
        <v>600</v>
      </c>
      <c r="J31" s="263">
        <f>IFERROR(__xludf.DUMMYFUNCTION("if(ISBLANK(A31),"""",GOOGLEFINANCE(A31,""LOW52""))"),412.25)</f>
        <v>412.25</v>
      </c>
      <c r="K31" s="264">
        <f t="shared" si="5"/>
        <v>-0.06066666667</v>
      </c>
      <c r="L31" s="265">
        <v>0.0</v>
      </c>
      <c r="M31" s="266" t="str">
        <f t="shared" si="6"/>
        <v>|||</v>
      </c>
      <c r="N31" s="267">
        <f>IFERROR(__xludf.DUMMYFUNCTION("if(ISBLANK(A31),"""",googlefinance(A31,""Marketcap"")/1000000000)"),116.852310138)</f>
        <v>116.8523101</v>
      </c>
      <c r="O31" s="268"/>
    </row>
    <row r="32">
      <c r="A32" s="270" t="s">
        <v>207</v>
      </c>
      <c r="B32" s="261" t="str">
        <f>IFERROR(__xludf.DUMMYFUNCTION("if(ISBLANK(A32),"""",GOOGLEFINANCE(A32,""NAME""))"),"Mahindra Holidays and Resorts India Ltd")</f>
        <v>Mahindra Holidays and Resorts India Ltd</v>
      </c>
      <c r="C32" s="261" t="str">
        <f t="shared" si="1"/>
        <v>Buy</v>
      </c>
      <c r="D32" s="262" t="str">
        <f t="shared" si="2"/>
        <v>Buy</v>
      </c>
      <c r="E32" s="263" t="str">
        <f t="shared" si="3"/>
        <v>Small cap</v>
      </c>
      <c r="F32" s="263">
        <f>IFERROR(__xludf.DUMMYFUNCTION("if(ISBLANK(A32),"""",GOOGLEFINANCE(A32,""price""))"),232.0)</f>
        <v>232</v>
      </c>
      <c r="G32" s="263" t="str">
        <f t="shared" si="4"/>
        <v>Buy@CMP</v>
      </c>
      <c r="H32" s="264">
        <f>IFERROR(__xludf.DUMMYFUNCTION("if(ISBLANK(A32),"""",GOOGLEFINANCE(A32,""CHANGEPCT"")/100)"),-0.0022)</f>
        <v>-0.0022</v>
      </c>
      <c r="I32" s="263">
        <f>IFERROR(__xludf.DUMMYFUNCTION("if(ISBLANK(A32),"""",GOOGLEFINANCE(A32,""HIGH52""))"),382.0)</f>
        <v>382</v>
      </c>
      <c r="J32" s="263">
        <f>IFERROR(__xludf.DUMMYFUNCTION("if(ISBLANK(A32),"""",GOOGLEFINANCE(A32,""LOW52""))"),208.22)</f>
        <v>208.22</v>
      </c>
      <c r="K32" s="264">
        <f t="shared" si="5"/>
        <v>-0.3926701571</v>
      </c>
      <c r="L32" s="265">
        <v>0.0</v>
      </c>
      <c r="M32" s="266" t="str">
        <f t="shared" si="6"/>
        <v>||||</v>
      </c>
      <c r="N32" s="267">
        <f>IFERROR(__xludf.DUMMYFUNCTION("if(ISBLANK(A32),"""",googlefinance(A32,""Marketcap"")/1000000000)"),46.791964)</f>
        <v>46.791964</v>
      </c>
      <c r="O32" s="268"/>
    </row>
    <row r="33">
      <c r="A33" s="270" t="s">
        <v>208</v>
      </c>
      <c r="B33" s="261" t="str">
        <f>IFERROR(__xludf.DUMMYFUNCTION("if(ISBLANK(A33),"""",GOOGLEFINANCE(A33,""NAME""))"),"Motherson Sumi Wiring India Ltd")</f>
        <v>Motherson Sumi Wiring India Ltd</v>
      </c>
      <c r="C33" s="261" t="str">
        <f t="shared" si="1"/>
        <v>Buy</v>
      </c>
      <c r="D33" s="262" t="str">
        <f t="shared" si="2"/>
        <v>Buy</v>
      </c>
      <c r="E33" s="263" t="str">
        <f t="shared" si="3"/>
        <v>Mid cap</v>
      </c>
      <c r="F33" s="263">
        <f>IFERROR(__xludf.DUMMYFUNCTION("if(ISBLANK(A33),"""",GOOGLEFINANCE(A33,""price""))"),41.35)</f>
        <v>41.35</v>
      </c>
      <c r="G33" s="263" t="str">
        <f t="shared" si="4"/>
        <v>Buy@CMP</v>
      </c>
      <c r="H33" s="264">
        <f>IFERROR(__xludf.DUMMYFUNCTION("if(ISBLANK(A33),"""",GOOGLEFINANCE(A33,""CHANGEPCT"")/100)"),0.0076)</f>
        <v>0.0076</v>
      </c>
      <c r="I33" s="263">
        <f>IFERROR(__xludf.DUMMYFUNCTION("if(ISBLANK(A33),"""",GOOGLEFINANCE(A33,""HIGH52""))"),53.59)</f>
        <v>53.59</v>
      </c>
      <c r="J33" s="263">
        <f>IFERROR(__xludf.DUMMYFUNCTION("if(ISBLANK(A33),"""",GOOGLEFINANCE(A33,""LOW52""))"),35.7)</f>
        <v>35.7</v>
      </c>
      <c r="K33" s="264">
        <f t="shared" si="5"/>
        <v>-0.228400821</v>
      </c>
      <c r="L33" s="265">
        <v>0.0</v>
      </c>
      <c r="M33" s="266" t="str">
        <f t="shared" si="6"/>
        <v>|||</v>
      </c>
      <c r="N33" s="267">
        <f>IFERROR(__xludf.DUMMYFUNCTION("if(ISBLANK(A33),"""",googlefinance(A33,""Marketcap"")/1000000000)"),182.547512077)</f>
        <v>182.5475121</v>
      </c>
      <c r="O33" s="268"/>
    </row>
    <row r="34">
      <c r="A34" s="270" t="s">
        <v>209</v>
      </c>
      <c r="B34" s="261" t="str">
        <f>IFERROR(__xludf.DUMMYFUNCTION("if(ISBLANK(A34),"""",GOOGLEFINANCE(A34,""NAME""))"),"NHPC Ltd")</f>
        <v>NHPC Ltd</v>
      </c>
      <c r="C34" s="261" t="str">
        <f t="shared" si="1"/>
        <v>Buy</v>
      </c>
      <c r="D34" s="262" t="str">
        <f t="shared" si="2"/>
        <v>Hold</v>
      </c>
      <c r="E34" s="263" t="str">
        <f t="shared" si="3"/>
        <v>Mid cap</v>
      </c>
      <c r="F34" s="263">
        <f>IFERROR(__xludf.DUMMYFUNCTION("if(ISBLANK(A34),"""",GOOGLEFINANCE(A34,""price""))"),78.9)</f>
        <v>78.9</v>
      </c>
      <c r="G34" s="263" t="str">
        <f t="shared" si="4"/>
        <v>Buy@CMP</v>
      </c>
      <c r="H34" s="264">
        <f>IFERROR(__xludf.DUMMYFUNCTION("if(ISBLANK(A34),"""",GOOGLEFINANCE(A34,""CHANGEPCT"")/100)"),-0.011899999999999999)</f>
        <v>-0.0119</v>
      </c>
      <c r="I34" s="263">
        <f>IFERROR(__xludf.DUMMYFUNCTION("if(ISBLANK(A34),"""",GOOGLEFINANCE(A34,""HIGH52""))"),89.75)</f>
        <v>89.75</v>
      </c>
      <c r="J34" s="263">
        <f>IFERROR(__xludf.DUMMYFUNCTION("if(ISBLANK(A34),"""",GOOGLEFINANCE(A34,""LOW52""))"),71.62)</f>
        <v>71.62</v>
      </c>
      <c r="K34" s="264">
        <f t="shared" si="5"/>
        <v>-0.1208913649</v>
      </c>
      <c r="L34" s="265">
        <v>0.0</v>
      </c>
      <c r="M34" s="266" t="str">
        <f t="shared" si="6"/>
        <v>||</v>
      </c>
      <c r="N34" s="267">
        <f>IFERROR(__xludf.DUMMYFUNCTION("if(ISBLANK(A34),"""",googlefinance(A34,""Marketcap"")/1000000000)"),792.369834323)</f>
        <v>792.3698343</v>
      </c>
      <c r="O34" s="268"/>
    </row>
    <row r="35">
      <c r="A35" s="270" t="s">
        <v>210</v>
      </c>
      <c r="B35" s="261" t="str">
        <f>IFERROR(__xludf.DUMMYFUNCTION("if(ISBLANK(A35),"""",GOOGLEFINANCE(A35,""NAME""))"),"Rossari Biotech Ltd")</f>
        <v>Rossari Biotech Ltd</v>
      </c>
      <c r="C35" s="261" t="str">
        <f t="shared" si="1"/>
        <v>Buy</v>
      </c>
      <c r="D35" s="262" t="str">
        <f t="shared" si="2"/>
        <v>Buy</v>
      </c>
      <c r="E35" s="263" t="str">
        <f t="shared" si="3"/>
        <v>Small cap</v>
      </c>
      <c r="F35" s="263">
        <f>IFERROR(__xludf.DUMMYFUNCTION("if(ISBLANK(A35),"""",GOOGLEFINANCE(A35,""price""))"),518.9)</f>
        <v>518.9</v>
      </c>
      <c r="G35" s="263" t="str">
        <f t="shared" si="4"/>
        <v>Buy@CMP</v>
      </c>
      <c r="H35" s="264">
        <f>IFERROR(__xludf.DUMMYFUNCTION("if(ISBLANK(A35),"""",GOOGLEFINANCE(A35,""CHANGEPCT"")/100)"),-0.0229)</f>
        <v>-0.0229</v>
      </c>
      <c r="I35" s="263">
        <f>IFERROR(__xludf.DUMMYFUNCTION("if(ISBLANK(A35),"""",GOOGLEFINANCE(A35,""HIGH52""))"),766.0)</f>
        <v>766</v>
      </c>
      <c r="J35" s="263">
        <f>IFERROR(__xludf.DUMMYFUNCTION("if(ISBLANK(A35),"""",GOOGLEFINANCE(A35,""LOW52""))"),375.0)</f>
        <v>375</v>
      </c>
      <c r="K35" s="264">
        <f t="shared" si="5"/>
        <v>-0.3225848564</v>
      </c>
      <c r="L35" s="265">
        <v>0.0</v>
      </c>
      <c r="M35" s="266" t="str">
        <f t="shared" si="6"/>
        <v>||||</v>
      </c>
      <c r="N35" s="267">
        <f>IFERROR(__xludf.DUMMYFUNCTION("if(ISBLANK(A35),"""",googlefinance(A35,""Marketcap"")/1000000000)"),28.74271297)</f>
        <v>28.74271297</v>
      </c>
      <c r="O35" s="268"/>
    </row>
    <row r="36">
      <c r="A36" s="271" t="s">
        <v>211</v>
      </c>
      <c r="B36" s="261" t="str">
        <f>IFERROR(__xludf.DUMMYFUNCTION("if(ISBLANK(A36),"""",GOOGLEFINANCE(A36,""NAME""))"),"Route Mobile Ltd")</f>
        <v>Route Mobile Ltd</v>
      </c>
      <c r="C36" s="261" t="str">
        <f t="shared" si="1"/>
        <v>Buy</v>
      </c>
      <c r="D36" s="262" t="str">
        <f t="shared" si="2"/>
        <v>Buy</v>
      </c>
      <c r="E36" s="263" t="str">
        <f t="shared" si="3"/>
        <v>Small cap</v>
      </c>
      <c r="F36" s="263">
        <f>IFERROR(__xludf.DUMMYFUNCTION("if(ISBLANK(A36),"""",GOOGLEFINANCE(A36,""price""))"),555.0)</f>
        <v>555</v>
      </c>
      <c r="G36" s="263" t="str">
        <f t="shared" si="4"/>
        <v>Buy@CMP</v>
      </c>
      <c r="H36" s="264">
        <f>IFERROR(__xludf.DUMMYFUNCTION("if(ISBLANK(A36),"""",GOOGLEFINANCE(A36,""CHANGEPCT"")/100)"),0.0101)</f>
        <v>0.0101</v>
      </c>
      <c r="I36" s="263">
        <f>IFERROR(__xludf.DUMMYFUNCTION("if(ISBLANK(A36),"""",GOOGLEFINANCE(A36,""HIGH52""))"),1028.0)</f>
        <v>1028</v>
      </c>
      <c r="J36" s="263">
        <f>IFERROR(__xludf.DUMMYFUNCTION("if(ISBLANK(A36),"""",GOOGLEFINANCE(A36,""LOW52""))"),410.7)</f>
        <v>410.7</v>
      </c>
      <c r="K36" s="264">
        <f t="shared" si="5"/>
        <v>-0.4601167315</v>
      </c>
      <c r="L36" s="265">
        <v>0.0</v>
      </c>
      <c r="M36" s="266" t="str">
        <f t="shared" si="6"/>
        <v>||||</v>
      </c>
      <c r="N36" s="267">
        <f>IFERROR(__xludf.DUMMYFUNCTION("if(ISBLANK(A36),"""",googlefinance(A36,""Marketcap"")/1000000000)"),34.92589956)</f>
        <v>34.92589956</v>
      </c>
      <c r="O36" s="268"/>
    </row>
    <row r="37">
      <c r="A37" s="270" t="s">
        <v>212</v>
      </c>
      <c r="B37" s="261" t="str">
        <f>IFERROR(__xludf.DUMMYFUNCTION("if(ISBLANK(A37),"""",GOOGLEFINANCE(A37,""NAME""))"),"Solar Industries India Ltd")</f>
        <v>Solar Industries India Ltd</v>
      </c>
      <c r="C37" s="261" t="str">
        <f t="shared" si="1"/>
        <v>Hold</v>
      </c>
      <c r="D37" s="262" t="str">
        <f t="shared" si="2"/>
        <v>Hold</v>
      </c>
      <c r="E37" s="263" t="str">
        <f t="shared" si="3"/>
        <v>Large cap</v>
      </c>
      <c r="F37" s="263">
        <f>IFERROR(__xludf.DUMMYFUNCTION("if(ISBLANK(A37),"""",GOOGLEFINANCE(A37,""price""))"),18247.0)</f>
        <v>18247</v>
      </c>
      <c r="G37" s="263" t="str">
        <f t="shared" si="4"/>
        <v>Buy@CMP</v>
      </c>
      <c r="H37" s="264">
        <f>IFERROR(__xludf.DUMMYFUNCTION("if(ISBLANK(A37),"""",GOOGLEFINANCE(A37,""CHANGEPCT"")/100)"),-0.0158)</f>
        <v>-0.0158</v>
      </c>
      <c r="I37" s="263">
        <f>IFERROR(__xludf.DUMMYFUNCTION("if(ISBLANK(A37),"""",GOOGLEFINANCE(A37,""HIGH52""))"),18972.0)</f>
        <v>18972</v>
      </c>
      <c r="J37" s="263">
        <f>IFERROR(__xludf.DUMMYFUNCTION("if(ISBLANK(A37),"""",GOOGLEFINANCE(A37,""LOW52""))"),11646.0)</f>
        <v>11646</v>
      </c>
      <c r="K37" s="264">
        <f t="shared" si="5"/>
        <v>-0.03821421042</v>
      </c>
      <c r="L37" s="265">
        <v>0.0</v>
      </c>
      <c r="M37" s="266" t="str">
        <f t="shared" si="6"/>
        <v>||</v>
      </c>
      <c r="N37" s="267">
        <f>IFERROR(__xludf.DUMMYFUNCTION("if(ISBLANK(A37),"""",googlefinance(A37,""Marketcap"")/1000000000)"),1651.17212482)</f>
        <v>1651.172125</v>
      </c>
      <c r="O37" s="268"/>
    </row>
    <row r="38">
      <c r="A38" s="271" t="s">
        <v>213</v>
      </c>
      <c r="B38" s="261" t="str">
        <f>IFERROR(__xludf.DUMMYFUNCTION("if(ISBLANK(A38),"""",GOOGLEFINANCE(A38,""NAME""))"),"Sona Blw Precision Forgings Ltd")</f>
        <v>Sona Blw Precision Forgings Ltd</v>
      </c>
      <c r="C38" s="261" t="str">
        <f t="shared" si="1"/>
        <v>Hold</v>
      </c>
      <c r="D38" s="262" t="str">
        <f t="shared" si="2"/>
        <v>Hold</v>
      </c>
      <c r="E38" s="263" t="str">
        <f t="shared" si="3"/>
        <v>Mid cap</v>
      </c>
      <c r="F38" s="263">
        <f>IFERROR(__xludf.DUMMYFUNCTION("if(ISBLANK(A38),"""",GOOGLEFINANCE(A38,""price""))"),668.95)</f>
        <v>668.95</v>
      </c>
      <c r="G38" s="263" t="str">
        <f t="shared" si="4"/>
        <v>Buy@CMP</v>
      </c>
      <c r="H38" s="264">
        <f>IFERROR(__xludf.DUMMYFUNCTION("if(ISBLANK(A38),"""",GOOGLEFINANCE(A38,""CHANGEPCT"")/100)"),0.0022)</f>
        <v>0.0022</v>
      </c>
      <c r="I38" s="263">
        <f>IFERROR(__xludf.DUMMYFUNCTION("if(ISBLANK(A38),"""",GOOGLEFINANCE(A38,""HIGH52""))"),674.0)</f>
        <v>674</v>
      </c>
      <c r="J38" s="263">
        <f>IFERROR(__xludf.DUMMYFUNCTION("if(ISBLANK(A38),"""",GOOGLEFINANCE(A38,""LOW52""))"),402.3)</f>
        <v>402.3</v>
      </c>
      <c r="K38" s="264">
        <f t="shared" si="5"/>
        <v>-0.007492581602</v>
      </c>
      <c r="L38" s="265">
        <v>0.0</v>
      </c>
      <c r="M38" s="266" t="str">
        <f t="shared" si="6"/>
        <v>||</v>
      </c>
      <c r="N38" s="267">
        <f>IFERROR(__xludf.DUMMYFUNCTION("if(ISBLANK(A38),"""",googlefinance(A38,""Marketcap"")/1000000000)"),416.110187053)</f>
        <v>416.1101871</v>
      </c>
      <c r="O38" s="268"/>
    </row>
    <row r="39">
      <c r="A39" s="270" t="s">
        <v>214</v>
      </c>
      <c r="B39" s="261" t="str">
        <f>IFERROR(__xludf.DUMMYFUNCTION("if(ISBLANK(A39),"""",GOOGLEFINANCE(A39,""NAME""))"),"Talbros Automotive Components Ltd")</f>
        <v>Talbros Automotive Components Ltd</v>
      </c>
      <c r="C39" s="261" t="str">
        <f t="shared" si="1"/>
        <v>Hold</v>
      </c>
      <c r="D39" s="262" t="str">
        <f t="shared" si="2"/>
        <v>Hold</v>
      </c>
      <c r="E39" s="263" t="str">
        <f t="shared" si="3"/>
        <v>Small cap</v>
      </c>
      <c r="F39" s="263">
        <f>IFERROR(__xludf.DUMMYFUNCTION("if(ISBLANK(A39),"""",GOOGLEFINANCE(A39,""price""))"),401.0)</f>
        <v>401</v>
      </c>
      <c r="G39" s="263" t="str">
        <f t="shared" si="4"/>
        <v>Buy@CMP</v>
      </c>
      <c r="H39" s="264">
        <f>IFERROR(__xludf.DUMMYFUNCTION("if(ISBLANK(A39),"""",GOOGLEFINANCE(A39,""CHANGEPCT"")/100)"),-0.024700000000000003)</f>
        <v>-0.0247</v>
      </c>
      <c r="I39" s="263">
        <f>IFERROR(__xludf.DUMMYFUNCTION("if(ISBLANK(A39),"""",GOOGLEFINANCE(A39,""HIGH52""))"),435.0)</f>
        <v>435</v>
      </c>
      <c r="J39" s="263">
        <f>IFERROR(__xludf.DUMMYFUNCTION("if(ISBLANK(A39),"""",GOOGLEFINANCE(A39,""LOW52""))"),219.9)</f>
        <v>219.9</v>
      </c>
      <c r="K39" s="264">
        <f t="shared" si="5"/>
        <v>-0.07816091954</v>
      </c>
      <c r="L39" s="265">
        <v>0.0</v>
      </c>
      <c r="M39" s="266" t="str">
        <f t="shared" si="6"/>
        <v>||||</v>
      </c>
      <c r="N39" s="267">
        <f>IFERROR(__xludf.DUMMYFUNCTION("if(ISBLANK(A39),"""",googlefinance(A39,""Marketcap"")/1000000000)"),24.728123565)</f>
        <v>24.72812357</v>
      </c>
      <c r="O39" s="268"/>
    </row>
    <row r="40">
      <c r="A40" s="271" t="s">
        <v>215</v>
      </c>
      <c r="B40" s="261" t="str">
        <f>IFERROR(__xludf.DUMMYFUNCTION("if(ISBLANK(A40),"""",GOOGLEFINANCE(A40,""NAME""))"),"Tatva Chintan Pharma Chem Ltd")</f>
        <v>Tatva Chintan Pharma Chem Ltd</v>
      </c>
      <c r="C40" s="261" t="str">
        <f t="shared" si="1"/>
        <v>Buy</v>
      </c>
      <c r="D40" s="262" t="str">
        <f t="shared" si="2"/>
        <v>Buy</v>
      </c>
      <c r="E40" s="263" t="str">
        <f t="shared" si="3"/>
        <v>Small cap</v>
      </c>
      <c r="F40" s="263">
        <f>IFERROR(__xludf.DUMMYFUNCTION("if(ISBLANK(A40),"""",GOOGLEFINANCE(A40,""price""))"),1240.0)</f>
        <v>1240</v>
      </c>
      <c r="G40" s="263" t="str">
        <f t="shared" si="4"/>
        <v>Buy@CMP</v>
      </c>
      <c r="H40" s="264">
        <f>IFERROR(__xludf.DUMMYFUNCTION("if(ISBLANK(A40),"""",GOOGLEFINANCE(A40,""CHANGEPCT"")/100)"),-0.0123)</f>
        <v>-0.0123</v>
      </c>
      <c r="I40" s="263">
        <f>IFERROR(__xludf.DUMMYFUNCTION("if(ISBLANK(A40),"""",GOOGLEFINANCE(A40,""HIGH52""))"),1610.0)</f>
        <v>1610</v>
      </c>
      <c r="J40" s="263">
        <f>IFERROR(__xludf.DUMMYFUNCTION("if(ISBLANK(A40),"""",GOOGLEFINANCE(A40,""LOW52""))"),919.75)</f>
        <v>919.75</v>
      </c>
      <c r="K40" s="264">
        <f t="shared" si="5"/>
        <v>-0.2298136646</v>
      </c>
      <c r="L40" s="265">
        <v>0.0</v>
      </c>
      <c r="M40" s="266" t="str">
        <f t="shared" si="6"/>
        <v>||||</v>
      </c>
      <c r="N40" s="267">
        <f>IFERROR(__xludf.DUMMYFUNCTION("if(ISBLANK(A40),"""",googlefinance(A40,""Marketcap"")/1000000000)"),29.006142)</f>
        <v>29.006142</v>
      </c>
      <c r="O40" s="268"/>
    </row>
    <row r="41">
      <c r="A41" s="270" t="s">
        <v>216</v>
      </c>
      <c r="B41" s="261" t="str">
        <f>IFERROR(__xludf.DUMMYFUNCTION("if(ISBLANK(A41),"""",GOOGLEFINANCE(A41,""NAME""))"),"Westlife Foodworld Ltd")</f>
        <v>Westlife Foodworld Ltd</v>
      </c>
      <c r="C41" s="261" t="str">
        <f t="shared" si="1"/>
        <v>Buy</v>
      </c>
      <c r="D41" s="262" t="str">
        <f t="shared" si="2"/>
        <v>Buy</v>
      </c>
      <c r="E41" s="263" t="str">
        <f t="shared" si="3"/>
        <v>Small cap</v>
      </c>
      <c r="F41" s="263">
        <f>IFERROR(__xludf.DUMMYFUNCTION("if(ISBLANK(A41),"""",GOOGLEFINANCE(A41,""price""))"),508.0)</f>
        <v>508</v>
      </c>
      <c r="G41" s="263" t="str">
        <f t="shared" si="4"/>
        <v>Buy@CMP</v>
      </c>
      <c r="H41" s="264">
        <f>IFERROR(__xludf.DUMMYFUNCTION("if(ISBLANK(A41),"""",GOOGLEFINANCE(A41,""CHANGEPCT"")/100)"),0.0092)</f>
        <v>0.0092</v>
      </c>
      <c r="I41" s="263">
        <f>IFERROR(__xludf.DUMMYFUNCTION("if(ISBLANK(A41),"""",GOOGLEFINANCE(A41,""HIGH52""))"),819.2)</f>
        <v>819.2</v>
      </c>
      <c r="J41" s="263">
        <f>IFERROR(__xludf.DUMMYFUNCTION("if(ISBLANK(A41),"""",GOOGLEFINANCE(A41,""LOW52""))"),398.4)</f>
        <v>398.4</v>
      </c>
      <c r="K41" s="264">
        <f t="shared" si="5"/>
        <v>-0.3798828125</v>
      </c>
      <c r="L41" s="265">
        <v>0.0</v>
      </c>
      <c r="M41" s="266" t="str">
        <f t="shared" si="6"/>
        <v>|||</v>
      </c>
      <c r="N41" s="267">
        <f>IFERROR(__xludf.DUMMYFUNCTION("if(ISBLANK(A41),"""",googlefinance(A41,""Marketcap"")/1000000000)"),78.8495756)</f>
        <v>78.8495756</v>
      </c>
      <c r="O41" s="268"/>
    </row>
    <row r="42">
      <c r="A42" s="271" t="s">
        <v>217</v>
      </c>
      <c r="B42" s="261" t="str">
        <f>IFERROR(__xludf.DUMMYFUNCTION("if(ISBLANK(A42),"""",GOOGLEFINANCE(A42,""NAME""))"),"Whirlpool Of India Ltd")</f>
        <v>Whirlpool Of India Ltd</v>
      </c>
      <c r="C42" s="261" t="str">
        <f t="shared" si="1"/>
        <v>Buy</v>
      </c>
      <c r="D42" s="262" t="str">
        <f t="shared" si="2"/>
        <v>Buy</v>
      </c>
      <c r="E42" s="263" t="str">
        <f t="shared" si="3"/>
        <v>Mid cap</v>
      </c>
      <c r="F42" s="263">
        <f>IFERROR(__xludf.DUMMYFUNCTION("if(ISBLANK(A42),"""",GOOGLEFINANCE(A42,""price""))"),800.1)</f>
        <v>800.1</v>
      </c>
      <c r="G42" s="263" t="str">
        <f t="shared" si="4"/>
        <v>Buy@CMP</v>
      </c>
      <c r="H42" s="264">
        <f>IFERROR(__xludf.DUMMYFUNCTION("if(ISBLANK(A42),"""",GOOGLEFINANCE(A42,""CHANGEPCT"")/100)"),-8.0E-4)</f>
        <v>-0.0008</v>
      </c>
      <c r="I42" s="263">
        <f>IFERROR(__xludf.DUMMYFUNCTION("if(ISBLANK(A42),"""",GOOGLEFINANCE(A42,""HIGH52""))"),1473.8)</f>
        <v>1473.8</v>
      </c>
      <c r="J42" s="263">
        <f>IFERROR(__xludf.DUMMYFUNCTION("if(ISBLANK(A42),"""",GOOGLEFINANCE(A42,""LOW52""))"),756.85)</f>
        <v>756.85</v>
      </c>
      <c r="K42" s="264">
        <f t="shared" si="5"/>
        <v>-0.457117655</v>
      </c>
      <c r="L42" s="265">
        <v>0.0</v>
      </c>
      <c r="M42" s="266" t="str">
        <f t="shared" si="6"/>
        <v>|||</v>
      </c>
      <c r="N42" s="267">
        <f>IFERROR(__xludf.DUMMYFUNCTION("if(ISBLANK(A42),"""",googlefinance(A42,""Marketcap"")/1000000000)"),101.4441669)</f>
        <v>101.4441669</v>
      </c>
      <c r="O42" s="268"/>
    </row>
    <row r="43">
      <c r="A43" s="270"/>
      <c r="B43" s="261"/>
      <c r="C43" s="261"/>
      <c r="D43" s="262"/>
      <c r="E43" s="263" t="str">
        <f t="shared" si="3"/>
        <v/>
      </c>
      <c r="F43" s="263"/>
      <c r="G43" s="263"/>
      <c r="H43" s="264"/>
      <c r="I43" s="263"/>
      <c r="J43" s="263"/>
      <c r="K43" s="272"/>
      <c r="L43" s="265"/>
      <c r="M43" s="266"/>
      <c r="N43" s="267"/>
      <c r="O43" s="268"/>
    </row>
    <row r="44">
      <c r="A44" s="273"/>
      <c r="B44" s="261" t="str">
        <f>IFERROR(__xludf.DUMMYFUNCTION("if(ISBLANK(A44),"""",GOOGLEFINANCE(A44,""NAME""))"),"")</f>
        <v/>
      </c>
      <c r="C44" s="261" t="str">
        <f t="shared" ref="C44:C49" si="7">if(ISBLANK(A44),"",if(K44&lt;-10%,"Buy","Hold"))</f>
        <v/>
      </c>
      <c r="D44" s="262" t="str">
        <f t="shared" ref="D44:D45" si="8">if(ISBLANK(A44),"",if(K44&lt;-15%,"Buy","Hold"))</f>
        <v/>
      </c>
      <c r="E44" s="263" t="str">
        <f t="shared" si="3"/>
        <v/>
      </c>
      <c r="F44" s="263" t="str">
        <f>IFERROR(__xludf.DUMMYFUNCTION("if(ISBLANK(A44),"""",GOOGLEFINANCE(A44,""price""))"),"")</f>
        <v/>
      </c>
      <c r="G44" s="263" t="str">
        <f t="shared" ref="G44:G49" si="9">if(ISBLANK(A44),"",if(L44=0,"Buy@CMP",if(F44&lt;L44,"Buy","Hold")))</f>
        <v/>
      </c>
      <c r="H44" s="264" t="str">
        <f>IFERROR(__xludf.DUMMYFUNCTION("if(ISBLANK(A44),"""",GOOGLEFINANCE(A44,""CHANGEPCT"")/100)"),"")</f>
        <v/>
      </c>
      <c r="I44" s="263" t="str">
        <f>IFERROR(__xludf.DUMMYFUNCTION("if(ISBLANK(A44),"""",GOOGLEFINANCE(A44,""HIGH52""))"),"")</f>
        <v/>
      </c>
      <c r="J44" s="263" t="str">
        <f>IFERROR(__xludf.DUMMYFUNCTION("if(ISBLANK(A44),"""",GOOGLEFINANCE(A44,""LOW52""))"),"")</f>
        <v/>
      </c>
      <c r="K44" s="272" t="str">
        <f>if(isblank(A44),"",(F44-I44)/I44)</f>
        <v/>
      </c>
      <c r="L44" s="265"/>
      <c r="M44" s="266" t="str">
        <f t="shared" ref="M44:M49" si="10">IF(ISBLANK(A44), "", IF(AND($N44 &gt;= 0, $N44 &lt;= 75), "||||", IF(AND($N44 &gt; 75, $N44 &lt;= 300), "|||", IF(AND($N44 &gt; 300, $N44 &lt;= 6000), "||", IF($N44 &gt; 6000, "|", "")))))
</f>
        <v/>
      </c>
      <c r="N44" s="267" t="str">
        <f>IFERROR(__xludf.DUMMYFUNCTION("if(ISBLANK(A44),"""",googlefinance(A44,""Marketcap"")/1000000000)"),"")</f>
        <v/>
      </c>
      <c r="O44" s="268"/>
    </row>
    <row r="45">
      <c r="A45" s="273"/>
      <c r="B45" s="261" t="str">
        <f>IFERROR(__xludf.DUMMYFUNCTION("if(ISBLANK(A45),"""",GOOGLEFINANCE(A45,""NAME""))"),"")</f>
        <v/>
      </c>
      <c r="C45" s="261" t="str">
        <f t="shared" si="7"/>
        <v/>
      </c>
      <c r="D45" s="262" t="str">
        <f t="shared" si="8"/>
        <v/>
      </c>
      <c r="E45" s="263" t="str">
        <f t="shared" si="3"/>
        <v/>
      </c>
      <c r="F45" s="263" t="str">
        <f>IFERROR(__xludf.DUMMYFUNCTION("if(ISBLANK(A45),"""",GOOGLEFINANCE(A45,""price""))"),"")</f>
        <v/>
      </c>
      <c r="G45" s="263" t="str">
        <f t="shared" si="9"/>
        <v/>
      </c>
      <c r="H45" s="264" t="str">
        <f>IFERROR(__xludf.DUMMYFUNCTION("if(ISBLANK(A45),"""",GOOGLEFINANCE(A45,""CHANGEPCT"")/100)"),"")</f>
        <v/>
      </c>
      <c r="I45" s="273"/>
      <c r="J45" s="263" t="str">
        <f>IFERROR(__xludf.DUMMYFUNCTION("if(ISBLANK(A45),"""",GOOGLEFINANCE(A45,""LOW52""))"),"")</f>
        <v/>
      </c>
      <c r="K45" s="273"/>
      <c r="L45" s="265"/>
      <c r="M45" s="266" t="str">
        <f t="shared" si="10"/>
        <v/>
      </c>
      <c r="N45" s="267" t="str">
        <f>IFERROR(__xludf.DUMMYFUNCTION("if(ISBLANK(A45),"""",googlefinance(A45,""Marketcap"")/1000000000)"),"")</f>
        <v/>
      </c>
      <c r="O45" s="268"/>
    </row>
    <row r="46">
      <c r="A46" s="273"/>
      <c r="B46" s="261" t="str">
        <f>IFERROR(__xludf.DUMMYFUNCTION("if(ISBLANK(A46),"""",GOOGLEFINANCE(A46,""NAME""))"),"")</f>
        <v/>
      </c>
      <c r="C46" s="261" t="str">
        <f t="shared" si="7"/>
        <v/>
      </c>
      <c r="D46" s="273"/>
      <c r="E46" s="263" t="str">
        <f t="shared" si="3"/>
        <v/>
      </c>
      <c r="F46" s="263" t="str">
        <f>IFERROR(__xludf.DUMMYFUNCTION("if(ISBLANK(A46),"""",GOOGLEFINANCE(A46,""price""))"),"")</f>
        <v/>
      </c>
      <c r="G46" s="263" t="str">
        <f t="shared" si="9"/>
        <v/>
      </c>
      <c r="H46" s="274"/>
      <c r="I46" s="273"/>
      <c r="J46" s="263" t="str">
        <f>IFERROR(__xludf.DUMMYFUNCTION("if(ISBLANK(A46),"""",GOOGLEFINANCE(A46,""LOW52""))"),"")</f>
        <v/>
      </c>
      <c r="K46" s="273"/>
      <c r="L46" s="265"/>
      <c r="M46" s="266" t="str">
        <f t="shared" si="10"/>
        <v/>
      </c>
      <c r="N46" s="267" t="str">
        <f>IFERROR(__xludf.DUMMYFUNCTION("if(ISBLANK(A46),"""",googlefinance(A46,""Marketcap"")/1000000000)"),"")</f>
        <v/>
      </c>
      <c r="O46" s="268"/>
    </row>
    <row r="47">
      <c r="A47" s="273"/>
      <c r="B47" s="273"/>
      <c r="C47" s="261" t="str">
        <f t="shared" si="7"/>
        <v/>
      </c>
      <c r="D47" s="273"/>
      <c r="E47" s="263" t="str">
        <f t="shared" si="3"/>
        <v/>
      </c>
      <c r="F47" s="263" t="str">
        <f>IFERROR(__xludf.DUMMYFUNCTION("if(ISBLANK(A47),"""",GOOGLEFINANCE(A47,""price""))"),"")</f>
        <v/>
      </c>
      <c r="G47" s="263" t="str">
        <f t="shared" si="9"/>
        <v/>
      </c>
      <c r="H47" s="274"/>
      <c r="I47" s="273"/>
      <c r="J47" s="273"/>
      <c r="K47" s="273"/>
      <c r="L47" s="265"/>
      <c r="M47" s="266" t="str">
        <f t="shared" si="10"/>
        <v/>
      </c>
      <c r="N47" s="275"/>
      <c r="O47" s="268"/>
    </row>
    <row r="48">
      <c r="A48" s="273"/>
      <c r="B48" s="273"/>
      <c r="C48" s="261" t="str">
        <f t="shared" si="7"/>
        <v/>
      </c>
      <c r="D48" s="273"/>
      <c r="E48" s="263" t="str">
        <f t="shared" si="3"/>
        <v/>
      </c>
      <c r="F48" s="263" t="str">
        <f>IFERROR(__xludf.DUMMYFUNCTION("if(ISBLANK(A48),"""",GOOGLEFINANCE(A48,""price""))"),"")</f>
        <v/>
      </c>
      <c r="G48" s="263" t="str">
        <f t="shared" si="9"/>
        <v/>
      </c>
      <c r="H48" s="274"/>
      <c r="I48" s="273"/>
      <c r="J48" s="273"/>
      <c r="K48" s="273"/>
      <c r="L48" s="265"/>
      <c r="M48" s="266" t="str">
        <f t="shared" si="10"/>
        <v/>
      </c>
      <c r="N48" s="275"/>
      <c r="O48" s="268"/>
    </row>
    <row r="49">
      <c r="A49" s="273"/>
      <c r="B49" s="273"/>
      <c r="C49" s="261" t="str">
        <f t="shared" si="7"/>
        <v/>
      </c>
      <c r="D49" s="273"/>
      <c r="E49" s="263" t="str">
        <f t="shared" si="3"/>
        <v/>
      </c>
      <c r="F49" s="273"/>
      <c r="G49" s="263" t="str">
        <f t="shared" si="9"/>
        <v/>
      </c>
      <c r="H49" s="274"/>
      <c r="I49" s="273"/>
      <c r="J49" s="273"/>
      <c r="K49" s="273"/>
      <c r="L49" s="265"/>
      <c r="M49" s="266" t="str">
        <f t="shared" si="10"/>
        <v/>
      </c>
      <c r="N49" s="275"/>
      <c r="O49" s="268"/>
    </row>
  </sheetData>
  <autoFilter ref="$A$15:$N$42"/>
  <mergeCells count="26">
    <mergeCell ref="A1:G1"/>
    <mergeCell ref="H1:N1"/>
    <mergeCell ref="A2:B2"/>
    <mergeCell ref="E2:F2"/>
    <mergeCell ref="G2:H2"/>
    <mergeCell ref="I2:N2"/>
    <mergeCell ref="E3:F3"/>
    <mergeCell ref="E6:F6"/>
    <mergeCell ref="G6:H6"/>
    <mergeCell ref="E7:F7"/>
    <mergeCell ref="G7:H7"/>
    <mergeCell ref="C8:D9"/>
    <mergeCell ref="E8:F9"/>
    <mergeCell ref="G8:H9"/>
    <mergeCell ref="C10:D11"/>
    <mergeCell ref="E10:F11"/>
    <mergeCell ref="G10:H11"/>
    <mergeCell ref="A12:N12"/>
    <mergeCell ref="A13:N14"/>
    <mergeCell ref="G3:H3"/>
    <mergeCell ref="I3:N3"/>
    <mergeCell ref="E4:F4"/>
    <mergeCell ref="G4:H4"/>
    <mergeCell ref="I4:N11"/>
    <mergeCell ref="E5:F5"/>
    <mergeCell ref="G5:H5"/>
  </mergeCells>
  <conditionalFormatting sqref="M16:M49">
    <cfRule type="cellIs" dxfId="21" priority="1" operator="equal">
      <formula>"|"</formula>
    </cfRule>
  </conditionalFormatting>
  <conditionalFormatting sqref="E16:E49 M16:M49">
    <cfRule type="cellIs" dxfId="6" priority="2" operator="equal">
      <formula>"Small cap"</formula>
    </cfRule>
  </conditionalFormatting>
  <conditionalFormatting sqref="E16:E49 M16:M49">
    <cfRule type="cellIs" dxfId="3" priority="3" operator="equal">
      <formula>"Mid cap"</formula>
    </cfRule>
  </conditionalFormatting>
  <conditionalFormatting sqref="E16:E49 M16:M49">
    <cfRule type="cellIs" dxfId="9" priority="4" operator="equal">
      <formula>"Large cap"</formula>
    </cfRule>
  </conditionalFormatting>
  <conditionalFormatting sqref="H16:H49">
    <cfRule type="cellIs" dxfId="8" priority="5" operator="greaterThan">
      <formula>0</formula>
    </cfRule>
  </conditionalFormatting>
  <conditionalFormatting sqref="H16:H49">
    <cfRule type="cellIs" dxfId="6" priority="6" operator="lessThan">
      <formula>0</formula>
    </cfRule>
  </conditionalFormatting>
  <conditionalFormatting sqref="H16:H49">
    <cfRule type="cellIs" dxfId="7" priority="7" operator="equal">
      <formula>0</formula>
    </cfRule>
  </conditionalFormatting>
  <conditionalFormatting sqref="K16:K49">
    <cfRule type="cellIs" dxfId="6" priority="8" operator="between">
      <formula>"-10%"</formula>
      <formula>"-15%"</formula>
    </cfRule>
  </conditionalFormatting>
  <conditionalFormatting sqref="K16:K49">
    <cfRule type="cellIs" dxfId="3" priority="9" operator="between">
      <formula>"-0.01%"</formula>
      <formula>"-10%"</formula>
    </cfRule>
  </conditionalFormatting>
  <conditionalFormatting sqref="K16:K49">
    <cfRule type="cellIs" dxfId="24" priority="10" operator="greaterThan">
      <formula>"0%"</formula>
    </cfRule>
  </conditionalFormatting>
  <conditionalFormatting sqref="M15:O49">
    <cfRule type="cellIs" dxfId="9" priority="11" operator="between">
      <formula>30000</formula>
      <formula>600000</formula>
    </cfRule>
  </conditionalFormatting>
  <conditionalFormatting sqref="M15:O49">
    <cfRule type="cellIs" dxfId="6" priority="12" operator="lessThan">
      <formula>7500</formula>
    </cfRule>
  </conditionalFormatting>
  <conditionalFormatting sqref="M16:M49">
    <cfRule type="cellIs" dxfId="9" priority="13" operator="equal">
      <formula>"||"</formula>
    </cfRule>
  </conditionalFormatting>
  <conditionalFormatting sqref="M16:M49">
    <cfRule type="cellIs" dxfId="3" priority="14" operator="equal">
      <formula>"|||"</formula>
    </cfRule>
  </conditionalFormatting>
  <conditionalFormatting sqref="M16:M49">
    <cfRule type="cellIs" dxfId="6" priority="15" operator="equal">
      <formula>"||||"</formula>
    </cfRule>
  </conditionalFormatting>
  <conditionalFormatting sqref="M15:O49">
    <cfRule type="cellIs" dxfId="3" priority="16" operator="between">
      <formula>7500</formula>
      <formula>30000</formula>
    </cfRule>
  </conditionalFormatting>
  <conditionalFormatting sqref="B6">
    <cfRule type="cellIs" dxfId="7" priority="17" operator="equal">
      <formula>"Hold"</formula>
    </cfRule>
  </conditionalFormatting>
  <conditionalFormatting sqref="B6">
    <cfRule type="cellIs" dxfId="8" priority="18" operator="equal">
      <formula>"Buy"</formula>
    </cfRule>
  </conditionalFormatting>
  <conditionalFormatting sqref="B5">
    <cfRule type="cellIs" dxfId="9" priority="19" operator="greaterThan">
      <formula>"0%"</formula>
    </cfRule>
  </conditionalFormatting>
  <conditionalFormatting sqref="B5">
    <cfRule type="cellIs" dxfId="3" priority="20" operator="between">
      <formula>"0.10%"</formula>
      <formula>"-10%"</formula>
    </cfRule>
  </conditionalFormatting>
  <conditionalFormatting sqref="B5">
    <cfRule type="cellIs" dxfId="6" priority="21" operator="lessThanOrEqual">
      <formula>"-10%"</formula>
    </cfRule>
  </conditionalFormatting>
  <conditionalFormatting sqref="K16:K49">
    <cfRule type="cellIs" dxfId="25" priority="22" operator="between">
      <formula>"-15%"</formula>
      <formula>"-20%"</formula>
    </cfRule>
  </conditionalFormatting>
  <conditionalFormatting sqref="K16:K49">
    <cfRule type="cellIs" dxfId="21" priority="23" operator="lessThan">
      <formula>"-20.10%"</formula>
    </cfRule>
  </conditionalFormatting>
  <conditionalFormatting sqref="C16:D49">
    <cfRule type="cellIs" dxfId="26" priority="24" operator="equal">
      <formula>"Hold"</formula>
    </cfRule>
  </conditionalFormatting>
  <conditionalFormatting sqref="C16:D49">
    <cfRule type="cellIs" dxfId="27" priority="25" operator="equal">
      <formula>"Buy"</formula>
    </cfRule>
  </conditionalFormatting>
  <conditionalFormatting sqref="G15:G49">
    <cfRule type="cellIs" dxfId="27" priority="26" operator="equal">
      <formula>"Buy"</formula>
    </cfRule>
  </conditionalFormatting>
  <conditionalFormatting sqref="G15:G49">
    <cfRule type="cellIs" dxfId="28" priority="27" operator="equal">
      <formula>"Hold"</formula>
    </cfRule>
  </conditionalFormatting>
  <conditionalFormatting sqref="M15:O49">
    <cfRule type="cellIs" dxfId="21" priority="28" operator="greaterThan">
      <formula>600000</formula>
    </cfRule>
  </conditionalFormatting>
  <conditionalFormatting sqref="E16:E49 M16:M49">
    <cfRule type="cellIs" dxfId="21" priority="29" operator="equal">
      <formula>"Mega cap"</formula>
    </cfRule>
  </conditionalFormatting>
  <conditionalFormatting sqref="C16:O49">
    <cfRule type="notContainsBlanks" dxfId="15" priority="30">
      <formula>LEN(TRIM(C16))&gt;0</formula>
    </cfRule>
  </conditionalFormatting>
  <conditionalFormatting sqref="H1:O1">
    <cfRule type="cellIs" dxfId="23" priority="31" operator="equal">
      <formula>"Market Open"</formula>
    </cfRule>
  </conditionalFormatting>
  <conditionalFormatting sqref="H1:O1">
    <cfRule type="cellIs" dxfId="17" priority="32" operator="equal">
      <formula>"Market Closed"</formula>
    </cfRule>
  </conditionalFormatting>
  <conditionalFormatting sqref="B16:B49">
    <cfRule type="cellIs" dxfId="18" priority="33" operator="equal">
      <formula>"Daikaffil Chemicals India Ltd"</formula>
    </cfRule>
  </conditionalFormatting>
  <conditionalFormatting sqref="B16:B49">
    <cfRule type="cellIs" dxfId="18" priority="34" operator="equal">
      <formula>"Allsec Technologies Ltd"</formula>
    </cfRule>
  </conditionalFormatting>
  <conditionalFormatting sqref="B16:B49">
    <cfRule type="cellIs" dxfId="18" priority="35" operator="equal">
      <formula>"BSE Ltd"</formula>
    </cfRule>
  </conditionalFormatting>
  <conditionalFormatting sqref="B16:B49">
    <cfRule type="cellIs" dxfId="18" priority="36" operator="equal">
      <formula>"CG power and Industrial Solutions Ltd"</formula>
    </cfRule>
  </conditionalFormatting>
  <conditionalFormatting sqref="B16:B49">
    <cfRule type="cellIs" dxfId="18" priority="37" operator="equal">
      <formula>"State Bank of India"</formula>
    </cfRule>
  </conditionalFormatting>
  <conditionalFormatting sqref="B16:B49">
    <cfRule type="cellIs" dxfId="18" priority="38" operator="equal">
      <formula>"Suzlon Energy Ltd"</formula>
    </cfRule>
  </conditionalFormatting>
  <conditionalFormatting sqref="B16:B49">
    <cfRule type="cellIs" dxfId="18" priority="39" operator="equal">
      <formula>"Tata Power Company Limited"</formula>
    </cfRule>
  </conditionalFormatting>
  <conditionalFormatting sqref="B16:B49">
    <cfRule type="cellIs" dxfId="18" priority="40" operator="equal">
      <formula>"Wonderla Holidays Ltd"</formula>
    </cfRule>
  </conditionalFormatting>
  <conditionalFormatting sqref="B16:B49">
    <cfRule type="cellIs" dxfId="18" priority="41" operator="equal">
      <formula>"ITC Ltd"</formula>
    </cfRule>
  </conditionalFormatting>
  <conditionalFormatting sqref="B16:B49">
    <cfRule type="cellIs" dxfId="18" priority="42" operator="equal">
      <formula>"Yes Bank Limited"</formula>
    </cfRule>
  </conditionalFormatting>
  <conditionalFormatting sqref="B16:B49">
    <cfRule type="cellIs" dxfId="19" priority="43" operator="equal">
      <formula>"Ircon International Ltd"</formula>
    </cfRule>
  </conditionalFormatting>
  <conditionalFormatting sqref="B16:B49">
    <cfRule type="cellIs" dxfId="19" priority="44" operator="equal">
      <formula>"Indian Railway Finance Corp Ltd"</formula>
    </cfRule>
  </conditionalFormatting>
  <conditionalFormatting sqref="B16:B49">
    <cfRule type="cellIs" dxfId="19" priority="45" operator="equal">
      <formula>"Rail Vikas Nigam Ltd"</formula>
    </cfRule>
  </conditionalFormatting>
  <conditionalFormatting sqref="B16:B49">
    <cfRule type="cellIs" dxfId="18" priority="46" operator="equal">
      <formula>"Tracxn Technologies Ltd"</formula>
    </cfRule>
  </conditionalFormatting>
  <conditionalFormatting sqref="B16:B49">
    <cfRule type="cellIs" dxfId="19" priority="47" operator="equal">
      <formula>"Railtel Corp Of India Ltd"</formula>
    </cfRule>
  </conditionalFormatting>
  <conditionalFormatting sqref="A13:O14">
    <cfRule type="containsText" dxfId="29" priority="48" operator="containsText" text="Fresh Shares">
      <formula>NOT(ISERROR(SEARCH(("Fresh Shares"),(A13))))</formula>
    </cfRule>
  </conditionalFormatting>
  <conditionalFormatting sqref="A13:B14 A16:B49">
    <cfRule type="notContainsBlanks" dxfId="20" priority="49">
      <formula>LEN(TRIM(A13))&gt;0</formula>
    </cfRule>
  </conditionalFormatting>
  <conditionalFormatting sqref="G10:H11">
    <cfRule type="cellIs" dxfId="30" priority="50" operator="lessThan">
      <formula>0</formula>
    </cfRule>
  </conditionalFormatting>
  <dataValidations>
    <dataValidation type="list" allowBlank="1" sqref="B3">
      <formula1>'Fresh Shares List'!$A$16:$A$49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7.5"/>
    <col customWidth="1" min="2" max="3" width="16.5"/>
    <col customWidth="1" min="4" max="4" width="33.38"/>
    <col customWidth="1" min="5" max="5" width="16.5"/>
    <col customWidth="1" min="6" max="6" width="21.5"/>
    <col customWidth="1" min="7" max="7" width="11.38"/>
    <col customWidth="1" min="8" max="8" width="9.38"/>
    <col customWidth="1" min="9" max="9" width="8.13"/>
    <col customWidth="1" min="10" max="10" width="2.88"/>
    <col customWidth="1" min="11" max="11" width="13.13"/>
    <col customWidth="1" min="12" max="12" width="16.38"/>
    <col customWidth="1" min="13" max="13" width="4.25"/>
    <col customWidth="1" min="14" max="14" width="7.88"/>
    <col customWidth="1" min="15" max="15" width="16.38"/>
    <col customWidth="1" min="16" max="16" width="4.25"/>
    <col customWidth="1" min="17" max="17" width="7.75"/>
    <col customWidth="1" min="18" max="18" width="16.38"/>
    <col customWidth="1" min="19" max="19" width="4.25"/>
    <col customWidth="1" min="20" max="20" width="7.88"/>
    <col customWidth="1" min="21" max="21" width="16.38"/>
    <col customWidth="1" min="22" max="22" width="4.25"/>
    <col customWidth="1" min="23" max="23" width="7.88"/>
    <col customWidth="1" min="24" max="24" width="16.38"/>
    <col customWidth="1" min="25" max="25" width="4.25"/>
    <col customWidth="1" min="26" max="26" width="7.88"/>
    <col customWidth="1" min="27" max="27" width="16.38"/>
    <col customWidth="1" min="28" max="28" width="4.25"/>
    <col customWidth="1" min="29" max="29" width="7.88"/>
    <col customWidth="1" min="30" max="30" width="16.25"/>
    <col customWidth="1" min="31" max="31" width="4.25"/>
    <col customWidth="1" min="32" max="32" width="7.75"/>
    <col customWidth="1" min="33" max="33" width="16.25"/>
    <col customWidth="1" min="34" max="34" width="4.25"/>
    <col customWidth="1" min="35" max="35" width="7.75"/>
    <col customWidth="1" min="36" max="36" width="16.25"/>
    <col customWidth="1" min="37" max="37" width="4.25"/>
    <col customWidth="1" min="38" max="38" width="7.88"/>
    <col customWidth="1" min="39" max="39" width="16.25"/>
    <col customWidth="1" min="40" max="40" width="4.25"/>
    <col customWidth="1" min="41" max="41" width="7.75"/>
    <col customWidth="1" min="42" max="42" width="16.25"/>
    <col customWidth="1" min="43" max="43" width="4.25"/>
    <col customWidth="1" min="44" max="44" width="7.75"/>
    <col customWidth="1" min="45" max="45" width="16.25"/>
    <col customWidth="1" min="46" max="46" width="5.38"/>
    <col customWidth="1" min="47" max="47" width="7.88"/>
    <col customWidth="1" min="48" max="48" width="16.25"/>
    <col customWidth="1" min="49" max="49" width="5.38"/>
    <col customWidth="1" min="50" max="50" width="7.88"/>
    <col customWidth="1" min="51" max="51" width="16.25"/>
    <col customWidth="1" min="52" max="52" width="5.38"/>
    <col customWidth="1" min="53" max="53" width="7.75"/>
    <col customWidth="1" min="54" max="54" width="16.25"/>
    <col customWidth="1" min="55" max="55" width="5.38"/>
    <col customWidth="1" min="56" max="56" width="7.88"/>
  </cols>
  <sheetData>
    <row r="1">
      <c r="A1" s="276"/>
      <c r="B1" s="277" t="s">
        <v>218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64"/>
    </row>
    <row r="2">
      <c r="A2" s="278"/>
      <c r="B2" s="279">
        <f>Now()</f>
        <v>46210.80511</v>
      </c>
      <c r="C2" s="13"/>
      <c r="D2" s="13"/>
      <c r="E2" s="13"/>
      <c r="F2" s="280" t="str">
        <f>if(OR((weekday(A1))=1,(weekday(A1))=7),"Market Closed",if(time(hour(now()),minute(now()),second(now()))&gt;TIME(15,30,0),"Market Closed",if((time(hour(now()),minute(now()),second(now()))&gt;TIME(9,15,0)),"Market Open","Market Closed")))</f>
        <v>Market Closed</v>
      </c>
      <c r="G2" s="13"/>
      <c r="H2" s="13"/>
      <c r="I2" s="13"/>
      <c r="J2" s="13"/>
      <c r="K2" s="13"/>
      <c r="L2" s="281" t="s">
        <v>219</v>
      </c>
      <c r="M2" s="13"/>
      <c r="N2" s="64"/>
      <c r="O2" s="281" t="s">
        <v>220</v>
      </c>
      <c r="P2" s="13"/>
      <c r="Q2" s="64"/>
      <c r="R2" s="281" t="s">
        <v>221</v>
      </c>
      <c r="S2" s="13"/>
      <c r="T2" s="64"/>
      <c r="U2" s="281" t="s">
        <v>222</v>
      </c>
      <c r="V2" s="13"/>
      <c r="W2" s="64"/>
      <c r="X2" s="281" t="s">
        <v>223</v>
      </c>
      <c r="Y2" s="13"/>
      <c r="Z2" s="64"/>
      <c r="AA2" s="281" t="s">
        <v>224</v>
      </c>
      <c r="AB2" s="13"/>
      <c r="AC2" s="64"/>
      <c r="AD2" s="281" t="s">
        <v>225</v>
      </c>
      <c r="AE2" s="13"/>
      <c r="AF2" s="13"/>
      <c r="AG2" s="281" t="s">
        <v>226</v>
      </c>
      <c r="AH2" s="13"/>
      <c r="AI2" s="13"/>
      <c r="AJ2" s="281" t="s">
        <v>227</v>
      </c>
      <c r="AK2" s="13"/>
      <c r="AL2" s="13"/>
      <c r="AM2" s="281" t="s">
        <v>228</v>
      </c>
      <c r="AN2" s="13"/>
      <c r="AO2" s="13"/>
      <c r="AP2" s="281" t="s">
        <v>229</v>
      </c>
      <c r="AQ2" s="13"/>
      <c r="AR2" s="13"/>
      <c r="AS2" s="281" t="s">
        <v>230</v>
      </c>
      <c r="AT2" s="13"/>
      <c r="AU2" s="13"/>
      <c r="AV2" s="281" t="s">
        <v>231</v>
      </c>
      <c r="AW2" s="13"/>
      <c r="AX2" s="13"/>
      <c r="AY2" s="281" t="s">
        <v>232</v>
      </c>
      <c r="AZ2" s="13"/>
      <c r="BA2" s="13"/>
      <c r="BB2" s="281" t="s">
        <v>233</v>
      </c>
      <c r="BC2" s="13"/>
      <c r="BD2" s="64"/>
    </row>
    <row r="3">
      <c r="A3" s="282" t="s">
        <v>70</v>
      </c>
      <c r="B3" s="283" t="s">
        <v>234</v>
      </c>
      <c r="C3" s="284" t="s">
        <v>235</v>
      </c>
      <c r="D3" s="283" t="s">
        <v>236</v>
      </c>
      <c r="E3" s="285" t="s">
        <v>237</v>
      </c>
      <c r="F3" s="283" t="s">
        <v>238</v>
      </c>
      <c r="G3" s="283" t="s">
        <v>239</v>
      </c>
      <c r="H3" s="285" t="s">
        <v>75</v>
      </c>
      <c r="I3" s="286" t="s">
        <v>74</v>
      </c>
      <c r="J3" s="287"/>
      <c r="K3" s="288" t="s">
        <v>240</v>
      </c>
      <c r="L3" s="289" t="s">
        <v>241</v>
      </c>
      <c r="M3" s="290" t="s">
        <v>242</v>
      </c>
      <c r="N3" s="291">
        <v>-0.2</v>
      </c>
      <c r="O3" s="292" t="s">
        <v>243</v>
      </c>
      <c r="P3" s="290" t="s">
        <v>242</v>
      </c>
      <c r="Q3" s="293">
        <v>-0.25</v>
      </c>
      <c r="R3" s="294" t="s">
        <v>244</v>
      </c>
      <c r="S3" s="290" t="s">
        <v>242</v>
      </c>
      <c r="T3" s="291">
        <v>-0.3</v>
      </c>
      <c r="U3" s="294" t="s">
        <v>245</v>
      </c>
      <c r="V3" s="290" t="s">
        <v>242</v>
      </c>
      <c r="W3" s="291">
        <v>-0.35</v>
      </c>
      <c r="X3" s="294" t="s">
        <v>246</v>
      </c>
      <c r="Y3" s="290" t="s">
        <v>242</v>
      </c>
      <c r="Z3" s="291">
        <v>-0.4</v>
      </c>
      <c r="AA3" s="295" t="s">
        <v>247</v>
      </c>
      <c r="AB3" s="290" t="s">
        <v>242</v>
      </c>
      <c r="AC3" s="291">
        <v>-0.45</v>
      </c>
      <c r="AD3" s="295" t="s">
        <v>248</v>
      </c>
      <c r="AE3" s="290" t="s">
        <v>242</v>
      </c>
      <c r="AF3" s="296">
        <v>-0.5</v>
      </c>
      <c r="AG3" s="297" t="s">
        <v>249</v>
      </c>
      <c r="AH3" s="290" t="s">
        <v>242</v>
      </c>
      <c r="AI3" s="296">
        <v>-0.55</v>
      </c>
      <c r="AJ3" s="297" t="s">
        <v>250</v>
      </c>
      <c r="AK3" s="290" t="s">
        <v>242</v>
      </c>
      <c r="AL3" s="291">
        <v>-0.6</v>
      </c>
      <c r="AM3" s="297" t="s">
        <v>251</v>
      </c>
      <c r="AN3" s="290" t="s">
        <v>242</v>
      </c>
      <c r="AO3" s="296">
        <v>-0.65</v>
      </c>
      <c r="AP3" s="297" t="s">
        <v>252</v>
      </c>
      <c r="AQ3" s="290" t="s">
        <v>242</v>
      </c>
      <c r="AR3" s="296">
        <v>-0.7</v>
      </c>
      <c r="AS3" s="297" t="s">
        <v>253</v>
      </c>
      <c r="AT3" s="290" t="s">
        <v>242</v>
      </c>
      <c r="AU3" s="291">
        <v>-0.75</v>
      </c>
      <c r="AV3" s="297" t="s">
        <v>254</v>
      </c>
      <c r="AW3" s="290" t="s">
        <v>242</v>
      </c>
      <c r="AX3" s="291">
        <v>-0.8</v>
      </c>
      <c r="AY3" s="297" t="s">
        <v>255</v>
      </c>
      <c r="AZ3" s="290" t="s">
        <v>242</v>
      </c>
      <c r="BA3" s="296">
        <v>-0.85</v>
      </c>
      <c r="BB3" s="297" t="s">
        <v>256</v>
      </c>
      <c r="BC3" s="290" t="s">
        <v>242</v>
      </c>
      <c r="BD3" s="291">
        <v>-0.9</v>
      </c>
    </row>
    <row r="4">
      <c r="A4" s="298" t="str">
        <f t="array" ref="A4:C74">Sort(myDG(History!B3:B993,History!C3:C993,History!D3:D993,History!E3:E993))</f>
        <v>BOM:514183</v>
      </c>
      <c r="B4" s="299">
        <v>11.0</v>
      </c>
      <c r="C4" s="300">
        <v>143.25454545454545</v>
      </c>
      <c r="D4" s="301" t="str">
        <f>IFERROR(__xludf.DUMMYFUNCTION("if(ISBLANK(A4),"""",GOOGLEFINANCE(A4,""NAME""))"),"Black Rose Industries Ltd")</f>
        <v>Black Rose Industries Ltd</v>
      </c>
      <c r="E4" s="302">
        <v>5000.0</v>
      </c>
      <c r="F4" s="303">
        <f>IFERROR(__xludf.DUMMYFUNCTION("if(ISBLANK(A4),"""",GOOGLEFINANCE(A4,""HIGH52""))"),137.95)</f>
        <v>137.95</v>
      </c>
      <c r="G4" s="303">
        <f>IFERROR(__xludf.DUMMYFUNCTION("if(ISBLANK(A4),"""",GOOGLEFINANCE(A4,""LOW52""))"),61.0)</f>
        <v>61</v>
      </c>
      <c r="H4" s="304">
        <f>IFERROR(__xludf.DUMMYFUNCTION("if(ISBLANK(A4),"""",GOOGLEFINANCE(A4,""Price""))"),113.4)</f>
        <v>113.4</v>
      </c>
      <c r="I4" s="305" t="str">
        <f t="shared" ref="I4:I547" si="1">IF(ISBLANK(A4), "", IF(K4 &gt; 600000, "MG", IF(K4 &gt; 30000, "L", IF(K4 &gt; 7500, "M", "S"))))</f>
        <v>S</v>
      </c>
      <c r="J4" s="306" t="str">
        <f t="shared" ref="J4:J530" si="2">IF(ISBLANK(A4), "", IF(AND(K4&gt;=0, K4&lt;=7500), "||||", IF(AND(K4&gt;7500, K4&lt;=30000), "|||", IF(AND(K4&gt;30000, K4&lt;=600000), "||", IF(K4&gt;600000, "|", "")))))
</f>
        <v>||||</v>
      </c>
      <c r="K4" s="307">
        <f>IFERROR(__xludf.DUMMYFUNCTION("if(ISBLANK(A4),"""",googlefinance(A4,""Marketcap"")/10000000)"),571.0470062)</f>
        <v>571.0470062</v>
      </c>
      <c r="L4" s="304">
        <f t="shared" ref="L4:L479" si="3">if(ISBLANK(A4),"",F4-(F4*0.2))</f>
        <v>110.36</v>
      </c>
      <c r="M4" s="308">
        <f t="shared" ref="M4:M479" si="4">if(ISBLANK(A4),"",E4/L4)</f>
        <v>45.30627039</v>
      </c>
      <c r="N4" s="309" t="str">
        <f t="shared" ref="N4:N479" si="5">if(ISBLANK(A4),"",if(H4&gt;L4,"H",if(H4&gt;O4,"B","Next")))</f>
        <v>H</v>
      </c>
      <c r="O4" s="310">
        <f t="shared" ref="O4:O479" si="6">if(ISBLANK(A4),"",F4-(F4*0.25))</f>
        <v>103.4625</v>
      </c>
      <c r="P4" s="308">
        <f t="shared" ref="P4:P479" si="7">if(ISBLANK(A4),"",E4/O4)</f>
        <v>48.32668841</v>
      </c>
      <c r="Q4" s="311" t="str">
        <f t="shared" ref="Q4:Q479" si="8">if(ISBLANK(A4),"",if(H4&gt;O4,"H",if(H4&gt;R4,"B","Next")))</f>
        <v>H</v>
      </c>
      <c r="R4" s="304">
        <f t="shared" ref="R4:R479" si="9">if(ISBLANK(A4),"",F4-(F4*0.3))</f>
        <v>96.565</v>
      </c>
      <c r="S4" s="308">
        <f t="shared" ref="S4:S479" si="10">if(ISBLANK(A4),"",E4/R4)</f>
        <v>51.77859473</v>
      </c>
      <c r="T4" s="309" t="str">
        <f t="shared" ref="T4:T479" si="11">if(ISBLANK(A4),"",if(H4&gt;R4,"H",if(H4&gt;U4,"B","Next")))</f>
        <v>H</v>
      </c>
      <c r="U4" s="304">
        <f t="shared" ref="U4:U479" si="12">if(ISBLANK(A4),"",F4-(F4*0.35))</f>
        <v>89.6675</v>
      </c>
      <c r="V4" s="308">
        <f t="shared" ref="V4:V479" si="13">if(ISBLANK(A4),"",E4/U4)</f>
        <v>55.76156355</v>
      </c>
      <c r="W4" s="309" t="str">
        <f t="shared" ref="W4:W479" si="14">if(ISBLANK(A4),"",if(H4&gt;U4,"H",if(H4&gt;X4,"B","Next")))</f>
        <v>H</v>
      </c>
      <c r="X4" s="304">
        <f t="shared" ref="X4:X479" si="15">if(ISBLANK(A4),"",F4-(F4*0.4))</f>
        <v>82.77</v>
      </c>
      <c r="Y4" s="308">
        <f t="shared" ref="Y4:Y479" si="16">if(ISBLANK(A4),"",E4/X4)</f>
        <v>60.40836052</v>
      </c>
      <c r="Z4" s="309" t="str">
        <f t="shared" ref="Z4:Z479" si="17">if(ISBLANK(A4),"",if(H4&gt;X4,"H",if(H4&gt;AA4,"B","Next")))</f>
        <v>H</v>
      </c>
      <c r="AA4" s="312">
        <f t="shared" ref="AA4:AA479" si="18">if(ISBLANK(A4),"",F4-(F4*0.45))</f>
        <v>75.8725</v>
      </c>
      <c r="AB4" s="308">
        <f t="shared" ref="AB4:AB479" si="19">if(ISBLANK(A4),"",E4/AA4)</f>
        <v>65.90002966</v>
      </c>
      <c r="AC4" s="308" t="str">
        <f t="shared" ref="AC4:AC479" si="20">if(ISBLANK(A4),"",if(H4&gt;AA4,"H",if(H4&gt;AD4,"B","Next")))</f>
        <v>H</v>
      </c>
      <c r="AD4" s="312">
        <f t="shared" ref="AD4:AD479" si="21">if(ISBLANK(A4),"",F4-(F4*0.5))</f>
        <v>68.975</v>
      </c>
      <c r="AE4" s="308">
        <f t="shared" ref="AE4:AE479" si="22">if(ISBLANK(A4),"",E4/AD4)</f>
        <v>72.49003262</v>
      </c>
      <c r="AF4" s="313" t="str">
        <f t="shared" ref="AF4:AF479" si="23">if(ISBLANK(A4),"",if(H4&gt;AD4,"H",if(H4&gt;AG4,"B","Next")))</f>
        <v>H</v>
      </c>
      <c r="AG4" s="304">
        <f t="shared" ref="AG4:AG479" si="24">if(ISBLANK(A4),"",F4-(F4*0.55))</f>
        <v>62.0775</v>
      </c>
      <c r="AH4" s="308">
        <f t="shared" ref="AH4:AH479" si="25">if(ISBLANK(A4),"",E4/AG4)</f>
        <v>80.54448069</v>
      </c>
      <c r="AI4" s="313" t="str">
        <f t="shared" ref="AI4:AI479" si="26">if(ISBLANK(A4),"",if(H4&gt;AG4,"H",if(H4&gt;AJ4,"B","Next")))</f>
        <v>H</v>
      </c>
      <c r="AJ4" s="304">
        <f t="shared" ref="AJ4:AJ479" si="27">if(ISBLANK(A4),"",F4-(F4*0.6))</f>
        <v>55.18</v>
      </c>
      <c r="AK4" s="308">
        <f t="shared" ref="AK4:AK479" si="28">if(ISBLANK(A4),"",E4/AJ4)</f>
        <v>90.61254078</v>
      </c>
      <c r="AL4" s="308" t="str">
        <f t="shared" ref="AL4:AL479" si="29">if(ISBLANK(A4),"",if(H4&gt;AJ4,"H",if(H4&gt;AM4,"B","Next")))</f>
        <v>H</v>
      </c>
      <c r="AM4" s="304">
        <f t="shared" ref="AM4:AM479" si="30">if(ISBLANK(A4),"",F4-(F4*0.65))</f>
        <v>48.2825</v>
      </c>
      <c r="AN4" s="308">
        <f t="shared" ref="AN4:AN479" si="31">if(ISBLANK(A4),"",E4/AM4)</f>
        <v>103.5571895</v>
      </c>
      <c r="AO4" s="313" t="str">
        <f t="shared" ref="AO4:AO479" si="32">if(ISBLANK(A4),"",if(H4&gt;AM4,"H",if(H4&gt;AP4,"B","Next")))</f>
        <v>H</v>
      </c>
      <c r="AP4" s="304">
        <f t="shared" ref="AP4:AP479" si="33">if(ISBLANK(A4),"",F4-(F4*0.7))</f>
        <v>41.385</v>
      </c>
      <c r="AQ4" s="308">
        <f t="shared" ref="AQ4:AQ479" si="34">if(ISBLANK(A4),"",E4/AP4)</f>
        <v>120.816721</v>
      </c>
      <c r="AR4" s="313" t="str">
        <f t="shared" ref="AR4:AR479" si="35">if(ISBLANK(A4),"",if(H4&gt;AP4,"H",if(H4&gt;AS4,"B","Next")))</f>
        <v>H</v>
      </c>
      <c r="AS4" s="304">
        <f t="shared" ref="AS4:AS479" si="36">if(ISBLANK(A4),"",F4-(F4*0.75))</f>
        <v>34.4875</v>
      </c>
      <c r="AT4" s="308">
        <f t="shared" ref="AT4:AT479" si="37">if(ISBLANK(A4),"",E4/AS4)</f>
        <v>144.9800652</v>
      </c>
      <c r="AU4" s="308" t="str">
        <f t="shared" ref="AU4:AU479" si="38">if(ISBLANK(A4),"",if(H4&gt;AS4,"H",if(H4&gt;AV4,"B","Next")))</f>
        <v>H</v>
      </c>
      <c r="AV4" s="304">
        <f t="shared" ref="AV4:AV479" si="39">if(ISBLANK(A4),"",F4-(F4*0.8))</f>
        <v>27.59</v>
      </c>
      <c r="AW4" s="308">
        <f t="shared" ref="AW4:AW479" si="40">if(ISBLANK(A4),"",E4/AV4)</f>
        <v>181.2250816</v>
      </c>
      <c r="AX4" s="308" t="str">
        <f t="shared" ref="AX4:AX479" si="41">if(ISBLANK(A4),"",if(H4&gt;BWI4,"H",if(H4&gt;AY4,"B","Next")))</f>
        <v>H</v>
      </c>
      <c r="AY4" s="304">
        <f t="shared" ref="AY4:AY479" si="42">if(ISBLANK(A4),"",F4-(F4*0.85))</f>
        <v>20.6925</v>
      </c>
      <c r="AZ4" s="308">
        <f t="shared" ref="AZ4:AZ479" si="43">if(ISBLANK(A4),"",E4/AY4)</f>
        <v>241.6334421</v>
      </c>
      <c r="BA4" s="313" t="str">
        <f t="shared" ref="BA4:BA479" si="44">if(ISBLANK(A4),"",if(H4&gt;AY4,"H",if(H4&gt;BB4,"B","Next")))</f>
        <v>H</v>
      </c>
      <c r="BB4" s="304">
        <f t="shared" ref="BB4:BB479" si="45">if(ISBLANK(A4),"",F4-(F4*0.9))</f>
        <v>13.795</v>
      </c>
      <c r="BC4" s="308">
        <f t="shared" ref="BC4:BC479" si="46">if(ISBLANK(A4),"",E4/BB4)</f>
        <v>362.4501631</v>
      </c>
      <c r="BD4" s="308" t="str">
        <f t="shared" ref="BD4:BD479" si="47">if(ISBLANK(A4),"",if(H4&gt;BB4,"H","B"))</f>
        <v>H</v>
      </c>
    </row>
    <row r="5">
      <c r="A5" s="314" t="s">
        <v>257</v>
      </c>
      <c r="B5" s="315">
        <v>55.0</v>
      </c>
      <c r="C5" s="316">
        <v>8.0</v>
      </c>
      <c r="D5" s="301" t="str">
        <f>IFERROR(__xludf.DUMMYFUNCTION("if(ISBLANK(A5),"""",GOOGLEFINANCE(A5,""NAME""))"),"Gennex Laboratories Ltd")</f>
        <v>Gennex Laboratories Ltd</v>
      </c>
      <c r="E5" s="302">
        <v>5000.0</v>
      </c>
      <c r="F5" s="303">
        <f>IFERROR(__xludf.DUMMYFUNCTION("if(ISBLANK(A5),"""",GOOGLEFINANCE(A5,""HIGH52""))"),17.25)</f>
        <v>17.25</v>
      </c>
      <c r="G5" s="303">
        <f>IFERROR(__xludf.DUMMYFUNCTION("if(ISBLANK(A5),"""",GOOGLEFINANCE(A5,""LOW52""))"),7.05)</f>
        <v>7.05</v>
      </c>
      <c r="H5" s="304">
        <f>IFERROR(__xludf.DUMMYFUNCTION("if(ISBLANK(A5),"""",GOOGLEFINANCE(A5,""Price""))"),10.0)</f>
        <v>10</v>
      </c>
      <c r="I5" s="305" t="str">
        <f t="shared" si="1"/>
        <v>S</v>
      </c>
      <c r="J5" s="306" t="str">
        <f t="shared" si="2"/>
        <v>||||</v>
      </c>
      <c r="K5" s="307">
        <f>IFERROR(__xludf.DUMMYFUNCTION("if(ISBLANK(A5),"""",googlefinance(A5,""Marketcap"")/10000000)"),242.9476)</f>
        <v>242.9476</v>
      </c>
      <c r="L5" s="304">
        <f t="shared" si="3"/>
        <v>13.8</v>
      </c>
      <c r="M5" s="308">
        <f t="shared" si="4"/>
        <v>362.3188406</v>
      </c>
      <c r="N5" s="309" t="str">
        <f t="shared" si="5"/>
        <v>Next</v>
      </c>
      <c r="O5" s="310">
        <f t="shared" si="6"/>
        <v>12.9375</v>
      </c>
      <c r="P5" s="308">
        <f t="shared" si="7"/>
        <v>386.47343</v>
      </c>
      <c r="Q5" s="311" t="str">
        <f t="shared" si="8"/>
        <v>Next</v>
      </c>
      <c r="R5" s="304">
        <f t="shared" si="9"/>
        <v>12.075</v>
      </c>
      <c r="S5" s="308">
        <f t="shared" si="10"/>
        <v>414.0786749</v>
      </c>
      <c r="T5" s="309" t="str">
        <f t="shared" si="11"/>
        <v>Next</v>
      </c>
      <c r="U5" s="304">
        <f t="shared" si="12"/>
        <v>11.2125</v>
      </c>
      <c r="V5" s="308">
        <f t="shared" si="13"/>
        <v>445.9308807</v>
      </c>
      <c r="W5" s="309" t="str">
        <f t="shared" si="14"/>
        <v>Next</v>
      </c>
      <c r="X5" s="304">
        <f t="shared" si="15"/>
        <v>10.35</v>
      </c>
      <c r="Y5" s="308">
        <f t="shared" si="16"/>
        <v>483.0917874</v>
      </c>
      <c r="Z5" s="309" t="str">
        <f t="shared" si="17"/>
        <v>B</v>
      </c>
      <c r="AA5" s="312">
        <f t="shared" si="18"/>
        <v>9.4875</v>
      </c>
      <c r="AB5" s="308">
        <f t="shared" si="19"/>
        <v>527.0092227</v>
      </c>
      <c r="AC5" s="308" t="str">
        <f t="shared" si="20"/>
        <v>H</v>
      </c>
      <c r="AD5" s="312">
        <f t="shared" si="21"/>
        <v>8.625</v>
      </c>
      <c r="AE5" s="308">
        <f t="shared" si="22"/>
        <v>579.7101449</v>
      </c>
      <c r="AF5" s="313" t="str">
        <f t="shared" si="23"/>
        <v>H</v>
      </c>
      <c r="AG5" s="304">
        <f t="shared" si="24"/>
        <v>7.7625</v>
      </c>
      <c r="AH5" s="308">
        <f t="shared" si="25"/>
        <v>644.1223833</v>
      </c>
      <c r="AI5" s="313" t="str">
        <f t="shared" si="26"/>
        <v>H</v>
      </c>
      <c r="AJ5" s="304">
        <f t="shared" si="27"/>
        <v>6.9</v>
      </c>
      <c r="AK5" s="308">
        <f t="shared" si="28"/>
        <v>724.6376812</v>
      </c>
      <c r="AL5" s="308" t="str">
        <f t="shared" si="29"/>
        <v>H</v>
      </c>
      <c r="AM5" s="304">
        <f t="shared" si="30"/>
        <v>6.0375</v>
      </c>
      <c r="AN5" s="308">
        <f t="shared" si="31"/>
        <v>828.1573499</v>
      </c>
      <c r="AO5" s="313" t="str">
        <f t="shared" si="32"/>
        <v>H</v>
      </c>
      <c r="AP5" s="304">
        <f t="shared" si="33"/>
        <v>5.175</v>
      </c>
      <c r="AQ5" s="308">
        <f t="shared" si="34"/>
        <v>966.1835749</v>
      </c>
      <c r="AR5" s="313" t="str">
        <f t="shared" si="35"/>
        <v>H</v>
      </c>
      <c r="AS5" s="304">
        <f t="shared" si="36"/>
        <v>4.3125</v>
      </c>
      <c r="AT5" s="308">
        <f t="shared" si="37"/>
        <v>1159.42029</v>
      </c>
      <c r="AU5" s="308" t="str">
        <f t="shared" si="38"/>
        <v>H</v>
      </c>
      <c r="AV5" s="304">
        <f t="shared" si="39"/>
        <v>3.45</v>
      </c>
      <c r="AW5" s="308">
        <f t="shared" si="40"/>
        <v>1449.275362</v>
      </c>
      <c r="AX5" s="308" t="str">
        <f t="shared" si="41"/>
        <v>H</v>
      </c>
      <c r="AY5" s="304">
        <f t="shared" si="42"/>
        <v>2.5875</v>
      </c>
      <c r="AZ5" s="308">
        <f t="shared" si="43"/>
        <v>1932.36715</v>
      </c>
      <c r="BA5" s="313" t="str">
        <f t="shared" si="44"/>
        <v>H</v>
      </c>
      <c r="BB5" s="304">
        <f t="shared" si="45"/>
        <v>1.725</v>
      </c>
      <c r="BC5" s="308">
        <f t="shared" si="46"/>
        <v>2898.550725</v>
      </c>
      <c r="BD5" s="308" t="str">
        <f t="shared" si="47"/>
        <v>H</v>
      </c>
    </row>
    <row r="6">
      <c r="A6" s="317" t="s">
        <v>86</v>
      </c>
      <c r="B6" s="318">
        <v>6.0</v>
      </c>
      <c r="C6" s="319">
        <v>496.4173666666666</v>
      </c>
      <c r="D6" s="301" t="str">
        <f>IFERROR(__xludf.DUMMYFUNCTION("if(ISBLANK(A6),"""",GOOGLEFINANCE(A6,""NAME""))"),"Aarti Industries Ltd")</f>
        <v>Aarti Industries Ltd</v>
      </c>
      <c r="E6" s="302">
        <v>5000.0</v>
      </c>
      <c r="F6" s="303">
        <f>IFERROR(__xludf.DUMMYFUNCTION("if(ISBLANK(A6),"""",GOOGLEFINANCE(A6,""HIGH52""))"),523.1)</f>
        <v>523.1</v>
      </c>
      <c r="G6" s="303">
        <f>IFERROR(__xludf.DUMMYFUNCTION("if(ISBLANK(A6),"""",GOOGLEFINANCE(A6,""LOW52""))"),338.05)</f>
        <v>338.05</v>
      </c>
      <c r="H6" s="304">
        <f>IFERROR(__xludf.DUMMYFUNCTION("if(ISBLANK(A6),"""",GOOGLEFINANCE(A6,""Price""))"),478.6)</f>
        <v>478.6</v>
      </c>
      <c r="I6" s="305" t="str">
        <f t="shared" si="1"/>
        <v>M</v>
      </c>
      <c r="J6" s="306" t="str">
        <f t="shared" si="2"/>
        <v>|||</v>
      </c>
      <c r="K6" s="307">
        <f>IFERROR(__xludf.DUMMYFUNCTION("if(ISBLANK(A6),"""",googlefinance(A6,""Marketcap"")/10000000)"),17360.0952973)</f>
        <v>17360.0953</v>
      </c>
      <c r="L6" s="304">
        <f t="shared" si="3"/>
        <v>418.48</v>
      </c>
      <c r="M6" s="308">
        <f t="shared" si="4"/>
        <v>11.94800229</v>
      </c>
      <c r="N6" s="309" t="str">
        <f t="shared" si="5"/>
        <v>H</v>
      </c>
      <c r="O6" s="310">
        <f t="shared" si="6"/>
        <v>392.325</v>
      </c>
      <c r="P6" s="308">
        <f t="shared" si="7"/>
        <v>12.74453578</v>
      </c>
      <c r="Q6" s="311" t="str">
        <f t="shared" si="8"/>
        <v>H</v>
      </c>
      <c r="R6" s="304">
        <f t="shared" si="9"/>
        <v>366.17</v>
      </c>
      <c r="S6" s="308">
        <f t="shared" si="10"/>
        <v>13.65485976</v>
      </c>
      <c r="T6" s="309" t="str">
        <f t="shared" si="11"/>
        <v>H</v>
      </c>
      <c r="U6" s="304">
        <f t="shared" si="12"/>
        <v>340.015</v>
      </c>
      <c r="V6" s="308">
        <f t="shared" si="13"/>
        <v>14.70523359</v>
      </c>
      <c r="W6" s="309" t="str">
        <f t="shared" si="14"/>
        <v>H</v>
      </c>
      <c r="X6" s="304">
        <f t="shared" si="15"/>
        <v>313.86</v>
      </c>
      <c r="Y6" s="308">
        <f t="shared" si="16"/>
        <v>15.93066973</v>
      </c>
      <c r="Z6" s="309" t="str">
        <f t="shared" si="17"/>
        <v>H</v>
      </c>
      <c r="AA6" s="312">
        <f t="shared" si="18"/>
        <v>287.705</v>
      </c>
      <c r="AB6" s="308">
        <f t="shared" si="19"/>
        <v>17.37891243</v>
      </c>
      <c r="AC6" s="308" t="str">
        <f t="shared" si="20"/>
        <v>H</v>
      </c>
      <c r="AD6" s="312">
        <f t="shared" si="21"/>
        <v>261.55</v>
      </c>
      <c r="AE6" s="308">
        <f t="shared" si="22"/>
        <v>19.11680367</v>
      </c>
      <c r="AF6" s="313" t="str">
        <f t="shared" si="23"/>
        <v>H</v>
      </c>
      <c r="AG6" s="304">
        <f t="shared" si="24"/>
        <v>235.395</v>
      </c>
      <c r="AH6" s="308">
        <f t="shared" si="25"/>
        <v>21.24089297</v>
      </c>
      <c r="AI6" s="313" t="str">
        <f t="shared" si="26"/>
        <v>H</v>
      </c>
      <c r="AJ6" s="304">
        <f t="shared" si="27"/>
        <v>209.24</v>
      </c>
      <c r="AK6" s="308">
        <f t="shared" si="28"/>
        <v>23.89600459</v>
      </c>
      <c r="AL6" s="308" t="str">
        <f t="shared" si="29"/>
        <v>H</v>
      </c>
      <c r="AM6" s="304">
        <f t="shared" si="30"/>
        <v>183.085</v>
      </c>
      <c r="AN6" s="308">
        <f t="shared" si="31"/>
        <v>27.30971953</v>
      </c>
      <c r="AO6" s="313" t="str">
        <f t="shared" si="32"/>
        <v>H</v>
      </c>
      <c r="AP6" s="304">
        <f t="shared" si="33"/>
        <v>156.93</v>
      </c>
      <c r="AQ6" s="308">
        <f t="shared" si="34"/>
        <v>31.86133945</v>
      </c>
      <c r="AR6" s="313" t="str">
        <f t="shared" si="35"/>
        <v>H</v>
      </c>
      <c r="AS6" s="304">
        <f t="shared" si="36"/>
        <v>130.775</v>
      </c>
      <c r="AT6" s="308">
        <f t="shared" si="37"/>
        <v>38.23360734</v>
      </c>
      <c r="AU6" s="308" t="str">
        <f t="shared" si="38"/>
        <v>H</v>
      </c>
      <c r="AV6" s="304">
        <f t="shared" si="39"/>
        <v>104.62</v>
      </c>
      <c r="AW6" s="308">
        <f t="shared" si="40"/>
        <v>47.79200918</v>
      </c>
      <c r="AX6" s="308" t="str">
        <f t="shared" si="41"/>
        <v>H</v>
      </c>
      <c r="AY6" s="304">
        <f t="shared" si="42"/>
        <v>78.465</v>
      </c>
      <c r="AZ6" s="308">
        <f t="shared" si="43"/>
        <v>63.7226789</v>
      </c>
      <c r="BA6" s="313" t="str">
        <f t="shared" si="44"/>
        <v>H</v>
      </c>
      <c r="BB6" s="304">
        <f t="shared" si="45"/>
        <v>52.31</v>
      </c>
      <c r="BC6" s="308">
        <f t="shared" si="46"/>
        <v>95.58401835</v>
      </c>
      <c r="BD6" s="308" t="str">
        <f t="shared" si="47"/>
        <v>H</v>
      </c>
    </row>
    <row r="7">
      <c r="A7" s="317" t="s">
        <v>43</v>
      </c>
      <c r="B7" s="318">
        <v>6.0</v>
      </c>
      <c r="C7" s="319">
        <v>954.4583333333334</v>
      </c>
      <c r="D7" s="301" t="str">
        <f>IFERROR(__xludf.DUMMYFUNCTION("if(ISBLANK(A7),"""",GOOGLEFINANCE(A7,""NAME""))"),"Affle 3i Ltd")</f>
        <v>Affle 3i Ltd</v>
      </c>
      <c r="E7" s="302">
        <v>5000.0</v>
      </c>
      <c r="F7" s="303">
        <f>IFERROR(__xludf.DUMMYFUNCTION("if(ISBLANK(A7),"""",GOOGLEFINANCE(A7,""HIGH52""))"),2185.9)</f>
        <v>2185.9</v>
      </c>
      <c r="G7" s="303">
        <f>IFERROR(__xludf.DUMMYFUNCTION("if(ISBLANK(A7),"""",GOOGLEFINANCE(A7,""LOW52""))"),1251.3)</f>
        <v>1251.3</v>
      </c>
      <c r="H7" s="304">
        <f>IFERROR(__xludf.DUMMYFUNCTION("if(ISBLANK(A7),"""",GOOGLEFINANCE(A7,""Price""))"),1465.1)</f>
        <v>1465.1</v>
      </c>
      <c r="I7" s="305" t="str">
        <f t="shared" si="1"/>
        <v>M</v>
      </c>
      <c r="J7" s="306" t="str">
        <f t="shared" si="2"/>
        <v>|||</v>
      </c>
      <c r="K7" s="307">
        <f>IFERROR(__xludf.DUMMYFUNCTION("if(ISBLANK(A7),"""",googlefinance(A7,""Marketcap"")/10000000)"),20605.9572106)</f>
        <v>20605.95721</v>
      </c>
      <c r="L7" s="304">
        <f t="shared" si="3"/>
        <v>1748.72</v>
      </c>
      <c r="M7" s="308">
        <f t="shared" si="4"/>
        <v>2.859234183</v>
      </c>
      <c r="N7" s="309" t="str">
        <f t="shared" si="5"/>
        <v>Next</v>
      </c>
      <c r="O7" s="310">
        <f t="shared" si="6"/>
        <v>1639.425</v>
      </c>
      <c r="P7" s="308">
        <f t="shared" si="7"/>
        <v>3.049849795</v>
      </c>
      <c r="Q7" s="311" t="str">
        <f t="shared" si="8"/>
        <v>Next</v>
      </c>
      <c r="R7" s="304">
        <f t="shared" si="9"/>
        <v>1530.13</v>
      </c>
      <c r="S7" s="308">
        <f t="shared" si="10"/>
        <v>3.267696209</v>
      </c>
      <c r="T7" s="309" t="str">
        <f t="shared" si="11"/>
        <v>B</v>
      </c>
      <c r="U7" s="304">
        <f t="shared" si="12"/>
        <v>1420.835</v>
      </c>
      <c r="V7" s="308">
        <f t="shared" si="13"/>
        <v>3.519057456</v>
      </c>
      <c r="W7" s="309" t="str">
        <f t="shared" si="14"/>
        <v>H</v>
      </c>
      <c r="X7" s="304">
        <f t="shared" si="15"/>
        <v>1311.54</v>
      </c>
      <c r="Y7" s="308">
        <f t="shared" si="16"/>
        <v>3.812312244</v>
      </c>
      <c r="Z7" s="309" t="str">
        <f t="shared" si="17"/>
        <v>H</v>
      </c>
      <c r="AA7" s="312">
        <f t="shared" si="18"/>
        <v>1202.245</v>
      </c>
      <c r="AB7" s="308">
        <f t="shared" si="19"/>
        <v>4.158886084</v>
      </c>
      <c r="AC7" s="308" t="str">
        <f t="shared" si="20"/>
        <v>H</v>
      </c>
      <c r="AD7" s="312">
        <f t="shared" si="21"/>
        <v>1092.95</v>
      </c>
      <c r="AE7" s="308">
        <f t="shared" si="22"/>
        <v>4.574774692</v>
      </c>
      <c r="AF7" s="313" t="str">
        <f t="shared" si="23"/>
        <v>H</v>
      </c>
      <c r="AG7" s="304">
        <f t="shared" si="24"/>
        <v>983.655</v>
      </c>
      <c r="AH7" s="308">
        <f t="shared" si="25"/>
        <v>5.083082991</v>
      </c>
      <c r="AI7" s="313" t="str">
        <f t="shared" si="26"/>
        <v>H</v>
      </c>
      <c r="AJ7" s="304">
        <f t="shared" si="27"/>
        <v>874.36</v>
      </c>
      <c r="AK7" s="308">
        <f t="shared" si="28"/>
        <v>5.718468365</v>
      </c>
      <c r="AL7" s="308" t="str">
        <f t="shared" si="29"/>
        <v>H</v>
      </c>
      <c r="AM7" s="304">
        <f t="shared" si="30"/>
        <v>765.065</v>
      </c>
      <c r="AN7" s="308">
        <f t="shared" si="31"/>
        <v>6.535392418</v>
      </c>
      <c r="AO7" s="313" t="str">
        <f t="shared" si="32"/>
        <v>H</v>
      </c>
      <c r="AP7" s="304">
        <f t="shared" si="33"/>
        <v>655.77</v>
      </c>
      <c r="AQ7" s="308">
        <f t="shared" si="34"/>
        <v>7.624624487</v>
      </c>
      <c r="AR7" s="313" t="str">
        <f t="shared" si="35"/>
        <v>H</v>
      </c>
      <c r="AS7" s="304">
        <f t="shared" si="36"/>
        <v>546.475</v>
      </c>
      <c r="AT7" s="308">
        <f t="shared" si="37"/>
        <v>9.149549385</v>
      </c>
      <c r="AU7" s="308" t="str">
        <f t="shared" si="38"/>
        <v>H</v>
      </c>
      <c r="AV7" s="304">
        <f t="shared" si="39"/>
        <v>437.18</v>
      </c>
      <c r="AW7" s="308">
        <f t="shared" si="40"/>
        <v>11.43693673</v>
      </c>
      <c r="AX7" s="308" t="str">
        <f t="shared" si="41"/>
        <v>H</v>
      </c>
      <c r="AY7" s="304">
        <f t="shared" si="42"/>
        <v>327.885</v>
      </c>
      <c r="AZ7" s="308">
        <f t="shared" si="43"/>
        <v>15.24924897</v>
      </c>
      <c r="BA7" s="313" t="str">
        <f t="shared" si="44"/>
        <v>H</v>
      </c>
      <c r="BB7" s="304">
        <f t="shared" si="45"/>
        <v>218.59</v>
      </c>
      <c r="BC7" s="308">
        <f t="shared" si="46"/>
        <v>22.87387346</v>
      </c>
      <c r="BD7" s="308" t="str">
        <f t="shared" si="47"/>
        <v>H</v>
      </c>
    </row>
    <row r="8">
      <c r="A8" s="317" t="s">
        <v>87</v>
      </c>
      <c r="B8" s="318">
        <v>2.0</v>
      </c>
      <c r="C8" s="319">
        <v>2230.0</v>
      </c>
      <c r="D8" s="301" t="str">
        <f>IFERROR(__xludf.DUMMYFUNCTION("if(ISBLANK(A8),"""",GOOGLEFINANCE(A8,""NAME""))"),"Alkyl Amines Chemicals Ltd")</f>
        <v>Alkyl Amines Chemicals Ltd</v>
      </c>
      <c r="E8" s="302">
        <v>5000.0</v>
      </c>
      <c r="F8" s="303">
        <f>IFERROR(__xludf.DUMMYFUNCTION("if(ISBLANK(A8),"""",GOOGLEFINANCE(A8,""HIGH52""))"),2438.8)</f>
        <v>2438.8</v>
      </c>
      <c r="G8" s="303">
        <f>IFERROR(__xludf.DUMMYFUNCTION("if(ISBLANK(A8),"""",GOOGLEFINANCE(A8,""LOW52""))"),1212.0)</f>
        <v>1212</v>
      </c>
      <c r="H8" s="304">
        <f>IFERROR(__xludf.DUMMYFUNCTION("if(ISBLANK(A8),"""",GOOGLEFINANCE(A8,""Price""))"),1802.0)</f>
        <v>1802</v>
      </c>
      <c r="I8" s="305" t="str">
        <f t="shared" si="1"/>
        <v>M</v>
      </c>
      <c r="J8" s="306" t="str">
        <f t="shared" si="2"/>
        <v>|||</v>
      </c>
      <c r="K8" s="307">
        <f>IFERROR(__xludf.DUMMYFUNCTION("if(ISBLANK(A8),"""",googlefinance(A8,""Marketcap"")/10000000)"),9157.1022823)</f>
        <v>9157.102282</v>
      </c>
      <c r="L8" s="304">
        <f t="shared" si="3"/>
        <v>1951.04</v>
      </c>
      <c r="M8" s="308">
        <f t="shared" si="4"/>
        <v>2.562735772</v>
      </c>
      <c r="N8" s="309" t="str">
        <f t="shared" si="5"/>
        <v>Next</v>
      </c>
      <c r="O8" s="310">
        <f t="shared" si="6"/>
        <v>1829.1</v>
      </c>
      <c r="P8" s="308">
        <f t="shared" si="7"/>
        <v>2.733584823</v>
      </c>
      <c r="Q8" s="311" t="str">
        <f t="shared" si="8"/>
        <v>B</v>
      </c>
      <c r="R8" s="304">
        <f t="shared" si="9"/>
        <v>1707.16</v>
      </c>
      <c r="S8" s="308">
        <f t="shared" si="10"/>
        <v>2.928840882</v>
      </c>
      <c r="T8" s="309" t="str">
        <f t="shared" si="11"/>
        <v>H</v>
      </c>
      <c r="U8" s="304">
        <f t="shared" si="12"/>
        <v>1585.22</v>
      </c>
      <c r="V8" s="308">
        <f t="shared" si="13"/>
        <v>3.154136334</v>
      </c>
      <c r="W8" s="309" t="str">
        <f t="shared" si="14"/>
        <v>H</v>
      </c>
      <c r="X8" s="304">
        <f t="shared" si="15"/>
        <v>1463.28</v>
      </c>
      <c r="Y8" s="308">
        <f t="shared" si="16"/>
        <v>3.416981029</v>
      </c>
      <c r="Z8" s="309" t="str">
        <f t="shared" si="17"/>
        <v>H</v>
      </c>
      <c r="AA8" s="312">
        <f t="shared" si="18"/>
        <v>1341.34</v>
      </c>
      <c r="AB8" s="308">
        <f t="shared" si="19"/>
        <v>3.727615668</v>
      </c>
      <c r="AC8" s="308" t="str">
        <f t="shared" si="20"/>
        <v>H</v>
      </c>
      <c r="AD8" s="312">
        <f t="shared" si="21"/>
        <v>1219.4</v>
      </c>
      <c r="AE8" s="308">
        <f t="shared" si="22"/>
        <v>4.100377235</v>
      </c>
      <c r="AF8" s="313" t="str">
        <f t="shared" si="23"/>
        <v>H</v>
      </c>
      <c r="AG8" s="304">
        <f t="shared" si="24"/>
        <v>1097.46</v>
      </c>
      <c r="AH8" s="308">
        <f t="shared" si="25"/>
        <v>4.555974705</v>
      </c>
      <c r="AI8" s="313" t="str">
        <f t="shared" si="26"/>
        <v>H</v>
      </c>
      <c r="AJ8" s="304">
        <f t="shared" si="27"/>
        <v>975.52</v>
      </c>
      <c r="AK8" s="308">
        <f t="shared" si="28"/>
        <v>5.125471543</v>
      </c>
      <c r="AL8" s="308" t="str">
        <f t="shared" si="29"/>
        <v>H</v>
      </c>
      <c r="AM8" s="304">
        <f t="shared" si="30"/>
        <v>853.58</v>
      </c>
      <c r="AN8" s="308">
        <f t="shared" si="31"/>
        <v>5.857681764</v>
      </c>
      <c r="AO8" s="313" t="str">
        <f t="shared" si="32"/>
        <v>H</v>
      </c>
      <c r="AP8" s="304">
        <f t="shared" si="33"/>
        <v>731.64</v>
      </c>
      <c r="AQ8" s="308">
        <f t="shared" si="34"/>
        <v>6.833962058</v>
      </c>
      <c r="AR8" s="313" t="str">
        <f t="shared" si="35"/>
        <v>H</v>
      </c>
      <c r="AS8" s="304">
        <f t="shared" si="36"/>
        <v>609.7</v>
      </c>
      <c r="AT8" s="308">
        <f t="shared" si="37"/>
        <v>8.200754469</v>
      </c>
      <c r="AU8" s="308" t="str">
        <f t="shared" si="38"/>
        <v>H</v>
      </c>
      <c r="AV8" s="304">
        <f t="shared" si="39"/>
        <v>487.76</v>
      </c>
      <c r="AW8" s="308">
        <f t="shared" si="40"/>
        <v>10.25094309</v>
      </c>
      <c r="AX8" s="308" t="str">
        <f t="shared" si="41"/>
        <v>H</v>
      </c>
      <c r="AY8" s="304">
        <f t="shared" si="42"/>
        <v>365.82</v>
      </c>
      <c r="AZ8" s="308">
        <f t="shared" si="43"/>
        <v>13.66792412</v>
      </c>
      <c r="BA8" s="313" t="str">
        <f t="shared" si="44"/>
        <v>H</v>
      </c>
      <c r="BB8" s="304">
        <f t="shared" si="45"/>
        <v>243.88</v>
      </c>
      <c r="BC8" s="308">
        <f t="shared" si="46"/>
        <v>20.50188617</v>
      </c>
      <c r="BD8" s="308" t="str">
        <f t="shared" si="47"/>
        <v>H</v>
      </c>
    </row>
    <row r="9">
      <c r="A9" s="298" t="s">
        <v>258</v>
      </c>
      <c r="B9" s="299">
        <v>99.0</v>
      </c>
      <c r="C9" s="300">
        <v>76.78050505050506</v>
      </c>
      <c r="D9" s="301" t="str">
        <f>IFERROR(__xludf.DUMMYFUNCTION("if(ISBLANK(A9),"""",GOOGLEFINANCE(A9,""NAME""))"),"Allcargo Logistics Ltd")</f>
        <v>Allcargo Logistics Ltd</v>
      </c>
      <c r="E9" s="302">
        <v>5000.0</v>
      </c>
      <c r="F9" s="303">
        <f>IFERROR(__xludf.DUMMYFUNCTION("if(ISBLANK(A9),"""",GOOGLEFINANCE(A9,""HIGH52""))"),15.89)</f>
        <v>15.89</v>
      </c>
      <c r="G9" s="303">
        <f>IFERROR(__xludf.DUMMYFUNCTION("if(ISBLANK(A9),"""",GOOGLEFINANCE(A9,""LOW52""))"),7.11)</f>
        <v>7.11</v>
      </c>
      <c r="H9" s="304">
        <f>IFERROR(__xludf.DUMMYFUNCTION("if(ISBLANK(A9),"""",GOOGLEFINANCE(A9,""Price""))"),7.99)</f>
        <v>7.99</v>
      </c>
      <c r="I9" s="305" t="str">
        <f t="shared" si="1"/>
        <v>S</v>
      </c>
      <c r="J9" s="306" t="str">
        <f t="shared" si="2"/>
        <v>||||</v>
      </c>
      <c r="K9" s="307">
        <f>IFERROR(__xludf.DUMMYFUNCTION("if(ISBLANK(A9),"""",googlefinance(A9,""Marketcap"")/10000000)"),1198.2224)</f>
        <v>1198.2224</v>
      </c>
      <c r="L9" s="304">
        <f t="shared" si="3"/>
        <v>12.712</v>
      </c>
      <c r="M9" s="308">
        <f t="shared" si="4"/>
        <v>393.3291378</v>
      </c>
      <c r="N9" s="309" t="str">
        <f t="shared" si="5"/>
        <v>Next</v>
      </c>
      <c r="O9" s="310">
        <f t="shared" si="6"/>
        <v>11.9175</v>
      </c>
      <c r="P9" s="308">
        <f t="shared" si="7"/>
        <v>419.5510803</v>
      </c>
      <c r="Q9" s="311" t="str">
        <f t="shared" si="8"/>
        <v>Next</v>
      </c>
      <c r="R9" s="304">
        <f t="shared" si="9"/>
        <v>11.123</v>
      </c>
      <c r="S9" s="308">
        <f t="shared" si="10"/>
        <v>449.5190147</v>
      </c>
      <c r="T9" s="309" t="str">
        <f t="shared" si="11"/>
        <v>Next</v>
      </c>
      <c r="U9" s="304">
        <f t="shared" si="12"/>
        <v>10.3285</v>
      </c>
      <c r="V9" s="308">
        <f t="shared" si="13"/>
        <v>484.0974004</v>
      </c>
      <c r="W9" s="309" t="str">
        <f t="shared" si="14"/>
        <v>Next</v>
      </c>
      <c r="X9" s="304">
        <f t="shared" si="15"/>
        <v>9.534</v>
      </c>
      <c r="Y9" s="308">
        <f t="shared" si="16"/>
        <v>524.4388504</v>
      </c>
      <c r="Z9" s="309" t="str">
        <f t="shared" si="17"/>
        <v>Next</v>
      </c>
      <c r="AA9" s="312">
        <f t="shared" si="18"/>
        <v>8.7395</v>
      </c>
      <c r="AB9" s="308">
        <f t="shared" si="19"/>
        <v>572.1151096</v>
      </c>
      <c r="AC9" s="308" t="str">
        <f t="shared" si="20"/>
        <v>B</v>
      </c>
      <c r="AD9" s="312">
        <f t="shared" si="21"/>
        <v>7.945</v>
      </c>
      <c r="AE9" s="308">
        <f t="shared" si="22"/>
        <v>629.3266205</v>
      </c>
      <c r="AF9" s="313" t="str">
        <f t="shared" si="23"/>
        <v>H</v>
      </c>
      <c r="AG9" s="304">
        <f t="shared" si="24"/>
        <v>7.1505</v>
      </c>
      <c r="AH9" s="308">
        <f t="shared" si="25"/>
        <v>699.2518006</v>
      </c>
      <c r="AI9" s="313" t="str">
        <f t="shared" si="26"/>
        <v>H</v>
      </c>
      <c r="AJ9" s="304">
        <f t="shared" si="27"/>
        <v>6.356</v>
      </c>
      <c r="AK9" s="308">
        <f t="shared" si="28"/>
        <v>786.6582756</v>
      </c>
      <c r="AL9" s="308" t="str">
        <f t="shared" si="29"/>
        <v>H</v>
      </c>
      <c r="AM9" s="304">
        <f t="shared" si="30"/>
        <v>5.5615</v>
      </c>
      <c r="AN9" s="308">
        <f t="shared" si="31"/>
        <v>899.0380293</v>
      </c>
      <c r="AO9" s="313" t="str">
        <f t="shared" si="32"/>
        <v>H</v>
      </c>
      <c r="AP9" s="304">
        <f t="shared" si="33"/>
        <v>4.767</v>
      </c>
      <c r="AQ9" s="308">
        <f t="shared" si="34"/>
        <v>1048.877701</v>
      </c>
      <c r="AR9" s="313" t="str">
        <f t="shared" si="35"/>
        <v>H</v>
      </c>
      <c r="AS9" s="304">
        <f t="shared" si="36"/>
        <v>3.9725</v>
      </c>
      <c r="AT9" s="308">
        <f t="shared" si="37"/>
        <v>1258.653241</v>
      </c>
      <c r="AU9" s="308" t="str">
        <f t="shared" si="38"/>
        <v>H</v>
      </c>
      <c r="AV9" s="304">
        <f t="shared" si="39"/>
        <v>3.178</v>
      </c>
      <c r="AW9" s="308">
        <f t="shared" si="40"/>
        <v>1573.316551</v>
      </c>
      <c r="AX9" s="308" t="str">
        <f t="shared" si="41"/>
        <v>H</v>
      </c>
      <c r="AY9" s="304">
        <f t="shared" si="42"/>
        <v>2.3835</v>
      </c>
      <c r="AZ9" s="308">
        <f t="shared" si="43"/>
        <v>2097.755402</v>
      </c>
      <c r="BA9" s="313" t="str">
        <f t="shared" si="44"/>
        <v>H</v>
      </c>
      <c r="BB9" s="304">
        <f t="shared" si="45"/>
        <v>1.589</v>
      </c>
      <c r="BC9" s="308">
        <f t="shared" si="46"/>
        <v>3146.633103</v>
      </c>
      <c r="BD9" s="308" t="str">
        <f t="shared" si="47"/>
        <v>H</v>
      </c>
    </row>
    <row r="10">
      <c r="A10" s="314" t="s">
        <v>89</v>
      </c>
      <c r="B10" s="315">
        <v>3.0</v>
      </c>
      <c r="C10" s="316">
        <v>2900.5833333333335</v>
      </c>
      <c r="D10" s="301" t="str">
        <f>IFERROR(__xludf.DUMMYFUNCTION("if(ISBLANK(A10),"""",GOOGLEFINANCE(A10,""NAME""))"),"Asian Paints Ltd")</f>
        <v>Asian Paints Ltd</v>
      </c>
      <c r="E10" s="302">
        <v>5000.0</v>
      </c>
      <c r="F10" s="303">
        <f>IFERROR(__xludf.DUMMYFUNCTION("if(ISBLANK(A10),"""",GOOGLEFINANCE(A10,""HIGH52""))"),2985.7)</f>
        <v>2985.7</v>
      </c>
      <c r="G10" s="303">
        <f>IFERROR(__xludf.DUMMYFUNCTION("if(ISBLANK(A10),"""",GOOGLEFINANCE(A10,""LOW52""))"),2115.0)</f>
        <v>2115</v>
      </c>
      <c r="H10" s="304">
        <f>IFERROR(__xludf.DUMMYFUNCTION("if(ISBLANK(A10),"""",GOOGLEFINANCE(A10,""Price""))"),2730.2)</f>
        <v>2730.2</v>
      </c>
      <c r="I10" s="305" t="str">
        <f t="shared" si="1"/>
        <v>L</v>
      </c>
      <c r="J10" s="306" t="str">
        <f t="shared" si="2"/>
        <v>||</v>
      </c>
      <c r="K10" s="307">
        <f>IFERROR(__xludf.DUMMYFUNCTION("if(ISBLANK(A10),"""",googlefinance(A10,""Marketcap"")/10000000)"),262067.7477967)</f>
        <v>262067.7478</v>
      </c>
      <c r="L10" s="304">
        <f t="shared" si="3"/>
        <v>2388.56</v>
      </c>
      <c r="M10" s="308">
        <f t="shared" si="4"/>
        <v>2.093311451</v>
      </c>
      <c r="N10" s="309" t="str">
        <f t="shared" si="5"/>
        <v>H</v>
      </c>
      <c r="O10" s="310">
        <f t="shared" si="6"/>
        <v>2239.275</v>
      </c>
      <c r="P10" s="308">
        <f t="shared" si="7"/>
        <v>2.232865548</v>
      </c>
      <c r="Q10" s="311" t="str">
        <f t="shared" si="8"/>
        <v>H</v>
      </c>
      <c r="R10" s="304">
        <f t="shared" si="9"/>
        <v>2089.99</v>
      </c>
      <c r="S10" s="308">
        <f t="shared" si="10"/>
        <v>2.392355944</v>
      </c>
      <c r="T10" s="309" t="str">
        <f t="shared" si="11"/>
        <v>H</v>
      </c>
      <c r="U10" s="304">
        <f t="shared" si="12"/>
        <v>1940.705</v>
      </c>
      <c r="V10" s="308">
        <f t="shared" si="13"/>
        <v>2.576383325</v>
      </c>
      <c r="W10" s="309" t="str">
        <f t="shared" si="14"/>
        <v>H</v>
      </c>
      <c r="X10" s="304">
        <f t="shared" si="15"/>
        <v>1791.42</v>
      </c>
      <c r="Y10" s="308">
        <f t="shared" si="16"/>
        <v>2.791081935</v>
      </c>
      <c r="Z10" s="309" t="str">
        <f t="shared" si="17"/>
        <v>H</v>
      </c>
      <c r="AA10" s="312">
        <f t="shared" si="18"/>
        <v>1642.135</v>
      </c>
      <c r="AB10" s="308">
        <f t="shared" si="19"/>
        <v>3.044816656</v>
      </c>
      <c r="AC10" s="308" t="str">
        <f t="shared" si="20"/>
        <v>H</v>
      </c>
      <c r="AD10" s="312">
        <f t="shared" si="21"/>
        <v>1492.85</v>
      </c>
      <c r="AE10" s="308">
        <f t="shared" si="22"/>
        <v>3.349298322</v>
      </c>
      <c r="AF10" s="313" t="str">
        <f t="shared" si="23"/>
        <v>H</v>
      </c>
      <c r="AG10" s="304">
        <f t="shared" si="24"/>
        <v>1343.565</v>
      </c>
      <c r="AH10" s="308">
        <f t="shared" si="25"/>
        <v>3.72144258</v>
      </c>
      <c r="AI10" s="313" t="str">
        <f t="shared" si="26"/>
        <v>H</v>
      </c>
      <c r="AJ10" s="304">
        <f t="shared" si="27"/>
        <v>1194.28</v>
      </c>
      <c r="AK10" s="308">
        <f t="shared" si="28"/>
        <v>4.186622903</v>
      </c>
      <c r="AL10" s="308" t="str">
        <f t="shared" si="29"/>
        <v>H</v>
      </c>
      <c r="AM10" s="304">
        <f t="shared" si="30"/>
        <v>1044.995</v>
      </c>
      <c r="AN10" s="308">
        <f t="shared" si="31"/>
        <v>4.784711889</v>
      </c>
      <c r="AO10" s="313" t="str">
        <f t="shared" si="32"/>
        <v>H</v>
      </c>
      <c r="AP10" s="304">
        <f t="shared" si="33"/>
        <v>895.71</v>
      </c>
      <c r="AQ10" s="308">
        <f t="shared" si="34"/>
        <v>5.58216387</v>
      </c>
      <c r="AR10" s="313" t="str">
        <f t="shared" si="35"/>
        <v>H</v>
      </c>
      <c r="AS10" s="304">
        <f t="shared" si="36"/>
        <v>746.425</v>
      </c>
      <c r="AT10" s="308">
        <f t="shared" si="37"/>
        <v>6.698596644</v>
      </c>
      <c r="AU10" s="308" t="str">
        <f t="shared" si="38"/>
        <v>H</v>
      </c>
      <c r="AV10" s="304">
        <f t="shared" si="39"/>
        <v>597.14</v>
      </c>
      <c r="AW10" s="308">
        <f t="shared" si="40"/>
        <v>8.373245805</v>
      </c>
      <c r="AX10" s="308" t="str">
        <f t="shared" si="41"/>
        <v>H</v>
      </c>
      <c r="AY10" s="304">
        <f t="shared" si="42"/>
        <v>447.855</v>
      </c>
      <c r="AZ10" s="308">
        <f t="shared" si="43"/>
        <v>11.16432774</v>
      </c>
      <c r="BA10" s="313" t="str">
        <f t="shared" si="44"/>
        <v>H</v>
      </c>
      <c r="BB10" s="304">
        <f t="shared" si="45"/>
        <v>298.57</v>
      </c>
      <c r="BC10" s="308">
        <f t="shared" si="46"/>
        <v>16.74649161</v>
      </c>
      <c r="BD10" s="308" t="str">
        <f t="shared" si="47"/>
        <v>H</v>
      </c>
    </row>
    <row r="11">
      <c r="A11" s="317" t="s">
        <v>90</v>
      </c>
      <c r="B11" s="318">
        <v>2.0</v>
      </c>
      <c r="C11" s="319">
        <v>1545.0</v>
      </c>
      <c r="D11" s="301" t="str">
        <f>IFERROR(__xludf.DUMMYFUNCTION("if(ISBLANK(A11),"""",GOOGLEFINANCE(A11,""NAME""))"),"Astral Ltd")</f>
        <v>Astral Ltd</v>
      </c>
      <c r="E11" s="302">
        <v>5000.0</v>
      </c>
      <c r="F11" s="303">
        <f>IFERROR(__xludf.DUMMYFUNCTION("if(ISBLANK(A11),"""",GOOGLEFINANCE(A11,""HIGH52""))"),1768.7)</f>
        <v>1768.7</v>
      </c>
      <c r="G11" s="303">
        <f>IFERROR(__xludf.DUMMYFUNCTION("if(ISBLANK(A11),"""",GOOGLEFINANCE(A11,""LOW52""))"),1263.7)</f>
        <v>1263.7</v>
      </c>
      <c r="H11" s="304">
        <f>IFERROR(__xludf.DUMMYFUNCTION("if(ISBLANK(A11),"""",GOOGLEFINANCE(A11,""Price""))"),1356.9)</f>
        <v>1356.9</v>
      </c>
      <c r="I11" s="305" t="str">
        <f t="shared" si="1"/>
        <v>L</v>
      </c>
      <c r="J11" s="306" t="str">
        <f t="shared" si="2"/>
        <v>||</v>
      </c>
      <c r="K11" s="307">
        <f>IFERROR(__xludf.DUMMYFUNCTION("if(ISBLANK(A11),"""",googlefinance(A11,""Marketcap"")/10000000)"),36451.0430988)</f>
        <v>36451.0431</v>
      </c>
      <c r="L11" s="304">
        <f t="shared" si="3"/>
        <v>1414.96</v>
      </c>
      <c r="M11" s="308">
        <f t="shared" si="4"/>
        <v>3.533668796</v>
      </c>
      <c r="N11" s="309" t="str">
        <f t="shared" si="5"/>
        <v>B</v>
      </c>
      <c r="O11" s="310">
        <f t="shared" si="6"/>
        <v>1326.525</v>
      </c>
      <c r="P11" s="308">
        <f t="shared" si="7"/>
        <v>3.769246716</v>
      </c>
      <c r="Q11" s="311" t="str">
        <f t="shared" si="8"/>
        <v>H</v>
      </c>
      <c r="R11" s="304">
        <f t="shared" si="9"/>
        <v>1238.09</v>
      </c>
      <c r="S11" s="308">
        <f t="shared" si="10"/>
        <v>4.038478624</v>
      </c>
      <c r="T11" s="309" t="str">
        <f t="shared" si="11"/>
        <v>H</v>
      </c>
      <c r="U11" s="304">
        <f t="shared" si="12"/>
        <v>1149.655</v>
      </c>
      <c r="V11" s="308">
        <f t="shared" si="13"/>
        <v>4.349130826</v>
      </c>
      <c r="W11" s="309" t="str">
        <f t="shared" si="14"/>
        <v>H</v>
      </c>
      <c r="X11" s="304">
        <f t="shared" si="15"/>
        <v>1061.22</v>
      </c>
      <c r="Y11" s="308">
        <f t="shared" si="16"/>
        <v>4.711558395</v>
      </c>
      <c r="Z11" s="309" t="str">
        <f t="shared" si="17"/>
        <v>H</v>
      </c>
      <c r="AA11" s="312">
        <f t="shared" si="18"/>
        <v>972.785</v>
      </c>
      <c r="AB11" s="308">
        <f t="shared" si="19"/>
        <v>5.139881886</v>
      </c>
      <c r="AC11" s="308" t="str">
        <f t="shared" si="20"/>
        <v>H</v>
      </c>
      <c r="AD11" s="312">
        <f t="shared" si="21"/>
        <v>884.35</v>
      </c>
      <c r="AE11" s="308">
        <f t="shared" si="22"/>
        <v>5.653870074</v>
      </c>
      <c r="AF11" s="313" t="str">
        <f t="shared" si="23"/>
        <v>H</v>
      </c>
      <c r="AG11" s="304">
        <f t="shared" si="24"/>
        <v>795.915</v>
      </c>
      <c r="AH11" s="308">
        <f t="shared" si="25"/>
        <v>6.28207786</v>
      </c>
      <c r="AI11" s="313" t="str">
        <f t="shared" si="26"/>
        <v>H</v>
      </c>
      <c r="AJ11" s="304">
        <f t="shared" si="27"/>
        <v>707.48</v>
      </c>
      <c r="AK11" s="308">
        <f t="shared" si="28"/>
        <v>7.067337593</v>
      </c>
      <c r="AL11" s="308" t="str">
        <f t="shared" si="29"/>
        <v>H</v>
      </c>
      <c r="AM11" s="304">
        <f t="shared" si="30"/>
        <v>619.045</v>
      </c>
      <c r="AN11" s="308">
        <f t="shared" si="31"/>
        <v>8.076957249</v>
      </c>
      <c r="AO11" s="313" t="str">
        <f t="shared" si="32"/>
        <v>H</v>
      </c>
      <c r="AP11" s="304">
        <f t="shared" si="33"/>
        <v>530.61</v>
      </c>
      <c r="AQ11" s="308">
        <f t="shared" si="34"/>
        <v>9.42311679</v>
      </c>
      <c r="AR11" s="313" t="str">
        <f t="shared" si="35"/>
        <v>H</v>
      </c>
      <c r="AS11" s="304">
        <f t="shared" si="36"/>
        <v>442.175</v>
      </c>
      <c r="AT11" s="308">
        <f t="shared" si="37"/>
        <v>11.30774015</v>
      </c>
      <c r="AU11" s="308" t="str">
        <f t="shared" si="38"/>
        <v>H</v>
      </c>
      <c r="AV11" s="304">
        <f t="shared" si="39"/>
        <v>353.74</v>
      </c>
      <c r="AW11" s="308">
        <f t="shared" si="40"/>
        <v>14.13467519</v>
      </c>
      <c r="AX11" s="308" t="str">
        <f t="shared" si="41"/>
        <v>H</v>
      </c>
      <c r="AY11" s="304">
        <f t="shared" si="42"/>
        <v>265.305</v>
      </c>
      <c r="AZ11" s="308">
        <f t="shared" si="43"/>
        <v>18.84623358</v>
      </c>
      <c r="BA11" s="313" t="str">
        <f t="shared" si="44"/>
        <v>H</v>
      </c>
      <c r="BB11" s="304">
        <f t="shared" si="45"/>
        <v>176.87</v>
      </c>
      <c r="BC11" s="308">
        <f t="shared" si="46"/>
        <v>28.26935037</v>
      </c>
      <c r="BD11" s="308" t="str">
        <f t="shared" si="47"/>
        <v>H</v>
      </c>
    </row>
    <row r="12">
      <c r="A12" s="317" t="s">
        <v>91</v>
      </c>
      <c r="B12" s="318">
        <v>6.0</v>
      </c>
      <c r="C12" s="319">
        <v>579.6</v>
      </c>
      <c r="D12" s="301" t="str">
        <f>IFERROR(__xludf.DUMMYFUNCTION("if(ISBLANK(A12),"""",GOOGLEFINANCE(A12,""NAME""))"),"AU Small Finance Bank Ltd")</f>
        <v>AU Small Finance Bank Ltd</v>
      </c>
      <c r="E12" s="302">
        <v>5000.0</v>
      </c>
      <c r="F12" s="303">
        <f>IFERROR(__xludf.DUMMYFUNCTION("if(ISBLANK(A12),"""",GOOGLEFINANCE(A12,""HIGH52""))"),1079.55)</f>
        <v>1079.55</v>
      </c>
      <c r="G12" s="303">
        <f>IFERROR(__xludf.DUMMYFUNCTION("if(ISBLANK(A12),"""",GOOGLEFINANCE(A12,""LOW52""))"),682.15)</f>
        <v>682.15</v>
      </c>
      <c r="H12" s="304">
        <f>IFERROR(__xludf.DUMMYFUNCTION("if(ISBLANK(A12),"""",GOOGLEFINANCE(A12,""Price""))"),1066.0)</f>
        <v>1066</v>
      </c>
      <c r="I12" s="305" t="str">
        <f t="shared" si="1"/>
        <v>L</v>
      </c>
      <c r="J12" s="306" t="str">
        <f t="shared" si="2"/>
        <v>||</v>
      </c>
      <c r="K12" s="307">
        <f>IFERROR(__xludf.DUMMYFUNCTION("if(ISBLANK(A12),"""",googlefinance(A12,""Marketcap"")/10000000)"),79446.9502445)</f>
        <v>79446.95024</v>
      </c>
      <c r="L12" s="304">
        <f t="shared" si="3"/>
        <v>863.64</v>
      </c>
      <c r="M12" s="308">
        <f t="shared" si="4"/>
        <v>5.789449308</v>
      </c>
      <c r="N12" s="309" t="str">
        <f t="shared" si="5"/>
        <v>H</v>
      </c>
      <c r="O12" s="310">
        <f t="shared" si="6"/>
        <v>809.6625</v>
      </c>
      <c r="P12" s="308">
        <f t="shared" si="7"/>
        <v>6.175412595</v>
      </c>
      <c r="Q12" s="311" t="str">
        <f t="shared" si="8"/>
        <v>H</v>
      </c>
      <c r="R12" s="304">
        <f t="shared" si="9"/>
        <v>755.685</v>
      </c>
      <c r="S12" s="308">
        <f t="shared" si="10"/>
        <v>6.616513494</v>
      </c>
      <c r="T12" s="309" t="str">
        <f t="shared" si="11"/>
        <v>H</v>
      </c>
      <c r="U12" s="304">
        <f t="shared" si="12"/>
        <v>701.7075</v>
      </c>
      <c r="V12" s="308">
        <f t="shared" si="13"/>
        <v>7.125476071</v>
      </c>
      <c r="W12" s="309" t="str">
        <f t="shared" si="14"/>
        <v>H</v>
      </c>
      <c r="X12" s="304">
        <f t="shared" si="15"/>
        <v>647.73</v>
      </c>
      <c r="Y12" s="308">
        <f t="shared" si="16"/>
        <v>7.719265743</v>
      </c>
      <c r="Z12" s="309" t="str">
        <f t="shared" si="17"/>
        <v>H</v>
      </c>
      <c r="AA12" s="312">
        <f t="shared" si="18"/>
        <v>593.7525</v>
      </c>
      <c r="AB12" s="308">
        <f t="shared" si="19"/>
        <v>8.421017175</v>
      </c>
      <c r="AC12" s="308" t="str">
        <f t="shared" si="20"/>
        <v>H</v>
      </c>
      <c r="AD12" s="312">
        <f t="shared" si="21"/>
        <v>539.775</v>
      </c>
      <c r="AE12" s="308">
        <f t="shared" si="22"/>
        <v>9.263118892</v>
      </c>
      <c r="AF12" s="313" t="str">
        <f t="shared" si="23"/>
        <v>H</v>
      </c>
      <c r="AG12" s="304">
        <f t="shared" si="24"/>
        <v>485.7975</v>
      </c>
      <c r="AH12" s="308">
        <f t="shared" si="25"/>
        <v>10.29235432</v>
      </c>
      <c r="AI12" s="313" t="str">
        <f t="shared" si="26"/>
        <v>H</v>
      </c>
      <c r="AJ12" s="304">
        <f t="shared" si="27"/>
        <v>431.82</v>
      </c>
      <c r="AK12" s="308">
        <f t="shared" si="28"/>
        <v>11.57889862</v>
      </c>
      <c r="AL12" s="308" t="str">
        <f t="shared" si="29"/>
        <v>H</v>
      </c>
      <c r="AM12" s="304">
        <f t="shared" si="30"/>
        <v>377.8425</v>
      </c>
      <c r="AN12" s="308">
        <f t="shared" si="31"/>
        <v>13.23302699</v>
      </c>
      <c r="AO12" s="313" t="str">
        <f t="shared" si="32"/>
        <v>H</v>
      </c>
      <c r="AP12" s="304">
        <f t="shared" si="33"/>
        <v>323.865</v>
      </c>
      <c r="AQ12" s="308">
        <f t="shared" si="34"/>
        <v>15.43853149</v>
      </c>
      <c r="AR12" s="313" t="str">
        <f t="shared" si="35"/>
        <v>H</v>
      </c>
      <c r="AS12" s="304">
        <f t="shared" si="36"/>
        <v>269.8875</v>
      </c>
      <c r="AT12" s="308">
        <f t="shared" si="37"/>
        <v>18.52623778</v>
      </c>
      <c r="AU12" s="308" t="str">
        <f t="shared" si="38"/>
        <v>H</v>
      </c>
      <c r="AV12" s="304">
        <f t="shared" si="39"/>
        <v>215.91</v>
      </c>
      <c r="AW12" s="308">
        <f t="shared" si="40"/>
        <v>23.15779723</v>
      </c>
      <c r="AX12" s="308" t="str">
        <f t="shared" si="41"/>
        <v>H</v>
      </c>
      <c r="AY12" s="304">
        <f t="shared" si="42"/>
        <v>161.9325</v>
      </c>
      <c r="AZ12" s="308">
        <f t="shared" si="43"/>
        <v>30.87706297</v>
      </c>
      <c r="BA12" s="313" t="str">
        <f t="shared" si="44"/>
        <v>H</v>
      </c>
      <c r="BB12" s="304">
        <f t="shared" si="45"/>
        <v>107.955</v>
      </c>
      <c r="BC12" s="308">
        <f t="shared" si="46"/>
        <v>46.31559446</v>
      </c>
      <c r="BD12" s="308" t="str">
        <f t="shared" si="47"/>
        <v>H</v>
      </c>
    </row>
    <row r="13">
      <c r="A13" s="317" t="s">
        <v>259</v>
      </c>
      <c r="B13" s="318">
        <v>100.0</v>
      </c>
      <c r="C13" s="319">
        <v>162.886</v>
      </c>
      <c r="D13" s="301" t="str">
        <f>IFERROR(__xludf.DUMMYFUNCTION("if(ISBLANK(A13),"""",GOOGLEFINANCE(A13,""NAME""))"),"Bajaj Housing Finance Ltd")</f>
        <v>Bajaj Housing Finance Ltd</v>
      </c>
      <c r="E13" s="302">
        <v>5000.0</v>
      </c>
      <c r="F13" s="303">
        <f>IFERROR(__xludf.DUMMYFUNCTION("if(ISBLANK(A13),"""",GOOGLEFINANCE(A13,""HIGH52""))"),124.0)</f>
        <v>124</v>
      </c>
      <c r="G13" s="303">
        <f>IFERROR(__xludf.DUMMYFUNCTION("if(ISBLANK(A13),"""",GOOGLEFINANCE(A13,""LOW52""))"),72.65)</f>
        <v>72.65</v>
      </c>
      <c r="H13" s="304">
        <f>IFERROR(__xludf.DUMMYFUNCTION("if(ISBLANK(A13),"""",GOOGLEFINANCE(A13,""Price""))"),88.37)</f>
        <v>88.37</v>
      </c>
      <c r="I13" s="305" t="str">
        <f t="shared" si="1"/>
        <v>L</v>
      </c>
      <c r="J13" s="306" t="str">
        <f t="shared" si="2"/>
        <v>||</v>
      </c>
      <c r="K13" s="307">
        <f>IFERROR(__xludf.DUMMYFUNCTION("if(ISBLANK(A13),"""",googlefinance(A13,""Marketcap"")/10000000)"),73803.1388934)</f>
        <v>73803.13889</v>
      </c>
      <c r="L13" s="304">
        <f t="shared" si="3"/>
        <v>99.2</v>
      </c>
      <c r="M13" s="308">
        <f t="shared" si="4"/>
        <v>50.40322581</v>
      </c>
      <c r="N13" s="309" t="str">
        <f t="shared" si="5"/>
        <v>Next</v>
      </c>
      <c r="O13" s="310">
        <f t="shared" si="6"/>
        <v>93</v>
      </c>
      <c r="P13" s="308">
        <f t="shared" si="7"/>
        <v>53.76344086</v>
      </c>
      <c r="Q13" s="311" t="str">
        <f t="shared" si="8"/>
        <v>B</v>
      </c>
      <c r="R13" s="304">
        <f t="shared" si="9"/>
        <v>86.8</v>
      </c>
      <c r="S13" s="308">
        <f t="shared" si="10"/>
        <v>57.60368664</v>
      </c>
      <c r="T13" s="309" t="str">
        <f t="shared" si="11"/>
        <v>H</v>
      </c>
      <c r="U13" s="304">
        <f t="shared" si="12"/>
        <v>80.6</v>
      </c>
      <c r="V13" s="308">
        <f t="shared" si="13"/>
        <v>62.03473945</v>
      </c>
      <c r="W13" s="309" t="str">
        <f t="shared" si="14"/>
        <v>H</v>
      </c>
      <c r="X13" s="304">
        <f t="shared" si="15"/>
        <v>74.4</v>
      </c>
      <c r="Y13" s="308">
        <f t="shared" si="16"/>
        <v>67.20430108</v>
      </c>
      <c r="Z13" s="309" t="str">
        <f t="shared" si="17"/>
        <v>H</v>
      </c>
      <c r="AA13" s="312">
        <f t="shared" si="18"/>
        <v>68.2</v>
      </c>
      <c r="AB13" s="308">
        <f t="shared" si="19"/>
        <v>73.31378299</v>
      </c>
      <c r="AC13" s="308" t="str">
        <f t="shared" si="20"/>
        <v>H</v>
      </c>
      <c r="AD13" s="312">
        <f t="shared" si="21"/>
        <v>62</v>
      </c>
      <c r="AE13" s="308">
        <f t="shared" si="22"/>
        <v>80.64516129</v>
      </c>
      <c r="AF13" s="313" t="str">
        <f t="shared" si="23"/>
        <v>H</v>
      </c>
      <c r="AG13" s="304">
        <f t="shared" si="24"/>
        <v>55.8</v>
      </c>
      <c r="AH13" s="308">
        <f t="shared" si="25"/>
        <v>89.60573477</v>
      </c>
      <c r="AI13" s="313" t="str">
        <f t="shared" si="26"/>
        <v>H</v>
      </c>
      <c r="AJ13" s="304">
        <f t="shared" si="27"/>
        <v>49.6</v>
      </c>
      <c r="AK13" s="308">
        <f t="shared" si="28"/>
        <v>100.8064516</v>
      </c>
      <c r="AL13" s="308" t="str">
        <f t="shared" si="29"/>
        <v>H</v>
      </c>
      <c r="AM13" s="304">
        <f t="shared" si="30"/>
        <v>43.4</v>
      </c>
      <c r="AN13" s="308">
        <f t="shared" si="31"/>
        <v>115.2073733</v>
      </c>
      <c r="AO13" s="313" t="str">
        <f t="shared" si="32"/>
        <v>H</v>
      </c>
      <c r="AP13" s="304">
        <f t="shared" si="33"/>
        <v>37.2</v>
      </c>
      <c r="AQ13" s="308">
        <f t="shared" si="34"/>
        <v>134.4086022</v>
      </c>
      <c r="AR13" s="313" t="str">
        <f t="shared" si="35"/>
        <v>H</v>
      </c>
      <c r="AS13" s="304">
        <f t="shared" si="36"/>
        <v>31</v>
      </c>
      <c r="AT13" s="308">
        <f t="shared" si="37"/>
        <v>161.2903226</v>
      </c>
      <c r="AU13" s="308" t="str">
        <f t="shared" si="38"/>
        <v>H</v>
      </c>
      <c r="AV13" s="304">
        <f t="shared" si="39"/>
        <v>24.8</v>
      </c>
      <c r="AW13" s="308">
        <f t="shared" si="40"/>
        <v>201.6129032</v>
      </c>
      <c r="AX13" s="308" t="str">
        <f t="shared" si="41"/>
        <v>H</v>
      </c>
      <c r="AY13" s="304">
        <f t="shared" si="42"/>
        <v>18.6</v>
      </c>
      <c r="AZ13" s="308">
        <f t="shared" si="43"/>
        <v>268.8172043</v>
      </c>
      <c r="BA13" s="313" t="str">
        <f t="shared" si="44"/>
        <v>H</v>
      </c>
      <c r="BB13" s="304">
        <f t="shared" si="45"/>
        <v>12.4</v>
      </c>
      <c r="BC13" s="308">
        <f t="shared" si="46"/>
        <v>403.2258065</v>
      </c>
      <c r="BD13" s="308" t="str">
        <f t="shared" si="47"/>
        <v>H</v>
      </c>
    </row>
    <row r="14">
      <c r="A14" s="317" t="s">
        <v>94</v>
      </c>
      <c r="B14" s="318">
        <v>9.0</v>
      </c>
      <c r="C14" s="319">
        <v>548.3</v>
      </c>
      <c r="D14" s="301" t="str">
        <f>IFERROR(__xludf.DUMMYFUNCTION("if(ISBLANK(A14),"""",GOOGLEFINANCE(A14,""NAME""))"),"Berger Paints India Ltd")</f>
        <v>Berger Paints India Ltd</v>
      </c>
      <c r="E14" s="302">
        <v>5000.0</v>
      </c>
      <c r="F14" s="303">
        <f>IFERROR(__xludf.DUMMYFUNCTION("if(ISBLANK(A14),"""",GOOGLEFINANCE(A14,""HIGH52""))"),600.0)</f>
        <v>600</v>
      </c>
      <c r="G14" s="303">
        <f>IFERROR(__xludf.DUMMYFUNCTION("if(ISBLANK(A14),"""",GOOGLEFINANCE(A14,""LOW52""))"),391.1)</f>
        <v>391.1</v>
      </c>
      <c r="H14" s="304">
        <f>IFERROR(__xludf.DUMMYFUNCTION("if(ISBLANK(A14),"""",GOOGLEFINANCE(A14,""Price""))"),509.9)</f>
        <v>509.9</v>
      </c>
      <c r="I14" s="305" t="str">
        <f t="shared" si="1"/>
        <v>L</v>
      </c>
      <c r="J14" s="306" t="str">
        <f t="shared" si="2"/>
        <v>||</v>
      </c>
      <c r="K14" s="307">
        <f>IFERROR(__xludf.DUMMYFUNCTION("if(ISBLANK(A14),"""",googlefinance(A14,""Marketcap"")/10000000)"),59337.4062917)</f>
        <v>59337.40629</v>
      </c>
      <c r="L14" s="304">
        <f t="shared" si="3"/>
        <v>480</v>
      </c>
      <c r="M14" s="308">
        <f t="shared" si="4"/>
        <v>10.41666667</v>
      </c>
      <c r="N14" s="309" t="str">
        <f t="shared" si="5"/>
        <v>H</v>
      </c>
      <c r="O14" s="310">
        <f t="shared" si="6"/>
        <v>450</v>
      </c>
      <c r="P14" s="308">
        <f t="shared" si="7"/>
        <v>11.11111111</v>
      </c>
      <c r="Q14" s="311" t="str">
        <f t="shared" si="8"/>
        <v>H</v>
      </c>
      <c r="R14" s="304">
        <f t="shared" si="9"/>
        <v>420</v>
      </c>
      <c r="S14" s="308">
        <f t="shared" si="10"/>
        <v>11.9047619</v>
      </c>
      <c r="T14" s="309" t="str">
        <f t="shared" si="11"/>
        <v>H</v>
      </c>
      <c r="U14" s="304">
        <f t="shared" si="12"/>
        <v>390</v>
      </c>
      <c r="V14" s="308">
        <f t="shared" si="13"/>
        <v>12.82051282</v>
      </c>
      <c r="W14" s="309" t="str">
        <f t="shared" si="14"/>
        <v>H</v>
      </c>
      <c r="X14" s="304">
        <f t="shared" si="15"/>
        <v>360</v>
      </c>
      <c r="Y14" s="308">
        <f t="shared" si="16"/>
        <v>13.88888889</v>
      </c>
      <c r="Z14" s="309" t="str">
        <f t="shared" si="17"/>
        <v>H</v>
      </c>
      <c r="AA14" s="312">
        <f t="shared" si="18"/>
        <v>330</v>
      </c>
      <c r="AB14" s="308">
        <f t="shared" si="19"/>
        <v>15.15151515</v>
      </c>
      <c r="AC14" s="308" t="str">
        <f t="shared" si="20"/>
        <v>H</v>
      </c>
      <c r="AD14" s="312">
        <f t="shared" si="21"/>
        <v>300</v>
      </c>
      <c r="AE14" s="308">
        <f t="shared" si="22"/>
        <v>16.66666667</v>
      </c>
      <c r="AF14" s="313" t="str">
        <f t="shared" si="23"/>
        <v>H</v>
      </c>
      <c r="AG14" s="304">
        <f t="shared" si="24"/>
        <v>270</v>
      </c>
      <c r="AH14" s="308">
        <f t="shared" si="25"/>
        <v>18.51851852</v>
      </c>
      <c r="AI14" s="313" t="str">
        <f t="shared" si="26"/>
        <v>H</v>
      </c>
      <c r="AJ14" s="304">
        <f t="shared" si="27"/>
        <v>240</v>
      </c>
      <c r="AK14" s="308">
        <f t="shared" si="28"/>
        <v>20.83333333</v>
      </c>
      <c r="AL14" s="308" t="str">
        <f t="shared" si="29"/>
        <v>H</v>
      </c>
      <c r="AM14" s="304">
        <f t="shared" si="30"/>
        <v>210</v>
      </c>
      <c r="AN14" s="308">
        <f t="shared" si="31"/>
        <v>23.80952381</v>
      </c>
      <c r="AO14" s="313" t="str">
        <f t="shared" si="32"/>
        <v>H</v>
      </c>
      <c r="AP14" s="304">
        <f t="shared" si="33"/>
        <v>180</v>
      </c>
      <c r="AQ14" s="308">
        <f t="shared" si="34"/>
        <v>27.77777778</v>
      </c>
      <c r="AR14" s="313" t="str">
        <f t="shared" si="35"/>
        <v>H</v>
      </c>
      <c r="AS14" s="304">
        <f t="shared" si="36"/>
        <v>150</v>
      </c>
      <c r="AT14" s="308">
        <f t="shared" si="37"/>
        <v>33.33333333</v>
      </c>
      <c r="AU14" s="308" t="str">
        <f t="shared" si="38"/>
        <v>H</v>
      </c>
      <c r="AV14" s="304">
        <f t="shared" si="39"/>
        <v>120</v>
      </c>
      <c r="AW14" s="308">
        <f t="shared" si="40"/>
        <v>41.66666667</v>
      </c>
      <c r="AX14" s="308" t="str">
        <f t="shared" si="41"/>
        <v>H</v>
      </c>
      <c r="AY14" s="304">
        <f t="shared" si="42"/>
        <v>90</v>
      </c>
      <c r="AZ14" s="308">
        <f t="shared" si="43"/>
        <v>55.55555556</v>
      </c>
      <c r="BA14" s="313" t="str">
        <f t="shared" si="44"/>
        <v>H</v>
      </c>
      <c r="BB14" s="304">
        <f t="shared" si="45"/>
        <v>60</v>
      </c>
      <c r="BC14" s="308">
        <f t="shared" si="46"/>
        <v>83.33333333</v>
      </c>
      <c r="BD14" s="308" t="str">
        <f t="shared" si="47"/>
        <v>H</v>
      </c>
    </row>
    <row r="15">
      <c r="A15" s="317" t="s">
        <v>95</v>
      </c>
      <c r="B15" s="318">
        <v>11.0</v>
      </c>
      <c r="C15" s="319">
        <v>438.54090909090917</v>
      </c>
      <c r="D15" s="301" t="str">
        <f>IFERROR(__xludf.DUMMYFUNCTION("if(ISBLANK(A15),"""",GOOGLEFINANCE(A15,""NAME""))"),"BSE Ltd")</f>
        <v>BSE Ltd</v>
      </c>
      <c r="E15" s="302">
        <v>5000.0</v>
      </c>
      <c r="F15" s="303">
        <f>IFERROR(__xludf.DUMMYFUNCTION("if(ISBLANK(A15),"""",GOOGLEFINANCE(A15,""HIGH52""))"),4446.8)</f>
        <v>4446.8</v>
      </c>
      <c r="G15" s="303">
        <f>IFERROR(__xludf.DUMMYFUNCTION("if(ISBLANK(A15),"""",GOOGLEFINANCE(A15,""LOW52""))"),2021.5)</f>
        <v>2021.5</v>
      </c>
      <c r="H15" s="304">
        <f>IFERROR(__xludf.DUMMYFUNCTION("if(ISBLANK(A15),"""",GOOGLEFINANCE(A15,""Price""))"),3678.7)</f>
        <v>3678.7</v>
      </c>
      <c r="I15" s="305" t="str">
        <f t="shared" si="1"/>
        <v>L</v>
      </c>
      <c r="J15" s="306" t="str">
        <f t="shared" si="2"/>
        <v>||</v>
      </c>
      <c r="K15" s="307">
        <f>IFERROR(__xludf.DUMMYFUNCTION("if(ISBLANK(A15),"""",googlefinance(A15,""Marketcap"")/10000000)"),149833.1179282)</f>
        <v>149833.1179</v>
      </c>
      <c r="L15" s="304">
        <f t="shared" si="3"/>
        <v>3557.44</v>
      </c>
      <c r="M15" s="308">
        <f t="shared" si="4"/>
        <v>1.405505082</v>
      </c>
      <c r="N15" s="309" t="str">
        <f t="shared" si="5"/>
        <v>H</v>
      </c>
      <c r="O15" s="310">
        <f t="shared" si="6"/>
        <v>3335.1</v>
      </c>
      <c r="P15" s="308">
        <f t="shared" si="7"/>
        <v>1.499205421</v>
      </c>
      <c r="Q15" s="311" t="str">
        <f t="shared" si="8"/>
        <v>H</v>
      </c>
      <c r="R15" s="304">
        <f t="shared" si="9"/>
        <v>3112.76</v>
      </c>
      <c r="S15" s="308">
        <f t="shared" si="10"/>
        <v>1.606291523</v>
      </c>
      <c r="T15" s="309" t="str">
        <f t="shared" si="11"/>
        <v>H</v>
      </c>
      <c r="U15" s="304">
        <f t="shared" si="12"/>
        <v>2890.42</v>
      </c>
      <c r="V15" s="308">
        <f t="shared" si="13"/>
        <v>1.729852409</v>
      </c>
      <c r="W15" s="309" t="str">
        <f t="shared" si="14"/>
        <v>H</v>
      </c>
      <c r="X15" s="304">
        <f t="shared" si="15"/>
        <v>2668.08</v>
      </c>
      <c r="Y15" s="308">
        <f t="shared" si="16"/>
        <v>1.874006776</v>
      </c>
      <c r="Z15" s="309" t="str">
        <f t="shared" si="17"/>
        <v>H</v>
      </c>
      <c r="AA15" s="312">
        <f t="shared" si="18"/>
        <v>2445.74</v>
      </c>
      <c r="AB15" s="308">
        <f t="shared" si="19"/>
        <v>2.044371029</v>
      </c>
      <c r="AC15" s="308" t="str">
        <f t="shared" si="20"/>
        <v>H</v>
      </c>
      <c r="AD15" s="312">
        <f t="shared" si="21"/>
        <v>2223.4</v>
      </c>
      <c r="AE15" s="308">
        <f t="shared" si="22"/>
        <v>2.248808132</v>
      </c>
      <c r="AF15" s="313" t="str">
        <f t="shared" si="23"/>
        <v>H</v>
      </c>
      <c r="AG15" s="304">
        <f t="shared" si="24"/>
        <v>2001.06</v>
      </c>
      <c r="AH15" s="308">
        <f t="shared" si="25"/>
        <v>2.498675702</v>
      </c>
      <c r="AI15" s="313" t="str">
        <f t="shared" si="26"/>
        <v>H</v>
      </c>
      <c r="AJ15" s="304">
        <f t="shared" si="27"/>
        <v>1778.72</v>
      </c>
      <c r="AK15" s="308">
        <f t="shared" si="28"/>
        <v>2.811010165</v>
      </c>
      <c r="AL15" s="308" t="str">
        <f t="shared" si="29"/>
        <v>H</v>
      </c>
      <c r="AM15" s="304">
        <f t="shared" si="30"/>
        <v>1556.38</v>
      </c>
      <c r="AN15" s="308">
        <f t="shared" si="31"/>
        <v>3.212583045</v>
      </c>
      <c r="AO15" s="313" t="str">
        <f t="shared" si="32"/>
        <v>H</v>
      </c>
      <c r="AP15" s="304">
        <f t="shared" si="33"/>
        <v>1334.04</v>
      </c>
      <c r="AQ15" s="308">
        <f t="shared" si="34"/>
        <v>3.748013553</v>
      </c>
      <c r="AR15" s="313" t="str">
        <f t="shared" si="35"/>
        <v>H</v>
      </c>
      <c r="AS15" s="304">
        <f t="shared" si="36"/>
        <v>1111.7</v>
      </c>
      <c r="AT15" s="308">
        <f t="shared" si="37"/>
        <v>4.497616263</v>
      </c>
      <c r="AU15" s="308" t="str">
        <f t="shared" si="38"/>
        <v>H</v>
      </c>
      <c r="AV15" s="304">
        <f t="shared" si="39"/>
        <v>889.36</v>
      </c>
      <c r="AW15" s="308">
        <f t="shared" si="40"/>
        <v>5.622020329</v>
      </c>
      <c r="AX15" s="308" t="str">
        <f t="shared" si="41"/>
        <v>H</v>
      </c>
      <c r="AY15" s="304">
        <f t="shared" si="42"/>
        <v>667.02</v>
      </c>
      <c r="AZ15" s="308">
        <f t="shared" si="43"/>
        <v>7.496027106</v>
      </c>
      <c r="BA15" s="313" t="str">
        <f t="shared" si="44"/>
        <v>H</v>
      </c>
      <c r="BB15" s="304">
        <f t="shared" si="45"/>
        <v>444.68</v>
      </c>
      <c r="BC15" s="308">
        <f t="shared" si="46"/>
        <v>11.24404066</v>
      </c>
      <c r="BD15" s="308" t="str">
        <f t="shared" si="47"/>
        <v>H</v>
      </c>
    </row>
    <row r="16">
      <c r="A16" s="317" t="s">
        <v>96</v>
      </c>
      <c r="B16" s="318">
        <v>2.0</v>
      </c>
      <c r="C16" s="319">
        <v>2349.0</v>
      </c>
      <c r="D16" s="301" t="str">
        <f>IFERROR(__xludf.DUMMYFUNCTION("if(ISBLANK(A16),"""",GOOGLEFINANCE(A16,""NAME""))"),"Computer Age Management Services Ltd")</f>
        <v>Computer Age Management Services Ltd</v>
      </c>
      <c r="E16" s="302">
        <v>5000.0</v>
      </c>
      <c r="F16" s="303">
        <f>IFERROR(__xludf.DUMMYFUNCTION("if(ISBLANK(A16),"""",GOOGLEFINANCE(A16,""HIGH52""))"),857.8)</f>
        <v>857.8</v>
      </c>
      <c r="G16" s="303">
        <f>IFERROR(__xludf.DUMMYFUNCTION("if(ISBLANK(A16),"""",GOOGLEFINANCE(A16,""LOW52""))"),611.4)</f>
        <v>611.4</v>
      </c>
      <c r="H16" s="304">
        <f>IFERROR(__xludf.DUMMYFUNCTION("if(ISBLANK(A16),"""",GOOGLEFINANCE(A16,""Price""))"),777.35)</f>
        <v>777.35</v>
      </c>
      <c r="I16" s="305" t="str">
        <f t="shared" si="1"/>
        <v>M</v>
      </c>
      <c r="J16" s="306" t="str">
        <f t="shared" si="2"/>
        <v>|||</v>
      </c>
      <c r="K16" s="307">
        <f>IFERROR(__xludf.DUMMYFUNCTION("if(ISBLANK(A16),"""",googlefinance(A16,""Marketcap"")/10000000)"),19294.1917485)</f>
        <v>19294.19175</v>
      </c>
      <c r="L16" s="304">
        <f t="shared" si="3"/>
        <v>686.24</v>
      </c>
      <c r="M16" s="308">
        <f t="shared" si="4"/>
        <v>7.286080671</v>
      </c>
      <c r="N16" s="309" t="str">
        <f t="shared" si="5"/>
        <v>H</v>
      </c>
      <c r="O16" s="310">
        <f t="shared" si="6"/>
        <v>643.35</v>
      </c>
      <c r="P16" s="308">
        <f t="shared" si="7"/>
        <v>7.771819383</v>
      </c>
      <c r="Q16" s="311" t="str">
        <f t="shared" si="8"/>
        <v>H</v>
      </c>
      <c r="R16" s="304">
        <f t="shared" si="9"/>
        <v>600.46</v>
      </c>
      <c r="S16" s="308">
        <f t="shared" si="10"/>
        <v>8.326949339</v>
      </c>
      <c r="T16" s="309" t="str">
        <f t="shared" si="11"/>
        <v>H</v>
      </c>
      <c r="U16" s="304">
        <f t="shared" si="12"/>
        <v>557.57</v>
      </c>
      <c r="V16" s="308">
        <f t="shared" si="13"/>
        <v>8.967483903</v>
      </c>
      <c r="W16" s="309" t="str">
        <f t="shared" si="14"/>
        <v>H</v>
      </c>
      <c r="X16" s="304">
        <f t="shared" si="15"/>
        <v>514.68</v>
      </c>
      <c r="Y16" s="308">
        <f t="shared" si="16"/>
        <v>9.714774229</v>
      </c>
      <c r="Z16" s="309" t="str">
        <f t="shared" si="17"/>
        <v>H</v>
      </c>
      <c r="AA16" s="312">
        <f t="shared" si="18"/>
        <v>471.79</v>
      </c>
      <c r="AB16" s="308">
        <f t="shared" si="19"/>
        <v>10.59793552</v>
      </c>
      <c r="AC16" s="308" t="str">
        <f t="shared" si="20"/>
        <v>H</v>
      </c>
      <c r="AD16" s="312">
        <f t="shared" si="21"/>
        <v>428.9</v>
      </c>
      <c r="AE16" s="308">
        <f t="shared" si="22"/>
        <v>11.65772907</v>
      </c>
      <c r="AF16" s="313" t="str">
        <f t="shared" si="23"/>
        <v>H</v>
      </c>
      <c r="AG16" s="304">
        <f t="shared" si="24"/>
        <v>386.01</v>
      </c>
      <c r="AH16" s="308">
        <f t="shared" si="25"/>
        <v>12.9530323</v>
      </c>
      <c r="AI16" s="313" t="str">
        <f t="shared" si="26"/>
        <v>H</v>
      </c>
      <c r="AJ16" s="304">
        <f t="shared" si="27"/>
        <v>343.12</v>
      </c>
      <c r="AK16" s="308">
        <f t="shared" si="28"/>
        <v>14.57216134</v>
      </c>
      <c r="AL16" s="308" t="str">
        <f t="shared" si="29"/>
        <v>H</v>
      </c>
      <c r="AM16" s="304">
        <f t="shared" si="30"/>
        <v>300.23</v>
      </c>
      <c r="AN16" s="308">
        <f t="shared" si="31"/>
        <v>16.65389868</v>
      </c>
      <c r="AO16" s="313" t="str">
        <f t="shared" si="32"/>
        <v>H</v>
      </c>
      <c r="AP16" s="304">
        <f t="shared" si="33"/>
        <v>257.34</v>
      </c>
      <c r="AQ16" s="308">
        <f t="shared" si="34"/>
        <v>19.42954846</v>
      </c>
      <c r="AR16" s="313" t="str">
        <f t="shared" si="35"/>
        <v>H</v>
      </c>
      <c r="AS16" s="304">
        <f t="shared" si="36"/>
        <v>214.45</v>
      </c>
      <c r="AT16" s="308">
        <f t="shared" si="37"/>
        <v>23.31545815</v>
      </c>
      <c r="AU16" s="308" t="str">
        <f t="shared" si="38"/>
        <v>H</v>
      </c>
      <c r="AV16" s="304">
        <f t="shared" si="39"/>
        <v>171.56</v>
      </c>
      <c r="AW16" s="308">
        <f t="shared" si="40"/>
        <v>29.14432269</v>
      </c>
      <c r="AX16" s="308" t="str">
        <f t="shared" si="41"/>
        <v>H</v>
      </c>
      <c r="AY16" s="304">
        <f t="shared" si="42"/>
        <v>128.67</v>
      </c>
      <c r="AZ16" s="308">
        <f t="shared" si="43"/>
        <v>38.85909691</v>
      </c>
      <c r="BA16" s="313" t="str">
        <f t="shared" si="44"/>
        <v>H</v>
      </c>
      <c r="BB16" s="304">
        <f t="shared" si="45"/>
        <v>85.78</v>
      </c>
      <c r="BC16" s="308">
        <f t="shared" si="46"/>
        <v>58.28864537</v>
      </c>
      <c r="BD16" s="308" t="str">
        <f t="shared" si="47"/>
        <v>H</v>
      </c>
    </row>
    <row r="17">
      <c r="A17" s="298" t="s">
        <v>97</v>
      </c>
      <c r="B17" s="299">
        <v>8.0</v>
      </c>
      <c r="C17" s="300">
        <v>548.5625</v>
      </c>
      <c r="D17" s="301" t="str">
        <f>IFERROR(__xludf.DUMMYFUNCTION("if(ISBLANK(A17),"""",GOOGLEFINANCE(A17,""NAME""))"),"Central Depository Services (India) Ltd")</f>
        <v>Central Depository Services (India) Ltd</v>
      </c>
      <c r="E17" s="302">
        <v>5000.0</v>
      </c>
      <c r="F17" s="303">
        <f>IFERROR(__xludf.DUMMYFUNCTION("if(ISBLANK(A17),"""",GOOGLEFINANCE(A17,""HIGH52""))"),1794.9)</f>
        <v>1794.9</v>
      </c>
      <c r="G17" s="303">
        <f>IFERROR(__xludf.DUMMYFUNCTION("if(ISBLANK(A17),"""",GOOGLEFINANCE(A17,""LOW52""))"),1116.3)</f>
        <v>1116.3</v>
      </c>
      <c r="H17" s="304">
        <f>IFERROR(__xludf.DUMMYFUNCTION("if(ISBLANK(A17),"""",GOOGLEFINANCE(A17,""Price""))"),1358.0)</f>
        <v>1358</v>
      </c>
      <c r="I17" s="305" t="str">
        <f t="shared" si="1"/>
        <v>M</v>
      </c>
      <c r="J17" s="306" t="str">
        <f t="shared" si="2"/>
        <v>|||</v>
      </c>
      <c r="K17" s="307">
        <f>IFERROR(__xludf.DUMMYFUNCTION("if(ISBLANK(A17),"""",googlefinance(A17,""Marketcap"")/10000000)"),28382.18642)</f>
        <v>28382.18642</v>
      </c>
      <c r="L17" s="304">
        <f t="shared" si="3"/>
        <v>1435.92</v>
      </c>
      <c r="M17" s="308">
        <f t="shared" si="4"/>
        <v>3.482088139</v>
      </c>
      <c r="N17" s="309" t="str">
        <f t="shared" si="5"/>
        <v>B</v>
      </c>
      <c r="O17" s="310">
        <f t="shared" si="6"/>
        <v>1346.175</v>
      </c>
      <c r="P17" s="308">
        <f t="shared" si="7"/>
        <v>3.714227348</v>
      </c>
      <c r="Q17" s="311" t="str">
        <f t="shared" si="8"/>
        <v>H</v>
      </c>
      <c r="R17" s="304">
        <f t="shared" si="9"/>
        <v>1256.43</v>
      </c>
      <c r="S17" s="308">
        <f t="shared" si="10"/>
        <v>3.979529301</v>
      </c>
      <c r="T17" s="309" t="str">
        <f t="shared" si="11"/>
        <v>H</v>
      </c>
      <c r="U17" s="304">
        <f t="shared" si="12"/>
        <v>1166.685</v>
      </c>
      <c r="V17" s="308">
        <f t="shared" si="13"/>
        <v>4.28564694</v>
      </c>
      <c r="W17" s="309" t="str">
        <f t="shared" si="14"/>
        <v>H</v>
      </c>
      <c r="X17" s="304">
        <f t="shared" si="15"/>
        <v>1076.94</v>
      </c>
      <c r="Y17" s="308">
        <f t="shared" si="16"/>
        <v>4.642784185</v>
      </c>
      <c r="Z17" s="309" t="str">
        <f t="shared" si="17"/>
        <v>H</v>
      </c>
      <c r="AA17" s="312">
        <f t="shared" si="18"/>
        <v>987.195</v>
      </c>
      <c r="AB17" s="308">
        <f t="shared" si="19"/>
        <v>5.064855474</v>
      </c>
      <c r="AC17" s="308" t="str">
        <f t="shared" si="20"/>
        <v>H</v>
      </c>
      <c r="AD17" s="312">
        <f t="shared" si="21"/>
        <v>897.45</v>
      </c>
      <c r="AE17" s="308">
        <f t="shared" si="22"/>
        <v>5.571341022</v>
      </c>
      <c r="AF17" s="313" t="str">
        <f t="shared" si="23"/>
        <v>H</v>
      </c>
      <c r="AG17" s="304">
        <f t="shared" si="24"/>
        <v>807.705</v>
      </c>
      <c r="AH17" s="308">
        <f t="shared" si="25"/>
        <v>6.190378913</v>
      </c>
      <c r="AI17" s="313" t="str">
        <f t="shared" si="26"/>
        <v>H</v>
      </c>
      <c r="AJ17" s="304">
        <f t="shared" si="27"/>
        <v>717.96</v>
      </c>
      <c r="AK17" s="308">
        <f t="shared" si="28"/>
        <v>6.964176277</v>
      </c>
      <c r="AL17" s="308" t="str">
        <f t="shared" si="29"/>
        <v>H</v>
      </c>
      <c r="AM17" s="304">
        <f t="shared" si="30"/>
        <v>628.215</v>
      </c>
      <c r="AN17" s="308">
        <f t="shared" si="31"/>
        <v>7.959058603</v>
      </c>
      <c r="AO17" s="313" t="str">
        <f t="shared" si="32"/>
        <v>H</v>
      </c>
      <c r="AP17" s="304">
        <f t="shared" si="33"/>
        <v>538.47</v>
      </c>
      <c r="AQ17" s="308">
        <f t="shared" si="34"/>
        <v>9.28556837</v>
      </c>
      <c r="AR17" s="313" t="str">
        <f t="shared" si="35"/>
        <v>H</v>
      </c>
      <c r="AS17" s="304">
        <f t="shared" si="36"/>
        <v>448.725</v>
      </c>
      <c r="AT17" s="308">
        <f t="shared" si="37"/>
        <v>11.14268204</v>
      </c>
      <c r="AU17" s="308" t="str">
        <f t="shared" si="38"/>
        <v>H</v>
      </c>
      <c r="AV17" s="304">
        <f t="shared" si="39"/>
        <v>358.98</v>
      </c>
      <c r="AW17" s="308">
        <f t="shared" si="40"/>
        <v>13.92835255</v>
      </c>
      <c r="AX17" s="308" t="str">
        <f t="shared" si="41"/>
        <v>H</v>
      </c>
      <c r="AY17" s="304">
        <f t="shared" si="42"/>
        <v>269.235</v>
      </c>
      <c r="AZ17" s="308">
        <f t="shared" si="43"/>
        <v>18.57113674</v>
      </c>
      <c r="BA17" s="313" t="str">
        <f t="shared" si="44"/>
        <v>H</v>
      </c>
      <c r="BB17" s="304">
        <f t="shared" si="45"/>
        <v>179.49</v>
      </c>
      <c r="BC17" s="308">
        <f t="shared" si="46"/>
        <v>27.85670511</v>
      </c>
      <c r="BD17" s="308" t="str">
        <f t="shared" si="47"/>
        <v>H</v>
      </c>
    </row>
    <row r="18">
      <c r="A18" s="298" t="s">
        <v>98</v>
      </c>
      <c r="B18" s="299">
        <v>10.0</v>
      </c>
      <c r="C18" s="300">
        <v>6.3</v>
      </c>
      <c r="D18" s="301" t="str">
        <f>IFERROR(__xludf.DUMMYFUNCTION("if(ISBLANK(A18),"""",GOOGLEFINANCE(A18,""NAME""))"),"CG Power and Industrial Solutions Ltd")</f>
        <v>CG Power and Industrial Solutions Ltd</v>
      </c>
      <c r="E18" s="302">
        <v>5000.0</v>
      </c>
      <c r="F18" s="303">
        <f>IFERROR(__xludf.DUMMYFUNCTION("if(ISBLANK(A18),"""",GOOGLEFINANCE(A18,""HIGH52""))"),980.9)</f>
        <v>980.9</v>
      </c>
      <c r="G18" s="303">
        <f>IFERROR(__xludf.DUMMYFUNCTION("if(ISBLANK(A18),"""",GOOGLEFINANCE(A18,""LOW52""))"),525.5)</f>
        <v>525.5</v>
      </c>
      <c r="H18" s="304">
        <f>IFERROR(__xludf.DUMMYFUNCTION("if(ISBLANK(A18),"""",GOOGLEFINANCE(A18,""Price""))"),910.45)</f>
        <v>910.45</v>
      </c>
      <c r="I18" s="305" t="str">
        <f t="shared" si="1"/>
        <v>L</v>
      </c>
      <c r="J18" s="306" t="str">
        <f t="shared" si="2"/>
        <v>||</v>
      </c>
      <c r="K18" s="307">
        <f>IFERROR(__xludf.DUMMYFUNCTION("if(ISBLANK(A18),"""",googlefinance(A18,""Marketcap"")/10000000)"),139273.68)</f>
        <v>139273.68</v>
      </c>
      <c r="L18" s="304">
        <f t="shared" si="3"/>
        <v>784.72</v>
      </c>
      <c r="M18" s="308">
        <f t="shared" si="4"/>
        <v>6.37169946</v>
      </c>
      <c r="N18" s="309" t="str">
        <f t="shared" si="5"/>
        <v>H</v>
      </c>
      <c r="O18" s="310">
        <f t="shared" si="6"/>
        <v>735.675</v>
      </c>
      <c r="P18" s="308">
        <f t="shared" si="7"/>
        <v>6.796479424</v>
      </c>
      <c r="Q18" s="311" t="str">
        <f t="shared" si="8"/>
        <v>H</v>
      </c>
      <c r="R18" s="304">
        <f t="shared" si="9"/>
        <v>686.63</v>
      </c>
      <c r="S18" s="308">
        <f t="shared" si="10"/>
        <v>7.28194224</v>
      </c>
      <c r="T18" s="309" t="str">
        <f t="shared" si="11"/>
        <v>H</v>
      </c>
      <c r="U18" s="304">
        <f t="shared" si="12"/>
        <v>637.585</v>
      </c>
      <c r="V18" s="308">
        <f t="shared" si="13"/>
        <v>7.842091643</v>
      </c>
      <c r="W18" s="309" t="str">
        <f t="shared" si="14"/>
        <v>H</v>
      </c>
      <c r="X18" s="304">
        <f t="shared" si="15"/>
        <v>588.54</v>
      </c>
      <c r="Y18" s="308">
        <f t="shared" si="16"/>
        <v>8.49559928</v>
      </c>
      <c r="Z18" s="309" t="str">
        <f t="shared" si="17"/>
        <v>H</v>
      </c>
      <c r="AA18" s="312">
        <f t="shared" si="18"/>
        <v>539.495</v>
      </c>
      <c r="AB18" s="308">
        <f t="shared" si="19"/>
        <v>9.267926487</v>
      </c>
      <c r="AC18" s="308" t="str">
        <f t="shared" si="20"/>
        <v>H</v>
      </c>
      <c r="AD18" s="312">
        <f t="shared" si="21"/>
        <v>490.45</v>
      </c>
      <c r="AE18" s="308">
        <f t="shared" si="22"/>
        <v>10.19471914</v>
      </c>
      <c r="AF18" s="313" t="str">
        <f t="shared" si="23"/>
        <v>H</v>
      </c>
      <c r="AG18" s="304">
        <f t="shared" si="24"/>
        <v>441.405</v>
      </c>
      <c r="AH18" s="308">
        <f t="shared" si="25"/>
        <v>11.32746571</v>
      </c>
      <c r="AI18" s="313" t="str">
        <f t="shared" si="26"/>
        <v>H</v>
      </c>
      <c r="AJ18" s="304">
        <f t="shared" si="27"/>
        <v>392.36</v>
      </c>
      <c r="AK18" s="308">
        <f t="shared" si="28"/>
        <v>12.74339892</v>
      </c>
      <c r="AL18" s="308" t="str">
        <f t="shared" si="29"/>
        <v>H</v>
      </c>
      <c r="AM18" s="304">
        <f t="shared" si="30"/>
        <v>343.315</v>
      </c>
      <c r="AN18" s="308">
        <f t="shared" si="31"/>
        <v>14.56388448</v>
      </c>
      <c r="AO18" s="313" t="str">
        <f t="shared" si="32"/>
        <v>H</v>
      </c>
      <c r="AP18" s="304">
        <f t="shared" si="33"/>
        <v>294.27</v>
      </c>
      <c r="AQ18" s="308">
        <f t="shared" si="34"/>
        <v>16.99119856</v>
      </c>
      <c r="AR18" s="313" t="str">
        <f t="shared" si="35"/>
        <v>H</v>
      </c>
      <c r="AS18" s="304">
        <f t="shared" si="36"/>
        <v>245.225</v>
      </c>
      <c r="AT18" s="308">
        <f t="shared" si="37"/>
        <v>20.38943827</v>
      </c>
      <c r="AU18" s="308" t="str">
        <f t="shared" si="38"/>
        <v>H</v>
      </c>
      <c r="AV18" s="304">
        <f t="shared" si="39"/>
        <v>196.18</v>
      </c>
      <c r="AW18" s="308">
        <f t="shared" si="40"/>
        <v>25.48679784</v>
      </c>
      <c r="AX18" s="308" t="str">
        <f t="shared" si="41"/>
        <v>H</v>
      </c>
      <c r="AY18" s="304">
        <f t="shared" si="42"/>
        <v>147.135</v>
      </c>
      <c r="AZ18" s="308">
        <f t="shared" si="43"/>
        <v>33.98239712</v>
      </c>
      <c r="BA18" s="313" t="str">
        <f t="shared" si="44"/>
        <v>H</v>
      </c>
      <c r="BB18" s="304">
        <f t="shared" si="45"/>
        <v>98.09</v>
      </c>
      <c r="BC18" s="308">
        <f t="shared" si="46"/>
        <v>50.97359568</v>
      </c>
      <c r="BD18" s="308" t="str">
        <f t="shared" si="47"/>
        <v>H</v>
      </c>
    </row>
    <row r="19">
      <c r="A19" s="317" t="s">
        <v>103</v>
      </c>
      <c r="B19" s="318">
        <v>3.0</v>
      </c>
      <c r="C19" s="319">
        <v>3051.2999999999997</v>
      </c>
      <c r="D19" s="301" t="str">
        <f>IFERROR(__xludf.DUMMYFUNCTION("if(ISBLANK(A19),"""",GOOGLEFINANCE(A19,""NAME""))"),"Dixon Technologies (India) Ltd")</f>
        <v>Dixon Technologies (India) Ltd</v>
      </c>
      <c r="E19" s="302">
        <v>5000.0</v>
      </c>
      <c r="F19" s="303">
        <f>IFERROR(__xludf.DUMMYFUNCTION("if(ISBLANK(A19),"""",GOOGLEFINANCE(A19,""HIGH52""))"),18471.0)</f>
        <v>18471</v>
      </c>
      <c r="G19" s="303">
        <f>IFERROR(__xludf.DUMMYFUNCTION("if(ISBLANK(A19),"""",GOOGLEFINANCE(A19,""LOW52""))"),9600.0)</f>
        <v>9600</v>
      </c>
      <c r="H19" s="304">
        <f>IFERROR(__xludf.DUMMYFUNCTION("if(ISBLANK(A19),"""",GOOGLEFINANCE(A19,""Price""))"),13237.0)</f>
        <v>13237</v>
      </c>
      <c r="I19" s="305" t="str">
        <f t="shared" si="1"/>
        <v>L</v>
      </c>
      <c r="J19" s="306" t="str">
        <f t="shared" si="2"/>
        <v>||</v>
      </c>
      <c r="K19" s="307">
        <f>IFERROR(__xludf.DUMMYFUNCTION("if(ISBLANK(A19),"""",googlefinance(A19,""Marketcap"")/10000000)"),80859.432304)</f>
        <v>80859.4323</v>
      </c>
      <c r="L19" s="304">
        <f t="shared" si="3"/>
        <v>14776.8</v>
      </c>
      <c r="M19" s="308">
        <f t="shared" si="4"/>
        <v>0.3383682529</v>
      </c>
      <c r="N19" s="309" t="str">
        <f t="shared" si="5"/>
        <v>Next</v>
      </c>
      <c r="O19" s="310">
        <f t="shared" si="6"/>
        <v>13853.25</v>
      </c>
      <c r="P19" s="308">
        <f t="shared" si="7"/>
        <v>0.3609261365</v>
      </c>
      <c r="Q19" s="311" t="str">
        <f t="shared" si="8"/>
        <v>B</v>
      </c>
      <c r="R19" s="304">
        <f t="shared" si="9"/>
        <v>12929.7</v>
      </c>
      <c r="S19" s="308">
        <f t="shared" si="10"/>
        <v>0.3867065748</v>
      </c>
      <c r="T19" s="309" t="str">
        <f t="shared" si="11"/>
        <v>H</v>
      </c>
      <c r="U19" s="304">
        <f t="shared" si="12"/>
        <v>12006.15</v>
      </c>
      <c r="V19" s="308">
        <f t="shared" si="13"/>
        <v>0.4164532344</v>
      </c>
      <c r="W19" s="309" t="str">
        <f t="shared" si="14"/>
        <v>H</v>
      </c>
      <c r="X19" s="304">
        <f t="shared" si="15"/>
        <v>11082.6</v>
      </c>
      <c r="Y19" s="308">
        <f t="shared" si="16"/>
        <v>0.4511576706</v>
      </c>
      <c r="Z19" s="309" t="str">
        <f t="shared" si="17"/>
        <v>H</v>
      </c>
      <c r="AA19" s="312">
        <f t="shared" si="18"/>
        <v>10159.05</v>
      </c>
      <c r="AB19" s="308">
        <f t="shared" si="19"/>
        <v>0.4921720043</v>
      </c>
      <c r="AC19" s="308" t="str">
        <f t="shared" si="20"/>
        <v>H</v>
      </c>
      <c r="AD19" s="312">
        <f t="shared" si="21"/>
        <v>9235.5</v>
      </c>
      <c r="AE19" s="308">
        <f t="shared" si="22"/>
        <v>0.5413892047</v>
      </c>
      <c r="AF19" s="313" t="str">
        <f t="shared" si="23"/>
        <v>H</v>
      </c>
      <c r="AG19" s="304">
        <f t="shared" si="24"/>
        <v>8311.95</v>
      </c>
      <c r="AH19" s="308">
        <f t="shared" si="25"/>
        <v>0.6015435608</v>
      </c>
      <c r="AI19" s="313" t="str">
        <f t="shared" si="26"/>
        <v>H</v>
      </c>
      <c r="AJ19" s="304">
        <f t="shared" si="27"/>
        <v>7388.4</v>
      </c>
      <c r="AK19" s="308">
        <f t="shared" si="28"/>
        <v>0.6767365059</v>
      </c>
      <c r="AL19" s="308" t="str">
        <f t="shared" si="29"/>
        <v>H</v>
      </c>
      <c r="AM19" s="304">
        <f t="shared" si="30"/>
        <v>6464.85</v>
      </c>
      <c r="AN19" s="308">
        <f t="shared" si="31"/>
        <v>0.7734131496</v>
      </c>
      <c r="AO19" s="313" t="str">
        <f t="shared" si="32"/>
        <v>H</v>
      </c>
      <c r="AP19" s="304">
        <f t="shared" si="33"/>
        <v>5541.3</v>
      </c>
      <c r="AQ19" s="308">
        <f t="shared" si="34"/>
        <v>0.9023153412</v>
      </c>
      <c r="AR19" s="313" t="str">
        <f t="shared" si="35"/>
        <v>H</v>
      </c>
      <c r="AS19" s="304">
        <f t="shared" si="36"/>
        <v>4617.75</v>
      </c>
      <c r="AT19" s="308">
        <f t="shared" si="37"/>
        <v>1.082778409</v>
      </c>
      <c r="AU19" s="308" t="str">
        <f t="shared" si="38"/>
        <v>H</v>
      </c>
      <c r="AV19" s="304">
        <f t="shared" si="39"/>
        <v>3694.2</v>
      </c>
      <c r="AW19" s="308">
        <f t="shared" si="40"/>
        <v>1.353473012</v>
      </c>
      <c r="AX19" s="308" t="str">
        <f t="shared" si="41"/>
        <v>H</v>
      </c>
      <c r="AY19" s="304">
        <f t="shared" si="42"/>
        <v>2770.65</v>
      </c>
      <c r="AZ19" s="308">
        <f t="shared" si="43"/>
        <v>1.804630682</v>
      </c>
      <c r="BA19" s="313" t="str">
        <f t="shared" si="44"/>
        <v>H</v>
      </c>
      <c r="BB19" s="304">
        <f t="shared" si="45"/>
        <v>1847.1</v>
      </c>
      <c r="BC19" s="308">
        <f t="shared" si="46"/>
        <v>2.706946023</v>
      </c>
      <c r="BD19" s="308" t="str">
        <f t="shared" si="47"/>
        <v>H</v>
      </c>
    </row>
    <row r="20">
      <c r="A20" s="298" t="s">
        <v>104</v>
      </c>
      <c r="B20" s="299">
        <v>6.0</v>
      </c>
      <c r="C20" s="300">
        <v>3710.65</v>
      </c>
      <c r="D20" s="301" t="str">
        <f>IFERROR(__xludf.DUMMYFUNCTION("if(ISBLANK(A20),"""",GOOGLEFINANCE(A20,""NAME""))"),"Avenue Supermarts Ltd")</f>
        <v>Avenue Supermarts Ltd</v>
      </c>
      <c r="E20" s="302">
        <v>5000.0</v>
      </c>
      <c r="F20" s="303">
        <f>IFERROR(__xludf.DUMMYFUNCTION("if(ISBLANK(A20),"""",GOOGLEFINANCE(A20,""HIGH52""))"),4949.5)</f>
        <v>4949.5</v>
      </c>
      <c r="G20" s="303">
        <f>IFERROR(__xludf.DUMMYFUNCTION("if(ISBLANK(A20),"""",GOOGLEFINANCE(A20,""LOW52""))"),3529.0)</f>
        <v>3529</v>
      </c>
      <c r="H20" s="304">
        <f>IFERROR(__xludf.DUMMYFUNCTION("if(ISBLANK(A20),"""",GOOGLEFINANCE(A20,""Price""))"),4070.0)</f>
        <v>4070</v>
      </c>
      <c r="I20" s="305" t="str">
        <f t="shared" si="1"/>
        <v>L</v>
      </c>
      <c r="J20" s="306" t="str">
        <f t="shared" si="2"/>
        <v>||</v>
      </c>
      <c r="K20" s="307">
        <f>IFERROR(__xludf.DUMMYFUNCTION("if(ISBLANK(A20),"""",googlefinance(A20,""Marketcap"")/10000000)"),264613.3948661)</f>
        <v>264613.3949</v>
      </c>
      <c r="L20" s="304">
        <f t="shared" si="3"/>
        <v>3959.6</v>
      </c>
      <c r="M20" s="308">
        <f t="shared" si="4"/>
        <v>1.262753814</v>
      </c>
      <c r="N20" s="309" t="str">
        <f t="shared" si="5"/>
        <v>H</v>
      </c>
      <c r="O20" s="310">
        <f t="shared" si="6"/>
        <v>3712.125</v>
      </c>
      <c r="P20" s="308">
        <f t="shared" si="7"/>
        <v>1.346937401</v>
      </c>
      <c r="Q20" s="311" t="str">
        <f t="shared" si="8"/>
        <v>H</v>
      </c>
      <c r="R20" s="304">
        <f t="shared" si="9"/>
        <v>3464.65</v>
      </c>
      <c r="S20" s="308">
        <f t="shared" si="10"/>
        <v>1.443147215</v>
      </c>
      <c r="T20" s="309" t="str">
        <f t="shared" si="11"/>
        <v>H</v>
      </c>
      <c r="U20" s="304">
        <f t="shared" si="12"/>
        <v>3217.175</v>
      </c>
      <c r="V20" s="308">
        <f t="shared" si="13"/>
        <v>1.55415854</v>
      </c>
      <c r="W20" s="309" t="str">
        <f t="shared" si="14"/>
        <v>H</v>
      </c>
      <c r="X20" s="304">
        <f t="shared" si="15"/>
        <v>2969.7</v>
      </c>
      <c r="Y20" s="308">
        <f t="shared" si="16"/>
        <v>1.683671751</v>
      </c>
      <c r="Z20" s="309" t="str">
        <f t="shared" si="17"/>
        <v>H</v>
      </c>
      <c r="AA20" s="312">
        <f t="shared" si="18"/>
        <v>2722.225</v>
      </c>
      <c r="AB20" s="308">
        <f t="shared" si="19"/>
        <v>1.83673282</v>
      </c>
      <c r="AC20" s="308" t="str">
        <f t="shared" si="20"/>
        <v>H</v>
      </c>
      <c r="AD20" s="312">
        <f t="shared" si="21"/>
        <v>2474.75</v>
      </c>
      <c r="AE20" s="308">
        <f t="shared" si="22"/>
        <v>2.020406102</v>
      </c>
      <c r="AF20" s="313" t="str">
        <f t="shared" si="23"/>
        <v>H</v>
      </c>
      <c r="AG20" s="304">
        <f t="shared" si="24"/>
        <v>2227.275</v>
      </c>
      <c r="AH20" s="308">
        <f t="shared" si="25"/>
        <v>2.244895668</v>
      </c>
      <c r="AI20" s="313" t="str">
        <f t="shared" si="26"/>
        <v>H</v>
      </c>
      <c r="AJ20" s="304">
        <f t="shared" si="27"/>
        <v>1979.8</v>
      </c>
      <c r="AK20" s="308">
        <f t="shared" si="28"/>
        <v>2.525507627</v>
      </c>
      <c r="AL20" s="308" t="str">
        <f t="shared" si="29"/>
        <v>H</v>
      </c>
      <c r="AM20" s="304">
        <f t="shared" si="30"/>
        <v>1732.325</v>
      </c>
      <c r="AN20" s="308">
        <f t="shared" si="31"/>
        <v>2.886294431</v>
      </c>
      <c r="AO20" s="313" t="str">
        <f t="shared" si="32"/>
        <v>H</v>
      </c>
      <c r="AP20" s="304">
        <f t="shared" si="33"/>
        <v>1484.85</v>
      </c>
      <c r="AQ20" s="308">
        <f t="shared" si="34"/>
        <v>3.367343503</v>
      </c>
      <c r="AR20" s="313" t="str">
        <f t="shared" si="35"/>
        <v>H</v>
      </c>
      <c r="AS20" s="304">
        <f t="shared" si="36"/>
        <v>1237.375</v>
      </c>
      <c r="AT20" s="308">
        <f t="shared" si="37"/>
        <v>4.040812203</v>
      </c>
      <c r="AU20" s="308" t="str">
        <f t="shared" si="38"/>
        <v>H</v>
      </c>
      <c r="AV20" s="304">
        <f t="shared" si="39"/>
        <v>989.9</v>
      </c>
      <c r="AW20" s="308">
        <f t="shared" si="40"/>
        <v>5.051015254</v>
      </c>
      <c r="AX20" s="308" t="str">
        <f t="shared" si="41"/>
        <v>H</v>
      </c>
      <c r="AY20" s="304">
        <f t="shared" si="42"/>
        <v>742.425</v>
      </c>
      <c r="AZ20" s="308">
        <f t="shared" si="43"/>
        <v>6.734687005</v>
      </c>
      <c r="BA20" s="313" t="str">
        <f t="shared" si="44"/>
        <v>H</v>
      </c>
      <c r="BB20" s="304">
        <f t="shared" si="45"/>
        <v>494.95</v>
      </c>
      <c r="BC20" s="308">
        <f t="shared" si="46"/>
        <v>10.10203051</v>
      </c>
      <c r="BD20" s="308" t="str">
        <f t="shared" si="47"/>
        <v>H</v>
      </c>
    </row>
    <row r="21">
      <c r="A21" s="318" t="s">
        <v>260</v>
      </c>
      <c r="B21" s="318">
        <v>600.0</v>
      </c>
      <c r="C21" s="319">
        <v>41.541625</v>
      </c>
      <c r="D21" s="301" t="str">
        <f>IFERROR(__xludf.DUMMYFUNCTION("if(ISBLANK(A21),"""",GOOGLEFINANCE(A21,""NAME""))"),"Easy Trip Planners Ltd")</f>
        <v>Easy Trip Planners Ltd</v>
      </c>
      <c r="E21" s="302">
        <v>5000.0</v>
      </c>
      <c r="F21" s="303">
        <f>IFERROR(__xludf.DUMMYFUNCTION("if(ISBLANK(A21),"""",GOOGLEFINANCE(A21,""HIGH52""))"),11.11)</f>
        <v>11.11</v>
      </c>
      <c r="G21" s="303">
        <f>IFERROR(__xludf.DUMMYFUNCTION("if(ISBLANK(A21),"""",GOOGLEFINANCE(A21,""LOW52""))"),5.77)</f>
        <v>5.77</v>
      </c>
      <c r="H21" s="304">
        <f>IFERROR(__xludf.DUMMYFUNCTION("if(ISBLANK(A21),"""",GOOGLEFINANCE(A21,""Price""))"),7.17)</f>
        <v>7.17</v>
      </c>
      <c r="I21" s="305" t="str">
        <f t="shared" si="1"/>
        <v>S</v>
      </c>
      <c r="J21" s="306" t="str">
        <f t="shared" si="2"/>
        <v>||||</v>
      </c>
      <c r="K21" s="307">
        <f>IFERROR(__xludf.DUMMYFUNCTION("if(ISBLANK(A21),"""",googlefinance(A21,""Marketcap"")/10000000)"),1259.5521656)</f>
        <v>1259.552166</v>
      </c>
      <c r="L21" s="304">
        <f t="shared" si="3"/>
        <v>8.888</v>
      </c>
      <c r="M21" s="308">
        <f t="shared" si="4"/>
        <v>562.5562556</v>
      </c>
      <c r="N21" s="309" t="str">
        <f t="shared" si="5"/>
        <v>Next</v>
      </c>
      <c r="O21" s="310">
        <f t="shared" si="6"/>
        <v>8.3325</v>
      </c>
      <c r="P21" s="308">
        <f t="shared" si="7"/>
        <v>600.060006</v>
      </c>
      <c r="Q21" s="311" t="str">
        <f t="shared" si="8"/>
        <v>Next</v>
      </c>
      <c r="R21" s="304">
        <f t="shared" si="9"/>
        <v>7.777</v>
      </c>
      <c r="S21" s="308">
        <f t="shared" si="10"/>
        <v>642.921435</v>
      </c>
      <c r="T21" s="309" t="str">
        <f t="shared" si="11"/>
        <v>Next</v>
      </c>
      <c r="U21" s="304">
        <f t="shared" si="12"/>
        <v>7.2215</v>
      </c>
      <c r="V21" s="308">
        <f t="shared" si="13"/>
        <v>692.37693</v>
      </c>
      <c r="W21" s="309" t="str">
        <f t="shared" si="14"/>
        <v>B</v>
      </c>
      <c r="X21" s="304">
        <f t="shared" si="15"/>
        <v>6.666</v>
      </c>
      <c r="Y21" s="308">
        <f t="shared" si="16"/>
        <v>750.0750075</v>
      </c>
      <c r="Z21" s="309" t="str">
        <f t="shared" si="17"/>
        <v>H</v>
      </c>
      <c r="AA21" s="312">
        <f t="shared" si="18"/>
        <v>6.1105</v>
      </c>
      <c r="AB21" s="308">
        <f t="shared" si="19"/>
        <v>818.2636445</v>
      </c>
      <c r="AC21" s="308" t="str">
        <f t="shared" si="20"/>
        <v>H</v>
      </c>
      <c r="AD21" s="312">
        <f t="shared" si="21"/>
        <v>5.555</v>
      </c>
      <c r="AE21" s="308">
        <f t="shared" si="22"/>
        <v>900.090009</v>
      </c>
      <c r="AF21" s="313" t="str">
        <f t="shared" si="23"/>
        <v>H</v>
      </c>
      <c r="AG21" s="304">
        <f t="shared" si="24"/>
        <v>4.9995</v>
      </c>
      <c r="AH21" s="308">
        <f t="shared" si="25"/>
        <v>1000.10001</v>
      </c>
      <c r="AI21" s="313" t="str">
        <f t="shared" si="26"/>
        <v>H</v>
      </c>
      <c r="AJ21" s="304">
        <f t="shared" si="27"/>
        <v>4.444</v>
      </c>
      <c r="AK21" s="308">
        <f t="shared" si="28"/>
        <v>1125.112511</v>
      </c>
      <c r="AL21" s="308" t="str">
        <f t="shared" si="29"/>
        <v>H</v>
      </c>
      <c r="AM21" s="304">
        <f t="shared" si="30"/>
        <v>3.8885</v>
      </c>
      <c r="AN21" s="308">
        <f t="shared" si="31"/>
        <v>1285.84287</v>
      </c>
      <c r="AO21" s="313" t="str">
        <f t="shared" si="32"/>
        <v>H</v>
      </c>
      <c r="AP21" s="304">
        <f t="shared" si="33"/>
        <v>3.333</v>
      </c>
      <c r="AQ21" s="308">
        <f t="shared" si="34"/>
        <v>1500.150015</v>
      </c>
      <c r="AR21" s="313" t="str">
        <f t="shared" si="35"/>
        <v>H</v>
      </c>
      <c r="AS21" s="304">
        <f t="shared" si="36"/>
        <v>2.7775</v>
      </c>
      <c r="AT21" s="308">
        <f t="shared" si="37"/>
        <v>1800.180018</v>
      </c>
      <c r="AU21" s="308" t="str">
        <f t="shared" si="38"/>
        <v>H</v>
      </c>
      <c r="AV21" s="304">
        <f t="shared" si="39"/>
        <v>2.222</v>
      </c>
      <c r="AW21" s="308">
        <f t="shared" si="40"/>
        <v>2250.225023</v>
      </c>
      <c r="AX21" s="308" t="str">
        <f t="shared" si="41"/>
        <v>H</v>
      </c>
      <c r="AY21" s="304">
        <f t="shared" si="42"/>
        <v>1.6665</v>
      </c>
      <c r="AZ21" s="308">
        <f t="shared" si="43"/>
        <v>3000.30003</v>
      </c>
      <c r="BA21" s="313" t="str">
        <f t="shared" si="44"/>
        <v>H</v>
      </c>
      <c r="BB21" s="304">
        <f t="shared" si="45"/>
        <v>1.111</v>
      </c>
      <c r="BC21" s="308">
        <f t="shared" si="46"/>
        <v>4500.450045</v>
      </c>
      <c r="BD21" s="308" t="str">
        <f t="shared" si="47"/>
        <v>H</v>
      </c>
    </row>
    <row r="22">
      <c r="A22" s="315" t="s">
        <v>105</v>
      </c>
      <c r="B22" s="315">
        <v>6.0</v>
      </c>
      <c r="C22" s="316">
        <v>285.2083333333333</v>
      </c>
      <c r="D22" s="301" t="str">
        <f>IFERROR(__xludf.DUMMYFUNCTION("if(ISBLANK(A22),"""",GOOGLEFINANCE(A22,""NAME""))"),"Fineotex Chemical Ltd")</f>
        <v>Fineotex Chemical Ltd</v>
      </c>
      <c r="E22" s="302">
        <v>5000.0</v>
      </c>
      <c r="F22" s="303">
        <f>IFERROR(__xludf.DUMMYFUNCTION("if(ISBLANK(A22),"""",GOOGLEFINANCE(A22,""HIGH52""))"),47.18)</f>
        <v>47.18</v>
      </c>
      <c r="G22" s="303">
        <f>IFERROR(__xludf.DUMMYFUNCTION("if(ISBLANK(A22),"""",GOOGLEFINANCE(A22,""LOW52""))"),19.1)</f>
        <v>19.1</v>
      </c>
      <c r="H22" s="304">
        <f>IFERROR(__xludf.DUMMYFUNCTION("if(ISBLANK(A22),"""",GOOGLEFINANCE(A22,""Price""))"),37.19)</f>
        <v>37.19</v>
      </c>
      <c r="I22" s="305" t="str">
        <f t="shared" si="1"/>
        <v>S</v>
      </c>
      <c r="J22" s="306" t="str">
        <f t="shared" si="2"/>
        <v>||||</v>
      </c>
      <c r="K22" s="307">
        <f>IFERROR(__xludf.DUMMYFUNCTION("if(ISBLANK(A22),"""",googlefinance(A22,""Marketcap"")/10000000)"),4330.77534)</f>
        <v>4330.77534</v>
      </c>
      <c r="L22" s="304">
        <f t="shared" si="3"/>
        <v>37.744</v>
      </c>
      <c r="M22" s="308">
        <f t="shared" si="4"/>
        <v>132.4713862</v>
      </c>
      <c r="N22" s="309" t="str">
        <f t="shared" si="5"/>
        <v>B</v>
      </c>
      <c r="O22" s="310">
        <f t="shared" si="6"/>
        <v>35.385</v>
      </c>
      <c r="P22" s="308">
        <f t="shared" si="7"/>
        <v>141.3028119</v>
      </c>
      <c r="Q22" s="311" t="str">
        <f t="shared" si="8"/>
        <v>H</v>
      </c>
      <c r="R22" s="304">
        <f t="shared" si="9"/>
        <v>33.026</v>
      </c>
      <c r="S22" s="308">
        <f t="shared" si="10"/>
        <v>151.3958699</v>
      </c>
      <c r="T22" s="309" t="str">
        <f t="shared" si="11"/>
        <v>H</v>
      </c>
      <c r="U22" s="304">
        <f t="shared" si="12"/>
        <v>30.667</v>
      </c>
      <c r="V22" s="308">
        <f t="shared" si="13"/>
        <v>163.0417061</v>
      </c>
      <c r="W22" s="309" t="str">
        <f t="shared" si="14"/>
        <v>H</v>
      </c>
      <c r="X22" s="304">
        <f t="shared" si="15"/>
        <v>28.308</v>
      </c>
      <c r="Y22" s="308">
        <f t="shared" si="16"/>
        <v>176.6285149</v>
      </c>
      <c r="Z22" s="309" t="str">
        <f t="shared" si="17"/>
        <v>H</v>
      </c>
      <c r="AA22" s="312">
        <f t="shared" si="18"/>
        <v>25.949</v>
      </c>
      <c r="AB22" s="308">
        <f t="shared" si="19"/>
        <v>192.6856526</v>
      </c>
      <c r="AC22" s="308" t="str">
        <f t="shared" si="20"/>
        <v>H</v>
      </c>
      <c r="AD22" s="312">
        <f t="shared" si="21"/>
        <v>23.59</v>
      </c>
      <c r="AE22" s="308">
        <f t="shared" si="22"/>
        <v>211.9542179</v>
      </c>
      <c r="AF22" s="313" t="str">
        <f t="shared" si="23"/>
        <v>H</v>
      </c>
      <c r="AG22" s="304">
        <f t="shared" si="24"/>
        <v>21.231</v>
      </c>
      <c r="AH22" s="308">
        <f t="shared" si="25"/>
        <v>235.5046865</v>
      </c>
      <c r="AI22" s="313" t="str">
        <f t="shared" si="26"/>
        <v>H</v>
      </c>
      <c r="AJ22" s="304">
        <f t="shared" si="27"/>
        <v>18.872</v>
      </c>
      <c r="AK22" s="308">
        <f t="shared" si="28"/>
        <v>264.9427724</v>
      </c>
      <c r="AL22" s="308" t="str">
        <f t="shared" si="29"/>
        <v>H</v>
      </c>
      <c r="AM22" s="304">
        <f t="shared" si="30"/>
        <v>16.513</v>
      </c>
      <c r="AN22" s="308">
        <f t="shared" si="31"/>
        <v>302.7917398</v>
      </c>
      <c r="AO22" s="313" t="str">
        <f t="shared" si="32"/>
        <v>H</v>
      </c>
      <c r="AP22" s="304">
        <f t="shared" si="33"/>
        <v>14.154</v>
      </c>
      <c r="AQ22" s="308">
        <f t="shared" si="34"/>
        <v>353.2570298</v>
      </c>
      <c r="AR22" s="313" t="str">
        <f t="shared" si="35"/>
        <v>H</v>
      </c>
      <c r="AS22" s="304">
        <f t="shared" si="36"/>
        <v>11.795</v>
      </c>
      <c r="AT22" s="308">
        <f t="shared" si="37"/>
        <v>423.9084358</v>
      </c>
      <c r="AU22" s="308" t="str">
        <f t="shared" si="38"/>
        <v>H</v>
      </c>
      <c r="AV22" s="304">
        <f t="shared" si="39"/>
        <v>9.436</v>
      </c>
      <c r="AW22" s="308">
        <f t="shared" si="40"/>
        <v>529.8855447</v>
      </c>
      <c r="AX22" s="308" t="str">
        <f t="shared" si="41"/>
        <v>H</v>
      </c>
      <c r="AY22" s="304">
        <f t="shared" si="42"/>
        <v>7.077</v>
      </c>
      <c r="AZ22" s="308">
        <f t="shared" si="43"/>
        <v>706.5140596</v>
      </c>
      <c r="BA22" s="313" t="str">
        <f t="shared" si="44"/>
        <v>H</v>
      </c>
      <c r="BB22" s="304">
        <f t="shared" si="45"/>
        <v>4.718</v>
      </c>
      <c r="BC22" s="308">
        <f t="shared" si="46"/>
        <v>1059.771089</v>
      </c>
      <c r="BD22" s="308" t="str">
        <f t="shared" si="47"/>
        <v>H</v>
      </c>
    </row>
    <row r="23">
      <c r="A23" s="318" t="s">
        <v>106</v>
      </c>
      <c r="B23" s="318">
        <v>10.0</v>
      </c>
      <c r="C23" s="319">
        <v>84.9</v>
      </c>
      <c r="D23" s="301" t="str">
        <f>IFERROR(__xludf.DUMMYFUNCTION("if(ISBLANK(A23),"""",GOOGLEFINANCE(A23,""NAME""))"),"Federal Bank Ltd")</f>
        <v>Federal Bank Ltd</v>
      </c>
      <c r="E23" s="302">
        <v>5000.0</v>
      </c>
      <c r="F23" s="303">
        <f>IFERROR(__xludf.DUMMYFUNCTION("if(ISBLANK(A23),"""",GOOGLEFINANCE(A23,""HIGH52""))"),334.3)</f>
        <v>334.3</v>
      </c>
      <c r="G23" s="303">
        <f>IFERROR(__xludf.DUMMYFUNCTION("if(ISBLANK(A23),"""",GOOGLEFINANCE(A23,""LOW52""))"),185.11)</f>
        <v>185.11</v>
      </c>
      <c r="H23" s="304">
        <f>IFERROR(__xludf.DUMMYFUNCTION("if(ISBLANK(A23),"""",GOOGLEFINANCE(A23,""Price""))"),331.2)</f>
        <v>331.2</v>
      </c>
      <c r="I23" s="305" t="str">
        <f t="shared" si="1"/>
        <v>L</v>
      </c>
      <c r="J23" s="306" t="str">
        <f t="shared" si="2"/>
        <v>||</v>
      </c>
      <c r="K23" s="307">
        <f>IFERROR(__xludf.DUMMYFUNCTION("if(ISBLANK(A23),"""",googlefinance(A23,""Marketcap"")/10000000)"),81475.6907902)</f>
        <v>81475.69079</v>
      </c>
      <c r="L23" s="304">
        <f t="shared" si="3"/>
        <v>267.44</v>
      </c>
      <c r="M23" s="308">
        <f t="shared" si="4"/>
        <v>18.69578223</v>
      </c>
      <c r="N23" s="309" t="str">
        <f t="shared" si="5"/>
        <v>H</v>
      </c>
      <c r="O23" s="310">
        <f t="shared" si="6"/>
        <v>250.725</v>
      </c>
      <c r="P23" s="308">
        <f t="shared" si="7"/>
        <v>19.94216771</v>
      </c>
      <c r="Q23" s="311" t="str">
        <f t="shared" si="8"/>
        <v>H</v>
      </c>
      <c r="R23" s="304">
        <f t="shared" si="9"/>
        <v>234.01</v>
      </c>
      <c r="S23" s="308">
        <f t="shared" si="10"/>
        <v>21.36660826</v>
      </c>
      <c r="T23" s="309" t="str">
        <f t="shared" si="11"/>
        <v>H</v>
      </c>
      <c r="U23" s="304">
        <f t="shared" si="12"/>
        <v>217.295</v>
      </c>
      <c r="V23" s="308">
        <f t="shared" si="13"/>
        <v>23.01019352</v>
      </c>
      <c r="W23" s="309" t="str">
        <f t="shared" si="14"/>
        <v>H</v>
      </c>
      <c r="X23" s="304">
        <f t="shared" si="15"/>
        <v>200.58</v>
      </c>
      <c r="Y23" s="308">
        <f t="shared" si="16"/>
        <v>24.92770964</v>
      </c>
      <c r="Z23" s="309" t="str">
        <f t="shared" si="17"/>
        <v>H</v>
      </c>
      <c r="AA23" s="312">
        <f t="shared" si="18"/>
        <v>183.865</v>
      </c>
      <c r="AB23" s="308">
        <f t="shared" si="19"/>
        <v>27.19386506</v>
      </c>
      <c r="AC23" s="308" t="str">
        <f t="shared" si="20"/>
        <v>H</v>
      </c>
      <c r="AD23" s="312">
        <f t="shared" si="21"/>
        <v>167.15</v>
      </c>
      <c r="AE23" s="308">
        <f t="shared" si="22"/>
        <v>29.91325157</v>
      </c>
      <c r="AF23" s="313" t="str">
        <f t="shared" si="23"/>
        <v>H</v>
      </c>
      <c r="AG23" s="304">
        <f t="shared" si="24"/>
        <v>150.435</v>
      </c>
      <c r="AH23" s="308">
        <f t="shared" si="25"/>
        <v>33.23694619</v>
      </c>
      <c r="AI23" s="313" t="str">
        <f t="shared" si="26"/>
        <v>H</v>
      </c>
      <c r="AJ23" s="304">
        <f t="shared" si="27"/>
        <v>133.72</v>
      </c>
      <c r="AK23" s="308">
        <f t="shared" si="28"/>
        <v>37.39156446</v>
      </c>
      <c r="AL23" s="308" t="str">
        <f t="shared" si="29"/>
        <v>H</v>
      </c>
      <c r="AM23" s="304">
        <f t="shared" si="30"/>
        <v>117.005</v>
      </c>
      <c r="AN23" s="308">
        <f t="shared" si="31"/>
        <v>42.73321653</v>
      </c>
      <c r="AO23" s="313" t="str">
        <f t="shared" si="32"/>
        <v>H</v>
      </c>
      <c r="AP23" s="304">
        <f t="shared" si="33"/>
        <v>100.29</v>
      </c>
      <c r="AQ23" s="308">
        <f t="shared" si="34"/>
        <v>49.85541928</v>
      </c>
      <c r="AR23" s="313" t="str">
        <f t="shared" si="35"/>
        <v>H</v>
      </c>
      <c r="AS23" s="304">
        <f t="shared" si="36"/>
        <v>83.575</v>
      </c>
      <c r="AT23" s="308">
        <f t="shared" si="37"/>
        <v>59.82650314</v>
      </c>
      <c r="AU23" s="308" t="str">
        <f t="shared" si="38"/>
        <v>H</v>
      </c>
      <c r="AV23" s="304">
        <f t="shared" si="39"/>
        <v>66.86</v>
      </c>
      <c r="AW23" s="308">
        <f t="shared" si="40"/>
        <v>74.78312893</v>
      </c>
      <c r="AX23" s="308" t="str">
        <f t="shared" si="41"/>
        <v>H</v>
      </c>
      <c r="AY23" s="304">
        <f t="shared" si="42"/>
        <v>50.145</v>
      </c>
      <c r="AZ23" s="308">
        <f t="shared" si="43"/>
        <v>99.71083857</v>
      </c>
      <c r="BA23" s="313" t="str">
        <f t="shared" si="44"/>
        <v>H</v>
      </c>
      <c r="BB23" s="304">
        <f t="shared" si="45"/>
        <v>33.43</v>
      </c>
      <c r="BC23" s="308">
        <f t="shared" si="46"/>
        <v>149.5662579</v>
      </c>
      <c r="BD23" s="308" t="str">
        <f t="shared" si="47"/>
        <v>H</v>
      </c>
    </row>
    <row r="24">
      <c r="A24" s="318" t="s">
        <v>261</v>
      </c>
      <c r="B24" s="318">
        <v>50.0</v>
      </c>
      <c r="C24" s="319">
        <v>9.6</v>
      </c>
      <c r="D24" s="301" t="str">
        <f>IFERROR(__xludf.DUMMYFUNCTION("if(ISBLANK(A24),"""",GOOGLEFINANCE(A24,""NAME""))"),"Orient Green Power Company Ltd")</f>
        <v>Orient Green Power Company Ltd</v>
      </c>
      <c r="E24" s="302">
        <v>5000.0</v>
      </c>
      <c r="F24" s="303">
        <f>IFERROR(__xludf.DUMMYFUNCTION("if(ISBLANK(A24),"""",GOOGLEFINANCE(A24,""HIGH52""))"),15.69)</f>
        <v>15.69</v>
      </c>
      <c r="G24" s="303">
        <f>IFERROR(__xludf.DUMMYFUNCTION("if(ISBLANK(A24),"""",GOOGLEFINANCE(A24,""LOW52""))"),7.98)</f>
        <v>7.98</v>
      </c>
      <c r="H24" s="304">
        <f>IFERROR(__xludf.DUMMYFUNCTION("if(ISBLANK(A24),"""",GOOGLEFINANCE(A24,""Price""))"),10.27)</f>
        <v>10.27</v>
      </c>
      <c r="I24" s="305" t="str">
        <f t="shared" si="1"/>
        <v>S</v>
      </c>
      <c r="J24" s="306" t="str">
        <f t="shared" si="2"/>
        <v>||||</v>
      </c>
      <c r="K24" s="307">
        <f>IFERROR(__xludf.DUMMYFUNCTION("if(ISBLANK(A24),"""",googlefinance(A24,""Marketcap"")/10000000)"),1204.6799788)</f>
        <v>1204.679979</v>
      </c>
      <c r="L24" s="304">
        <f t="shared" si="3"/>
        <v>12.552</v>
      </c>
      <c r="M24" s="308">
        <f t="shared" si="4"/>
        <v>398.3428936</v>
      </c>
      <c r="N24" s="309" t="str">
        <f t="shared" si="5"/>
        <v>Next</v>
      </c>
      <c r="O24" s="310">
        <f t="shared" si="6"/>
        <v>11.7675</v>
      </c>
      <c r="P24" s="308">
        <f t="shared" si="7"/>
        <v>424.8990865</v>
      </c>
      <c r="Q24" s="311" t="str">
        <f t="shared" si="8"/>
        <v>Next</v>
      </c>
      <c r="R24" s="304">
        <f t="shared" si="9"/>
        <v>10.983</v>
      </c>
      <c r="S24" s="308">
        <f t="shared" si="10"/>
        <v>455.2490212</v>
      </c>
      <c r="T24" s="309" t="str">
        <f t="shared" si="11"/>
        <v>B</v>
      </c>
      <c r="U24" s="304">
        <f t="shared" si="12"/>
        <v>10.1985</v>
      </c>
      <c r="V24" s="308">
        <f t="shared" si="13"/>
        <v>490.2681767</v>
      </c>
      <c r="W24" s="309" t="str">
        <f t="shared" si="14"/>
        <v>H</v>
      </c>
      <c r="X24" s="304">
        <f t="shared" si="15"/>
        <v>9.414</v>
      </c>
      <c r="Y24" s="308">
        <f t="shared" si="16"/>
        <v>531.1238581</v>
      </c>
      <c r="Z24" s="309" t="str">
        <f t="shared" si="17"/>
        <v>H</v>
      </c>
      <c r="AA24" s="312">
        <f t="shared" si="18"/>
        <v>8.6295</v>
      </c>
      <c r="AB24" s="308">
        <f t="shared" si="19"/>
        <v>579.4078452</v>
      </c>
      <c r="AC24" s="308" t="str">
        <f t="shared" si="20"/>
        <v>H</v>
      </c>
      <c r="AD24" s="312">
        <f t="shared" si="21"/>
        <v>7.845</v>
      </c>
      <c r="AE24" s="308">
        <f t="shared" si="22"/>
        <v>637.3486297</v>
      </c>
      <c r="AF24" s="313" t="str">
        <f t="shared" si="23"/>
        <v>H</v>
      </c>
      <c r="AG24" s="304">
        <f t="shared" si="24"/>
        <v>7.0605</v>
      </c>
      <c r="AH24" s="308">
        <f t="shared" si="25"/>
        <v>708.1651441</v>
      </c>
      <c r="AI24" s="313" t="str">
        <f t="shared" si="26"/>
        <v>H</v>
      </c>
      <c r="AJ24" s="304">
        <f t="shared" si="27"/>
        <v>6.276</v>
      </c>
      <c r="AK24" s="308">
        <f t="shared" si="28"/>
        <v>796.6857871</v>
      </c>
      <c r="AL24" s="308" t="str">
        <f t="shared" si="29"/>
        <v>H</v>
      </c>
      <c r="AM24" s="304">
        <f t="shared" si="30"/>
        <v>5.4915</v>
      </c>
      <c r="AN24" s="308">
        <f t="shared" si="31"/>
        <v>910.4980424</v>
      </c>
      <c r="AO24" s="313" t="str">
        <f t="shared" si="32"/>
        <v>H</v>
      </c>
      <c r="AP24" s="304">
        <f t="shared" si="33"/>
        <v>4.707</v>
      </c>
      <c r="AQ24" s="308">
        <f t="shared" si="34"/>
        <v>1062.247716</v>
      </c>
      <c r="AR24" s="313" t="str">
        <f t="shared" si="35"/>
        <v>H</v>
      </c>
      <c r="AS24" s="304">
        <f t="shared" si="36"/>
        <v>3.9225</v>
      </c>
      <c r="AT24" s="308">
        <f t="shared" si="37"/>
        <v>1274.697259</v>
      </c>
      <c r="AU24" s="308" t="str">
        <f t="shared" si="38"/>
        <v>H</v>
      </c>
      <c r="AV24" s="304">
        <f t="shared" si="39"/>
        <v>3.138</v>
      </c>
      <c r="AW24" s="308">
        <f t="shared" si="40"/>
        <v>1593.371574</v>
      </c>
      <c r="AX24" s="308" t="str">
        <f t="shared" si="41"/>
        <v>H</v>
      </c>
      <c r="AY24" s="304">
        <f t="shared" si="42"/>
        <v>2.3535</v>
      </c>
      <c r="AZ24" s="308">
        <f t="shared" si="43"/>
        <v>2124.495432</v>
      </c>
      <c r="BA24" s="313" t="str">
        <f t="shared" si="44"/>
        <v>H</v>
      </c>
      <c r="BB24" s="304">
        <f t="shared" si="45"/>
        <v>1.569</v>
      </c>
      <c r="BC24" s="308">
        <f t="shared" si="46"/>
        <v>3186.743149</v>
      </c>
      <c r="BD24" s="308" t="str">
        <f t="shared" si="47"/>
        <v>H</v>
      </c>
    </row>
    <row r="25">
      <c r="A25" s="318" t="s">
        <v>109</v>
      </c>
      <c r="B25" s="318">
        <v>880.0</v>
      </c>
      <c r="C25" s="319">
        <v>10.654545454545454</v>
      </c>
      <c r="D25" s="301" t="str">
        <f>IFERROR(__xludf.DUMMYFUNCTION("if(ISBLANK(A25),"""",GOOGLEFINANCE(A25,""NAME""))"),"GVK Power &amp; Infrastructure Ltd")</f>
        <v>GVK Power &amp; Infrastructure Ltd</v>
      </c>
      <c r="E25" s="302">
        <v>5000.0</v>
      </c>
      <c r="F25" s="303">
        <f>IFERROR(__xludf.DUMMYFUNCTION("if(ISBLANK(A25),"""",GOOGLEFINANCE(A25,""HIGH52""))"),4.24)</f>
        <v>4.24</v>
      </c>
      <c r="G25" s="303">
        <f>IFERROR(__xludf.DUMMYFUNCTION("if(ISBLANK(A25),"""",GOOGLEFINANCE(A25,""LOW52""))"),2.37)</f>
        <v>2.37</v>
      </c>
      <c r="H25" s="304">
        <f>IFERROR(__xludf.DUMMYFUNCTION("if(ISBLANK(A25),"""",GOOGLEFINANCE(A25,""Price""))"),2.61)</f>
        <v>2.61</v>
      </c>
      <c r="I25" s="305" t="str">
        <f t="shared" si="1"/>
        <v>S</v>
      </c>
      <c r="J25" s="306" t="str">
        <f t="shared" si="2"/>
        <v>||||</v>
      </c>
      <c r="K25" s="307">
        <f>IFERROR(__xludf.DUMMYFUNCTION("if(ISBLANK(A25),"""",googlefinance(A25,""Marketcap"")/10000000)"),412.2669829)</f>
        <v>412.2669829</v>
      </c>
      <c r="L25" s="304">
        <f t="shared" si="3"/>
        <v>3.392</v>
      </c>
      <c r="M25" s="308">
        <f t="shared" si="4"/>
        <v>1474.056604</v>
      </c>
      <c r="N25" s="309" t="str">
        <f t="shared" si="5"/>
        <v>Next</v>
      </c>
      <c r="O25" s="310">
        <f t="shared" si="6"/>
        <v>3.18</v>
      </c>
      <c r="P25" s="308">
        <f t="shared" si="7"/>
        <v>1572.327044</v>
      </c>
      <c r="Q25" s="311" t="str">
        <f t="shared" si="8"/>
        <v>Next</v>
      </c>
      <c r="R25" s="304">
        <f t="shared" si="9"/>
        <v>2.968</v>
      </c>
      <c r="S25" s="308">
        <f t="shared" si="10"/>
        <v>1684.636119</v>
      </c>
      <c r="T25" s="309" t="str">
        <f t="shared" si="11"/>
        <v>Next</v>
      </c>
      <c r="U25" s="304">
        <f t="shared" si="12"/>
        <v>2.756</v>
      </c>
      <c r="V25" s="308">
        <f t="shared" si="13"/>
        <v>1814.223512</v>
      </c>
      <c r="W25" s="309" t="str">
        <f t="shared" si="14"/>
        <v>B</v>
      </c>
      <c r="X25" s="304">
        <f t="shared" si="15"/>
        <v>2.544</v>
      </c>
      <c r="Y25" s="308">
        <f t="shared" si="16"/>
        <v>1965.408805</v>
      </c>
      <c r="Z25" s="309" t="str">
        <f t="shared" si="17"/>
        <v>H</v>
      </c>
      <c r="AA25" s="312">
        <f t="shared" si="18"/>
        <v>2.332</v>
      </c>
      <c r="AB25" s="308">
        <f t="shared" si="19"/>
        <v>2144.082333</v>
      </c>
      <c r="AC25" s="308" t="str">
        <f t="shared" si="20"/>
        <v>H</v>
      </c>
      <c r="AD25" s="312">
        <f t="shared" si="21"/>
        <v>2.12</v>
      </c>
      <c r="AE25" s="308">
        <f t="shared" si="22"/>
        <v>2358.490566</v>
      </c>
      <c r="AF25" s="313" t="str">
        <f t="shared" si="23"/>
        <v>H</v>
      </c>
      <c r="AG25" s="304">
        <f t="shared" si="24"/>
        <v>1.908</v>
      </c>
      <c r="AH25" s="308">
        <f t="shared" si="25"/>
        <v>2620.545073</v>
      </c>
      <c r="AI25" s="313" t="str">
        <f t="shared" si="26"/>
        <v>H</v>
      </c>
      <c r="AJ25" s="304">
        <f t="shared" si="27"/>
        <v>1.696</v>
      </c>
      <c r="AK25" s="308">
        <f t="shared" si="28"/>
        <v>2948.113208</v>
      </c>
      <c r="AL25" s="308" t="str">
        <f t="shared" si="29"/>
        <v>H</v>
      </c>
      <c r="AM25" s="304">
        <f t="shared" si="30"/>
        <v>1.484</v>
      </c>
      <c r="AN25" s="308">
        <f t="shared" si="31"/>
        <v>3369.272237</v>
      </c>
      <c r="AO25" s="313" t="str">
        <f t="shared" si="32"/>
        <v>H</v>
      </c>
      <c r="AP25" s="304">
        <f t="shared" si="33"/>
        <v>1.272</v>
      </c>
      <c r="AQ25" s="308">
        <f t="shared" si="34"/>
        <v>3930.81761</v>
      </c>
      <c r="AR25" s="313" t="str">
        <f t="shared" si="35"/>
        <v>H</v>
      </c>
      <c r="AS25" s="304">
        <f t="shared" si="36"/>
        <v>1.06</v>
      </c>
      <c r="AT25" s="308">
        <f t="shared" si="37"/>
        <v>4716.981132</v>
      </c>
      <c r="AU25" s="308" t="str">
        <f t="shared" si="38"/>
        <v>H</v>
      </c>
      <c r="AV25" s="304">
        <f t="shared" si="39"/>
        <v>0.848</v>
      </c>
      <c r="AW25" s="308">
        <f t="shared" si="40"/>
        <v>5896.226415</v>
      </c>
      <c r="AX25" s="308" t="str">
        <f t="shared" si="41"/>
        <v>H</v>
      </c>
      <c r="AY25" s="304">
        <f t="shared" si="42"/>
        <v>0.636</v>
      </c>
      <c r="AZ25" s="308">
        <f t="shared" si="43"/>
        <v>7861.63522</v>
      </c>
      <c r="BA25" s="313" t="str">
        <f t="shared" si="44"/>
        <v>H</v>
      </c>
      <c r="BB25" s="304">
        <f t="shared" si="45"/>
        <v>0.424</v>
      </c>
      <c r="BC25" s="308">
        <f t="shared" si="46"/>
        <v>11792.45283</v>
      </c>
      <c r="BD25" s="308" t="str">
        <f t="shared" si="47"/>
        <v>H</v>
      </c>
    </row>
    <row r="26">
      <c r="A26" s="318" t="s">
        <v>110</v>
      </c>
      <c r="B26" s="318">
        <v>2.0</v>
      </c>
      <c r="C26" s="319">
        <v>1258.0</v>
      </c>
      <c r="D26" s="301" t="str">
        <f>IFERROR(__xludf.DUMMYFUNCTION("if(ISBLANK(A26),"""",GOOGLEFINANCE(A26,""NAME""))"),"Happiest Minds Technologies Ltd")</f>
        <v>Happiest Minds Technologies Ltd</v>
      </c>
      <c r="E26" s="302">
        <v>5000.0</v>
      </c>
      <c r="F26" s="303">
        <f>IFERROR(__xludf.DUMMYFUNCTION("if(ISBLANK(A26),"""",GOOGLEFINANCE(A26,""HIGH52""))"),651.9)</f>
        <v>651.9</v>
      </c>
      <c r="G26" s="303">
        <f>IFERROR(__xludf.DUMMYFUNCTION("if(ISBLANK(A26),"""",GOOGLEFINANCE(A26,""LOW52""))"),330.2)</f>
        <v>330.2</v>
      </c>
      <c r="H26" s="304">
        <f>IFERROR(__xludf.DUMMYFUNCTION("if(ISBLANK(A26),"""",GOOGLEFINANCE(A26,""Price""))"),349.5)</f>
        <v>349.5</v>
      </c>
      <c r="I26" s="305" t="str">
        <f t="shared" si="1"/>
        <v>S</v>
      </c>
      <c r="J26" s="306" t="str">
        <f t="shared" si="2"/>
        <v>||||</v>
      </c>
      <c r="K26" s="307">
        <f>IFERROR(__xludf.DUMMYFUNCTION("if(ISBLANK(A26),"""",googlefinance(A26,""Marketcap"")/10000000)"),5251.653405)</f>
        <v>5251.653405</v>
      </c>
      <c r="L26" s="304">
        <f t="shared" si="3"/>
        <v>521.52</v>
      </c>
      <c r="M26" s="308">
        <f t="shared" si="4"/>
        <v>9.587360025</v>
      </c>
      <c r="N26" s="309" t="str">
        <f t="shared" si="5"/>
        <v>Next</v>
      </c>
      <c r="O26" s="310">
        <f t="shared" si="6"/>
        <v>488.925</v>
      </c>
      <c r="P26" s="308">
        <f t="shared" si="7"/>
        <v>10.22651736</v>
      </c>
      <c r="Q26" s="311" t="str">
        <f t="shared" si="8"/>
        <v>Next</v>
      </c>
      <c r="R26" s="304">
        <f t="shared" si="9"/>
        <v>456.33</v>
      </c>
      <c r="S26" s="308">
        <f t="shared" si="10"/>
        <v>10.95698289</v>
      </c>
      <c r="T26" s="309" t="str">
        <f t="shared" si="11"/>
        <v>Next</v>
      </c>
      <c r="U26" s="304">
        <f t="shared" si="12"/>
        <v>423.735</v>
      </c>
      <c r="V26" s="308">
        <f t="shared" si="13"/>
        <v>11.79982772</v>
      </c>
      <c r="W26" s="309" t="str">
        <f t="shared" si="14"/>
        <v>Next</v>
      </c>
      <c r="X26" s="304">
        <f t="shared" si="15"/>
        <v>391.14</v>
      </c>
      <c r="Y26" s="308">
        <f t="shared" si="16"/>
        <v>12.7831467</v>
      </c>
      <c r="Z26" s="309" t="str">
        <f t="shared" si="17"/>
        <v>Next</v>
      </c>
      <c r="AA26" s="312">
        <f t="shared" si="18"/>
        <v>358.545</v>
      </c>
      <c r="AB26" s="308">
        <f t="shared" si="19"/>
        <v>13.94525094</v>
      </c>
      <c r="AC26" s="308" t="str">
        <f t="shared" si="20"/>
        <v>B</v>
      </c>
      <c r="AD26" s="312">
        <f t="shared" si="21"/>
        <v>325.95</v>
      </c>
      <c r="AE26" s="308">
        <f t="shared" si="22"/>
        <v>15.33977604</v>
      </c>
      <c r="AF26" s="313" t="str">
        <f t="shared" si="23"/>
        <v>H</v>
      </c>
      <c r="AG26" s="304">
        <f t="shared" si="24"/>
        <v>293.355</v>
      </c>
      <c r="AH26" s="308">
        <f t="shared" si="25"/>
        <v>17.0441956</v>
      </c>
      <c r="AI26" s="313" t="str">
        <f t="shared" si="26"/>
        <v>H</v>
      </c>
      <c r="AJ26" s="304">
        <f t="shared" si="27"/>
        <v>260.76</v>
      </c>
      <c r="AK26" s="308">
        <f t="shared" si="28"/>
        <v>19.17472005</v>
      </c>
      <c r="AL26" s="308" t="str">
        <f t="shared" si="29"/>
        <v>H</v>
      </c>
      <c r="AM26" s="304">
        <f t="shared" si="30"/>
        <v>228.165</v>
      </c>
      <c r="AN26" s="308">
        <f t="shared" si="31"/>
        <v>21.91396577</v>
      </c>
      <c r="AO26" s="313" t="str">
        <f t="shared" si="32"/>
        <v>H</v>
      </c>
      <c r="AP26" s="304">
        <f t="shared" si="33"/>
        <v>195.57</v>
      </c>
      <c r="AQ26" s="308">
        <f t="shared" si="34"/>
        <v>25.5662934</v>
      </c>
      <c r="AR26" s="313" t="str">
        <f t="shared" si="35"/>
        <v>H</v>
      </c>
      <c r="AS26" s="304">
        <f t="shared" si="36"/>
        <v>162.975</v>
      </c>
      <c r="AT26" s="308">
        <f t="shared" si="37"/>
        <v>30.67955208</v>
      </c>
      <c r="AU26" s="308" t="str">
        <f t="shared" si="38"/>
        <v>H</v>
      </c>
      <c r="AV26" s="304">
        <f t="shared" si="39"/>
        <v>130.38</v>
      </c>
      <c r="AW26" s="308">
        <f t="shared" si="40"/>
        <v>38.3494401</v>
      </c>
      <c r="AX26" s="308" t="str">
        <f t="shared" si="41"/>
        <v>H</v>
      </c>
      <c r="AY26" s="304">
        <f t="shared" si="42"/>
        <v>97.785</v>
      </c>
      <c r="AZ26" s="308">
        <f t="shared" si="43"/>
        <v>51.1325868</v>
      </c>
      <c r="BA26" s="313" t="str">
        <f t="shared" si="44"/>
        <v>H</v>
      </c>
      <c r="BB26" s="304">
        <f t="shared" si="45"/>
        <v>65.19</v>
      </c>
      <c r="BC26" s="308">
        <f t="shared" si="46"/>
        <v>76.6988802</v>
      </c>
      <c r="BD26" s="308" t="str">
        <f t="shared" si="47"/>
        <v>H</v>
      </c>
    </row>
    <row r="27">
      <c r="A27" s="318" t="s">
        <v>111</v>
      </c>
      <c r="B27" s="318">
        <v>3.0</v>
      </c>
      <c r="C27" s="319">
        <v>1226.0666666666666</v>
      </c>
      <c r="D27" s="301" t="str">
        <f>IFERROR(__xludf.DUMMYFUNCTION("if(ISBLANK(A27),"""",GOOGLEFINANCE(A27,""NAME""))"),"HCL Technologies Ltd")</f>
        <v>HCL Technologies Ltd</v>
      </c>
      <c r="E27" s="302">
        <v>5000.0</v>
      </c>
      <c r="F27" s="303">
        <f>IFERROR(__xludf.DUMMYFUNCTION("if(ISBLANK(A27),"""",GOOGLEFINANCE(A27,""HIGH52""))"),1780.1)</f>
        <v>1780.1</v>
      </c>
      <c r="G27" s="303">
        <f>IFERROR(__xludf.DUMMYFUNCTION("if(ISBLANK(A27),"""",GOOGLEFINANCE(A27,""LOW52""))"),1030.0)</f>
        <v>1030</v>
      </c>
      <c r="H27" s="304">
        <f>IFERROR(__xludf.DUMMYFUNCTION("if(ISBLANK(A27),"""",GOOGLEFINANCE(A27,""Price""))"),1170.0)</f>
        <v>1170</v>
      </c>
      <c r="I27" s="305" t="str">
        <f t="shared" si="1"/>
        <v>L</v>
      </c>
      <c r="J27" s="306" t="str">
        <f t="shared" si="2"/>
        <v>||</v>
      </c>
      <c r="K27" s="307">
        <f>IFERROR(__xludf.DUMMYFUNCTION("if(ISBLANK(A27),"""",googlefinance(A27,""Marketcap"")/10000000)"),316574.622)</f>
        <v>316574.622</v>
      </c>
      <c r="L27" s="304">
        <f t="shared" si="3"/>
        <v>1424.08</v>
      </c>
      <c r="M27" s="308">
        <f t="shared" si="4"/>
        <v>3.511038706</v>
      </c>
      <c r="N27" s="309" t="str">
        <f t="shared" si="5"/>
        <v>Next</v>
      </c>
      <c r="O27" s="310">
        <f t="shared" si="6"/>
        <v>1335.075</v>
      </c>
      <c r="P27" s="308">
        <f t="shared" si="7"/>
        <v>3.745107953</v>
      </c>
      <c r="Q27" s="311" t="str">
        <f t="shared" si="8"/>
        <v>Next</v>
      </c>
      <c r="R27" s="304">
        <f t="shared" si="9"/>
        <v>1246.07</v>
      </c>
      <c r="S27" s="308">
        <f t="shared" si="10"/>
        <v>4.012615664</v>
      </c>
      <c r="T27" s="309" t="str">
        <f t="shared" si="11"/>
        <v>B</v>
      </c>
      <c r="U27" s="304">
        <f t="shared" si="12"/>
        <v>1157.065</v>
      </c>
      <c r="V27" s="308">
        <f t="shared" si="13"/>
        <v>4.321278407</v>
      </c>
      <c r="W27" s="309" t="str">
        <f t="shared" si="14"/>
        <v>H</v>
      </c>
      <c r="X27" s="304">
        <f t="shared" si="15"/>
        <v>1068.06</v>
      </c>
      <c r="Y27" s="308">
        <f t="shared" si="16"/>
        <v>4.681384941</v>
      </c>
      <c r="Z27" s="309" t="str">
        <f t="shared" si="17"/>
        <v>H</v>
      </c>
      <c r="AA27" s="312">
        <f t="shared" si="18"/>
        <v>979.055</v>
      </c>
      <c r="AB27" s="308">
        <f t="shared" si="19"/>
        <v>5.10696539</v>
      </c>
      <c r="AC27" s="308" t="str">
        <f t="shared" si="20"/>
        <v>H</v>
      </c>
      <c r="AD27" s="312">
        <f t="shared" si="21"/>
        <v>890.05</v>
      </c>
      <c r="AE27" s="308">
        <f t="shared" si="22"/>
        <v>5.617661929</v>
      </c>
      <c r="AF27" s="313" t="str">
        <f t="shared" si="23"/>
        <v>H</v>
      </c>
      <c r="AG27" s="304">
        <f t="shared" si="24"/>
        <v>801.045</v>
      </c>
      <c r="AH27" s="308">
        <f t="shared" si="25"/>
        <v>6.241846588</v>
      </c>
      <c r="AI27" s="313" t="str">
        <f t="shared" si="26"/>
        <v>H</v>
      </c>
      <c r="AJ27" s="304">
        <f t="shared" si="27"/>
        <v>712.04</v>
      </c>
      <c r="AK27" s="308">
        <f t="shared" si="28"/>
        <v>7.022077411</v>
      </c>
      <c r="AL27" s="308" t="str">
        <f t="shared" si="29"/>
        <v>H</v>
      </c>
      <c r="AM27" s="304">
        <f t="shared" si="30"/>
        <v>623.035</v>
      </c>
      <c r="AN27" s="308">
        <f t="shared" si="31"/>
        <v>8.025231327</v>
      </c>
      <c r="AO27" s="313" t="str">
        <f t="shared" si="32"/>
        <v>H</v>
      </c>
      <c r="AP27" s="304">
        <f t="shared" si="33"/>
        <v>534.03</v>
      </c>
      <c r="AQ27" s="308">
        <f t="shared" si="34"/>
        <v>9.362769882</v>
      </c>
      <c r="AR27" s="313" t="str">
        <f t="shared" si="35"/>
        <v>H</v>
      </c>
      <c r="AS27" s="304">
        <f t="shared" si="36"/>
        <v>445.025</v>
      </c>
      <c r="AT27" s="308">
        <f t="shared" si="37"/>
        <v>11.23532386</v>
      </c>
      <c r="AU27" s="308" t="str">
        <f t="shared" si="38"/>
        <v>H</v>
      </c>
      <c r="AV27" s="304">
        <f t="shared" si="39"/>
        <v>356.02</v>
      </c>
      <c r="AW27" s="308">
        <f t="shared" si="40"/>
        <v>14.04415482</v>
      </c>
      <c r="AX27" s="308" t="str">
        <f t="shared" si="41"/>
        <v>H</v>
      </c>
      <c r="AY27" s="304">
        <f t="shared" si="42"/>
        <v>267.015</v>
      </c>
      <c r="AZ27" s="308">
        <f t="shared" si="43"/>
        <v>18.72553976</v>
      </c>
      <c r="BA27" s="313" t="str">
        <f t="shared" si="44"/>
        <v>H</v>
      </c>
      <c r="BB27" s="304">
        <f t="shared" si="45"/>
        <v>178.01</v>
      </c>
      <c r="BC27" s="308">
        <f t="shared" si="46"/>
        <v>28.08830965</v>
      </c>
      <c r="BD27" s="308" t="str">
        <f t="shared" si="47"/>
        <v>H</v>
      </c>
    </row>
    <row r="28">
      <c r="A28" s="299" t="s">
        <v>113</v>
      </c>
      <c r="B28" s="299">
        <v>2.0</v>
      </c>
      <c r="C28" s="300">
        <v>1461.37</v>
      </c>
      <c r="D28" s="301" t="str">
        <f>IFERROR(__xludf.DUMMYFUNCTION("if(ISBLANK(A28),"""",GOOGLEFINANCE(A28,""NAME""))"),"HDFC Bank Ltd")</f>
        <v>HDFC Bank Ltd</v>
      </c>
      <c r="E28" s="302">
        <v>5000.0</v>
      </c>
      <c r="F28" s="303">
        <f>IFERROR(__xludf.DUMMYFUNCTION("if(ISBLANK(A28),"""",GOOGLEFINANCE(A28,""HIGH52""))"),1020.5)</f>
        <v>1020.5</v>
      </c>
      <c r="G28" s="303">
        <f>IFERROR(__xludf.DUMMYFUNCTION("if(ISBLANK(A28),"""",GOOGLEFINANCE(A28,""LOW52""))"),726.65)</f>
        <v>726.65</v>
      </c>
      <c r="H28" s="304">
        <f>IFERROR(__xludf.DUMMYFUNCTION("if(ISBLANK(A28),"""",GOOGLEFINANCE(A28,""Price""))"),827.5)</f>
        <v>827.5</v>
      </c>
      <c r="I28" s="305" t="str">
        <f t="shared" si="1"/>
        <v>M</v>
      </c>
      <c r="J28" s="306" t="str">
        <f t="shared" si="2"/>
        <v>|||</v>
      </c>
      <c r="K28" s="307">
        <f>IFERROR(__xludf.DUMMYFUNCTION("if(ISBLANK(A28),"""",googlefinance(A28,""Marketcap"")/10000000)"),13727.1521463)</f>
        <v>13727.15215</v>
      </c>
      <c r="L28" s="304">
        <f t="shared" si="3"/>
        <v>816.4</v>
      </c>
      <c r="M28" s="308">
        <f t="shared" si="4"/>
        <v>6.1244488</v>
      </c>
      <c r="N28" s="309" t="str">
        <f t="shared" si="5"/>
        <v>H</v>
      </c>
      <c r="O28" s="310">
        <f t="shared" si="6"/>
        <v>765.375</v>
      </c>
      <c r="P28" s="308">
        <f t="shared" si="7"/>
        <v>6.532745386</v>
      </c>
      <c r="Q28" s="311" t="str">
        <f t="shared" si="8"/>
        <v>H</v>
      </c>
      <c r="R28" s="304">
        <f t="shared" si="9"/>
        <v>714.35</v>
      </c>
      <c r="S28" s="308">
        <f t="shared" si="10"/>
        <v>6.999370057</v>
      </c>
      <c r="T28" s="309" t="str">
        <f t="shared" si="11"/>
        <v>H</v>
      </c>
      <c r="U28" s="304">
        <f t="shared" si="12"/>
        <v>663.325</v>
      </c>
      <c r="V28" s="308">
        <f t="shared" si="13"/>
        <v>7.537783138</v>
      </c>
      <c r="W28" s="309" t="str">
        <f t="shared" si="14"/>
        <v>H</v>
      </c>
      <c r="X28" s="304">
        <f t="shared" si="15"/>
        <v>612.3</v>
      </c>
      <c r="Y28" s="308">
        <f t="shared" si="16"/>
        <v>8.165931733</v>
      </c>
      <c r="Z28" s="309" t="str">
        <f t="shared" si="17"/>
        <v>H</v>
      </c>
      <c r="AA28" s="312">
        <f t="shared" si="18"/>
        <v>561.275</v>
      </c>
      <c r="AB28" s="308">
        <f t="shared" si="19"/>
        <v>8.908289163</v>
      </c>
      <c r="AC28" s="308" t="str">
        <f t="shared" si="20"/>
        <v>H</v>
      </c>
      <c r="AD28" s="312">
        <f t="shared" si="21"/>
        <v>510.25</v>
      </c>
      <c r="AE28" s="308">
        <f t="shared" si="22"/>
        <v>9.799118079</v>
      </c>
      <c r="AF28" s="313" t="str">
        <f t="shared" si="23"/>
        <v>H</v>
      </c>
      <c r="AG28" s="304">
        <f t="shared" si="24"/>
        <v>459.225</v>
      </c>
      <c r="AH28" s="308">
        <f t="shared" si="25"/>
        <v>10.88790898</v>
      </c>
      <c r="AI28" s="313" t="str">
        <f t="shared" si="26"/>
        <v>H</v>
      </c>
      <c r="AJ28" s="304">
        <f t="shared" si="27"/>
        <v>408.2</v>
      </c>
      <c r="AK28" s="308">
        <f t="shared" si="28"/>
        <v>12.2488976</v>
      </c>
      <c r="AL28" s="308" t="str">
        <f t="shared" si="29"/>
        <v>H</v>
      </c>
      <c r="AM28" s="304">
        <f t="shared" si="30"/>
        <v>357.175</v>
      </c>
      <c r="AN28" s="308">
        <f t="shared" si="31"/>
        <v>13.99874011</v>
      </c>
      <c r="AO28" s="313" t="str">
        <f t="shared" si="32"/>
        <v>H</v>
      </c>
      <c r="AP28" s="304">
        <f t="shared" si="33"/>
        <v>306.15</v>
      </c>
      <c r="AQ28" s="308">
        <f t="shared" si="34"/>
        <v>16.33186347</v>
      </c>
      <c r="AR28" s="313" t="str">
        <f t="shared" si="35"/>
        <v>H</v>
      </c>
      <c r="AS28" s="304">
        <f t="shared" si="36"/>
        <v>255.125</v>
      </c>
      <c r="AT28" s="308">
        <f t="shared" si="37"/>
        <v>19.59823616</v>
      </c>
      <c r="AU28" s="308" t="str">
        <f t="shared" si="38"/>
        <v>H</v>
      </c>
      <c r="AV28" s="304">
        <f t="shared" si="39"/>
        <v>204.1</v>
      </c>
      <c r="AW28" s="308">
        <f t="shared" si="40"/>
        <v>24.4977952</v>
      </c>
      <c r="AX28" s="308" t="str">
        <f t="shared" si="41"/>
        <v>H</v>
      </c>
      <c r="AY28" s="304">
        <f t="shared" si="42"/>
        <v>153.075</v>
      </c>
      <c r="AZ28" s="308">
        <f t="shared" si="43"/>
        <v>32.66372693</v>
      </c>
      <c r="BA28" s="313" t="str">
        <f t="shared" si="44"/>
        <v>H</v>
      </c>
      <c r="BB28" s="304">
        <f t="shared" si="45"/>
        <v>102.05</v>
      </c>
      <c r="BC28" s="308">
        <f t="shared" si="46"/>
        <v>48.9955904</v>
      </c>
      <c r="BD28" s="308" t="str">
        <f t="shared" si="47"/>
        <v>H</v>
      </c>
    </row>
    <row r="29">
      <c r="A29" s="318" t="s">
        <v>114</v>
      </c>
      <c r="B29" s="318">
        <v>6.0</v>
      </c>
      <c r="C29" s="319">
        <v>585.9833333333333</v>
      </c>
      <c r="D29" s="301" t="str">
        <f>IFERROR(__xludf.DUMMYFUNCTION("if(ISBLANK(A29),"""",GOOGLEFINANCE(A29,""NAME""))"),"HDFC Life Insurance Company Ltd")</f>
        <v>HDFC Life Insurance Company Ltd</v>
      </c>
      <c r="E29" s="302">
        <v>5000.0</v>
      </c>
      <c r="F29" s="303">
        <f>IFERROR(__xludf.DUMMYFUNCTION("if(ISBLANK(A29),"""",GOOGLEFINANCE(A29,""HIGH52""))"),815.0)</f>
        <v>815</v>
      </c>
      <c r="G29" s="303">
        <f>IFERROR(__xludf.DUMMYFUNCTION("if(ISBLANK(A29),"""",GOOGLEFINANCE(A29,""LOW52""))"),543.0)</f>
        <v>543</v>
      </c>
      <c r="H29" s="304">
        <f>IFERROR(__xludf.DUMMYFUNCTION("if(ISBLANK(A29),"""",GOOGLEFINANCE(A29,""Price""))"),572.75)</f>
        <v>572.75</v>
      </c>
      <c r="I29" s="305" t="str">
        <f t="shared" si="1"/>
        <v>L</v>
      </c>
      <c r="J29" s="306" t="str">
        <f t="shared" si="2"/>
        <v>||</v>
      </c>
      <c r="K29" s="307">
        <f>IFERROR(__xludf.DUMMYFUNCTION("if(ISBLANK(A29),"""",googlefinance(A29,""Marketcap"")/10000000)"),124397.577125)</f>
        <v>124397.5771</v>
      </c>
      <c r="L29" s="304">
        <f t="shared" si="3"/>
        <v>652</v>
      </c>
      <c r="M29" s="308">
        <f t="shared" si="4"/>
        <v>7.668711656</v>
      </c>
      <c r="N29" s="309" t="str">
        <f t="shared" si="5"/>
        <v>Next</v>
      </c>
      <c r="O29" s="310">
        <f t="shared" si="6"/>
        <v>611.25</v>
      </c>
      <c r="P29" s="308">
        <f t="shared" si="7"/>
        <v>8.1799591</v>
      </c>
      <c r="Q29" s="311" t="str">
        <f t="shared" si="8"/>
        <v>B</v>
      </c>
      <c r="R29" s="304">
        <f t="shared" si="9"/>
        <v>570.5</v>
      </c>
      <c r="S29" s="308">
        <f t="shared" si="10"/>
        <v>8.764241893</v>
      </c>
      <c r="T29" s="309" t="str">
        <f t="shared" si="11"/>
        <v>H</v>
      </c>
      <c r="U29" s="304">
        <f t="shared" si="12"/>
        <v>529.75</v>
      </c>
      <c r="V29" s="308">
        <f t="shared" si="13"/>
        <v>9.438414346</v>
      </c>
      <c r="W29" s="309" t="str">
        <f t="shared" si="14"/>
        <v>H</v>
      </c>
      <c r="X29" s="304">
        <f t="shared" si="15"/>
        <v>489</v>
      </c>
      <c r="Y29" s="308">
        <f t="shared" si="16"/>
        <v>10.22494888</v>
      </c>
      <c r="Z29" s="309" t="str">
        <f t="shared" si="17"/>
        <v>H</v>
      </c>
      <c r="AA29" s="312">
        <f t="shared" si="18"/>
        <v>448.25</v>
      </c>
      <c r="AB29" s="308">
        <f t="shared" si="19"/>
        <v>11.15448968</v>
      </c>
      <c r="AC29" s="308" t="str">
        <f t="shared" si="20"/>
        <v>H</v>
      </c>
      <c r="AD29" s="312">
        <f t="shared" si="21"/>
        <v>407.5</v>
      </c>
      <c r="AE29" s="308">
        <f t="shared" si="22"/>
        <v>12.26993865</v>
      </c>
      <c r="AF29" s="313" t="str">
        <f t="shared" si="23"/>
        <v>H</v>
      </c>
      <c r="AG29" s="304">
        <f t="shared" si="24"/>
        <v>366.75</v>
      </c>
      <c r="AH29" s="308">
        <f t="shared" si="25"/>
        <v>13.63326517</v>
      </c>
      <c r="AI29" s="313" t="str">
        <f t="shared" si="26"/>
        <v>H</v>
      </c>
      <c r="AJ29" s="304">
        <f t="shared" si="27"/>
        <v>326</v>
      </c>
      <c r="AK29" s="308">
        <f t="shared" si="28"/>
        <v>15.33742331</v>
      </c>
      <c r="AL29" s="308" t="str">
        <f t="shared" si="29"/>
        <v>H</v>
      </c>
      <c r="AM29" s="304">
        <f t="shared" si="30"/>
        <v>285.25</v>
      </c>
      <c r="AN29" s="308">
        <f t="shared" si="31"/>
        <v>17.52848379</v>
      </c>
      <c r="AO29" s="313" t="str">
        <f t="shared" si="32"/>
        <v>H</v>
      </c>
      <c r="AP29" s="304">
        <f t="shared" si="33"/>
        <v>244.5</v>
      </c>
      <c r="AQ29" s="308">
        <f t="shared" si="34"/>
        <v>20.44989775</v>
      </c>
      <c r="AR29" s="313" t="str">
        <f t="shared" si="35"/>
        <v>H</v>
      </c>
      <c r="AS29" s="304">
        <f t="shared" si="36"/>
        <v>203.75</v>
      </c>
      <c r="AT29" s="308">
        <f t="shared" si="37"/>
        <v>24.5398773</v>
      </c>
      <c r="AU29" s="308" t="str">
        <f t="shared" si="38"/>
        <v>H</v>
      </c>
      <c r="AV29" s="304">
        <f t="shared" si="39"/>
        <v>163</v>
      </c>
      <c r="AW29" s="308">
        <f t="shared" si="40"/>
        <v>30.67484663</v>
      </c>
      <c r="AX29" s="308" t="str">
        <f t="shared" si="41"/>
        <v>H</v>
      </c>
      <c r="AY29" s="304">
        <f t="shared" si="42"/>
        <v>122.25</v>
      </c>
      <c r="AZ29" s="308">
        <f t="shared" si="43"/>
        <v>40.8997955</v>
      </c>
      <c r="BA29" s="313" t="str">
        <f t="shared" si="44"/>
        <v>H</v>
      </c>
      <c r="BB29" s="304">
        <f t="shared" si="45"/>
        <v>81.5</v>
      </c>
      <c r="BC29" s="308">
        <f t="shared" si="46"/>
        <v>61.34969325</v>
      </c>
      <c r="BD29" s="308" t="str">
        <f t="shared" si="47"/>
        <v>H</v>
      </c>
    </row>
    <row r="30">
      <c r="A30" s="318" t="s">
        <v>115</v>
      </c>
      <c r="B30" s="318">
        <v>3.0</v>
      </c>
      <c r="C30" s="319">
        <v>2372.1</v>
      </c>
      <c r="D30" s="301" t="str">
        <f>IFERROR(__xludf.DUMMYFUNCTION("if(ISBLANK(A30),"""",GOOGLEFINANCE(A30,""NAME""))"),"Hindustan Unilever Ltd")</f>
        <v>Hindustan Unilever Ltd</v>
      </c>
      <c r="E30" s="302">
        <v>5000.0</v>
      </c>
      <c r="F30" s="303">
        <f>IFERROR(__xludf.DUMMYFUNCTION("if(ISBLANK(A30),"""",GOOGLEFINANCE(A30,""HIGH52""))"),2715.44)</f>
        <v>2715.44</v>
      </c>
      <c r="G30" s="303">
        <f>IFERROR(__xludf.DUMMYFUNCTION("if(ISBLANK(A30),"""",GOOGLEFINANCE(A30,""LOW52""))"),2022.5)</f>
        <v>2022.5</v>
      </c>
      <c r="H30" s="304">
        <f>IFERROR(__xludf.DUMMYFUNCTION("if(ISBLANK(A30),"""",GOOGLEFINANCE(A30,""Price""))"),2203.1)</f>
        <v>2203.1</v>
      </c>
      <c r="I30" s="305" t="str">
        <f t="shared" si="1"/>
        <v>L</v>
      </c>
      <c r="J30" s="306" t="str">
        <f t="shared" si="2"/>
        <v>||</v>
      </c>
      <c r="K30" s="307">
        <f>IFERROR(__xludf.DUMMYFUNCTION("if(ISBLANK(A30),"""",googlefinance(A30,""Marketcap"")/10000000)"),519039.3151724)</f>
        <v>519039.3152</v>
      </c>
      <c r="L30" s="304">
        <f t="shared" si="3"/>
        <v>2172.352</v>
      </c>
      <c r="M30" s="308">
        <f t="shared" si="4"/>
        <v>2.301652771</v>
      </c>
      <c r="N30" s="309" t="str">
        <f t="shared" si="5"/>
        <v>H</v>
      </c>
      <c r="O30" s="310">
        <f t="shared" si="6"/>
        <v>2036.58</v>
      </c>
      <c r="P30" s="308">
        <f t="shared" si="7"/>
        <v>2.455096289</v>
      </c>
      <c r="Q30" s="311" t="str">
        <f t="shared" si="8"/>
        <v>H</v>
      </c>
      <c r="R30" s="304">
        <f t="shared" si="9"/>
        <v>1900.808</v>
      </c>
      <c r="S30" s="308">
        <f t="shared" si="10"/>
        <v>2.63046031</v>
      </c>
      <c r="T30" s="309" t="str">
        <f t="shared" si="11"/>
        <v>H</v>
      </c>
      <c r="U30" s="304">
        <f t="shared" si="12"/>
        <v>1765.036</v>
      </c>
      <c r="V30" s="308">
        <f t="shared" si="13"/>
        <v>2.83280341</v>
      </c>
      <c r="W30" s="309" t="str">
        <f t="shared" si="14"/>
        <v>H</v>
      </c>
      <c r="X30" s="304">
        <f t="shared" si="15"/>
        <v>1629.264</v>
      </c>
      <c r="Y30" s="308">
        <f t="shared" si="16"/>
        <v>3.068870361</v>
      </c>
      <c r="Z30" s="309" t="str">
        <f t="shared" si="17"/>
        <v>H</v>
      </c>
      <c r="AA30" s="312">
        <f t="shared" si="18"/>
        <v>1493.492</v>
      </c>
      <c r="AB30" s="308">
        <f t="shared" si="19"/>
        <v>3.347858576</v>
      </c>
      <c r="AC30" s="308" t="str">
        <f t="shared" si="20"/>
        <v>H</v>
      </c>
      <c r="AD30" s="312">
        <f t="shared" si="21"/>
        <v>1357.72</v>
      </c>
      <c r="AE30" s="308">
        <f t="shared" si="22"/>
        <v>3.682644433</v>
      </c>
      <c r="AF30" s="313" t="str">
        <f t="shared" si="23"/>
        <v>H</v>
      </c>
      <c r="AG30" s="304">
        <f t="shared" si="24"/>
        <v>1221.948</v>
      </c>
      <c r="AH30" s="308">
        <f t="shared" si="25"/>
        <v>4.091827148</v>
      </c>
      <c r="AI30" s="313" t="str">
        <f t="shared" si="26"/>
        <v>H</v>
      </c>
      <c r="AJ30" s="304">
        <f t="shared" si="27"/>
        <v>1086.176</v>
      </c>
      <c r="AK30" s="308">
        <f t="shared" si="28"/>
        <v>4.603305542</v>
      </c>
      <c r="AL30" s="308" t="str">
        <f t="shared" si="29"/>
        <v>H</v>
      </c>
      <c r="AM30" s="304">
        <f t="shared" si="30"/>
        <v>950.404</v>
      </c>
      <c r="AN30" s="308">
        <f t="shared" si="31"/>
        <v>5.260920619</v>
      </c>
      <c r="AO30" s="313" t="str">
        <f t="shared" si="32"/>
        <v>H</v>
      </c>
      <c r="AP30" s="304">
        <f t="shared" si="33"/>
        <v>814.632</v>
      </c>
      <c r="AQ30" s="308">
        <f t="shared" si="34"/>
        <v>6.137740722</v>
      </c>
      <c r="AR30" s="313" t="str">
        <f t="shared" si="35"/>
        <v>H</v>
      </c>
      <c r="AS30" s="304">
        <f t="shared" si="36"/>
        <v>678.86</v>
      </c>
      <c r="AT30" s="308">
        <f t="shared" si="37"/>
        <v>7.365288867</v>
      </c>
      <c r="AU30" s="308" t="str">
        <f t="shared" si="38"/>
        <v>H</v>
      </c>
      <c r="AV30" s="304">
        <f t="shared" si="39"/>
        <v>543.088</v>
      </c>
      <c r="AW30" s="308">
        <f t="shared" si="40"/>
        <v>9.206611083</v>
      </c>
      <c r="AX30" s="308" t="str">
        <f t="shared" si="41"/>
        <v>H</v>
      </c>
      <c r="AY30" s="304">
        <f t="shared" si="42"/>
        <v>407.316</v>
      </c>
      <c r="AZ30" s="308">
        <f t="shared" si="43"/>
        <v>12.27548144</v>
      </c>
      <c r="BA30" s="313" t="str">
        <f t="shared" si="44"/>
        <v>H</v>
      </c>
      <c r="BB30" s="304">
        <f t="shared" si="45"/>
        <v>271.544</v>
      </c>
      <c r="BC30" s="308">
        <f t="shared" si="46"/>
        <v>18.41322217</v>
      </c>
      <c r="BD30" s="308" t="str">
        <f t="shared" si="47"/>
        <v>H</v>
      </c>
    </row>
    <row r="31">
      <c r="A31" s="320" t="s">
        <v>116</v>
      </c>
      <c r="B31" s="320">
        <v>10.0</v>
      </c>
      <c r="C31" s="321">
        <v>519.9300000000001</v>
      </c>
      <c r="D31" s="301" t="str">
        <f>IFERROR(__xludf.DUMMYFUNCTION("if(ISBLANK(A31),"""",GOOGLEFINANCE(A31,""NAME""))"),"HLE Glascoat Ltd")</f>
        <v>HLE Glascoat Ltd</v>
      </c>
      <c r="E31" s="302">
        <v>5000.0</v>
      </c>
      <c r="F31" s="303">
        <f>IFERROR(__xludf.DUMMYFUNCTION("if(ISBLANK(A31),"""",GOOGLEFINANCE(A31,""HIGH52""))"),661.95)</f>
        <v>661.95</v>
      </c>
      <c r="G31" s="303">
        <f>IFERROR(__xludf.DUMMYFUNCTION("if(ISBLANK(A31),"""",GOOGLEFINANCE(A31,""LOW52""))"),250.0)</f>
        <v>250</v>
      </c>
      <c r="H31" s="304">
        <f>IFERROR(__xludf.DUMMYFUNCTION("if(ISBLANK(A31),"""",GOOGLEFINANCE(A31,""Price""))"),404.0)</f>
        <v>404</v>
      </c>
      <c r="I31" s="305" t="str">
        <f t="shared" si="1"/>
        <v>S</v>
      </c>
      <c r="J31" s="306" t="str">
        <f t="shared" si="2"/>
        <v>||||</v>
      </c>
      <c r="K31" s="307">
        <f>IFERROR(__xludf.DUMMYFUNCTION("if(ISBLANK(A31),"""",googlefinance(A31,""Marketcap"")/10000000)"),2805.971496)</f>
        <v>2805.971496</v>
      </c>
      <c r="L31" s="304">
        <f t="shared" si="3"/>
        <v>529.56</v>
      </c>
      <c r="M31" s="308">
        <f t="shared" si="4"/>
        <v>9.44180074</v>
      </c>
      <c r="N31" s="309" t="str">
        <f t="shared" si="5"/>
        <v>Next</v>
      </c>
      <c r="O31" s="310">
        <f t="shared" si="6"/>
        <v>496.4625</v>
      </c>
      <c r="P31" s="308">
        <f t="shared" si="7"/>
        <v>10.07125412</v>
      </c>
      <c r="Q31" s="311" t="str">
        <f t="shared" si="8"/>
        <v>Next</v>
      </c>
      <c r="R31" s="304">
        <f t="shared" si="9"/>
        <v>463.365</v>
      </c>
      <c r="S31" s="308">
        <f t="shared" si="10"/>
        <v>10.79062942</v>
      </c>
      <c r="T31" s="309" t="str">
        <f t="shared" si="11"/>
        <v>Next</v>
      </c>
      <c r="U31" s="304">
        <f t="shared" si="12"/>
        <v>430.2675</v>
      </c>
      <c r="V31" s="308">
        <f t="shared" si="13"/>
        <v>11.62067783</v>
      </c>
      <c r="W31" s="309" t="str">
        <f t="shared" si="14"/>
        <v>B</v>
      </c>
      <c r="X31" s="304">
        <f t="shared" si="15"/>
        <v>397.17</v>
      </c>
      <c r="Y31" s="308">
        <f t="shared" si="16"/>
        <v>12.58906765</v>
      </c>
      <c r="Z31" s="309" t="str">
        <f t="shared" si="17"/>
        <v>H</v>
      </c>
      <c r="AA31" s="312">
        <f t="shared" si="18"/>
        <v>364.0725</v>
      </c>
      <c r="AB31" s="308">
        <f t="shared" si="19"/>
        <v>13.73352835</v>
      </c>
      <c r="AC31" s="308" t="str">
        <f t="shared" si="20"/>
        <v>H</v>
      </c>
      <c r="AD31" s="312">
        <f t="shared" si="21"/>
        <v>330.975</v>
      </c>
      <c r="AE31" s="308">
        <f t="shared" si="22"/>
        <v>15.10688118</v>
      </c>
      <c r="AF31" s="313" t="str">
        <f t="shared" si="23"/>
        <v>H</v>
      </c>
      <c r="AG31" s="304">
        <f t="shared" si="24"/>
        <v>297.8775</v>
      </c>
      <c r="AH31" s="308">
        <f t="shared" si="25"/>
        <v>16.78542354</v>
      </c>
      <c r="AI31" s="313" t="str">
        <f t="shared" si="26"/>
        <v>H</v>
      </c>
      <c r="AJ31" s="304">
        <f t="shared" si="27"/>
        <v>264.78</v>
      </c>
      <c r="AK31" s="308">
        <f t="shared" si="28"/>
        <v>18.88360148</v>
      </c>
      <c r="AL31" s="308" t="str">
        <f t="shared" si="29"/>
        <v>H</v>
      </c>
      <c r="AM31" s="304">
        <f t="shared" si="30"/>
        <v>231.6825</v>
      </c>
      <c r="AN31" s="308">
        <f t="shared" si="31"/>
        <v>21.58125883</v>
      </c>
      <c r="AO31" s="313" t="str">
        <f t="shared" si="32"/>
        <v>H</v>
      </c>
      <c r="AP31" s="304">
        <f t="shared" si="33"/>
        <v>198.585</v>
      </c>
      <c r="AQ31" s="308">
        <f t="shared" si="34"/>
        <v>25.17813531</v>
      </c>
      <c r="AR31" s="313" t="str">
        <f t="shared" si="35"/>
        <v>H</v>
      </c>
      <c r="AS31" s="304">
        <f t="shared" si="36"/>
        <v>165.4875</v>
      </c>
      <c r="AT31" s="308">
        <f t="shared" si="37"/>
        <v>30.21376237</v>
      </c>
      <c r="AU31" s="308" t="str">
        <f t="shared" si="38"/>
        <v>H</v>
      </c>
      <c r="AV31" s="304">
        <f t="shared" si="39"/>
        <v>132.39</v>
      </c>
      <c r="AW31" s="308">
        <f t="shared" si="40"/>
        <v>37.76720296</v>
      </c>
      <c r="AX31" s="308" t="str">
        <f t="shared" si="41"/>
        <v>H</v>
      </c>
      <c r="AY31" s="304">
        <f t="shared" si="42"/>
        <v>99.2925</v>
      </c>
      <c r="AZ31" s="308">
        <f t="shared" si="43"/>
        <v>50.35627061</v>
      </c>
      <c r="BA31" s="313" t="str">
        <f t="shared" si="44"/>
        <v>H</v>
      </c>
      <c r="BB31" s="304">
        <f t="shared" si="45"/>
        <v>66.195</v>
      </c>
      <c r="BC31" s="308">
        <f t="shared" si="46"/>
        <v>75.53440592</v>
      </c>
      <c r="BD31" s="308" t="str">
        <f t="shared" si="47"/>
        <v>H</v>
      </c>
    </row>
    <row r="32">
      <c r="A32" s="318" t="s">
        <v>117</v>
      </c>
      <c r="B32" s="318">
        <v>10.0</v>
      </c>
      <c r="C32" s="319">
        <v>408.2</v>
      </c>
      <c r="D32" s="301" t="str">
        <f>IFERROR(__xludf.DUMMYFUNCTION("if(ISBLANK(A32),"""",GOOGLEFINANCE(A32,""NAME""))"),"Hindustan Foods Ltd(NDA)")</f>
        <v>Hindustan Foods Ltd(NDA)</v>
      </c>
      <c r="E32" s="302">
        <v>5000.0</v>
      </c>
      <c r="F32" s="303">
        <f>IFERROR(__xludf.DUMMYFUNCTION("if(ISBLANK(A32),"""",GOOGLEFINANCE(A32,""HIGH52""))"),584.9)</f>
        <v>584.9</v>
      </c>
      <c r="G32" s="303">
        <f>IFERROR(__xludf.DUMMYFUNCTION("if(ISBLANK(A32),"""",GOOGLEFINANCE(A32,""LOW52""))"),442.0)</f>
        <v>442</v>
      </c>
      <c r="H32" s="304">
        <f>IFERROR(__xludf.DUMMYFUNCTION("if(ISBLANK(A32),"""",GOOGLEFINANCE(A32,""Price""))"),540.0)</f>
        <v>540</v>
      </c>
      <c r="I32" s="305" t="str">
        <f t="shared" si="1"/>
        <v>S</v>
      </c>
      <c r="J32" s="306" t="str">
        <f t="shared" si="2"/>
        <v>||||</v>
      </c>
      <c r="K32" s="307">
        <f>IFERROR(__xludf.DUMMYFUNCTION("if(ISBLANK(A32),"""",googlefinance(A32,""Marketcap"")/10000000)"),6542.7804)</f>
        <v>6542.7804</v>
      </c>
      <c r="L32" s="304">
        <f t="shared" si="3"/>
        <v>467.92</v>
      </c>
      <c r="M32" s="308">
        <f t="shared" si="4"/>
        <v>10.68558728</v>
      </c>
      <c r="N32" s="309" t="str">
        <f t="shared" si="5"/>
        <v>H</v>
      </c>
      <c r="O32" s="310">
        <f t="shared" si="6"/>
        <v>438.675</v>
      </c>
      <c r="P32" s="308">
        <f t="shared" si="7"/>
        <v>11.39795977</v>
      </c>
      <c r="Q32" s="311" t="str">
        <f t="shared" si="8"/>
        <v>H</v>
      </c>
      <c r="R32" s="304">
        <f t="shared" si="9"/>
        <v>409.43</v>
      </c>
      <c r="S32" s="308">
        <f t="shared" si="10"/>
        <v>12.21209975</v>
      </c>
      <c r="T32" s="309" t="str">
        <f t="shared" si="11"/>
        <v>H</v>
      </c>
      <c r="U32" s="304">
        <f t="shared" si="12"/>
        <v>380.185</v>
      </c>
      <c r="V32" s="308">
        <f t="shared" si="13"/>
        <v>13.15149204</v>
      </c>
      <c r="W32" s="309" t="str">
        <f t="shared" si="14"/>
        <v>H</v>
      </c>
      <c r="X32" s="304">
        <f t="shared" si="15"/>
        <v>350.94</v>
      </c>
      <c r="Y32" s="308">
        <f t="shared" si="16"/>
        <v>14.24744971</v>
      </c>
      <c r="Z32" s="309" t="str">
        <f t="shared" si="17"/>
        <v>H</v>
      </c>
      <c r="AA32" s="312">
        <f t="shared" si="18"/>
        <v>321.695</v>
      </c>
      <c r="AB32" s="308">
        <f t="shared" si="19"/>
        <v>15.54267241</v>
      </c>
      <c r="AC32" s="308" t="str">
        <f t="shared" si="20"/>
        <v>H</v>
      </c>
      <c r="AD32" s="312">
        <f t="shared" si="21"/>
        <v>292.45</v>
      </c>
      <c r="AE32" s="308">
        <f t="shared" si="22"/>
        <v>17.09693965</v>
      </c>
      <c r="AF32" s="313" t="str">
        <f t="shared" si="23"/>
        <v>H</v>
      </c>
      <c r="AG32" s="304">
        <f t="shared" si="24"/>
        <v>263.205</v>
      </c>
      <c r="AH32" s="308">
        <f t="shared" si="25"/>
        <v>18.99659961</v>
      </c>
      <c r="AI32" s="313" t="str">
        <f t="shared" si="26"/>
        <v>H</v>
      </c>
      <c r="AJ32" s="304">
        <f t="shared" si="27"/>
        <v>233.96</v>
      </c>
      <c r="AK32" s="308">
        <f t="shared" si="28"/>
        <v>21.37117456</v>
      </c>
      <c r="AL32" s="308" t="str">
        <f t="shared" si="29"/>
        <v>H</v>
      </c>
      <c r="AM32" s="304">
        <f t="shared" si="30"/>
        <v>204.715</v>
      </c>
      <c r="AN32" s="308">
        <f t="shared" si="31"/>
        <v>24.4241995</v>
      </c>
      <c r="AO32" s="313" t="str">
        <f t="shared" si="32"/>
        <v>H</v>
      </c>
      <c r="AP32" s="304">
        <f t="shared" si="33"/>
        <v>175.47</v>
      </c>
      <c r="AQ32" s="308">
        <f t="shared" si="34"/>
        <v>28.49489941</v>
      </c>
      <c r="AR32" s="313" t="str">
        <f t="shared" si="35"/>
        <v>H</v>
      </c>
      <c r="AS32" s="304">
        <f t="shared" si="36"/>
        <v>146.225</v>
      </c>
      <c r="AT32" s="308">
        <f t="shared" si="37"/>
        <v>34.1938793</v>
      </c>
      <c r="AU32" s="308" t="str">
        <f t="shared" si="38"/>
        <v>H</v>
      </c>
      <c r="AV32" s="304">
        <f t="shared" si="39"/>
        <v>116.98</v>
      </c>
      <c r="AW32" s="308">
        <f t="shared" si="40"/>
        <v>42.74234912</v>
      </c>
      <c r="AX32" s="308" t="str">
        <f t="shared" si="41"/>
        <v>H</v>
      </c>
      <c r="AY32" s="304">
        <f t="shared" si="42"/>
        <v>87.735</v>
      </c>
      <c r="AZ32" s="308">
        <f t="shared" si="43"/>
        <v>56.98979883</v>
      </c>
      <c r="BA32" s="313" t="str">
        <f t="shared" si="44"/>
        <v>H</v>
      </c>
      <c r="BB32" s="304">
        <f t="shared" si="45"/>
        <v>58.49</v>
      </c>
      <c r="BC32" s="308">
        <f t="shared" si="46"/>
        <v>85.48469824</v>
      </c>
      <c r="BD32" s="308" t="str">
        <f t="shared" si="47"/>
        <v>H</v>
      </c>
    </row>
    <row r="33">
      <c r="A33" s="318" t="s">
        <v>119</v>
      </c>
      <c r="B33" s="318">
        <v>3.0</v>
      </c>
      <c r="C33" s="319">
        <v>267.6667</v>
      </c>
      <c r="D33" s="301" t="str">
        <f>IFERROR(__xludf.DUMMYFUNCTION("if(ISBLANK(A33),"""",GOOGLEFINANCE(A33,""NAME""))"),"Indian Energy Exchange Ltd")</f>
        <v>Indian Energy Exchange Ltd</v>
      </c>
      <c r="E33" s="302">
        <v>5000.0</v>
      </c>
      <c r="F33" s="303">
        <f>IFERROR(__xludf.DUMMYFUNCTION("if(ISBLANK(A33),"""",GOOGLEFINANCE(A33,""HIGH52""))"),211.75)</f>
        <v>211.75</v>
      </c>
      <c r="G33" s="303">
        <f>IFERROR(__xludf.DUMMYFUNCTION("if(ISBLANK(A33),"""",GOOGLEFINANCE(A33,""LOW52""))"),114.6)</f>
        <v>114.6</v>
      </c>
      <c r="H33" s="304">
        <f>IFERROR(__xludf.DUMMYFUNCTION("if(ISBLANK(A33),"""",GOOGLEFINANCE(A33,""Price""))"),122.44)</f>
        <v>122.44</v>
      </c>
      <c r="I33" s="305" t="str">
        <f t="shared" si="1"/>
        <v>M</v>
      </c>
      <c r="J33" s="306" t="str">
        <f t="shared" si="2"/>
        <v>|||</v>
      </c>
      <c r="K33" s="307">
        <f>IFERROR(__xludf.DUMMYFUNCTION("if(ISBLANK(A33),"""",googlefinance(A33,""Marketcap"")/10000000)"),10891.223141)</f>
        <v>10891.22314</v>
      </c>
      <c r="L33" s="304">
        <f t="shared" si="3"/>
        <v>169.4</v>
      </c>
      <c r="M33" s="308">
        <f t="shared" si="4"/>
        <v>29.51593861</v>
      </c>
      <c r="N33" s="309" t="str">
        <f t="shared" si="5"/>
        <v>Next</v>
      </c>
      <c r="O33" s="310">
        <f t="shared" si="6"/>
        <v>158.8125</v>
      </c>
      <c r="P33" s="308">
        <f t="shared" si="7"/>
        <v>31.48366785</v>
      </c>
      <c r="Q33" s="311" t="str">
        <f t="shared" si="8"/>
        <v>Next</v>
      </c>
      <c r="R33" s="304">
        <f t="shared" si="9"/>
        <v>148.225</v>
      </c>
      <c r="S33" s="308">
        <f t="shared" si="10"/>
        <v>33.73250126</v>
      </c>
      <c r="T33" s="309" t="str">
        <f t="shared" si="11"/>
        <v>Next</v>
      </c>
      <c r="U33" s="304">
        <f t="shared" si="12"/>
        <v>137.6375</v>
      </c>
      <c r="V33" s="308">
        <f t="shared" si="13"/>
        <v>36.32730905</v>
      </c>
      <c r="W33" s="309" t="str">
        <f t="shared" si="14"/>
        <v>Next</v>
      </c>
      <c r="X33" s="304">
        <f t="shared" si="15"/>
        <v>127.05</v>
      </c>
      <c r="Y33" s="308">
        <f t="shared" si="16"/>
        <v>39.35458481</v>
      </c>
      <c r="Z33" s="309" t="str">
        <f t="shared" si="17"/>
        <v>B</v>
      </c>
      <c r="AA33" s="312">
        <f t="shared" si="18"/>
        <v>116.4625</v>
      </c>
      <c r="AB33" s="308">
        <f t="shared" si="19"/>
        <v>42.93227434</v>
      </c>
      <c r="AC33" s="308" t="str">
        <f t="shared" si="20"/>
        <v>H</v>
      </c>
      <c r="AD33" s="312">
        <f t="shared" si="21"/>
        <v>105.875</v>
      </c>
      <c r="AE33" s="308">
        <f t="shared" si="22"/>
        <v>47.22550177</v>
      </c>
      <c r="AF33" s="313" t="str">
        <f t="shared" si="23"/>
        <v>H</v>
      </c>
      <c r="AG33" s="304">
        <f t="shared" si="24"/>
        <v>95.2875</v>
      </c>
      <c r="AH33" s="308">
        <f t="shared" si="25"/>
        <v>52.47277975</v>
      </c>
      <c r="AI33" s="313" t="str">
        <f t="shared" si="26"/>
        <v>H</v>
      </c>
      <c r="AJ33" s="304">
        <f t="shared" si="27"/>
        <v>84.7</v>
      </c>
      <c r="AK33" s="308">
        <f t="shared" si="28"/>
        <v>59.03187721</v>
      </c>
      <c r="AL33" s="308" t="str">
        <f t="shared" si="29"/>
        <v>H</v>
      </c>
      <c r="AM33" s="304">
        <f t="shared" si="30"/>
        <v>74.1125</v>
      </c>
      <c r="AN33" s="308">
        <f t="shared" si="31"/>
        <v>67.46500253</v>
      </c>
      <c r="AO33" s="313" t="str">
        <f t="shared" si="32"/>
        <v>H</v>
      </c>
      <c r="AP33" s="304">
        <f t="shared" si="33"/>
        <v>63.525</v>
      </c>
      <c r="AQ33" s="308">
        <f t="shared" si="34"/>
        <v>78.70916962</v>
      </c>
      <c r="AR33" s="313" t="str">
        <f t="shared" si="35"/>
        <v>H</v>
      </c>
      <c r="AS33" s="304">
        <f t="shared" si="36"/>
        <v>52.9375</v>
      </c>
      <c r="AT33" s="308">
        <f t="shared" si="37"/>
        <v>94.45100354</v>
      </c>
      <c r="AU33" s="308" t="str">
        <f t="shared" si="38"/>
        <v>H</v>
      </c>
      <c r="AV33" s="304">
        <f t="shared" si="39"/>
        <v>42.35</v>
      </c>
      <c r="AW33" s="308">
        <f t="shared" si="40"/>
        <v>118.0637544</v>
      </c>
      <c r="AX33" s="308" t="str">
        <f t="shared" si="41"/>
        <v>H</v>
      </c>
      <c r="AY33" s="304">
        <f t="shared" si="42"/>
        <v>31.7625</v>
      </c>
      <c r="AZ33" s="308">
        <f t="shared" si="43"/>
        <v>157.4183392</v>
      </c>
      <c r="BA33" s="313" t="str">
        <f t="shared" si="44"/>
        <v>H</v>
      </c>
      <c r="BB33" s="304">
        <f t="shared" si="45"/>
        <v>21.175</v>
      </c>
      <c r="BC33" s="308">
        <f t="shared" si="46"/>
        <v>236.1275089</v>
      </c>
      <c r="BD33" s="308" t="str">
        <f t="shared" si="47"/>
        <v>H</v>
      </c>
    </row>
    <row r="34">
      <c r="A34" s="318" t="s">
        <v>120</v>
      </c>
      <c r="B34" s="318">
        <v>6.0</v>
      </c>
      <c r="C34" s="319">
        <v>1386.825</v>
      </c>
      <c r="D34" s="301" t="str">
        <f>IFERROR(__xludf.DUMMYFUNCTION("if(ISBLANK(A34),"""",GOOGLEFINANCE(A34,""NAME""))"),"Infosys Ltd")</f>
        <v>Infosys Ltd</v>
      </c>
      <c r="E34" s="302">
        <v>5000.0</v>
      </c>
      <c r="F34" s="303">
        <f>IFERROR(__xludf.DUMMYFUNCTION("if(ISBLANK(A34),"""",GOOGLEFINANCE(A34,""HIGH52""))"),1728.0)</f>
        <v>1728</v>
      </c>
      <c r="G34" s="303">
        <f>IFERROR(__xludf.DUMMYFUNCTION("if(ISBLANK(A34),"""",GOOGLEFINANCE(A34,""LOW52""))"),982.4)</f>
        <v>982.4</v>
      </c>
      <c r="H34" s="304">
        <f>IFERROR(__xludf.DUMMYFUNCTION("if(ISBLANK(A34),"""",GOOGLEFINANCE(A34,""Price""))"),1071.9)</f>
        <v>1071.9</v>
      </c>
      <c r="I34" s="305" t="str">
        <f t="shared" si="1"/>
        <v>S</v>
      </c>
      <c r="J34" s="306" t="str">
        <f t="shared" si="2"/>
        <v>||||</v>
      </c>
      <c r="K34" s="307">
        <f>IFERROR(__xludf.DUMMYFUNCTION("if(ISBLANK(A34),"""",googlefinance(A34,""Marketcap"")/10000000)"),4537.1518373)</f>
        <v>4537.151837</v>
      </c>
      <c r="L34" s="304">
        <f t="shared" si="3"/>
        <v>1382.4</v>
      </c>
      <c r="M34" s="308">
        <f t="shared" si="4"/>
        <v>3.616898148</v>
      </c>
      <c r="N34" s="309" t="str">
        <f t="shared" si="5"/>
        <v>Next</v>
      </c>
      <c r="O34" s="310">
        <f t="shared" si="6"/>
        <v>1296</v>
      </c>
      <c r="P34" s="308">
        <f t="shared" si="7"/>
        <v>3.858024691</v>
      </c>
      <c r="Q34" s="311" t="str">
        <f t="shared" si="8"/>
        <v>Next</v>
      </c>
      <c r="R34" s="304">
        <f t="shared" si="9"/>
        <v>1209.6</v>
      </c>
      <c r="S34" s="308">
        <f t="shared" si="10"/>
        <v>4.133597884</v>
      </c>
      <c r="T34" s="309" t="str">
        <f t="shared" si="11"/>
        <v>Next</v>
      </c>
      <c r="U34" s="304">
        <f t="shared" si="12"/>
        <v>1123.2</v>
      </c>
      <c r="V34" s="308">
        <f t="shared" si="13"/>
        <v>4.451566952</v>
      </c>
      <c r="W34" s="309" t="str">
        <f t="shared" si="14"/>
        <v>B</v>
      </c>
      <c r="X34" s="304">
        <f t="shared" si="15"/>
        <v>1036.8</v>
      </c>
      <c r="Y34" s="308">
        <f t="shared" si="16"/>
        <v>4.822530864</v>
      </c>
      <c r="Z34" s="309" t="str">
        <f t="shared" si="17"/>
        <v>H</v>
      </c>
      <c r="AA34" s="312">
        <f t="shared" si="18"/>
        <v>950.4</v>
      </c>
      <c r="AB34" s="308">
        <f t="shared" si="19"/>
        <v>5.260942761</v>
      </c>
      <c r="AC34" s="308" t="str">
        <f t="shared" si="20"/>
        <v>H</v>
      </c>
      <c r="AD34" s="312">
        <f t="shared" si="21"/>
        <v>864</v>
      </c>
      <c r="AE34" s="308">
        <f t="shared" si="22"/>
        <v>5.787037037</v>
      </c>
      <c r="AF34" s="313" t="str">
        <f t="shared" si="23"/>
        <v>H</v>
      </c>
      <c r="AG34" s="304">
        <f t="shared" si="24"/>
        <v>777.6</v>
      </c>
      <c r="AH34" s="308">
        <f t="shared" si="25"/>
        <v>6.430041152</v>
      </c>
      <c r="AI34" s="313" t="str">
        <f t="shared" si="26"/>
        <v>H</v>
      </c>
      <c r="AJ34" s="304">
        <f t="shared" si="27"/>
        <v>691.2</v>
      </c>
      <c r="AK34" s="308">
        <f t="shared" si="28"/>
        <v>7.233796296</v>
      </c>
      <c r="AL34" s="308" t="str">
        <f t="shared" si="29"/>
        <v>H</v>
      </c>
      <c r="AM34" s="304">
        <f t="shared" si="30"/>
        <v>604.8</v>
      </c>
      <c r="AN34" s="308">
        <f t="shared" si="31"/>
        <v>8.267195767</v>
      </c>
      <c r="AO34" s="313" t="str">
        <f t="shared" si="32"/>
        <v>H</v>
      </c>
      <c r="AP34" s="304">
        <f t="shared" si="33"/>
        <v>518.4</v>
      </c>
      <c r="AQ34" s="308">
        <f t="shared" si="34"/>
        <v>9.645061728</v>
      </c>
      <c r="AR34" s="313" t="str">
        <f t="shared" si="35"/>
        <v>H</v>
      </c>
      <c r="AS34" s="304">
        <f t="shared" si="36"/>
        <v>432</v>
      </c>
      <c r="AT34" s="308">
        <f t="shared" si="37"/>
        <v>11.57407407</v>
      </c>
      <c r="AU34" s="308" t="str">
        <f t="shared" si="38"/>
        <v>H</v>
      </c>
      <c r="AV34" s="304">
        <f t="shared" si="39"/>
        <v>345.6</v>
      </c>
      <c r="AW34" s="308">
        <f t="shared" si="40"/>
        <v>14.46759259</v>
      </c>
      <c r="AX34" s="308" t="str">
        <f t="shared" si="41"/>
        <v>H</v>
      </c>
      <c r="AY34" s="304">
        <f t="shared" si="42"/>
        <v>259.2</v>
      </c>
      <c r="AZ34" s="308">
        <f t="shared" si="43"/>
        <v>19.29012346</v>
      </c>
      <c r="BA34" s="313" t="str">
        <f t="shared" si="44"/>
        <v>H</v>
      </c>
      <c r="BB34" s="304">
        <f t="shared" si="45"/>
        <v>172.8</v>
      </c>
      <c r="BC34" s="308">
        <f t="shared" si="46"/>
        <v>28.93518519</v>
      </c>
      <c r="BD34" s="308" t="str">
        <f t="shared" si="47"/>
        <v>H</v>
      </c>
    </row>
    <row r="35">
      <c r="A35" s="299" t="s">
        <v>121</v>
      </c>
      <c r="B35" s="299">
        <v>3.0</v>
      </c>
      <c r="C35" s="300">
        <v>252.0</v>
      </c>
      <c r="D35" s="301" t="str">
        <f>IFERROR(__xludf.DUMMYFUNCTION("if(ISBLANK(A35),"""",GOOGLEFINANCE(A35,""NAME""))"),"India Pesticides Ltd")</f>
        <v>India Pesticides Ltd</v>
      </c>
      <c r="E35" s="302">
        <v>5000.0</v>
      </c>
      <c r="F35" s="303">
        <f>IFERROR(__xludf.DUMMYFUNCTION("if(ISBLANK(A35),"""",GOOGLEFINANCE(A35,""HIGH52""))"),245.84)</f>
        <v>245.84</v>
      </c>
      <c r="G35" s="303">
        <f>IFERROR(__xludf.DUMMYFUNCTION("if(ISBLANK(A35),"""",GOOGLEFINANCE(A35,""LOW52""))"),125.0)</f>
        <v>125</v>
      </c>
      <c r="H35" s="304">
        <f>IFERROR(__xludf.DUMMYFUNCTION("if(ISBLANK(A35),"""",GOOGLEFINANCE(A35,""Price""))"),158.5)</f>
        <v>158.5</v>
      </c>
      <c r="I35" s="305" t="str">
        <f t="shared" si="1"/>
        <v>S</v>
      </c>
      <c r="J35" s="306" t="str">
        <f t="shared" si="2"/>
        <v>||||</v>
      </c>
      <c r="K35" s="307">
        <f>IFERROR(__xludf.DUMMYFUNCTION("if(ISBLANK(A35),"""",googlefinance(A35,""Marketcap"")/10000000)"),1837.5610542)</f>
        <v>1837.561054</v>
      </c>
      <c r="L35" s="304">
        <f t="shared" si="3"/>
        <v>196.672</v>
      </c>
      <c r="M35" s="308">
        <f t="shared" si="4"/>
        <v>25.42303938</v>
      </c>
      <c r="N35" s="309" t="str">
        <f t="shared" si="5"/>
        <v>Next</v>
      </c>
      <c r="O35" s="310">
        <f t="shared" si="6"/>
        <v>184.38</v>
      </c>
      <c r="P35" s="308">
        <f t="shared" si="7"/>
        <v>27.11790867</v>
      </c>
      <c r="Q35" s="311" t="str">
        <f t="shared" si="8"/>
        <v>Next</v>
      </c>
      <c r="R35" s="304">
        <f t="shared" si="9"/>
        <v>172.088</v>
      </c>
      <c r="S35" s="308">
        <f t="shared" si="10"/>
        <v>29.05490214</v>
      </c>
      <c r="T35" s="309" t="str">
        <f t="shared" si="11"/>
        <v>Next</v>
      </c>
      <c r="U35" s="304">
        <f t="shared" si="12"/>
        <v>159.796</v>
      </c>
      <c r="V35" s="308">
        <f t="shared" si="13"/>
        <v>31.28989462</v>
      </c>
      <c r="W35" s="309" t="str">
        <f t="shared" si="14"/>
        <v>B</v>
      </c>
      <c r="X35" s="304">
        <f t="shared" si="15"/>
        <v>147.504</v>
      </c>
      <c r="Y35" s="308">
        <f t="shared" si="16"/>
        <v>33.89738583</v>
      </c>
      <c r="Z35" s="309" t="str">
        <f t="shared" si="17"/>
        <v>H</v>
      </c>
      <c r="AA35" s="312">
        <f t="shared" si="18"/>
        <v>135.212</v>
      </c>
      <c r="AB35" s="308">
        <f t="shared" si="19"/>
        <v>36.97896636</v>
      </c>
      <c r="AC35" s="308" t="str">
        <f t="shared" si="20"/>
        <v>H</v>
      </c>
      <c r="AD35" s="312">
        <f t="shared" si="21"/>
        <v>122.92</v>
      </c>
      <c r="AE35" s="308">
        <f t="shared" si="22"/>
        <v>40.676863</v>
      </c>
      <c r="AF35" s="313" t="str">
        <f t="shared" si="23"/>
        <v>H</v>
      </c>
      <c r="AG35" s="304">
        <f t="shared" si="24"/>
        <v>110.628</v>
      </c>
      <c r="AH35" s="308">
        <f t="shared" si="25"/>
        <v>45.19651444</v>
      </c>
      <c r="AI35" s="313" t="str">
        <f t="shared" si="26"/>
        <v>H</v>
      </c>
      <c r="AJ35" s="304">
        <f t="shared" si="27"/>
        <v>98.336</v>
      </c>
      <c r="AK35" s="308">
        <f t="shared" si="28"/>
        <v>50.84607875</v>
      </c>
      <c r="AL35" s="308" t="str">
        <f t="shared" si="29"/>
        <v>H</v>
      </c>
      <c r="AM35" s="304">
        <f t="shared" si="30"/>
        <v>86.044</v>
      </c>
      <c r="AN35" s="308">
        <f t="shared" si="31"/>
        <v>58.10980429</v>
      </c>
      <c r="AO35" s="313" t="str">
        <f t="shared" si="32"/>
        <v>H</v>
      </c>
      <c r="AP35" s="304">
        <f t="shared" si="33"/>
        <v>73.752</v>
      </c>
      <c r="AQ35" s="308">
        <f t="shared" si="34"/>
        <v>67.79477167</v>
      </c>
      <c r="AR35" s="313" t="str">
        <f t="shared" si="35"/>
        <v>H</v>
      </c>
      <c r="AS35" s="304">
        <f t="shared" si="36"/>
        <v>61.46</v>
      </c>
      <c r="AT35" s="308">
        <f t="shared" si="37"/>
        <v>81.353726</v>
      </c>
      <c r="AU35" s="308" t="str">
        <f t="shared" si="38"/>
        <v>H</v>
      </c>
      <c r="AV35" s="304">
        <f t="shared" si="39"/>
        <v>49.168</v>
      </c>
      <c r="AW35" s="308">
        <f t="shared" si="40"/>
        <v>101.6921575</v>
      </c>
      <c r="AX35" s="308" t="str">
        <f t="shared" si="41"/>
        <v>H</v>
      </c>
      <c r="AY35" s="304">
        <f t="shared" si="42"/>
        <v>36.876</v>
      </c>
      <c r="AZ35" s="308">
        <f t="shared" si="43"/>
        <v>135.5895433</v>
      </c>
      <c r="BA35" s="313" t="str">
        <f t="shared" si="44"/>
        <v>H</v>
      </c>
      <c r="BB35" s="304">
        <f t="shared" si="45"/>
        <v>24.584</v>
      </c>
      <c r="BC35" s="308">
        <f t="shared" si="46"/>
        <v>203.384315</v>
      </c>
      <c r="BD35" s="308" t="str">
        <f t="shared" si="47"/>
        <v>H</v>
      </c>
    </row>
    <row r="36">
      <c r="A36" s="299" t="s">
        <v>122</v>
      </c>
      <c r="B36" s="299">
        <v>90.0</v>
      </c>
      <c r="C36" s="300">
        <v>175.95555555555555</v>
      </c>
      <c r="D36" s="301" t="str">
        <f>IFERROR(__xludf.DUMMYFUNCTION("if(ISBLANK(A36),"""",GOOGLEFINANCE(A36,""NAME""))"),"Ircon International Ltd")</f>
        <v>Ircon International Ltd</v>
      </c>
      <c r="E36" s="302">
        <v>5000.0</v>
      </c>
      <c r="F36" s="303">
        <f>IFERROR(__xludf.DUMMYFUNCTION("if(ISBLANK(A36),"""",GOOGLEFINANCE(A36,""HIGH52""))"),200.15)</f>
        <v>200.15</v>
      </c>
      <c r="G36" s="303">
        <f>IFERROR(__xludf.DUMMYFUNCTION("if(ISBLANK(A36),"""",GOOGLEFINANCE(A36,""LOW52""))"),114.5)</f>
        <v>114.5</v>
      </c>
      <c r="H36" s="304">
        <f>IFERROR(__xludf.DUMMYFUNCTION("if(ISBLANK(A36),"""",GOOGLEFINANCE(A36,""Price""))"),133.03)</f>
        <v>133.03</v>
      </c>
      <c r="I36" s="305" t="str">
        <f t="shared" si="1"/>
        <v>M</v>
      </c>
      <c r="J36" s="306" t="str">
        <f t="shared" si="2"/>
        <v>|||</v>
      </c>
      <c r="K36" s="307">
        <f>IFERROR(__xludf.DUMMYFUNCTION("if(ISBLANK(A36),"""",googlefinance(A36,""Marketcap"")/10000000)"),12524.4403813)</f>
        <v>12524.44038</v>
      </c>
      <c r="L36" s="304">
        <f t="shared" si="3"/>
        <v>160.12</v>
      </c>
      <c r="M36" s="308">
        <f t="shared" si="4"/>
        <v>31.22658006</v>
      </c>
      <c r="N36" s="309" t="str">
        <f t="shared" si="5"/>
        <v>Next</v>
      </c>
      <c r="O36" s="310">
        <f t="shared" si="6"/>
        <v>150.1125</v>
      </c>
      <c r="P36" s="308">
        <f t="shared" si="7"/>
        <v>33.30835207</v>
      </c>
      <c r="Q36" s="311" t="str">
        <f t="shared" si="8"/>
        <v>Next</v>
      </c>
      <c r="R36" s="304">
        <f t="shared" si="9"/>
        <v>140.105</v>
      </c>
      <c r="S36" s="308">
        <f t="shared" si="10"/>
        <v>35.68752007</v>
      </c>
      <c r="T36" s="309" t="str">
        <f t="shared" si="11"/>
        <v>B</v>
      </c>
      <c r="U36" s="304">
        <f t="shared" si="12"/>
        <v>130.0975</v>
      </c>
      <c r="V36" s="308">
        <f t="shared" si="13"/>
        <v>38.43271393</v>
      </c>
      <c r="W36" s="309" t="str">
        <f t="shared" si="14"/>
        <v>H</v>
      </c>
      <c r="X36" s="304">
        <f t="shared" si="15"/>
        <v>120.09</v>
      </c>
      <c r="Y36" s="308">
        <f t="shared" si="16"/>
        <v>41.63544009</v>
      </c>
      <c r="Z36" s="309" t="str">
        <f t="shared" si="17"/>
        <v>H</v>
      </c>
      <c r="AA36" s="312">
        <f t="shared" si="18"/>
        <v>110.0825</v>
      </c>
      <c r="AB36" s="308">
        <f t="shared" si="19"/>
        <v>45.42048009</v>
      </c>
      <c r="AC36" s="308" t="str">
        <f t="shared" si="20"/>
        <v>H</v>
      </c>
      <c r="AD36" s="312">
        <f t="shared" si="21"/>
        <v>100.075</v>
      </c>
      <c r="AE36" s="308">
        <f t="shared" si="22"/>
        <v>49.9625281</v>
      </c>
      <c r="AF36" s="313" t="str">
        <f t="shared" si="23"/>
        <v>H</v>
      </c>
      <c r="AG36" s="304">
        <f t="shared" si="24"/>
        <v>90.0675</v>
      </c>
      <c r="AH36" s="308">
        <f t="shared" si="25"/>
        <v>55.51392012</v>
      </c>
      <c r="AI36" s="313" t="str">
        <f t="shared" si="26"/>
        <v>H</v>
      </c>
      <c r="AJ36" s="304">
        <f t="shared" si="27"/>
        <v>80.06</v>
      </c>
      <c r="AK36" s="308">
        <f t="shared" si="28"/>
        <v>62.45316013</v>
      </c>
      <c r="AL36" s="308" t="str">
        <f t="shared" si="29"/>
        <v>H</v>
      </c>
      <c r="AM36" s="304">
        <f t="shared" si="30"/>
        <v>70.0525</v>
      </c>
      <c r="AN36" s="308">
        <f t="shared" si="31"/>
        <v>71.37504015</v>
      </c>
      <c r="AO36" s="313" t="str">
        <f t="shared" si="32"/>
        <v>H</v>
      </c>
      <c r="AP36" s="304">
        <f t="shared" si="33"/>
        <v>60.045</v>
      </c>
      <c r="AQ36" s="308">
        <f t="shared" si="34"/>
        <v>83.27088017</v>
      </c>
      <c r="AR36" s="313" t="str">
        <f t="shared" si="35"/>
        <v>H</v>
      </c>
      <c r="AS36" s="304">
        <f t="shared" si="36"/>
        <v>50.0375</v>
      </c>
      <c r="AT36" s="308">
        <f t="shared" si="37"/>
        <v>99.92505621</v>
      </c>
      <c r="AU36" s="308" t="str">
        <f t="shared" si="38"/>
        <v>H</v>
      </c>
      <c r="AV36" s="304">
        <f t="shared" si="39"/>
        <v>40.03</v>
      </c>
      <c r="AW36" s="308">
        <f t="shared" si="40"/>
        <v>124.9063203</v>
      </c>
      <c r="AX36" s="308" t="str">
        <f t="shared" si="41"/>
        <v>H</v>
      </c>
      <c r="AY36" s="304">
        <f t="shared" si="42"/>
        <v>30.0225</v>
      </c>
      <c r="AZ36" s="308">
        <f t="shared" si="43"/>
        <v>166.5417603</v>
      </c>
      <c r="BA36" s="313" t="str">
        <f t="shared" si="44"/>
        <v>H</v>
      </c>
      <c r="BB36" s="304">
        <f t="shared" si="45"/>
        <v>20.015</v>
      </c>
      <c r="BC36" s="308">
        <f t="shared" si="46"/>
        <v>249.8126405</v>
      </c>
      <c r="BD36" s="308" t="str">
        <f t="shared" si="47"/>
        <v>H</v>
      </c>
    </row>
    <row r="37">
      <c r="A37" s="299" t="s">
        <v>123</v>
      </c>
      <c r="B37" s="299">
        <v>12.0</v>
      </c>
      <c r="C37" s="300">
        <v>873.6333333333333</v>
      </c>
      <c r="D37" s="301" t="str">
        <f>IFERROR(__xludf.DUMMYFUNCTION("if(ISBLANK(A37),"""",GOOGLEFINANCE(A37,""NAME""))"),"Indian Railway Ctrng nd Trsm Corp Ltd")</f>
        <v>Indian Railway Ctrng nd Trsm Corp Ltd</v>
      </c>
      <c r="E37" s="302">
        <v>5000.0</v>
      </c>
      <c r="F37" s="303">
        <f>IFERROR(__xludf.DUMMYFUNCTION("if(ISBLANK(A37),"""",GOOGLEFINANCE(A37,""HIGH52""))"),798.6)</f>
        <v>798.6</v>
      </c>
      <c r="G37" s="303">
        <f>IFERROR(__xludf.DUMMYFUNCTION("if(ISBLANK(A37),"""",GOOGLEFINANCE(A37,""LOW52""))"),492.65)</f>
        <v>492.65</v>
      </c>
      <c r="H37" s="304">
        <f>IFERROR(__xludf.DUMMYFUNCTION("if(ISBLANK(A37),"""",GOOGLEFINANCE(A37,""Price""))"),501.65)</f>
        <v>501.65</v>
      </c>
      <c r="I37" s="305" t="str">
        <f t="shared" si="1"/>
        <v>L</v>
      </c>
      <c r="J37" s="306" t="str">
        <f t="shared" si="2"/>
        <v>||</v>
      </c>
      <c r="K37" s="307">
        <f>IFERROR(__xludf.DUMMYFUNCTION("if(ISBLANK(A37),"""",googlefinance(A37,""Marketcap"")/10000000)"),40061.4856208)</f>
        <v>40061.48562</v>
      </c>
      <c r="L37" s="304">
        <f t="shared" si="3"/>
        <v>638.88</v>
      </c>
      <c r="M37" s="308">
        <f t="shared" si="4"/>
        <v>7.826195843</v>
      </c>
      <c r="N37" s="309" t="str">
        <f t="shared" si="5"/>
        <v>Next</v>
      </c>
      <c r="O37" s="310">
        <f t="shared" si="6"/>
        <v>598.95</v>
      </c>
      <c r="P37" s="308">
        <f t="shared" si="7"/>
        <v>8.347942232</v>
      </c>
      <c r="Q37" s="311" t="str">
        <f t="shared" si="8"/>
        <v>Next</v>
      </c>
      <c r="R37" s="304">
        <f t="shared" si="9"/>
        <v>559.02</v>
      </c>
      <c r="S37" s="308">
        <f t="shared" si="10"/>
        <v>8.94422382</v>
      </c>
      <c r="T37" s="309" t="str">
        <f t="shared" si="11"/>
        <v>Next</v>
      </c>
      <c r="U37" s="304">
        <f t="shared" si="12"/>
        <v>519.09</v>
      </c>
      <c r="V37" s="308">
        <f t="shared" si="13"/>
        <v>9.632241037</v>
      </c>
      <c r="W37" s="309" t="str">
        <f t="shared" si="14"/>
        <v>B</v>
      </c>
      <c r="X37" s="304">
        <f t="shared" si="15"/>
        <v>479.16</v>
      </c>
      <c r="Y37" s="308">
        <f t="shared" si="16"/>
        <v>10.43492779</v>
      </c>
      <c r="Z37" s="309" t="str">
        <f t="shared" si="17"/>
        <v>H</v>
      </c>
      <c r="AA37" s="312">
        <f t="shared" si="18"/>
        <v>439.23</v>
      </c>
      <c r="AB37" s="308">
        <f t="shared" si="19"/>
        <v>11.38355759</v>
      </c>
      <c r="AC37" s="308" t="str">
        <f t="shared" si="20"/>
        <v>H</v>
      </c>
      <c r="AD37" s="312">
        <f t="shared" si="21"/>
        <v>399.3</v>
      </c>
      <c r="AE37" s="308">
        <f t="shared" si="22"/>
        <v>12.52191335</v>
      </c>
      <c r="AF37" s="313" t="str">
        <f t="shared" si="23"/>
        <v>H</v>
      </c>
      <c r="AG37" s="304">
        <f t="shared" si="24"/>
        <v>359.37</v>
      </c>
      <c r="AH37" s="308">
        <f t="shared" si="25"/>
        <v>13.91323705</v>
      </c>
      <c r="AI37" s="313" t="str">
        <f t="shared" si="26"/>
        <v>H</v>
      </c>
      <c r="AJ37" s="304">
        <f t="shared" si="27"/>
        <v>319.44</v>
      </c>
      <c r="AK37" s="308">
        <f t="shared" si="28"/>
        <v>15.65239169</v>
      </c>
      <c r="AL37" s="308" t="str">
        <f t="shared" si="29"/>
        <v>H</v>
      </c>
      <c r="AM37" s="304">
        <f t="shared" si="30"/>
        <v>279.51</v>
      </c>
      <c r="AN37" s="308">
        <f t="shared" si="31"/>
        <v>17.88844764</v>
      </c>
      <c r="AO37" s="313" t="str">
        <f t="shared" si="32"/>
        <v>H</v>
      </c>
      <c r="AP37" s="304">
        <f t="shared" si="33"/>
        <v>239.58</v>
      </c>
      <c r="AQ37" s="308">
        <f t="shared" si="34"/>
        <v>20.86985558</v>
      </c>
      <c r="AR37" s="313" t="str">
        <f t="shared" si="35"/>
        <v>H</v>
      </c>
      <c r="AS37" s="304">
        <f t="shared" si="36"/>
        <v>199.65</v>
      </c>
      <c r="AT37" s="308">
        <f t="shared" si="37"/>
        <v>25.0438267</v>
      </c>
      <c r="AU37" s="308" t="str">
        <f t="shared" si="38"/>
        <v>H</v>
      </c>
      <c r="AV37" s="304">
        <f t="shared" si="39"/>
        <v>159.72</v>
      </c>
      <c r="AW37" s="308">
        <f t="shared" si="40"/>
        <v>31.30478337</v>
      </c>
      <c r="AX37" s="308" t="str">
        <f t="shared" si="41"/>
        <v>H</v>
      </c>
      <c r="AY37" s="304">
        <f t="shared" si="42"/>
        <v>119.79</v>
      </c>
      <c r="AZ37" s="308">
        <f t="shared" si="43"/>
        <v>41.73971116</v>
      </c>
      <c r="BA37" s="313" t="str">
        <f t="shared" si="44"/>
        <v>H</v>
      </c>
      <c r="BB37" s="304">
        <f t="shared" si="45"/>
        <v>79.86</v>
      </c>
      <c r="BC37" s="308">
        <f t="shared" si="46"/>
        <v>62.60956674</v>
      </c>
      <c r="BD37" s="308" t="str">
        <f t="shared" si="47"/>
        <v>H</v>
      </c>
    </row>
    <row r="38">
      <c r="A38" s="320" t="s">
        <v>124</v>
      </c>
      <c r="B38" s="320">
        <v>330.0</v>
      </c>
      <c r="C38" s="321">
        <v>68.972</v>
      </c>
      <c r="D38" s="301" t="str">
        <f>IFERROR(__xludf.DUMMYFUNCTION("if(ISBLANK(A38),"""",GOOGLEFINANCE(A38,""NAME""))"),"Indian Railway Finance Corp Ltd")</f>
        <v>Indian Railway Finance Corp Ltd</v>
      </c>
      <c r="E38" s="302">
        <v>5000.0</v>
      </c>
      <c r="F38" s="303">
        <f>IFERROR(__xludf.DUMMYFUNCTION("if(ISBLANK(A38),"""",GOOGLEFINANCE(A38,""HIGH52""))"),140.0)</f>
        <v>140</v>
      </c>
      <c r="G38" s="303">
        <f>IFERROR(__xludf.DUMMYFUNCTION("if(ISBLANK(A38),"""",GOOGLEFINANCE(A38,""LOW52""))"),87.0)</f>
        <v>87</v>
      </c>
      <c r="H38" s="304">
        <f>IFERROR(__xludf.DUMMYFUNCTION("if(ISBLANK(A38),"""",GOOGLEFINANCE(A38,""Price""))"),89.9)</f>
        <v>89.9</v>
      </c>
      <c r="I38" s="305" t="str">
        <f t="shared" si="1"/>
        <v>L</v>
      </c>
      <c r="J38" s="306" t="str">
        <f t="shared" si="2"/>
        <v>||</v>
      </c>
      <c r="K38" s="307">
        <f>IFERROR(__xludf.DUMMYFUNCTION("if(ISBLANK(A38),"""",googlefinance(A38,""Marketcap"")/10000000)"),117593.1601603)</f>
        <v>117593.1602</v>
      </c>
      <c r="L38" s="304">
        <f t="shared" si="3"/>
        <v>112</v>
      </c>
      <c r="M38" s="308">
        <f t="shared" si="4"/>
        <v>44.64285714</v>
      </c>
      <c r="N38" s="309" t="str">
        <f t="shared" si="5"/>
        <v>Next</v>
      </c>
      <c r="O38" s="310">
        <f t="shared" si="6"/>
        <v>105</v>
      </c>
      <c r="P38" s="308">
        <f t="shared" si="7"/>
        <v>47.61904762</v>
      </c>
      <c r="Q38" s="311" t="str">
        <f t="shared" si="8"/>
        <v>Next</v>
      </c>
      <c r="R38" s="304">
        <f t="shared" si="9"/>
        <v>98</v>
      </c>
      <c r="S38" s="308">
        <f t="shared" si="10"/>
        <v>51.02040816</v>
      </c>
      <c r="T38" s="309" t="str">
        <f t="shared" si="11"/>
        <v>Next</v>
      </c>
      <c r="U38" s="304">
        <f t="shared" si="12"/>
        <v>91</v>
      </c>
      <c r="V38" s="308">
        <f t="shared" si="13"/>
        <v>54.94505495</v>
      </c>
      <c r="W38" s="309" t="str">
        <f t="shared" si="14"/>
        <v>B</v>
      </c>
      <c r="X38" s="304">
        <f t="shared" si="15"/>
        <v>84</v>
      </c>
      <c r="Y38" s="308">
        <f t="shared" si="16"/>
        <v>59.52380952</v>
      </c>
      <c r="Z38" s="309" t="str">
        <f t="shared" si="17"/>
        <v>H</v>
      </c>
      <c r="AA38" s="312">
        <f t="shared" si="18"/>
        <v>77</v>
      </c>
      <c r="AB38" s="308">
        <f t="shared" si="19"/>
        <v>64.93506494</v>
      </c>
      <c r="AC38" s="308" t="str">
        <f t="shared" si="20"/>
        <v>H</v>
      </c>
      <c r="AD38" s="312">
        <f t="shared" si="21"/>
        <v>70</v>
      </c>
      <c r="AE38" s="308">
        <f t="shared" si="22"/>
        <v>71.42857143</v>
      </c>
      <c r="AF38" s="313" t="str">
        <f t="shared" si="23"/>
        <v>H</v>
      </c>
      <c r="AG38" s="304">
        <f t="shared" si="24"/>
        <v>63</v>
      </c>
      <c r="AH38" s="308">
        <f t="shared" si="25"/>
        <v>79.36507937</v>
      </c>
      <c r="AI38" s="313" t="str">
        <f t="shared" si="26"/>
        <v>H</v>
      </c>
      <c r="AJ38" s="304">
        <f t="shared" si="27"/>
        <v>56</v>
      </c>
      <c r="AK38" s="308">
        <f t="shared" si="28"/>
        <v>89.28571429</v>
      </c>
      <c r="AL38" s="308" t="str">
        <f t="shared" si="29"/>
        <v>H</v>
      </c>
      <c r="AM38" s="304">
        <f t="shared" si="30"/>
        <v>49</v>
      </c>
      <c r="AN38" s="308">
        <f t="shared" si="31"/>
        <v>102.0408163</v>
      </c>
      <c r="AO38" s="313" t="str">
        <f t="shared" si="32"/>
        <v>H</v>
      </c>
      <c r="AP38" s="304">
        <f t="shared" si="33"/>
        <v>42</v>
      </c>
      <c r="AQ38" s="308">
        <f t="shared" si="34"/>
        <v>119.047619</v>
      </c>
      <c r="AR38" s="313" t="str">
        <f t="shared" si="35"/>
        <v>H</v>
      </c>
      <c r="AS38" s="304">
        <f t="shared" si="36"/>
        <v>35</v>
      </c>
      <c r="AT38" s="308">
        <f t="shared" si="37"/>
        <v>142.8571429</v>
      </c>
      <c r="AU38" s="308" t="str">
        <f t="shared" si="38"/>
        <v>H</v>
      </c>
      <c r="AV38" s="304">
        <f t="shared" si="39"/>
        <v>28</v>
      </c>
      <c r="AW38" s="308">
        <f t="shared" si="40"/>
        <v>178.5714286</v>
      </c>
      <c r="AX38" s="308" t="str">
        <f t="shared" si="41"/>
        <v>H</v>
      </c>
      <c r="AY38" s="304">
        <f t="shared" si="42"/>
        <v>21</v>
      </c>
      <c r="AZ38" s="308">
        <f t="shared" si="43"/>
        <v>238.0952381</v>
      </c>
      <c r="BA38" s="313" t="str">
        <f t="shared" si="44"/>
        <v>H</v>
      </c>
      <c r="BB38" s="304">
        <f t="shared" si="45"/>
        <v>14</v>
      </c>
      <c r="BC38" s="308">
        <f t="shared" si="46"/>
        <v>357.1428571</v>
      </c>
      <c r="BD38" s="308" t="str">
        <f t="shared" si="47"/>
        <v>H</v>
      </c>
    </row>
    <row r="39">
      <c r="A39" s="318" t="s">
        <v>126</v>
      </c>
      <c r="B39" s="318">
        <v>1620.0</v>
      </c>
      <c r="C39" s="319">
        <v>344.25704938271605</v>
      </c>
      <c r="D39" s="301" t="str">
        <f>IFERROR(__xludf.DUMMYFUNCTION("if(ISBLANK(A39),"""",GOOGLEFINANCE(A39,""NAME""))"),"Jio Financial Services Ltd")</f>
        <v>Jio Financial Services Ltd</v>
      </c>
      <c r="E39" s="302">
        <v>5000.0</v>
      </c>
      <c r="F39" s="303">
        <f>IFERROR(__xludf.DUMMYFUNCTION("if(ISBLANK(A39),"""",GOOGLEFINANCE(A39,""HIGH52""))"),338.6)</f>
        <v>338.6</v>
      </c>
      <c r="G39" s="303">
        <f>IFERROR(__xludf.DUMMYFUNCTION("if(ISBLANK(A39),"""",GOOGLEFINANCE(A39,""LOW52""))"),223.3)</f>
        <v>223.3</v>
      </c>
      <c r="H39" s="304">
        <f>IFERROR(__xludf.DUMMYFUNCTION("if(ISBLANK(A39),"""",GOOGLEFINANCE(A39,""Price""))"),243.0)</f>
        <v>243</v>
      </c>
      <c r="I39" s="305" t="str">
        <f t="shared" si="1"/>
        <v>L</v>
      </c>
      <c r="J39" s="306" t="str">
        <f t="shared" si="2"/>
        <v>||</v>
      </c>
      <c r="K39" s="307">
        <f>IFERROR(__xludf.DUMMYFUNCTION("if(ISBLANK(A39),"""",googlefinance(A39,""Marketcap"")/10000000)"),154808.5606037)</f>
        <v>154808.5606</v>
      </c>
      <c r="L39" s="304">
        <f t="shared" si="3"/>
        <v>270.88</v>
      </c>
      <c r="M39" s="308">
        <f t="shared" si="4"/>
        <v>18.45835794</v>
      </c>
      <c r="N39" s="309" t="str">
        <f t="shared" si="5"/>
        <v>Next</v>
      </c>
      <c r="O39" s="310">
        <f t="shared" si="6"/>
        <v>253.95</v>
      </c>
      <c r="P39" s="308">
        <f t="shared" si="7"/>
        <v>19.68891514</v>
      </c>
      <c r="Q39" s="311" t="str">
        <f t="shared" si="8"/>
        <v>B</v>
      </c>
      <c r="R39" s="304">
        <f t="shared" si="9"/>
        <v>237.02</v>
      </c>
      <c r="S39" s="308">
        <f t="shared" si="10"/>
        <v>21.09526622</v>
      </c>
      <c r="T39" s="309" t="str">
        <f t="shared" si="11"/>
        <v>H</v>
      </c>
      <c r="U39" s="304">
        <f t="shared" si="12"/>
        <v>220.09</v>
      </c>
      <c r="V39" s="308">
        <f t="shared" si="13"/>
        <v>22.71797901</v>
      </c>
      <c r="W39" s="309" t="str">
        <f t="shared" si="14"/>
        <v>H</v>
      </c>
      <c r="X39" s="304">
        <f t="shared" si="15"/>
        <v>203.16</v>
      </c>
      <c r="Y39" s="308">
        <f t="shared" si="16"/>
        <v>24.61114393</v>
      </c>
      <c r="Z39" s="309" t="str">
        <f t="shared" si="17"/>
        <v>H</v>
      </c>
      <c r="AA39" s="312">
        <f t="shared" si="18"/>
        <v>186.23</v>
      </c>
      <c r="AB39" s="308">
        <f t="shared" si="19"/>
        <v>26.84852065</v>
      </c>
      <c r="AC39" s="308" t="str">
        <f t="shared" si="20"/>
        <v>H</v>
      </c>
      <c r="AD39" s="312">
        <f t="shared" si="21"/>
        <v>169.3</v>
      </c>
      <c r="AE39" s="308">
        <f t="shared" si="22"/>
        <v>29.53337271</v>
      </c>
      <c r="AF39" s="313" t="str">
        <f t="shared" si="23"/>
        <v>H</v>
      </c>
      <c r="AG39" s="304">
        <f t="shared" si="24"/>
        <v>152.37</v>
      </c>
      <c r="AH39" s="308">
        <f t="shared" si="25"/>
        <v>32.81485857</v>
      </c>
      <c r="AI39" s="313" t="str">
        <f t="shared" si="26"/>
        <v>H</v>
      </c>
      <c r="AJ39" s="304">
        <f t="shared" si="27"/>
        <v>135.44</v>
      </c>
      <c r="AK39" s="308">
        <f t="shared" si="28"/>
        <v>36.91671589</v>
      </c>
      <c r="AL39" s="308" t="str">
        <f t="shared" si="29"/>
        <v>H</v>
      </c>
      <c r="AM39" s="304">
        <f t="shared" si="30"/>
        <v>118.51</v>
      </c>
      <c r="AN39" s="308">
        <f t="shared" si="31"/>
        <v>42.19053244</v>
      </c>
      <c r="AO39" s="313" t="str">
        <f t="shared" si="32"/>
        <v>H</v>
      </c>
      <c r="AP39" s="304">
        <f t="shared" si="33"/>
        <v>101.58</v>
      </c>
      <c r="AQ39" s="308">
        <f t="shared" si="34"/>
        <v>49.22228785</v>
      </c>
      <c r="AR39" s="313" t="str">
        <f t="shared" si="35"/>
        <v>H</v>
      </c>
      <c r="AS39" s="304">
        <f t="shared" si="36"/>
        <v>84.65</v>
      </c>
      <c r="AT39" s="308">
        <f t="shared" si="37"/>
        <v>59.06674542</v>
      </c>
      <c r="AU39" s="308" t="str">
        <f t="shared" si="38"/>
        <v>H</v>
      </c>
      <c r="AV39" s="304">
        <f t="shared" si="39"/>
        <v>67.72</v>
      </c>
      <c r="AW39" s="308">
        <f t="shared" si="40"/>
        <v>73.83343178</v>
      </c>
      <c r="AX39" s="308" t="str">
        <f t="shared" si="41"/>
        <v>H</v>
      </c>
      <c r="AY39" s="304">
        <f t="shared" si="42"/>
        <v>50.79</v>
      </c>
      <c r="AZ39" s="308">
        <f t="shared" si="43"/>
        <v>98.4445757</v>
      </c>
      <c r="BA39" s="313" t="str">
        <f t="shared" si="44"/>
        <v>H</v>
      </c>
      <c r="BB39" s="304">
        <f t="shared" si="45"/>
        <v>33.86</v>
      </c>
      <c r="BC39" s="308">
        <f t="shared" si="46"/>
        <v>147.6668636</v>
      </c>
      <c r="BD39" s="308" t="str">
        <f t="shared" si="47"/>
        <v>H</v>
      </c>
    </row>
    <row r="40">
      <c r="A40" s="318" t="s">
        <v>127</v>
      </c>
      <c r="B40" s="318">
        <v>3.0</v>
      </c>
      <c r="C40" s="319">
        <v>451.0333333333333</v>
      </c>
      <c r="D40" s="301" t="str">
        <f>IFERROR(__xludf.DUMMYFUNCTION("if(ISBLANK(A40),"""",GOOGLEFINANCE(A40,""NAME""))"),"Jubilant FoodWorks Ltd")</f>
        <v>Jubilant FoodWorks Ltd</v>
      </c>
      <c r="E40" s="302">
        <v>5000.0</v>
      </c>
      <c r="F40" s="303">
        <f>IFERROR(__xludf.DUMMYFUNCTION("if(ISBLANK(A40),"""",GOOGLEFINANCE(A40,""HIGH52""))"),714.7)</f>
        <v>714.7</v>
      </c>
      <c r="G40" s="303">
        <f>IFERROR(__xludf.DUMMYFUNCTION("if(ISBLANK(A40),"""",GOOGLEFINANCE(A40,""LOW52""))"),408.8)</f>
        <v>408.8</v>
      </c>
      <c r="H40" s="304">
        <f>IFERROR(__xludf.DUMMYFUNCTION("if(ISBLANK(A40),"""",GOOGLEFINANCE(A40,""Price""))"),455.7)</f>
        <v>455.7</v>
      </c>
      <c r="I40" s="305" t="str">
        <f t="shared" si="1"/>
        <v>M</v>
      </c>
      <c r="J40" s="306" t="str">
        <f t="shared" si="2"/>
        <v>|||</v>
      </c>
      <c r="K40" s="307">
        <f>IFERROR(__xludf.DUMMYFUNCTION("if(ISBLANK(A40),"""",googlefinance(A40,""Marketcap"")/10000000)"),29937.8209465)</f>
        <v>29937.82095</v>
      </c>
      <c r="L40" s="304">
        <f t="shared" si="3"/>
        <v>571.76</v>
      </c>
      <c r="M40" s="308">
        <f t="shared" si="4"/>
        <v>8.744927942</v>
      </c>
      <c r="N40" s="309" t="str">
        <f t="shared" si="5"/>
        <v>Next</v>
      </c>
      <c r="O40" s="310">
        <f t="shared" si="6"/>
        <v>536.025</v>
      </c>
      <c r="P40" s="308">
        <f t="shared" si="7"/>
        <v>9.327923138</v>
      </c>
      <c r="Q40" s="311" t="str">
        <f t="shared" si="8"/>
        <v>Next</v>
      </c>
      <c r="R40" s="304">
        <f t="shared" si="9"/>
        <v>500.29</v>
      </c>
      <c r="S40" s="308">
        <f t="shared" si="10"/>
        <v>9.994203362</v>
      </c>
      <c r="T40" s="309" t="str">
        <f t="shared" si="11"/>
        <v>Next</v>
      </c>
      <c r="U40" s="304">
        <f t="shared" si="12"/>
        <v>464.555</v>
      </c>
      <c r="V40" s="308">
        <f t="shared" si="13"/>
        <v>10.76298824</v>
      </c>
      <c r="W40" s="309" t="str">
        <f t="shared" si="14"/>
        <v>B</v>
      </c>
      <c r="X40" s="304">
        <f t="shared" si="15"/>
        <v>428.82</v>
      </c>
      <c r="Y40" s="308">
        <f t="shared" si="16"/>
        <v>11.65990392</v>
      </c>
      <c r="Z40" s="309" t="str">
        <f t="shared" si="17"/>
        <v>H</v>
      </c>
      <c r="AA40" s="312">
        <f t="shared" si="18"/>
        <v>393.085</v>
      </c>
      <c r="AB40" s="308">
        <f t="shared" si="19"/>
        <v>12.71989519</v>
      </c>
      <c r="AC40" s="308" t="str">
        <f t="shared" si="20"/>
        <v>H</v>
      </c>
      <c r="AD40" s="312">
        <f t="shared" si="21"/>
        <v>357.35</v>
      </c>
      <c r="AE40" s="308">
        <f t="shared" si="22"/>
        <v>13.99188471</v>
      </c>
      <c r="AF40" s="313" t="str">
        <f t="shared" si="23"/>
        <v>H</v>
      </c>
      <c r="AG40" s="304">
        <f t="shared" si="24"/>
        <v>321.615</v>
      </c>
      <c r="AH40" s="308">
        <f t="shared" si="25"/>
        <v>15.54653856</v>
      </c>
      <c r="AI40" s="313" t="str">
        <f t="shared" si="26"/>
        <v>H</v>
      </c>
      <c r="AJ40" s="304">
        <f t="shared" si="27"/>
        <v>285.88</v>
      </c>
      <c r="AK40" s="308">
        <f t="shared" si="28"/>
        <v>17.48985588</v>
      </c>
      <c r="AL40" s="308" t="str">
        <f t="shared" si="29"/>
        <v>H</v>
      </c>
      <c r="AM40" s="304">
        <f t="shared" si="30"/>
        <v>250.145</v>
      </c>
      <c r="AN40" s="308">
        <f t="shared" si="31"/>
        <v>19.98840672</v>
      </c>
      <c r="AO40" s="313" t="str">
        <f t="shared" si="32"/>
        <v>H</v>
      </c>
      <c r="AP40" s="304">
        <f t="shared" si="33"/>
        <v>214.41</v>
      </c>
      <c r="AQ40" s="308">
        <f t="shared" si="34"/>
        <v>23.31980784</v>
      </c>
      <c r="AR40" s="313" t="str">
        <f t="shared" si="35"/>
        <v>H</v>
      </c>
      <c r="AS40" s="304">
        <f t="shared" si="36"/>
        <v>178.675</v>
      </c>
      <c r="AT40" s="308">
        <f t="shared" si="37"/>
        <v>27.98376941</v>
      </c>
      <c r="AU40" s="308" t="str">
        <f t="shared" si="38"/>
        <v>H</v>
      </c>
      <c r="AV40" s="304">
        <f t="shared" si="39"/>
        <v>142.94</v>
      </c>
      <c r="AW40" s="308">
        <f t="shared" si="40"/>
        <v>34.97971177</v>
      </c>
      <c r="AX40" s="308" t="str">
        <f t="shared" si="41"/>
        <v>H</v>
      </c>
      <c r="AY40" s="304">
        <f t="shared" si="42"/>
        <v>107.205</v>
      </c>
      <c r="AZ40" s="308">
        <f t="shared" si="43"/>
        <v>46.63961569</v>
      </c>
      <c r="BA40" s="313" t="str">
        <f t="shared" si="44"/>
        <v>H</v>
      </c>
      <c r="BB40" s="304">
        <f t="shared" si="45"/>
        <v>71.47</v>
      </c>
      <c r="BC40" s="308">
        <f t="shared" si="46"/>
        <v>69.95942353</v>
      </c>
      <c r="BD40" s="308" t="str">
        <f t="shared" si="47"/>
        <v>H</v>
      </c>
    </row>
    <row r="41">
      <c r="A41" s="318" t="s">
        <v>128</v>
      </c>
      <c r="B41" s="318">
        <v>26.0</v>
      </c>
      <c r="C41" s="319">
        <v>515.8461615384615</v>
      </c>
      <c r="D41" s="301" t="str">
        <f>IFERROR(__xludf.DUMMYFUNCTION("if(ISBLANK(A41),"""",GOOGLEFINANCE(A41,""NAME""))"),"Latent View Analytics Ltd")</f>
        <v>Latent View Analytics Ltd</v>
      </c>
      <c r="E41" s="302">
        <v>5000.0</v>
      </c>
      <c r="F41" s="303">
        <f>IFERROR(__xludf.DUMMYFUNCTION("if(ISBLANK(A41),"""",GOOGLEFINANCE(A41,""HIGH52""))"),517.5)</f>
        <v>517.5</v>
      </c>
      <c r="G41" s="303">
        <f>IFERROR(__xludf.DUMMYFUNCTION("if(ISBLANK(A41),"""",GOOGLEFINANCE(A41,""LOW52""))"),248.0)</f>
        <v>248</v>
      </c>
      <c r="H41" s="304">
        <f>IFERROR(__xludf.DUMMYFUNCTION("if(ISBLANK(A41),"""",GOOGLEFINANCE(A41,""Price""))"),301.8)</f>
        <v>301.8</v>
      </c>
      <c r="I41" s="305" t="str">
        <f t="shared" si="1"/>
        <v>S</v>
      </c>
      <c r="J41" s="306" t="str">
        <f t="shared" si="2"/>
        <v>||||</v>
      </c>
      <c r="K41" s="307">
        <f>IFERROR(__xludf.DUMMYFUNCTION("if(ISBLANK(A41),"""",googlefinance(A41,""Marketcap"")/10000000)"),6232.3834456)</f>
        <v>6232.383446</v>
      </c>
      <c r="L41" s="304">
        <f t="shared" si="3"/>
        <v>414</v>
      </c>
      <c r="M41" s="308">
        <f t="shared" si="4"/>
        <v>12.07729469</v>
      </c>
      <c r="N41" s="309" t="str">
        <f t="shared" si="5"/>
        <v>Next</v>
      </c>
      <c r="O41" s="310">
        <f t="shared" si="6"/>
        <v>388.125</v>
      </c>
      <c r="P41" s="308">
        <f t="shared" si="7"/>
        <v>12.88244767</v>
      </c>
      <c r="Q41" s="311" t="str">
        <f t="shared" si="8"/>
        <v>Next</v>
      </c>
      <c r="R41" s="304">
        <f t="shared" si="9"/>
        <v>362.25</v>
      </c>
      <c r="S41" s="308">
        <f t="shared" si="10"/>
        <v>13.8026225</v>
      </c>
      <c r="T41" s="309" t="str">
        <f t="shared" si="11"/>
        <v>Next</v>
      </c>
      <c r="U41" s="304">
        <f t="shared" si="12"/>
        <v>336.375</v>
      </c>
      <c r="V41" s="308">
        <f t="shared" si="13"/>
        <v>14.86436269</v>
      </c>
      <c r="W41" s="309" t="str">
        <f t="shared" si="14"/>
        <v>Next</v>
      </c>
      <c r="X41" s="304">
        <f t="shared" si="15"/>
        <v>310.5</v>
      </c>
      <c r="Y41" s="308">
        <f t="shared" si="16"/>
        <v>16.10305958</v>
      </c>
      <c r="Z41" s="309" t="str">
        <f t="shared" si="17"/>
        <v>B</v>
      </c>
      <c r="AA41" s="312">
        <f t="shared" si="18"/>
        <v>284.625</v>
      </c>
      <c r="AB41" s="308">
        <f t="shared" si="19"/>
        <v>17.56697409</v>
      </c>
      <c r="AC41" s="308" t="str">
        <f t="shared" si="20"/>
        <v>H</v>
      </c>
      <c r="AD41" s="312">
        <f t="shared" si="21"/>
        <v>258.75</v>
      </c>
      <c r="AE41" s="308">
        <f t="shared" si="22"/>
        <v>19.3236715</v>
      </c>
      <c r="AF41" s="313" t="str">
        <f t="shared" si="23"/>
        <v>H</v>
      </c>
      <c r="AG41" s="304">
        <f t="shared" si="24"/>
        <v>232.875</v>
      </c>
      <c r="AH41" s="308">
        <f t="shared" si="25"/>
        <v>21.47074611</v>
      </c>
      <c r="AI41" s="313" t="str">
        <f t="shared" si="26"/>
        <v>H</v>
      </c>
      <c r="AJ41" s="304">
        <f t="shared" si="27"/>
        <v>207</v>
      </c>
      <c r="AK41" s="308">
        <f t="shared" si="28"/>
        <v>24.15458937</v>
      </c>
      <c r="AL41" s="308" t="str">
        <f t="shared" si="29"/>
        <v>H</v>
      </c>
      <c r="AM41" s="304">
        <f t="shared" si="30"/>
        <v>181.125</v>
      </c>
      <c r="AN41" s="308">
        <f t="shared" si="31"/>
        <v>27.605245</v>
      </c>
      <c r="AO41" s="313" t="str">
        <f t="shared" si="32"/>
        <v>H</v>
      </c>
      <c r="AP41" s="304">
        <f t="shared" si="33"/>
        <v>155.25</v>
      </c>
      <c r="AQ41" s="308">
        <f t="shared" si="34"/>
        <v>32.20611916</v>
      </c>
      <c r="AR41" s="313" t="str">
        <f t="shared" si="35"/>
        <v>H</v>
      </c>
      <c r="AS41" s="304">
        <f t="shared" si="36"/>
        <v>129.375</v>
      </c>
      <c r="AT41" s="308">
        <f t="shared" si="37"/>
        <v>38.647343</v>
      </c>
      <c r="AU41" s="308" t="str">
        <f t="shared" si="38"/>
        <v>H</v>
      </c>
      <c r="AV41" s="304">
        <f t="shared" si="39"/>
        <v>103.5</v>
      </c>
      <c r="AW41" s="308">
        <f t="shared" si="40"/>
        <v>48.30917874</v>
      </c>
      <c r="AX41" s="308" t="str">
        <f t="shared" si="41"/>
        <v>H</v>
      </c>
      <c r="AY41" s="304">
        <f t="shared" si="42"/>
        <v>77.625</v>
      </c>
      <c r="AZ41" s="308">
        <f t="shared" si="43"/>
        <v>64.41223833</v>
      </c>
      <c r="BA41" s="313" t="str">
        <f t="shared" si="44"/>
        <v>H</v>
      </c>
      <c r="BB41" s="304">
        <f t="shared" si="45"/>
        <v>51.75</v>
      </c>
      <c r="BC41" s="308">
        <f t="shared" si="46"/>
        <v>96.61835749</v>
      </c>
      <c r="BD41" s="308" t="str">
        <f t="shared" si="47"/>
        <v>H</v>
      </c>
    </row>
    <row r="42">
      <c r="A42" s="320" t="s">
        <v>129</v>
      </c>
      <c r="B42" s="320">
        <v>9.0</v>
      </c>
      <c r="C42" s="321">
        <v>888.4277777777778</v>
      </c>
      <c r="D42" s="301" t="str">
        <f>IFERROR(__xludf.DUMMYFUNCTION("if(ISBLANK(A42),"""",GOOGLEFINANCE(A42,""NAME""))"),"Life Insurance Corporation of India")</f>
        <v>Life Insurance Corporation of India</v>
      </c>
      <c r="E42" s="302">
        <v>5000.0</v>
      </c>
      <c r="F42" s="303">
        <f>IFERROR(__xludf.DUMMYFUNCTION("if(ISBLANK(A42),"""",GOOGLEFINANCE(A42,""HIGH52""))"),476.5)</f>
        <v>476.5</v>
      </c>
      <c r="G42" s="303">
        <f>IFERROR(__xludf.DUMMYFUNCTION("if(ISBLANK(A42),"""",GOOGLEFINANCE(A42,""LOW52""))"),360.75)</f>
        <v>360.75</v>
      </c>
      <c r="H42" s="304">
        <f>IFERROR(__xludf.DUMMYFUNCTION("if(ISBLANK(A42),"""",GOOGLEFINANCE(A42,""Price""))"),435.5)</f>
        <v>435.5</v>
      </c>
      <c r="I42" s="305" t="str">
        <f t="shared" si="1"/>
        <v>L</v>
      </c>
      <c r="J42" s="306" t="str">
        <f t="shared" si="2"/>
        <v>||</v>
      </c>
      <c r="K42" s="307">
        <f>IFERROR(__xludf.DUMMYFUNCTION("if(ISBLANK(A42),"""",googlefinance(A42,""Marketcap"")/10000000)"),275436.5896613)</f>
        <v>275436.5897</v>
      </c>
      <c r="L42" s="304">
        <f t="shared" si="3"/>
        <v>381.2</v>
      </c>
      <c r="M42" s="308">
        <f t="shared" si="4"/>
        <v>13.11647429</v>
      </c>
      <c r="N42" s="309" t="str">
        <f t="shared" si="5"/>
        <v>H</v>
      </c>
      <c r="O42" s="310">
        <f t="shared" si="6"/>
        <v>357.375</v>
      </c>
      <c r="P42" s="308">
        <f t="shared" si="7"/>
        <v>13.99090591</v>
      </c>
      <c r="Q42" s="311" t="str">
        <f t="shared" si="8"/>
        <v>H</v>
      </c>
      <c r="R42" s="304">
        <f t="shared" si="9"/>
        <v>333.55</v>
      </c>
      <c r="S42" s="308">
        <f t="shared" si="10"/>
        <v>14.99025633</v>
      </c>
      <c r="T42" s="309" t="str">
        <f t="shared" si="11"/>
        <v>H</v>
      </c>
      <c r="U42" s="304">
        <f t="shared" si="12"/>
        <v>309.725</v>
      </c>
      <c r="V42" s="308">
        <f t="shared" si="13"/>
        <v>16.14335297</v>
      </c>
      <c r="W42" s="309" t="str">
        <f t="shared" si="14"/>
        <v>H</v>
      </c>
      <c r="X42" s="304">
        <f t="shared" si="15"/>
        <v>285.9</v>
      </c>
      <c r="Y42" s="308">
        <f t="shared" si="16"/>
        <v>17.48863239</v>
      </c>
      <c r="Z42" s="309" t="str">
        <f t="shared" si="17"/>
        <v>H</v>
      </c>
      <c r="AA42" s="312">
        <f t="shared" si="18"/>
        <v>262.075</v>
      </c>
      <c r="AB42" s="308">
        <f t="shared" si="19"/>
        <v>19.07850806</v>
      </c>
      <c r="AC42" s="308" t="str">
        <f t="shared" si="20"/>
        <v>H</v>
      </c>
      <c r="AD42" s="312">
        <f t="shared" si="21"/>
        <v>238.25</v>
      </c>
      <c r="AE42" s="308">
        <f t="shared" si="22"/>
        <v>20.98635887</v>
      </c>
      <c r="AF42" s="313" t="str">
        <f t="shared" si="23"/>
        <v>H</v>
      </c>
      <c r="AG42" s="304">
        <f t="shared" si="24"/>
        <v>214.425</v>
      </c>
      <c r="AH42" s="308">
        <f t="shared" si="25"/>
        <v>23.31817652</v>
      </c>
      <c r="AI42" s="313" t="str">
        <f t="shared" si="26"/>
        <v>H</v>
      </c>
      <c r="AJ42" s="304">
        <f t="shared" si="27"/>
        <v>190.6</v>
      </c>
      <c r="AK42" s="308">
        <f t="shared" si="28"/>
        <v>26.23294858</v>
      </c>
      <c r="AL42" s="308" t="str">
        <f t="shared" si="29"/>
        <v>H</v>
      </c>
      <c r="AM42" s="304">
        <f t="shared" si="30"/>
        <v>166.775</v>
      </c>
      <c r="AN42" s="308">
        <f t="shared" si="31"/>
        <v>29.98051267</v>
      </c>
      <c r="AO42" s="313" t="str">
        <f t="shared" si="32"/>
        <v>H</v>
      </c>
      <c r="AP42" s="304">
        <f t="shared" si="33"/>
        <v>142.95</v>
      </c>
      <c r="AQ42" s="308">
        <f t="shared" si="34"/>
        <v>34.97726478</v>
      </c>
      <c r="AR42" s="313" t="str">
        <f t="shared" si="35"/>
        <v>H</v>
      </c>
      <c r="AS42" s="304">
        <f t="shared" si="36"/>
        <v>119.125</v>
      </c>
      <c r="AT42" s="308">
        <f t="shared" si="37"/>
        <v>41.97271773</v>
      </c>
      <c r="AU42" s="308" t="str">
        <f t="shared" si="38"/>
        <v>H</v>
      </c>
      <c r="AV42" s="304">
        <f t="shared" si="39"/>
        <v>95.3</v>
      </c>
      <c r="AW42" s="308">
        <f t="shared" si="40"/>
        <v>52.46589717</v>
      </c>
      <c r="AX42" s="308" t="str">
        <f t="shared" si="41"/>
        <v>H</v>
      </c>
      <c r="AY42" s="304">
        <f t="shared" si="42"/>
        <v>71.475</v>
      </c>
      <c r="AZ42" s="308">
        <f t="shared" si="43"/>
        <v>69.95452956</v>
      </c>
      <c r="BA42" s="313" t="str">
        <f t="shared" si="44"/>
        <v>H</v>
      </c>
      <c r="BB42" s="304">
        <f t="shared" si="45"/>
        <v>47.65</v>
      </c>
      <c r="BC42" s="308">
        <f t="shared" si="46"/>
        <v>104.9317943</v>
      </c>
      <c r="BD42" s="308" t="str">
        <f t="shared" si="47"/>
        <v>H</v>
      </c>
    </row>
    <row r="43">
      <c r="A43" s="318" t="s">
        <v>131</v>
      </c>
      <c r="B43" s="318">
        <v>3.0</v>
      </c>
      <c r="C43" s="319">
        <v>4451.366666666666</v>
      </c>
      <c r="D43" s="301" t="str">
        <f>IFERROR(__xludf.DUMMYFUNCTION("if(ISBLANK(A43),"""",GOOGLEFINANCE(A43,""NAME""))"),"L&amp;T Technology Services Ltd")</f>
        <v>L&amp;T Technology Services Ltd</v>
      </c>
      <c r="E43" s="302">
        <v>5000.0</v>
      </c>
      <c r="F43" s="303">
        <f>IFERROR(__xludf.DUMMYFUNCTION("if(ISBLANK(A43),"""",GOOGLEFINANCE(A43,""HIGH52""))"),4726.0)</f>
        <v>4726</v>
      </c>
      <c r="G43" s="303">
        <f>IFERROR(__xludf.DUMMYFUNCTION("if(ISBLANK(A43),"""",GOOGLEFINANCE(A43,""LOW52""))"),3010.0)</f>
        <v>3010</v>
      </c>
      <c r="H43" s="304">
        <f>IFERROR(__xludf.DUMMYFUNCTION("if(ISBLANK(A43),"""",GOOGLEFINANCE(A43,""Price""))"),3238.0)</f>
        <v>3238</v>
      </c>
      <c r="I43" s="305" t="str">
        <f t="shared" si="1"/>
        <v>L</v>
      </c>
      <c r="J43" s="306" t="str">
        <f t="shared" si="2"/>
        <v>||</v>
      </c>
      <c r="K43" s="307">
        <f>IFERROR(__xludf.DUMMYFUNCTION("if(ISBLANK(A43),"""",googlefinance(A43,""Marketcap"")/10000000)"),34344.9803)</f>
        <v>34344.9803</v>
      </c>
      <c r="L43" s="304">
        <f t="shared" si="3"/>
        <v>3780.8</v>
      </c>
      <c r="M43" s="308">
        <f t="shared" si="4"/>
        <v>1.322471435</v>
      </c>
      <c r="N43" s="309" t="str">
        <f t="shared" si="5"/>
        <v>Next</v>
      </c>
      <c r="O43" s="310">
        <f t="shared" si="6"/>
        <v>3544.5</v>
      </c>
      <c r="P43" s="308">
        <f t="shared" si="7"/>
        <v>1.410636197</v>
      </c>
      <c r="Q43" s="311" t="str">
        <f t="shared" si="8"/>
        <v>Next</v>
      </c>
      <c r="R43" s="304">
        <f t="shared" si="9"/>
        <v>3308.2</v>
      </c>
      <c r="S43" s="308">
        <f t="shared" si="10"/>
        <v>1.511395925</v>
      </c>
      <c r="T43" s="309" t="str">
        <f t="shared" si="11"/>
        <v>B</v>
      </c>
      <c r="U43" s="304">
        <f t="shared" si="12"/>
        <v>3071.9</v>
      </c>
      <c r="V43" s="308">
        <f t="shared" si="13"/>
        <v>1.62765715</v>
      </c>
      <c r="W43" s="309" t="str">
        <f t="shared" si="14"/>
        <v>H</v>
      </c>
      <c r="X43" s="304">
        <f t="shared" si="15"/>
        <v>2835.6</v>
      </c>
      <c r="Y43" s="308">
        <f t="shared" si="16"/>
        <v>1.763295246</v>
      </c>
      <c r="Z43" s="309" t="str">
        <f t="shared" si="17"/>
        <v>H</v>
      </c>
      <c r="AA43" s="312">
        <f t="shared" si="18"/>
        <v>2599.3</v>
      </c>
      <c r="AB43" s="308">
        <f t="shared" si="19"/>
        <v>1.923594814</v>
      </c>
      <c r="AC43" s="308" t="str">
        <f t="shared" si="20"/>
        <v>H</v>
      </c>
      <c r="AD43" s="312">
        <f t="shared" si="21"/>
        <v>2363</v>
      </c>
      <c r="AE43" s="308">
        <f t="shared" si="22"/>
        <v>2.115954295</v>
      </c>
      <c r="AF43" s="313" t="str">
        <f t="shared" si="23"/>
        <v>H</v>
      </c>
      <c r="AG43" s="304">
        <f t="shared" si="24"/>
        <v>2126.7</v>
      </c>
      <c r="AH43" s="308">
        <f t="shared" si="25"/>
        <v>2.351060328</v>
      </c>
      <c r="AI43" s="313" t="str">
        <f t="shared" si="26"/>
        <v>H</v>
      </c>
      <c r="AJ43" s="304">
        <f t="shared" si="27"/>
        <v>1890.4</v>
      </c>
      <c r="AK43" s="308">
        <f t="shared" si="28"/>
        <v>2.644942869</v>
      </c>
      <c r="AL43" s="308" t="str">
        <f t="shared" si="29"/>
        <v>H</v>
      </c>
      <c r="AM43" s="304">
        <f t="shared" si="30"/>
        <v>1654.1</v>
      </c>
      <c r="AN43" s="308">
        <f t="shared" si="31"/>
        <v>3.022791851</v>
      </c>
      <c r="AO43" s="313" t="str">
        <f t="shared" si="32"/>
        <v>H</v>
      </c>
      <c r="AP43" s="304">
        <f t="shared" si="33"/>
        <v>1417.8</v>
      </c>
      <c r="AQ43" s="308">
        <f t="shared" si="34"/>
        <v>3.526590492</v>
      </c>
      <c r="AR43" s="313" t="str">
        <f t="shared" si="35"/>
        <v>H</v>
      </c>
      <c r="AS43" s="304">
        <f t="shared" si="36"/>
        <v>1181.5</v>
      </c>
      <c r="AT43" s="308">
        <f t="shared" si="37"/>
        <v>4.231908591</v>
      </c>
      <c r="AU43" s="308" t="str">
        <f t="shared" si="38"/>
        <v>H</v>
      </c>
      <c r="AV43" s="304">
        <f t="shared" si="39"/>
        <v>945.2</v>
      </c>
      <c r="AW43" s="308">
        <f t="shared" si="40"/>
        <v>5.289885738</v>
      </c>
      <c r="AX43" s="308" t="str">
        <f t="shared" si="41"/>
        <v>H</v>
      </c>
      <c r="AY43" s="304">
        <f t="shared" si="42"/>
        <v>708.9</v>
      </c>
      <c r="AZ43" s="308">
        <f t="shared" si="43"/>
        <v>7.053180985</v>
      </c>
      <c r="BA43" s="313" t="str">
        <f t="shared" si="44"/>
        <v>H</v>
      </c>
      <c r="BB43" s="304">
        <f t="shared" si="45"/>
        <v>472.6</v>
      </c>
      <c r="BC43" s="308">
        <f t="shared" si="46"/>
        <v>10.57977148</v>
      </c>
      <c r="BD43" s="308" t="str">
        <f t="shared" si="47"/>
        <v>H</v>
      </c>
    </row>
    <row r="44">
      <c r="A44" s="299" t="s">
        <v>208</v>
      </c>
      <c r="B44" s="299">
        <v>16.0</v>
      </c>
      <c r="C44" s="300">
        <v>18.9955</v>
      </c>
      <c r="D44" s="301" t="str">
        <f>IFERROR(__xludf.DUMMYFUNCTION("if(ISBLANK(A44),"""",GOOGLEFINANCE(A44,""NAME""))"),"Motherson Sumi Wiring India Ltd")</f>
        <v>Motherson Sumi Wiring India Ltd</v>
      </c>
      <c r="E44" s="302">
        <v>5000.0</v>
      </c>
      <c r="F44" s="303">
        <f>IFERROR(__xludf.DUMMYFUNCTION("if(ISBLANK(A44),"""",GOOGLEFINANCE(A44,""HIGH52""))"),53.59)</f>
        <v>53.59</v>
      </c>
      <c r="G44" s="303">
        <f>IFERROR(__xludf.DUMMYFUNCTION("if(ISBLANK(A44),"""",GOOGLEFINANCE(A44,""LOW52""))"),35.7)</f>
        <v>35.7</v>
      </c>
      <c r="H44" s="304">
        <f>IFERROR(__xludf.DUMMYFUNCTION("if(ISBLANK(A44),"""",GOOGLEFINANCE(A44,""Price""))"),41.35)</f>
        <v>41.35</v>
      </c>
      <c r="I44" s="305" t="str">
        <f t="shared" si="1"/>
        <v>M</v>
      </c>
      <c r="J44" s="306" t="str">
        <f t="shared" si="2"/>
        <v>|||</v>
      </c>
      <c r="K44" s="307">
        <f>IFERROR(__xludf.DUMMYFUNCTION("if(ISBLANK(A44),"""",googlefinance(A44,""Marketcap"")/10000000)"),18254.7512077)</f>
        <v>18254.75121</v>
      </c>
      <c r="L44" s="304">
        <f t="shared" si="3"/>
        <v>42.872</v>
      </c>
      <c r="M44" s="308">
        <f t="shared" si="4"/>
        <v>116.6262362</v>
      </c>
      <c r="N44" s="309" t="str">
        <f t="shared" si="5"/>
        <v>B</v>
      </c>
      <c r="O44" s="310">
        <f t="shared" si="6"/>
        <v>40.1925</v>
      </c>
      <c r="P44" s="308">
        <f t="shared" si="7"/>
        <v>124.4013187</v>
      </c>
      <c r="Q44" s="311" t="str">
        <f t="shared" si="8"/>
        <v>H</v>
      </c>
      <c r="R44" s="304">
        <f t="shared" si="9"/>
        <v>37.513</v>
      </c>
      <c r="S44" s="308">
        <f t="shared" si="10"/>
        <v>133.2871271</v>
      </c>
      <c r="T44" s="309" t="str">
        <f t="shared" si="11"/>
        <v>H</v>
      </c>
      <c r="U44" s="304">
        <f t="shared" si="12"/>
        <v>34.8335</v>
      </c>
      <c r="V44" s="308">
        <f t="shared" si="13"/>
        <v>143.5399831</v>
      </c>
      <c r="W44" s="309" t="str">
        <f t="shared" si="14"/>
        <v>H</v>
      </c>
      <c r="X44" s="304">
        <f t="shared" si="15"/>
        <v>32.154</v>
      </c>
      <c r="Y44" s="308">
        <f t="shared" si="16"/>
        <v>155.5016483</v>
      </c>
      <c r="Z44" s="309" t="str">
        <f t="shared" si="17"/>
        <v>H</v>
      </c>
      <c r="AA44" s="312">
        <f t="shared" si="18"/>
        <v>29.4745</v>
      </c>
      <c r="AB44" s="308">
        <f t="shared" si="19"/>
        <v>169.6381618</v>
      </c>
      <c r="AC44" s="308" t="str">
        <f t="shared" si="20"/>
        <v>H</v>
      </c>
      <c r="AD44" s="312">
        <f t="shared" si="21"/>
        <v>26.795</v>
      </c>
      <c r="AE44" s="308">
        <f t="shared" si="22"/>
        <v>186.601978</v>
      </c>
      <c r="AF44" s="313" t="str">
        <f t="shared" si="23"/>
        <v>H</v>
      </c>
      <c r="AG44" s="304">
        <f t="shared" si="24"/>
        <v>24.1155</v>
      </c>
      <c r="AH44" s="308">
        <f t="shared" si="25"/>
        <v>207.3355311</v>
      </c>
      <c r="AI44" s="313" t="str">
        <f t="shared" si="26"/>
        <v>H</v>
      </c>
      <c r="AJ44" s="304">
        <f t="shared" si="27"/>
        <v>21.436</v>
      </c>
      <c r="AK44" s="308">
        <f t="shared" si="28"/>
        <v>233.2524725</v>
      </c>
      <c r="AL44" s="308" t="str">
        <f t="shared" si="29"/>
        <v>H</v>
      </c>
      <c r="AM44" s="304">
        <f t="shared" si="30"/>
        <v>18.7565</v>
      </c>
      <c r="AN44" s="308">
        <f t="shared" si="31"/>
        <v>266.5742543</v>
      </c>
      <c r="AO44" s="313" t="str">
        <f t="shared" si="32"/>
        <v>H</v>
      </c>
      <c r="AP44" s="304">
        <f t="shared" si="33"/>
        <v>16.077</v>
      </c>
      <c r="AQ44" s="308">
        <f t="shared" si="34"/>
        <v>311.0032966</v>
      </c>
      <c r="AR44" s="313" t="str">
        <f t="shared" si="35"/>
        <v>H</v>
      </c>
      <c r="AS44" s="304">
        <f t="shared" si="36"/>
        <v>13.3975</v>
      </c>
      <c r="AT44" s="308">
        <f t="shared" si="37"/>
        <v>373.203956</v>
      </c>
      <c r="AU44" s="308" t="str">
        <f t="shared" si="38"/>
        <v>H</v>
      </c>
      <c r="AV44" s="304">
        <f t="shared" si="39"/>
        <v>10.718</v>
      </c>
      <c r="AW44" s="308">
        <f t="shared" si="40"/>
        <v>466.504945</v>
      </c>
      <c r="AX44" s="308" t="str">
        <f t="shared" si="41"/>
        <v>H</v>
      </c>
      <c r="AY44" s="304">
        <f t="shared" si="42"/>
        <v>8.0385</v>
      </c>
      <c r="AZ44" s="308">
        <f t="shared" si="43"/>
        <v>622.0065933</v>
      </c>
      <c r="BA44" s="313" t="str">
        <f t="shared" si="44"/>
        <v>H</v>
      </c>
      <c r="BB44" s="304">
        <f t="shared" si="45"/>
        <v>5.359</v>
      </c>
      <c r="BC44" s="308">
        <f t="shared" si="46"/>
        <v>933.0098899</v>
      </c>
      <c r="BD44" s="308" t="str">
        <f t="shared" si="47"/>
        <v>H</v>
      </c>
    </row>
    <row r="45">
      <c r="A45" s="318" t="s">
        <v>135</v>
      </c>
      <c r="B45" s="318">
        <v>3.0</v>
      </c>
      <c r="C45" s="319">
        <v>1889.8666666666668</v>
      </c>
      <c r="D45" s="301" t="str">
        <f>IFERROR(__xludf.DUMMYFUNCTION("if(ISBLANK(A45),"""",GOOGLEFINANCE(A45,""NAME""))"),"MTAR Technologies Ltd")</f>
        <v>MTAR Technologies Ltd</v>
      </c>
      <c r="E45" s="302">
        <v>5000.0</v>
      </c>
      <c r="F45" s="303">
        <f>IFERROR(__xludf.DUMMYFUNCTION("if(ISBLANK(A45),"""",GOOGLEFINANCE(A45,""HIGH52""))"),8714.0)</f>
        <v>8714</v>
      </c>
      <c r="G45" s="303">
        <f>IFERROR(__xludf.DUMMYFUNCTION("if(ISBLANK(A45),"""",GOOGLEFINANCE(A45,""LOW52""))"),1390.5)</f>
        <v>1390.5</v>
      </c>
      <c r="H45" s="304">
        <f>IFERROR(__xludf.DUMMYFUNCTION("if(ISBLANK(A45),"""",GOOGLEFINANCE(A45,""Price""))"),7000.0)</f>
        <v>7000</v>
      </c>
      <c r="I45" s="305" t="str">
        <f t="shared" si="1"/>
        <v>M</v>
      </c>
      <c r="J45" s="306" t="str">
        <f t="shared" si="2"/>
        <v>|||</v>
      </c>
      <c r="K45" s="307">
        <f>IFERROR(__xludf.DUMMYFUNCTION("if(ISBLANK(A45),"""",googlefinance(A45,""Marketcap"")/10000000)"),21547.2100835)</f>
        <v>21547.21008</v>
      </c>
      <c r="L45" s="304">
        <f t="shared" si="3"/>
        <v>6971.2</v>
      </c>
      <c r="M45" s="308">
        <f t="shared" si="4"/>
        <v>0.7172366307</v>
      </c>
      <c r="N45" s="309" t="str">
        <f t="shared" si="5"/>
        <v>H</v>
      </c>
      <c r="O45" s="310">
        <f t="shared" si="6"/>
        <v>6535.5</v>
      </c>
      <c r="P45" s="308">
        <f t="shared" si="7"/>
        <v>0.7650524061</v>
      </c>
      <c r="Q45" s="311" t="str">
        <f t="shared" si="8"/>
        <v>H</v>
      </c>
      <c r="R45" s="304">
        <f t="shared" si="9"/>
        <v>6099.8</v>
      </c>
      <c r="S45" s="308">
        <f t="shared" si="10"/>
        <v>0.8196990065</v>
      </c>
      <c r="T45" s="309" t="str">
        <f t="shared" si="11"/>
        <v>H</v>
      </c>
      <c r="U45" s="304">
        <f t="shared" si="12"/>
        <v>5664.1</v>
      </c>
      <c r="V45" s="308">
        <f t="shared" si="13"/>
        <v>0.8827527763</v>
      </c>
      <c r="W45" s="309" t="str">
        <f t="shared" si="14"/>
        <v>H</v>
      </c>
      <c r="X45" s="304">
        <f t="shared" si="15"/>
        <v>5228.4</v>
      </c>
      <c r="Y45" s="308">
        <f t="shared" si="16"/>
        <v>0.9563155076</v>
      </c>
      <c r="Z45" s="309" t="str">
        <f t="shared" si="17"/>
        <v>H</v>
      </c>
      <c r="AA45" s="312">
        <f t="shared" si="18"/>
        <v>4792.7</v>
      </c>
      <c r="AB45" s="308">
        <f t="shared" si="19"/>
        <v>1.043253281</v>
      </c>
      <c r="AC45" s="308" t="str">
        <f t="shared" si="20"/>
        <v>H</v>
      </c>
      <c r="AD45" s="312">
        <f t="shared" si="21"/>
        <v>4357</v>
      </c>
      <c r="AE45" s="308">
        <f t="shared" si="22"/>
        <v>1.147578609</v>
      </c>
      <c r="AF45" s="313" t="str">
        <f t="shared" si="23"/>
        <v>H</v>
      </c>
      <c r="AG45" s="304">
        <f t="shared" si="24"/>
        <v>3921.3</v>
      </c>
      <c r="AH45" s="308">
        <f t="shared" si="25"/>
        <v>1.275087343</v>
      </c>
      <c r="AI45" s="313" t="str">
        <f t="shared" si="26"/>
        <v>H</v>
      </c>
      <c r="AJ45" s="304">
        <f t="shared" si="27"/>
        <v>3485.6</v>
      </c>
      <c r="AK45" s="308">
        <f t="shared" si="28"/>
        <v>1.434473261</v>
      </c>
      <c r="AL45" s="308" t="str">
        <f t="shared" si="29"/>
        <v>H</v>
      </c>
      <c r="AM45" s="304">
        <f t="shared" si="30"/>
        <v>3049.9</v>
      </c>
      <c r="AN45" s="308">
        <f t="shared" si="31"/>
        <v>1.639398013</v>
      </c>
      <c r="AO45" s="313" t="str">
        <f t="shared" si="32"/>
        <v>H</v>
      </c>
      <c r="AP45" s="304">
        <f t="shared" si="33"/>
        <v>2614.2</v>
      </c>
      <c r="AQ45" s="308">
        <f t="shared" si="34"/>
        <v>1.912631015</v>
      </c>
      <c r="AR45" s="313" t="str">
        <f t="shared" si="35"/>
        <v>H</v>
      </c>
      <c r="AS45" s="304">
        <f t="shared" si="36"/>
        <v>2178.5</v>
      </c>
      <c r="AT45" s="308">
        <f t="shared" si="37"/>
        <v>2.295157218</v>
      </c>
      <c r="AU45" s="308" t="str">
        <f t="shared" si="38"/>
        <v>H</v>
      </c>
      <c r="AV45" s="304">
        <f t="shared" si="39"/>
        <v>1742.8</v>
      </c>
      <c r="AW45" s="308">
        <f t="shared" si="40"/>
        <v>2.868946523</v>
      </c>
      <c r="AX45" s="308" t="str">
        <f t="shared" si="41"/>
        <v>H</v>
      </c>
      <c r="AY45" s="304">
        <f t="shared" si="42"/>
        <v>1307.1</v>
      </c>
      <c r="AZ45" s="308">
        <f t="shared" si="43"/>
        <v>3.82526203</v>
      </c>
      <c r="BA45" s="313" t="str">
        <f t="shared" si="44"/>
        <v>H</v>
      </c>
      <c r="BB45" s="304">
        <f t="shared" si="45"/>
        <v>871.4</v>
      </c>
      <c r="BC45" s="308">
        <f t="shared" si="46"/>
        <v>5.737893046</v>
      </c>
      <c r="BD45" s="308" t="str">
        <f t="shared" si="47"/>
        <v>H</v>
      </c>
    </row>
    <row r="46">
      <c r="A46" s="299" t="s">
        <v>136</v>
      </c>
      <c r="B46" s="299">
        <v>12.0</v>
      </c>
      <c r="C46" s="300">
        <v>1202.4166666666667</v>
      </c>
      <c r="D46" s="301" t="str">
        <f>IFERROR(__xludf.DUMMYFUNCTION("if(ISBLANK(A46),"""",GOOGLEFINANCE(A46,""NAME""))"),"Muthoot Finance Ltd")</f>
        <v>Muthoot Finance Ltd</v>
      </c>
      <c r="E46" s="302">
        <v>5000.0</v>
      </c>
      <c r="F46" s="303">
        <f>IFERROR(__xludf.DUMMYFUNCTION("if(ISBLANK(A46),"""",GOOGLEFINANCE(A46,""HIGH52""))"),4149.5)</f>
        <v>4149.5</v>
      </c>
      <c r="G46" s="303">
        <f>IFERROR(__xludf.DUMMYFUNCTION("if(ISBLANK(A46),"""",GOOGLEFINANCE(A46,""LOW52""))"),2476.6)</f>
        <v>2476.6</v>
      </c>
      <c r="H46" s="304">
        <f>IFERROR(__xludf.DUMMYFUNCTION("if(ISBLANK(A46),"""",GOOGLEFINANCE(A46,""Price""))"),3116.0)</f>
        <v>3116</v>
      </c>
      <c r="I46" s="305" t="str">
        <f t="shared" si="1"/>
        <v>L</v>
      </c>
      <c r="J46" s="306" t="str">
        <f t="shared" si="2"/>
        <v>||</v>
      </c>
      <c r="K46" s="307">
        <f>IFERROR(__xludf.DUMMYFUNCTION("if(ISBLANK(A46),"""",googlefinance(A46,""Marketcap"")/10000000)"),125546.230395)</f>
        <v>125546.2304</v>
      </c>
      <c r="L46" s="304">
        <f t="shared" si="3"/>
        <v>3319.6</v>
      </c>
      <c r="M46" s="308">
        <f t="shared" si="4"/>
        <v>1.506205567</v>
      </c>
      <c r="N46" s="309" t="str">
        <f t="shared" si="5"/>
        <v>B</v>
      </c>
      <c r="O46" s="310">
        <f t="shared" si="6"/>
        <v>3112.125</v>
      </c>
      <c r="P46" s="308">
        <f t="shared" si="7"/>
        <v>1.606619271</v>
      </c>
      <c r="Q46" s="311" t="str">
        <f t="shared" si="8"/>
        <v>H</v>
      </c>
      <c r="R46" s="304">
        <f t="shared" si="9"/>
        <v>2904.65</v>
      </c>
      <c r="S46" s="308">
        <f t="shared" si="10"/>
        <v>1.721377791</v>
      </c>
      <c r="T46" s="309" t="str">
        <f t="shared" si="11"/>
        <v>H</v>
      </c>
      <c r="U46" s="304">
        <f t="shared" si="12"/>
        <v>2697.175</v>
      </c>
      <c r="V46" s="308">
        <f t="shared" si="13"/>
        <v>1.853791467</v>
      </c>
      <c r="W46" s="309" t="str">
        <f t="shared" si="14"/>
        <v>H</v>
      </c>
      <c r="X46" s="304">
        <f t="shared" si="15"/>
        <v>2489.7</v>
      </c>
      <c r="Y46" s="308">
        <f t="shared" si="16"/>
        <v>2.008274089</v>
      </c>
      <c r="Z46" s="309" t="str">
        <f t="shared" si="17"/>
        <v>H</v>
      </c>
      <c r="AA46" s="312">
        <f t="shared" si="18"/>
        <v>2282.225</v>
      </c>
      <c r="AB46" s="308">
        <f t="shared" si="19"/>
        <v>2.190844461</v>
      </c>
      <c r="AC46" s="308" t="str">
        <f t="shared" si="20"/>
        <v>H</v>
      </c>
      <c r="AD46" s="312">
        <f t="shared" si="21"/>
        <v>2074.75</v>
      </c>
      <c r="AE46" s="308">
        <f t="shared" si="22"/>
        <v>2.409928907</v>
      </c>
      <c r="AF46" s="313" t="str">
        <f t="shared" si="23"/>
        <v>H</v>
      </c>
      <c r="AG46" s="304">
        <f t="shared" si="24"/>
        <v>1867.275</v>
      </c>
      <c r="AH46" s="308">
        <f t="shared" si="25"/>
        <v>2.677698786</v>
      </c>
      <c r="AI46" s="313" t="str">
        <f t="shared" si="26"/>
        <v>H</v>
      </c>
      <c r="AJ46" s="304">
        <f t="shared" si="27"/>
        <v>1659.8</v>
      </c>
      <c r="AK46" s="308">
        <f t="shared" si="28"/>
        <v>3.012411134</v>
      </c>
      <c r="AL46" s="308" t="str">
        <f t="shared" si="29"/>
        <v>H</v>
      </c>
      <c r="AM46" s="304">
        <f t="shared" si="30"/>
        <v>1452.325</v>
      </c>
      <c r="AN46" s="308">
        <f t="shared" si="31"/>
        <v>3.442755582</v>
      </c>
      <c r="AO46" s="313" t="str">
        <f t="shared" si="32"/>
        <v>H</v>
      </c>
      <c r="AP46" s="304">
        <f t="shared" si="33"/>
        <v>1244.85</v>
      </c>
      <c r="AQ46" s="308">
        <f t="shared" si="34"/>
        <v>4.016548178</v>
      </c>
      <c r="AR46" s="313" t="str">
        <f t="shared" si="35"/>
        <v>H</v>
      </c>
      <c r="AS46" s="304">
        <f t="shared" si="36"/>
        <v>1037.375</v>
      </c>
      <c r="AT46" s="308">
        <f t="shared" si="37"/>
        <v>4.819857814</v>
      </c>
      <c r="AU46" s="308" t="str">
        <f t="shared" si="38"/>
        <v>H</v>
      </c>
      <c r="AV46" s="304">
        <f t="shared" si="39"/>
        <v>829.9</v>
      </c>
      <c r="AW46" s="308">
        <f t="shared" si="40"/>
        <v>6.024822268</v>
      </c>
      <c r="AX46" s="308" t="str">
        <f t="shared" si="41"/>
        <v>H</v>
      </c>
      <c r="AY46" s="304">
        <f t="shared" si="42"/>
        <v>622.425</v>
      </c>
      <c r="AZ46" s="308">
        <f t="shared" si="43"/>
        <v>8.033096357</v>
      </c>
      <c r="BA46" s="313" t="str">
        <f t="shared" si="44"/>
        <v>H</v>
      </c>
      <c r="BB46" s="304">
        <f t="shared" si="45"/>
        <v>414.95</v>
      </c>
      <c r="BC46" s="308">
        <f t="shared" si="46"/>
        <v>12.04964454</v>
      </c>
      <c r="BD46" s="308" t="str">
        <f t="shared" si="47"/>
        <v>H</v>
      </c>
    </row>
    <row r="47">
      <c r="A47" s="299" t="s">
        <v>137</v>
      </c>
      <c r="B47" s="299">
        <v>18.0</v>
      </c>
      <c r="C47" s="300">
        <v>698.8166666666667</v>
      </c>
      <c r="D47" s="301" t="str">
        <f>IFERROR(__xludf.DUMMYFUNCTION("if(ISBLANK(A47),"""",GOOGLEFINANCE(A47,""NAME""))"),"Nazara Technologies Ltd")</f>
        <v>Nazara Technologies Ltd</v>
      </c>
      <c r="E47" s="302">
        <v>5000.0</v>
      </c>
      <c r="F47" s="303">
        <f>IFERROR(__xludf.DUMMYFUNCTION("if(ISBLANK(A47),"""",GOOGLEFINANCE(A47,""HIGH52""))"),363.25)</f>
        <v>363.25</v>
      </c>
      <c r="G47" s="303">
        <f>IFERROR(__xludf.DUMMYFUNCTION("if(ISBLANK(A47),"""",GOOGLEFINANCE(A47,""LOW52""))"),215.7)</f>
        <v>215.7</v>
      </c>
      <c r="H47" s="304">
        <f>IFERROR(__xludf.DUMMYFUNCTION("if(ISBLANK(A47),"""",GOOGLEFINANCE(A47,""Price""))"),301.9)</f>
        <v>301.9</v>
      </c>
      <c r="I47" s="305" t="str">
        <f t="shared" si="1"/>
        <v>M</v>
      </c>
      <c r="J47" s="306" t="str">
        <f t="shared" si="2"/>
        <v>|||</v>
      </c>
      <c r="K47" s="307">
        <f>IFERROR(__xludf.DUMMYFUNCTION("if(ISBLANK(A47),"""",googlefinance(A47,""Marketcap"")/10000000)"),11184.3351048)</f>
        <v>11184.3351</v>
      </c>
      <c r="L47" s="304">
        <f t="shared" si="3"/>
        <v>290.6</v>
      </c>
      <c r="M47" s="308">
        <f t="shared" si="4"/>
        <v>17.20578114</v>
      </c>
      <c r="N47" s="309" t="str">
        <f t="shared" si="5"/>
        <v>H</v>
      </c>
      <c r="O47" s="310">
        <f t="shared" si="6"/>
        <v>272.4375</v>
      </c>
      <c r="P47" s="308">
        <f t="shared" si="7"/>
        <v>18.35283322</v>
      </c>
      <c r="Q47" s="311" t="str">
        <f t="shared" si="8"/>
        <v>H</v>
      </c>
      <c r="R47" s="304">
        <f t="shared" si="9"/>
        <v>254.275</v>
      </c>
      <c r="S47" s="308">
        <f t="shared" si="10"/>
        <v>19.66374988</v>
      </c>
      <c r="T47" s="309" t="str">
        <f t="shared" si="11"/>
        <v>H</v>
      </c>
      <c r="U47" s="304">
        <f t="shared" si="12"/>
        <v>236.1125</v>
      </c>
      <c r="V47" s="308">
        <f t="shared" si="13"/>
        <v>21.17634602</v>
      </c>
      <c r="W47" s="309" t="str">
        <f t="shared" si="14"/>
        <v>H</v>
      </c>
      <c r="X47" s="304">
        <f t="shared" si="15"/>
        <v>217.95</v>
      </c>
      <c r="Y47" s="308">
        <f t="shared" si="16"/>
        <v>22.94104152</v>
      </c>
      <c r="Z47" s="309" t="str">
        <f t="shared" si="17"/>
        <v>H</v>
      </c>
      <c r="AA47" s="312">
        <f t="shared" si="18"/>
        <v>199.7875</v>
      </c>
      <c r="AB47" s="308">
        <f t="shared" si="19"/>
        <v>25.02659075</v>
      </c>
      <c r="AC47" s="308" t="str">
        <f t="shared" si="20"/>
        <v>H</v>
      </c>
      <c r="AD47" s="312">
        <f t="shared" si="21"/>
        <v>181.625</v>
      </c>
      <c r="AE47" s="308">
        <f t="shared" si="22"/>
        <v>27.52924983</v>
      </c>
      <c r="AF47" s="313" t="str">
        <f t="shared" si="23"/>
        <v>H</v>
      </c>
      <c r="AG47" s="304">
        <f t="shared" si="24"/>
        <v>163.4625</v>
      </c>
      <c r="AH47" s="308">
        <f t="shared" si="25"/>
        <v>30.58805536</v>
      </c>
      <c r="AI47" s="313" t="str">
        <f t="shared" si="26"/>
        <v>H</v>
      </c>
      <c r="AJ47" s="304">
        <f t="shared" si="27"/>
        <v>145.3</v>
      </c>
      <c r="AK47" s="308">
        <f t="shared" si="28"/>
        <v>34.41156228</v>
      </c>
      <c r="AL47" s="308" t="str">
        <f t="shared" si="29"/>
        <v>H</v>
      </c>
      <c r="AM47" s="304">
        <f t="shared" si="30"/>
        <v>127.1375</v>
      </c>
      <c r="AN47" s="308">
        <f t="shared" si="31"/>
        <v>39.32749975</v>
      </c>
      <c r="AO47" s="313" t="str">
        <f t="shared" si="32"/>
        <v>H</v>
      </c>
      <c r="AP47" s="304">
        <f t="shared" si="33"/>
        <v>108.975</v>
      </c>
      <c r="AQ47" s="308">
        <f t="shared" si="34"/>
        <v>45.88208305</v>
      </c>
      <c r="AR47" s="313" t="str">
        <f t="shared" si="35"/>
        <v>H</v>
      </c>
      <c r="AS47" s="304">
        <f t="shared" si="36"/>
        <v>90.8125</v>
      </c>
      <c r="AT47" s="308">
        <f t="shared" si="37"/>
        <v>55.05849966</v>
      </c>
      <c r="AU47" s="308" t="str">
        <f t="shared" si="38"/>
        <v>H</v>
      </c>
      <c r="AV47" s="304">
        <f t="shared" si="39"/>
        <v>72.65</v>
      </c>
      <c r="AW47" s="308">
        <f t="shared" si="40"/>
        <v>68.82312457</v>
      </c>
      <c r="AX47" s="308" t="str">
        <f t="shared" si="41"/>
        <v>H</v>
      </c>
      <c r="AY47" s="304">
        <f t="shared" si="42"/>
        <v>54.4875</v>
      </c>
      <c r="AZ47" s="308">
        <f t="shared" si="43"/>
        <v>91.76416609</v>
      </c>
      <c r="BA47" s="313" t="str">
        <f t="shared" si="44"/>
        <v>H</v>
      </c>
      <c r="BB47" s="304">
        <f t="shared" si="45"/>
        <v>36.325</v>
      </c>
      <c r="BC47" s="308">
        <f t="shared" si="46"/>
        <v>137.6462491</v>
      </c>
      <c r="BD47" s="308" t="str">
        <f t="shared" si="47"/>
        <v>H</v>
      </c>
    </row>
    <row r="48">
      <c r="A48" s="320" t="s">
        <v>138</v>
      </c>
      <c r="B48" s="320">
        <v>4.0</v>
      </c>
      <c r="C48" s="321">
        <v>2552.325</v>
      </c>
      <c r="D48" s="301" t="str">
        <f>IFERROR(__xludf.DUMMYFUNCTION("if(ISBLANK(A48),"""",GOOGLEFINANCE(A48,""NAME""))"),"Nestle India Ltd")</f>
        <v>Nestle India Ltd</v>
      </c>
      <c r="E48" s="302">
        <v>5000.0</v>
      </c>
      <c r="F48" s="303">
        <f>IFERROR(__xludf.DUMMYFUNCTION("if(ISBLANK(A48),"""",GOOGLEFINANCE(A48,""HIGH52""))"),1498.1)</f>
        <v>1498.1</v>
      </c>
      <c r="G48" s="303">
        <f>IFERROR(__xludf.DUMMYFUNCTION("if(ISBLANK(A48),"""",GOOGLEFINANCE(A48,""LOW52""))"),1084.7)</f>
        <v>1084.7</v>
      </c>
      <c r="H48" s="304">
        <f>IFERROR(__xludf.DUMMYFUNCTION("if(ISBLANK(A48),"""",GOOGLEFINANCE(A48,""Price""))"),1466.9)</f>
        <v>1466.9</v>
      </c>
      <c r="I48" s="305" t="str">
        <f t="shared" si="1"/>
        <v>L</v>
      </c>
      <c r="J48" s="306" t="str">
        <f t="shared" si="2"/>
        <v>||</v>
      </c>
      <c r="K48" s="307">
        <f>IFERROR(__xludf.DUMMYFUNCTION("if(ISBLANK(A48),"""",googlefinance(A48,""Marketcap"")/10000000)"),282864.3853677)</f>
        <v>282864.3854</v>
      </c>
      <c r="L48" s="304">
        <f t="shared" si="3"/>
        <v>1198.48</v>
      </c>
      <c r="M48" s="308">
        <f t="shared" si="4"/>
        <v>4.171951138</v>
      </c>
      <c r="N48" s="309" t="str">
        <f t="shared" si="5"/>
        <v>H</v>
      </c>
      <c r="O48" s="310">
        <f t="shared" si="6"/>
        <v>1123.575</v>
      </c>
      <c r="P48" s="308">
        <f t="shared" si="7"/>
        <v>4.450081214</v>
      </c>
      <c r="Q48" s="311" t="str">
        <f t="shared" si="8"/>
        <v>H</v>
      </c>
      <c r="R48" s="304">
        <f t="shared" si="9"/>
        <v>1048.67</v>
      </c>
      <c r="S48" s="308">
        <f t="shared" si="10"/>
        <v>4.767944158</v>
      </c>
      <c r="T48" s="309" t="str">
        <f t="shared" si="11"/>
        <v>H</v>
      </c>
      <c r="U48" s="304">
        <f t="shared" si="12"/>
        <v>973.765</v>
      </c>
      <c r="V48" s="308">
        <f t="shared" si="13"/>
        <v>5.134709093</v>
      </c>
      <c r="W48" s="309" t="str">
        <f t="shared" si="14"/>
        <v>H</v>
      </c>
      <c r="X48" s="304">
        <f t="shared" si="15"/>
        <v>898.86</v>
      </c>
      <c r="Y48" s="308">
        <f t="shared" si="16"/>
        <v>5.562601517</v>
      </c>
      <c r="Z48" s="309" t="str">
        <f t="shared" si="17"/>
        <v>H</v>
      </c>
      <c r="AA48" s="312">
        <f t="shared" si="18"/>
        <v>823.955</v>
      </c>
      <c r="AB48" s="308">
        <f t="shared" si="19"/>
        <v>6.068292565</v>
      </c>
      <c r="AC48" s="308" t="str">
        <f t="shared" si="20"/>
        <v>H</v>
      </c>
      <c r="AD48" s="312">
        <f t="shared" si="21"/>
        <v>749.05</v>
      </c>
      <c r="AE48" s="308">
        <f t="shared" si="22"/>
        <v>6.675121821</v>
      </c>
      <c r="AF48" s="313" t="str">
        <f t="shared" si="23"/>
        <v>H</v>
      </c>
      <c r="AG48" s="304">
        <f t="shared" si="24"/>
        <v>674.145</v>
      </c>
      <c r="AH48" s="308">
        <f t="shared" si="25"/>
        <v>7.416802023</v>
      </c>
      <c r="AI48" s="313" t="str">
        <f t="shared" si="26"/>
        <v>H</v>
      </c>
      <c r="AJ48" s="304">
        <f t="shared" si="27"/>
        <v>599.24</v>
      </c>
      <c r="AK48" s="308">
        <f t="shared" si="28"/>
        <v>8.343902276</v>
      </c>
      <c r="AL48" s="308" t="str">
        <f t="shared" si="29"/>
        <v>H</v>
      </c>
      <c r="AM48" s="304">
        <f t="shared" si="30"/>
        <v>524.335</v>
      </c>
      <c r="AN48" s="308">
        <f t="shared" si="31"/>
        <v>9.535888316</v>
      </c>
      <c r="AO48" s="313" t="str">
        <f t="shared" si="32"/>
        <v>H</v>
      </c>
      <c r="AP48" s="304">
        <f t="shared" si="33"/>
        <v>449.43</v>
      </c>
      <c r="AQ48" s="308">
        <f t="shared" si="34"/>
        <v>11.12520303</v>
      </c>
      <c r="AR48" s="313" t="str">
        <f t="shared" si="35"/>
        <v>H</v>
      </c>
      <c r="AS48" s="304">
        <f t="shared" si="36"/>
        <v>374.525</v>
      </c>
      <c r="AT48" s="308">
        <f t="shared" si="37"/>
        <v>13.35024364</v>
      </c>
      <c r="AU48" s="308" t="str">
        <f t="shared" si="38"/>
        <v>H</v>
      </c>
      <c r="AV48" s="304">
        <f t="shared" si="39"/>
        <v>299.62</v>
      </c>
      <c r="AW48" s="308">
        <f t="shared" si="40"/>
        <v>16.68780455</v>
      </c>
      <c r="AX48" s="308" t="str">
        <f t="shared" si="41"/>
        <v>H</v>
      </c>
      <c r="AY48" s="304">
        <f t="shared" si="42"/>
        <v>224.715</v>
      </c>
      <c r="AZ48" s="308">
        <f t="shared" si="43"/>
        <v>22.25040607</v>
      </c>
      <c r="BA48" s="313" t="str">
        <f t="shared" si="44"/>
        <v>H</v>
      </c>
      <c r="BB48" s="304">
        <f t="shared" si="45"/>
        <v>149.81</v>
      </c>
      <c r="BC48" s="308">
        <f t="shared" si="46"/>
        <v>33.3756091</v>
      </c>
      <c r="BD48" s="308" t="str">
        <f t="shared" si="47"/>
        <v>H</v>
      </c>
    </row>
    <row r="49">
      <c r="A49" s="318" t="s">
        <v>139</v>
      </c>
      <c r="B49" s="318">
        <v>82.0</v>
      </c>
      <c r="C49" s="319">
        <v>72.9560975609756</v>
      </c>
      <c r="D49" s="301" t="str">
        <f>IFERROR(__xludf.DUMMYFUNCTION("if(ISBLANK(A49),"""",GOOGLEFINANCE(A49,""NAME""))"),"Paradeep Phosphates Ltd")</f>
        <v>Paradeep Phosphates Ltd</v>
      </c>
      <c r="E49" s="302">
        <v>5000.0</v>
      </c>
      <c r="F49" s="303">
        <f>IFERROR(__xludf.DUMMYFUNCTION("if(ISBLANK(A49),"""",GOOGLEFINANCE(A49,""HIGH52""))"),234.39)</f>
        <v>234.39</v>
      </c>
      <c r="G49" s="303">
        <f>IFERROR(__xludf.DUMMYFUNCTION("if(ISBLANK(A49),"""",GOOGLEFINANCE(A49,""LOW52""))"),99.7)</f>
        <v>99.7</v>
      </c>
      <c r="H49" s="304">
        <f>IFERROR(__xludf.DUMMYFUNCTION("if(ISBLANK(A49),"""",GOOGLEFINANCE(A49,""Price""))"),139.3)</f>
        <v>139.3</v>
      </c>
      <c r="I49" s="305" t="str">
        <f t="shared" si="1"/>
        <v>M</v>
      </c>
      <c r="J49" s="306" t="str">
        <f t="shared" si="2"/>
        <v>|||</v>
      </c>
      <c r="K49" s="307">
        <f>IFERROR(__xludf.DUMMYFUNCTION("if(ISBLANK(A49),"""",googlefinance(A49,""Marketcap"")/10000000)"),14455.528575)</f>
        <v>14455.52858</v>
      </c>
      <c r="L49" s="304">
        <f t="shared" si="3"/>
        <v>187.512</v>
      </c>
      <c r="M49" s="308">
        <f t="shared" si="4"/>
        <v>26.66496011</v>
      </c>
      <c r="N49" s="309" t="str">
        <f t="shared" si="5"/>
        <v>Next</v>
      </c>
      <c r="O49" s="310">
        <f t="shared" si="6"/>
        <v>175.7925</v>
      </c>
      <c r="P49" s="308">
        <f t="shared" si="7"/>
        <v>28.44262412</v>
      </c>
      <c r="Q49" s="311" t="str">
        <f t="shared" si="8"/>
        <v>Next</v>
      </c>
      <c r="R49" s="304">
        <f t="shared" si="9"/>
        <v>164.073</v>
      </c>
      <c r="S49" s="308">
        <f t="shared" si="10"/>
        <v>30.47424012</v>
      </c>
      <c r="T49" s="309" t="str">
        <f t="shared" si="11"/>
        <v>Next</v>
      </c>
      <c r="U49" s="304">
        <f t="shared" si="12"/>
        <v>152.3535</v>
      </c>
      <c r="V49" s="308">
        <f t="shared" si="13"/>
        <v>32.81841244</v>
      </c>
      <c r="W49" s="309" t="str">
        <f t="shared" si="14"/>
        <v>Next</v>
      </c>
      <c r="X49" s="304">
        <f t="shared" si="15"/>
        <v>140.634</v>
      </c>
      <c r="Y49" s="308">
        <f t="shared" si="16"/>
        <v>35.55328015</v>
      </c>
      <c r="Z49" s="309" t="str">
        <f t="shared" si="17"/>
        <v>B</v>
      </c>
      <c r="AA49" s="312">
        <f t="shared" si="18"/>
        <v>128.9145</v>
      </c>
      <c r="AB49" s="308">
        <f t="shared" si="19"/>
        <v>38.78539652</v>
      </c>
      <c r="AC49" s="308" t="str">
        <f t="shared" si="20"/>
        <v>H</v>
      </c>
      <c r="AD49" s="312">
        <f t="shared" si="21"/>
        <v>117.195</v>
      </c>
      <c r="AE49" s="308">
        <f t="shared" si="22"/>
        <v>42.66393617</v>
      </c>
      <c r="AF49" s="313" t="str">
        <f t="shared" si="23"/>
        <v>H</v>
      </c>
      <c r="AG49" s="304">
        <f t="shared" si="24"/>
        <v>105.4755</v>
      </c>
      <c r="AH49" s="308">
        <f t="shared" si="25"/>
        <v>47.40437353</v>
      </c>
      <c r="AI49" s="313" t="str">
        <f t="shared" si="26"/>
        <v>H</v>
      </c>
      <c r="AJ49" s="304">
        <f t="shared" si="27"/>
        <v>93.756</v>
      </c>
      <c r="AK49" s="308">
        <f t="shared" si="28"/>
        <v>53.32992022</v>
      </c>
      <c r="AL49" s="308" t="str">
        <f t="shared" si="29"/>
        <v>H</v>
      </c>
      <c r="AM49" s="304">
        <f t="shared" si="30"/>
        <v>82.0365</v>
      </c>
      <c r="AN49" s="308">
        <f t="shared" si="31"/>
        <v>60.94848025</v>
      </c>
      <c r="AO49" s="313" t="str">
        <f t="shared" si="32"/>
        <v>H</v>
      </c>
      <c r="AP49" s="304">
        <f t="shared" si="33"/>
        <v>70.317</v>
      </c>
      <c r="AQ49" s="308">
        <f t="shared" si="34"/>
        <v>71.10656029</v>
      </c>
      <c r="AR49" s="313" t="str">
        <f t="shared" si="35"/>
        <v>H</v>
      </c>
      <c r="AS49" s="304">
        <f t="shared" si="36"/>
        <v>58.5975</v>
      </c>
      <c r="AT49" s="308">
        <f t="shared" si="37"/>
        <v>85.32787235</v>
      </c>
      <c r="AU49" s="308" t="str">
        <f t="shared" si="38"/>
        <v>H</v>
      </c>
      <c r="AV49" s="304">
        <f t="shared" si="39"/>
        <v>46.878</v>
      </c>
      <c r="AW49" s="308">
        <f t="shared" si="40"/>
        <v>106.6598404</v>
      </c>
      <c r="AX49" s="308" t="str">
        <f t="shared" si="41"/>
        <v>H</v>
      </c>
      <c r="AY49" s="304">
        <f t="shared" si="42"/>
        <v>35.1585</v>
      </c>
      <c r="AZ49" s="308">
        <f t="shared" si="43"/>
        <v>142.2131206</v>
      </c>
      <c r="BA49" s="313" t="str">
        <f t="shared" si="44"/>
        <v>H</v>
      </c>
      <c r="BB49" s="304">
        <f t="shared" si="45"/>
        <v>23.439</v>
      </c>
      <c r="BC49" s="308">
        <f t="shared" si="46"/>
        <v>213.3196809</v>
      </c>
      <c r="BD49" s="308" t="str">
        <f t="shared" si="47"/>
        <v>H</v>
      </c>
    </row>
    <row r="50">
      <c r="A50" s="318" t="s">
        <v>140</v>
      </c>
      <c r="B50" s="318">
        <v>1.0</v>
      </c>
      <c r="C50" s="319">
        <v>794.0</v>
      </c>
      <c r="D50" s="301" t="str">
        <f>IFERROR(__xludf.DUMMYFUNCTION("if(ISBLANK(A50),"""",GOOGLEFINANCE(A50,""NAME""))"),"Paras Defence and Space Technologies Ltd")</f>
        <v>Paras Defence and Space Technologies Ltd</v>
      </c>
      <c r="E50" s="302">
        <v>5000.0</v>
      </c>
      <c r="F50" s="303">
        <f>IFERROR(__xludf.DUMMYFUNCTION("if(ISBLANK(A50),"""",GOOGLEFINANCE(A50,""HIGH52""))"),1443.0)</f>
        <v>1443</v>
      </c>
      <c r="G50" s="303">
        <f>IFERROR(__xludf.DUMMYFUNCTION("if(ISBLANK(A50),"""",GOOGLEFINANCE(A50,""LOW52""))"),580.5)</f>
        <v>580.5</v>
      </c>
      <c r="H50" s="304">
        <f>IFERROR(__xludf.DUMMYFUNCTION("if(ISBLANK(A50),"""",GOOGLEFINANCE(A50,""Price""))"),1292.0)</f>
        <v>1292</v>
      </c>
      <c r="I50" s="305" t="str">
        <f t="shared" si="1"/>
        <v>M</v>
      </c>
      <c r="J50" s="306" t="str">
        <f t="shared" si="2"/>
        <v>|||</v>
      </c>
      <c r="K50" s="307">
        <f>IFERROR(__xludf.DUMMYFUNCTION("if(ISBLANK(A50),"""",googlefinance(A50,""Marketcap"")/10000000)"),10436.0546727)</f>
        <v>10436.05467</v>
      </c>
      <c r="L50" s="304">
        <f t="shared" si="3"/>
        <v>1154.4</v>
      </c>
      <c r="M50" s="308">
        <f t="shared" si="4"/>
        <v>4.331254331</v>
      </c>
      <c r="N50" s="309" t="str">
        <f t="shared" si="5"/>
        <v>H</v>
      </c>
      <c r="O50" s="310">
        <f t="shared" si="6"/>
        <v>1082.25</v>
      </c>
      <c r="P50" s="308">
        <f t="shared" si="7"/>
        <v>4.62000462</v>
      </c>
      <c r="Q50" s="311" t="str">
        <f t="shared" si="8"/>
        <v>H</v>
      </c>
      <c r="R50" s="304">
        <f t="shared" si="9"/>
        <v>1010.1</v>
      </c>
      <c r="S50" s="308">
        <f t="shared" si="10"/>
        <v>4.95000495</v>
      </c>
      <c r="T50" s="309" t="str">
        <f t="shared" si="11"/>
        <v>H</v>
      </c>
      <c r="U50" s="304">
        <f t="shared" si="12"/>
        <v>937.95</v>
      </c>
      <c r="V50" s="308">
        <f t="shared" si="13"/>
        <v>5.330774562</v>
      </c>
      <c r="W50" s="309" t="str">
        <f t="shared" si="14"/>
        <v>H</v>
      </c>
      <c r="X50" s="304">
        <f t="shared" si="15"/>
        <v>865.8</v>
      </c>
      <c r="Y50" s="308">
        <f t="shared" si="16"/>
        <v>5.775005775</v>
      </c>
      <c r="Z50" s="309" t="str">
        <f t="shared" si="17"/>
        <v>H</v>
      </c>
      <c r="AA50" s="312">
        <f t="shared" si="18"/>
        <v>793.65</v>
      </c>
      <c r="AB50" s="308">
        <f t="shared" si="19"/>
        <v>6.3000063</v>
      </c>
      <c r="AC50" s="308" t="str">
        <f t="shared" si="20"/>
        <v>H</v>
      </c>
      <c r="AD50" s="312">
        <f t="shared" si="21"/>
        <v>721.5</v>
      </c>
      <c r="AE50" s="308">
        <f t="shared" si="22"/>
        <v>6.93000693</v>
      </c>
      <c r="AF50" s="313" t="str">
        <f t="shared" si="23"/>
        <v>H</v>
      </c>
      <c r="AG50" s="304">
        <f t="shared" si="24"/>
        <v>649.35</v>
      </c>
      <c r="AH50" s="308">
        <f t="shared" si="25"/>
        <v>7.7000077</v>
      </c>
      <c r="AI50" s="313" t="str">
        <f t="shared" si="26"/>
        <v>H</v>
      </c>
      <c r="AJ50" s="304">
        <f t="shared" si="27"/>
        <v>577.2</v>
      </c>
      <c r="AK50" s="308">
        <f t="shared" si="28"/>
        <v>8.662508663</v>
      </c>
      <c r="AL50" s="308" t="str">
        <f t="shared" si="29"/>
        <v>H</v>
      </c>
      <c r="AM50" s="304">
        <f t="shared" si="30"/>
        <v>505.05</v>
      </c>
      <c r="AN50" s="308">
        <f t="shared" si="31"/>
        <v>9.9000099</v>
      </c>
      <c r="AO50" s="313" t="str">
        <f t="shared" si="32"/>
        <v>H</v>
      </c>
      <c r="AP50" s="304">
        <f t="shared" si="33"/>
        <v>432.9</v>
      </c>
      <c r="AQ50" s="308">
        <f t="shared" si="34"/>
        <v>11.55001155</v>
      </c>
      <c r="AR50" s="313" t="str">
        <f t="shared" si="35"/>
        <v>H</v>
      </c>
      <c r="AS50" s="304">
        <f t="shared" si="36"/>
        <v>360.75</v>
      </c>
      <c r="AT50" s="308">
        <f t="shared" si="37"/>
        <v>13.86001386</v>
      </c>
      <c r="AU50" s="308" t="str">
        <f t="shared" si="38"/>
        <v>H</v>
      </c>
      <c r="AV50" s="304">
        <f t="shared" si="39"/>
        <v>288.6</v>
      </c>
      <c r="AW50" s="308">
        <f t="shared" si="40"/>
        <v>17.32501733</v>
      </c>
      <c r="AX50" s="308" t="str">
        <f t="shared" si="41"/>
        <v>H</v>
      </c>
      <c r="AY50" s="304">
        <f t="shared" si="42"/>
        <v>216.45</v>
      </c>
      <c r="AZ50" s="308">
        <f t="shared" si="43"/>
        <v>23.1000231</v>
      </c>
      <c r="BA50" s="313" t="str">
        <f t="shared" si="44"/>
        <v>H</v>
      </c>
      <c r="BB50" s="304">
        <f t="shared" si="45"/>
        <v>144.3</v>
      </c>
      <c r="BC50" s="308">
        <f t="shared" si="46"/>
        <v>34.65003465</v>
      </c>
      <c r="BD50" s="308" t="str">
        <f t="shared" si="47"/>
        <v>H</v>
      </c>
    </row>
    <row r="51">
      <c r="A51" s="318" t="s">
        <v>145</v>
      </c>
      <c r="B51" s="318">
        <v>12.0</v>
      </c>
      <c r="C51" s="319">
        <v>548.9833333333333</v>
      </c>
      <c r="D51" s="301" t="str">
        <f>IFERROR(__xludf.DUMMYFUNCTION("if(ISBLANK(A51),"""",GOOGLEFINANCE(A51,""NAME""))"),"Prince Pipes and Fittings Ltd")</f>
        <v>Prince Pipes and Fittings Ltd</v>
      </c>
      <c r="E51" s="302">
        <v>5000.0</v>
      </c>
      <c r="F51" s="303">
        <f>IFERROR(__xludf.DUMMYFUNCTION("if(ISBLANK(A51),"""",GOOGLEFINANCE(A51,""HIGH52""))"),376.2)</f>
        <v>376.2</v>
      </c>
      <c r="G51" s="303">
        <f>IFERROR(__xludf.DUMMYFUNCTION("if(ISBLANK(A51),"""",GOOGLEFINANCE(A51,""LOW52""))"),205.0)</f>
        <v>205</v>
      </c>
      <c r="H51" s="304">
        <f>IFERROR(__xludf.DUMMYFUNCTION("if(ISBLANK(A51),"""",GOOGLEFINANCE(A51,""Price""))"),269.9)</f>
        <v>269.9</v>
      </c>
      <c r="I51" s="305" t="str">
        <f t="shared" si="1"/>
        <v>S</v>
      </c>
      <c r="J51" s="306" t="str">
        <f t="shared" si="2"/>
        <v>||||</v>
      </c>
      <c r="K51" s="307">
        <f>IFERROR(__xludf.DUMMYFUNCTION("if(ISBLANK(A51),"""",googlefinance(A51,""Marketcap"")/10000000)"),2987.9604925)</f>
        <v>2987.960493</v>
      </c>
      <c r="L51" s="304">
        <f t="shared" si="3"/>
        <v>300.96</v>
      </c>
      <c r="M51" s="308">
        <f t="shared" si="4"/>
        <v>16.61350346</v>
      </c>
      <c r="N51" s="309" t="str">
        <f t="shared" si="5"/>
        <v>Next</v>
      </c>
      <c r="O51" s="310">
        <f t="shared" si="6"/>
        <v>282.15</v>
      </c>
      <c r="P51" s="308">
        <f t="shared" si="7"/>
        <v>17.72107035</v>
      </c>
      <c r="Q51" s="311" t="str">
        <f t="shared" si="8"/>
        <v>B</v>
      </c>
      <c r="R51" s="304">
        <f t="shared" si="9"/>
        <v>263.34</v>
      </c>
      <c r="S51" s="308">
        <f t="shared" si="10"/>
        <v>18.98686109</v>
      </c>
      <c r="T51" s="309" t="str">
        <f t="shared" si="11"/>
        <v>H</v>
      </c>
      <c r="U51" s="304">
        <f t="shared" si="12"/>
        <v>244.53</v>
      </c>
      <c r="V51" s="308">
        <f t="shared" si="13"/>
        <v>20.44738887</v>
      </c>
      <c r="W51" s="309" t="str">
        <f t="shared" si="14"/>
        <v>H</v>
      </c>
      <c r="X51" s="304">
        <f t="shared" si="15"/>
        <v>225.72</v>
      </c>
      <c r="Y51" s="308">
        <f t="shared" si="16"/>
        <v>22.15133794</v>
      </c>
      <c r="Z51" s="309" t="str">
        <f t="shared" si="17"/>
        <v>H</v>
      </c>
      <c r="AA51" s="312">
        <f t="shared" si="18"/>
        <v>206.91</v>
      </c>
      <c r="AB51" s="308">
        <f t="shared" si="19"/>
        <v>24.16509594</v>
      </c>
      <c r="AC51" s="308" t="str">
        <f t="shared" si="20"/>
        <v>H</v>
      </c>
      <c r="AD51" s="312">
        <f t="shared" si="21"/>
        <v>188.1</v>
      </c>
      <c r="AE51" s="308">
        <f t="shared" si="22"/>
        <v>26.58160553</v>
      </c>
      <c r="AF51" s="313" t="str">
        <f t="shared" si="23"/>
        <v>H</v>
      </c>
      <c r="AG51" s="304">
        <f t="shared" si="24"/>
        <v>169.29</v>
      </c>
      <c r="AH51" s="308">
        <f t="shared" si="25"/>
        <v>29.53511725</v>
      </c>
      <c r="AI51" s="313" t="str">
        <f t="shared" si="26"/>
        <v>H</v>
      </c>
      <c r="AJ51" s="304">
        <f t="shared" si="27"/>
        <v>150.48</v>
      </c>
      <c r="AK51" s="308">
        <f t="shared" si="28"/>
        <v>33.22700691</v>
      </c>
      <c r="AL51" s="308" t="str">
        <f t="shared" si="29"/>
        <v>H</v>
      </c>
      <c r="AM51" s="304">
        <f t="shared" si="30"/>
        <v>131.67</v>
      </c>
      <c r="AN51" s="308">
        <f t="shared" si="31"/>
        <v>37.97372218</v>
      </c>
      <c r="AO51" s="313" t="str">
        <f t="shared" si="32"/>
        <v>H</v>
      </c>
      <c r="AP51" s="304">
        <f t="shared" si="33"/>
        <v>112.86</v>
      </c>
      <c r="AQ51" s="308">
        <f t="shared" si="34"/>
        <v>44.30267588</v>
      </c>
      <c r="AR51" s="313" t="str">
        <f t="shared" si="35"/>
        <v>H</v>
      </c>
      <c r="AS51" s="304">
        <f t="shared" si="36"/>
        <v>94.05</v>
      </c>
      <c r="AT51" s="308">
        <f t="shared" si="37"/>
        <v>53.16321106</v>
      </c>
      <c r="AU51" s="308" t="str">
        <f t="shared" si="38"/>
        <v>H</v>
      </c>
      <c r="AV51" s="304">
        <f t="shared" si="39"/>
        <v>75.24</v>
      </c>
      <c r="AW51" s="308">
        <f t="shared" si="40"/>
        <v>66.45401382</v>
      </c>
      <c r="AX51" s="308" t="str">
        <f t="shared" si="41"/>
        <v>H</v>
      </c>
      <c r="AY51" s="304">
        <f t="shared" si="42"/>
        <v>56.43</v>
      </c>
      <c r="AZ51" s="308">
        <f t="shared" si="43"/>
        <v>88.60535176</v>
      </c>
      <c r="BA51" s="313" t="str">
        <f t="shared" si="44"/>
        <v>H</v>
      </c>
      <c r="BB51" s="304">
        <f t="shared" si="45"/>
        <v>37.62</v>
      </c>
      <c r="BC51" s="308">
        <f t="shared" si="46"/>
        <v>132.9080276</v>
      </c>
      <c r="BD51" s="308" t="str">
        <f t="shared" si="47"/>
        <v>H</v>
      </c>
    </row>
    <row r="52">
      <c r="A52" s="318" t="s">
        <v>146</v>
      </c>
      <c r="B52" s="318">
        <v>4.0</v>
      </c>
      <c r="C52" s="319">
        <v>122.875</v>
      </c>
      <c r="D52" s="301" t="str">
        <f>IFERROR(__xludf.DUMMYFUNCTION("if(ISBLANK(A52),"""",GOOGLEFINANCE(A52,""NAME""))"),"Railtel Corporation of India Ltd")</f>
        <v>Railtel Corporation of India Ltd</v>
      </c>
      <c r="E52" s="302">
        <v>5000.0</v>
      </c>
      <c r="F52" s="303">
        <f>IFERROR(__xludf.DUMMYFUNCTION("if(ISBLANK(A52),"""",GOOGLEFINANCE(A52,""HIGH52""))"),426.0)</f>
        <v>426</v>
      </c>
      <c r="G52" s="303">
        <f>IFERROR(__xludf.DUMMYFUNCTION("if(ISBLANK(A52),"""",GOOGLEFINANCE(A52,""LOW52""))"),245.0)</f>
        <v>245</v>
      </c>
      <c r="H52" s="304">
        <f>IFERROR(__xludf.DUMMYFUNCTION("if(ISBLANK(A52),"""",GOOGLEFINANCE(A52,""Price""))"),311.3)</f>
        <v>311.3</v>
      </c>
      <c r="I52" s="305" t="str">
        <f t="shared" si="1"/>
        <v>M</v>
      </c>
      <c r="J52" s="306" t="str">
        <f t="shared" si="2"/>
        <v>|||</v>
      </c>
      <c r="K52" s="307">
        <f>IFERROR(__xludf.DUMMYFUNCTION("if(ISBLANK(A52),"""",googlefinance(A52,""Marketcap"")/10000000)"),9990.8088872)</f>
        <v>9990.808887</v>
      </c>
      <c r="L52" s="304">
        <f t="shared" si="3"/>
        <v>340.8</v>
      </c>
      <c r="M52" s="308">
        <f t="shared" si="4"/>
        <v>14.6713615</v>
      </c>
      <c r="N52" s="309" t="str">
        <f t="shared" si="5"/>
        <v>Next</v>
      </c>
      <c r="O52" s="310">
        <f t="shared" si="6"/>
        <v>319.5</v>
      </c>
      <c r="P52" s="308">
        <f t="shared" si="7"/>
        <v>15.64945227</v>
      </c>
      <c r="Q52" s="311" t="str">
        <f t="shared" si="8"/>
        <v>B</v>
      </c>
      <c r="R52" s="304">
        <f t="shared" si="9"/>
        <v>298.2</v>
      </c>
      <c r="S52" s="308">
        <f t="shared" si="10"/>
        <v>16.76727029</v>
      </c>
      <c r="T52" s="309" t="str">
        <f t="shared" si="11"/>
        <v>H</v>
      </c>
      <c r="U52" s="304">
        <f t="shared" si="12"/>
        <v>276.9</v>
      </c>
      <c r="V52" s="308">
        <f t="shared" si="13"/>
        <v>18.05706031</v>
      </c>
      <c r="W52" s="309" t="str">
        <f t="shared" si="14"/>
        <v>H</v>
      </c>
      <c r="X52" s="304">
        <f t="shared" si="15"/>
        <v>255.6</v>
      </c>
      <c r="Y52" s="308">
        <f t="shared" si="16"/>
        <v>19.56181534</v>
      </c>
      <c r="Z52" s="309" t="str">
        <f t="shared" si="17"/>
        <v>H</v>
      </c>
      <c r="AA52" s="312">
        <f t="shared" si="18"/>
        <v>234.3</v>
      </c>
      <c r="AB52" s="308">
        <f t="shared" si="19"/>
        <v>21.34016219</v>
      </c>
      <c r="AC52" s="308" t="str">
        <f t="shared" si="20"/>
        <v>H</v>
      </c>
      <c r="AD52" s="312">
        <f t="shared" si="21"/>
        <v>213</v>
      </c>
      <c r="AE52" s="308">
        <f t="shared" si="22"/>
        <v>23.4741784</v>
      </c>
      <c r="AF52" s="313" t="str">
        <f t="shared" si="23"/>
        <v>H</v>
      </c>
      <c r="AG52" s="304">
        <f t="shared" si="24"/>
        <v>191.7</v>
      </c>
      <c r="AH52" s="308">
        <f t="shared" si="25"/>
        <v>26.08242045</v>
      </c>
      <c r="AI52" s="313" t="str">
        <f t="shared" si="26"/>
        <v>H</v>
      </c>
      <c r="AJ52" s="304">
        <f t="shared" si="27"/>
        <v>170.4</v>
      </c>
      <c r="AK52" s="308">
        <f t="shared" si="28"/>
        <v>29.342723</v>
      </c>
      <c r="AL52" s="308" t="str">
        <f t="shared" si="29"/>
        <v>H</v>
      </c>
      <c r="AM52" s="304">
        <f t="shared" si="30"/>
        <v>149.1</v>
      </c>
      <c r="AN52" s="308">
        <f t="shared" si="31"/>
        <v>33.53454058</v>
      </c>
      <c r="AO52" s="313" t="str">
        <f t="shared" si="32"/>
        <v>H</v>
      </c>
      <c r="AP52" s="304">
        <f t="shared" si="33"/>
        <v>127.8</v>
      </c>
      <c r="AQ52" s="308">
        <f t="shared" si="34"/>
        <v>39.12363067</v>
      </c>
      <c r="AR52" s="313" t="str">
        <f t="shared" si="35"/>
        <v>H</v>
      </c>
      <c r="AS52" s="304">
        <f t="shared" si="36"/>
        <v>106.5</v>
      </c>
      <c r="AT52" s="308">
        <f t="shared" si="37"/>
        <v>46.94835681</v>
      </c>
      <c r="AU52" s="308" t="str">
        <f t="shared" si="38"/>
        <v>H</v>
      </c>
      <c r="AV52" s="304">
        <f t="shared" si="39"/>
        <v>85.2</v>
      </c>
      <c r="AW52" s="308">
        <f t="shared" si="40"/>
        <v>58.68544601</v>
      </c>
      <c r="AX52" s="308" t="str">
        <f t="shared" si="41"/>
        <v>H</v>
      </c>
      <c r="AY52" s="304">
        <f t="shared" si="42"/>
        <v>63.9</v>
      </c>
      <c r="AZ52" s="308">
        <f t="shared" si="43"/>
        <v>78.24726135</v>
      </c>
      <c r="BA52" s="313" t="str">
        <f t="shared" si="44"/>
        <v>H</v>
      </c>
      <c r="BB52" s="304">
        <f t="shared" si="45"/>
        <v>42.6</v>
      </c>
      <c r="BC52" s="308">
        <f t="shared" si="46"/>
        <v>117.370892</v>
      </c>
      <c r="BD52" s="308" t="str">
        <f t="shared" si="47"/>
        <v>H</v>
      </c>
    </row>
    <row r="53">
      <c r="A53" s="318" t="s">
        <v>148</v>
      </c>
      <c r="B53" s="318">
        <v>3.0</v>
      </c>
      <c r="C53" s="319">
        <v>2299.23</v>
      </c>
      <c r="D53" s="301" t="str">
        <f>IFERROR(__xludf.DUMMYFUNCTION("if(ISBLANK(A53),"""",GOOGLEFINANCE(A53,""NAME""))"),"Reliance Industries Ltd")</f>
        <v>Reliance Industries Ltd</v>
      </c>
      <c r="E53" s="302">
        <v>5000.0</v>
      </c>
      <c r="F53" s="303">
        <f>IFERROR(__xludf.DUMMYFUNCTION("if(ISBLANK(A53),"""",GOOGLEFINANCE(A53,""HIGH52""))"),1611.8)</f>
        <v>1611.8</v>
      </c>
      <c r="G53" s="303">
        <f>IFERROR(__xludf.DUMMYFUNCTION("if(ISBLANK(A53),"""",GOOGLEFINANCE(A53,""LOW52""))"),1253.2)</f>
        <v>1253.2</v>
      </c>
      <c r="H53" s="304">
        <f>IFERROR(__xludf.DUMMYFUNCTION("if(ISBLANK(A53),"""",GOOGLEFINANCE(A53,""Price""))"),1305.0)</f>
        <v>1305</v>
      </c>
      <c r="I53" s="305" t="str">
        <f t="shared" si="1"/>
        <v>MG</v>
      </c>
      <c r="J53" s="306" t="str">
        <f t="shared" si="2"/>
        <v>|</v>
      </c>
      <c r="K53" s="307">
        <f>IFERROR(__xludf.DUMMYFUNCTION("if(ISBLANK(A53),"""",googlefinance(A53,""Marketcap"")/10000000)"),1767711.9387287)</f>
        <v>1767711.939</v>
      </c>
      <c r="L53" s="304">
        <f t="shared" si="3"/>
        <v>1289.44</v>
      </c>
      <c r="M53" s="308">
        <f t="shared" si="4"/>
        <v>3.877652314</v>
      </c>
      <c r="N53" s="309" t="str">
        <f t="shared" si="5"/>
        <v>H</v>
      </c>
      <c r="O53" s="310">
        <f t="shared" si="6"/>
        <v>1208.85</v>
      </c>
      <c r="P53" s="308">
        <f t="shared" si="7"/>
        <v>4.136162468</v>
      </c>
      <c r="Q53" s="311" t="str">
        <f t="shared" si="8"/>
        <v>H</v>
      </c>
      <c r="R53" s="304">
        <f t="shared" si="9"/>
        <v>1128.26</v>
      </c>
      <c r="S53" s="308">
        <f t="shared" si="10"/>
        <v>4.431602645</v>
      </c>
      <c r="T53" s="309" t="str">
        <f t="shared" si="11"/>
        <v>H</v>
      </c>
      <c r="U53" s="304">
        <f t="shared" si="12"/>
        <v>1047.67</v>
      </c>
      <c r="V53" s="308">
        <f t="shared" si="13"/>
        <v>4.772495156</v>
      </c>
      <c r="W53" s="309" t="str">
        <f t="shared" si="14"/>
        <v>H</v>
      </c>
      <c r="X53" s="304">
        <f t="shared" si="15"/>
        <v>967.08</v>
      </c>
      <c r="Y53" s="308">
        <f t="shared" si="16"/>
        <v>5.170203086</v>
      </c>
      <c r="Z53" s="309" t="str">
        <f t="shared" si="17"/>
        <v>H</v>
      </c>
      <c r="AA53" s="312">
        <f t="shared" si="18"/>
        <v>886.49</v>
      </c>
      <c r="AB53" s="308">
        <f t="shared" si="19"/>
        <v>5.640221548</v>
      </c>
      <c r="AC53" s="308" t="str">
        <f t="shared" si="20"/>
        <v>H</v>
      </c>
      <c r="AD53" s="312">
        <f t="shared" si="21"/>
        <v>805.9</v>
      </c>
      <c r="AE53" s="308">
        <f t="shared" si="22"/>
        <v>6.204243703</v>
      </c>
      <c r="AF53" s="313" t="str">
        <f t="shared" si="23"/>
        <v>H</v>
      </c>
      <c r="AG53" s="304">
        <f t="shared" si="24"/>
        <v>725.31</v>
      </c>
      <c r="AH53" s="308">
        <f t="shared" si="25"/>
        <v>6.893604114</v>
      </c>
      <c r="AI53" s="313" t="str">
        <f t="shared" si="26"/>
        <v>H</v>
      </c>
      <c r="AJ53" s="304">
        <f t="shared" si="27"/>
        <v>644.72</v>
      </c>
      <c r="AK53" s="308">
        <f t="shared" si="28"/>
        <v>7.755304628</v>
      </c>
      <c r="AL53" s="308" t="str">
        <f t="shared" si="29"/>
        <v>H</v>
      </c>
      <c r="AM53" s="304">
        <f t="shared" si="30"/>
        <v>564.13</v>
      </c>
      <c r="AN53" s="308">
        <f t="shared" si="31"/>
        <v>8.86320529</v>
      </c>
      <c r="AO53" s="313" t="str">
        <f t="shared" si="32"/>
        <v>H</v>
      </c>
      <c r="AP53" s="304">
        <f t="shared" si="33"/>
        <v>483.54</v>
      </c>
      <c r="AQ53" s="308">
        <f t="shared" si="34"/>
        <v>10.34040617</v>
      </c>
      <c r="AR53" s="313" t="str">
        <f t="shared" si="35"/>
        <v>H</v>
      </c>
      <c r="AS53" s="304">
        <f t="shared" si="36"/>
        <v>402.95</v>
      </c>
      <c r="AT53" s="308">
        <f t="shared" si="37"/>
        <v>12.40848741</v>
      </c>
      <c r="AU53" s="308" t="str">
        <f t="shared" si="38"/>
        <v>H</v>
      </c>
      <c r="AV53" s="304">
        <f t="shared" si="39"/>
        <v>322.36</v>
      </c>
      <c r="AW53" s="308">
        <f t="shared" si="40"/>
        <v>15.51060926</v>
      </c>
      <c r="AX53" s="308" t="str">
        <f t="shared" si="41"/>
        <v>H</v>
      </c>
      <c r="AY53" s="304">
        <f t="shared" si="42"/>
        <v>241.77</v>
      </c>
      <c r="AZ53" s="308">
        <f t="shared" si="43"/>
        <v>20.68081234</v>
      </c>
      <c r="BA53" s="313" t="str">
        <f t="shared" si="44"/>
        <v>H</v>
      </c>
      <c r="BB53" s="304">
        <f t="shared" si="45"/>
        <v>161.18</v>
      </c>
      <c r="BC53" s="308">
        <f t="shared" si="46"/>
        <v>31.02121851</v>
      </c>
      <c r="BD53" s="308" t="str">
        <f t="shared" si="47"/>
        <v>H</v>
      </c>
    </row>
    <row r="54">
      <c r="A54" s="299" t="s">
        <v>149</v>
      </c>
      <c r="B54" s="299">
        <v>1310.0</v>
      </c>
      <c r="C54" s="300">
        <v>75.85570992366412</v>
      </c>
      <c r="D54" s="301" t="str">
        <f>IFERROR(__xludf.DUMMYFUNCTION("if(ISBLANK(A54),"""",GOOGLEFINANCE(A54,""NAME""))"),"Rattanindia Enterprises Ltd")</f>
        <v>Rattanindia Enterprises Ltd</v>
      </c>
      <c r="E54" s="302">
        <v>5000.0</v>
      </c>
      <c r="F54" s="303">
        <f>IFERROR(__xludf.DUMMYFUNCTION("if(ISBLANK(A54),"""",GOOGLEFINANCE(A54,""HIGH52""))"),69.7)</f>
        <v>69.7</v>
      </c>
      <c r="G54" s="303">
        <f>IFERROR(__xludf.DUMMYFUNCTION("if(ISBLANK(A54),"""",GOOGLEFINANCE(A54,""LOW52""))"),24.4)</f>
        <v>24.4</v>
      </c>
      <c r="H54" s="304">
        <f>IFERROR(__xludf.DUMMYFUNCTION("if(ISBLANK(A54),"""",GOOGLEFINANCE(A54,""Price""))"),32.9)</f>
        <v>32.9</v>
      </c>
      <c r="I54" s="305" t="str">
        <f t="shared" si="1"/>
        <v>S</v>
      </c>
      <c r="J54" s="306" t="str">
        <f t="shared" si="2"/>
        <v>||||</v>
      </c>
      <c r="K54" s="307">
        <f>IFERROR(__xludf.DUMMYFUNCTION("if(ISBLANK(A54),"""",googlefinance(A54,""Marketcap"")/10000000)"),4543.1184407)</f>
        <v>4543.118441</v>
      </c>
      <c r="L54" s="304">
        <f t="shared" si="3"/>
        <v>55.76</v>
      </c>
      <c r="M54" s="308">
        <f t="shared" si="4"/>
        <v>89.67001435</v>
      </c>
      <c r="N54" s="309" t="str">
        <f t="shared" si="5"/>
        <v>Next</v>
      </c>
      <c r="O54" s="310">
        <f t="shared" si="6"/>
        <v>52.275</v>
      </c>
      <c r="P54" s="308">
        <f t="shared" si="7"/>
        <v>95.6480153</v>
      </c>
      <c r="Q54" s="311" t="str">
        <f t="shared" si="8"/>
        <v>Next</v>
      </c>
      <c r="R54" s="304">
        <f t="shared" si="9"/>
        <v>48.79</v>
      </c>
      <c r="S54" s="308">
        <f t="shared" si="10"/>
        <v>102.4800164</v>
      </c>
      <c r="T54" s="309" t="str">
        <f t="shared" si="11"/>
        <v>Next</v>
      </c>
      <c r="U54" s="304">
        <f t="shared" si="12"/>
        <v>45.305</v>
      </c>
      <c r="V54" s="308">
        <f t="shared" si="13"/>
        <v>110.3630946</v>
      </c>
      <c r="W54" s="309" t="str">
        <f t="shared" si="14"/>
        <v>Next</v>
      </c>
      <c r="X54" s="304">
        <f t="shared" si="15"/>
        <v>41.82</v>
      </c>
      <c r="Y54" s="308">
        <f t="shared" si="16"/>
        <v>119.5600191</v>
      </c>
      <c r="Z54" s="309" t="str">
        <f t="shared" si="17"/>
        <v>Next</v>
      </c>
      <c r="AA54" s="312">
        <f t="shared" si="18"/>
        <v>38.335</v>
      </c>
      <c r="AB54" s="308">
        <f t="shared" si="19"/>
        <v>130.4291118</v>
      </c>
      <c r="AC54" s="308" t="str">
        <f t="shared" si="20"/>
        <v>Next</v>
      </c>
      <c r="AD54" s="312">
        <f t="shared" si="21"/>
        <v>34.85</v>
      </c>
      <c r="AE54" s="308">
        <f t="shared" si="22"/>
        <v>143.472023</v>
      </c>
      <c r="AF54" s="313" t="str">
        <f t="shared" si="23"/>
        <v>B</v>
      </c>
      <c r="AG54" s="304">
        <f t="shared" si="24"/>
        <v>31.365</v>
      </c>
      <c r="AH54" s="308">
        <f t="shared" si="25"/>
        <v>159.4133588</v>
      </c>
      <c r="AI54" s="313" t="str">
        <f t="shared" si="26"/>
        <v>H</v>
      </c>
      <c r="AJ54" s="304">
        <f t="shared" si="27"/>
        <v>27.88</v>
      </c>
      <c r="AK54" s="308">
        <f t="shared" si="28"/>
        <v>179.3400287</v>
      </c>
      <c r="AL54" s="308" t="str">
        <f t="shared" si="29"/>
        <v>H</v>
      </c>
      <c r="AM54" s="304">
        <f t="shared" si="30"/>
        <v>24.395</v>
      </c>
      <c r="AN54" s="308">
        <f t="shared" si="31"/>
        <v>204.9600328</v>
      </c>
      <c r="AO54" s="313" t="str">
        <f t="shared" si="32"/>
        <v>H</v>
      </c>
      <c r="AP54" s="304">
        <f t="shared" si="33"/>
        <v>20.91</v>
      </c>
      <c r="AQ54" s="308">
        <f t="shared" si="34"/>
        <v>239.1200383</v>
      </c>
      <c r="AR54" s="313" t="str">
        <f t="shared" si="35"/>
        <v>H</v>
      </c>
      <c r="AS54" s="304">
        <f t="shared" si="36"/>
        <v>17.425</v>
      </c>
      <c r="AT54" s="308">
        <f t="shared" si="37"/>
        <v>286.9440459</v>
      </c>
      <c r="AU54" s="308" t="str">
        <f t="shared" si="38"/>
        <v>H</v>
      </c>
      <c r="AV54" s="304">
        <f t="shared" si="39"/>
        <v>13.94</v>
      </c>
      <c r="AW54" s="308">
        <f t="shared" si="40"/>
        <v>358.6800574</v>
      </c>
      <c r="AX54" s="308" t="str">
        <f t="shared" si="41"/>
        <v>H</v>
      </c>
      <c r="AY54" s="304">
        <f t="shared" si="42"/>
        <v>10.455</v>
      </c>
      <c r="AZ54" s="308">
        <f t="shared" si="43"/>
        <v>478.2400765</v>
      </c>
      <c r="BA54" s="313" t="str">
        <f t="shared" si="44"/>
        <v>H</v>
      </c>
      <c r="BB54" s="304">
        <f t="shared" si="45"/>
        <v>6.97</v>
      </c>
      <c r="BC54" s="308">
        <f t="shared" si="46"/>
        <v>717.3601148</v>
      </c>
      <c r="BD54" s="308" t="str">
        <f t="shared" si="47"/>
        <v>H</v>
      </c>
    </row>
    <row r="55">
      <c r="A55" s="318" t="s">
        <v>150</v>
      </c>
      <c r="B55" s="318">
        <v>90.0</v>
      </c>
      <c r="C55" s="319">
        <v>327.7655555555556</v>
      </c>
      <c r="D55" s="301" t="str">
        <f>IFERROR(__xludf.DUMMYFUNCTION("if(ISBLANK(A55),"""",GOOGLEFINANCE(A55,""NAME""))"),"Rail Vikas Nigam Ltd")</f>
        <v>Rail Vikas Nigam Ltd</v>
      </c>
      <c r="E55" s="302">
        <v>5000.0</v>
      </c>
      <c r="F55" s="303">
        <f>IFERROR(__xludf.DUMMYFUNCTION("if(ISBLANK(A55),"""",GOOGLEFINANCE(A55,""HIGH52""))"),400.7)</f>
        <v>400.7</v>
      </c>
      <c r="G55" s="303">
        <f>IFERROR(__xludf.DUMMYFUNCTION("if(ISBLANK(A55),"""",GOOGLEFINANCE(A55,""LOW52""))"),221.55)</f>
        <v>221.55</v>
      </c>
      <c r="H55" s="304">
        <f>IFERROR(__xludf.DUMMYFUNCTION("if(ISBLANK(A55),"""",GOOGLEFINANCE(A55,""Price""))"),232.4)</f>
        <v>232.4</v>
      </c>
      <c r="I55" s="305" t="str">
        <f t="shared" si="1"/>
        <v>L</v>
      </c>
      <c r="J55" s="306" t="str">
        <f t="shared" si="2"/>
        <v>||</v>
      </c>
      <c r="K55" s="307">
        <f>IFERROR(__xludf.DUMMYFUNCTION("if(ISBLANK(A55),"""",googlefinance(A55,""Marketcap"")/10000000)"),48552.045675)</f>
        <v>48552.04568</v>
      </c>
      <c r="L55" s="304">
        <f t="shared" si="3"/>
        <v>320.56</v>
      </c>
      <c r="M55" s="308">
        <f t="shared" si="4"/>
        <v>15.59770402</v>
      </c>
      <c r="N55" s="309" t="str">
        <f t="shared" si="5"/>
        <v>Next</v>
      </c>
      <c r="O55" s="310">
        <f t="shared" si="6"/>
        <v>300.525</v>
      </c>
      <c r="P55" s="308">
        <f t="shared" si="7"/>
        <v>16.63755095</v>
      </c>
      <c r="Q55" s="311" t="str">
        <f t="shared" si="8"/>
        <v>Next</v>
      </c>
      <c r="R55" s="304">
        <f t="shared" si="9"/>
        <v>280.49</v>
      </c>
      <c r="S55" s="308">
        <f t="shared" si="10"/>
        <v>17.82594745</v>
      </c>
      <c r="T55" s="309" t="str">
        <f t="shared" si="11"/>
        <v>Next</v>
      </c>
      <c r="U55" s="304">
        <f t="shared" si="12"/>
        <v>260.455</v>
      </c>
      <c r="V55" s="308">
        <f t="shared" si="13"/>
        <v>19.19717418</v>
      </c>
      <c r="W55" s="309" t="str">
        <f t="shared" si="14"/>
        <v>Next</v>
      </c>
      <c r="X55" s="304">
        <f t="shared" si="15"/>
        <v>240.42</v>
      </c>
      <c r="Y55" s="308">
        <f t="shared" si="16"/>
        <v>20.79693869</v>
      </c>
      <c r="Z55" s="309" t="str">
        <f t="shared" si="17"/>
        <v>B</v>
      </c>
      <c r="AA55" s="312">
        <f t="shared" si="18"/>
        <v>220.385</v>
      </c>
      <c r="AB55" s="308">
        <f t="shared" si="19"/>
        <v>22.68756948</v>
      </c>
      <c r="AC55" s="308" t="str">
        <f t="shared" si="20"/>
        <v>H</v>
      </c>
      <c r="AD55" s="312">
        <f t="shared" si="21"/>
        <v>200.35</v>
      </c>
      <c r="AE55" s="308">
        <f t="shared" si="22"/>
        <v>24.95632643</v>
      </c>
      <c r="AF55" s="313" t="str">
        <f t="shared" si="23"/>
        <v>H</v>
      </c>
      <c r="AG55" s="304">
        <f t="shared" si="24"/>
        <v>180.315</v>
      </c>
      <c r="AH55" s="308">
        <f t="shared" si="25"/>
        <v>27.72925159</v>
      </c>
      <c r="AI55" s="313" t="str">
        <f t="shared" si="26"/>
        <v>H</v>
      </c>
      <c r="AJ55" s="304">
        <f t="shared" si="27"/>
        <v>160.28</v>
      </c>
      <c r="AK55" s="308">
        <f t="shared" si="28"/>
        <v>31.19540804</v>
      </c>
      <c r="AL55" s="308" t="str">
        <f t="shared" si="29"/>
        <v>H</v>
      </c>
      <c r="AM55" s="304">
        <f t="shared" si="30"/>
        <v>140.245</v>
      </c>
      <c r="AN55" s="308">
        <f t="shared" si="31"/>
        <v>35.6518949</v>
      </c>
      <c r="AO55" s="313" t="str">
        <f t="shared" si="32"/>
        <v>H</v>
      </c>
      <c r="AP55" s="304">
        <f t="shared" si="33"/>
        <v>120.21</v>
      </c>
      <c r="AQ55" s="308">
        <f t="shared" si="34"/>
        <v>41.59387738</v>
      </c>
      <c r="AR55" s="313" t="str">
        <f t="shared" si="35"/>
        <v>H</v>
      </c>
      <c r="AS55" s="304">
        <f t="shared" si="36"/>
        <v>100.175</v>
      </c>
      <c r="AT55" s="308">
        <f t="shared" si="37"/>
        <v>49.91265286</v>
      </c>
      <c r="AU55" s="308" t="str">
        <f t="shared" si="38"/>
        <v>H</v>
      </c>
      <c r="AV55" s="304">
        <f t="shared" si="39"/>
        <v>80.14</v>
      </c>
      <c r="AW55" s="308">
        <f t="shared" si="40"/>
        <v>62.39081607</v>
      </c>
      <c r="AX55" s="308" t="str">
        <f t="shared" si="41"/>
        <v>H</v>
      </c>
      <c r="AY55" s="304">
        <f t="shared" si="42"/>
        <v>60.105</v>
      </c>
      <c r="AZ55" s="308">
        <f t="shared" si="43"/>
        <v>83.18775476</v>
      </c>
      <c r="BA55" s="313" t="str">
        <f t="shared" si="44"/>
        <v>H</v>
      </c>
      <c r="BB55" s="304">
        <f t="shared" si="45"/>
        <v>40.07</v>
      </c>
      <c r="BC55" s="308">
        <f t="shared" si="46"/>
        <v>124.7816321</v>
      </c>
      <c r="BD55" s="308" t="str">
        <f t="shared" si="47"/>
        <v>H</v>
      </c>
    </row>
    <row r="56">
      <c r="A56" s="318" t="s">
        <v>151</v>
      </c>
      <c r="B56" s="318">
        <v>3.0</v>
      </c>
      <c r="C56" s="319">
        <v>694.9666666666667</v>
      </c>
      <c r="D56" s="301" t="str">
        <f>IFERROR(__xludf.DUMMYFUNCTION("if(ISBLANK(A56),"""",GOOGLEFINANCE(A56,""NAME""))"),"SBI Cards and Payment Services Ltd")</f>
        <v>SBI Cards and Payment Services Ltd</v>
      </c>
      <c r="E56" s="302">
        <v>5000.0</v>
      </c>
      <c r="F56" s="303">
        <f>IFERROR(__xludf.DUMMYFUNCTION("if(ISBLANK(A56),"""",GOOGLEFINANCE(A56,""HIGH52""))"),1004.75)</f>
        <v>1004.75</v>
      </c>
      <c r="G56" s="303">
        <f>IFERROR(__xludf.DUMMYFUNCTION("if(ISBLANK(A56),"""",GOOGLEFINANCE(A56,""LOW52""))"),565.45)</f>
        <v>565.45</v>
      </c>
      <c r="H56" s="304">
        <f>IFERROR(__xludf.DUMMYFUNCTION("if(ISBLANK(A56),"""",GOOGLEFINANCE(A56,""Price""))"),604.4)</f>
        <v>604.4</v>
      </c>
      <c r="I56" s="305" t="str">
        <f t="shared" si="1"/>
        <v>L</v>
      </c>
      <c r="J56" s="306" t="str">
        <f t="shared" si="2"/>
        <v>||</v>
      </c>
      <c r="K56" s="307">
        <f>IFERROR(__xludf.DUMMYFUNCTION("if(ISBLANK(A56),"""",googlefinance(A56,""Marketcap"")/10000000)"),57515.5766592)</f>
        <v>57515.57666</v>
      </c>
      <c r="L56" s="304">
        <f t="shared" si="3"/>
        <v>803.8</v>
      </c>
      <c r="M56" s="308">
        <f t="shared" si="4"/>
        <v>6.220452849</v>
      </c>
      <c r="N56" s="309" t="str">
        <f t="shared" si="5"/>
        <v>Next</v>
      </c>
      <c r="O56" s="310">
        <f t="shared" si="6"/>
        <v>753.5625</v>
      </c>
      <c r="P56" s="308">
        <f t="shared" si="7"/>
        <v>6.635149706</v>
      </c>
      <c r="Q56" s="311" t="str">
        <f t="shared" si="8"/>
        <v>Next</v>
      </c>
      <c r="R56" s="304">
        <f t="shared" si="9"/>
        <v>703.325</v>
      </c>
      <c r="S56" s="308">
        <f t="shared" si="10"/>
        <v>7.10908897</v>
      </c>
      <c r="T56" s="309" t="str">
        <f t="shared" si="11"/>
        <v>Next</v>
      </c>
      <c r="U56" s="304">
        <f t="shared" si="12"/>
        <v>653.0875</v>
      </c>
      <c r="V56" s="308">
        <f t="shared" si="13"/>
        <v>7.655941968</v>
      </c>
      <c r="W56" s="309" t="str">
        <f t="shared" si="14"/>
        <v>B</v>
      </c>
      <c r="X56" s="304">
        <f t="shared" si="15"/>
        <v>602.85</v>
      </c>
      <c r="Y56" s="308">
        <f t="shared" si="16"/>
        <v>8.293937132</v>
      </c>
      <c r="Z56" s="309" t="str">
        <f t="shared" si="17"/>
        <v>H</v>
      </c>
      <c r="AA56" s="312">
        <f t="shared" si="18"/>
        <v>552.6125</v>
      </c>
      <c r="AB56" s="308">
        <f t="shared" si="19"/>
        <v>9.047931417</v>
      </c>
      <c r="AC56" s="308" t="str">
        <f t="shared" si="20"/>
        <v>H</v>
      </c>
      <c r="AD56" s="312">
        <f t="shared" si="21"/>
        <v>502.375</v>
      </c>
      <c r="AE56" s="308">
        <f t="shared" si="22"/>
        <v>9.952724558</v>
      </c>
      <c r="AF56" s="313" t="str">
        <f t="shared" si="23"/>
        <v>H</v>
      </c>
      <c r="AG56" s="304">
        <f t="shared" si="24"/>
        <v>452.1375</v>
      </c>
      <c r="AH56" s="308">
        <f t="shared" si="25"/>
        <v>11.05858284</v>
      </c>
      <c r="AI56" s="313" t="str">
        <f t="shared" si="26"/>
        <v>H</v>
      </c>
      <c r="AJ56" s="304">
        <f t="shared" si="27"/>
        <v>401.9</v>
      </c>
      <c r="AK56" s="308">
        <f t="shared" si="28"/>
        <v>12.4409057</v>
      </c>
      <c r="AL56" s="308" t="str">
        <f t="shared" si="29"/>
        <v>H</v>
      </c>
      <c r="AM56" s="304">
        <f t="shared" si="30"/>
        <v>351.6625</v>
      </c>
      <c r="AN56" s="308">
        <f t="shared" si="31"/>
        <v>14.21817794</v>
      </c>
      <c r="AO56" s="313" t="str">
        <f t="shared" si="32"/>
        <v>H</v>
      </c>
      <c r="AP56" s="304">
        <f t="shared" si="33"/>
        <v>301.425</v>
      </c>
      <c r="AQ56" s="308">
        <f t="shared" si="34"/>
        <v>16.58787426</v>
      </c>
      <c r="AR56" s="313" t="str">
        <f t="shared" si="35"/>
        <v>H</v>
      </c>
      <c r="AS56" s="304">
        <f t="shared" si="36"/>
        <v>251.1875</v>
      </c>
      <c r="AT56" s="308">
        <f t="shared" si="37"/>
        <v>19.90544912</v>
      </c>
      <c r="AU56" s="308" t="str">
        <f t="shared" si="38"/>
        <v>H</v>
      </c>
      <c r="AV56" s="304">
        <f t="shared" si="39"/>
        <v>200.95</v>
      </c>
      <c r="AW56" s="308">
        <f t="shared" si="40"/>
        <v>24.8818114</v>
      </c>
      <c r="AX56" s="308" t="str">
        <f t="shared" si="41"/>
        <v>H</v>
      </c>
      <c r="AY56" s="304">
        <f t="shared" si="42"/>
        <v>150.7125</v>
      </c>
      <c r="AZ56" s="308">
        <f t="shared" si="43"/>
        <v>33.17574853</v>
      </c>
      <c r="BA56" s="313" t="str">
        <f t="shared" si="44"/>
        <v>H</v>
      </c>
      <c r="BB56" s="304">
        <f t="shared" si="45"/>
        <v>100.475</v>
      </c>
      <c r="BC56" s="308">
        <f t="shared" si="46"/>
        <v>49.76362279</v>
      </c>
      <c r="BD56" s="308" t="str">
        <f t="shared" si="47"/>
        <v>H</v>
      </c>
    </row>
    <row r="57">
      <c r="A57" s="318" t="s">
        <v>152</v>
      </c>
      <c r="B57" s="318">
        <v>10.0</v>
      </c>
      <c r="C57" s="319">
        <v>155.0</v>
      </c>
      <c r="D57" s="301" t="str">
        <f>IFERROR(__xludf.DUMMYFUNCTION("if(ISBLANK(A57),"""",GOOGLEFINANCE(A57,""NAME""))"),"State Bank of India")</f>
        <v>State Bank of India</v>
      </c>
      <c r="E57" s="302">
        <v>5000.0</v>
      </c>
      <c r="F57" s="303">
        <f>IFERROR(__xludf.DUMMYFUNCTION("if(ISBLANK(A57),"""",GOOGLEFINANCE(A57,""HIGH52""))"),1234.7)</f>
        <v>1234.7</v>
      </c>
      <c r="G57" s="303">
        <f>IFERROR(__xludf.DUMMYFUNCTION("if(ISBLANK(A57),"""",GOOGLEFINANCE(A57,""LOW52""))"),786.55)</f>
        <v>786.55</v>
      </c>
      <c r="H57" s="304">
        <f>IFERROR(__xludf.DUMMYFUNCTION("if(ISBLANK(A57),"""",GOOGLEFINANCE(A57,""Price""))"),1036.2)</f>
        <v>1036.2</v>
      </c>
      <c r="I57" s="305" t="str">
        <f t="shared" si="1"/>
        <v>MG</v>
      </c>
      <c r="J57" s="306" t="str">
        <f t="shared" si="2"/>
        <v>|</v>
      </c>
      <c r="K57" s="307">
        <f>IFERROR(__xludf.DUMMYFUNCTION("if(ISBLANK(A57),"""",googlefinance(A57,""Marketcap"")/10000000)"),957953.4773313)</f>
        <v>957953.4773</v>
      </c>
      <c r="L57" s="304">
        <f t="shared" si="3"/>
        <v>987.76</v>
      </c>
      <c r="M57" s="308">
        <f t="shared" si="4"/>
        <v>5.06195837</v>
      </c>
      <c r="N57" s="309" t="str">
        <f t="shared" si="5"/>
        <v>H</v>
      </c>
      <c r="O57" s="310">
        <f t="shared" si="6"/>
        <v>926.025</v>
      </c>
      <c r="P57" s="308">
        <f t="shared" si="7"/>
        <v>5.399422262</v>
      </c>
      <c r="Q57" s="311" t="str">
        <f t="shared" si="8"/>
        <v>H</v>
      </c>
      <c r="R57" s="304">
        <f t="shared" si="9"/>
        <v>864.29</v>
      </c>
      <c r="S57" s="308">
        <f t="shared" si="10"/>
        <v>5.785095281</v>
      </c>
      <c r="T57" s="309" t="str">
        <f t="shared" si="11"/>
        <v>H</v>
      </c>
      <c r="U57" s="304">
        <f t="shared" si="12"/>
        <v>802.555</v>
      </c>
      <c r="V57" s="308">
        <f t="shared" si="13"/>
        <v>6.23010261</v>
      </c>
      <c r="W57" s="309" t="str">
        <f t="shared" si="14"/>
        <v>H</v>
      </c>
      <c r="X57" s="304">
        <f t="shared" si="15"/>
        <v>740.82</v>
      </c>
      <c r="Y57" s="308">
        <f t="shared" si="16"/>
        <v>6.749277827</v>
      </c>
      <c r="Z57" s="309" t="str">
        <f t="shared" si="17"/>
        <v>H</v>
      </c>
      <c r="AA57" s="312">
        <f t="shared" si="18"/>
        <v>679.085</v>
      </c>
      <c r="AB57" s="308">
        <f t="shared" si="19"/>
        <v>7.362848539</v>
      </c>
      <c r="AC57" s="308" t="str">
        <f t="shared" si="20"/>
        <v>H</v>
      </c>
      <c r="AD57" s="312">
        <f t="shared" si="21"/>
        <v>617.35</v>
      </c>
      <c r="AE57" s="308">
        <f t="shared" si="22"/>
        <v>8.099133393</v>
      </c>
      <c r="AF57" s="313" t="str">
        <f t="shared" si="23"/>
        <v>H</v>
      </c>
      <c r="AG57" s="304">
        <f t="shared" si="24"/>
        <v>555.615</v>
      </c>
      <c r="AH57" s="308">
        <f t="shared" si="25"/>
        <v>8.999037103</v>
      </c>
      <c r="AI57" s="313" t="str">
        <f t="shared" si="26"/>
        <v>H</v>
      </c>
      <c r="AJ57" s="304">
        <f t="shared" si="27"/>
        <v>493.88</v>
      </c>
      <c r="AK57" s="308">
        <f t="shared" si="28"/>
        <v>10.12391674</v>
      </c>
      <c r="AL57" s="308" t="str">
        <f t="shared" si="29"/>
        <v>H</v>
      </c>
      <c r="AM57" s="304">
        <f t="shared" si="30"/>
        <v>432.145</v>
      </c>
      <c r="AN57" s="308">
        <f t="shared" si="31"/>
        <v>11.57019056</v>
      </c>
      <c r="AO57" s="313" t="str">
        <f t="shared" si="32"/>
        <v>H</v>
      </c>
      <c r="AP57" s="304">
        <f t="shared" si="33"/>
        <v>370.41</v>
      </c>
      <c r="AQ57" s="308">
        <f t="shared" si="34"/>
        <v>13.49855565</v>
      </c>
      <c r="AR57" s="313" t="str">
        <f t="shared" si="35"/>
        <v>H</v>
      </c>
      <c r="AS57" s="304">
        <f t="shared" si="36"/>
        <v>308.675</v>
      </c>
      <c r="AT57" s="308">
        <f t="shared" si="37"/>
        <v>16.19826679</v>
      </c>
      <c r="AU57" s="308" t="str">
        <f t="shared" si="38"/>
        <v>H</v>
      </c>
      <c r="AV57" s="304">
        <f t="shared" si="39"/>
        <v>246.94</v>
      </c>
      <c r="AW57" s="308">
        <f t="shared" si="40"/>
        <v>20.24783348</v>
      </c>
      <c r="AX57" s="308" t="str">
        <f t="shared" si="41"/>
        <v>H</v>
      </c>
      <c r="AY57" s="304">
        <f t="shared" si="42"/>
        <v>185.205</v>
      </c>
      <c r="AZ57" s="308">
        <f t="shared" si="43"/>
        <v>26.99711131</v>
      </c>
      <c r="BA57" s="313" t="str">
        <f t="shared" si="44"/>
        <v>H</v>
      </c>
      <c r="BB57" s="304">
        <f t="shared" si="45"/>
        <v>123.47</v>
      </c>
      <c r="BC57" s="308">
        <f t="shared" si="46"/>
        <v>40.49566696</v>
      </c>
      <c r="BD57" s="308" t="str">
        <f t="shared" si="47"/>
        <v>H</v>
      </c>
    </row>
    <row r="58">
      <c r="A58" s="299" t="s">
        <v>154</v>
      </c>
      <c r="B58" s="299">
        <v>10.0</v>
      </c>
      <c r="C58" s="300">
        <v>16.85</v>
      </c>
      <c r="D58" s="301" t="str">
        <f>IFERROR(__xludf.DUMMYFUNCTION("if(ISBLANK(A58),"""",GOOGLEFINANCE(A58,""NAME""))"),"Suzlon Energy Ltd")</f>
        <v>Suzlon Energy Ltd</v>
      </c>
      <c r="E58" s="302">
        <v>5000.0</v>
      </c>
      <c r="F58" s="303">
        <f>IFERROR(__xludf.DUMMYFUNCTION("if(ISBLANK(A58),"""",GOOGLEFINANCE(A58,""HIGH52""))"),68.3)</f>
        <v>68.3</v>
      </c>
      <c r="G58" s="303">
        <f>IFERROR(__xludf.DUMMYFUNCTION("if(ISBLANK(A58),"""",GOOGLEFINANCE(A58,""LOW52""))"),38.19)</f>
        <v>38.19</v>
      </c>
      <c r="H58" s="304">
        <f>IFERROR(__xludf.DUMMYFUNCTION("if(ISBLANK(A58),"""",GOOGLEFINANCE(A58,""Price""))"),54.4)</f>
        <v>54.4</v>
      </c>
      <c r="I58" s="305" t="str">
        <f t="shared" si="1"/>
        <v>L</v>
      </c>
      <c r="J58" s="306" t="str">
        <f t="shared" si="2"/>
        <v>||</v>
      </c>
      <c r="K58" s="307">
        <f>IFERROR(__xludf.DUMMYFUNCTION("if(ISBLANK(A58),"""",googlefinance(A58,""Marketcap"")/10000000)"),74547.0963334)</f>
        <v>74547.09633</v>
      </c>
      <c r="L58" s="304">
        <f t="shared" si="3"/>
        <v>54.64</v>
      </c>
      <c r="M58" s="308">
        <f t="shared" si="4"/>
        <v>91.50805271</v>
      </c>
      <c r="N58" s="309" t="str">
        <f t="shared" si="5"/>
        <v>B</v>
      </c>
      <c r="O58" s="310">
        <f t="shared" si="6"/>
        <v>51.225</v>
      </c>
      <c r="P58" s="308">
        <f t="shared" si="7"/>
        <v>97.60858956</v>
      </c>
      <c r="Q58" s="311" t="str">
        <f t="shared" si="8"/>
        <v>H</v>
      </c>
      <c r="R58" s="304">
        <f t="shared" si="9"/>
        <v>47.81</v>
      </c>
      <c r="S58" s="308">
        <f t="shared" si="10"/>
        <v>104.5806317</v>
      </c>
      <c r="T58" s="309" t="str">
        <f t="shared" si="11"/>
        <v>H</v>
      </c>
      <c r="U58" s="304">
        <f t="shared" si="12"/>
        <v>44.395</v>
      </c>
      <c r="V58" s="308">
        <f t="shared" si="13"/>
        <v>112.6252956</v>
      </c>
      <c r="W58" s="309" t="str">
        <f t="shared" si="14"/>
        <v>H</v>
      </c>
      <c r="X58" s="304">
        <f t="shared" si="15"/>
        <v>40.98</v>
      </c>
      <c r="Y58" s="308">
        <f t="shared" si="16"/>
        <v>122.0107369</v>
      </c>
      <c r="Z58" s="309" t="str">
        <f t="shared" si="17"/>
        <v>H</v>
      </c>
      <c r="AA58" s="312">
        <f t="shared" si="18"/>
        <v>37.565</v>
      </c>
      <c r="AB58" s="308">
        <f t="shared" si="19"/>
        <v>133.1026221</v>
      </c>
      <c r="AC58" s="308" t="str">
        <f t="shared" si="20"/>
        <v>H</v>
      </c>
      <c r="AD58" s="312">
        <f t="shared" si="21"/>
        <v>34.15</v>
      </c>
      <c r="AE58" s="308">
        <f t="shared" si="22"/>
        <v>146.4128843</v>
      </c>
      <c r="AF58" s="313" t="str">
        <f t="shared" si="23"/>
        <v>H</v>
      </c>
      <c r="AG58" s="304">
        <f t="shared" si="24"/>
        <v>30.735</v>
      </c>
      <c r="AH58" s="308">
        <f t="shared" si="25"/>
        <v>162.6809826</v>
      </c>
      <c r="AI58" s="313" t="str">
        <f t="shared" si="26"/>
        <v>H</v>
      </c>
      <c r="AJ58" s="304">
        <f t="shared" si="27"/>
        <v>27.32</v>
      </c>
      <c r="AK58" s="308">
        <f t="shared" si="28"/>
        <v>183.0161054</v>
      </c>
      <c r="AL58" s="308" t="str">
        <f t="shared" si="29"/>
        <v>H</v>
      </c>
      <c r="AM58" s="304">
        <f t="shared" si="30"/>
        <v>23.905</v>
      </c>
      <c r="AN58" s="308">
        <f t="shared" si="31"/>
        <v>209.1612633</v>
      </c>
      <c r="AO58" s="313" t="str">
        <f t="shared" si="32"/>
        <v>H</v>
      </c>
      <c r="AP58" s="304">
        <f t="shared" si="33"/>
        <v>20.49</v>
      </c>
      <c r="AQ58" s="308">
        <f t="shared" si="34"/>
        <v>244.0214739</v>
      </c>
      <c r="AR58" s="313" t="str">
        <f t="shared" si="35"/>
        <v>H</v>
      </c>
      <c r="AS58" s="304">
        <f t="shared" si="36"/>
        <v>17.075</v>
      </c>
      <c r="AT58" s="308">
        <f t="shared" si="37"/>
        <v>292.8257687</v>
      </c>
      <c r="AU58" s="308" t="str">
        <f t="shared" si="38"/>
        <v>H</v>
      </c>
      <c r="AV58" s="304">
        <f t="shared" si="39"/>
        <v>13.66</v>
      </c>
      <c r="AW58" s="308">
        <f t="shared" si="40"/>
        <v>366.0322108</v>
      </c>
      <c r="AX58" s="308" t="str">
        <f t="shared" si="41"/>
        <v>H</v>
      </c>
      <c r="AY58" s="304">
        <f t="shared" si="42"/>
        <v>10.245</v>
      </c>
      <c r="AZ58" s="308">
        <f t="shared" si="43"/>
        <v>488.0429478</v>
      </c>
      <c r="BA58" s="313" t="str">
        <f t="shared" si="44"/>
        <v>H</v>
      </c>
      <c r="BB58" s="304">
        <f t="shared" si="45"/>
        <v>6.83</v>
      </c>
      <c r="BC58" s="308">
        <f t="shared" si="46"/>
        <v>732.0644217</v>
      </c>
      <c r="BD58" s="308" t="str">
        <f t="shared" si="47"/>
        <v>H</v>
      </c>
    </row>
    <row r="59">
      <c r="A59" s="318" t="s">
        <v>262</v>
      </c>
      <c r="B59" s="318">
        <v>101.0</v>
      </c>
      <c r="C59" s="319">
        <v>14.844455445544554</v>
      </c>
      <c r="D59" s="301" t="str">
        <f>IFERROR(__xludf.DUMMYFUNCTION("if(ISBLANK(A59),"""",GOOGLEFINANCE(A59,""NAME""))"),"Syncom Formulations (India) Ltd")</f>
        <v>Syncom Formulations (India) Ltd</v>
      </c>
      <c r="E59" s="302">
        <v>5000.0</v>
      </c>
      <c r="F59" s="303">
        <f>IFERROR(__xludf.DUMMYFUNCTION("if(ISBLANK(A59),"""",GOOGLEFINANCE(A59,""HIGH52""))"),19.5)</f>
        <v>19.5</v>
      </c>
      <c r="G59" s="303">
        <f>IFERROR(__xludf.DUMMYFUNCTION("if(ISBLANK(A59),"""",GOOGLEFINANCE(A59,""LOW52""))"),10.21)</f>
        <v>10.21</v>
      </c>
      <c r="H59" s="304">
        <f>IFERROR(__xludf.DUMMYFUNCTION("if(ISBLANK(A59),"""",GOOGLEFINANCE(A59,""Price""))"),13.93)</f>
        <v>13.93</v>
      </c>
      <c r="I59" s="305" t="str">
        <f t="shared" si="1"/>
        <v>S</v>
      </c>
      <c r="J59" s="306" t="str">
        <f t="shared" si="2"/>
        <v>||||</v>
      </c>
      <c r="K59" s="307">
        <f>IFERROR(__xludf.DUMMYFUNCTION("if(ISBLANK(A59),"""",googlefinance(A59,""Marketcap"")/10000000)"),1309.4200286)</f>
        <v>1309.420029</v>
      </c>
      <c r="L59" s="304">
        <f t="shared" si="3"/>
        <v>15.6</v>
      </c>
      <c r="M59" s="308">
        <f t="shared" si="4"/>
        <v>320.5128205</v>
      </c>
      <c r="N59" s="309" t="str">
        <f t="shared" si="5"/>
        <v>Next</v>
      </c>
      <c r="O59" s="310">
        <f t="shared" si="6"/>
        <v>14.625</v>
      </c>
      <c r="P59" s="308">
        <f t="shared" si="7"/>
        <v>341.8803419</v>
      </c>
      <c r="Q59" s="311" t="str">
        <f t="shared" si="8"/>
        <v>B</v>
      </c>
      <c r="R59" s="304">
        <f t="shared" si="9"/>
        <v>13.65</v>
      </c>
      <c r="S59" s="308">
        <f t="shared" si="10"/>
        <v>366.3003663</v>
      </c>
      <c r="T59" s="309" t="str">
        <f t="shared" si="11"/>
        <v>H</v>
      </c>
      <c r="U59" s="304">
        <f t="shared" si="12"/>
        <v>12.675</v>
      </c>
      <c r="V59" s="308">
        <f t="shared" si="13"/>
        <v>394.4773176</v>
      </c>
      <c r="W59" s="309" t="str">
        <f t="shared" si="14"/>
        <v>H</v>
      </c>
      <c r="X59" s="304">
        <f t="shared" si="15"/>
        <v>11.7</v>
      </c>
      <c r="Y59" s="308">
        <f t="shared" si="16"/>
        <v>427.3504274</v>
      </c>
      <c r="Z59" s="309" t="str">
        <f t="shared" si="17"/>
        <v>H</v>
      </c>
      <c r="AA59" s="312">
        <f t="shared" si="18"/>
        <v>10.725</v>
      </c>
      <c r="AB59" s="308">
        <f t="shared" si="19"/>
        <v>466.2004662</v>
      </c>
      <c r="AC59" s="308" t="str">
        <f t="shared" si="20"/>
        <v>H</v>
      </c>
      <c r="AD59" s="312">
        <f t="shared" si="21"/>
        <v>9.75</v>
      </c>
      <c r="AE59" s="308">
        <f t="shared" si="22"/>
        <v>512.8205128</v>
      </c>
      <c r="AF59" s="313" t="str">
        <f t="shared" si="23"/>
        <v>H</v>
      </c>
      <c r="AG59" s="304">
        <f t="shared" si="24"/>
        <v>8.775</v>
      </c>
      <c r="AH59" s="308">
        <f t="shared" si="25"/>
        <v>569.8005698</v>
      </c>
      <c r="AI59" s="313" t="str">
        <f t="shared" si="26"/>
        <v>H</v>
      </c>
      <c r="AJ59" s="304">
        <f t="shared" si="27"/>
        <v>7.8</v>
      </c>
      <c r="AK59" s="308">
        <f t="shared" si="28"/>
        <v>641.025641</v>
      </c>
      <c r="AL59" s="308" t="str">
        <f t="shared" si="29"/>
        <v>H</v>
      </c>
      <c r="AM59" s="304">
        <f t="shared" si="30"/>
        <v>6.825</v>
      </c>
      <c r="AN59" s="308">
        <f t="shared" si="31"/>
        <v>732.6007326</v>
      </c>
      <c r="AO59" s="313" t="str">
        <f t="shared" si="32"/>
        <v>H</v>
      </c>
      <c r="AP59" s="304">
        <f t="shared" si="33"/>
        <v>5.85</v>
      </c>
      <c r="AQ59" s="308">
        <f t="shared" si="34"/>
        <v>854.7008547</v>
      </c>
      <c r="AR59" s="313" t="str">
        <f t="shared" si="35"/>
        <v>H</v>
      </c>
      <c r="AS59" s="304">
        <f t="shared" si="36"/>
        <v>4.875</v>
      </c>
      <c r="AT59" s="308">
        <f t="shared" si="37"/>
        <v>1025.641026</v>
      </c>
      <c r="AU59" s="308" t="str">
        <f t="shared" si="38"/>
        <v>H</v>
      </c>
      <c r="AV59" s="304">
        <f t="shared" si="39"/>
        <v>3.9</v>
      </c>
      <c r="AW59" s="308">
        <f t="shared" si="40"/>
        <v>1282.051282</v>
      </c>
      <c r="AX59" s="308" t="str">
        <f t="shared" si="41"/>
        <v>H</v>
      </c>
      <c r="AY59" s="304">
        <f t="shared" si="42"/>
        <v>2.925</v>
      </c>
      <c r="AZ59" s="308">
        <f t="shared" si="43"/>
        <v>1709.401709</v>
      </c>
      <c r="BA59" s="313" t="str">
        <f t="shared" si="44"/>
        <v>H</v>
      </c>
      <c r="BB59" s="304">
        <f t="shared" si="45"/>
        <v>1.95</v>
      </c>
      <c r="BC59" s="308">
        <f t="shared" si="46"/>
        <v>2564.102564</v>
      </c>
      <c r="BD59" s="308" t="str">
        <f t="shared" si="47"/>
        <v>H</v>
      </c>
    </row>
    <row r="60">
      <c r="A60" s="320" t="s">
        <v>263</v>
      </c>
      <c r="B60" s="320">
        <v>100.0</v>
      </c>
      <c r="C60" s="321">
        <v>53.05</v>
      </c>
      <c r="D60" s="301" t="str">
        <f>IFERROR(__xludf.DUMMYFUNCTION("if(ISBLANK(A60),"""",GOOGLEFINANCE(A60,""NAME""))"),"Tarc Ltd")</f>
        <v>Tarc Ltd</v>
      </c>
      <c r="E60" s="302">
        <v>5000.0</v>
      </c>
      <c r="F60" s="303">
        <f>IFERROR(__xludf.DUMMYFUNCTION("if(ISBLANK(A60),"""",GOOGLEFINANCE(A60,""HIGH52""))"),206.1)</f>
        <v>206.1</v>
      </c>
      <c r="G60" s="303">
        <f>IFERROR(__xludf.DUMMYFUNCTION("if(ISBLANK(A60),"""",GOOGLEFINANCE(A60,""LOW52""))"),109.1)</f>
        <v>109.1</v>
      </c>
      <c r="H60" s="304">
        <f>IFERROR(__xludf.DUMMYFUNCTION("if(ISBLANK(A60),"""",GOOGLEFINANCE(A60,""Price""))"),126.7)</f>
        <v>126.7</v>
      </c>
      <c r="I60" s="305" t="str">
        <f t="shared" si="1"/>
        <v>S</v>
      </c>
      <c r="J60" s="306" t="str">
        <f t="shared" si="2"/>
        <v>||||</v>
      </c>
      <c r="K60" s="307">
        <f>IFERROR(__xludf.DUMMYFUNCTION("if(ISBLANK(A60),"""",googlefinance(A60,""Marketcap"")/10000000)"),3756.5593465)</f>
        <v>3756.559347</v>
      </c>
      <c r="L60" s="304">
        <f t="shared" si="3"/>
        <v>164.88</v>
      </c>
      <c r="M60" s="308">
        <f t="shared" si="4"/>
        <v>30.32508491</v>
      </c>
      <c r="N60" s="309" t="str">
        <f t="shared" si="5"/>
        <v>Next</v>
      </c>
      <c r="O60" s="310">
        <f t="shared" si="6"/>
        <v>154.575</v>
      </c>
      <c r="P60" s="308">
        <f t="shared" si="7"/>
        <v>32.34675724</v>
      </c>
      <c r="Q60" s="311" t="str">
        <f t="shared" si="8"/>
        <v>Next</v>
      </c>
      <c r="R60" s="304">
        <f t="shared" si="9"/>
        <v>144.27</v>
      </c>
      <c r="S60" s="308">
        <f t="shared" si="10"/>
        <v>34.6572399</v>
      </c>
      <c r="T60" s="309" t="str">
        <f t="shared" si="11"/>
        <v>Next</v>
      </c>
      <c r="U60" s="304">
        <f t="shared" si="12"/>
        <v>133.965</v>
      </c>
      <c r="V60" s="308">
        <f t="shared" si="13"/>
        <v>37.32318143</v>
      </c>
      <c r="W60" s="309" t="str">
        <f t="shared" si="14"/>
        <v>B</v>
      </c>
      <c r="X60" s="304">
        <f t="shared" si="15"/>
        <v>123.66</v>
      </c>
      <c r="Y60" s="308">
        <f t="shared" si="16"/>
        <v>40.43344655</v>
      </c>
      <c r="Z60" s="309" t="str">
        <f t="shared" si="17"/>
        <v>H</v>
      </c>
      <c r="AA60" s="312">
        <f t="shared" si="18"/>
        <v>113.355</v>
      </c>
      <c r="AB60" s="308">
        <f t="shared" si="19"/>
        <v>44.10921441</v>
      </c>
      <c r="AC60" s="308" t="str">
        <f t="shared" si="20"/>
        <v>H</v>
      </c>
      <c r="AD60" s="312">
        <f t="shared" si="21"/>
        <v>103.05</v>
      </c>
      <c r="AE60" s="308">
        <f t="shared" si="22"/>
        <v>48.52013586</v>
      </c>
      <c r="AF60" s="313" t="str">
        <f t="shared" si="23"/>
        <v>H</v>
      </c>
      <c r="AG60" s="304">
        <f t="shared" si="24"/>
        <v>92.745</v>
      </c>
      <c r="AH60" s="308">
        <f t="shared" si="25"/>
        <v>53.91126206</v>
      </c>
      <c r="AI60" s="313" t="str">
        <f t="shared" si="26"/>
        <v>H</v>
      </c>
      <c r="AJ60" s="304">
        <f t="shared" si="27"/>
        <v>82.44</v>
      </c>
      <c r="AK60" s="308">
        <f t="shared" si="28"/>
        <v>60.65016982</v>
      </c>
      <c r="AL60" s="308" t="str">
        <f t="shared" si="29"/>
        <v>H</v>
      </c>
      <c r="AM60" s="304">
        <f t="shared" si="30"/>
        <v>72.135</v>
      </c>
      <c r="AN60" s="308">
        <f t="shared" si="31"/>
        <v>69.31447979</v>
      </c>
      <c r="AO60" s="313" t="str">
        <f t="shared" si="32"/>
        <v>H</v>
      </c>
      <c r="AP60" s="304">
        <f t="shared" si="33"/>
        <v>61.83</v>
      </c>
      <c r="AQ60" s="308">
        <f t="shared" si="34"/>
        <v>80.86689309</v>
      </c>
      <c r="AR60" s="313" t="str">
        <f t="shared" si="35"/>
        <v>H</v>
      </c>
      <c r="AS60" s="304">
        <f t="shared" si="36"/>
        <v>51.525</v>
      </c>
      <c r="AT60" s="308">
        <f t="shared" si="37"/>
        <v>97.04027171</v>
      </c>
      <c r="AU60" s="308" t="str">
        <f t="shared" si="38"/>
        <v>H</v>
      </c>
      <c r="AV60" s="304">
        <f t="shared" si="39"/>
        <v>41.22</v>
      </c>
      <c r="AW60" s="308">
        <f t="shared" si="40"/>
        <v>121.3003396</v>
      </c>
      <c r="AX60" s="308" t="str">
        <f t="shared" si="41"/>
        <v>H</v>
      </c>
      <c r="AY60" s="304">
        <f t="shared" si="42"/>
        <v>30.915</v>
      </c>
      <c r="AZ60" s="308">
        <f t="shared" si="43"/>
        <v>161.7337862</v>
      </c>
      <c r="BA60" s="313" t="str">
        <f t="shared" si="44"/>
        <v>H</v>
      </c>
      <c r="BB60" s="304">
        <f t="shared" si="45"/>
        <v>20.61</v>
      </c>
      <c r="BC60" s="308">
        <f t="shared" si="46"/>
        <v>242.6006793</v>
      </c>
      <c r="BD60" s="308" t="str">
        <f t="shared" si="47"/>
        <v>H</v>
      </c>
    </row>
    <row r="61">
      <c r="A61" s="320" t="s">
        <v>155</v>
      </c>
      <c r="B61" s="320">
        <v>2.0</v>
      </c>
      <c r="C61" s="321">
        <v>571.0</v>
      </c>
      <c r="D61" s="301" t="str">
        <f>IFERROR(__xludf.DUMMYFUNCTION("if(ISBLANK(A61),"""",GOOGLEFINANCE(A61,""NAME""))"),"Tata Consumer Products Ltd")</f>
        <v>Tata Consumer Products Ltd</v>
      </c>
      <c r="E61" s="302">
        <v>5000.0</v>
      </c>
      <c r="F61" s="303">
        <f>IFERROR(__xludf.DUMMYFUNCTION("if(ISBLANK(A61),"""",GOOGLEFINANCE(A61,""HIGH52""))"),1282.7)</f>
        <v>1282.7</v>
      </c>
      <c r="G61" s="303">
        <f>IFERROR(__xludf.DUMMYFUNCTION("if(ISBLANK(A61),"""",GOOGLEFINANCE(A61,""LOW52""))"),1007.2)</f>
        <v>1007.2</v>
      </c>
      <c r="H61" s="304">
        <f>IFERROR(__xludf.DUMMYFUNCTION("if(ISBLANK(A61),"""",GOOGLEFINANCE(A61,""Price""))"),1121.1)</f>
        <v>1121.1</v>
      </c>
      <c r="I61" s="305" t="str">
        <f t="shared" si="1"/>
        <v>L</v>
      </c>
      <c r="J61" s="306" t="str">
        <f t="shared" si="2"/>
        <v>||</v>
      </c>
      <c r="K61" s="307">
        <f>IFERROR(__xludf.DUMMYFUNCTION("if(ISBLANK(A61),"""",googlefinance(A61,""Marketcap"")/10000000)"),110659.1191426)</f>
        <v>110659.1191</v>
      </c>
      <c r="L61" s="304">
        <f t="shared" si="3"/>
        <v>1026.16</v>
      </c>
      <c r="M61" s="308">
        <f t="shared" si="4"/>
        <v>4.872534498</v>
      </c>
      <c r="N61" s="309" t="str">
        <f t="shared" si="5"/>
        <v>H</v>
      </c>
      <c r="O61" s="310">
        <f t="shared" si="6"/>
        <v>962.025</v>
      </c>
      <c r="P61" s="308">
        <f t="shared" si="7"/>
        <v>5.197370131</v>
      </c>
      <c r="Q61" s="311" t="str">
        <f t="shared" si="8"/>
        <v>H</v>
      </c>
      <c r="R61" s="304">
        <f t="shared" si="9"/>
        <v>897.89</v>
      </c>
      <c r="S61" s="308">
        <f t="shared" si="10"/>
        <v>5.568610854</v>
      </c>
      <c r="T61" s="309" t="str">
        <f t="shared" si="11"/>
        <v>H</v>
      </c>
      <c r="U61" s="304">
        <f t="shared" si="12"/>
        <v>833.755</v>
      </c>
      <c r="V61" s="308">
        <f t="shared" si="13"/>
        <v>5.996965535</v>
      </c>
      <c r="W61" s="309" t="str">
        <f t="shared" si="14"/>
        <v>H</v>
      </c>
      <c r="X61" s="304">
        <f t="shared" si="15"/>
        <v>769.62</v>
      </c>
      <c r="Y61" s="308">
        <f t="shared" si="16"/>
        <v>6.496712663</v>
      </c>
      <c r="Z61" s="309" t="str">
        <f t="shared" si="17"/>
        <v>H</v>
      </c>
      <c r="AA61" s="312">
        <f t="shared" si="18"/>
        <v>705.485</v>
      </c>
      <c r="AB61" s="308">
        <f t="shared" si="19"/>
        <v>7.087322906</v>
      </c>
      <c r="AC61" s="308" t="str">
        <f t="shared" si="20"/>
        <v>H</v>
      </c>
      <c r="AD61" s="312">
        <f t="shared" si="21"/>
        <v>641.35</v>
      </c>
      <c r="AE61" s="308">
        <f t="shared" si="22"/>
        <v>7.796055196</v>
      </c>
      <c r="AF61" s="313" t="str">
        <f t="shared" si="23"/>
        <v>H</v>
      </c>
      <c r="AG61" s="304">
        <f t="shared" si="24"/>
        <v>577.215</v>
      </c>
      <c r="AH61" s="308">
        <f t="shared" si="25"/>
        <v>8.662283551</v>
      </c>
      <c r="AI61" s="313" t="str">
        <f t="shared" si="26"/>
        <v>H</v>
      </c>
      <c r="AJ61" s="304">
        <f t="shared" si="27"/>
        <v>513.08</v>
      </c>
      <c r="AK61" s="308">
        <f t="shared" si="28"/>
        <v>9.745068995</v>
      </c>
      <c r="AL61" s="308" t="str">
        <f t="shared" si="29"/>
        <v>H</v>
      </c>
      <c r="AM61" s="304">
        <f t="shared" si="30"/>
        <v>448.945</v>
      </c>
      <c r="AN61" s="308">
        <f t="shared" si="31"/>
        <v>11.13722171</v>
      </c>
      <c r="AO61" s="313" t="str">
        <f t="shared" si="32"/>
        <v>H</v>
      </c>
      <c r="AP61" s="304">
        <f t="shared" si="33"/>
        <v>384.81</v>
      </c>
      <c r="AQ61" s="308">
        <f t="shared" si="34"/>
        <v>12.99342533</v>
      </c>
      <c r="AR61" s="313" t="str">
        <f t="shared" si="35"/>
        <v>H</v>
      </c>
      <c r="AS61" s="304">
        <f t="shared" si="36"/>
        <v>320.675</v>
      </c>
      <c r="AT61" s="308">
        <f t="shared" si="37"/>
        <v>15.59211039</v>
      </c>
      <c r="AU61" s="308" t="str">
        <f t="shared" si="38"/>
        <v>H</v>
      </c>
      <c r="AV61" s="304">
        <f t="shared" si="39"/>
        <v>256.54</v>
      </c>
      <c r="AW61" s="308">
        <f t="shared" si="40"/>
        <v>19.49013799</v>
      </c>
      <c r="AX61" s="308" t="str">
        <f t="shared" si="41"/>
        <v>H</v>
      </c>
      <c r="AY61" s="304">
        <f t="shared" si="42"/>
        <v>192.405</v>
      </c>
      <c r="AZ61" s="308">
        <f t="shared" si="43"/>
        <v>25.98685065</v>
      </c>
      <c r="BA61" s="313" t="str">
        <f t="shared" si="44"/>
        <v>H</v>
      </c>
      <c r="BB61" s="304">
        <f t="shared" si="45"/>
        <v>128.27</v>
      </c>
      <c r="BC61" s="308">
        <f t="shared" si="46"/>
        <v>38.98027598</v>
      </c>
      <c r="BD61" s="308" t="str">
        <f t="shared" si="47"/>
        <v>H</v>
      </c>
    </row>
    <row r="62">
      <c r="A62" s="318" t="s">
        <v>157</v>
      </c>
      <c r="B62" s="318">
        <v>10.0</v>
      </c>
      <c r="C62" s="319">
        <v>296.55</v>
      </c>
      <c r="D62" s="301" t="str">
        <f>IFERROR(__xludf.DUMMYFUNCTION("if(ISBLANK(A62),"""",GOOGLEFINANCE(A62,""NAME""))"),"#N/A")</f>
        <v>#N/A</v>
      </c>
      <c r="E62" s="302">
        <v>5000.0</v>
      </c>
      <c r="F62" s="303" t="str">
        <f>IFERROR(__xludf.DUMMYFUNCTION("if(ISBLANK(A62),"""",GOOGLEFINANCE(A62,""HIGH52""))"),"#N/A")</f>
        <v>#N/A</v>
      </c>
      <c r="G62" s="303" t="str">
        <f>IFERROR(__xludf.DUMMYFUNCTION("if(ISBLANK(A62),"""",GOOGLEFINANCE(A62,""LOW52""))"),"#N/A")</f>
        <v>#N/A</v>
      </c>
      <c r="H62" s="304" t="str">
        <f>IFERROR(__xludf.DUMMYFUNCTION("if(ISBLANK(A62),"""",GOOGLEFINANCE(A62,""Price""))"),"#N/A")</f>
        <v>#N/A</v>
      </c>
      <c r="I62" s="305" t="str">
        <f t="shared" si="1"/>
        <v>#N/A</v>
      </c>
      <c r="J62" s="306" t="str">
        <f t="shared" si="2"/>
        <v>#N/A</v>
      </c>
      <c r="K62" s="307" t="str">
        <f>IFERROR(__xludf.DUMMYFUNCTION("if(ISBLANK(A62),"""",googlefinance(A62,""Marketcap"")/10000000)"),"#N/A")</f>
        <v>#N/A</v>
      </c>
      <c r="L62" s="309" t="str">
        <f t="shared" si="3"/>
        <v>#N/A</v>
      </c>
      <c r="M62" s="308" t="str">
        <f t="shared" si="4"/>
        <v>#N/A</v>
      </c>
      <c r="N62" s="309" t="str">
        <f t="shared" si="5"/>
        <v>#N/A</v>
      </c>
      <c r="O62" s="322" t="str">
        <f t="shared" si="6"/>
        <v>#N/A</v>
      </c>
      <c r="P62" s="308" t="str">
        <f t="shared" si="7"/>
        <v>#N/A</v>
      </c>
      <c r="Q62" s="311" t="str">
        <f t="shared" si="8"/>
        <v>#N/A</v>
      </c>
      <c r="R62" s="309" t="str">
        <f t="shared" si="9"/>
        <v>#N/A</v>
      </c>
      <c r="S62" s="308" t="str">
        <f t="shared" si="10"/>
        <v>#N/A</v>
      </c>
      <c r="T62" s="309" t="str">
        <f t="shared" si="11"/>
        <v>#N/A</v>
      </c>
      <c r="U62" s="309" t="str">
        <f t="shared" si="12"/>
        <v>#N/A</v>
      </c>
      <c r="V62" s="308" t="str">
        <f t="shared" si="13"/>
        <v>#N/A</v>
      </c>
      <c r="W62" s="309" t="str">
        <f t="shared" si="14"/>
        <v>#N/A</v>
      </c>
      <c r="X62" s="309" t="str">
        <f t="shared" si="15"/>
        <v>#N/A</v>
      </c>
      <c r="Y62" s="308" t="str">
        <f t="shared" si="16"/>
        <v>#N/A</v>
      </c>
      <c r="Z62" s="309" t="str">
        <f t="shared" si="17"/>
        <v>#N/A</v>
      </c>
      <c r="AA62" s="312" t="str">
        <f t="shared" si="18"/>
        <v>#N/A</v>
      </c>
      <c r="AB62" s="308" t="str">
        <f t="shared" si="19"/>
        <v>#N/A</v>
      </c>
      <c r="AC62" s="308" t="str">
        <f t="shared" si="20"/>
        <v>#N/A</v>
      </c>
      <c r="AD62" s="312" t="str">
        <f t="shared" si="21"/>
        <v>#N/A</v>
      </c>
      <c r="AE62" s="308" t="str">
        <f t="shared" si="22"/>
        <v>#N/A</v>
      </c>
      <c r="AF62" s="313" t="str">
        <f t="shared" si="23"/>
        <v>#N/A</v>
      </c>
      <c r="AG62" s="304" t="str">
        <f t="shared" si="24"/>
        <v>#N/A</v>
      </c>
      <c r="AH62" s="308" t="str">
        <f t="shared" si="25"/>
        <v>#N/A</v>
      </c>
      <c r="AI62" s="313" t="str">
        <f t="shared" si="26"/>
        <v>#N/A</v>
      </c>
      <c r="AJ62" s="304" t="str">
        <f t="shared" si="27"/>
        <v>#N/A</v>
      </c>
      <c r="AK62" s="308" t="str">
        <f t="shared" si="28"/>
        <v>#N/A</v>
      </c>
      <c r="AL62" s="308" t="str">
        <f t="shared" si="29"/>
        <v>#N/A</v>
      </c>
      <c r="AM62" s="304" t="str">
        <f t="shared" si="30"/>
        <v>#N/A</v>
      </c>
      <c r="AN62" s="308" t="str">
        <f t="shared" si="31"/>
        <v>#N/A</v>
      </c>
      <c r="AO62" s="313" t="str">
        <f t="shared" si="32"/>
        <v>#N/A</v>
      </c>
      <c r="AP62" s="304" t="str">
        <f t="shared" si="33"/>
        <v>#N/A</v>
      </c>
      <c r="AQ62" s="308" t="str">
        <f t="shared" si="34"/>
        <v>#N/A</v>
      </c>
      <c r="AR62" s="313" t="str">
        <f t="shared" si="35"/>
        <v>#N/A</v>
      </c>
      <c r="AS62" s="304" t="str">
        <f t="shared" si="36"/>
        <v>#N/A</v>
      </c>
      <c r="AT62" s="308" t="str">
        <f t="shared" si="37"/>
        <v>#N/A</v>
      </c>
      <c r="AU62" s="308" t="str">
        <f t="shared" si="38"/>
        <v>#N/A</v>
      </c>
      <c r="AV62" s="304" t="str">
        <f t="shared" si="39"/>
        <v>#N/A</v>
      </c>
      <c r="AW62" s="308" t="str">
        <f t="shared" si="40"/>
        <v>#N/A</v>
      </c>
      <c r="AX62" s="308" t="str">
        <f t="shared" si="41"/>
        <v>#N/A</v>
      </c>
      <c r="AY62" s="304" t="str">
        <f t="shared" si="42"/>
        <v>#N/A</v>
      </c>
      <c r="AZ62" s="308" t="str">
        <f t="shared" si="43"/>
        <v>#N/A</v>
      </c>
      <c r="BA62" s="313" t="str">
        <f t="shared" si="44"/>
        <v>#N/A</v>
      </c>
      <c r="BB62" s="304" t="str">
        <f t="shared" si="45"/>
        <v>#N/A</v>
      </c>
      <c r="BC62" s="308" t="str">
        <f t="shared" si="46"/>
        <v>#N/A</v>
      </c>
      <c r="BD62" s="308" t="str">
        <f t="shared" si="47"/>
        <v>#N/A</v>
      </c>
    </row>
    <row r="63">
      <c r="A63" s="318" t="s">
        <v>161</v>
      </c>
      <c r="B63" s="318">
        <v>3.0</v>
      </c>
      <c r="C63" s="319">
        <v>3336.6666666666665</v>
      </c>
      <c r="D63" s="301" t="str">
        <f>IFERROR(__xludf.DUMMYFUNCTION("if(ISBLANK(A63),"""",GOOGLEFINANCE(A63,""NAME""))"),"Titan Company Ltd")</f>
        <v>Titan Company Ltd</v>
      </c>
      <c r="E63" s="302">
        <v>5000.0</v>
      </c>
      <c r="F63" s="303">
        <f>IFERROR(__xludf.DUMMYFUNCTION("if(ISBLANK(A63),"""",GOOGLEFINANCE(A63,""HIGH52""))"),4655.9)</f>
        <v>4655.9</v>
      </c>
      <c r="G63" s="303">
        <f>IFERROR(__xludf.DUMMYFUNCTION("if(ISBLANK(A63),"""",GOOGLEFINANCE(A63,""LOW52""))"),3303.1)</f>
        <v>3303.1</v>
      </c>
      <c r="H63" s="304">
        <f>IFERROR(__xludf.DUMMYFUNCTION("if(ISBLANK(A63),"""",GOOGLEFINANCE(A63,""Price""))"),4591.2)</f>
        <v>4591.2</v>
      </c>
      <c r="I63" s="305" t="str">
        <f t="shared" si="1"/>
        <v>L</v>
      </c>
      <c r="J63" s="306" t="str">
        <f t="shared" si="2"/>
        <v>||</v>
      </c>
      <c r="K63" s="307">
        <f>IFERROR(__xludf.DUMMYFUNCTION("if(ISBLANK(A63),"""",googlefinance(A63,""Marketcap"")/10000000)"),408367.7652339)</f>
        <v>408367.7652</v>
      </c>
      <c r="L63" s="304">
        <f t="shared" si="3"/>
        <v>3724.72</v>
      </c>
      <c r="M63" s="308">
        <f t="shared" si="4"/>
        <v>1.342382783</v>
      </c>
      <c r="N63" s="309" t="str">
        <f t="shared" si="5"/>
        <v>H</v>
      </c>
      <c r="O63" s="310">
        <f t="shared" si="6"/>
        <v>3491.925</v>
      </c>
      <c r="P63" s="308">
        <f t="shared" si="7"/>
        <v>1.431874969</v>
      </c>
      <c r="Q63" s="311" t="str">
        <f t="shared" si="8"/>
        <v>H</v>
      </c>
      <c r="R63" s="304">
        <f t="shared" si="9"/>
        <v>3259.13</v>
      </c>
      <c r="S63" s="308">
        <f t="shared" si="10"/>
        <v>1.534151752</v>
      </c>
      <c r="T63" s="309" t="str">
        <f t="shared" si="11"/>
        <v>H</v>
      </c>
      <c r="U63" s="304">
        <f t="shared" si="12"/>
        <v>3026.335</v>
      </c>
      <c r="V63" s="308">
        <f t="shared" si="13"/>
        <v>1.652163425</v>
      </c>
      <c r="W63" s="309" t="str">
        <f t="shared" si="14"/>
        <v>H</v>
      </c>
      <c r="X63" s="304">
        <f t="shared" si="15"/>
        <v>2793.54</v>
      </c>
      <c r="Y63" s="308">
        <f t="shared" si="16"/>
        <v>1.789843711</v>
      </c>
      <c r="Z63" s="309" t="str">
        <f t="shared" si="17"/>
        <v>H</v>
      </c>
      <c r="AA63" s="312">
        <f t="shared" si="18"/>
        <v>2560.745</v>
      </c>
      <c r="AB63" s="308">
        <f t="shared" si="19"/>
        <v>1.952556775</v>
      </c>
      <c r="AC63" s="308" t="str">
        <f t="shared" si="20"/>
        <v>H</v>
      </c>
      <c r="AD63" s="312">
        <f t="shared" si="21"/>
        <v>2327.95</v>
      </c>
      <c r="AE63" s="308">
        <f t="shared" si="22"/>
        <v>2.147812453</v>
      </c>
      <c r="AF63" s="313" t="str">
        <f t="shared" si="23"/>
        <v>H</v>
      </c>
      <c r="AG63" s="304">
        <f t="shared" si="24"/>
        <v>2095.155</v>
      </c>
      <c r="AH63" s="308">
        <f t="shared" si="25"/>
        <v>2.386458281</v>
      </c>
      <c r="AI63" s="313" t="str">
        <f t="shared" si="26"/>
        <v>H</v>
      </c>
      <c r="AJ63" s="304">
        <f t="shared" si="27"/>
        <v>1862.36</v>
      </c>
      <c r="AK63" s="308">
        <f t="shared" si="28"/>
        <v>2.684765566</v>
      </c>
      <c r="AL63" s="308" t="str">
        <f t="shared" si="29"/>
        <v>H</v>
      </c>
      <c r="AM63" s="304">
        <f t="shared" si="30"/>
        <v>1629.565</v>
      </c>
      <c r="AN63" s="308">
        <f t="shared" si="31"/>
        <v>3.068303504</v>
      </c>
      <c r="AO63" s="313" t="str">
        <f t="shared" si="32"/>
        <v>H</v>
      </c>
      <c r="AP63" s="304">
        <f t="shared" si="33"/>
        <v>1396.77</v>
      </c>
      <c r="AQ63" s="308">
        <f t="shared" si="34"/>
        <v>3.579687422</v>
      </c>
      <c r="AR63" s="313" t="str">
        <f t="shared" si="35"/>
        <v>H</v>
      </c>
      <c r="AS63" s="304">
        <f t="shared" si="36"/>
        <v>1163.975</v>
      </c>
      <c r="AT63" s="308">
        <f t="shared" si="37"/>
        <v>4.295624906</v>
      </c>
      <c r="AU63" s="308" t="str">
        <f t="shared" si="38"/>
        <v>H</v>
      </c>
      <c r="AV63" s="304">
        <f t="shared" si="39"/>
        <v>931.18</v>
      </c>
      <c r="AW63" s="308">
        <f t="shared" si="40"/>
        <v>5.369531133</v>
      </c>
      <c r="AX63" s="308" t="str">
        <f t="shared" si="41"/>
        <v>H</v>
      </c>
      <c r="AY63" s="304">
        <f t="shared" si="42"/>
        <v>698.385</v>
      </c>
      <c r="AZ63" s="308">
        <f t="shared" si="43"/>
        <v>7.159374843</v>
      </c>
      <c r="BA63" s="313" t="str">
        <f t="shared" si="44"/>
        <v>H</v>
      </c>
      <c r="BB63" s="304">
        <f t="shared" si="45"/>
        <v>465.59</v>
      </c>
      <c r="BC63" s="308">
        <f t="shared" si="46"/>
        <v>10.73906227</v>
      </c>
      <c r="BD63" s="308" t="str">
        <f t="shared" si="47"/>
        <v>H</v>
      </c>
    </row>
    <row r="64">
      <c r="A64" s="318" t="s">
        <v>162</v>
      </c>
      <c r="B64" s="318">
        <v>100.0</v>
      </c>
      <c r="C64" s="319">
        <v>80.0</v>
      </c>
      <c r="D64" s="301" t="str">
        <f>IFERROR(__xludf.DUMMYFUNCTION("if(ISBLANK(A64),"""",GOOGLEFINANCE(A64,""NAME""))"),"Tracxn Technologies Ltd")</f>
        <v>Tracxn Technologies Ltd</v>
      </c>
      <c r="E64" s="302">
        <v>5000.0</v>
      </c>
      <c r="F64" s="303">
        <f>IFERROR(__xludf.DUMMYFUNCTION("if(ISBLANK(A64),"""",GOOGLEFINANCE(A64,""HIGH52""))"),63.89)</f>
        <v>63.89</v>
      </c>
      <c r="G64" s="303">
        <f>IFERROR(__xludf.DUMMYFUNCTION("if(ISBLANK(A64),"""",GOOGLEFINANCE(A64,""LOW52""))"),25.39)</f>
        <v>25.39</v>
      </c>
      <c r="H64" s="304">
        <f>IFERROR(__xludf.DUMMYFUNCTION("if(ISBLANK(A64),"""",GOOGLEFINANCE(A64,""Price""))"),30.27)</f>
        <v>30.27</v>
      </c>
      <c r="I64" s="305" t="str">
        <f t="shared" si="1"/>
        <v>S</v>
      </c>
      <c r="J64" s="306" t="str">
        <f t="shared" si="2"/>
        <v>||||</v>
      </c>
      <c r="K64" s="307">
        <f>IFERROR(__xludf.DUMMYFUNCTION("if(ISBLANK(A64),"""",googlefinance(A64,""Marketcap"")/10000000)"),322.1904282)</f>
        <v>322.1904282</v>
      </c>
      <c r="L64" s="304">
        <f t="shared" si="3"/>
        <v>51.112</v>
      </c>
      <c r="M64" s="308">
        <f t="shared" si="4"/>
        <v>97.82438566</v>
      </c>
      <c r="N64" s="309" t="str">
        <f t="shared" si="5"/>
        <v>Next</v>
      </c>
      <c r="O64" s="310">
        <f t="shared" si="6"/>
        <v>47.9175</v>
      </c>
      <c r="P64" s="308">
        <f t="shared" si="7"/>
        <v>104.3460114</v>
      </c>
      <c r="Q64" s="311" t="str">
        <f t="shared" si="8"/>
        <v>Next</v>
      </c>
      <c r="R64" s="304">
        <f t="shared" si="9"/>
        <v>44.723</v>
      </c>
      <c r="S64" s="308">
        <f t="shared" si="10"/>
        <v>111.7992979</v>
      </c>
      <c r="T64" s="309" t="str">
        <f t="shared" si="11"/>
        <v>Next</v>
      </c>
      <c r="U64" s="304">
        <f t="shared" si="12"/>
        <v>41.5285</v>
      </c>
      <c r="V64" s="308">
        <f t="shared" si="13"/>
        <v>120.3992439</v>
      </c>
      <c r="W64" s="309" t="str">
        <f t="shared" si="14"/>
        <v>Next</v>
      </c>
      <c r="X64" s="304">
        <f t="shared" si="15"/>
        <v>38.334</v>
      </c>
      <c r="Y64" s="308">
        <f t="shared" si="16"/>
        <v>130.4325142</v>
      </c>
      <c r="Z64" s="309" t="str">
        <f t="shared" si="17"/>
        <v>Next</v>
      </c>
      <c r="AA64" s="312">
        <f t="shared" si="18"/>
        <v>35.1395</v>
      </c>
      <c r="AB64" s="308">
        <f t="shared" si="19"/>
        <v>142.2900155</v>
      </c>
      <c r="AC64" s="308" t="str">
        <f t="shared" si="20"/>
        <v>Next</v>
      </c>
      <c r="AD64" s="312">
        <f t="shared" si="21"/>
        <v>31.945</v>
      </c>
      <c r="AE64" s="308">
        <f t="shared" si="22"/>
        <v>156.5190171</v>
      </c>
      <c r="AF64" s="313" t="str">
        <f t="shared" si="23"/>
        <v>B</v>
      </c>
      <c r="AG64" s="304">
        <f t="shared" si="24"/>
        <v>28.7505</v>
      </c>
      <c r="AH64" s="308">
        <f t="shared" si="25"/>
        <v>173.910019</v>
      </c>
      <c r="AI64" s="313" t="str">
        <f t="shared" si="26"/>
        <v>H</v>
      </c>
      <c r="AJ64" s="304">
        <f t="shared" si="27"/>
        <v>25.556</v>
      </c>
      <c r="AK64" s="308">
        <f t="shared" si="28"/>
        <v>195.6487713</v>
      </c>
      <c r="AL64" s="308" t="str">
        <f t="shared" si="29"/>
        <v>H</v>
      </c>
      <c r="AM64" s="304">
        <f t="shared" si="30"/>
        <v>22.3615</v>
      </c>
      <c r="AN64" s="308">
        <f t="shared" si="31"/>
        <v>223.5985958</v>
      </c>
      <c r="AO64" s="313" t="str">
        <f t="shared" si="32"/>
        <v>H</v>
      </c>
      <c r="AP64" s="304">
        <f t="shared" si="33"/>
        <v>19.167</v>
      </c>
      <c r="AQ64" s="308">
        <f t="shared" si="34"/>
        <v>260.8650284</v>
      </c>
      <c r="AR64" s="313" t="str">
        <f t="shared" si="35"/>
        <v>H</v>
      </c>
      <c r="AS64" s="304">
        <f t="shared" si="36"/>
        <v>15.9725</v>
      </c>
      <c r="AT64" s="308">
        <f t="shared" si="37"/>
        <v>313.0380341</v>
      </c>
      <c r="AU64" s="308" t="str">
        <f t="shared" si="38"/>
        <v>H</v>
      </c>
      <c r="AV64" s="304">
        <f t="shared" si="39"/>
        <v>12.778</v>
      </c>
      <c r="AW64" s="308">
        <f t="shared" si="40"/>
        <v>391.2975427</v>
      </c>
      <c r="AX64" s="308" t="str">
        <f t="shared" si="41"/>
        <v>H</v>
      </c>
      <c r="AY64" s="304">
        <f t="shared" si="42"/>
        <v>9.5835</v>
      </c>
      <c r="AZ64" s="308">
        <f t="shared" si="43"/>
        <v>521.7300569</v>
      </c>
      <c r="BA64" s="313" t="str">
        <f t="shared" si="44"/>
        <v>H</v>
      </c>
      <c r="BB64" s="304">
        <f t="shared" si="45"/>
        <v>6.389</v>
      </c>
      <c r="BC64" s="308">
        <f t="shared" si="46"/>
        <v>782.5950853</v>
      </c>
      <c r="BD64" s="308" t="str">
        <f t="shared" si="47"/>
        <v>H</v>
      </c>
    </row>
    <row r="65">
      <c r="A65" s="318" t="s">
        <v>164</v>
      </c>
      <c r="B65" s="318">
        <v>2000.0</v>
      </c>
      <c r="C65" s="319">
        <v>38.3233521</v>
      </c>
      <c r="D65" s="301" t="str">
        <f>IFERROR(__xludf.DUMMYFUNCTION("if(ISBLANK(A65),"""",GOOGLEFINANCE(A65,""NAME""))"),"Trident Ltd")</f>
        <v>Trident Ltd</v>
      </c>
      <c r="E65" s="302">
        <v>5000.0</v>
      </c>
      <c r="F65" s="303">
        <f>IFERROR(__xludf.DUMMYFUNCTION("if(ISBLANK(A65),"""",GOOGLEFINANCE(A65,""HIGH52""))"),33.66)</f>
        <v>33.66</v>
      </c>
      <c r="G65" s="303">
        <f>IFERROR(__xludf.DUMMYFUNCTION("if(ISBLANK(A65),"""",GOOGLEFINANCE(A65,""LOW52""))"),21.98)</f>
        <v>21.98</v>
      </c>
      <c r="H65" s="304">
        <f>IFERROR(__xludf.DUMMYFUNCTION("if(ISBLANK(A65),"""",GOOGLEFINANCE(A65,""Price""))"),25.96)</f>
        <v>25.96</v>
      </c>
      <c r="I65" s="305" t="str">
        <f t="shared" si="1"/>
        <v>M</v>
      </c>
      <c r="J65" s="306" t="str">
        <f t="shared" si="2"/>
        <v>|||</v>
      </c>
      <c r="K65" s="307">
        <f>IFERROR(__xludf.DUMMYFUNCTION("if(ISBLANK(A65),"""",googlefinance(A65,""Marketcap"")/10000000)"),13073.0945448)</f>
        <v>13073.09454</v>
      </c>
      <c r="L65" s="304">
        <f t="shared" si="3"/>
        <v>26.928</v>
      </c>
      <c r="M65" s="308">
        <f t="shared" si="4"/>
        <v>185.6803327</v>
      </c>
      <c r="N65" s="309" t="str">
        <f t="shared" si="5"/>
        <v>B</v>
      </c>
      <c r="O65" s="310">
        <f t="shared" si="6"/>
        <v>25.245</v>
      </c>
      <c r="P65" s="308">
        <f t="shared" si="7"/>
        <v>198.0590216</v>
      </c>
      <c r="Q65" s="311" t="str">
        <f t="shared" si="8"/>
        <v>H</v>
      </c>
      <c r="R65" s="304">
        <f t="shared" si="9"/>
        <v>23.562</v>
      </c>
      <c r="S65" s="308">
        <f t="shared" si="10"/>
        <v>212.2060946</v>
      </c>
      <c r="T65" s="309" t="str">
        <f t="shared" si="11"/>
        <v>H</v>
      </c>
      <c r="U65" s="304">
        <f t="shared" si="12"/>
        <v>21.879</v>
      </c>
      <c r="V65" s="308">
        <f t="shared" si="13"/>
        <v>228.5296403</v>
      </c>
      <c r="W65" s="309" t="str">
        <f t="shared" si="14"/>
        <v>H</v>
      </c>
      <c r="X65" s="304">
        <f t="shared" si="15"/>
        <v>20.196</v>
      </c>
      <c r="Y65" s="308">
        <f t="shared" si="16"/>
        <v>247.573777</v>
      </c>
      <c r="Z65" s="309" t="str">
        <f t="shared" si="17"/>
        <v>H</v>
      </c>
      <c r="AA65" s="312">
        <f t="shared" si="18"/>
        <v>18.513</v>
      </c>
      <c r="AB65" s="308">
        <f t="shared" si="19"/>
        <v>270.080484</v>
      </c>
      <c r="AC65" s="308" t="str">
        <f t="shared" si="20"/>
        <v>H</v>
      </c>
      <c r="AD65" s="312">
        <f t="shared" si="21"/>
        <v>16.83</v>
      </c>
      <c r="AE65" s="308">
        <f t="shared" si="22"/>
        <v>297.0885324</v>
      </c>
      <c r="AF65" s="313" t="str">
        <f t="shared" si="23"/>
        <v>H</v>
      </c>
      <c r="AG65" s="304">
        <f t="shared" si="24"/>
        <v>15.147</v>
      </c>
      <c r="AH65" s="308">
        <f t="shared" si="25"/>
        <v>330.0983693</v>
      </c>
      <c r="AI65" s="313" t="str">
        <f t="shared" si="26"/>
        <v>H</v>
      </c>
      <c r="AJ65" s="304">
        <f t="shared" si="27"/>
        <v>13.464</v>
      </c>
      <c r="AK65" s="308">
        <f t="shared" si="28"/>
        <v>371.3606655</v>
      </c>
      <c r="AL65" s="308" t="str">
        <f t="shared" si="29"/>
        <v>H</v>
      </c>
      <c r="AM65" s="304">
        <f t="shared" si="30"/>
        <v>11.781</v>
      </c>
      <c r="AN65" s="308">
        <f t="shared" si="31"/>
        <v>424.4121891</v>
      </c>
      <c r="AO65" s="313" t="str">
        <f t="shared" si="32"/>
        <v>H</v>
      </c>
      <c r="AP65" s="304">
        <f t="shared" si="33"/>
        <v>10.098</v>
      </c>
      <c r="AQ65" s="308">
        <f t="shared" si="34"/>
        <v>495.147554</v>
      </c>
      <c r="AR65" s="313" t="str">
        <f t="shared" si="35"/>
        <v>H</v>
      </c>
      <c r="AS65" s="304">
        <f t="shared" si="36"/>
        <v>8.415</v>
      </c>
      <c r="AT65" s="308">
        <f t="shared" si="37"/>
        <v>594.1770648</v>
      </c>
      <c r="AU65" s="308" t="str">
        <f t="shared" si="38"/>
        <v>H</v>
      </c>
      <c r="AV65" s="304">
        <f t="shared" si="39"/>
        <v>6.732</v>
      </c>
      <c r="AW65" s="308">
        <f t="shared" si="40"/>
        <v>742.721331</v>
      </c>
      <c r="AX65" s="308" t="str">
        <f t="shared" si="41"/>
        <v>H</v>
      </c>
      <c r="AY65" s="304">
        <f t="shared" si="42"/>
        <v>5.049</v>
      </c>
      <c r="AZ65" s="308">
        <f t="shared" si="43"/>
        <v>990.2951079</v>
      </c>
      <c r="BA65" s="313" t="str">
        <f t="shared" si="44"/>
        <v>H</v>
      </c>
      <c r="BB65" s="304">
        <f t="shared" si="45"/>
        <v>3.366</v>
      </c>
      <c r="BC65" s="308">
        <f t="shared" si="46"/>
        <v>1485.442662</v>
      </c>
      <c r="BD65" s="308" t="str">
        <f t="shared" si="47"/>
        <v>H</v>
      </c>
    </row>
    <row r="66">
      <c r="A66" s="318" t="s">
        <v>165</v>
      </c>
      <c r="B66" s="318">
        <v>2.0</v>
      </c>
      <c r="C66" s="319">
        <v>350.825</v>
      </c>
      <c r="D66" s="301" t="str">
        <f>IFERROR(__xludf.DUMMYFUNCTION("if(ISBLANK(A66),"""",GOOGLEFINANCE(A66,""NAME""))"),"UNO Minda Ltd")</f>
        <v>UNO Minda Ltd</v>
      </c>
      <c r="E66" s="302">
        <v>5000.0</v>
      </c>
      <c r="F66" s="303">
        <f>IFERROR(__xludf.DUMMYFUNCTION("if(ISBLANK(A66),"""",GOOGLEFINANCE(A66,""HIGH52""))"),1382.0)</f>
        <v>1382</v>
      </c>
      <c r="G66" s="303">
        <f>IFERROR(__xludf.DUMMYFUNCTION("if(ISBLANK(A66),"""",GOOGLEFINANCE(A66,""LOW52""))"),994.0)</f>
        <v>994</v>
      </c>
      <c r="H66" s="304">
        <f>IFERROR(__xludf.DUMMYFUNCTION("if(ISBLANK(A66),"""",GOOGLEFINANCE(A66,""Price""))"),1126.0)</f>
        <v>1126</v>
      </c>
      <c r="I66" s="305" t="str">
        <f t="shared" si="1"/>
        <v>L</v>
      </c>
      <c r="J66" s="306" t="str">
        <f t="shared" si="2"/>
        <v>||</v>
      </c>
      <c r="K66" s="307">
        <f>IFERROR(__xludf.DUMMYFUNCTION("if(ISBLANK(A66),"""",googlefinance(A66,""Marketcap"")/10000000)"),65028.58)</f>
        <v>65028.58</v>
      </c>
      <c r="L66" s="304">
        <f t="shared" si="3"/>
        <v>1105.6</v>
      </c>
      <c r="M66" s="308">
        <f t="shared" si="4"/>
        <v>4.522431259</v>
      </c>
      <c r="N66" s="309" t="str">
        <f t="shared" si="5"/>
        <v>H</v>
      </c>
      <c r="O66" s="310">
        <f t="shared" si="6"/>
        <v>1036.5</v>
      </c>
      <c r="P66" s="308">
        <f t="shared" si="7"/>
        <v>4.823926676</v>
      </c>
      <c r="Q66" s="311" t="str">
        <f t="shared" si="8"/>
        <v>H</v>
      </c>
      <c r="R66" s="304">
        <f t="shared" si="9"/>
        <v>967.4</v>
      </c>
      <c r="S66" s="308">
        <f t="shared" si="10"/>
        <v>5.168492867</v>
      </c>
      <c r="T66" s="309" t="str">
        <f t="shared" si="11"/>
        <v>H</v>
      </c>
      <c r="U66" s="304">
        <f t="shared" si="12"/>
        <v>898.3</v>
      </c>
      <c r="V66" s="308">
        <f t="shared" si="13"/>
        <v>5.566069242</v>
      </c>
      <c r="W66" s="309" t="str">
        <f t="shared" si="14"/>
        <v>H</v>
      </c>
      <c r="X66" s="304">
        <f t="shared" si="15"/>
        <v>829.2</v>
      </c>
      <c r="Y66" s="308">
        <f t="shared" si="16"/>
        <v>6.029908345</v>
      </c>
      <c r="Z66" s="309" t="str">
        <f t="shared" si="17"/>
        <v>H</v>
      </c>
      <c r="AA66" s="312">
        <f t="shared" si="18"/>
        <v>760.1</v>
      </c>
      <c r="AB66" s="308">
        <f t="shared" si="19"/>
        <v>6.578081831</v>
      </c>
      <c r="AC66" s="308" t="str">
        <f t="shared" si="20"/>
        <v>H</v>
      </c>
      <c r="AD66" s="312">
        <f t="shared" si="21"/>
        <v>691</v>
      </c>
      <c r="AE66" s="308">
        <f t="shared" si="22"/>
        <v>7.235890014</v>
      </c>
      <c r="AF66" s="313" t="str">
        <f t="shared" si="23"/>
        <v>H</v>
      </c>
      <c r="AG66" s="304">
        <f t="shared" si="24"/>
        <v>621.9</v>
      </c>
      <c r="AH66" s="308">
        <f t="shared" si="25"/>
        <v>8.039877794</v>
      </c>
      <c r="AI66" s="313" t="str">
        <f t="shared" si="26"/>
        <v>H</v>
      </c>
      <c r="AJ66" s="304">
        <f t="shared" si="27"/>
        <v>552.8</v>
      </c>
      <c r="AK66" s="308">
        <f t="shared" si="28"/>
        <v>9.044862518</v>
      </c>
      <c r="AL66" s="308" t="str">
        <f t="shared" si="29"/>
        <v>H</v>
      </c>
      <c r="AM66" s="304">
        <f t="shared" si="30"/>
        <v>483.7</v>
      </c>
      <c r="AN66" s="308">
        <f t="shared" si="31"/>
        <v>10.33698573</v>
      </c>
      <c r="AO66" s="313" t="str">
        <f t="shared" si="32"/>
        <v>H</v>
      </c>
      <c r="AP66" s="304">
        <f t="shared" si="33"/>
        <v>414.6</v>
      </c>
      <c r="AQ66" s="308">
        <f t="shared" si="34"/>
        <v>12.05981669</v>
      </c>
      <c r="AR66" s="313" t="str">
        <f t="shared" si="35"/>
        <v>H</v>
      </c>
      <c r="AS66" s="304">
        <f t="shared" si="36"/>
        <v>345.5</v>
      </c>
      <c r="AT66" s="308">
        <f t="shared" si="37"/>
        <v>14.47178003</v>
      </c>
      <c r="AU66" s="308" t="str">
        <f t="shared" si="38"/>
        <v>H</v>
      </c>
      <c r="AV66" s="304">
        <f t="shared" si="39"/>
        <v>276.4</v>
      </c>
      <c r="AW66" s="308">
        <f t="shared" si="40"/>
        <v>18.08972504</v>
      </c>
      <c r="AX66" s="308" t="str">
        <f t="shared" si="41"/>
        <v>H</v>
      </c>
      <c r="AY66" s="304">
        <f t="shared" si="42"/>
        <v>207.3</v>
      </c>
      <c r="AZ66" s="308">
        <f t="shared" si="43"/>
        <v>24.11963338</v>
      </c>
      <c r="BA66" s="313" t="str">
        <f t="shared" si="44"/>
        <v>H</v>
      </c>
      <c r="BB66" s="304">
        <f t="shared" si="45"/>
        <v>138.2</v>
      </c>
      <c r="BC66" s="308">
        <f t="shared" si="46"/>
        <v>36.17945007</v>
      </c>
      <c r="BD66" s="308" t="str">
        <f t="shared" si="47"/>
        <v>H</v>
      </c>
    </row>
    <row r="67">
      <c r="A67" s="318" t="s">
        <v>166</v>
      </c>
      <c r="B67" s="318">
        <v>100.0</v>
      </c>
      <c r="C67" s="319">
        <v>6.84</v>
      </c>
      <c r="D67" s="301" t="str">
        <f>IFERROR(__xludf.DUMMYFUNCTION("if(ISBLANK(A67),"""",GOOGLEFINANCE(A67,""NAME""))"),"Urja Global Ltd")</f>
        <v>Urja Global Ltd</v>
      </c>
      <c r="E67" s="302">
        <v>5000.0</v>
      </c>
      <c r="F67" s="303">
        <f>IFERROR(__xludf.DUMMYFUNCTION("if(ISBLANK(A67),"""",GOOGLEFINANCE(A67,""HIGH52""))"),16.18)</f>
        <v>16.18</v>
      </c>
      <c r="G67" s="303">
        <f>IFERROR(__xludf.DUMMYFUNCTION("if(ISBLANK(A67),"""",GOOGLEFINANCE(A67,""LOW52""))"),8.0)</f>
        <v>8</v>
      </c>
      <c r="H67" s="304">
        <f>IFERROR(__xludf.DUMMYFUNCTION("if(ISBLANK(A67),"""",GOOGLEFINANCE(A67,""Price""))"),9.59)</f>
        <v>9.59</v>
      </c>
      <c r="I67" s="305" t="str">
        <f t="shared" si="1"/>
        <v>S</v>
      </c>
      <c r="J67" s="306" t="str">
        <f t="shared" si="2"/>
        <v>||||</v>
      </c>
      <c r="K67" s="307">
        <f>IFERROR(__xludf.DUMMYFUNCTION("if(ISBLANK(A67),"""",googlefinance(A67,""Marketcap"")/10000000)"),504.435188)</f>
        <v>504.435188</v>
      </c>
      <c r="L67" s="304">
        <f t="shared" si="3"/>
        <v>12.944</v>
      </c>
      <c r="M67" s="308">
        <f t="shared" si="4"/>
        <v>386.2793572</v>
      </c>
      <c r="N67" s="309" t="str">
        <f t="shared" si="5"/>
        <v>Next</v>
      </c>
      <c r="O67" s="310">
        <f t="shared" si="6"/>
        <v>12.135</v>
      </c>
      <c r="P67" s="308">
        <f t="shared" si="7"/>
        <v>412.0313144</v>
      </c>
      <c r="Q67" s="311" t="str">
        <f t="shared" si="8"/>
        <v>Next</v>
      </c>
      <c r="R67" s="304">
        <f t="shared" si="9"/>
        <v>11.326</v>
      </c>
      <c r="S67" s="308">
        <f t="shared" si="10"/>
        <v>441.4621225</v>
      </c>
      <c r="T67" s="309" t="str">
        <f t="shared" si="11"/>
        <v>Next</v>
      </c>
      <c r="U67" s="304">
        <f t="shared" si="12"/>
        <v>10.517</v>
      </c>
      <c r="V67" s="308">
        <f t="shared" si="13"/>
        <v>475.4207474</v>
      </c>
      <c r="W67" s="309" t="str">
        <f t="shared" si="14"/>
        <v>Next</v>
      </c>
      <c r="X67" s="304">
        <f t="shared" si="15"/>
        <v>9.708</v>
      </c>
      <c r="Y67" s="308">
        <f t="shared" si="16"/>
        <v>515.039143</v>
      </c>
      <c r="Z67" s="309" t="str">
        <f t="shared" si="17"/>
        <v>B</v>
      </c>
      <c r="AA67" s="312">
        <f t="shared" si="18"/>
        <v>8.899</v>
      </c>
      <c r="AB67" s="308">
        <f t="shared" si="19"/>
        <v>561.8608832</v>
      </c>
      <c r="AC67" s="308" t="str">
        <f t="shared" si="20"/>
        <v>H</v>
      </c>
      <c r="AD67" s="312">
        <f t="shared" si="21"/>
        <v>8.09</v>
      </c>
      <c r="AE67" s="308">
        <f t="shared" si="22"/>
        <v>618.0469716</v>
      </c>
      <c r="AF67" s="313" t="str">
        <f t="shared" si="23"/>
        <v>H</v>
      </c>
      <c r="AG67" s="304">
        <f t="shared" si="24"/>
        <v>7.281</v>
      </c>
      <c r="AH67" s="308">
        <f t="shared" si="25"/>
        <v>686.7188573</v>
      </c>
      <c r="AI67" s="313" t="str">
        <f t="shared" si="26"/>
        <v>H</v>
      </c>
      <c r="AJ67" s="304">
        <f t="shared" si="27"/>
        <v>6.472</v>
      </c>
      <c r="AK67" s="308">
        <f t="shared" si="28"/>
        <v>772.5587145</v>
      </c>
      <c r="AL67" s="308" t="str">
        <f t="shared" si="29"/>
        <v>H</v>
      </c>
      <c r="AM67" s="304">
        <f t="shared" si="30"/>
        <v>5.663</v>
      </c>
      <c r="AN67" s="308">
        <f t="shared" si="31"/>
        <v>882.9242451</v>
      </c>
      <c r="AO67" s="313" t="str">
        <f t="shared" si="32"/>
        <v>H</v>
      </c>
      <c r="AP67" s="304">
        <f t="shared" si="33"/>
        <v>4.854</v>
      </c>
      <c r="AQ67" s="308">
        <f t="shared" si="34"/>
        <v>1030.078286</v>
      </c>
      <c r="AR67" s="313" t="str">
        <f t="shared" si="35"/>
        <v>H</v>
      </c>
      <c r="AS67" s="304">
        <f t="shared" si="36"/>
        <v>4.045</v>
      </c>
      <c r="AT67" s="308">
        <f t="shared" si="37"/>
        <v>1236.093943</v>
      </c>
      <c r="AU67" s="308" t="str">
        <f t="shared" si="38"/>
        <v>H</v>
      </c>
      <c r="AV67" s="304">
        <f t="shared" si="39"/>
        <v>3.236</v>
      </c>
      <c r="AW67" s="308">
        <f t="shared" si="40"/>
        <v>1545.117429</v>
      </c>
      <c r="AX67" s="308" t="str">
        <f t="shared" si="41"/>
        <v>H</v>
      </c>
      <c r="AY67" s="304">
        <f t="shared" si="42"/>
        <v>2.427</v>
      </c>
      <c r="AZ67" s="308">
        <f t="shared" si="43"/>
        <v>2060.156572</v>
      </c>
      <c r="BA67" s="313" t="str">
        <f t="shared" si="44"/>
        <v>H</v>
      </c>
      <c r="BB67" s="304">
        <f t="shared" si="45"/>
        <v>1.618</v>
      </c>
      <c r="BC67" s="308">
        <f t="shared" si="46"/>
        <v>3090.234858</v>
      </c>
      <c r="BD67" s="308" t="str">
        <f t="shared" si="47"/>
        <v>H</v>
      </c>
    </row>
    <row r="68">
      <c r="A68" s="299" t="s">
        <v>264</v>
      </c>
      <c r="B68" s="299">
        <v>280.0</v>
      </c>
      <c r="C68" s="300">
        <v>48.63928571428571</v>
      </c>
      <c r="D68" s="301" t="str">
        <f>IFERROR(__xludf.DUMMYFUNCTION("if(ISBLANK(A68),"""",GOOGLEFINANCE(A68,""NAME""))"),"Utkarsh Small Finance Bank Ltd")</f>
        <v>Utkarsh Small Finance Bank Ltd</v>
      </c>
      <c r="E68" s="302">
        <v>5000.0</v>
      </c>
      <c r="F68" s="303">
        <f>IFERROR(__xludf.DUMMYFUNCTION("if(ISBLANK(A68),"""",GOOGLEFINANCE(A68,""HIGH52""))"),22.03)</f>
        <v>22.03</v>
      </c>
      <c r="G68" s="303">
        <f>IFERROR(__xludf.DUMMYFUNCTION("if(ISBLANK(A68),"""",GOOGLEFINANCE(A68,""LOW52""))"),10.12)</f>
        <v>10.12</v>
      </c>
      <c r="H68" s="304">
        <f>IFERROR(__xludf.DUMMYFUNCTION("if(ISBLANK(A68),"""",GOOGLEFINANCE(A68,""Price""))"),14.55)</f>
        <v>14.55</v>
      </c>
      <c r="I68" s="305" t="str">
        <f t="shared" si="1"/>
        <v>S</v>
      </c>
      <c r="J68" s="306" t="str">
        <f t="shared" si="2"/>
        <v>||||</v>
      </c>
      <c r="K68" s="307">
        <f>IFERROR(__xludf.DUMMYFUNCTION("if(ISBLANK(A68),"""",googlefinance(A68,""Marketcap"")/10000000)"),2589.2059989)</f>
        <v>2589.205999</v>
      </c>
      <c r="L68" s="304">
        <f t="shared" si="3"/>
        <v>17.624</v>
      </c>
      <c r="M68" s="308">
        <f t="shared" si="4"/>
        <v>283.7040399</v>
      </c>
      <c r="N68" s="309" t="str">
        <f t="shared" si="5"/>
        <v>Next</v>
      </c>
      <c r="O68" s="310">
        <f t="shared" si="6"/>
        <v>16.5225</v>
      </c>
      <c r="P68" s="308">
        <f t="shared" si="7"/>
        <v>302.6176426</v>
      </c>
      <c r="Q68" s="311" t="str">
        <f t="shared" si="8"/>
        <v>Next</v>
      </c>
      <c r="R68" s="304">
        <f t="shared" si="9"/>
        <v>15.421</v>
      </c>
      <c r="S68" s="308">
        <f t="shared" si="10"/>
        <v>324.2331885</v>
      </c>
      <c r="T68" s="309" t="str">
        <f t="shared" si="11"/>
        <v>B</v>
      </c>
      <c r="U68" s="304">
        <f t="shared" si="12"/>
        <v>14.3195</v>
      </c>
      <c r="V68" s="308">
        <f t="shared" si="13"/>
        <v>349.174203</v>
      </c>
      <c r="W68" s="309" t="str">
        <f t="shared" si="14"/>
        <v>H</v>
      </c>
      <c r="X68" s="304">
        <f t="shared" si="15"/>
        <v>13.218</v>
      </c>
      <c r="Y68" s="308">
        <f t="shared" si="16"/>
        <v>378.2720533</v>
      </c>
      <c r="Z68" s="309" t="str">
        <f t="shared" si="17"/>
        <v>H</v>
      </c>
      <c r="AA68" s="312">
        <f t="shared" si="18"/>
        <v>12.1165</v>
      </c>
      <c r="AB68" s="308">
        <f t="shared" si="19"/>
        <v>412.6604217</v>
      </c>
      <c r="AC68" s="308" t="str">
        <f t="shared" si="20"/>
        <v>H</v>
      </c>
      <c r="AD68" s="312">
        <f t="shared" si="21"/>
        <v>11.015</v>
      </c>
      <c r="AE68" s="308">
        <f t="shared" si="22"/>
        <v>453.9264639</v>
      </c>
      <c r="AF68" s="313" t="str">
        <f t="shared" si="23"/>
        <v>H</v>
      </c>
      <c r="AG68" s="304">
        <f t="shared" si="24"/>
        <v>9.9135</v>
      </c>
      <c r="AH68" s="308">
        <f t="shared" si="25"/>
        <v>504.3627377</v>
      </c>
      <c r="AI68" s="313" t="str">
        <f t="shared" si="26"/>
        <v>H</v>
      </c>
      <c r="AJ68" s="304">
        <f t="shared" si="27"/>
        <v>8.812</v>
      </c>
      <c r="AK68" s="308">
        <f t="shared" si="28"/>
        <v>567.4080799</v>
      </c>
      <c r="AL68" s="308" t="str">
        <f t="shared" si="29"/>
        <v>H</v>
      </c>
      <c r="AM68" s="304">
        <f t="shared" si="30"/>
        <v>7.7105</v>
      </c>
      <c r="AN68" s="308">
        <f t="shared" si="31"/>
        <v>648.466377</v>
      </c>
      <c r="AO68" s="313" t="str">
        <f t="shared" si="32"/>
        <v>H</v>
      </c>
      <c r="AP68" s="304">
        <f t="shared" si="33"/>
        <v>6.609</v>
      </c>
      <c r="AQ68" s="308">
        <f t="shared" si="34"/>
        <v>756.5441065</v>
      </c>
      <c r="AR68" s="313" t="str">
        <f t="shared" si="35"/>
        <v>H</v>
      </c>
      <c r="AS68" s="304">
        <f t="shared" si="36"/>
        <v>5.5075</v>
      </c>
      <c r="AT68" s="308">
        <f t="shared" si="37"/>
        <v>907.8529278</v>
      </c>
      <c r="AU68" s="308" t="str">
        <f t="shared" si="38"/>
        <v>H</v>
      </c>
      <c r="AV68" s="304">
        <f t="shared" si="39"/>
        <v>4.406</v>
      </c>
      <c r="AW68" s="308">
        <f t="shared" si="40"/>
        <v>1134.81616</v>
      </c>
      <c r="AX68" s="308" t="str">
        <f t="shared" si="41"/>
        <v>H</v>
      </c>
      <c r="AY68" s="304">
        <f t="shared" si="42"/>
        <v>3.3045</v>
      </c>
      <c r="AZ68" s="308">
        <f t="shared" si="43"/>
        <v>1513.088213</v>
      </c>
      <c r="BA68" s="313" t="str">
        <f t="shared" si="44"/>
        <v>H</v>
      </c>
      <c r="BB68" s="304">
        <f t="shared" si="45"/>
        <v>2.203</v>
      </c>
      <c r="BC68" s="308">
        <f t="shared" si="46"/>
        <v>2269.63232</v>
      </c>
      <c r="BD68" s="308" t="str">
        <f t="shared" si="47"/>
        <v>H</v>
      </c>
    </row>
    <row r="69">
      <c r="A69" s="315" t="s">
        <v>167</v>
      </c>
      <c r="B69" s="315">
        <v>5.0</v>
      </c>
      <c r="C69" s="316">
        <v>156.4</v>
      </c>
      <c r="D69" s="301" t="str">
        <f>IFERROR(__xludf.DUMMYFUNCTION("if(ISBLANK(A69),"""",GOOGLEFINANCE(A69,""NAME""))"),"Varun Beverages Ltd")</f>
        <v>Varun Beverages Ltd</v>
      </c>
      <c r="E69" s="302">
        <v>5000.0</v>
      </c>
      <c r="F69" s="303">
        <f>IFERROR(__xludf.DUMMYFUNCTION("if(ISBLANK(A69),"""",GOOGLEFINANCE(A69,""HIGH52""))"),555.8)</f>
        <v>555.8</v>
      </c>
      <c r="G69" s="303">
        <f>IFERROR(__xludf.DUMMYFUNCTION("if(ISBLANK(A69),"""",GOOGLEFINANCE(A69,""LOW52""))"),381.0)</f>
        <v>381</v>
      </c>
      <c r="H69" s="304">
        <f>IFERROR(__xludf.DUMMYFUNCTION("if(ISBLANK(A69),"""",GOOGLEFINANCE(A69,""Price""))"),484.0)</f>
        <v>484</v>
      </c>
      <c r="I69" s="305" t="str">
        <f t="shared" si="1"/>
        <v>L</v>
      </c>
      <c r="J69" s="306" t="str">
        <f t="shared" si="2"/>
        <v>||</v>
      </c>
      <c r="K69" s="307">
        <f>IFERROR(__xludf.DUMMYFUNCTION("if(ISBLANK(A69),"""",googlefinance(A69,""Marketcap"")/10000000)"),163851.56825)</f>
        <v>163851.5683</v>
      </c>
      <c r="L69" s="304">
        <f t="shared" si="3"/>
        <v>444.64</v>
      </c>
      <c r="M69" s="308">
        <f t="shared" si="4"/>
        <v>11.24505218</v>
      </c>
      <c r="N69" s="309" t="str">
        <f t="shared" si="5"/>
        <v>H</v>
      </c>
      <c r="O69" s="310">
        <f t="shared" si="6"/>
        <v>416.85</v>
      </c>
      <c r="P69" s="308">
        <f t="shared" si="7"/>
        <v>11.99472232</v>
      </c>
      <c r="Q69" s="311" t="str">
        <f t="shared" si="8"/>
        <v>H</v>
      </c>
      <c r="R69" s="304">
        <f t="shared" si="9"/>
        <v>389.06</v>
      </c>
      <c r="S69" s="308">
        <f t="shared" si="10"/>
        <v>12.8514882</v>
      </c>
      <c r="T69" s="309" t="str">
        <f t="shared" si="11"/>
        <v>H</v>
      </c>
      <c r="U69" s="304">
        <f t="shared" si="12"/>
        <v>361.27</v>
      </c>
      <c r="V69" s="308">
        <f t="shared" si="13"/>
        <v>13.84006422</v>
      </c>
      <c r="W69" s="309" t="str">
        <f t="shared" si="14"/>
        <v>H</v>
      </c>
      <c r="X69" s="304">
        <f t="shared" si="15"/>
        <v>333.48</v>
      </c>
      <c r="Y69" s="308">
        <f t="shared" si="16"/>
        <v>14.9934029</v>
      </c>
      <c r="Z69" s="309" t="str">
        <f t="shared" si="17"/>
        <v>H</v>
      </c>
      <c r="AA69" s="312">
        <f t="shared" si="18"/>
        <v>305.69</v>
      </c>
      <c r="AB69" s="308">
        <f t="shared" si="19"/>
        <v>16.35643953</v>
      </c>
      <c r="AC69" s="308" t="str">
        <f t="shared" si="20"/>
        <v>H</v>
      </c>
      <c r="AD69" s="312">
        <f t="shared" si="21"/>
        <v>277.9</v>
      </c>
      <c r="AE69" s="308">
        <f t="shared" si="22"/>
        <v>17.99208348</v>
      </c>
      <c r="AF69" s="313" t="str">
        <f t="shared" si="23"/>
        <v>H</v>
      </c>
      <c r="AG69" s="304">
        <f t="shared" si="24"/>
        <v>250.11</v>
      </c>
      <c r="AH69" s="308">
        <f t="shared" si="25"/>
        <v>19.99120387</v>
      </c>
      <c r="AI69" s="313" t="str">
        <f t="shared" si="26"/>
        <v>H</v>
      </c>
      <c r="AJ69" s="304">
        <f t="shared" si="27"/>
        <v>222.32</v>
      </c>
      <c r="AK69" s="308">
        <f t="shared" si="28"/>
        <v>22.49010435</v>
      </c>
      <c r="AL69" s="308" t="str">
        <f t="shared" si="29"/>
        <v>H</v>
      </c>
      <c r="AM69" s="304">
        <f t="shared" si="30"/>
        <v>194.53</v>
      </c>
      <c r="AN69" s="308">
        <f t="shared" si="31"/>
        <v>25.7029764</v>
      </c>
      <c r="AO69" s="313" t="str">
        <f t="shared" si="32"/>
        <v>H</v>
      </c>
      <c r="AP69" s="304">
        <f t="shared" si="33"/>
        <v>166.74</v>
      </c>
      <c r="AQ69" s="308">
        <f t="shared" si="34"/>
        <v>29.98680581</v>
      </c>
      <c r="AR69" s="313" t="str">
        <f t="shared" si="35"/>
        <v>H</v>
      </c>
      <c r="AS69" s="304">
        <f t="shared" si="36"/>
        <v>138.95</v>
      </c>
      <c r="AT69" s="308">
        <f t="shared" si="37"/>
        <v>35.98416697</v>
      </c>
      <c r="AU69" s="308" t="str">
        <f t="shared" si="38"/>
        <v>H</v>
      </c>
      <c r="AV69" s="304">
        <f t="shared" si="39"/>
        <v>111.16</v>
      </c>
      <c r="AW69" s="308">
        <f t="shared" si="40"/>
        <v>44.98020871</v>
      </c>
      <c r="AX69" s="308" t="str">
        <f t="shared" si="41"/>
        <v>H</v>
      </c>
      <c r="AY69" s="304">
        <f t="shared" si="42"/>
        <v>83.37</v>
      </c>
      <c r="AZ69" s="308">
        <f t="shared" si="43"/>
        <v>59.97361161</v>
      </c>
      <c r="BA69" s="313" t="str">
        <f t="shared" si="44"/>
        <v>H</v>
      </c>
      <c r="BB69" s="304">
        <f t="shared" si="45"/>
        <v>55.58</v>
      </c>
      <c r="BC69" s="308">
        <f t="shared" si="46"/>
        <v>89.96041742</v>
      </c>
      <c r="BD69" s="308" t="str">
        <f t="shared" si="47"/>
        <v>H</v>
      </c>
    </row>
    <row r="70">
      <c r="A70" s="299" t="s">
        <v>265</v>
      </c>
      <c r="B70" s="299">
        <v>200.0</v>
      </c>
      <c r="C70" s="300">
        <v>5.09</v>
      </c>
      <c r="D70" s="301" t="str">
        <f>IFERROR(__xludf.DUMMYFUNCTION("if(ISBLANK(A70),"""",GOOGLEFINANCE(A70,""NAME""))"),"Vikas Lifecare Ltd")</f>
        <v>Vikas Lifecare Ltd</v>
      </c>
      <c r="E70" s="302">
        <v>5000.0</v>
      </c>
      <c r="F70" s="303">
        <f>IFERROR(__xludf.DUMMYFUNCTION("if(ISBLANK(A70),"""",GOOGLEFINANCE(A70,""HIGH52""))"),2.61)</f>
        <v>2.61</v>
      </c>
      <c r="G70" s="303">
        <f>IFERROR(__xludf.DUMMYFUNCTION("if(ISBLANK(A70),"""",GOOGLEFINANCE(A70,""LOW52""))"),1.05)</f>
        <v>1.05</v>
      </c>
      <c r="H70" s="304">
        <f>IFERROR(__xludf.DUMMYFUNCTION("if(ISBLANK(A70),"""",GOOGLEFINANCE(A70,""Price""))"),1.44)</f>
        <v>1.44</v>
      </c>
      <c r="I70" s="305" t="str">
        <f t="shared" si="1"/>
        <v>S</v>
      </c>
      <c r="J70" s="306" t="str">
        <f t="shared" si="2"/>
        <v>||||</v>
      </c>
      <c r="K70" s="307">
        <f>IFERROR(__xludf.DUMMYFUNCTION("if(ISBLANK(A70),"""",googlefinance(A70,""Marketcap"")/10000000)"),267.5168887)</f>
        <v>267.5168887</v>
      </c>
      <c r="L70" s="304">
        <f t="shared" si="3"/>
        <v>2.088</v>
      </c>
      <c r="M70" s="308">
        <f t="shared" si="4"/>
        <v>2394.636015</v>
      </c>
      <c r="N70" s="309" t="str">
        <f t="shared" si="5"/>
        <v>Next</v>
      </c>
      <c r="O70" s="310">
        <f t="shared" si="6"/>
        <v>1.9575</v>
      </c>
      <c r="P70" s="308">
        <f t="shared" si="7"/>
        <v>2554.278416</v>
      </c>
      <c r="Q70" s="311" t="str">
        <f t="shared" si="8"/>
        <v>Next</v>
      </c>
      <c r="R70" s="304">
        <f t="shared" si="9"/>
        <v>1.827</v>
      </c>
      <c r="S70" s="308">
        <f t="shared" si="10"/>
        <v>2736.726875</v>
      </c>
      <c r="T70" s="309" t="str">
        <f t="shared" si="11"/>
        <v>Next</v>
      </c>
      <c r="U70" s="304">
        <f t="shared" si="12"/>
        <v>1.6965</v>
      </c>
      <c r="V70" s="308">
        <f t="shared" si="13"/>
        <v>2947.244327</v>
      </c>
      <c r="W70" s="309" t="str">
        <f t="shared" si="14"/>
        <v>Next</v>
      </c>
      <c r="X70" s="304">
        <f t="shared" si="15"/>
        <v>1.566</v>
      </c>
      <c r="Y70" s="308">
        <f t="shared" si="16"/>
        <v>3192.84802</v>
      </c>
      <c r="Z70" s="309" t="str">
        <f t="shared" si="17"/>
        <v>B</v>
      </c>
      <c r="AA70" s="312">
        <f t="shared" si="18"/>
        <v>1.4355</v>
      </c>
      <c r="AB70" s="308">
        <f t="shared" si="19"/>
        <v>3483.106931</v>
      </c>
      <c r="AC70" s="308" t="str">
        <f t="shared" si="20"/>
        <v>H</v>
      </c>
      <c r="AD70" s="312">
        <f t="shared" si="21"/>
        <v>1.305</v>
      </c>
      <c r="AE70" s="308">
        <f t="shared" si="22"/>
        <v>3831.417625</v>
      </c>
      <c r="AF70" s="313" t="str">
        <f t="shared" si="23"/>
        <v>H</v>
      </c>
      <c r="AG70" s="304">
        <f t="shared" si="24"/>
        <v>1.1745</v>
      </c>
      <c r="AH70" s="308">
        <f t="shared" si="25"/>
        <v>4257.130694</v>
      </c>
      <c r="AI70" s="313" t="str">
        <f t="shared" si="26"/>
        <v>H</v>
      </c>
      <c r="AJ70" s="304">
        <f t="shared" si="27"/>
        <v>1.044</v>
      </c>
      <c r="AK70" s="308">
        <f t="shared" si="28"/>
        <v>4789.272031</v>
      </c>
      <c r="AL70" s="308" t="str">
        <f t="shared" si="29"/>
        <v>H</v>
      </c>
      <c r="AM70" s="304">
        <f t="shared" si="30"/>
        <v>0.9135</v>
      </c>
      <c r="AN70" s="308">
        <f t="shared" si="31"/>
        <v>5473.453749</v>
      </c>
      <c r="AO70" s="313" t="str">
        <f t="shared" si="32"/>
        <v>H</v>
      </c>
      <c r="AP70" s="304">
        <f t="shared" si="33"/>
        <v>0.783</v>
      </c>
      <c r="AQ70" s="308">
        <f t="shared" si="34"/>
        <v>6385.696041</v>
      </c>
      <c r="AR70" s="313" t="str">
        <f t="shared" si="35"/>
        <v>H</v>
      </c>
      <c r="AS70" s="304">
        <f t="shared" si="36"/>
        <v>0.6525</v>
      </c>
      <c r="AT70" s="308">
        <f t="shared" si="37"/>
        <v>7662.835249</v>
      </c>
      <c r="AU70" s="308" t="str">
        <f t="shared" si="38"/>
        <v>H</v>
      </c>
      <c r="AV70" s="304">
        <f t="shared" si="39"/>
        <v>0.522</v>
      </c>
      <c r="AW70" s="308">
        <f t="shared" si="40"/>
        <v>9578.544061</v>
      </c>
      <c r="AX70" s="308" t="str">
        <f t="shared" si="41"/>
        <v>H</v>
      </c>
      <c r="AY70" s="304">
        <f t="shared" si="42"/>
        <v>0.3915</v>
      </c>
      <c r="AZ70" s="308">
        <f t="shared" si="43"/>
        <v>12771.39208</v>
      </c>
      <c r="BA70" s="313" t="str">
        <f t="shared" si="44"/>
        <v>H</v>
      </c>
      <c r="BB70" s="304">
        <f t="shared" si="45"/>
        <v>0.261</v>
      </c>
      <c r="BC70" s="308">
        <f t="shared" si="46"/>
        <v>19157.08812</v>
      </c>
      <c r="BD70" s="308" t="str">
        <f t="shared" si="47"/>
        <v>H</v>
      </c>
    </row>
    <row r="71">
      <c r="A71" s="315" t="s">
        <v>266</v>
      </c>
      <c r="B71" s="315">
        <v>3.0</v>
      </c>
      <c r="C71" s="316">
        <v>1603.3333333333333</v>
      </c>
      <c r="D71" s="301" t="str">
        <f>IFERROR(__xludf.DUMMYFUNCTION("if(ISBLANK(A71),"""",GOOGLEFINANCE(A71,""NAME""))"),"Yasho Industries Ltd")</f>
        <v>Yasho Industries Ltd</v>
      </c>
      <c r="E71" s="302">
        <v>5000.0</v>
      </c>
      <c r="F71" s="303">
        <f>IFERROR(__xludf.DUMMYFUNCTION("if(ISBLANK(A71),"""",GOOGLEFINANCE(A71,""HIGH52""))"),3180.3)</f>
        <v>3180.3</v>
      </c>
      <c r="G71" s="303">
        <f>IFERROR(__xludf.DUMMYFUNCTION("if(ISBLANK(A71),"""",GOOGLEFINANCE(A71,""LOW52""))"),1130.0)</f>
        <v>1130</v>
      </c>
      <c r="H71" s="304">
        <f>IFERROR(__xludf.DUMMYFUNCTION("if(ISBLANK(A71),"""",GOOGLEFINANCE(A71,""Price""))"),2884.4)</f>
        <v>2884.4</v>
      </c>
      <c r="I71" s="305" t="str">
        <f t="shared" si="1"/>
        <v>S</v>
      </c>
      <c r="J71" s="306" t="str">
        <f t="shared" si="2"/>
        <v>||||</v>
      </c>
      <c r="K71" s="307">
        <f>IFERROR(__xludf.DUMMYFUNCTION("if(ISBLANK(A71),"""",googlefinance(A71,""Marketcap"")/10000000)"),3477.7469218)</f>
        <v>3477.746922</v>
      </c>
      <c r="L71" s="304">
        <f t="shared" si="3"/>
        <v>2544.24</v>
      </c>
      <c r="M71" s="308">
        <f t="shared" si="4"/>
        <v>1.965223407</v>
      </c>
      <c r="N71" s="309" t="str">
        <f t="shared" si="5"/>
        <v>H</v>
      </c>
      <c r="O71" s="310">
        <f t="shared" si="6"/>
        <v>2385.225</v>
      </c>
      <c r="P71" s="308">
        <f t="shared" si="7"/>
        <v>2.0962383</v>
      </c>
      <c r="Q71" s="311" t="str">
        <f t="shared" si="8"/>
        <v>H</v>
      </c>
      <c r="R71" s="304">
        <f t="shared" si="9"/>
        <v>2226.21</v>
      </c>
      <c r="S71" s="308">
        <f t="shared" si="10"/>
        <v>2.245969608</v>
      </c>
      <c r="T71" s="309" t="str">
        <f t="shared" si="11"/>
        <v>H</v>
      </c>
      <c r="U71" s="304">
        <f t="shared" si="12"/>
        <v>2067.195</v>
      </c>
      <c r="V71" s="308">
        <f t="shared" si="13"/>
        <v>2.4187365</v>
      </c>
      <c r="W71" s="309" t="str">
        <f t="shared" si="14"/>
        <v>H</v>
      </c>
      <c r="X71" s="304">
        <f t="shared" si="15"/>
        <v>1908.18</v>
      </c>
      <c r="Y71" s="308">
        <f t="shared" si="16"/>
        <v>2.620297875</v>
      </c>
      <c r="Z71" s="309" t="str">
        <f t="shared" si="17"/>
        <v>H</v>
      </c>
      <c r="AA71" s="312">
        <f t="shared" si="18"/>
        <v>1749.165</v>
      </c>
      <c r="AB71" s="308">
        <f t="shared" si="19"/>
        <v>2.858506773</v>
      </c>
      <c r="AC71" s="308" t="str">
        <f t="shared" si="20"/>
        <v>H</v>
      </c>
      <c r="AD71" s="312">
        <f t="shared" si="21"/>
        <v>1590.15</v>
      </c>
      <c r="AE71" s="308">
        <f t="shared" si="22"/>
        <v>3.144357451</v>
      </c>
      <c r="AF71" s="313" t="str">
        <f t="shared" si="23"/>
        <v>H</v>
      </c>
      <c r="AG71" s="304">
        <f t="shared" si="24"/>
        <v>1431.135</v>
      </c>
      <c r="AH71" s="308">
        <f t="shared" si="25"/>
        <v>3.493730501</v>
      </c>
      <c r="AI71" s="313" t="str">
        <f t="shared" si="26"/>
        <v>H</v>
      </c>
      <c r="AJ71" s="304">
        <f t="shared" si="27"/>
        <v>1272.12</v>
      </c>
      <c r="AK71" s="308">
        <f t="shared" si="28"/>
        <v>3.930446813</v>
      </c>
      <c r="AL71" s="308" t="str">
        <f t="shared" si="29"/>
        <v>H</v>
      </c>
      <c r="AM71" s="304">
        <f t="shared" si="30"/>
        <v>1113.105</v>
      </c>
      <c r="AN71" s="308">
        <f t="shared" si="31"/>
        <v>4.491939215</v>
      </c>
      <c r="AO71" s="313" t="str">
        <f t="shared" si="32"/>
        <v>H</v>
      </c>
      <c r="AP71" s="304">
        <f t="shared" si="33"/>
        <v>954.09</v>
      </c>
      <c r="AQ71" s="308">
        <f t="shared" si="34"/>
        <v>5.240595751</v>
      </c>
      <c r="AR71" s="313" t="str">
        <f t="shared" si="35"/>
        <v>H</v>
      </c>
      <c r="AS71" s="304">
        <f t="shared" si="36"/>
        <v>795.075</v>
      </c>
      <c r="AT71" s="308">
        <f t="shared" si="37"/>
        <v>6.288714901</v>
      </c>
      <c r="AU71" s="308" t="str">
        <f t="shared" si="38"/>
        <v>H</v>
      </c>
      <c r="AV71" s="304">
        <f t="shared" si="39"/>
        <v>636.06</v>
      </c>
      <c r="AW71" s="308">
        <f t="shared" si="40"/>
        <v>7.860893626</v>
      </c>
      <c r="AX71" s="308" t="str">
        <f t="shared" si="41"/>
        <v>H</v>
      </c>
      <c r="AY71" s="304">
        <f t="shared" si="42"/>
        <v>477.045</v>
      </c>
      <c r="AZ71" s="308">
        <f t="shared" si="43"/>
        <v>10.4811915</v>
      </c>
      <c r="BA71" s="313" t="str">
        <f t="shared" si="44"/>
        <v>H</v>
      </c>
      <c r="BB71" s="304">
        <f t="shared" si="45"/>
        <v>318.03</v>
      </c>
      <c r="BC71" s="308">
        <f t="shared" si="46"/>
        <v>15.72178725</v>
      </c>
      <c r="BD71" s="308" t="str">
        <f t="shared" si="47"/>
        <v>H</v>
      </c>
    </row>
    <row r="72">
      <c r="A72" s="318" t="s">
        <v>171</v>
      </c>
      <c r="B72" s="318">
        <v>30.0</v>
      </c>
      <c r="C72" s="319">
        <v>20.16</v>
      </c>
      <c r="D72" s="301" t="str">
        <f>IFERROR(__xludf.DUMMYFUNCTION("if(ISBLANK(A72),"""",GOOGLEFINANCE(A72,""NAME""))"),"Yes Bank Ltd")</f>
        <v>Yes Bank Ltd</v>
      </c>
      <c r="E72" s="302">
        <v>5000.0</v>
      </c>
      <c r="F72" s="303">
        <f>IFERROR(__xludf.DUMMYFUNCTION("if(ISBLANK(A72),"""",GOOGLEFINANCE(A72,""HIGH52""))"),25.78)</f>
        <v>25.78</v>
      </c>
      <c r="G72" s="303">
        <f>IFERROR(__xludf.DUMMYFUNCTION("if(ISBLANK(A72),"""",GOOGLEFINANCE(A72,""LOW52""))"),17.2)</f>
        <v>17.2</v>
      </c>
      <c r="H72" s="304">
        <f>IFERROR(__xludf.DUMMYFUNCTION("if(ISBLANK(A72),"""",GOOGLEFINANCE(A72,""Price""))"),24.05)</f>
        <v>24.05</v>
      </c>
      <c r="I72" s="305" t="str">
        <f t="shared" si="1"/>
        <v>L</v>
      </c>
      <c r="J72" s="306" t="str">
        <f t="shared" si="2"/>
        <v>||</v>
      </c>
      <c r="K72" s="307">
        <f>IFERROR(__xludf.DUMMYFUNCTION("if(ISBLANK(A72),"""",googlefinance(A72,""Marketcap"")/10000000)"),75330.9675481)</f>
        <v>75330.96755</v>
      </c>
      <c r="L72" s="304">
        <f t="shared" si="3"/>
        <v>20.624</v>
      </c>
      <c r="M72" s="308">
        <f t="shared" si="4"/>
        <v>242.4359969</v>
      </c>
      <c r="N72" s="309" t="str">
        <f t="shared" si="5"/>
        <v>H</v>
      </c>
      <c r="O72" s="310">
        <f t="shared" si="6"/>
        <v>19.335</v>
      </c>
      <c r="P72" s="308">
        <f t="shared" si="7"/>
        <v>258.5983967</v>
      </c>
      <c r="Q72" s="311" t="str">
        <f t="shared" si="8"/>
        <v>H</v>
      </c>
      <c r="R72" s="304">
        <f t="shared" si="9"/>
        <v>18.046</v>
      </c>
      <c r="S72" s="308">
        <f t="shared" si="10"/>
        <v>277.0697107</v>
      </c>
      <c r="T72" s="309" t="str">
        <f t="shared" si="11"/>
        <v>H</v>
      </c>
      <c r="U72" s="304">
        <f t="shared" si="12"/>
        <v>16.757</v>
      </c>
      <c r="V72" s="308">
        <f t="shared" si="13"/>
        <v>298.3827654</v>
      </c>
      <c r="W72" s="309" t="str">
        <f t="shared" si="14"/>
        <v>H</v>
      </c>
      <c r="X72" s="304">
        <f t="shared" si="15"/>
        <v>15.468</v>
      </c>
      <c r="Y72" s="308">
        <f t="shared" si="16"/>
        <v>323.2479959</v>
      </c>
      <c r="Z72" s="309" t="str">
        <f t="shared" si="17"/>
        <v>H</v>
      </c>
      <c r="AA72" s="312">
        <f t="shared" si="18"/>
        <v>14.179</v>
      </c>
      <c r="AB72" s="308">
        <f t="shared" si="19"/>
        <v>352.6341773</v>
      </c>
      <c r="AC72" s="308" t="str">
        <f t="shared" si="20"/>
        <v>H</v>
      </c>
      <c r="AD72" s="312">
        <f t="shared" si="21"/>
        <v>12.89</v>
      </c>
      <c r="AE72" s="308">
        <f t="shared" si="22"/>
        <v>387.897595</v>
      </c>
      <c r="AF72" s="313" t="str">
        <f t="shared" si="23"/>
        <v>H</v>
      </c>
      <c r="AG72" s="304">
        <f t="shared" si="24"/>
        <v>11.601</v>
      </c>
      <c r="AH72" s="308">
        <f t="shared" si="25"/>
        <v>430.9973278</v>
      </c>
      <c r="AI72" s="313" t="str">
        <f t="shared" si="26"/>
        <v>H</v>
      </c>
      <c r="AJ72" s="304">
        <f t="shared" si="27"/>
        <v>10.312</v>
      </c>
      <c r="AK72" s="308">
        <f t="shared" si="28"/>
        <v>484.8719938</v>
      </c>
      <c r="AL72" s="308" t="str">
        <f t="shared" si="29"/>
        <v>H</v>
      </c>
      <c r="AM72" s="304">
        <f t="shared" si="30"/>
        <v>9.023</v>
      </c>
      <c r="AN72" s="308">
        <f t="shared" si="31"/>
        <v>554.1394215</v>
      </c>
      <c r="AO72" s="313" t="str">
        <f t="shared" si="32"/>
        <v>H</v>
      </c>
      <c r="AP72" s="304">
        <f t="shared" si="33"/>
        <v>7.734</v>
      </c>
      <c r="AQ72" s="308">
        <f t="shared" si="34"/>
        <v>646.4959917</v>
      </c>
      <c r="AR72" s="313" t="str">
        <f t="shared" si="35"/>
        <v>H</v>
      </c>
      <c r="AS72" s="304">
        <f t="shared" si="36"/>
        <v>6.445</v>
      </c>
      <c r="AT72" s="308">
        <f t="shared" si="37"/>
        <v>775.7951901</v>
      </c>
      <c r="AU72" s="308" t="str">
        <f t="shared" si="38"/>
        <v>H</v>
      </c>
      <c r="AV72" s="304">
        <f t="shared" si="39"/>
        <v>5.156</v>
      </c>
      <c r="AW72" s="308">
        <f t="shared" si="40"/>
        <v>969.7439876</v>
      </c>
      <c r="AX72" s="308" t="str">
        <f t="shared" si="41"/>
        <v>H</v>
      </c>
      <c r="AY72" s="304">
        <f t="shared" si="42"/>
        <v>3.867</v>
      </c>
      <c r="AZ72" s="308">
        <f t="shared" si="43"/>
        <v>1292.991983</v>
      </c>
      <c r="BA72" s="313" t="str">
        <f t="shared" si="44"/>
        <v>H</v>
      </c>
      <c r="BB72" s="304">
        <f t="shared" si="45"/>
        <v>2.578</v>
      </c>
      <c r="BC72" s="308">
        <f t="shared" si="46"/>
        <v>1939.487975</v>
      </c>
      <c r="BD72" s="308" t="str">
        <f t="shared" si="47"/>
        <v>H</v>
      </c>
    </row>
    <row r="73">
      <c r="A73" s="315" t="s">
        <v>172</v>
      </c>
      <c r="B73" s="315">
        <v>20.0</v>
      </c>
      <c r="C73" s="316">
        <v>1038.1799999999998</v>
      </c>
      <c r="D73" s="301" t="str">
        <f>IFERROR(__xludf.DUMMYFUNCTION("if(ISBLANK(A73),"""",GOOGLEFINANCE(A73,""NAME""))"),"Zen Technologies Limited")</f>
        <v>Zen Technologies Limited</v>
      </c>
      <c r="E73" s="302">
        <v>5000.0</v>
      </c>
      <c r="F73" s="303">
        <f>IFERROR(__xludf.DUMMYFUNCTION("if(ISBLANK(A73),"""",GOOGLEFINANCE(A73,""HIGH52""))"),2024.0)</f>
        <v>2024</v>
      </c>
      <c r="G73" s="303">
        <f>IFERROR(__xludf.DUMMYFUNCTION("if(ISBLANK(A73),"""",GOOGLEFINANCE(A73,""LOW52""))"),1223.0)</f>
        <v>1223</v>
      </c>
      <c r="H73" s="304">
        <f>IFERROR(__xludf.DUMMYFUNCTION("if(ISBLANK(A73),"""",GOOGLEFINANCE(A73,""Price""))"),1861.0)</f>
        <v>1861</v>
      </c>
      <c r="I73" s="305" t="str">
        <f t="shared" si="1"/>
        <v>M</v>
      </c>
      <c r="J73" s="306" t="str">
        <f t="shared" si="2"/>
        <v>|||</v>
      </c>
      <c r="K73" s="307">
        <f>IFERROR(__xludf.DUMMYFUNCTION("if(ISBLANK(A73),"""",googlefinance(A73,""Marketcap"")/10000000)"),16756.6611106)</f>
        <v>16756.66111</v>
      </c>
      <c r="L73" s="304">
        <f t="shared" si="3"/>
        <v>1619.2</v>
      </c>
      <c r="M73" s="308">
        <f t="shared" si="4"/>
        <v>3.087944664</v>
      </c>
      <c r="N73" s="309" t="str">
        <f t="shared" si="5"/>
        <v>H</v>
      </c>
      <c r="O73" s="310">
        <f t="shared" si="6"/>
        <v>1518</v>
      </c>
      <c r="P73" s="308">
        <f t="shared" si="7"/>
        <v>3.293807642</v>
      </c>
      <c r="Q73" s="311" t="str">
        <f t="shared" si="8"/>
        <v>H</v>
      </c>
      <c r="R73" s="304">
        <f t="shared" si="9"/>
        <v>1416.8</v>
      </c>
      <c r="S73" s="308">
        <f t="shared" si="10"/>
        <v>3.529079616</v>
      </c>
      <c r="T73" s="309" t="str">
        <f t="shared" si="11"/>
        <v>H</v>
      </c>
      <c r="U73" s="304">
        <f t="shared" si="12"/>
        <v>1315.6</v>
      </c>
      <c r="V73" s="308">
        <f t="shared" si="13"/>
        <v>3.800547279</v>
      </c>
      <c r="W73" s="309" t="str">
        <f t="shared" si="14"/>
        <v>H</v>
      </c>
      <c r="X73" s="304">
        <f t="shared" si="15"/>
        <v>1214.4</v>
      </c>
      <c r="Y73" s="308">
        <f t="shared" si="16"/>
        <v>4.117259552</v>
      </c>
      <c r="Z73" s="309" t="str">
        <f t="shared" si="17"/>
        <v>H</v>
      </c>
      <c r="AA73" s="312">
        <f t="shared" si="18"/>
        <v>1113.2</v>
      </c>
      <c r="AB73" s="308">
        <f t="shared" si="19"/>
        <v>4.491555875</v>
      </c>
      <c r="AC73" s="308" t="str">
        <f t="shared" si="20"/>
        <v>H</v>
      </c>
      <c r="AD73" s="312">
        <f t="shared" si="21"/>
        <v>1012</v>
      </c>
      <c r="AE73" s="308">
        <f t="shared" si="22"/>
        <v>4.940711462</v>
      </c>
      <c r="AF73" s="313" t="str">
        <f t="shared" si="23"/>
        <v>H</v>
      </c>
      <c r="AG73" s="304">
        <f t="shared" si="24"/>
        <v>910.8</v>
      </c>
      <c r="AH73" s="308">
        <f t="shared" si="25"/>
        <v>5.489679403</v>
      </c>
      <c r="AI73" s="313" t="str">
        <f t="shared" si="26"/>
        <v>H</v>
      </c>
      <c r="AJ73" s="304">
        <f t="shared" si="27"/>
        <v>809.6</v>
      </c>
      <c r="AK73" s="308">
        <f t="shared" si="28"/>
        <v>6.175889328</v>
      </c>
      <c r="AL73" s="308" t="str">
        <f t="shared" si="29"/>
        <v>H</v>
      </c>
      <c r="AM73" s="304">
        <f t="shared" si="30"/>
        <v>708.4</v>
      </c>
      <c r="AN73" s="308">
        <f t="shared" si="31"/>
        <v>7.058159232</v>
      </c>
      <c r="AO73" s="313" t="str">
        <f t="shared" si="32"/>
        <v>H</v>
      </c>
      <c r="AP73" s="304">
        <f t="shared" si="33"/>
        <v>607.2</v>
      </c>
      <c r="AQ73" s="308">
        <f t="shared" si="34"/>
        <v>8.234519104</v>
      </c>
      <c r="AR73" s="313" t="str">
        <f t="shared" si="35"/>
        <v>H</v>
      </c>
      <c r="AS73" s="304">
        <f t="shared" si="36"/>
        <v>506</v>
      </c>
      <c r="AT73" s="308">
        <f t="shared" si="37"/>
        <v>9.881422925</v>
      </c>
      <c r="AU73" s="308" t="str">
        <f t="shared" si="38"/>
        <v>H</v>
      </c>
      <c r="AV73" s="304">
        <f t="shared" si="39"/>
        <v>404.8</v>
      </c>
      <c r="AW73" s="308">
        <f t="shared" si="40"/>
        <v>12.35177866</v>
      </c>
      <c r="AX73" s="308" t="str">
        <f t="shared" si="41"/>
        <v>H</v>
      </c>
      <c r="AY73" s="304">
        <f t="shared" si="42"/>
        <v>303.6</v>
      </c>
      <c r="AZ73" s="308">
        <f t="shared" si="43"/>
        <v>16.46903821</v>
      </c>
      <c r="BA73" s="313" t="str">
        <f t="shared" si="44"/>
        <v>H</v>
      </c>
      <c r="BB73" s="304">
        <f t="shared" si="45"/>
        <v>202.4</v>
      </c>
      <c r="BC73" s="308">
        <f t="shared" si="46"/>
        <v>24.70355731</v>
      </c>
      <c r="BD73" s="308" t="str">
        <f t="shared" si="47"/>
        <v>H</v>
      </c>
    </row>
    <row r="74">
      <c r="A74" s="299" t="s">
        <v>267</v>
      </c>
      <c r="B74" s="299">
        <v>2.0</v>
      </c>
      <c r="C74" s="300">
        <v>155.0</v>
      </c>
      <c r="D74" s="301" t="str">
        <f>IFERROR(__xludf.DUMMYFUNCTION("if(ISBLANK(A74),"""",GOOGLEFINANCE(A74,""NAME""))"),"#N/A")</f>
        <v>#N/A</v>
      </c>
      <c r="E74" s="302">
        <v>5000.0</v>
      </c>
      <c r="F74" s="303" t="str">
        <f>IFERROR(__xludf.DUMMYFUNCTION("if(ISBLANK(A74),"""",GOOGLEFINANCE(A74,""HIGH52""))"),"#N/A")</f>
        <v>#N/A</v>
      </c>
      <c r="G74" s="303" t="str">
        <f>IFERROR(__xludf.DUMMYFUNCTION("if(ISBLANK(A74),"""",GOOGLEFINANCE(A74,""LOW52""))"),"#N/A")</f>
        <v>#N/A</v>
      </c>
      <c r="H74" s="304" t="str">
        <f>IFERROR(__xludf.DUMMYFUNCTION("if(ISBLANK(A74),"""",GOOGLEFINANCE(A74,""Price""))"),"#N/A")</f>
        <v>#N/A</v>
      </c>
      <c r="I74" s="305" t="str">
        <f t="shared" si="1"/>
        <v>#N/A</v>
      </c>
      <c r="J74" s="306" t="str">
        <f t="shared" si="2"/>
        <v>#N/A</v>
      </c>
      <c r="K74" s="307" t="str">
        <f>IFERROR(__xludf.DUMMYFUNCTION("if(ISBLANK(A74),"""",googlefinance(A74,""Marketcap"")/10000000)"),"#N/A")</f>
        <v>#N/A</v>
      </c>
      <c r="L74" s="309" t="str">
        <f t="shared" si="3"/>
        <v>#N/A</v>
      </c>
      <c r="M74" s="308" t="str">
        <f t="shared" si="4"/>
        <v>#N/A</v>
      </c>
      <c r="N74" s="309" t="str">
        <f t="shared" si="5"/>
        <v>#N/A</v>
      </c>
      <c r="O74" s="322" t="str">
        <f t="shared" si="6"/>
        <v>#N/A</v>
      </c>
      <c r="P74" s="308" t="str">
        <f t="shared" si="7"/>
        <v>#N/A</v>
      </c>
      <c r="Q74" s="311" t="str">
        <f t="shared" si="8"/>
        <v>#N/A</v>
      </c>
      <c r="R74" s="309" t="str">
        <f t="shared" si="9"/>
        <v>#N/A</v>
      </c>
      <c r="S74" s="308" t="str">
        <f t="shared" si="10"/>
        <v>#N/A</v>
      </c>
      <c r="T74" s="309" t="str">
        <f t="shared" si="11"/>
        <v>#N/A</v>
      </c>
      <c r="U74" s="309" t="str">
        <f t="shared" si="12"/>
        <v>#N/A</v>
      </c>
      <c r="V74" s="308" t="str">
        <f t="shared" si="13"/>
        <v>#N/A</v>
      </c>
      <c r="W74" s="309" t="str">
        <f t="shared" si="14"/>
        <v>#N/A</v>
      </c>
      <c r="X74" s="309" t="str">
        <f t="shared" si="15"/>
        <v>#N/A</v>
      </c>
      <c r="Y74" s="308" t="str">
        <f t="shared" si="16"/>
        <v>#N/A</v>
      </c>
      <c r="Z74" s="309" t="str">
        <f t="shared" si="17"/>
        <v>#N/A</v>
      </c>
      <c r="AA74" s="312" t="str">
        <f t="shared" si="18"/>
        <v>#N/A</v>
      </c>
      <c r="AB74" s="308" t="str">
        <f t="shared" si="19"/>
        <v>#N/A</v>
      </c>
      <c r="AC74" s="308" t="str">
        <f t="shared" si="20"/>
        <v>#N/A</v>
      </c>
      <c r="AD74" s="312" t="str">
        <f t="shared" si="21"/>
        <v>#N/A</v>
      </c>
      <c r="AE74" s="308" t="str">
        <f t="shared" si="22"/>
        <v>#N/A</v>
      </c>
      <c r="AF74" s="313" t="str">
        <f t="shared" si="23"/>
        <v>#N/A</v>
      </c>
      <c r="AG74" s="304" t="str">
        <f t="shared" si="24"/>
        <v>#N/A</v>
      </c>
      <c r="AH74" s="308" t="str">
        <f t="shared" si="25"/>
        <v>#N/A</v>
      </c>
      <c r="AI74" s="313" t="str">
        <f t="shared" si="26"/>
        <v>#N/A</v>
      </c>
      <c r="AJ74" s="304" t="str">
        <f t="shared" si="27"/>
        <v>#N/A</v>
      </c>
      <c r="AK74" s="308" t="str">
        <f t="shared" si="28"/>
        <v>#N/A</v>
      </c>
      <c r="AL74" s="308" t="str">
        <f t="shared" si="29"/>
        <v>#N/A</v>
      </c>
      <c r="AM74" s="304" t="str">
        <f t="shared" si="30"/>
        <v>#N/A</v>
      </c>
      <c r="AN74" s="308" t="str">
        <f t="shared" si="31"/>
        <v>#N/A</v>
      </c>
      <c r="AO74" s="313" t="str">
        <f t="shared" si="32"/>
        <v>#N/A</v>
      </c>
      <c r="AP74" s="304" t="str">
        <f t="shared" si="33"/>
        <v>#N/A</v>
      </c>
      <c r="AQ74" s="308" t="str">
        <f t="shared" si="34"/>
        <v>#N/A</v>
      </c>
      <c r="AR74" s="313" t="str">
        <f t="shared" si="35"/>
        <v>#N/A</v>
      </c>
      <c r="AS74" s="304" t="str">
        <f t="shared" si="36"/>
        <v>#N/A</v>
      </c>
      <c r="AT74" s="308" t="str">
        <f t="shared" si="37"/>
        <v>#N/A</v>
      </c>
      <c r="AU74" s="308" t="str">
        <f t="shared" si="38"/>
        <v>#N/A</v>
      </c>
      <c r="AV74" s="304" t="str">
        <f t="shared" si="39"/>
        <v>#N/A</v>
      </c>
      <c r="AW74" s="308" t="str">
        <f t="shared" si="40"/>
        <v>#N/A</v>
      </c>
      <c r="AX74" s="308" t="str">
        <f t="shared" si="41"/>
        <v>#N/A</v>
      </c>
      <c r="AY74" s="304" t="str">
        <f t="shared" si="42"/>
        <v>#N/A</v>
      </c>
      <c r="AZ74" s="308" t="str">
        <f t="shared" si="43"/>
        <v>#N/A</v>
      </c>
      <c r="BA74" s="313" t="str">
        <f t="shared" si="44"/>
        <v>#N/A</v>
      </c>
      <c r="BB74" s="304" t="str">
        <f t="shared" si="45"/>
        <v>#N/A</v>
      </c>
      <c r="BC74" s="308" t="str">
        <f t="shared" si="46"/>
        <v>#N/A</v>
      </c>
      <c r="BD74" s="308" t="str">
        <f t="shared" si="47"/>
        <v>#N/A</v>
      </c>
    </row>
    <row r="75">
      <c r="A75" s="318"/>
      <c r="B75" s="318"/>
      <c r="C75" s="319"/>
      <c r="D75" s="301" t="str">
        <f>IFERROR(__xludf.DUMMYFUNCTION("if(ISBLANK(A75),"""",GOOGLEFINANCE(A75,""NAME""))"),"")</f>
        <v/>
      </c>
      <c r="E75" s="302">
        <v>5000.0</v>
      </c>
      <c r="F75" s="303" t="str">
        <f>IFERROR(__xludf.DUMMYFUNCTION("if(ISBLANK(A75),"""",GOOGLEFINANCE(A75,""HIGH52""))"),"")</f>
        <v/>
      </c>
      <c r="G75" s="303" t="str">
        <f>IFERROR(__xludf.DUMMYFUNCTION("if(ISBLANK(A75),"""",GOOGLEFINANCE(A75,""LOW52""))"),"")</f>
        <v/>
      </c>
      <c r="H75" s="304" t="str">
        <f>IFERROR(__xludf.DUMMYFUNCTION("if(ISBLANK(A75),"""",GOOGLEFINANCE(A75,""Price""))"),"")</f>
        <v/>
      </c>
      <c r="I75" s="305" t="str">
        <f t="shared" si="1"/>
        <v/>
      </c>
      <c r="J75" s="306" t="str">
        <f t="shared" si="2"/>
        <v/>
      </c>
      <c r="K75" s="307" t="str">
        <f>IFERROR(__xludf.DUMMYFUNCTION("if(ISBLANK(A75),"""",googlefinance(A75,""Marketcap"")/10000000)"),"")</f>
        <v/>
      </c>
      <c r="L75" s="309" t="str">
        <f t="shared" si="3"/>
        <v/>
      </c>
      <c r="M75" s="308" t="str">
        <f t="shared" si="4"/>
        <v/>
      </c>
      <c r="N75" s="309" t="str">
        <f t="shared" si="5"/>
        <v/>
      </c>
      <c r="O75" s="322" t="str">
        <f t="shared" si="6"/>
        <v/>
      </c>
      <c r="P75" s="308" t="str">
        <f t="shared" si="7"/>
        <v/>
      </c>
      <c r="Q75" s="311" t="str">
        <f t="shared" si="8"/>
        <v/>
      </c>
      <c r="R75" s="309" t="str">
        <f t="shared" si="9"/>
        <v/>
      </c>
      <c r="S75" s="308" t="str">
        <f t="shared" si="10"/>
        <v/>
      </c>
      <c r="T75" s="309" t="str">
        <f t="shared" si="11"/>
        <v/>
      </c>
      <c r="U75" s="309" t="str">
        <f t="shared" si="12"/>
        <v/>
      </c>
      <c r="V75" s="308" t="str">
        <f t="shared" si="13"/>
        <v/>
      </c>
      <c r="W75" s="309" t="str">
        <f t="shared" si="14"/>
        <v/>
      </c>
      <c r="X75" s="309" t="str">
        <f t="shared" si="15"/>
        <v/>
      </c>
      <c r="Y75" s="308" t="str">
        <f t="shared" si="16"/>
        <v/>
      </c>
      <c r="Z75" s="309" t="str">
        <f t="shared" si="17"/>
        <v/>
      </c>
      <c r="AA75" s="312" t="str">
        <f t="shared" si="18"/>
        <v/>
      </c>
      <c r="AB75" s="308" t="str">
        <f t="shared" si="19"/>
        <v/>
      </c>
      <c r="AC75" s="308" t="str">
        <f t="shared" si="20"/>
        <v/>
      </c>
      <c r="AD75" s="312" t="str">
        <f t="shared" si="21"/>
        <v/>
      </c>
      <c r="AE75" s="308" t="str">
        <f t="shared" si="22"/>
        <v/>
      </c>
      <c r="AF75" s="313" t="str">
        <f t="shared" si="23"/>
        <v/>
      </c>
      <c r="AG75" s="304" t="str">
        <f t="shared" si="24"/>
        <v/>
      </c>
      <c r="AH75" s="308" t="str">
        <f t="shared" si="25"/>
        <v/>
      </c>
      <c r="AI75" s="313" t="str">
        <f t="shared" si="26"/>
        <v/>
      </c>
      <c r="AJ75" s="304" t="str">
        <f t="shared" si="27"/>
        <v/>
      </c>
      <c r="AK75" s="308" t="str">
        <f t="shared" si="28"/>
        <v/>
      </c>
      <c r="AL75" s="308" t="str">
        <f t="shared" si="29"/>
        <v/>
      </c>
      <c r="AM75" s="304" t="str">
        <f t="shared" si="30"/>
        <v/>
      </c>
      <c r="AN75" s="308" t="str">
        <f t="shared" si="31"/>
        <v/>
      </c>
      <c r="AO75" s="313" t="str">
        <f t="shared" si="32"/>
        <v/>
      </c>
      <c r="AP75" s="304" t="str">
        <f t="shared" si="33"/>
        <v/>
      </c>
      <c r="AQ75" s="308" t="str">
        <f t="shared" si="34"/>
        <v/>
      </c>
      <c r="AR75" s="313" t="str">
        <f t="shared" si="35"/>
        <v/>
      </c>
      <c r="AS75" s="304" t="str">
        <f t="shared" si="36"/>
        <v/>
      </c>
      <c r="AT75" s="308" t="str">
        <f t="shared" si="37"/>
        <v/>
      </c>
      <c r="AU75" s="308" t="str">
        <f t="shared" si="38"/>
        <v/>
      </c>
      <c r="AV75" s="304" t="str">
        <f t="shared" si="39"/>
        <v/>
      </c>
      <c r="AW75" s="308" t="str">
        <f t="shared" si="40"/>
        <v/>
      </c>
      <c r="AX75" s="308" t="str">
        <f t="shared" si="41"/>
        <v/>
      </c>
      <c r="AY75" s="304" t="str">
        <f t="shared" si="42"/>
        <v/>
      </c>
      <c r="AZ75" s="308" t="str">
        <f t="shared" si="43"/>
        <v/>
      </c>
      <c r="BA75" s="313" t="str">
        <f t="shared" si="44"/>
        <v/>
      </c>
      <c r="BB75" s="304" t="str">
        <f t="shared" si="45"/>
        <v/>
      </c>
      <c r="BC75" s="308" t="str">
        <f t="shared" si="46"/>
        <v/>
      </c>
      <c r="BD75" s="308" t="str">
        <f t="shared" si="47"/>
        <v/>
      </c>
    </row>
    <row r="76">
      <c r="A76" s="299"/>
      <c r="B76" s="299"/>
      <c r="C76" s="300"/>
      <c r="D76" s="301" t="str">
        <f>IFERROR(__xludf.DUMMYFUNCTION("if(ISBLANK(A76),"""",GOOGLEFINANCE(A76,""NAME""))"),"")</f>
        <v/>
      </c>
      <c r="E76" s="302">
        <v>5000.0</v>
      </c>
      <c r="F76" s="303" t="str">
        <f>IFERROR(__xludf.DUMMYFUNCTION("if(ISBLANK(A76),"""",GOOGLEFINANCE(A76,""HIGH52""))"),"")</f>
        <v/>
      </c>
      <c r="G76" s="303" t="str">
        <f>IFERROR(__xludf.DUMMYFUNCTION("if(ISBLANK(A76),"""",GOOGLEFINANCE(A76,""LOW52""))"),"")</f>
        <v/>
      </c>
      <c r="H76" s="304" t="str">
        <f>IFERROR(__xludf.DUMMYFUNCTION("if(ISBLANK(A76),"""",GOOGLEFINANCE(A76,""Price""))"),"")</f>
        <v/>
      </c>
      <c r="I76" s="305" t="str">
        <f t="shared" si="1"/>
        <v/>
      </c>
      <c r="J76" s="306" t="str">
        <f t="shared" si="2"/>
        <v/>
      </c>
      <c r="K76" s="307" t="str">
        <f>IFERROR(__xludf.DUMMYFUNCTION("if(ISBLANK(A76),"""",googlefinance(A76,""Marketcap"")/10000000)"),"")</f>
        <v/>
      </c>
      <c r="L76" s="309" t="str">
        <f t="shared" si="3"/>
        <v/>
      </c>
      <c r="M76" s="308" t="str">
        <f t="shared" si="4"/>
        <v/>
      </c>
      <c r="N76" s="309" t="str">
        <f t="shared" si="5"/>
        <v/>
      </c>
      <c r="O76" s="322" t="str">
        <f t="shared" si="6"/>
        <v/>
      </c>
      <c r="P76" s="308" t="str">
        <f t="shared" si="7"/>
        <v/>
      </c>
      <c r="Q76" s="311" t="str">
        <f t="shared" si="8"/>
        <v/>
      </c>
      <c r="R76" s="309" t="str">
        <f t="shared" si="9"/>
        <v/>
      </c>
      <c r="S76" s="308" t="str">
        <f t="shared" si="10"/>
        <v/>
      </c>
      <c r="T76" s="309" t="str">
        <f t="shared" si="11"/>
        <v/>
      </c>
      <c r="U76" s="309" t="str">
        <f t="shared" si="12"/>
        <v/>
      </c>
      <c r="V76" s="308" t="str">
        <f t="shared" si="13"/>
        <v/>
      </c>
      <c r="W76" s="309" t="str">
        <f t="shared" si="14"/>
        <v/>
      </c>
      <c r="X76" s="309" t="str">
        <f t="shared" si="15"/>
        <v/>
      </c>
      <c r="Y76" s="308" t="str">
        <f t="shared" si="16"/>
        <v/>
      </c>
      <c r="Z76" s="309" t="str">
        <f t="shared" si="17"/>
        <v/>
      </c>
      <c r="AA76" s="312" t="str">
        <f t="shared" si="18"/>
        <v/>
      </c>
      <c r="AB76" s="308" t="str">
        <f t="shared" si="19"/>
        <v/>
      </c>
      <c r="AC76" s="308" t="str">
        <f t="shared" si="20"/>
        <v/>
      </c>
      <c r="AD76" s="312" t="str">
        <f t="shared" si="21"/>
        <v/>
      </c>
      <c r="AE76" s="308" t="str">
        <f t="shared" si="22"/>
        <v/>
      </c>
      <c r="AF76" s="313" t="str">
        <f t="shared" si="23"/>
        <v/>
      </c>
      <c r="AG76" s="304" t="str">
        <f t="shared" si="24"/>
        <v/>
      </c>
      <c r="AH76" s="308" t="str">
        <f t="shared" si="25"/>
        <v/>
      </c>
      <c r="AI76" s="313" t="str">
        <f t="shared" si="26"/>
        <v/>
      </c>
      <c r="AJ76" s="304" t="str">
        <f t="shared" si="27"/>
        <v/>
      </c>
      <c r="AK76" s="308" t="str">
        <f t="shared" si="28"/>
        <v/>
      </c>
      <c r="AL76" s="308" t="str">
        <f t="shared" si="29"/>
        <v/>
      </c>
      <c r="AM76" s="304" t="str">
        <f t="shared" si="30"/>
        <v/>
      </c>
      <c r="AN76" s="308" t="str">
        <f t="shared" si="31"/>
        <v/>
      </c>
      <c r="AO76" s="313" t="str">
        <f t="shared" si="32"/>
        <v/>
      </c>
      <c r="AP76" s="304" t="str">
        <f t="shared" si="33"/>
        <v/>
      </c>
      <c r="AQ76" s="308" t="str">
        <f t="shared" si="34"/>
        <v/>
      </c>
      <c r="AR76" s="313" t="str">
        <f t="shared" si="35"/>
        <v/>
      </c>
      <c r="AS76" s="304" t="str">
        <f t="shared" si="36"/>
        <v/>
      </c>
      <c r="AT76" s="308" t="str">
        <f t="shared" si="37"/>
        <v/>
      </c>
      <c r="AU76" s="308" t="str">
        <f t="shared" si="38"/>
        <v/>
      </c>
      <c r="AV76" s="304" t="str">
        <f t="shared" si="39"/>
        <v/>
      </c>
      <c r="AW76" s="308" t="str">
        <f t="shared" si="40"/>
        <v/>
      </c>
      <c r="AX76" s="308" t="str">
        <f t="shared" si="41"/>
        <v/>
      </c>
      <c r="AY76" s="304" t="str">
        <f t="shared" si="42"/>
        <v/>
      </c>
      <c r="AZ76" s="308" t="str">
        <f t="shared" si="43"/>
        <v/>
      </c>
      <c r="BA76" s="313" t="str">
        <f t="shared" si="44"/>
        <v/>
      </c>
      <c r="BB76" s="304" t="str">
        <f t="shared" si="45"/>
        <v/>
      </c>
      <c r="BC76" s="308" t="str">
        <f t="shared" si="46"/>
        <v/>
      </c>
      <c r="BD76" s="308" t="str">
        <f t="shared" si="47"/>
        <v/>
      </c>
    </row>
    <row r="77">
      <c r="A77" s="299"/>
      <c r="B77" s="299"/>
      <c r="C77" s="300"/>
      <c r="D77" s="301" t="str">
        <f>IFERROR(__xludf.DUMMYFUNCTION("if(ISBLANK(A77),"""",GOOGLEFINANCE(A77,""NAME""))"),"")</f>
        <v/>
      </c>
      <c r="E77" s="302">
        <v>5000.0</v>
      </c>
      <c r="F77" s="303" t="str">
        <f>IFERROR(__xludf.DUMMYFUNCTION("if(ISBLANK(A77),"""",GOOGLEFINANCE(A77,""HIGH52""))"),"")</f>
        <v/>
      </c>
      <c r="G77" s="303" t="str">
        <f>IFERROR(__xludf.DUMMYFUNCTION("if(ISBLANK(A77),"""",GOOGLEFINANCE(A77,""LOW52""))"),"")</f>
        <v/>
      </c>
      <c r="H77" s="304" t="str">
        <f>IFERROR(__xludf.DUMMYFUNCTION("if(ISBLANK(A77),"""",GOOGLEFINANCE(A77,""Price""))"),"")</f>
        <v/>
      </c>
      <c r="I77" s="305" t="str">
        <f t="shared" si="1"/>
        <v/>
      </c>
      <c r="J77" s="306" t="str">
        <f t="shared" si="2"/>
        <v/>
      </c>
      <c r="K77" s="307" t="str">
        <f>IFERROR(__xludf.DUMMYFUNCTION("if(ISBLANK(A77),"""",googlefinance(A77,""Marketcap"")/10000000)"),"")</f>
        <v/>
      </c>
      <c r="L77" s="309" t="str">
        <f t="shared" si="3"/>
        <v/>
      </c>
      <c r="M77" s="308" t="str">
        <f t="shared" si="4"/>
        <v/>
      </c>
      <c r="N77" s="309" t="str">
        <f t="shared" si="5"/>
        <v/>
      </c>
      <c r="O77" s="322" t="str">
        <f t="shared" si="6"/>
        <v/>
      </c>
      <c r="P77" s="308" t="str">
        <f t="shared" si="7"/>
        <v/>
      </c>
      <c r="Q77" s="311" t="str">
        <f t="shared" si="8"/>
        <v/>
      </c>
      <c r="R77" s="309" t="str">
        <f t="shared" si="9"/>
        <v/>
      </c>
      <c r="S77" s="308" t="str">
        <f t="shared" si="10"/>
        <v/>
      </c>
      <c r="T77" s="309" t="str">
        <f t="shared" si="11"/>
        <v/>
      </c>
      <c r="U77" s="309" t="str">
        <f t="shared" si="12"/>
        <v/>
      </c>
      <c r="V77" s="308" t="str">
        <f t="shared" si="13"/>
        <v/>
      </c>
      <c r="W77" s="309" t="str">
        <f t="shared" si="14"/>
        <v/>
      </c>
      <c r="X77" s="309" t="str">
        <f t="shared" si="15"/>
        <v/>
      </c>
      <c r="Y77" s="308" t="str">
        <f t="shared" si="16"/>
        <v/>
      </c>
      <c r="Z77" s="309" t="str">
        <f t="shared" si="17"/>
        <v/>
      </c>
      <c r="AA77" s="312" t="str">
        <f t="shared" si="18"/>
        <v/>
      </c>
      <c r="AB77" s="308" t="str">
        <f t="shared" si="19"/>
        <v/>
      </c>
      <c r="AC77" s="308" t="str">
        <f t="shared" si="20"/>
        <v/>
      </c>
      <c r="AD77" s="312" t="str">
        <f t="shared" si="21"/>
        <v/>
      </c>
      <c r="AE77" s="308" t="str">
        <f t="shared" si="22"/>
        <v/>
      </c>
      <c r="AF77" s="313" t="str">
        <f t="shared" si="23"/>
        <v/>
      </c>
      <c r="AG77" s="304" t="str">
        <f t="shared" si="24"/>
        <v/>
      </c>
      <c r="AH77" s="308" t="str">
        <f t="shared" si="25"/>
        <v/>
      </c>
      <c r="AI77" s="313" t="str">
        <f t="shared" si="26"/>
        <v/>
      </c>
      <c r="AJ77" s="304" t="str">
        <f t="shared" si="27"/>
        <v/>
      </c>
      <c r="AK77" s="308" t="str">
        <f t="shared" si="28"/>
        <v/>
      </c>
      <c r="AL77" s="308" t="str">
        <f t="shared" si="29"/>
        <v/>
      </c>
      <c r="AM77" s="304" t="str">
        <f t="shared" si="30"/>
        <v/>
      </c>
      <c r="AN77" s="308" t="str">
        <f t="shared" si="31"/>
        <v/>
      </c>
      <c r="AO77" s="313" t="str">
        <f t="shared" si="32"/>
        <v/>
      </c>
      <c r="AP77" s="304" t="str">
        <f t="shared" si="33"/>
        <v/>
      </c>
      <c r="AQ77" s="308" t="str">
        <f t="shared" si="34"/>
        <v/>
      </c>
      <c r="AR77" s="313" t="str">
        <f t="shared" si="35"/>
        <v/>
      </c>
      <c r="AS77" s="304" t="str">
        <f t="shared" si="36"/>
        <v/>
      </c>
      <c r="AT77" s="308" t="str">
        <f t="shared" si="37"/>
        <v/>
      </c>
      <c r="AU77" s="308" t="str">
        <f t="shared" si="38"/>
        <v/>
      </c>
      <c r="AV77" s="304" t="str">
        <f t="shared" si="39"/>
        <v/>
      </c>
      <c r="AW77" s="308" t="str">
        <f t="shared" si="40"/>
        <v/>
      </c>
      <c r="AX77" s="308" t="str">
        <f t="shared" si="41"/>
        <v/>
      </c>
      <c r="AY77" s="304" t="str">
        <f t="shared" si="42"/>
        <v/>
      </c>
      <c r="AZ77" s="308" t="str">
        <f t="shared" si="43"/>
        <v/>
      </c>
      <c r="BA77" s="313" t="str">
        <f t="shared" si="44"/>
        <v/>
      </c>
      <c r="BB77" s="304" t="str">
        <f t="shared" si="45"/>
        <v/>
      </c>
      <c r="BC77" s="308" t="str">
        <f t="shared" si="46"/>
        <v/>
      </c>
      <c r="BD77" s="308" t="str">
        <f t="shared" si="47"/>
        <v/>
      </c>
    </row>
    <row r="78">
      <c r="A78" s="320"/>
      <c r="B78" s="320"/>
      <c r="C78" s="321"/>
      <c r="D78" s="301" t="str">
        <f>IFERROR(__xludf.DUMMYFUNCTION("if(ISBLANK(A78),"""",GOOGLEFINANCE(A78,""NAME""))"),"")</f>
        <v/>
      </c>
      <c r="E78" s="302">
        <v>5000.0</v>
      </c>
      <c r="F78" s="303" t="str">
        <f>IFERROR(__xludf.DUMMYFUNCTION("if(ISBLANK(A78),"""",GOOGLEFINANCE(A78,""HIGH52""))"),"")</f>
        <v/>
      </c>
      <c r="G78" s="303" t="str">
        <f>IFERROR(__xludf.DUMMYFUNCTION("if(ISBLANK(A78),"""",GOOGLEFINANCE(A78,""LOW52""))"),"")</f>
        <v/>
      </c>
      <c r="H78" s="304" t="str">
        <f>IFERROR(__xludf.DUMMYFUNCTION("if(ISBLANK(A78),"""",GOOGLEFINANCE(A78,""Price""))"),"")</f>
        <v/>
      </c>
      <c r="I78" s="305" t="str">
        <f t="shared" si="1"/>
        <v/>
      </c>
      <c r="J78" s="306" t="str">
        <f t="shared" si="2"/>
        <v/>
      </c>
      <c r="K78" s="307" t="str">
        <f>IFERROR(__xludf.DUMMYFUNCTION("if(ISBLANK(A78),"""",googlefinance(A78,""Marketcap"")/10000000)"),"")</f>
        <v/>
      </c>
      <c r="L78" s="309" t="str">
        <f t="shared" si="3"/>
        <v/>
      </c>
      <c r="M78" s="308" t="str">
        <f t="shared" si="4"/>
        <v/>
      </c>
      <c r="N78" s="309" t="str">
        <f t="shared" si="5"/>
        <v/>
      </c>
      <c r="O78" s="322" t="str">
        <f t="shared" si="6"/>
        <v/>
      </c>
      <c r="P78" s="308" t="str">
        <f t="shared" si="7"/>
        <v/>
      </c>
      <c r="Q78" s="311" t="str">
        <f t="shared" si="8"/>
        <v/>
      </c>
      <c r="R78" s="309" t="str">
        <f t="shared" si="9"/>
        <v/>
      </c>
      <c r="S78" s="308" t="str">
        <f t="shared" si="10"/>
        <v/>
      </c>
      <c r="T78" s="309" t="str">
        <f t="shared" si="11"/>
        <v/>
      </c>
      <c r="U78" s="309" t="str">
        <f t="shared" si="12"/>
        <v/>
      </c>
      <c r="V78" s="308" t="str">
        <f t="shared" si="13"/>
        <v/>
      </c>
      <c r="W78" s="309" t="str">
        <f t="shared" si="14"/>
        <v/>
      </c>
      <c r="X78" s="309" t="str">
        <f t="shared" si="15"/>
        <v/>
      </c>
      <c r="Y78" s="308" t="str">
        <f t="shared" si="16"/>
        <v/>
      </c>
      <c r="Z78" s="309" t="str">
        <f t="shared" si="17"/>
        <v/>
      </c>
      <c r="AA78" s="312" t="str">
        <f t="shared" si="18"/>
        <v/>
      </c>
      <c r="AB78" s="308" t="str">
        <f t="shared" si="19"/>
        <v/>
      </c>
      <c r="AC78" s="308" t="str">
        <f t="shared" si="20"/>
        <v/>
      </c>
      <c r="AD78" s="312" t="str">
        <f t="shared" si="21"/>
        <v/>
      </c>
      <c r="AE78" s="308" t="str">
        <f t="shared" si="22"/>
        <v/>
      </c>
      <c r="AF78" s="313" t="str">
        <f t="shared" si="23"/>
        <v/>
      </c>
      <c r="AG78" s="304" t="str">
        <f t="shared" si="24"/>
        <v/>
      </c>
      <c r="AH78" s="308" t="str">
        <f t="shared" si="25"/>
        <v/>
      </c>
      <c r="AI78" s="313" t="str">
        <f t="shared" si="26"/>
        <v/>
      </c>
      <c r="AJ78" s="304" t="str">
        <f t="shared" si="27"/>
        <v/>
      </c>
      <c r="AK78" s="308" t="str">
        <f t="shared" si="28"/>
        <v/>
      </c>
      <c r="AL78" s="308" t="str">
        <f t="shared" si="29"/>
        <v/>
      </c>
      <c r="AM78" s="304" t="str">
        <f t="shared" si="30"/>
        <v/>
      </c>
      <c r="AN78" s="308" t="str">
        <f t="shared" si="31"/>
        <v/>
      </c>
      <c r="AO78" s="313" t="str">
        <f t="shared" si="32"/>
        <v/>
      </c>
      <c r="AP78" s="304" t="str">
        <f t="shared" si="33"/>
        <v/>
      </c>
      <c r="AQ78" s="308" t="str">
        <f t="shared" si="34"/>
        <v/>
      </c>
      <c r="AR78" s="313" t="str">
        <f t="shared" si="35"/>
        <v/>
      </c>
      <c r="AS78" s="304" t="str">
        <f t="shared" si="36"/>
        <v/>
      </c>
      <c r="AT78" s="308" t="str">
        <f t="shared" si="37"/>
        <v/>
      </c>
      <c r="AU78" s="308" t="str">
        <f t="shared" si="38"/>
        <v/>
      </c>
      <c r="AV78" s="304" t="str">
        <f t="shared" si="39"/>
        <v/>
      </c>
      <c r="AW78" s="308" t="str">
        <f t="shared" si="40"/>
        <v/>
      </c>
      <c r="AX78" s="308" t="str">
        <f t="shared" si="41"/>
        <v/>
      </c>
      <c r="AY78" s="304" t="str">
        <f t="shared" si="42"/>
        <v/>
      </c>
      <c r="AZ78" s="308" t="str">
        <f t="shared" si="43"/>
        <v/>
      </c>
      <c r="BA78" s="313" t="str">
        <f t="shared" si="44"/>
        <v/>
      </c>
      <c r="BB78" s="304" t="str">
        <f t="shared" si="45"/>
        <v/>
      </c>
      <c r="BC78" s="308" t="str">
        <f t="shared" si="46"/>
        <v/>
      </c>
      <c r="BD78" s="308" t="str">
        <f t="shared" si="47"/>
        <v/>
      </c>
    </row>
    <row r="79">
      <c r="A79" s="299"/>
      <c r="B79" s="299"/>
      <c r="C79" s="300"/>
      <c r="D79" s="301" t="str">
        <f>IFERROR(__xludf.DUMMYFUNCTION("if(ISBLANK(A79),"""",GOOGLEFINANCE(A79,""NAME""))"),"")</f>
        <v/>
      </c>
      <c r="E79" s="302">
        <v>5000.0</v>
      </c>
      <c r="F79" s="303" t="str">
        <f>IFERROR(__xludf.DUMMYFUNCTION("if(ISBLANK(A79),"""",GOOGLEFINANCE(A79,""HIGH52""))"),"")</f>
        <v/>
      </c>
      <c r="G79" s="303" t="str">
        <f>IFERROR(__xludf.DUMMYFUNCTION("if(ISBLANK(A79),"""",GOOGLEFINANCE(A79,""LOW52""))"),"")</f>
        <v/>
      </c>
      <c r="H79" s="304" t="str">
        <f>IFERROR(__xludf.DUMMYFUNCTION("if(ISBLANK(A79),"""",GOOGLEFINANCE(A79,""Price""))"),"")</f>
        <v/>
      </c>
      <c r="I79" s="305" t="str">
        <f t="shared" si="1"/>
        <v/>
      </c>
      <c r="J79" s="306" t="str">
        <f t="shared" si="2"/>
        <v/>
      </c>
      <c r="K79" s="307" t="str">
        <f>IFERROR(__xludf.DUMMYFUNCTION("if(ISBLANK(A79),"""",googlefinance(A79,""Marketcap"")/10000000)"),"")</f>
        <v/>
      </c>
      <c r="L79" s="309" t="str">
        <f t="shared" si="3"/>
        <v/>
      </c>
      <c r="M79" s="308" t="str">
        <f t="shared" si="4"/>
        <v/>
      </c>
      <c r="N79" s="309" t="str">
        <f t="shared" si="5"/>
        <v/>
      </c>
      <c r="O79" s="322" t="str">
        <f t="shared" si="6"/>
        <v/>
      </c>
      <c r="P79" s="308" t="str">
        <f t="shared" si="7"/>
        <v/>
      </c>
      <c r="Q79" s="311" t="str">
        <f t="shared" si="8"/>
        <v/>
      </c>
      <c r="R79" s="309" t="str">
        <f t="shared" si="9"/>
        <v/>
      </c>
      <c r="S79" s="308" t="str">
        <f t="shared" si="10"/>
        <v/>
      </c>
      <c r="T79" s="309" t="str">
        <f t="shared" si="11"/>
        <v/>
      </c>
      <c r="U79" s="309" t="str">
        <f t="shared" si="12"/>
        <v/>
      </c>
      <c r="V79" s="308" t="str">
        <f t="shared" si="13"/>
        <v/>
      </c>
      <c r="W79" s="309" t="str">
        <f t="shared" si="14"/>
        <v/>
      </c>
      <c r="X79" s="309" t="str">
        <f t="shared" si="15"/>
        <v/>
      </c>
      <c r="Y79" s="308" t="str">
        <f t="shared" si="16"/>
        <v/>
      </c>
      <c r="Z79" s="309" t="str">
        <f t="shared" si="17"/>
        <v/>
      </c>
      <c r="AA79" s="312" t="str">
        <f t="shared" si="18"/>
        <v/>
      </c>
      <c r="AB79" s="308" t="str">
        <f t="shared" si="19"/>
        <v/>
      </c>
      <c r="AC79" s="308" t="str">
        <f t="shared" si="20"/>
        <v/>
      </c>
      <c r="AD79" s="312" t="str">
        <f t="shared" si="21"/>
        <v/>
      </c>
      <c r="AE79" s="308" t="str">
        <f t="shared" si="22"/>
        <v/>
      </c>
      <c r="AF79" s="313" t="str">
        <f t="shared" si="23"/>
        <v/>
      </c>
      <c r="AG79" s="304" t="str">
        <f t="shared" si="24"/>
        <v/>
      </c>
      <c r="AH79" s="308" t="str">
        <f t="shared" si="25"/>
        <v/>
      </c>
      <c r="AI79" s="313" t="str">
        <f t="shared" si="26"/>
        <v/>
      </c>
      <c r="AJ79" s="304" t="str">
        <f t="shared" si="27"/>
        <v/>
      </c>
      <c r="AK79" s="308" t="str">
        <f t="shared" si="28"/>
        <v/>
      </c>
      <c r="AL79" s="308" t="str">
        <f t="shared" si="29"/>
        <v/>
      </c>
      <c r="AM79" s="304" t="str">
        <f t="shared" si="30"/>
        <v/>
      </c>
      <c r="AN79" s="308" t="str">
        <f t="shared" si="31"/>
        <v/>
      </c>
      <c r="AO79" s="313" t="str">
        <f t="shared" si="32"/>
        <v/>
      </c>
      <c r="AP79" s="304" t="str">
        <f t="shared" si="33"/>
        <v/>
      </c>
      <c r="AQ79" s="308" t="str">
        <f t="shared" si="34"/>
        <v/>
      </c>
      <c r="AR79" s="313" t="str">
        <f t="shared" si="35"/>
        <v/>
      </c>
      <c r="AS79" s="304" t="str">
        <f t="shared" si="36"/>
        <v/>
      </c>
      <c r="AT79" s="308" t="str">
        <f t="shared" si="37"/>
        <v/>
      </c>
      <c r="AU79" s="308" t="str">
        <f t="shared" si="38"/>
        <v/>
      </c>
      <c r="AV79" s="304" t="str">
        <f t="shared" si="39"/>
        <v/>
      </c>
      <c r="AW79" s="308" t="str">
        <f t="shared" si="40"/>
        <v/>
      </c>
      <c r="AX79" s="308" t="str">
        <f t="shared" si="41"/>
        <v/>
      </c>
      <c r="AY79" s="304" t="str">
        <f t="shared" si="42"/>
        <v/>
      </c>
      <c r="AZ79" s="308" t="str">
        <f t="shared" si="43"/>
        <v/>
      </c>
      <c r="BA79" s="313" t="str">
        <f t="shared" si="44"/>
        <v/>
      </c>
      <c r="BB79" s="304" t="str">
        <f t="shared" si="45"/>
        <v/>
      </c>
      <c r="BC79" s="308" t="str">
        <f t="shared" si="46"/>
        <v/>
      </c>
      <c r="BD79" s="308" t="str">
        <f t="shared" si="47"/>
        <v/>
      </c>
    </row>
    <row r="80">
      <c r="A80" s="299"/>
      <c r="B80" s="299"/>
      <c r="C80" s="300"/>
      <c r="D80" s="301" t="str">
        <f>IFERROR(__xludf.DUMMYFUNCTION("if(ISBLANK(A80),"""",GOOGLEFINANCE(A80,""NAME""))"),"")</f>
        <v/>
      </c>
      <c r="E80" s="302">
        <v>5000.0</v>
      </c>
      <c r="F80" s="303" t="str">
        <f>IFERROR(__xludf.DUMMYFUNCTION("if(ISBLANK(A80),"""",GOOGLEFINANCE(A80,""HIGH52""))"),"")</f>
        <v/>
      </c>
      <c r="G80" s="303" t="str">
        <f>IFERROR(__xludf.DUMMYFUNCTION("if(ISBLANK(A80),"""",GOOGLEFINANCE(A80,""LOW52""))"),"")</f>
        <v/>
      </c>
      <c r="H80" s="304" t="str">
        <f>IFERROR(__xludf.DUMMYFUNCTION("if(ISBLANK(A80),"""",GOOGLEFINANCE(A80,""Price""))"),"")</f>
        <v/>
      </c>
      <c r="I80" s="305" t="str">
        <f t="shared" si="1"/>
        <v/>
      </c>
      <c r="J80" s="306" t="str">
        <f t="shared" si="2"/>
        <v/>
      </c>
      <c r="K80" s="307" t="str">
        <f>IFERROR(__xludf.DUMMYFUNCTION("if(ISBLANK(A80),"""",googlefinance(A80,""Marketcap"")/10000000)"),"")</f>
        <v/>
      </c>
      <c r="L80" s="309" t="str">
        <f t="shared" si="3"/>
        <v/>
      </c>
      <c r="M80" s="308" t="str">
        <f t="shared" si="4"/>
        <v/>
      </c>
      <c r="N80" s="309" t="str">
        <f t="shared" si="5"/>
        <v/>
      </c>
      <c r="O80" s="322" t="str">
        <f t="shared" si="6"/>
        <v/>
      </c>
      <c r="P80" s="308" t="str">
        <f t="shared" si="7"/>
        <v/>
      </c>
      <c r="Q80" s="311" t="str">
        <f t="shared" si="8"/>
        <v/>
      </c>
      <c r="R80" s="309" t="str">
        <f t="shared" si="9"/>
        <v/>
      </c>
      <c r="S80" s="308" t="str">
        <f t="shared" si="10"/>
        <v/>
      </c>
      <c r="T80" s="309" t="str">
        <f t="shared" si="11"/>
        <v/>
      </c>
      <c r="U80" s="309" t="str">
        <f t="shared" si="12"/>
        <v/>
      </c>
      <c r="V80" s="308" t="str">
        <f t="shared" si="13"/>
        <v/>
      </c>
      <c r="W80" s="309" t="str">
        <f t="shared" si="14"/>
        <v/>
      </c>
      <c r="X80" s="309" t="str">
        <f t="shared" si="15"/>
        <v/>
      </c>
      <c r="Y80" s="308" t="str">
        <f t="shared" si="16"/>
        <v/>
      </c>
      <c r="Z80" s="309" t="str">
        <f t="shared" si="17"/>
        <v/>
      </c>
      <c r="AA80" s="312" t="str">
        <f t="shared" si="18"/>
        <v/>
      </c>
      <c r="AB80" s="308" t="str">
        <f t="shared" si="19"/>
        <v/>
      </c>
      <c r="AC80" s="308" t="str">
        <f t="shared" si="20"/>
        <v/>
      </c>
      <c r="AD80" s="312" t="str">
        <f t="shared" si="21"/>
        <v/>
      </c>
      <c r="AE80" s="308" t="str">
        <f t="shared" si="22"/>
        <v/>
      </c>
      <c r="AF80" s="313" t="str">
        <f t="shared" si="23"/>
        <v/>
      </c>
      <c r="AG80" s="304" t="str">
        <f t="shared" si="24"/>
        <v/>
      </c>
      <c r="AH80" s="308" t="str">
        <f t="shared" si="25"/>
        <v/>
      </c>
      <c r="AI80" s="313" t="str">
        <f t="shared" si="26"/>
        <v/>
      </c>
      <c r="AJ80" s="304" t="str">
        <f t="shared" si="27"/>
        <v/>
      </c>
      <c r="AK80" s="308" t="str">
        <f t="shared" si="28"/>
        <v/>
      </c>
      <c r="AL80" s="308" t="str">
        <f t="shared" si="29"/>
        <v/>
      </c>
      <c r="AM80" s="304" t="str">
        <f t="shared" si="30"/>
        <v/>
      </c>
      <c r="AN80" s="308" t="str">
        <f t="shared" si="31"/>
        <v/>
      </c>
      <c r="AO80" s="313" t="str">
        <f t="shared" si="32"/>
        <v/>
      </c>
      <c r="AP80" s="304" t="str">
        <f t="shared" si="33"/>
        <v/>
      </c>
      <c r="AQ80" s="308" t="str">
        <f t="shared" si="34"/>
        <v/>
      </c>
      <c r="AR80" s="313" t="str">
        <f t="shared" si="35"/>
        <v/>
      </c>
      <c r="AS80" s="304" t="str">
        <f t="shared" si="36"/>
        <v/>
      </c>
      <c r="AT80" s="308" t="str">
        <f t="shared" si="37"/>
        <v/>
      </c>
      <c r="AU80" s="308" t="str">
        <f t="shared" si="38"/>
        <v/>
      </c>
      <c r="AV80" s="304" t="str">
        <f t="shared" si="39"/>
        <v/>
      </c>
      <c r="AW80" s="308" t="str">
        <f t="shared" si="40"/>
        <v/>
      </c>
      <c r="AX80" s="308" t="str">
        <f t="shared" si="41"/>
        <v/>
      </c>
      <c r="AY80" s="304" t="str">
        <f t="shared" si="42"/>
        <v/>
      </c>
      <c r="AZ80" s="308" t="str">
        <f t="shared" si="43"/>
        <v/>
      </c>
      <c r="BA80" s="313" t="str">
        <f t="shared" si="44"/>
        <v/>
      </c>
      <c r="BB80" s="304" t="str">
        <f t="shared" si="45"/>
        <v/>
      </c>
      <c r="BC80" s="308" t="str">
        <f t="shared" si="46"/>
        <v/>
      </c>
      <c r="BD80" s="308" t="str">
        <f t="shared" si="47"/>
        <v/>
      </c>
    </row>
    <row r="81">
      <c r="A81" s="299"/>
      <c r="B81" s="299"/>
      <c r="C81" s="300"/>
      <c r="D81" s="301" t="str">
        <f>IFERROR(__xludf.DUMMYFUNCTION("if(ISBLANK(A81),"""",GOOGLEFINANCE(A81,""NAME""))"),"")</f>
        <v/>
      </c>
      <c r="E81" s="302">
        <v>5000.0</v>
      </c>
      <c r="F81" s="303" t="str">
        <f>IFERROR(__xludf.DUMMYFUNCTION("if(ISBLANK(A81),"""",GOOGLEFINANCE(A81,""HIGH52""))"),"")</f>
        <v/>
      </c>
      <c r="G81" s="303" t="str">
        <f>IFERROR(__xludf.DUMMYFUNCTION("if(ISBLANK(A81),"""",GOOGLEFINANCE(A81,""LOW52""))"),"")</f>
        <v/>
      </c>
      <c r="H81" s="304" t="str">
        <f>IFERROR(__xludf.DUMMYFUNCTION("if(ISBLANK(A81),"""",GOOGLEFINANCE(A81,""Price""))"),"")</f>
        <v/>
      </c>
      <c r="I81" s="305" t="str">
        <f t="shared" si="1"/>
        <v/>
      </c>
      <c r="J81" s="306" t="str">
        <f t="shared" si="2"/>
        <v/>
      </c>
      <c r="K81" s="307" t="str">
        <f>IFERROR(__xludf.DUMMYFUNCTION("if(ISBLANK(A81),"""",googlefinance(A81,""Marketcap"")/10000000)"),"")</f>
        <v/>
      </c>
      <c r="L81" s="309" t="str">
        <f t="shared" si="3"/>
        <v/>
      </c>
      <c r="M81" s="308" t="str">
        <f t="shared" si="4"/>
        <v/>
      </c>
      <c r="N81" s="309" t="str">
        <f t="shared" si="5"/>
        <v/>
      </c>
      <c r="O81" s="322" t="str">
        <f t="shared" si="6"/>
        <v/>
      </c>
      <c r="P81" s="308" t="str">
        <f t="shared" si="7"/>
        <v/>
      </c>
      <c r="Q81" s="311" t="str">
        <f t="shared" si="8"/>
        <v/>
      </c>
      <c r="R81" s="309" t="str">
        <f t="shared" si="9"/>
        <v/>
      </c>
      <c r="S81" s="308" t="str">
        <f t="shared" si="10"/>
        <v/>
      </c>
      <c r="T81" s="309" t="str">
        <f t="shared" si="11"/>
        <v/>
      </c>
      <c r="U81" s="309" t="str">
        <f t="shared" si="12"/>
        <v/>
      </c>
      <c r="V81" s="308" t="str">
        <f t="shared" si="13"/>
        <v/>
      </c>
      <c r="W81" s="309" t="str">
        <f t="shared" si="14"/>
        <v/>
      </c>
      <c r="X81" s="309" t="str">
        <f t="shared" si="15"/>
        <v/>
      </c>
      <c r="Y81" s="308" t="str">
        <f t="shared" si="16"/>
        <v/>
      </c>
      <c r="Z81" s="309" t="str">
        <f t="shared" si="17"/>
        <v/>
      </c>
      <c r="AA81" s="312" t="str">
        <f t="shared" si="18"/>
        <v/>
      </c>
      <c r="AB81" s="308" t="str">
        <f t="shared" si="19"/>
        <v/>
      </c>
      <c r="AC81" s="308" t="str">
        <f t="shared" si="20"/>
        <v/>
      </c>
      <c r="AD81" s="312" t="str">
        <f t="shared" si="21"/>
        <v/>
      </c>
      <c r="AE81" s="308" t="str">
        <f t="shared" si="22"/>
        <v/>
      </c>
      <c r="AF81" s="313" t="str">
        <f t="shared" si="23"/>
        <v/>
      </c>
      <c r="AG81" s="304" t="str">
        <f t="shared" si="24"/>
        <v/>
      </c>
      <c r="AH81" s="308" t="str">
        <f t="shared" si="25"/>
        <v/>
      </c>
      <c r="AI81" s="313" t="str">
        <f t="shared" si="26"/>
        <v/>
      </c>
      <c r="AJ81" s="304" t="str">
        <f t="shared" si="27"/>
        <v/>
      </c>
      <c r="AK81" s="308" t="str">
        <f t="shared" si="28"/>
        <v/>
      </c>
      <c r="AL81" s="308" t="str">
        <f t="shared" si="29"/>
        <v/>
      </c>
      <c r="AM81" s="304" t="str">
        <f t="shared" si="30"/>
        <v/>
      </c>
      <c r="AN81" s="308" t="str">
        <f t="shared" si="31"/>
        <v/>
      </c>
      <c r="AO81" s="313" t="str">
        <f t="shared" si="32"/>
        <v/>
      </c>
      <c r="AP81" s="304" t="str">
        <f t="shared" si="33"/>
        <v/>
      </c>
      <c r="AQ81" s="308" t="str">
        <f t="shared" si="34"/>
        <v/>
      </c>
      <c r="AR81" s="313" t="str">
        <f t="shared" si="35"/>
        <v/>
      </c>
      <c r="AS81" s="304" t="str">
        <f t="shared" si="36"/>
        <v/>
      </c>
      <c r="AT81" s="308" t="str">
        <f t="shared" si="37"/>
        <v/>
      </c>
      <c r="AU81" s="308" t="str">
        <f t="shared" si="38"/>
        <v/>
      </c>
      <c r="AV81" s="304" t="str">
        <f t="shared" si="39"/>
        <v/>
      </c>
      <c r="AW81" s="308" t="str">
        <f t="shared" si="40"/>
        <v/>
      </c>
      <c r="AX81" s="308" t="str">
        <f t="shared" si="41"/>
        <v/>
      </c>
      <c r="AY81" s="304" t="str">
        <f t="shared" si="42"/>
        <v/>
      </c>
      <c r="AZ81" s="308" t="str">
        <f t="shared" si="43"/>
        <v/>
      </c>
      <c r="BA81" s="313" t="str">
        <f t="shared" si="44"/>
        <v/>
      </c>
      <c r="BB81" s="304" t="str">
        <f t="shared" si="45"/>
        <v/>
      </c>
      <c r="BC81" s="308" t="str">
        <f t="shared" si="46"/>
        <v/>
      </c>
      <c r="BD81" s="308" t="str">
        <f t="shared" si="47"/>
        <v/>
      </c>
    </row>
    <row r="82">
      <c r="A82" s="299"/>
      <c r="B82" s="299"/>
      <c r="C82" s="300"/>
      <c r="D82" s="301" t="str">
        <f>IFERROR(__xludf.DUMMYFUNCTION("if(ISBLANK(A82),"""",GOOGLEFINANCE(A82,""NAME""))"),"")</f>
        <v/>
      </c>
      <c r="E82" s="302">
        <v>5000.0</v>
      </c>
      <c r="F82" s="303" t="str">
        <f>IFERROR(__xludf.DUMMYFUNCTION("if(ISBLANK(A82),"""",GOOGLEFINANCE(A82,""HIGH52""))"),"")</f>
        <v/>
      </c>
      <c r="G82" s="303" t="str">
        <f>IFERROR(__xludf.DUMMYFUNCTION("if(ISBLANK(A82),"""",GOOGLEFINANCE(A82,""LOW52""))"),"")</f>
        <v/>
      </c>
      <c r="H82" s="304" t="str">
        <f>IFERROR(__xludf.DUMMYFUNCTION("if(ISBLANK(A82),"""",GOOGLEFINANCE(A82,""Price""))"),"")</f>
        <v/>
      </c>
      <c r="I82" s="305" t="str">
        <f t="shared" si="1"/>
        <v/>
      </c>
      <c r="J82" s="306" t="str">
        <f t="shared" si="2"/>
        <v/>
      </c>
      <c r="K82" s="307" t="str">
        <f>IFERROR(__xludf.DUMMYFUNCTION("if(ISBLANK(A82),"""",googlefinance(A82,""Marketcap"")/10000000)"),"")</f>
        <v/>
      </c>
      <c r="L82" s="309" t="str">
        <f t="shared" si="3"/>
        <v/>
      </c>
      <c r="M82" s="308" t="str">
        <f t="shared" si="4"/>
        <v/>
      </c>
      <c r="N82" s="309" t="str">
        <f t="shared" si="5"/>
        <v/>
      </c>
      <c r="O82" s="322" t="str">
        <f t="shared" si="6"/>
        <v/>
      </c>
      <c r="P82" s="308" t="str">
        <f t="shared" si="7"/>
        <v/>
      </c>
      <c r="Q82" s="311" t="str">
        <f t="shared" si="8"/>
        <v/>
      </c>
      <c r="R82" s="309" t="str">
        <f t="shared" si="9"/>
        <v/>
      </c>
      <c r="S82" s="308" t="str">
        <f t="shared" si="10"/>
        <v/>
      </c>
      <c r="T82" s="309" t="str">
        <f t="shared" si="11"/>
        <v/>
      </c>
      <c r="U82" s="309" t="str">
        <f t="shared" si="12"/>
        <v/>
      </c>
      <c r="V82" s="308" t="str">
        <f t="shared" si="13"/>
        <v/>
      </c>
      <c r="W82" s="309" t="str">
        <f t="shared" si="14"/>
        <v/>
      </c>
      <c r="X82" s="309" t="str">
        <f t="shared" si="15"/>
        <v/>
      </c>
      <c r="Y82" s="308" t="str">
        <f t="shared" si="16"/>
        <v/>
      </c>
      <c r="Z82" s="309" t="str">
        <f t="shared" si="17"/>
        <v/>
      </c>
      <c r="AA82" s="312" t="str">
        <f t="shared" si="18"/>
        <v/>
      </c>
      <c r="AB82" s="308" t="str">
        <f t="shared" si="19"/>
        <v/>
      </c>
      <c r="AC82" s="308" t="str">
        <f t="shared" si="20"/>
        <v/>
      </c>
      <c r="AD82" s="312" t="str">
        <f t="shared" si="21"/>
        <v/>
      </c>
      <c r="AE82" s="308" t="str">
        <f t="shared" si="22"/>
        <v/>
      </c>
      <c r="AF82" s="313" t="str">
        <f t="shared" si="23"/>
        <v/>
      </c>
      <c r="AG82" s="304" t="str">
        <f t="shared" si="24"/>
        <v/>
      </c>
      <c r="AH82" s="308" t="str">
        <f t="shared" si="25"/>
        <v/>
      </c>
      <c r="AI82" s="313" t="str">
        <f t="shared" si="26"/>
        <v/>
      </c>
      <c r="AJ82" s="304" t="str">
        <f t="shared" si="27"/>
        <v/>
      </c>
      <c r="AK82" s="308" t="str">
        <f t="shared" si="28"/>
        <v/>
      </c>
      <c r="AL82" s="308" t="str">
        <f t="shared" si="29"/>
        <v/>
      </c>
      <c r="AM82" s="304" t="str">
        <f t="shared" si="30"/>
        <v/>
      </c>
      <c r="AN82" s="308" t="str">
        <f t="shared" si="31"/>
        <v/>
      </c>
      <c r="AO82" s="313" t="str">
        <f t="shared" si="32"/>
        <v/>
      </c>
      <c r="AP82" s="304" t="str">
        <f t="shared" si="33"/>
        <v/>
      </c>
      <c r="AQ82" s="308" t="str">
        <f t="shared" si="34"/>
        <v/>
      </c>
      <c r="AR82" s="313" t="str">
        <f t="shared" si="35"/>
        <v/>
      </c>
      <c r="AS82" s="304" t="str">
        <f t="shared" si="36"/>
        <v/>
      </c>
      <c r="AT82" s="308" t="str">
        <f t="shared" si="37"/>
        <v/>
      </c>
      <c r="AU82" s="308" t="str">
        <f t="shared" si="38"/>
        <v/>
      </c>
      <c r="AV82" s="304" t="str">
        <f t="shared" si="39"/>
        <v/>
      </c>
      <c r="AW82" s="308" t="str">
        <f t="shared" si="40"/>
        <v/>
      </c>
      <c r="AX82" s="308" t="str">
        <f t="shared" si="41"/>
        <v/>
      </c>
      <c r="AY82" s="304" t="str">
        <f t="shared" si="42"/>
        <v/>
      </c>
      <c r="AZ82" s="308" t="str">
        <f t="shared" si="43"/>
        <v/>
      </c>
      <c r="BA82" s="313" t="str">
        <f t="shared" si="44"/>
        <v/>
      </c>
      <c r="BB82" s="304" t="str">
        <f t="shared" si="45"/>
        <v/>
      </c>
      <c r="BC82" s="308" t="str">
        <f t="shared" si="46"/>
        <v/>
      </c>
      <c r="BD82" s="308" t="str">
        <f t="shared" si="47"/>
        <v/>
      </c>
    </row>
    <row r="83">
      <c r="A83" s="315"/>
      <c r="B83" s="315"/>
      <c r="C83" s="316"/>
      <c r="D83" s="301" t="str">
        <f>IFERROR(__xludf.DUMMYFUNCTION("if(ISBLANK(A83),"""",GOOGLEFINANCE(A83,""NAME""))"),"")</f>
        <v/>
      </c>
      <c r="E83" s="302">
        <v>5000.0</v>
      </c>
      <c r="F83" s="303" t="str">
        <f>IFERROR(__xludf.DUMMYFUNCTION("if(ISBLANK(A83),"""",GOOGLEFINANCE(A83,""HIGH52""))"),"")</f>
        <v/>
      </c>
      <c r="G83" s="303" t="str">
        <f>IFERROR(__xludf.DUMMYFUNCTION("if(ISBLANK(A83),"""",GOOGLEFINANCE(A83,""LOW52""))"),"")</f>
        <v/>
      </c>
      <c r="H83" s="304" t="str">
        <f>IFERROR(__xludf.DUMMYFUNCTION("if(ISBLANK(A83),"""",GOOGLEFINANCE(A83,""Price""))"),"")</f>
        <v/>
      </c>
      <c r="I83" s="305" t="str">
        <f t="shared" si="1"/>
        <v/>
      </c>
      <c r="J83" s="306" t="str">
        <f t="shared" si="2"/>
        <v/>
      </c>
      <c r="K83" s="307" t="str">
        <f>IFERROR(__xludf.DUMMYFUNCTION("if(ISBLANK(A83),"""",googlefinance(A83,""Marketcap"")/10000000)"),"")</f>
        <v/>
      </c>
      <c r="L83" s="309" t="str">
        <f t="shared" si="3"/>
        <v/>
      </c>
      <c r="M83" s="308" t="str">
        <f t="shared" si="4"/>
        <v/>
      </c>
      <c r="N83" s="309" t="str">
        <f t="shared" si="5"/>
        <v/>
      </c>
      <c r="O83" s="322" t="str">
        <f t="shared" si="6"/>
        <v/>
      </c>
      <c r="P83" s="308" t="str">
        <f t="shared" si="7"/>
        <v/>
      </c>
      <c r="Q83" s="311" t="str">
        <f t="shared" si="8"/>
        <v/>
      </c>
      <c r="R83" s="309" t="str">
        <f t="shared" si="9"/>
        <v/>
      </c>
      <c r="S83" s="308" t="str">
        <f t="shared" si="10"/>
        <v/>
      </c>
      <c r="T83" s="309" t="str">
        <f t="shared" si="11"/>
        <v/>
      </c>
      <c r="U83" s="309" t="str">
        <f t="shared" si="12"/>
        <v/>
      </c>
      <c r="V83" s="308" t="str">
        <f t="shared" si="13"/>
        <v/>
      </c>
      <c r="W83" s="309" t="str">
        <f t="shared" si="14"/>
        <v/>
      </c>
      <c r="X83" s="309" t="str">
        <f t="shared" si="15"/>
        <v/>
      </c>
      <c r="Y83" s="308" t="str">
        <f t="shared" si="16"/>
        <v/>
      </c>
      <c r="Z83" s="309" t="str">
        <f t="shared" si="17"/>
        <v/>
      </c>
      <c r="AA83" s="312" t="str">
        <f t="shared" si="18"/>
        <v/>
      </c>
      <c r="AB83" s="308" t="str">
        <f t="shared" si="19"/>
        <v/>
      </c>
      <c r="AC83" s="308" t="str">
        <f t="shared" si="20"/>
        <v/>
      </c>
      <c r="AD83" s="312" t="str">
        <f t="shared" si="21"/>
        <v/>
      </c>
      <c r="AE83" s="308" t="str">
        <f t="shared" si="22"/>
        <v/>
      </c>
      <c r="AF83" s="313" t="str">
        <f t="shared" si="23"/>
        <v/>
      </c>
      <c r="AG83" s="304" t="str">
        <f t="shared" si="24"/>
        <v/>
      </c>
      <c r="AH83" s="308" t="str">
        <f t="shared" si="25"/>
        <v/>
      </c>
      <c r="AI83" s="313" t="str">
        <f t="shared" si="26"/>
        <v/>
      </c>
      <c r="AJ83" s="304" t="str">
        <f t="shared" si="27"/>
        <v/>
      </c>
      <c r="AK83" s="308" t="str">
        <f t="shared" si="28"/>
        <v/>
      </c>
      <c r="AL83" s="308" t="str">
        <f t="shared" si="29"/>
        <v/>
      </c>
      <c r="AM83" s="304" t="str">
        <f t="shared" si="30"/>
        <v/>
      </c>
      <c r="AN83" s="308" t="str">
        <f t="shared" si="31"/>
        <v/>
      </c>
      <c r="AO83" s="313" t="str">
        <f t="shared" si="32"/>
        <v/>
      </c>
      <c r="AP83" s="304" t="str">
        <f t="shared" si="33"/>
        <v/>
      </c>
      <c r="AQ83" s="308" t="str">
        <f t="shared" si="34"/>
        <v/>
      </c>
      <c r="AR83" s="313" t="str">
        <f t="shared" si="35"/>
        <v/>
      </c>
      <c r="AS83" s="304" t="str">
        <f t="shared" si="36"/>
        <v/>
      </c>
      <c r="AT83" s="308" t="str">
        <f t="shared" si="37"/>
        <v/>
      </c>
      <c r="AU83" s="308" t="str">
        <f t="shared" si="38"/>
        <v/>
      </c>
      <c r="AV83" s="304" t="str">
        <f t="shared" si="39"/>
        <v/>
      </c>
      <c r="AW83" s="308" t="str">
        <f t="shared" si="40"/>
        <v/>
      </c>
      <c r="AX83" s="308" t="str">
        <f t="shared" si="41"/>
        <v/>
      </c>
      <c r="AY83" s="304" t="str">
        <f t="shared" si="42"/>
        <v/>
      </c>
      <c r="AZ83" s="308" t="str">
        <f t="shared" si="43"/>
        <v/>
      </c>
      <c r="BA83" s="313" t="str">
        <f t="shared" si="44"/>
        <v/>
      </c>
      <c r="BB83" s="304" t="str">
        <f t="shared" si="45"/>
        <v/>
      </c>
      <c r="BC83" s="308" t="str">
        <f t="shared" si="46"/>
        <v/>
      </c>
      <c r="BD83" s="308" t="str">
        <f t="shared" si="47"/>
        <v/>
      </c>
    </row>
    <row r="84">
      <c r="A84" s="315"/>
      <c r="B84" s="315"/>
      <c r="C84" s="316"/>
      <c r="D84" s="301" t="str">
        <f>IFERROR(__xludf.DUMMYFUNCTION("if(ISBLANK(A84),"""",GOOGLEFINANCE(A84,""NAME""))"),"")</f>
        <v/>
      </c>
      <c r="E84" s="302">
        <v>5000.0</v>
      </c>
      <c r="F84" s="303" t="str">
        <f>IFERROR(__xludf.DUMMYFUNCTION("if(ISBLANK(A84),"""",GOOGLEFINANCE(A84,""HIGH52""))"),"")</f>
        <v/>
      </c>
      <c r="G84" s="303" t="str">
        <f>IFERROR(__xludf.DUMMYFUNCTION("if(ISBLANK(A84),"""",GOOGLEFINANCE(A84,""LOW52""))"),"")</f>
        <v/>
      </c>
      <c r="H84" s="304" t="str">
        <f>IFERROR(__xludf.DUMMYFUNCTION("if(ISBLANK(A84),"""",GOOGLEFINANCE(A84,""Price""))"),"")</f>
        <v/>
      </c>
      <c r="I84" s="305" t="str">
        <f t="shared" si="1"/>
        <v/>
      </c>
      <c r="J84" s="306" t="str">
        <f t="shared" si="2"/>
        <v/>
      </c>
      <c r="K84" s="307" t="str">
        <f>IFERROR(__xludf.DUMMYFUNCTION("if(ISBLANK(A84),"""",googlefinance(A84,""Marketcap"")/10000000)"),"")</f>
        <v/>
      </c>
      <c r="L84" s="309" t="str">
        <f t="shared" si="3"/>
        <v/>
      </c>
      <c r="M84" s="308" t="str">
        <f t="shared" si="4"/>
        <v/>
      </c>
      <c r="N84" s="309" t="str">
        <f t="shared" si="5"/>
        <v/>
      </c>
      <c r="O84" s="322" t="str">
        <f t="shared" si="6"/>
        <v/>
      </c>
      <c r="P84" s="308" t="str">
        <f t="shared" si="7"/>
        <v/>
      </c>
      <c r="Q84" s="311" t="str">
        <f t="shared" si="8"/>
        <v/>
      </c>
      <c r="R84" s="309" t="str">
        <f t="shared" si="9"/>
        <v/>
      </c>
      <c r="S84" s="308" t="str">
        <f t="shared" si="10"/>
        <v/>
      </c>
      <c r="T84" s="309" t="str">
        <f t="shared" si="11"/>
        <v/>
      </c>
      <c r="U84" s="309" t="str">
        <f t="shared" si="12"/>
        <v/>
      </c>
      <c r="V84" s="308" t="str">
        <f t="shared" si="13"/>
        <v/>
      </c>
      <c r="W84" s="309" t="str">
        <f t="shared" si="14"/>
        <v/>
      </c>
      <c r="X84" s="309" t="str">
        <f t="shared" si="15"/>
        <v/>
      </c>
      <c r="Y84" s="308" t="str">
        <f t="shared" si="16"/>
        <v/>
      </c>
      <c r="Z84" s="309" t="str">
        <f t="shared" si="17"/>
        <v/>
      </c>
      <c r="AA84" s="312" t="str">
        <f t="shared" si="18"/>
        <v/>
      </c>
      <c r="AB84" s="308" t="str">
        <f t="shared" si="19"/>
        <v/>
      </c>
      <c r="AC84" s="308" t="str">
        <f t="shared" si="20"/>
        <v/>
      </c>
      <c r="AD84" s="312" t="str">
        <f t="shared" si="21"/>
        <v/>
      </c>
      <c r="AE84" s="308" t="str">
        <f t="shared" si="22"/>
        <v/>
      </c>
      <c r="AF84" s="313" t="str">
        <f t="shared" si="23"/>
        <v/>
      </c>
      <c r="AG84" s="304" t="str">
        <f t="shared" si="24"/>
        <v/>
      </c>
      <c r="AH84" s="308" t="str">
        <f t="shared" si="25"/>
        <v/>
      </c>
      <c r="AI84" s="313" t="str">
        <f t="shared" si="26"/>
        <v/>
      </c>
      <c r="AJ84" s="304" t="str">
        <f t="shared" si="27"/>
        <v/>
      </c>
      <c r="AK84" s="308" t="str">
        <f t="shared" si="28"/>
        <v/>
      </c>
      <c r="AL84" s="308" t="str">
        <f t="shared" si="29"/>
        <v/>
      </c>
      <c r="AM84" s="304" t="str">
        <f t="shared" si="30"/>
        <v/>
      </c>
      <c r="AN84" s="308" t="str">
        <f t="shared" si="31"/>
        <v/>
      </c>
      <c r="AO84" s="313" t="str">
        <f t="shared" si="32"/>
        <v/>
      </c>
      <c r="AP84" s="304" t="str">
        <f t="shared" si="33"/>
        <v/>
      </c>
      <c r="AQ84" s="308" t="str">
        <f t="shared" si="34"/>
        <v/>
      </c>
      <c r="AR84" s="313" t="str">
        <f t="shared" si="35"/>
        <v/>
      </c>
      <c r="AS84" s="304" t="str">
        <f t="shared" si="36"/>
        <v/>
      </c>
      <c r="AT84" s="308" t="str">
        <f t="shared" si="37"/>
        <v/>
      </c>
      <c r="AU84" s="308" t="str">
        <f t="shared" si="38"/>
        <v/>
      </c>
      <c r="AV84" s="304" t="str">
        <f t="shared" si="39"/>
        <v/>
      </c>
      <c r="AW84" s="308" t="str">
        <f t="shared" si="40"/>
        <v/>
      </c>
      <c r="AX84" s="308" t="str">
        <f t="shared" si="41"/>
        <v/>
      </c>
      <c r="AY84" s="304" t="str">
        <f t="shared" si="42"/>
        <v/>
      </c>
      <c r="AZ84" s="308" t="str">
        <f t="shared" si="43"/>
        <v/>
      </c>
      <c r="BA84" s="313" t="str">
        <f t="shared" si="44"/>
        <v/>
      </c>
      <c r="BB84" s="304" t="str">
        <f t="shared" si="45"/>
        <v/>
      </c>
      <c r="BC84" s="308" t="str">
        <f t="shared" si="46"/>
        <v/>
      </c>
      <c r="BD84" s="308" t="str">
        <f t="shared" si="47"/>
        <v/>
      </c>
    </row>
    <row r="85">
      <c r="A85" s="323"/>
      <c r="B85" s="318"/>
      <c r="C85" s="319"/>
      <c r="D85" s="301" t="str">
        <f>IFERROR(__xludf.DUMMYFUNCTION("if(ISBLANK(A85),"""",GOOGLEFINANCE(A85,""NAME""))"),"")</f>
        <v/>
      </c>
      <c r="E85" s="302">
        <v>5000.0</v>
      </c>
      <c r="F85" s="303" t="str">
        <f>IFERROR(__xludf.DUMMYFUNCTION("if(ISBLANK(A85),"""",GOOGLEFINANCE(A85,""HIGH52""))"),"")</f>
        <v/>
      </c>
      <c r="G85" s="303" t="str">
        <f>IFERROR(__xludf.DUMMYFUNCTION("if(ISBLANK(A85),"""",GOOGLEFINANCE(A85,""LOW52""))"),"")</f>
        <v/>
      </c>
      <c r="H85" s="304" t="str">
        <f>IFERROR(__xludf.DUMMYFUNCTION("if(ISBLANK(A85),"""",GOOGLEFINANCE(A85,""Price""))"),"")</f>
        <v/>
      </c>
      <c r="I85" s="305" t="str">
        <f t="shared" si="1"/>
        <v/>
      </c>
      <c r="J85" s="306" t="str">
        <f t="shared" si="2"/>
        <v/>
      </c>
      <c r="K85" s="307" t="str">
        <f>IFERROR(__xludf.DUMMYFUNCTION("if(ISBLANK(A85),"""",googlefinance(A85,""Marketcap"")/10000000)"),"")</f>
        <v/>
      </c>
      <c r="L85" s="309" t="str">
        <f t="shared" si="3"/>
        <v/>
      </c>
      <c r="M85" s="308" t="str">
        <f t="shared" si="4"/>
        <v/>
      </c>
      <c r="N85" s="309" t="str">
        <f t="shared" si="5"/>
        <v/>
      </c>
      <c r="O85" s="322" t="str">
        <f t="shared" si="6"/>
        <v/>
      </c>
      <c r="P85" s="308" t="str">
        <f t="shared" si="7"/>
        <v/>
      </c>
      <c r="Q85" s="311" t="str">
        <f t="shared" si="8"/>
        <v/>
      </c>
      <c r="R85" s="309" t="str">
        <f t="shared" si="9"/>
        <v/>
      </c>
      <c r="S85" s="308" t="str">
        <f t="shared" si="10"/>
        <v/>
      </c>
      <c r="T85" s="309" t="str">
        <f t="shared" si="11"/>
        <v/>
      </c>
      <c r="U85" s="309" t="str">
        <f t="shared" si="12"/>
        <v/>
      </c>
      <c r="V85" s="308" t="str">
        <f t="shared" si="13"/>
        <v/>
      </c>
      <c r="W85" s="309" t="str">
        <f t="shared" si="14"/>
        <v/>
      </c>
      <c r="X85" s="309" t="str">
        <f t="shared" si="15"/>
        <v/>
      </c>
      <c r="Y85" s="308" t="str">
        <f t="shared" si="16"/>
        <v/>
      </c>
      <c r="Z85" s="309" t="str">
        <f t="shared" si="17"/>
        <v/>
      </c>
      <c r="AA85" s="312" t="str">
        <f t="shared" si="18"/>
        <v/>
      </c>
      <c r="AB85" s="308" t="str">
        <f t="shared" si="19"/>
        <v/>
      </c>
      <c r="AC85" s="308" t="str">
        <f t="shared" si="20"/>
        <v/>
      </c>
      <c r="AD85" s="312" t="str">
        <f t="shared" si="21"/>
        <v/>
      </c>
      <c r="AE85" s="308" t="str">
        <f t="shared" si="22"/>
        <v/>
      </c>
      <c r="AF85" s="313" t="str">
        <f t="shared" si="23"/>
        <v/>
      </c>
      <c r="AG85" s="304" t="str">
        <f t="shared" si="24"/>
        <v/>
      </c>
      <c r="AH85" s="308" t="str">
        <f t="shared" si="25"/>
        <v/>
      </c>
      <c r="AI85" s="313" t="str">
        <f t="shared" si="26"/>
        <v/>
      </c>
      <c r="AJ85" s="304" t="str">
        <f t="shared" si="27"/>
        <v/>
      </c>
      <c r="AK85" s="308" t="str">
        <f t="shared" si="28"/>
        <v/>
      </c>
      <c r="AL85" s="308" t="str">
        <f t="shared" si="29"/>
        <v/>
      </c>
      <c r="AM85" s="304" t="str">
        <f t="shared" si="30"/>
        <v/>
      </c>
      <c r="AN85" s="308" t="str">
        <f t="shared" si="31"/>
        <v/>
      </c>
      <c r="AO85" s="313" t="str">
        <f t="shared" si="32"/>
        <v/>
      </c>
      <c r="AP85" s="304" t="str">
        <f t="shared" si="33"/>
        <v/>
      </c>
      <c r="AQ85" s="308" t="str">
        <f t="shared" si="34"/>
        <v/>
      </c>
      <c r="AR85" s="313" t="str">
        <f t="shared" si="35"/>
        <v/>
      </c>
      <c r="AS85" s="304" t="str">
        <f t="shared" si="36"/>
        <v/>
      </c>
      <c r="AT85" s="308" t="str">
        <f t="shared" si="37"/>
        <v/>
      </c>
      <c r="AU85" s="308" t="str">
        <f t="shared" si="38"/>
        <v/>
      </c>
      <c r="AV85" s="304" t="str">
        <f t="shared" si="39"/>
        <v/>
      </c>
      <c r="AW85" s="308" t="str">
        <f t="shared" si="40"/>
        <v/>
      </c>
      <c r="AX85" s="308" t="str">
        <f t="shared" si="41"/>
        <v/>
      </c>
      <c r="AY85" s="304" t="str">
        <f t="shared" si="42"/>
        <v/>
      </c>
      <c r="AZ85" s="308" t="str">
        <f t="shared" si="43"/>
        <v/>
      </c>
      <c r="BA85" s="313" t="str">
        <f t="shared" si="44"/>
        <v/>
      </c>
      <c r="BB85" s="304" t="str">
        <f t="shared" si="45"/>
        <v/>
      </c>
      <c r="BC85" s="308" t="str">
        <f t="shared" si="46"/>
        <v/>
      </c>
      <c r="BD85" s="308" t="str">
        <f t="shared" si="47"/>
        <v/>
      </c>
    </row>
    <row r="86">
      <c r="A86" s="324"/>
      <c r="B86" s="299"/>
      <c r="C86" s="300"/>
      <c r="D86" s="301" t="str">
        <f>IFERROR(__xludf.DUMMYFUNCTION("if(ISBLANK(A86),"""",GOOGLEFINANCE(A86,""NAME""))"),"")</f>
        <v/>
      </c>
      <c r="E86" s="302">
        <v>5000.0</v>
      </c>
      <c r="F86" s="303" t="str">
        <f>IFERROR(__xludf.DUMMYFUNCTION("if(ISBLANK(A86),"""",GOOGLEFINANCE(A86,""HIGH52""))"),"")</f>
        <v/>
      </c>
      <c r="G86" s="303" t="str">
        <f>IFERROR(__xludf.DUMMYFUNCTION("if(ISBLANK(A86),"""",GOOGLEFINANCE(A86,""LOW52""))"),"")</f>
        <v/>
      </c>
      <c r="H86" s="304" t="str">
        <f>IFERROR(__xludf.DUMMYFUNCTION("if(ISBLANK(A86),"""",GOOGLEFINANCE(A86,""Price""))"),"")</f>
        <v/>
      </c>
      <c r="I86" s="305" t="str">
        <f t="shared" si="1"/>
        <v/>
      </c>
      <c r="J86" s="306" t="str">
        <f t="shared" si="2"/>
        <v/>
      </c>
      <c r="K86" s="307" t="str">
        <f>IFERROR(__xludf.DUMMYFUNCTION("if(ISBLANK(A86),"""",googlefinance(A86,""Marketcap"")/10000000)"),"")</f>
        <v/>
      </c>
      <c r="L86" s="309" t="str">
        <f t="shared" si="3"/>
        <v/>
      </c>
      <c r="M86" s="308" t="str">
        <f t="shared" si="4"/>
        <v/>
      </c>
      <c r="N86" s="309" t="str">
        <f t="shared" si="5"/>
        <v/>
      </c>
      <c r="O86" s="322" t="str">
        <f t="shared" si="6"/>
        <v/>
      </c>
      <c r="P86" s="308" t="str">
        <f t="shared" si="7"/>
        <v/>
      </c>
      <c r="Q86" s="311" t="str">
        <f t="shared" si="8"/>
        <v/>
      </c>
      <c r="R86" s="309" t="str">
        <f t="shared" si="9"/>
        <v/>
      </c>
      <c r="S86" s="308" t="str">
        <f t="shared" si="10"/>
        <v/>
      </c>
      <c r="T86" s="309" t="str">
        <f t="shared" si="11"/>
        <v/>
      </c>
      <c r="U86" s="309" t="str">
        <f t="shared" si="12"/>
        <v/>
      </c>
      <c r="V86" s="308" t="str">
        <f t="shared" si="13"/>
        <v/>
      </c>
      <c r="W86" s="309" t="str">
        <f t="shared" si="14"/>
        <v/>
      </c>
      <c r="X86" s="309" t="str">
        <f t="shared" si="15"/>
        <v/>
      </c>
      <c r="Y86" s="308" t="str">
        <f t="shared" si="16"/>
        <v/>
      </c>
      <c r="Z86" s="309" t="str">
        <f t="shared" si="17"/>
        <v/>
      </c>
      <c r="AA86" s="312" t="str">
        <f t="shared" si="18"/>
        <v/>
      </c>
      <c r="AB86" s="308" t="str">
        <f t="shared" si="19"/>
        <v/>
      </c>
      <c r="AC86" s="308" t="str">
        <f t="shared" si="20"/>
        <v/>
      </c>
      <c r="AD86" s="312" t="str">
        <f t="shared" si="21"/>
        <v/>
      </c>
      <c r="AE86" s="308" t="str">
        <f t="shared" si="22"/>
        <v/>
      </c>
      <c r="AF86" s="313" t="str">
        <f t="shared" si="23"/>
        <v/>
      </c>
      <c r="AG86" s="304" t="str">
        <f t="shared" si="24"/>
        <v/>
      </c>
      <c r="AH86" s="308" t="str">
        <f t="shared" si="25"/>
        <v/>
      </c>
      <c r="AI86" s="313" t="str">
        <f t="shared" si="26"/>
        <v/>
      </c>
      <c r="AJ86" s="304" t="str">
        <f t="shared" si="27"/>
        <v/>
      </c>
      <c r="AK86" s="308" t="str">
        <f t="shared" si="28"/>
        <v/>
      </c>
      <c r="AL86" s="308" t="str">
        <f t="shared" si="29"/>
        <v/>
      </c>
      <c r="AM86" s="304" t="str">
        <f t="shared" si="30"/>
        <v/>
      </c>
      <c r="AN86" s="308" t="str">
        <f t="shared" si="31"/>
        <v/>
      </c>
      <c r="AO86" s="313" t="str">
        <f t="shared" si="32"/>
        <v/>
      </c>
      <c r="AP86" s="304" t="str">
        <f t="shared" si="33"/>
        <v/>
      </c>
      <c r="AQ86" s="308" t="str">
        <f t="shared" si="34"/>
        <v/>
      </c>
      <c r="AR86" s="313" t="str">
        <f t="shared" si="35"/>
        <v/>
      </c>
      <c r="AS86" s="304" t="str">
        <f t="shared" si="36"/>
        <v/>
      </c>
      <c r="AT86" s="308" t="str">
        <f t="shared" si="37"/>
        <v/>
      </c>
      <c r="AU86" s="308" t="str">
        <f t="shared" si="38"/>
        <v/>
      </c>
      <c r="AV86" s="304" t="str">
        <f t="shared" si="39"/>
        <v/>
      </c>
      <c r="AW86" s="308" t="str">
        <f t="shared" si="40"/>
        <v/>
      </c>
      <c r="AX86" s="308" t="str">
        <f t="shared" si="41"/>
        <v/>
      </c>
      <c r="AY86" s="304" t="str">
        <f t="shared" si="42"/>
        <v/>
      </c>
      <c r="AZ86" s="308" t="str">
        <f t="shared" si="43"/>
        <v/>
      </c>
      <c r="BA86" s="313" t="str">
        <f t="shared" si="44"/>
        <v/>
      </c>
      <c r="BB86" s="304" t="str">
        <f t="shared" si="45"/>
        <v/>
      </c>
      <c r="BC86" s="308" t="str">
        <f t="shared" si="46"/>
        <v/>
      </c>
      <c r="BD86" s="308" t="str">
        <f t="shared" si="47"/>
        <v/>
      </c>
    </row>
    <row r="87">
      <c r="A87" s="323"/>
      <c r="B87" s="318"/>
      <c r="C87" s="319"/>
      <c r="D87" s="301" t="str">
        <f>IFERROR(__xludf.DUMMYFUNCTION("if(ISBLANK(A87),"""",GOOGLEFINANCE(A87,""NAME""))"),"")</f>
        <v/>
      </c>
      <c r="E87" s="302">
        <v>5000.0</v>
      </c>
      <c r="F87" s="303" t="str">
        <f>IFERROR(__xludf.DUMMYFUNCTION("if(ISBLANK(A87),"""",GOOGLEFINANCE(A87,""HIGH52""))"),"")</f>
        <v/>
      </c>
      <c r="G87" s="303" t="str">
        <f>IFERROR(__xludf.DUMMYFUNCTION("if(ISBLANK(A87),"""",GOOGLEFINANCE(A87,""LOW52""))"),"")</f>
        <v/>
      </c>
      <c r="H87" s="304" t="str">
        <f>IFERROR(__xludf.DUMMYFUNCTION("if(ISBLANK(A87),"""",GOOGLEFINANCE(A87,""Price""))"),"")</f>
        <v/>
      </c>
      <c r="I87" s="305" t="str">
        <f t="shared" si="1"/>
        <v/>
      </c>
      <c r="J87" s="306" t="str">
        <f t="shared" si="2"/>
        <v/>
      </c>
      <c r="K87" s="307" t="str">
        <f>IFERROR(__xludf.DUMMYFUNCTION("if(ISBLANK(A87),"""",googlefinance(A87,""Marketcap"")/10000000)"),"")</f>
        <v/>
      </c>
      <c r="L87" s="309" t="str">
        <f t="shared" si="3"/>
        <v/>
      </c>
      <c r="M87" s="308" t="str">
        <f t="shared" si="4"/>
        <v/>
      </c>
      <c r="N87" s="309" t="str">
        <f t="shared" si="5"/>
        <v/>
      </c>
      <c r="O87" s="322" t="str">
        <f t="shared" si="6"/>
        <v/>
      </c>
      <c r="P87" s="308" t="str">
        <f t="shared" si="7"/>
        <v/>
      </c>
      <c r="Q87" s="311" t="str">
        <f t="shared" si="8"/>
        <v/>
      </c>
      <c r="R87" s="309" t="str">
        <f t="shared" si="9"/>
        <v/>
      </c>
      <c r="S87" s="308" t="str">
        <f t="shared" si="10"/>
        <v/>
      </c>
      <c r="T87" s="309" t="str">
        <f t="shared" si="11"/>
        <v/>
      </c>
      <c r="U87" s="309" t="str">
        <f t="shared" si="12"/>
        <v/>
      </c>
      <c r="V87" s="308" t="str">
        <f t="shared" si="13"/>
        <v/>
      </c>
      <c r="W87" s="309" t="str">
        <f t="shared" si="14"/>
        <v/>
      </c>
      <c r="X87" s="309" t="str">
        <f t="shared" si="15"/>
        <v/>
      </c>
      <c r="Y87" s="308" t="str">
        <f t="shared" si="16"/>
        <v/>
      </c>
      <c r="Z87" s="309" t="str">
        <f t="shared" si="17"/>
        <v/>
      </c>
      <c r="AA87" s="312" t="str">
        <f t="shared" si="18"/>
        <v/>
      </c>
      <c r="AB87" s="308" t="str">
        <f t="shared" si="19"/>
        <v/>
      </c>
      <c r="AC87" s="308" t="str">
        <f t="shared" si="20"/>
        <v/>
      </c>
      <c r="AD87" s="312" t="str">
        <f t="shared" si="21"/>
        <v/>
      </c>
      <c r="AE87" s="308" t="str">
        <f t="shared" si="22"/>
        <v/>
      </c>
      <c r="AF87" s="313" t="str">
        <f t="shared" si="23"/>
        <v/>
      </c>
      <c r="AG87" s="304" t="str">
        <f t="shared" si="24"/>
        <v/>
      </c>
      <c r="AH87" s="308" t="str">
        <f t="shared" si="25"/>
        <v/>
      </c>
      <c r="AI87" s="313" t="str">
        <f t="shared" si="26"/>
        <v/>
      </c>
      <c r="AJ87" s="304" t="str">
        <f t="shared" si="27"/>
        <v/>
      </c>
      <c r="AK87" s="308" t="str">
        <f t="shared" si="28"/>
        <v/>
      </c>
      <c r="AL87" s="308" t="str">
        <f t="shared" si="29"/>
        <v/>
      </c>
      <c r="AM87" s="304" t="str">
        <f t="shared" si="30"/>
        <v/>
      </c>
      <c r="AN87" s="308" t="str">
        <f t="shared" si="31"/>
        <v/>
      </c>
      <c r="AO87" s="313" t="str">
        <f t="shared" si="32"/>
        <v/>
      </c>
      <c r="AP87" s="304" t="str">
        <f t="shared" si="33"/>
        <v/>
      </c>
      <c r="AQ87" s="308" t="str">
        <f t="shared" si="34"/>
        <v/>
      </c>
      <c r="AR87" s="313" t="str">
        <f t="shared" si="35"/>
        <v/>
      </c>
      <c r="AS87" s="304" t="str">
        <f t="shared" si="36"/>
        <v/>
      </c>
      <c r="AT87" s="308" t="str">
        <f t="shared" si="37"/>
        <v/>
      </c>
      <c r="AU87" s="308" t="str">
        <f t="shared" si="38"/>
        <v/>
      </c>
      <c r="AV87" s="304" t="str">
        <f t="shared" si="39"/>
        <v/>
      </c>
      <c r="AW87" s="308" t="str">
        <f t="shared" si="40"/>
        <v/>
      </c>
      <c r="AX87" s="308" t="str">
        <f t="shared" si="41"/>
        <v/>
      </c>
      <c r="AY87" s="304" t="str">
        <f t="shared" si="42"/>
        <v/>
      </c>
      <c r="AZ87" s="308" t="str">
        <f t="shared" si="43"/>
        <v/>
      </c>
      <c r="BA87" s="313" t="str">
        <f t="shared" si="44"/>
        <v/>
      </c>
      <c r="BB87" s="304" t="str">
        <f t="shared" si="45"/>
        <v/>
      </c>
      <c r="BC87" s="308" t="str">
        <f t="shared" si="46"/>
        <v/>
      </c>
      <c r="BD87" s="308" t="str">
        <f t="shared" si="47"/>
        <v/>
      </c>
    </row>
    <row r="88">
      <c r="A88" s="323"/>
      <c r="B88" s="318"/>
      <c r="C88" s="319"/>
      <c r="D88" s="301" t="str">
        <f>IFERROR(__xludf.DUMMYFUNCTION("if(ISBLANK(A88),"""",GOOGLEFINANCE(A88,""NAME""))"),"")</f>
        <v/>
      </c>
      <c r="E88" s="302">
        <v>5000.0</v>
      </c>
      <c r="F88" s="303" t="str">
        <f>IFERROR(__xludf.DUMMYFUNCTION("if(ISBLANK(A88),"""",GOOGLEFINANCE(A88,""HIGH52""))"),"")</f>
        <v/>
      </c>
      <c r="G88" s="303" t="str">
        <f>IFERROR(__xludf.DUMMYFUNCTION("if(ISBLANK(A88),"""",GOOGLEFINANCE(A88,""LOW52""))"),"")</f>
        <v/>
      </c>
      <c r="H88" s="304" t="str">
        <f>IFERROR(__xludf.DUMMYFUNCTION("if(ISBLANK(A88),"""",GOOGLEFINANCE(A88,""Price""))"),"")</f>
        <v/>
      </c>
      <c r="I88" s="305" t="str">
        <f t="shared" si="1"/>
        <v/>
      </c>
      <c r="J88" s="306" t="str">
        <f t="shared" si="2"/>
        <v/>
      </c>
      <c r="K88" s="307" t="str">
        <f>IFERROR(__xludf.DUMMYFUNCTION("if(ISBLANK(A88),"""",googlefinance(A88,""Marketcap"")/10000000)"),"")</f>
        <v/>
      </c>
      <c r="L88" s="309" t="str">
        <f t="shared" si="3"/>
        <v/>
      </c>
      <c r="M88" s="308" t="str">
        <f t="shared" si="4"/>
        <v/>
      </c>
      <c r="N88" s="309" t="str">
        <f t="shared" si="5"/>
        <v/>
      </c>
      <c r="O88" s="322" t="str">
        <f t="shared" si="6"/>
        <v/>
      </c>
      <c r="P88" s="308" t="str">
        <f t="shared" si="7"/>
        <v/>
      </c>
      <c r="Q88" s="311" t="str">
        <f t="shared" si="8"/>
        <v/>
      </c>
      <c r="R88" s="309" t="str">
        <f t="shared" si="9"/>
        <v/>
      </c>
      <c r="S88" s="308" t="str">
        <f t="shared" si="10"/>
        <v/>
      </c>
      <c r="T88" s="309" t="str">
        <f t="shared" si="11"/>
        <v/>
      </c>
      <c r="U88" s="309" t="str">
        <f t="shared" si="12"/>
        <v/>
      </c>
      <c r="V88" s="308" t="str">
        <f t="shared" si="13"/>
        <v/>
      </c>
      <c r="W88" s="309" t="str">
        <f t="shared" si="14"/>
        <v/>
      </c>
      <c r="X88" s="309" t="str">
        <f t="shared" si="15"/>
        <v/>
      </c>
      <c r="Y88" s="308" t="str">
        <f t="shared" si="16"/>
        <v/>
      </c>
      <c r="Z88" s="309" t="str">
        <f t="shared" si="17"/>
        <v/>
      </c>
      <c r="AA88" s="312" t="str">
        <f t="shared" si="18"/>
        <v/>
      </c>
      <c r="AB88" s="308" t="str">
        <f t="shared" si="19"/>
        <v/>
      </c>
      <c r="AC88" s="308" t="str">
        <f t="shared" si="20"/>
        <v/>
      </c>
      <c r="AD88" s="312" t="str">
        <f t="shared" si="21"/>
        <v/>
      </c>
      <c r="AE88" s="308" t="str">
        <f t="shared" si="22"/>
        <v/>
      </c>
      <c r="AF88" s="313" t="str">
        <f t="shared" si="23"/>
        <v/>
      </c>
      <c r="AG88" s="304" t="str">
        <f t="shared" si="24"/>
        <v/>
      </c>
      <c r="AH88" s="308" t="str">
        <f t="shared" si="25"/>
        <v/>
      </c>
      <c r="AI88" s="313" t="str">
        <f t="shared" si="26"/>
        <v/>
      </c>
      <c r="AJ88" s="304" t="str">
        <f t="shared" si="27"/>
        <v/>
      </c>
      <c r="AK88" s="308" t="str">
        <f t="shared" si="28"/>
        <v/>
      </c>
      <c r="AL88" s="308" t="str">
        <f t="shared" si="29"/>
        <v/>
      </c>
      <c r="AM88" s="304" t="str">
        <f t="shared" si="30"/>
        <v/>
      </c>
      <c r="AN88" s="308" t="str">
        <f t="shared" si="31"/>
        <v/>
      </c>
      <c r="AO88" s="313" t="str">
        <f t="shared" si="32"/>
        <v/>
      </c>
      <c r="AP88" s="304" t="str">
        <f t="shared" si="33"/>
        <v/>
      </c>
      <c r="AQ88" s="308" t="str">
        <f t="shared" si="34"/>
        <v/>
      </c>
      <c r="AR88" s="313" t="str">
        <f t="shared" si="35"/>
        <v/>
      </c>
      <c r="AS88" s="304" t="str">
        <f t="shared" si="36"/>
        <v/>
      </c>
      <c r="AT88" s="308" t="str">
        <f t="shared" si="37"/>
        <v/>
      </c>
      <c r="AU88" s="308" t="str">
        <f t="shared" si="38"/>
        <v/>
      </c>
      <c r="AV88" s="304" t="str">
        <f t="shared" si="39"/>
        <v/>
      </c>
      <c r="AW88" s="308" t="str">
        <f t="shared" si="40"/>
        <v/>
      </c>
      <c r="AX88" s="308" t="str">
        <f t="shared" si="41"/>
        <v/>
      </c>
      <c r="AY88" s="304" t="str">
        <f t="shared" si="42"/>
        <v/>
      </c>
      <c r="AZ88" s="308" t="str">
        <f t="shared" si="43"/>
        <v/>
      </c>
      <c r="BA88" s="313" t="str">
        <f t="shared" si="44"/>
        <v/>
      </c>
      <c r="BB88" s="304" t="str">
        <f t="shared" si="45"/>
        <v/>
      </c>
      <c r="BC88" s="308" t="str">
        <f t="shared" si="46"/>
        <v/>
      </c>
      <c r="BD88" s="308" t="str">
        <f t="shared" si="47"/>
        <v/>
      </c>
    </row>
    <row r="89">
      <c r="A89" s="323"/>
      <c r="B89" s="318"/>
      <c r="C89" s="319"/>
      <c r="D89" s="301" t="str">
        <f>IFERROR(__xludf.DUMMYFUNCTION("if(ISBLANK(A89),"""",GOOGLEFINANCE(A89,""NAME""))"),"")</f>
        <v/>
      </c>
      <c r="E89" s="302">
        <v>5000.0</v>
      </c>
      <c r="F89" s="303" t="str">
        <f>IFERROR(__xludf.DUMMYFUNCTION("if(ISBLANK(A89),"""",GOOGLEFINANCE(A89,""HIGH52""))"),"")</f>
        <v/>
      </c>
      <c r="G89" s="303" t="str">
        <f>IFERROR(__xludf.DUMMYFUNCTION("if(ISBLANK(A89),"""",GOOGLEFINANCE(A89,""LOW52""))"),"")</f>
        <v/>
      </c>
      <c r="H89" s="304" t="str">
        <f>IFERROR(__xludf.DUMMYFUNCTION("if(ISBLANK(A89),"""",GOOGLEFINANCE(A89,""Price""))"),"")</f>
        <v/>
      </c>
      <c r="I89" s="305" t="str">
        <f t="shared" si="1"/>
        <v/>
      </c>
      <c r="J89" s="306" t="str">
        <f t="shared" si="2"/>
        <v/>
      </c>
      <c r="K89" s="307" t="str">
        <f>IFERROR(__xludf.DUMMYFUNCTION("if(ISBLANK(A89),"""",googlefinance(A89,""Marketcap"")/10000000)"),"")</f>
        <v/>
      </c>
      <c r="L89" s="309" t="str">
        <f t="shared" si="3"/>
        <v/>
      </c>
      <c r="M89" s="308" t="str">
        <f t="shared" si="4"/>
        <v/>
      </c>
      <c r="N89" s="309" t="str">
        <f t="shared" si="5"/>
        <v/>
      </c>
      <c r="O89" s="322" t="str">
        <f t="shared" si="6"/>
        <v/>
      </c>
      <c r="P89" s="308" t="str">
        <f t="shared" si="7"/>
        <v/>
      </c>
      <c r="Q89" s="311" t="str">
        <f t="shared" si="8"/>
        <v/>
      </c>
      <c r="R89" s="309" t="str">
        <f t="shared" si="9"/>
        <v/>
      </c>
      <c r="S89" s="308" t="str">
        <f t="shared" si="10"/>
        <v/>
      </c>
      <c r="T89" s="309" t="str">
        <f t="shared" si="11"/>
        <v/>
      </c>
      <c r="U89" s="309" t="str">
        <f t="shared" si="12"/>
        <v/>
      </c>
      <c r="V89" s="308" t="str">
        <f t="shared" si="13"/>
        <v/>
      </c>
      <c r="W89" s="309" t="str">
        <f t="shared" si="14"/>
        <v/>
      </c>
      <c r="X89" s="309" t="str">
        <f t="shared" si="15"/>
        <v/>
      </c>
      <c r="Y89" s="308" t="str">
        <f t="shared" si="16"/>
        <v/>
      </c>
      <c r="Z89" s="309" t="str">
        <f t="shared" si="17"/>
        <v/>
      </c>
      <c r="AA89" s="312" t="str">
        <f t="shared" si="18"/>
        <v/>
      </c>
      <c r="AB89" s="308" t="str">
        <f t="shared" si="19"/>
        <v/>
      </c>
      <c r="AC89" s="308" t="str">
        <f t="shared" si="20"/>
        <v/>
      </c>
      <c r="AD89" s="312" t="str">
        <f t="shared" si="21"/>
        <v/>
      </c>
      <c r="AE89" s="308" t="str">
        <f t="shared" si="22"/>
        <v/>
      </c>
      <c r="AF89" s="313" t="str">
        <f t="shared" si="23"/>
        <v/>
      </c>
      <c r="AG89" s="304" t="str">
        <f t="shared" si="24"/>
        <v/>
      </c>
      <c r="AH89" s="308" t="str">
        <f t="shared" si="25"/>
        <v/>
      </c>
      <c r="AI89" s="313" t="str">
        <f t="shared" si="26"/>
        <v/>
      </c>
      <c r="AJ89" s="304" t="str">
        <f t="shared" si="27"/>
        <v/>
      </c>
      <c r="AK89" s="308" t="str">
        <f t="shared" si="28"/>
        <v/>
      </c>
      <c r="AL89" s="308" t="str">
        <f t="shared" si="29"/>
        <v/>
      </c>
      <c r="AM89" s="304" t="str">
        <f t="shared" si="30"/>
        <v/>
      </c>
      <c r="AN89" s="308" t="str">
        <f t="shared" si="31"/>
        <v/>
      </c>
      <c r="AO89" s="313" t="str">
        <f t="shared" si="32"/>
        <v/>
      </c>
      <c r="AP89" s="304" t="str">
        <f t="shared" si="33"/>
        <v/>
      </c>
      <c r="AQ89" s="308" t="str">
        <f t="shared" si="34"/>
        <v/>
      </c>
      <c r="AR89" s="313" t="str">
        <f t="shared" si="35"/>
        <v/>
      </c>
      <c r="AS89" s="304" t="str">
        <f t="shared" si="36"/>
        <v/>
      </c>
      <c r="AT89" s="308" t="str">
        <f t="shared" si="37"/>
        <v/>
      </c>
      <c r="AU89" s="308" t="str">
        <f t="shared" si="38"/>
        <v/>
      </c>
      <c r="AV89" s="304" t="str">
        <f t="shared" si="39"/>
        <v/>
      </c>
      <c r="AW89" s="308" t="str">
        <f t="shared" si="40"/>
        <v/>
      </c>
      <c r="AX89" s="308" t="str">
        <f t="shared" si="41"/>
        <v/>
      </c>
      <c r="AY89" s="304" t="str">
        <f t="shared" si="42"/>
        <v/>
      </c>
      <c r="AZ89" s="308" t="str">
        <f t="shared" si="43"/>
        <v/>
      </c>
      <c r="BA89" s="313" t="str">
        <f t="shared" si="44"/>
        <v/>
      </c>
      <c r="BB89" s="304" t="str">
        <f t="shared" si="45"/>
        <v/>
      </c>
      <c r="BC89" s="308" t="str">
        <f t="shared" si="46"/>
        <v/>
      </c>
      <c r="BD89" s="308" t="str">
        <f t="shared" si="47"/>
        <v/>
      </c>
    </row>
    <row r="90">
      <c r="A90" s="323"/>
      <c r="B90" s="318"/>
      <c r="C90" s="319"/>
      <c r="D90" s="301" t="str">
        <f>IFERROR(__xludf.DUMMYFUNCTION("if(ISBLANK(A90),"""",GOOGLEFINANCE(A90,""NAME""))"),"")</f>
        <v/>
      </c>
      <c r="E90" s="302">
        <v>5000.0</v>
      </c>
      <c r="F90" s="303" t="str">
        <f>IFERROR(__xludf.DUMMYFUNCTION("if(ISBLANK(A90),"""",GOOGLEFINANCE(A90,""HIGH52""))"),"")</f>
        <v/>
      </c>
      <c r="G90" s="303" t="str">
        <f>IFERROR(__xludf.DUMMYFUNCTION("if(ISBLANK(A90),"""",GOOGLEFINANCE(A90,""LOW52""))"),"")</f>
        <v/>
      </c>
      <c r="H90" s="304" t="str">
        <f>IFERROR(__xludf.DUMMYFUNCTION("if(ISBLANK(A90),"""",GOOGLEFINANCE(A90,""Price""))"),"")</f>
        <v/>
      </c>
      <c r="I90" s="305" t="str">
        <f t="shared" si="1"/>
        <v/>
      </c>
      <c r="J90" s="306" t="str">
        <f t="shared" si="2"/>
        <v/>
      </c>
      <c r="K90" s="307" t="str">
        <f>IFERROR(__xludf.DUMMYFUNCTION("if(ISBLANK(A90),"""",googlefinance(A90,""Marketcap"")/10000000)"),"")</f>
        <v/>
      </c>
      <c r="L90" s="309" t="str">
        <f t="shared" si="3"/>
        <v/>
      </c>
      <c r="M90" s="308" t="str">
        <f t="shared" si="4"/>
        <v/>
      </c>
      <c r="N90" s="309" t="str">
        <f t="shared" si="5"/>
        <v/>
      </c>
      <c r="O90" s="322" t="str">
        <f t="shared" si="6"/>
        <v/>
      </c>
      <c r="P90" s="308" t="str">
        <f t="shared" si="7"/>
        <v/>
      </c>
      <c r="Q90" s="311" t="str">
        <f t="shared" si="8"/>
        <v/>
      </c>
      <c r="R90" s="309" t="str">
        <f t="shared" si="9"/>
        <v/>
      </c>
      <c r="S90" s="308" t="str">
        <f t="shared" si="10"/>
        <v/>
      </c>
      <c r="T90" s="309" t="str">
        <f t="shared" si="11"/>
        <v/>
      </c>
      <c r="U90" s="309" t="str">
        <f t="shared" si="12"/>
        <v/>
      </c>
      <c r="V90" s="308" t="str">
        <f t="shared" si="13"/>
        <v/>
      </c>
      <c r="W90" s="309" t="str">
        <f t="shared" si="14"/>
        <v/>
      </c>
      <c r="X90" s="309" t="str">
        <f t="shared" si="15"/>
        <v/>
      </c>
      <c r="Y90" s="308" t="str">
        <f t="shared" si="16"/>
        <v/>
      </c>
      <c r="Z90" s="309" t="str">
        <f t="shared" si="17"/>
        <v/>
      </c>
      <c r="AA90" s="312" t="str">
        <f t="shared" si="18"/>
        <v/>
      </c>
      <c r="AB90" s="308" t="str">
        <f t="shared" si="19"/>
        <v/>
      </c>
      <c r="AC90" s="308" t="str">
        <f t="shared" si="20"/>
        <v/>
      </c>
      <c r="AD90" s="312" t="str">
        <f t="shared" si="21"/>
        <v/>
      </c>
      <c r="AE90" s="308" t="str">
        <f t="shared" si="22"/>
        <v/>
      </c>
      <c r="AF90" s="313" t="str">
        <f t="shared" si="23"/>
        <v/>
      </c>
      <c r="AG90" s="304" t="str">
        <f t="shared" si="24"/>
        <v/>
      </c>
      <c r="AH90" s="308" t="str">
        <f t="shared" si="25"/>
        <v/>
      </c>
      <c r="AI90" s="313" t="str">
        <f t="shared" si="26"/>
        <v/>
      </c>
      <c r="AJ90" s="304" t="str">
        <f t="shared" si="27"/>
        <v/>
      </c>
      <c r="AK90" s="308" t="str">
        <f t="shared" si="28"/>
        <v/>
      </c>
      <c r="AL90" s="308" t="str">
        <f t="shared" si="29"/>
        <v/>
      </c>
      <c r="AM90" s="304" t="str">
        <f t="shared" si="30"/>
        <v/>
      </c>
      <c r="AN90" s="308" t="str">
        <f t="shared" si="31"/>
        <v/>
      </c>
      <c r="AO90" s="313" t="str">
        <f t="shared" si="32"/>
        <v/>
      </c>
      <c r="AP90" s="304" t="str">
        <f t="shared" si="33"/>
        <v/>
      </c>
      <c r="AQ90" s="308" t="str">
        <f t="shared" si="34"/>
        <v/>
      </c>
      <c r="AR90" s="313" t="str">
        <f t="shared" si="35"/>
        <v/>
      </c>
      <c r="AS90" s="304" t="str">
        <f t="shared" si="36"/>
        <v/>
      </c>
      <c r="AT90" s="308" t="str">
        <f t="shared" si="37"/>
        <v/>
      </c>
      <c r="AU90" s="308" t="str">
        <f t="shared" si="38"/>
        <v/>
      </c>
      <c r="AV90" s="304" t="str">
        <f t="shared" si="39"/>
        <v/>
      </c>
      <c r="AW90" s="308" t="str">
        <f t="shared" si="40"/>
        <v/>
      </c>
      <c r="AX90" s="308" t="str">
        <f t="shared" si="41"/>
        <v/>
      </c>
      <c r="AY90" s="304" t="str">
        <f t="shared" si="42"/>
        <v/>
      </c>
      <c r="AZ90" s="308" t="str">
        <f t="shared" si="43"/>
        <v/>
      </c>
      <c r="BA90" s="313" t="str">
        <f t="shared" si="44"/>
        <v/>
      </c>
      <c r="BB90" s="304" t="str">
        <f t="shared" si="45"/>
        <v/>
      </c>
      <c r="BC90" s="308" t="str">
        <f t="shared" si="46"/>
        <v/>
      </c>
      <c r="BD90" s="308" t="str">
        <f t="shared" si="47"/>
        <v/>
      </c>
    </row>
    <row r="91">
      <c r="A91" s="323"/>
      <c r="B91" s="318"/>
      <c r="C91" s="319"/>
      <c r="D91" s="301" t="str">
        <f>IFERROR(__xludf.DUMMYFUNCTION("if(ISBLANK(A91),"""",GOOGLEFINANCE(A91,""NAME""))"),"")</f>
        <v/>
      </c>
      <c r="E91" s="302">
        <v>5000.0</v>
      </c>
      <c r="F91" s="303" t="str">
        <f>IFERROR(__xludf.DUMMYFUNCTION("if(ISBLANK(A91),"""",GOOGLEFINANCE(A91,""HIGH52""))"),"")</f>
        <v/>
      </c>
      <c r="G91" s="303" t="str">
        <f>IFERROR(__xludf.DUMMYFUNCTION("if(ISBLANK(A91),"""",GOOGLEFINANCE(A91,""LOW52""))"),"")</f>
        <v/>
      </c>
      <c r="H91" s="304" t="str">
        <f>IFERROR(__xludf.DUMMYFUNCTION("if(ISBLANK(A91),"""",GOOGLEFINANCE(A91,""Price""))"),"")</f>
        <v/>
      </c>
      <c r="I91" s="305" t="str">
        <f t="shared" si="1"/>
        <v/>
      </c>
      <c r="J91" s="306" t="str">
        <f t="shared" si="2"/>
        <v/>
      </c>
      <c r="K91" s="307" t="str">
        <f>IFERROR(__xludf.DUMMYFUNCTION("if(ISBLANK(A91),"""",googlefinance(A91,""Marketcap"")/10000000)"),"")</f>
        <v/>
      </c>
      <c r="L91" s="309" t="str">
        <f t="shared" si="3"/>
        <v/>
      </c>
      <c r="M91" s="308" t="str">
        <f t="shared" si="4"/>
        <v/>
      </c>
      <c r="N91" s="309" t="str">
        <f t="shared" si="5"/>
        <v/>
      </c>
      <c r="O91" s="322" t="str">
        <f t="shared" si="6"/>
        <v/>
      </c>
      <c r="P91" s="308" t="str">
        <f t="shared" si="7"/>
        <v/>
      </c>
      <c r="Q91" s="311" t="str">
        <f t="shared" si="8"/>
        <v/>
      </c>
      <c r="R91" s="309" t="str">
        <f t="shared" si="9"/>
        <v/>
      </c>
      <c r="S91" s="308" t="str">
        <f t="shared" si="10"/>
        <v/>
      </c>
      <c r="T91" s="309" t="str">
        <f t="shared" si="11"/>
        <v/>
      </c>
      <c r="U91" s="309" t="str">
        <f t="shared" si="12"/>
        <v/>
      </c>
      <c r="V91" s="308" t="str">
        <f t="shared" si="13"/>
        <v/>
      </c>
      <c r="W91" s="309" t="str">
        <f t="shared" si="14"/>
        <v/>
      </c>
      <c r="X91" s="309" t="str">
        <f t="shared" si="15"/>
        <v/>
      </c>
      <c r="Y91" s="308" t="str">
        <f t="shared" si="16"/>
        <v/>
      </c>
      <c r="Z91" s="309" t="str">
        <f t="shared" si="17"/>
        <v/>
      </c>
      <c r="AA91" s="312" t="str">
        <f t="shared" si="18"/>
        <v/>
      </c>
      <c r="AB91" s="308" t="str">
        <f t="shared" si="19"/>
        <v/>
      </c>
      <c r="AC91" s="308" t="str">
        <f t="shared" si="20"/>
        <v/>
      </c>
      <c r="AD91" s="312" t="str">
        <f t="shared" si="21"/>
        <v/>
      </c>
      <c r="AE91" s="308" t="str">
        <f t="shared" si="22"/>
        <v/>
      </c>
      <c r="AF91" s="313" t="str">
        <f t="shared" si="23"/>
        <v/>
      </c>
      <c r="AG91" s="304" t="str">
        <f t="shared" si="24"/>
        <v/>
      </c>
      <c r="AH91" s="308" t="str">
        <f t="shared" si="25"/>
        <v/>
      </c>
      <c r="AI91" s="313" t="str">
        <f t="shared" si="26"/>
        <v/>
      </c>
      <c r="AJ91" s="304" t="str">
        <f t="shared" si="27"/>
        <v/>
      </c>
      <c r="AK91" s="308" t="str">
        <f t="shared" si="28"/>
        <v/>
      </c>
      <c r="AL91" s="308" t="str">
        <f t="shared" si="29"/>
        <v/>
      </c>
      <c r="AM91" s="304" t="str">
        <f t="shared" si="30"/>
        <v/>
      </c>
      <c r="AN91" s="308" t="str">
        <f t="shared" si="31"/>
        <v/>
      </c>
      <c r="AO91" s="313" t="str">
        <f t="shared" si="32"/>
        <v/>
      </c>
      <c r="AP91" s="304" t="str">
        <f t="shared" si="33"/>
        <v/>
      </c>
      <c r="AQ91" s="308" t="str">
        <f t="shared" si="34"/>
        <v/>
      </c>
      <c r="AR91" s="313" t="str">
        <f t="shared" si="35"/>
        <v/>
      </c>
      <c r="AS91" s="304" t="str">
        <f t="shared" si="36"/>
        <v/>
      </c>
      <c r="AT91" s="308" t="str">
        <f t="shared" si="37"/>
        <v/>
      </c>
      <c r="AU91" s="308" t="str">
        <f t="shared" si="38"/>
        <v/>
      </c>
      <c r="AV91" s="304" t="str">
        <f t="shared" si="39"/>
        <v/>
      </c>
      <c r="AW91" s="308" t="str">
        <f t="shared" si="40"/>
        <v/>
      </c>
      <c r="AX91" s="308" t="str">
        <f t="shared" si="41"/>
        <v/>
      </c>
      <c r="AY91" s="304" t="str">
        <f t="shared" si="42"/>
        <v/>
      </c>
      <c r="AZ91" s="308" t="str">
        <f t="shared" si="43"/>
        <v/>
      </c>
      <c r="BA91" s="313" t="str">
        <f t="shared" si="44"/>
        <v/>
      </c>
      <c r="BB91" s="304" t="str">
        <f t="shared" si="45"/>
        <v/>
      </c>
      <c r="BC91" s="308" t="str">
        <f t="shared" si="46"/>
        <v/>
      </c>
      <c r="BD91" s="308" t="str">
        <f t="shared" si="47"/>
        <v/>
      </c>
    </row>
    <row r="92">
      <c r="A92" s="324"/>
      <c r="B92" s="299"/>
      <c r="C92" s="300"/>
      <c r="D92" s="301" t="str">
        <f>IFERROR(__xludf.DUMMYFUNCTION("if(ISBLANK(A92),"""",GOOGLEFINANCE(A92,""NAME""))"),"")</f>
        <v/>
      </c>
      <c r="E92" s="302">
        <v>5000.0</v>
      </c>
      <c r="F92" s="303" t="str">
        <f>IFERROR(__xludf.DUMMYFUNCTION("if(ISBLANK(A92),"""",GOOGLEFINANCE(A92,""HIGH52""))"),"")</f>
        <v/>
      </c>
      <c r="G92" s="303" t="str">
        <f>IFERROR(__xludf.DUMMYFUNCTION("if(ISBLANK(A92),"""",GOOGLEFINANCE(A92,""LOW52""))"),"")</f>
        <v/>
      </c>
      <c r="H92" s="304" t="str">
        <f>IFERROR(__xludf.DUMMYFUNCTION("if(ISBLANK(A92),"""",GOOGLEFINANCE(A92,""Price""))"),"")</f>
        <v/>
      </c>
      <c r="I92" s="305" t="str">
        <f t="shared" si="1"/>
        <v/>
      </c>
      <c r="J92" s="306" t="str">
        <f t="shared" si="2"/>
        <v/>
      </c>
      <c r="K92" s="307" t="str">
        <f>IFERROR(__xludf.DUMMYFUNCTION("if(ISBLANK(A92),"""",googlefinance(A92,""Marketcap"")/10000000)"),"")</f>
        <v/>
      </c>
      <c r="L92" s="309" t="str">
        <f t="shared" si="3"/>
        <v/>
      </c>
      <c r="M92" s="308" t="str">
        <f t="shared" si="4"/>
        <v/>
      </c>
      <c r="N92" s="309" t="str">
        <f t="shared" si="5"/>
        <v/>
      </c>
      <c r="O92" s="322" t="str">
        <f t="shared" si="6"/>
        <v/>
      </c>
      <c r="P92" s="308" t="str">
        <f t="shared" si="7"/>
        <v/>
      </c>
      <c r="Q92" s="311" t="str">
        <f t="shared" si="8"/>
        <v/>
      </c>
      <c r="R92" s="309" t="str">
        <f t="shared" si="9"/>
        <v/>
      </c>
      <c r="S92" s="308" t="str">
        <f t="shared" si="10"/>
        <v/>
      </c>
      <c r="T92" s="309" t="str">
        <f t="shared" si="11"/>
        <v/>
      </c>
      <c r="U92" s="309" t="str">
        <f t="shared" si="12"/>
        <v/>
      </c>
      <c r="V92" s="308" t="str">
        <f t="shared" si="13"/>
        <v/>
      </c>
      <c r="W92" s="309" t="str">
        <f t="shared" si="14"/>
        <v/>
      </c>
      <c r="X92" s="309" t="str">
        <f t="shared" si="15"/>
        <v/>
      </c>
      <c r="Y92" s="308" t="str">
        <f t="shared" si="16"/>
        <v/>
      </c>
      <c r="Z92" s="309" t="str">
        <f t="shared" si="17"/>
        <v/>
      </c>
      <c r="AA92" s="312" t="str">
        <f t="shared" si="18"/>
        <v/>
      </c>
      <c r="AB92" s="308" t="str">
        <f t="shared" si="19"/>
        <v/>
      </c>
      <c r="AC92" s="308" t="str">
        <f t="shared" si="20"/>
        <v/>
      </c>
      <c r="AD92" s="312" t="str">
        <f t="shared" si="21"/>
        <v/>
      </c>
      <c r="AE92" s="308" t="str">
        <f t="shared" si="22"/>
        <v/>
      </c>
      <c r="AF92" s="313" t="str">
        <f t="shared" si="23"/>
        <v/>
      </c>
      <c r="AG92" s="304" t="str">
        <f t="shared" si="24"/>
        <v/>
      </c>
      <c r="AH92" s="308" t="str">
        <f t="shared" si="25"/>
        <v/>
      </c>
      <c r="AI92" s="313" t="str">
        <f t="shared" si="26"/>
        <v/>
      </c>
      <c r="AJ92" s="304" t="str">
        <f t="shared" si="27"/>
        <v/>
      </c>
      <c r="AK92" s="308" t="str">
        <f t="shared" si="28"/>
        <v/>
      </c>
      <c r="AL92" s="308" t="str">
        <f t="shared" si="29"/>
        <v/>
      </c>
      <c r="AM92" s="304" t="str">
        <f t="shared" si="30"/>
        <v/>
      </c>
      <c r="AN92" s="308" t="str">
        <f t="shared" si="31"/>
        <v/>
      </c>
      <c r="AO92" s="313" t="str">
        <f t="shared" si="32"/>
        <v/>
      </c>
      <c r="AP92" s="304" t="str">
        <f t="shared" si="33"/>
        <v/>
      </c>
      <c r="AQ92" s="308" t="str">
        <f t="shared" si="34"/>
        <v/>
      </c>
      <c r="AR92" s="313" t="str">
        <f t="shared" si="35"/>
        <v/>
      </c>
      <c r="AS92" s="304" t="str">
        <f t="shared" si="36"/>
        <v/>
      </c>
      <c r="AT92" s="308" t="str">
        <f t="shared" si="37"/>
        <v/>
      </c>
      <c r="AU92" s="308" t="str">
        <f t="shared" si="38"/>
        <v/>
      </c>
      <c r="AV92" s="304" t="str">
        <f t="shared" si="39"/>
        <v/>
      </c>
      <c r="AW92" s="308" t="str">
        <f t="shared" si="40"/>
        <v/>
      </c>
      <c r="AX92" s="308" t="str">
        <f t="shared" si="41"/>
        <v/>
      </c>
      <c r="AY92" s="304" t="str">
        <f t="shared" si="42"/>
        <v/>
      </c>
      <c r="AZ92" s="308" t="str">
        <f t="shared" si="43"/>
        <v/>
      </c>
      <c r="BA92" s="313" t="str">
        <f t="shared" si="44"/>
        <v/>
      </c>
      <c r="BB92" s="304" t="str">
        <f t="shared" si="45"/>
        <v/>
      </c>
      <c r="BC92" s="308" t="str">
        <f t="shared" si="46"/>
        <v/>
      </c>
      <c r="BD92" s="308" t="str">
        <f t="shared" si="47"/>
        <v/>
      </c>
    </row>
    <row r="93">
      <c r="A93" s="324"/>
      <c r="B93" s="299"/>
      <c r="C93" s="300"/>
      <c r="D93" s="301" t="str">
        <f>IFERROR(__xludf.DUMMYFUNCTION("if(ISBLANK(A93),"""",GOOGLEFINANCE(A93,""NAME""))"),"")</f>
        <v/>
      </c>
      <c r="E93" s="302">
        <v>5000.0</v>
      </c>
      <c r="F93" s="303" t="str">
        <f>IFERROR(__xludf.DUMMYFUNCTION("if(ISBLANK(A93),"""",GOOGLEFINANCE(A93,""HIGH52""))"),"")</f>
        <v/>
      </c>
      <c r="G93" s="303" t="str">
        <f>IFERROR(__xludf.DUMMYFUNCTION("if(ISBLANK(A93),"""",GOOGLEFINANCE(A93,""LOW52""))"),"")</f>
        <v/>
      </c>
      <c r="H93" s="304" t="str">
        <f>IFERROR(__xludf.DUMMYFUNCTION("if(ISBLANK(A93),"""",GOOGLEFINANCE(A93,""Price""))"),"")</f>
        <v/>
      </c>
      <c r="I93" s="305" t="str">
        <f t="shared" si="1"/>
        <v/>
      </c>
      <c r="J93" s="306" t="str">
        <f t="shared" si="2"/>
        <v/>
      </c>
      <c r="K93" s="307" t="str">
        <f>IFERROR(__xludf.DUMMYFUNCTION("if(ISBLANK(A93),"""",googlefinance(A93,""Marketcap"")/10000000)"),"")</f>
        <v/>
      </c>
      <c r="L93" s="309" t="str">
        <f t="shared" si="3"/>
        <v/>
      </c>
      <c r="M93" s="308" t="str">
        <f t="shared" si="4"/>
        <v/>
      </c>
      <c r="N93" s="309" t="str">
        <f t="shared" si="5"/>
        <v/>
      </c>
      <c r="O93" s="322" t="str">
        <f t="shared" si="6"/>
        <v/>
      </c>
      <c r="P93" s="308" t="str">
        <f t="shared" si="7"/>
        <v/>
      </c>
      <c r="Q93" s="311" t="str">
        <f t="shared" si="8"/>
        <v/>
      </c>
      <c r="R93" s="309" t="str">
        <f t="shared" si="9"/>
        <v/>
      </c>
      <c r="S93" s="308" t="str">
        <f t="shared" si="10"/>
        <v/>
      </c>
      <c r="T93" s="309" t="str">
        <f t="shared" si="11"/>
        <v/>
      </c>
      <c r="U93" s="309" t="str">
        <f t="shared" si="12"/>
        <v/>
      </c>
      <c r="V93" s="308" t="str">
        <f t="shared" si="13"/>
        <v/>
      </c>
      <c r="W93" s="309" t="str">
        <f t="shared" si="14"/>
        <v/>
      </c>
      <c r="X93" s="309" t="str">
        <f t="shared" si="15"/>
        <v/>
      </c>
      <c r="Y93" s="308" t="str">
        <f t="shared" si="16"/>
        <v/>
      </c>
      <c r="Z93" s="309" t="str">
        <f t="shared" si="17"/>
        <v/>
      </c>
      <c r="AA93" s="312" t="str">
        <f t="shared" si="18"/>
        <v/>
      </c>
      <c r="AB93" s="308" t="str">
        <f t="shared" si="19"/>
        <v/>
      </c>
      <c r="AC93" s="308" t="str">
        <f t="shared" si="20"/>
        <v/>
      </c>
      <c r="AD93" s="312" t="str">
        <f t="shared" si="21"/>
        <v/>
      </c>
      <c r="AE93" s="308" t="str">
        <f t="shared" si="22"/>
        <v/>
      </c>
      <c r="AF93" s="313" t="str">
        <f t="shared" si="23"/>
        <v/>
      </c>
      <c r="AG93" s="304" t="str">
        <f t="shared" si="24"/>
        <v/>
      </c>
      <c r="AH93" s="308" t="str">
        <f t="shared" si="25"/>
        <v/>
      </c>
      <c r="AI93" s="313" t="str">
        <f t="shared" si="26"/>
        <v/>
      </c>
      <c r="AJ93" s="304" t="str">
        <f t="shared" si="27"/>
        <v/>
      </c>
      <c r="AK93" s="308" t="str">
        <f t="shared" si="28"/>
        <v/>
      </c>
      <c r="AL93" s="308" t="str">
        <f t="shared" si="29"/>
        <v/>
      </c>
      <c r="AM93" s="304" t="str">
        <f t="shared" si="30"/>
        <v/>
      </c>
      <c r="AN93" s="308" t="str">
        <f t="shared" si="31"/>
        <v/>
      </c>
      <c r="AO93" s="313" t="str">
        <f t="shared" si="32"/>
        <v/>
      </c>
      <c r="AP93" s="304" t="str">
        <f t="shared" si="33"/>
        <v/>
      </c>
      <c r="AQ93" s="308" t="str">
        <f t="shared" si="34"/>
        <v/>
      </c>
      <c r="AR93" s="313" t="str">
        <f t="shared" si="35"/>
        <v/>
      </c>
      <c r="AS93" s="304" t="str">
        <f t="shared" si="36"/>
        <v/>
      </c>
      <c r="AT93" s="308" t="str">
        <f t="shared" si="37"/>
        <v/>
      </c>
      <c r="AU93" s="308" t="str">
        <f t="shared" si="38"/>
        <v/>
      </c>
      <c r="AV93" s="304" t="str">
        <f t="shared" si="39"/>
        <v/>
      </c>
      <c r="AW93" s="308" t="str">
        <f t="shared" si="40"/>
        <v/>
      </c>
      <c r="AX93" s="308" t="str">
        <f t="shared" si="41"/>
        <v/>
      </c>
      <c r="AY93" s="304" t="str">
        <f t="shared" si="42"/>
        <v/>
      </c>
      <c r="AZ93" s="308" t="str">
        <f t="shared" si="43"/>
        <v/>
      </c>
      <c r="BA93" s="313" t="str">
        <f t="shared" si="44"/>
        <v/>
      </c>
      <c r="BB93" s="304" t="str">
        <f t="shared" si="45"/>
        <v/>
      </c>
      <c r="BC93" s="308" t="str">
        <f t="shared" si="46"/>
        <v/>
      </c>
      <c r="BD93" s="308" t="str">
        <f t="shared" si="47"/>
        <v/>
      </c>
    </row>
    <row r="94">
      <c r="A94" s="325"/>
      <c r="B94" s="320"/>
      <c r="C94" s="321"/>
      <c r="D94" s="301" t="str">
        <f>IFERROR(__xludf.DUMMYFUNCTION("if(ISBLANK(A94),"""",GOOGLEFINANCE(A94,""NAME""))"),"")</f>
        <v/>
      </c>
      <c r="E94" s="302">
        <v>5000.0</v>
      </c>
      <c r="F94" s="303" t="str">
        <f>IFERROR(__xludf.DUMMYFUNCTION("if(ISBLANK(A94),"""",GOOGLEFINANCE(A94,""HIGH52""))"),"")</f>
        <v/>
      </c>
      <c r="G94" s="303" t="str">
        <f>IFERROR(__xludf.DUMMYFUNCTION("if(ISBLANK(A94),"""",GOOGLEFINANCE(A94,""LOW52""))"),"")</f>
        <v/>
      </c>
      <c r="H94" s="304" t="str">
        <f>IFERROR(__xludf.DUMMYFUNCTION("if(ISBLANK(A94),"""",GOOGLEFINANCE(A94,""Price""))"),"")</f>
        <v/>
      </c>
      <c r="I94" s="305" t="str">
        <f t="shared" si="1"/>
        <v/>
      </c>
      <c r="J94" s="306" t="str">
        <f t="shared" si="2"/>
        <v/>
      </c>
      <c r="K94" s="307" t="str">
        <f>IFERROR(__xludf.DUMMYFUNCTION("if(ISBLANK(A94),"""",googlefinance(A94,""Marketcap"")/10000000)"),"")</f>
        <v/>
      </c>
      <c r="L94" s="309" t="str">
        <f t="shared" si="3"/>
        <v/>
      </c>
      <c r="M94" s="308" t="str">
        <f t="shared" si="4"/>
        <v/>
      </c>
      <c r="N94" s="309" t="str">
        <f t="shared" si="5"/>
        <v/>
      </c>
      <c r="O94" s="322" t="str">
        <f t="shared" si="6"/>
        <v/>
      </c>
      <c r="P94" s="308" t="str">
        <f t="shared" si="7"/>
        <v/>
      </c>
      <c r="Q94" s="311" t="str">
        <f t="shared" si="8"/>
        <v/>
      </c>
      <c r="R94" s="309" t="str">
        <f t="shared" si="9"/>
        <v/>
      </c>
      <c r="S94" s="308" t="str">
        <f t="shared" si="10"/>
        <v/>
      </c>
      <c r="T94" s="309" t="str">
        <f t="shared" si="11"/>
        <v/>
      </c>
      <c r="U94" s="309" t="str">
        <f t="shared" si="12"/>
        <v/>
      </c>
      <c r="V94" s="308" t="str">
        <f t="shared" si="13"/>
        <v/>
      </c>
      <c r="W94" s="309" t="str">
        <f t="shared" si="14"/>
        <v/>
      </c>
      <c r="X94" s="309" t="str">
        <f t="shared" si="15"/>
        <v/>
      </c>
      <c r="Y94" s="308" t="str">
        <f t="shared" si="16"/>
        <v/>
      </c>
      <c r="Z94" s="309" t="str">
        <f t="shared" si="17"/>
        <v/>
      </c>
      <c r="AA94" s="312" t="str">
        <f t="shared" si="18"/>
        <v/>
      </c>
      <c r="AB94" s="308" t="str">
        <f t="shared" si="19"/>
        <v/>
      </c>
      <c r="AC94" s="308" t="str">
        <f t="shared" si="20"/>
        <v/>
      </c>
      <c r="AD94" s="312" t="str">
        <f t="shared" si="21"/>
        <v/>
      </c>
      <c r="AE94" s="308" t="str">
        <f t="shared" si="22"/>
        <v/>
      </c>
      <c r="AF94" s="313" t="str">
        <f t="shared" si="23"/>
        <v/>
      </c>
      <c r="AG94" s="304" t="str">
        <f t="shared" si="24"/>
        <v/>
      </c>
      <c r="AH94" s="308" t="str">
        <f t="shared" si="25"/>
        <v/>
      </c>
      <c r="AI94" s="313" t="str">
        <f t="shared" si="26"/>
        <v/>
      </c>
      <c r="AJ94" s="304" t="str">
        <f t="shared" si="27"/>
        <v/>
      </c>
      <c r="AK94" s="308" t="str">
        <f t="shared" si="28"/>
        <v/>
      </c>
      <c r="AL94" s="308" t="str">
        <f t="shared" si="29"/>
        <v/>
      </c>
      <c r="AM94" s="304" t="str">
        <f t="shared" si="30"/>
        <v/>
      </c>
      <c r="AN94" s="308" t="str">
        <f t="shared" si="31"/>
        <v/>
      </c>
      <c r="AO94" s="313" t="str">
        <f t="shared" si="32"/>
        <v/>
      </c>
      <c r="AP94" s="304" t="str">
        <f t="shared" si="33"/>
        <v/>
      </c>
      <c r="AQ94" s="308" t="str">
        <f t="shared" si="34"/>
        <v/>
      </c>
      <c r="AR94" s="313" t="str">
        <f t="shared" si="35"/>
        <v/>
      </c>
      <c r="AS94" s="304" t="str">
        <f t="shared" si="36"/>
        <v/>
      </c>
      <c r="AT94" s="308" t="str">
        <f t="shared" si="37"/>
        <v/>
      </c>
      <c r="AU94" s="308" t="str">
        <f t="shared" si="38"/>
        <v/>
      </c>
      <c r="AV94" s="304" t="str">
        <f t="shared" si="39"/>
        <v/>
      </c>
      <c r="AW94" s="308" t="str">
        <f t="shared" si="40"/>
        <v/>
      </c>
      <c r="AX94" s="308" t="str">
        <f t="shared" si="41"/>
        <v/>
      </c>
      <c r="AY94" s="304" t="str">
        <f t="shared" si="42"/>
        <v/>
      </c>
      <c r="AZ94" s="308" t="str">
        <f t="shared" si="43"/>
        <v/>
      </c>
      <c r="BA94" s="313" t="str">
        <f t="shared" si="44"/>
        <v/>
      </c>
      <c r="BB94" s="304" t="str">
        <f t="shared" si="45"/>
        <v/>
      </c>
      <c r="BC94" s="308" t="str">
        <f t="shared" si="46"/>
        <v/>
      </c>
      <c r="BD94" s="308" t="str">
        <f t="shared" si="47"/>
        <v/>
      </c>
    </row>
    <row r="95">
      <c r="A95" s="317"/>
      <c r="B95" s="318"/>
      <c r="C95" s="319"/>
      <c r="D95" s="301" t="str">
        <f>IFERROR(__xludf.DUMMYFUNCTION("if(ISBLANK(A95),"""",GOOGLEFINANCE(A95,""NAME""))"),"")</f>
        <v/>
      </c>
      <c r="E95" s="302">
        <v>5000.0</v>
      </c>
      <c r="F95" s="303" t="str">
        <f>IFERROR(__xludf.DUMMYFUNCTION("if(ISBLANK(A95),"""",GOOGLEFINANCE(A95,""HIGH52""))"),"")</f>
        <v/>
      </c>
      <c r="G95" s="303" t="str">
        <f>IFERROR(__xludf.DUMMYFUNCTION("if(ISBLANK(A95),"""",GOOGLEFINANCE(A95,""LOW52""))"),"")</f>
        <v/>
      </c>
      <c r="H95" s="304" t="str">
        <f>IFERROR(__xludf.DUMMYFUNCTION("if(ISBLANK(A95),"""",GOOGLEFINANCE(A95,""Price""))"),"")</f>
        <v/>
      </c>
      <c r="I95" s="305" t="str">
        <f t="shared" si="1"/>
        <v/>
      </c>
      <c r="J95" s="306" t="str">
        <f t="shared" si="2"/>
        <v/>
      </c>
      <c r="K95" s="307" t="str">
        <f>IFERROR(__xludf.DUMMYFUNCTION("if(ISBLANK(A95),"""",googlefinance(A95,""Marketcap"")/10000000)"),"")</f>
        <v/>
      </c>
      <c r="L95" s="309" t="str">
        <f t="shared" si="3"/>
        <v/>
      </c>
      <c r="M95" s="308" t="str">
        <f t="shared" si="4"/>
        <v/>
      </c>
      <c r="N95" s="309" t="str">
        <f t="shared" si="5"/>
        <v/>
      </c>
      <c r="O95" s="322" t="str">
        <f t="shared" si="6"/>
        <v/>
      </c>
      <c r="P95" s="308" t="str">
        <f t="shared" si="7"/>
        <v/>
      </c>
      <c r="Q95" s="311" t="str">
        <f t="shared" si="8"/>
        <v/>
      </c>
      <c r="R95" s="309" t="str">
        <f t="shared" si="9"/>
        <v/>
      </c>
      <c r="S95" s="308" t="str">
        <f t="shared" si="10"/>
        <v/>
      </c>
      <c r="T95" s="309" t="str">
        <f t="shared" si="11"/>
        <v/>
      </c>
      <c r="U95" s="309" t="str">
        <f t="shared" si="12"/>
        <v/>
      </c>
      <c r="V95" s="308" t="str">
        <f t="shared" si="13"/>
        <v/>
      </c>
      <c r="W95" s="309" t="str">
        <f t="shared" si="14"/>
        <v/>
      </c>
      <c r="X95" s="309" t="str">
        <f t="shared" si="15"/>
        <v/>
      </c>
      <c r="Y95" s="308" t="str">
        <f t="shared" si="16"/>
        <v/>
      </c>
      <c r="Z95" s="309" t="str">
        <f t="shared" si="17"/>
        <v/>
      </c>
      <c r="AA95" s="312" t="str">
        <f t="shared" si="18"/>
        <v/>
      </c>
      <c r="AB95" s="308" t="str">
        <f t="shared" si="19"/>
        <v/>
      </c>
      <c r="AC95" s="308" t="str">
        <f t="shared" si="20"/>
        <v/>
      </c>
      <c r="AD95" s="312" t="str">
        <f t="shared" si="21"/>
        <v/>
      </c>
      <c r="AE95" s="308" t="str">
        <f t="shared" si="22"/>
        <v/>
      </c>
      <c r="AF95" s="313" t="str">
        <f t="shared" si="23"/>
        <v/>
      </c>
      <c r="AG95" s="304" t="str">
        <f t="shared" si="24"/>
        <v/>
      </c>
      <c r="AH95" s="308" t="str">
        <f t="shared" si="25"/>
        <v/>
      </c>
      <c r="AI95" s="313" t="str">
        <f t="shared" si="26"/>
        <v/>
      </c>
      <c r="AJ95" s="304" t="str">
        <f t="shared" si="27"/>
        <v/>
      </c>
      <c r="AK95" s="308" t="str">
        <f t="shared" si="28"/>
        <v/>
      </c>
      <c r="AL95" s="308" t="str">
        <f t="shared" si="29"/>
        <v/>
      </c>
      <c r="AM95" s="304" t="str">
        <f t="shared" si="30"/>
        <v/>
      </c>
      <c r="AN95" s="308" t="str">
        <f t="shared" si="31"/>
        <v/>
      </c>
      <c r="AO95" s="313" t="str">
        <f t="shared" si="32"/>
        <v/>
      </c>
      <c r="AP95" s="304" t="str">
        <f t="shared" si="33"/>
        <v/>
      </c>
      <c r="AQ95" s="308" t="str">
        <f t="shared" si="34"/>
        <v/>
      </c>
      <c r="AR95" s="313" t="str">
        <f t="shared" si="35"/>
        <v/>
      </c>
      <c r="AS95" s="304" t="str">
        <f t="shared" si="36"/>
        <v/>
      </c>
      <c r="AT95" s="308" t="str">
        <f t="shared" si="37"/>
        <v/>
      </c>
      <c r="AU95" s="308" t="str">
        <f t="shared" si="38"/>
        <v/>
      </c>
      <c r="AV95" s="304" t="str">
        <f t="shared" si="39"/>
        <v/>
      </c>
      <c r="AW95" s="308" t="str">
        <f t="shared" si="40"/>
        <v/>
      </c>
      <c r="AX95" s="308" t="str">
        <f t="shared" si="41"/>
        <v/>
      </c>
      <c r="AY95" s="304" t="str">
        <f t="shared" si="42"/>
        <v/>
      </c>
      <c r="AZ95" s="308" t="str">
        <f t="shared" si="43"/>
        <v/>
      </c>
      <c r="BA95" s="313" t="str">
        <f t="shared" si="44"/>
        <v/>
      </c>
      <c r="BB95" s="304" t="str">
        <f t="shared" si="45"/>
        <v/>
      </c>
      <c r="BC95" s="308" t="str">
        <f t="shared" si="46"/>
        <v/>
      </c>
      <c r="BD95" s="308" t="str">
        <f t="shared" si="47"/>
        <v/>
      </c>
    </row>
    <row r="96">
      <c r="A96" s="298"/>
      <c r="B96" s="299"/>
      <c r="C96" s="300"/>
      <c r="D96" s="301" t="str">
        <f>IFERROR(__xludf.DUMMYFUNCTION("if(ISBLANK(A96),"""",GOOGLEFINANCE(A96,""NAME""))"),"")</f>
        <v/>
      </c>
      <c r="E96" s="302">
        <v>5000.0</v>
      </c>
      <c r="F96" s="303" t="str">
        <f>IFERROR(__xludf.DUMMYFUNCTION("if(ISBLANK(A96),"""",GOOGLEFINANCE(A96,""HIGH52""))"),"")</f>
        <v/>
      </c>
      <c r="G96" s="303" t="str">
        <f>IFERROR(__xludf.DUMMYFUNCTION("if(ISBLANK(A96),"""",GOOGLEFINANCE(A96,""LOW52""))"),"")</f>
        <v/>
      </c>
      <c r="H96" s="304" t="str">
        <f>IFERROR(__xludf.DUMMYFUNCTION("if(ISBLANK(A96),"""",GOOGLEFINANCE(A96,""Price""))"),"")</f>
        <v/>
      </c>
      <c r="I96" s="305" t="str">
        <f t="shared" si="1"/>
        <v/>
      </c>
      <c r="J96" s="306" t="str">
        <f t="shared" si="2"/>
        <v/>
      </c>
      <c r="K96" s="307" t="str">
        <f>IFERROR(__xludf.DUMMYFUNCTION("if(ISBLANK(A96),"""",googlefinance(A96,""Marketcap"")/10000000)"),"")</f>
        <v/>
      </c>
      <c r="L96" s="309" t="str">
        <f t="shared" si="3"/>
        <v/>
      </c>
      <c r="M96" s="308" t="str">
        <f t="shared" si="4"/>
        <v/>
      </c>
      <c r="N96" s="309" t="str">
        <f t="shared" si="5"/>
        <v/>
      </c>
      <c r="O96" s="322" t="str">
        <f t="shared" si="6"/>
        <v/>
      </c>
      <c r="P96" s="308" t="str">
        <f t="shared" si="7"/>
        <v/>
      </c>
      <c r="Q96" s="311" t="str">
        <f t="shared" si="8"/>
        <v/>
      </c>
      <c r="R96" s="309" t="str">
        <f t="shared" si="9"/>
        <v/>
      </c>
      <c r="S96" s="308" t="str">
        <f t="shared" si="10"/>
        <v/>
      </c>
      <c r="T96" s="309" t="str">
        <f t="shared" si="11"/>
        <v/>
      </c>
      <c r="U96" s="309" t="str">
        <f t="shared" si="12"/>
        <v/>
      </c>
      <c r="V96" s="308" t="str">
        <f t="shared" si="13"/>
        <v/>
      </c>
      <c r="W96" s="309" t="str">
        <f t="shared" si="14"/>
        <v/>
      </c>
      <c r="X96" s="309" t="str">
        <f t="shared" si="15"/>
        <v/>
      </c>
      <c r="Y96" s="308" t="str">
        <f t="shared" si="16"/>
        <v/>
      </c>
      <c r="Z96" s="309" t="str">
        <f t="shared" si="17"/>
        <v/>
      </c>
      <c r="AA96" s="312" t="str">
        <f t="shared" si="18"/>
        <v/>
      </c>
      <c r="AB96" s="308" t="str">
        <f t="shared" si="19"/>
        <v/>
      </c>
      <c r="AC96" s="308" t="str">
        <f t="shared" si="20"/>
        <v/>
      </c>
      <c r="AD96" s="312" t="str">
        <f t="shared" si="21"/>
        <v/>
      </c>
      <c r="AE96" s="308" t="str">
        <f t="shared" si="22"/>
        <v/>
      </c>
      <c r="AF96" s="313" t="str">
        <f t="shared" si="23"/>
        <v/>
      </c>
      <c r="AG96" s="304" t="str">
        <f t="shared" si="24"/>
        <v/>
      </c>
      <c r="AH96" s="308" t="str">
        <f t="shared" si="25"/>
        <v/>
      </c>
      <c r="AI96" s="313" t="str">
        <f t="shared" si="26"/>
        <v/>
      </c>
      <c r="AJ96" s="304" t="str">
        <f t="shared" si="27"/>
        <v/>
      </c>
      <c r="AK96" s="308" t="str">
        <f t="shared" si="28"/>
        <v/>
      </c>
      <c r="AL96" s="308" t="str">
        <f t="shared" si="29"/>
        <v/>
      </c>
      <c r="AM96" s="304" t="str">
        <f t="shared" si="30"/>
        <v/>
      </c>
      <c r="AN96" s="308" t="str">
        <f t="shared" si="31"/>
        <v/>
      </c>
      <c r="AO96" s="313" t="str">
        <f t="shared" si="32"/>
        <v/>
      </c>
      <c r="AP96" s="304" t="str">
        <f t="shared" si="33"/>
        <v/>
      </c>
      <c r="AQ96" s="308" t="str">
        <f t="shared" si="34"/>
        <v/>
      </c>
      <c r="AR96" s="313" t="str">
        <f t="shared" si="35"/>
        <v/>
      </c>
      <c r="AS96" s="304" t="str">
        <f t="shared" si="36"/>
        <v/>
      </c>
      <c r="AT96" s="308" t="str">
        <f t="shared" si="37"/>
        <v/>
      </c>
      <c r="AU96" s="308" t="str">
        <f t="shared" si="38"/>
        <v/>
      </c>
      <c r="AV96" s="304" t="str">
        <f t="shared" si="39"/>
        <v/>
      </c>
      <c r="AW96" s="308" t="str">
        <f t="shared" si="40"/>
        <v/>
      </c>
      <c r="AX96" s="308" t="str">
        <f t="shared" si="41"/>
        <v/>
      </c>
      <c r="AY96" s="304" t="str">
        <f t="shared" si="42"/>
        <v/>
      </c>
      <c r="AZ96" s="308" t="str">
        <f t="shared" si="43"/>
        <v/>
      </c>
      <c r="BA96" s="313" t="str">
        <f t="shared" si="44"/>
        <v/>
      </c>
      <c r="BB96" s="304" t="str">
        <f t="shared" si="45"/>
        <v/>
      </c>
      <c r="BC96" s="308" t="str">
        <f t="shared" si="46"/>
        <v/>
      </c>
      <c r="BD96" s="308" t="str">
        <f t="shared" si="47"/>
        <v/>
      </c>
    </row>
    <row r="97">
      <c r="A97" s="318"/>
      <c r="B97" s="318"/>
      <c r="C97" s="319"/>
      <c r="D97" s="301" t="str">
        <f>IFERROR(__xludf.DUMMYFUNCTION("if(ISBLANK(A97),"""",GOOGLEFINANCE(A97,""NAME""))"),"")</f>
        <v/>
      </c>
      <c r="E97" s="302">
        <v>5000.0</v>
      </c>
      <c r="F97" s="303" t="str">
        <f>IFERROR(__xludf.DUMMYFUNCTION("if(ISBLANK(A97),"""",GOOGLEFINANCE(A97,""HIGH52""))"),"")</f>
        <v/>
      </c>
      <c r="G97" s="303" t="str">
        <f>IFERROR(__xludf.DUMMYFUNCTION("if(ISBLANK(A97),"""",GOOGLEFINANCE(A97,""LOW52""))"),"")</f>
        <v/>
      </c>
      <c r="H97" s="304" t="str">
        <f>IFERROR(__xludf.DUMMYFUNCTION("if(ISBLANK(A97),"""",GOOGLEFINANCE(A97,""Price""))"),"")</f>
        <v/>
      </c>
      <c r="I97" s="305" t="str">
        <f t="shared" si="1"/>
        <v/>
      </c>
      <c r="J97" s="306" t="str">
        <f t="shared" si="2"/>
        <v/>
      </c>
      <c r="K97" s="307" t="str">
        <f>IFERROR(__xludf.DUMMYFUNCTION("if(ISBLANK(A97),"""",googlefinance(A97,""Marketcap"")/10000000)"),"")</f>
        <v/>
      </c>
      <c r="L97" s="309" t="str">
        <f t="shared" si="3"/>
        <v/>
      </c>
      <c r="M97" s="308" t="str">
        <f t="shared" si="4"/>
        <v/>
      </c>
      <c r="N97" s="309" t="str">
        <f t="shared" si="5"/>
        <v/>
      </c>
      <c r="O97" s="322" t="str">
        <f t="shared" si="6"/>
        <v/>
      </c>
      <c r="P97" s="308" t="str">
        <f t="shared" si="7"/>
        <v/>
      </c>
      <c r="Q97" s="311" t="str">
        <f t="shared" si="8"/>
        <v/>
      </c>
      <c r="R97" s="309" t="str">
        <f t="shared" si="9"/>
        <v/>
      </c>
      <c r="S97" s="308" t="str">
        <f t="shared" si="10"/>
        <v/>
      </c>
      <c r="T97" s="309" t="str">
        <f t="shared" si="11"/>
        <v/>
      </c>
      <c r="U97" s="309" t="str">
        <f t="shared" si="12"/>
        <v/>
      </c>
      <c r="V97" s="308" t="str">
        <f t="shared" si="13"/>
        <v/>
      </c>
      <c r="W97" s="309" t="str">
        <f t="shared" si="14"/>
        <v/>
      </c>
      <c r="X97" s="309" t="str">
        <f t="shared" si="15"/>
        <v/>
      </c>
      <c r="Y97" s="308" t="str">
        <f t="shared" si="16"/>
        <v/>
      </c>
      <c r="Z97" s="309" t="str">
        <f t="shared" si="17"/>
        <v/>
      </c>
      <c r="AA97" s="312" t="str">
        <f t="shared" si="18"/>
        <v/>
      </c>
      <c r="AB97" s="308" t="str">
        <f t="shared" si="19"/>
        <v/>
      </c>
      <c r="AC97" s="308" t="str">
        <f t="shared" si="20"/>
        <v/>
      </c>
      <c r="AD97" s="312" t="str">
        <f t="shared" si="21"/>
        <v/>
      </c>
      <c r="AE97" s="308" t="str">
        <f t="shared" si="22"/>
        <v/>
      </c>
      <c r="AF97" s="313" t="str">
        <f t="shared" si="23"/>
        <v/>
      </c>
      <c r="AG97" s="304" t="str">
        <f t="shared" si="24"/>
        <v/>
      </c>
      <c r="AH97" s="308" t="str">
        <f t="shared" si="25"/>
        <v/>
      </c>
      <c r="AI97" s="313" t="str">
        <f t="shared" si="26"/>
        <v/>
      </c>
      <c r="AJ97" s="304" t="str">
        <f t="shared" si="27"/>
        <v/>
      </c>
      <c r="AK97" s="308" t="str">
        <f t="shared" si="28"/>
        <v/>
      </c>
      <c r="AL97" s="308" t="str">
        <f t="shared" si="29"/>
        <v/>
      </c>
      <c r="AM97" s="304" t="str">
        <f t="shared" si="30"/>
        <v/>
      </c>
      <c r="AN97" s="308" t="str">
        <f t="shared" si="31"/>
        <v/>
      </c>
      <c r="AO97" s="313" t="str">
        <f t="shared" si="32"/>
        <v/>
      </c>
      <c r="AP97" s="304" t="str">
        <f t="shared" si="33"/>
        <v/>
      </c>
      <c r="AQ97" s="308" t="str">
        <f t="shared" si="34"/>
        <v/>
      </c>
      <c r="AR97" s="313" t="str">
        <f t="shared" si="35"/>
        <v/>
      </c>
      <c r="AS97" s="304" t="str">
        <f t="shared" si="36"/>
        <v/>
      </c>
      <c r="AT97" s="308" t="str">
        <f t="shared" si="37"/>
        <v/>
      </c>
      <c r="AU97" s="308" t="str">
        <f t="shared" si="38"/>
        <v/>
      </c>
      <c r="AV97" s="304" t="str">
        <f t="shared" si="39"/>
        <v/>
      </c>
      <c r="AW97" s="308" t="str">
        <f t="shared" si="40"/>
        <v/>
      </c>
      <c r="AX97" s="308" t="str">
        <f t="shared" si="41"/>
        <v/>
      </c>
      <c r="AY97" s="304" t="str">
        <f t="shared" si="42"/>
        <v/>
      </c>
      <c r="AZ97" s="308" t="str">
        <f t="shared" si="43"/>
        <v/>
      </c>
      <c r="BA97" s="313" t="str">
        <f t="shared" si="44"/>
        <v/>
      </c>
      <c r="BB97" s="304" t="str">
        <f t="shared" si="45"/>
        <v/>
      </c>
      <c r="BC97" s="308" t="str">
        <f t="shared" si="46"/>
        <v/>
      </c>
      <c r="BD97" s="308" t="str">
        <f t="shared" si="47"/>
        <v/>
      </c>
    </row>
    <row r="98">
      <c r="A98" s="315"/>
      <c r="B98" s="315"/>
      <c r="C98" s="316"/>
      <c r="D98" s="301" t="str">
        <f>IFERROR(__xludf.DUMMYFUNCTION("if(ISBLANK(A98),"""",GOOGLEFINANCE(A98,""NAME""))"),"")</f>
        <v/>
      </c>
      <c r="E98" s="302">
        <v>5000.0</v>
      </c>
      <c r="F98" s="303" t="str">
        <f>IFERROR(__xludf.DUMMYFUNCTION("if(ISBLANK(A98),"""",GOOGLEFINANCE(A98,""HIGH52""))"),"")</f>
        <v/>
      </c>
      <c r="G98" s="303" t="str">
        <f>IFERROR(__xludf.DUMMYFUNCTION("if(ISBLANK(A98),"""",GOOGLEFINANCE(A98,""LOW52""))"),"")</f>
        <v/>
      </c>
      <c r="H98" s="304" t="str">
        <f>IFERROR(__xludf.DUMMYFUNCTION("if(ISBLANK(A98),"""",GOOGLEFINANCE(A98,""Price""))"),"")</f>
        <v/>
      </c>
      <c r="I98" s="305" t="str">
        <f t="shared" si="1"/>
        <v/>
      </c>
      <c r="J98" s="306" t="str">
        <f t="shared" si="2"/>
        <v/>
      </c>
      <c r="K98" s="307" t="str">
        <f>IFERROR(__xludf.DUMMYFUNCTION("if(ISBLANK(A98),"""",googlefinance(A98,""Marketcap"")/10000000)"),"")</f>
        <v/>
      </c>
      <c r="L98" s="309" t="str">
        <f t="shared" si="3"/>
        <v/>
      </c>
      <c r="M98" s="308" t="str">
        <f t="shared" si="4"/>
        <v/>
      </c>
      <c r="N98" s="309" t="str">
        <f t="shared" si="5"/>
        <v/>
      </c>
      <c r="O98" s="322" t="str">
        <f t="shared" si="6"/>
        <v/>
      </c>
      <c r="P98" s="308" t="str">
        <f t="shared" si="7"/>
        <v/>
      </c>
      <c r="Q98" s="311" t="str">
        <f t="shared" si="8"/>
        <v/>
      </c>
      <c r="R98" s="309" t="str">
        <f t="shared" si="9"/>
        <v/>
      </c>
      <c r="S98" s="308" t="str">
        <f t="shared" si="10"/>
        <v/>
      </c>
      <c r="T98" s="309" t="str">
        <f t="shared" si="11"/>
        <v/>
      </c>
      <c r="U98" s="309" t="str">
        <f t="shared" si="12"/>
        <v/>
      </c>
      <c r="V98" s="308" t="str">
        <f t="shared" si="13"/>
        <v/>
      </c>
      <c r="W98" s="309" t="str">
        <f t="shared" si="14"/>
        <v/>
      </c>
      <c r="X98" s="309" t="str">
        <f t="shared" si="15"/>
        <v/>
      </c>
      <c r="Y98" s="308" t="str">
        <f t="shared" si="16"/>
        <v/>
      </c>
      <c r="Z98" s="309" t="str">
        <f t="shared" si="17"/>
        <v/>
      </c>
      <c r="AA98" s="312" t="str">
        <f t="shared" si="18"/>
        <v/>
      </c>
      <c r="AB98" s="308" t="str">
        <f t="shared" si="19"/>
        <v/>
      </c>
      <c r="AC98" s="308" t="str">
        <f t="shared" si="20"/>
        <v/>
      </c>
      <c r="AD98" s="312" t="str">
        <f t="shared" si="21"/>
        <v/>
      </c>
      <c r="AE98" s="308" t="str">
        <f t="shared" si="22"/>
        <v/>
      </c>
      <c r="AF98" s="313" t="str">
        <f t="shared" si="23"/>
        <v/>
      </c>
      <c r="AG98" s="304" t="str">
        <f t="shared" si="24"/>
        <v/>
      </c>
      <c r="AH98" s="308" t="str">
        <f t="shared" si="25"/>
        <v/>
      </c>
      <c r="AI98" s="313" t="str">
        <f t="shared" si="26"/>
        <v/>
      </c>
      <c r="AJ98" s="304" t="str">
        <f t="shared" si="27"/>
        <v/>
      </c>
      <c r="AK98" s="308" t="str">
        <f t="shared" si="28"/>
        <v/>
      </c>
      <c r="AL98" s="308" t="str">
        <f t="shared" si="29"/>
        <v/>
      </c>
      <c r="AM98" s="304" t="str">
        <f t="shared" si="30"/>
        <v/>
      </c>
      <c r="AN98" s="308" t="str">
        <f t="shared" si="31"/>
        <v/>
      </c>
      <c r="AO98" s="313" t="str">
        <f t="shared" si="32"/>
        <v/>
      </c>
      <c r="AP98" s="304" t="str">
        <f t="shared" si="33"/>
        <v/>
      </c>
      <c r="AQ98" s="308" t="str">
        <f t="shared" si="34"/>
        <v/>
      </c>
      <c r="AR98" s="313" t="str">
        <f t="shared" si="35"/>
        <v/>
      </c>
      <c r="AS98" s="304" t="str">
        <f t="shared" si="36"/>
        <v/>
      </c>
      <c r="AT98" s="308" t="str">
        <f t="shared" si="37"/>
        <v/>
      </c>
      <c r="AU98" s="308" t="str">
        <f t="shared" si="38"/>
        <v/>
      </c>
      <c r="AV98" s="304" t="str">
        <f t="shared" si="39"/>
        <v/>
      </c>
      <c r="AW98" s="308" t="str">
        <f t="shared" si="40"/>
        <v/>
      </c>
      <c r="AX98" s="308" t="str">
        <f t="shared" si="41"/>
        <v/>
      </c>
      <c r="AY98" s="304" t="str">
        <f t="shared" si="42"/>
        <v/>
      </c>
      <c r="AZ98" s="308" t="str">
        <f t="shared" si="43"/>
        <v/>
      </c>
      <c r="BA98" s="313" t="str">
        <f t="shared" si="44"/>
        <v/>
      </c>
      <c r="BB98" s="304" t="str">
        <f t="shared" si="45"/>
        <v/>
      </c>
      <c r="BC98" s="308" t="str">
        <f t="shared" si="46"/>
        <v/>
      </c>
      <c r="BD98" s="308" t="str">
        <f t="shared" si="47"/>
        <v/>
      </c>
    </row>
    <row r="99">
      <c r="A99" s="318"/>
      <c r="B99" s="318"/>
      <c r="C99" s="319"/>
      <c r="D99" s="301" t="str">
        <f>IFERROR(__xludf.DUMMYFUNCTION("if(ISBLANK(A99),"""",GOOGLEFINANCE(A99,""NAME""))"),"")</f>
        <v/>
      </c>
      <c r="E99" s="302">
        <v>5000.0</v>
      </c>
      <c r="F99" s="303" t="str">
        <f>IFERROR(__xludf.DUMMYFUNCTION("if(ISBLANK(A99),"""",GOOGLEFINANCE(A99,""HIGH52""))"),"")</f>
        <v/>
      </c>
      <c r="G99" s="303" t="str">
        <f>IFERROR(__xludf.DUMMYFUNCTION("if(ISBLANK(A99),"""",GOOGLEFINANCE(A99,""LOW52""))"),"")</f>
        <v/>
      </c>
      <c r="H99" s="304" t="str">
        <f>IFERROR(__xludf.DUMMYFUNCTION("if(ISBLANK(A99),"""",GOOGLEFINANCE(A99,""Price""))"),"")</f>
        <v/>
      </c>
      <c r="I99" s="305" t="str">
        <f t="shared" si="1"/>
        <v/>
      </c>
      <c r="J99" s="306" t="str">
        <f t="shared" si="2"/>
        <v/>
      </c>
      <c r="K99" s="307" t="str">
        <f>IFERROR(__xludf.DUMMYFUNCTION("if(ISBLANK(A99),"""",googlefinance(A99,""Marketcap"")/10000000)"),"")</f>
        <v/>
      </c>
      <c r="L99" s="309" t="str">
        <f t="shared" si="3"/>
        <v/>
      </c>
      <c r="M99" s="308" t="str">
        <f t="shared" si="4"/>
        <v/>
      </c>
      <c r="N99" s="309" t="str">
        <f t="shared" si="5"/>
        <v/>
      </c>
      <c r="O99" s="322" t="str">
        <f t="shared" si="6"/>
        <v/>
      </c>
      <c r="P99" s="308" t="str">
        <f t="shared" si="7"/>
        <v/>
      </c>
      <c r="Q99" s="311" t="str">
        <f t="shared" si="8"/>
        <v/>
      </c>
      <c r="R99" s="309" t="str">
        <f t="shared" si="9"/>
        <v/>
      </c>
      <c r="S99" s="308" t="str">
        <f t="shared" si="10"/>
        <v/>
      </c>
      <c r="T99" s="309" t="str">
        <f t="shared" si="11"/>
        <v/>
      </c>
      <c r="U99" s="309" t="str">
        <f t="shared" si="12"/>
        <v/>
      </c>
      <c r="V99" s="308" t="str">
        <f t="shared" si="13"/>
        <v/>
      </c>
      <c r="W99" s="309" t="str">
        <f t="shared" si="14"/>
        <v/>
      </c>
      <c r="X99" s="309" t="str">
        <f t="shared" si="15"/>
        <v/>
      </c>
      <c r="Y99" s="308" t="str">
        <f t="shared" si="16"/>
        <v/>
      </c>
      <c r="Z99" s="309" t="str">
        <f t="shared" si="17"/>
        <v/>
      </c>
      <c r="AA99" s="312" t="str">
        <f t="shared" si="18"/>
        <v/>
      </c>
      <c r="AB99" s="308" t="str">
        <f t="shared" si="19"/>
        <v/>
      </c>
      <c r="AC99" s="308" t="str">
        <f t="shared" si="20"/>
        <v/>
      </c>
      <c r="AD99" s="312" t="str">
        <f t="shared" si="21"/>
        <v/>
      </c>
      <c r="AE99" s="308" t="str">
        <f t="shared" si="22"/>
        <v/>
      </c>
      <c r="AF99" s="313" t="str">
        <f t="shared" si="23"/>
        <v/>
      </c>
      <c r="AG99" s="304" t="str">
        <f t="shared" si="24"/>
        <v/>
      </c>
      <c r="AH99" s="308" t="str">
        <f t="shared" si="25"/>
        <v/>
      </c>
      <c r="AI99" s="313" t="str">
        <f t="shared" si="26"/>
        <v/>
      </c>
      <c r="AJ99" s="304" t="str">
        <f t="shared" si="27"/>
        <v/>
      </c>
      <c r="AK99" s="308" t="str">
        <f t="shared" si="28"/>
        <v/>
      </c>
      <c r="AL99" s="308" t="str">
        <f t="shared" si="29"/>
        <v/>
      </c>
      <c r="AM99" s="304" t="str">
        <f t="shared" si="30"/>
        <v/>
      </c>
      <c r="AN99" s="308" t="str">
        <f t="shared" si="31"/>
        <v/>
      </c>
      <c r="AO99" s="313" t="str">
        <f t="shared" si="32"/>
        <v/>
      </c>
      <c r="AP99" s="304" t="str">
        <f t="shared" si="33"/>
        <v/>
      </c>
      <c r="AQ99" s="308" t="str">
        <f t="shared" si="34"/>
        <v/>
      </c>
      <c r="AR99" s="313" t="str">
        <f t="shared" si="35"/>
        <v/>
      </c>
      <c r="AS99" s="304" t="str">
        <f t="shared" si="36"/>
        <v/>
      </c>
      <c r="AT99" s="308" t="str">
        <f t="shared" si="37"/>
        <v/>
      </c>
      <c r="AU99" s="308" t="str">
        <f t="shared" si="38"/>
        <v/>
      </c>
      <c r="AV99" s="304" t="str">
        <f t="shared" si="39"/>
        <v/>
      </c>
      <c r="AW99" s="308" t="str">
        <f t="shared" si="40"/>
        <v/>
      </c>
      <c r="AX99" s="308" t="str">
        <f t="shared" si="41"/>
        <v/>
      </c>
      <c r="AY99" s="304" t="str">
        <f t="shared" si="42"/>
        <v/>
      </c>
      <c r="AZ99" s="308" t="str">
        <f t="shared" si="43"/>
        <v/>
      </c>
      <c r="BA99" s="313" t="str">
        <f t="shared" si="44"/>
        <v/>
      </c>
      <c r="BB99" s="304" t="str">
        <f t="shared" si="45"/>
        <v/>
      </c>
      <c r="BC99" s="308" t="str">
        <f t="shared" si="46"/>
        <v/>
      </c>
      <c r="BD99" s="308" t="str">
        <f t="shared" si="47"/>
        <v/>
      </c>
    </row>
    <row r="100">
      <c r="A100" s="318"/>
      <c r="B100" s="318"/>
      <c r="C100" s="319"/>
      <c r="D100" s="301" t="str">
        <f>IFERROR(__xludf.DUMMYFUNCTION("if(ISBLANK(A100),"""",GOOGLEFINANCE(A100,""NAME""))"),"")</f>
        <v/>
      </c>
      <c r="E100" s="302">
        <v>5000.0</v>
      </c>
      <c r="F100" s="303" t="str">
        <f>IFERROR(__xludf.DUMMYFUNCTION("if(ISBLANK(A100),"""",GOOGLEFINANCE(A100,""HIGH52""))"),"")</f>
        <v/>
      </c>
      <c r="G100" s="303" t="str">
        <f>IFERROR(__xludf.DUMMYFUNCTION("if(ISBLANK(A100),"""",GOOGLEFINANCE(A100,""LOW52""))"),"")</f>
        <v/>
      </c>
      <c r="H100" s="304" t="str">
        <f>IFERROR(__xludf.DUMMYFUNCTION("if(ISBLANK(A100),"""",GOOGLEFINANCE(A100,""Price""))"),"")</f>
        <v/>
      </c>
      <c r="I100" s="305" t="str">
        <f t="shared" si="1"/>
        <v/>
      </c>
      <c r="J100" s="306" t="str">
        <f t="shared" si="2"/>
        <v/>
      </c>
      <c r="K100" s="307" t="str">
        <f>IFERROR(__xludf.DUMMYFUNCTION("if(ISBLANK(A100),"""",googlefinance(A100,""Marketcap"")/10000000)"),"")</f>
        <v/>
      </c>
      <c r="L100" s="309" t="str">
        <f t="shared" si="3"/>
        <v/>
      </c>
      <c r="M100" s="308" t="str">
        <f t="shared" si="4"/>
        <v/>
      </c>
      <c r="N100" s="309" t="str">
        <f t="shared" si="5"/>
        <v/>
      </c>
      <c r="O100" s="322" t="str">
        <f t="shared" si="6"/>
        <v/>
      </c>
      <c r="P100" s="308" t="str">
        <f t="shared" si="7"/>
        <v/>
      </c>
      <c r="Q100" s="311" t="str">
        <f t="shared" si="8"/>
        <v/>
      </c>
      <c r="R100" s="309" t="str">
        <f t="shared" si="9"/>
        <v/>
      </c>
      <c r="S100" s="308" t="str">
        <f t="shared" si="10"/>
        <v/>
      </c>
      <c r="T100" s="309" t="str">
        <f t="shared" si="11"/>
        <v/>
      </c>
      <c r="U100" s="309" t="str">
        <f t="shared" si="12"/>
        <v/>
      </c>
      <c r="V100" s="308" t="str">
        <f t="shared" si="13"/>
        <v/>
      </c>
      <c r="W100" s="309" t="str">
        <f t="shared" si="14"/>
        <v/>
      </c>
      <c r="X100" s="309" t="str">
        <f t="shared" si="15"/>
        <v/>
      </c>
      <c r="Y100" s="308" t="str">
        <f t="shared" si="16"/>
        <v/>
      </c>
      <c r="Z100" s="309" t="str">
        <f t="shared" si="17"/>
        <v/>
      </c>
      <c r="AA100" s="312" t="str">
        <f t="shared" si="18"/>
        <v/>
      </c>
      <c r="AB100" s="308" t="str">
        <f t="shared" si="19"/>
        <v/>
      </c>
      <c r="AC100" s="308" t="str">
        <f t="shared" si="20"/>
        <v/>
      </c>
      <c r="AD100" s="312" t="str">
        <f t="shared" si="21"/>
        <v/>
      </c>
      <c r="AE100" s="308" t="str">
        <f t="shared" si="22"/>
        <v/>
      </c>
      <c r="AF100" s="313" t="str">
        <f t="shared" si="23"/>
        <v/>
      </c>
      <c r="AG100" s="304" t="str">
        <f t="shared" si="24"/>
        <v/>
      </c>
      <c r="AH100" s="308" t="str">
        <f t="shared" si="25"/>
        <v/>
      </c>
      <c r="AI100" s="313" t="str">
        <f t="shared" si="26"/>
        <v/>
      </c>
      <c r="AJ100" s="304" t="str">
        <f t="shared" si="27"/>
        <v/>
      </c>
      <c r="AK100" s="308" t="str">
        <f t="shared" si="28"/>
        <v/>
      </c>
      <c r="AL100" s="308" t="str">
        <f t="shared" si="29"/>
        <v/>
      </c>
      <c r="AM100" s="304" t="str">
        <f t="shared" si="30"/>
        <v/>
      </c>
      <c r="AN100" s="308" t="str">
        <f t="shared" si="31"/>
        <v/>
      </c>
      <c r="AO100" s="313" t="str">
        <f t="shared" si="32"/>
        <v/>
      </c>
      <c r="AP100" s="304" t="str">
        <f t="shared" si="33"/>
        <v/>
      </c>
      <c r="AQ100" s="308" t="str">
        <f t="shared" si="34"/>
        <v/>
      </c>
      <c r="AR100" s="313" t="str">
        <f t="shared" si="35"/>
        <v/>
      </c>
      <c r="AS100" s="304" t="str">
        <f t="shared" si="36"/>
        <v/>
      </c>
      <c r="AT100" s="308" t="str">
        <f t="shared" si="37"/>
        <v/>
      </c>
      <c r="AU100" s="308" t="str">
        <f t="shared" si="38"/>
        <v/>
      </c>
      <c r="AV100" s="304" t="str">
        <f t="shared" si="39"/>
        <v/>
      </c>
      <c r="AW100" s="308" t="str">
        <f t="shared" si="40"/>
        <v/>
      </c>
      <c r="AX100" s="308" t="str">
        <f t="shared" si="41"/>
        <v/>
      </c>
      <c r="AY100" s="304" t="str">
        <f t="shared" si="42"/>
        <v/>
      </c>
      <c r="AZ100" s="308" t="str">
        <f t="shared" si="43"/>
        <v/>
      </c>
      <c r="BA100" s="313" t="str">
        <f t="shared" si="44"/>
        <v/>
      </c>
      <c r="BB100" s="304" t="str">
        <f t="shared" si="45"/>
        <v/>
      </c>
      <c r="BC100" s="308" t="str">
        <f t="shared" si="46"/>
        <v/>
      </c>
      <c r="BD100" s="308" t="str">
        <f t="shared" si="47"/>
        <v/>
      </c>
    </row>
    <row r="101">
      <c r="A101" s="318"/>
      <c r="B101" s="318"/>
      <c r="C101" s="319"/>
      <c r="D101" s="301" t="str">
        <f>IFERROR(__xludf.DUMMYFUNCTION("if(ISBLANK(A101),"""",GOOGLEFINANCE(A101,""NAME""))"),"")</f>
        <v/>
      </c>
      <c r="E101" s="302">
        <v>5000.0</v>
      </c>
      <c r="F101" s="303" t="str">
        <f>IFERROR(__xludf.DUMMYFUNCTION("if(ISBLANK(A101),"""",GOOGLEFINANCE(A101,""HIGH52""))"),"")</f>
        <v/>
      </c>
      <c r="G101" s="303" t="str">
        <f>IFERROR(__xludf.DUMMYFUNCTION("if(ISBLANK(A101),"""",GOOGLEFINANCE(A101,""LOW52""))"),"")</f>
        <v/>
      </c>
      <c r="H101" s="304" t="str">
        <f>IFERROR(__xludf.DUMMYFUNCTION("if(ISBLANK(A101),"""",GOOGLEFINANCE(A101,""Price""))"),"")</f>
        <v/>
      </c>
      <c r="I101" s="305" t="str">
        <f t="shared" si="1"/>
        <v/>
      </c>
      <c r="J101" s="306" t="str">
        <f t="shared" si="2"/>
        <v/>
      </c>
      <c r="K101" s="307" t="str">
        <f>IFERROR(__xludf.DUMMYFUNCTION("if(ISBLANK(A101),"""",googlefinance(A101,""Marketcap"")/10000000)"),"")</f>
        <v/>
      </c>
      <c r="L101" s="309" t="str">
        <f t="shared" si="3"/>
        <v/>
      </c>
      <c r="M101" s="308" t="str">
        <f t="shared" si="4"/>
        <v/>
      </c>
      <c r="N101" s="309" t="str">
        <f t="shared" si="5"/>
        <v/>
      </c>
      <c r="O101" s="322" t="str">
        <f t="shared" si="6"/>
        <v/>
      </c>
      <c r="P101" s="308" t="str">
        <f t="shared" si="7"/>
        <v/>
      </c>
      <c r="Q101" s="311" t="str">
        <f t="shared" si="8"/>
        <v/>
      </c>
      <c r="R101" s="309" t="str">
        <f t="shared" si="9"/>
        <v/>
      </c>
      <c r="S101" s="308" t="str">
        <f t="shared" si="10"/>
        <v/>
      </c>
      <c r="T101" s="309" t="str">
        <f t="shared" si="11"/>
        <v/>
      </c>
      <c r="U101" s="309" t="str">
        <f t="shared" si="12"/>
        <v/>
      </c>
      <c r="V101" s="308" t="str">
        <f t="shared" si="13"/>
        <v/>
      </c>
      <c r="W101" s="309" t="str">
        <f t="shared" si="14"/>
        <v/>
      </c>
      <c r="X101" s="309" t="str">
        <f t="shared" si="15"/>
        <v/>
      </c>
      <c r="Y101" s="308" t="str">
        <f t="shared" si="16"/>
        <v/>
      </c>
      <c r="Z101" s="309" t="str">
        <f t="shared" si="17"/>
        <v/>
      </c>
      <c r="AA101" s="312" t="str">
        <f t="shared" si="18"/>
        <v/>
      </c>
      <c r="AB101" s="308" t="str">
        <f t="shared" si="19"/>
        <v/>
      </c>
      <c r="AC101" s="308" t="str">
        <f t="shared" si="20"/>
        <v/>
      </c>
      <c r="AD101" s="312" t="str">
        <f t="shared" si="21"/>
        <v/>
      </c>
      <c r="AE101" s="308" t="str">
        <f t="shared" si="22"/>
        <v/>
      </c>
      <c r="AF101" s="313" t="str">
        <f t="shared" si="23"/>
        <v/>
      </c>
      <c r="AG101" s="304" t="str">
        <f t="shared" si="24"/>
        <v/>
      </c>
      <c r="AH101" s="308" t="str">
        <f t="shared" si="25"/>
        <v/>
      </c>
      <c r="AI101" s="313" t="str">
        <f t="shared" si="26"/>
        <v/>
      </c>
      <c r="AJ101" s="304" t="str">
        <f t="shared" si="27"/>
        <v/>
      </c>
      <c r="AK101" s="308" t="str">
        <f t="shared" si="28"/>
        <v/>
      </c>
      <c r="AL101" s="308" t="str">
        <f t="shared" si="29"/>
        <v/>
      </c>
      <c r="AM101" s="304" t="str">
        <f t="shared" si="30"/>
        <v/>
      </c>
      <c r="AN101" s="308" t="str">
        <f t="shared" si="31"/>
        <v/>
      </c>
      <c r="AO101" s="313" t="str">
        <f t="shared" si="32"/>
        <v/>
      </c>
      <c r="AP101" s="304" t="str">
        <f t="shared" si="33"/>
        <v/>
      </c>
      <c r="AQ101" s="308" t="str">
        <f t="shared" si="34"/>
        <v/>
      </c>
      <c r="AR101" s="313" t="str">
        <f t="shared" si="35"/>
        <v/>
      </c>
      <c r="AS101" s="304" t="str">
        <f t="shared" si="36"/>
        <v/>
      </c>
      <c r="AT101" s="308" t="str">
        <f t="shared" si="37"/>
        <v/>
      </c>
      <c r="AU101" s="308" t="str">
        <f t="shared" si="38"/>
        <v/>
      </c>
      <c r="AV101" s="304" t="str">
        <f t="shared" si="39"/>
        <v/>
      </c>
      <c r="AW101" s="308" t="str">
        <f t="shared" si="40"/>
        <v/>
      </c>
      <c r="AX101" s="308" t="str">
        <f t="shared" si="41"/>
        <v/>
      </c>
      <c r="AY101" s="304" t="str">
        <f t="shared" si="42"/>
        <v/>
      </c>
      <c r="AZ101" s="308" t="str">
        <f t="shared" si="43"/>
        <v/>
      </c>
      <c r="BA101" s="313" t="str">
        <f t="shared" si="44"/>
        <v/>
      </c>
      <c r="BB101" s="304" t="str">
        <f t="shared" si="45"/>
        <v/>
      </c>
      <c r="BC101" s="308" t="str">
        <f t="shared" si="46"/>
        <v/>
      </c>
      <c r="BD101" s="308" t="str">
        <f t="shared" si="47"/>
        <v/>
      </c>
    </row>
    <row r="102">
      <c r="A102" s="318"/>
      <c r="B102" s="318"/>
      <c r="C102" s="319"/>
      <c r="D102" s="301" t="str">
        <f>IFERROR(__xludf.DUMMYFUNCTION("if(ISBLANK(A102),"""",GOOGLEFINANCE(A102,""NAME""))"),"")</f>
        <v/>
      </c>
      <c r="E102" s="302">
        <v>5000.0</v>
      </c>
      <c r="F102" s="303" t="str">
        <f>IFERROR(__xludf.DUMMYFUNCTION("if(ISBLANK(A102),"""",GOOGLEFINANCE(A102,""HIGH52""))"),"")</f>
        <v/>
      </c>
      <c r="G102" s="303" t="str">
        <f>IFERROR(__xludf.DUMMYFUNCTION("if(ISBLANK(A102),"""",GOOGLEFINANCE(A102,""LOW52""))"),"")</f>
        <v/>
      </c>
      <c r="H102" s="304" t="str">
        <f>IFERROR(__xludf.DUMMYFUNCTION("if(ISBLANK(A102),"""",GOOGLEFINANCE(A102,""Price""))"),"")</f>
        <v/>
      </c>
      <c r="I102" s="305" t="str">
        <f t="shared" si="1"/>
        <v/>
      </c>
      <c r="J102" s="306" t="str">
        <f t="shared" si="2"/>
        <v/>
      </c>
      <c r="K102" s="307" t="str">
        <f>IFERROR(__xludf.DUMMYFUNCTION("if(ISBLANK(A102),"""",googlefinance(A102,""Marketcap"")/10000000)"),"")</f>
        <v/>
      </c>
      <c r="L102" s="309" t="str">
        <f t="shared" si="3"/>
        <v/>
      </c>
      <c r="M102" s="308" t="str">
        <f t="shared" si="4"/>
        <v/>
      </c>
      <c r="N102" s="309" t="str">
        <f t="shared" si="5"/>
        <v/>
      </c>
      <c r="O102" s="322" t="str">
        <f t="shared" si="6"/>
        <v/>
      </c>
      <c r="P102" s="308" t="str">
        <f t="shared" si="7"/>
        <v/>
      </c>
      <c r="Q102" s="311" t="str">
        <f t="shared" si="8"/>
        <v/>
      </c>
      <c r="R102" s="309" t="str">
        <f t="shared" si="9"/>
        <v/>
      </c>
      <c r="S102" s="308" t="str">
        <f t="shared" si="10"/>
        <v/>
      </c>
      <c r="T102" s="309" t="str">
        <f t="shared" si="11"/>
        <v/>
      </c>
      <c r="U102" s="309" t="str">
        <f t="shared" si="12"/>
        <v/>
      </c>
      <c r="V102" s="308" t="str">
        <f t="shared" si="13"/>
        <v/>
      </c>
      <c r="W102" s="309" t="str">
        <f t="shared" si="14"/>
        <v/>
      </c>
      <c r="X102" s="309" t="str">
        <f t="shared" si="15"/>
        <v/>
      </c>
      <c r="Y102" s="308" t="str">
        <f t="shared" si="16"/>
        <v/>
      </c>
      <c r="Z102" s="309" t="str">
        <f t="shared" si="17"/>
        <v/>
      </c>
      <c r="AA102" s="312" t="str">
        <f t="shared" si="18"/>
        <v/>
      </c>
      <c r="AB102" s="308" t="str">
        <f t="shared" si="19"/>
        <v/>
      </c>
      <c r="AC102" s="308" t="str">
        <f t="shared" si="20"/>
        <v/>
      </c>
      <c r="AD102" s="312" t="str">
        <f t="shared" si="21"/>
        <v/>
      </c>
      <c r="AE102" s="308" t="str">
        <f t="shared" si="22"/>
        <v/>
      </c>
      <c r="AF102" s="313" t="str">
        <f t="shared" si="23"/>
        <v/>
      </c>
      <c r="AG102" s="304" t="str">
        <f t="shared" si="24"/>
        <v/>
      </c>
      <c r="AH102" s="308" t="str">
        <f t="shared" si="25"/>
        <v/>
      </c>
      <c r="AI102" s="313" t="str">
        <f t="shared" si="26"/>
        <v/>
      </c>
      <c r="AJ102" s="304" t="str">
        <f t="shared" si="27"/>
        <v/>
      </c>
      <c r="AK102" s="308" t="str">
        <f t="shared" si="28"/>
        <v/>
      </c>
      <c r="AL102" s="308" t="str">
        <f t="shared" si="29"/>
        <v/>
      </c>
      <c r="AM102" s="304" t="str">
        <f t="shared" si="30"/>
        <v/>
      </c>
      <c r="AN102" s="308" t="str">
        <f t="shared" si="31"/>
        <v/>
      </c>
      <c r="AO102" s="313" t="str">
        <f t="shared" si="32"/>
        <v/>
      </c>
      <c r="AP102" s="304" t="str">
        <f t="shared" si="33"/>
        <v/>
      </c>
      <c r="AQ102" s="308" t="str">
        <f t="shared" si="34"/>
        <v/>
      </c>
      <c r="AR102" s="313" t="str">
        <f t="shared" si="35"/>
        <v/>
      </c>
      <c r="AS102" s="304" t="str">
        <f t="shared" si="36"/>
        <v/>
      </c>
      <c r="AT102" s="308" t="str">
        <f t="shared" si="37"/>
        <v/>
      </c>
      <c r="AU102" s="308" t="str">
        <f t="shared" si="38"/>
        <v/>
      </c>
      <c r="AV102" s="304" t="str">
        <f t="shared" si="39"/>
        <v/>
      </c>
      <c r="AW102" s="308" t="str">
        <f t="shared" si="40"/>
        <v/>
      </c>
      <c r="AX102" s="308" t="str">
        <f t="shared" si="41"/>
        <v/>
      </c>
      <c r="AY102" s="304" t="str">
        <f t="shared" si="42"/>
        <v/>
      </c>
      <c r="AZ102" s="308" t="str">
        <f t="shared" si="43"/>
        <v/>
      </c>
      <c r="BA102" s="313" t="str">
        <f t="shared" si="44"/>
        <v/>
      </c>
      <c r="BB102" s="304" t="str">
        <f t="shared" si="45"/>
        <v/>
      </c>
      <c r="BC102" s="308" t="str">
        <f t="shared" si="46"/>
        <v/>
      </c>
      <c r="BD102" s="308" t="str">
        <f t="shared" si="47"/>
        <v/>
      </c>
    </row>
    <row r="103">
      <c r="A103" s="318"/>
      <c r="B103" s="318"/>
      <c r="C103" s="319"/>
      <c r="D103" s="301" t="str">
        <f>IFERROR(__xludf.DUMMYFUNCTION("if(ISBLANK(A103),"""",GOOGLEFINANCE(A103,""NAME""))"),"")</f>
        <v/>
      </c>
      <c r="E103" s="302">
        <v>5000.0</v>
      </c>
      <c r="F103" s="303" t="str">
        <f>IFERROR(__xludf.DUMMYFUNCTION("if(ISBLANK(A103),"""",GOOGLEFINANCE(A103,""HIGH52""))"),"")</f>
        <v/>
      </c>
      <c r="G103" s="303" t="str">
        <f>IFERROR(__xludf.DUMMYFUNCTION("if(ISBLANK(A103),"""",GOOGLEFINANCE(A103,""LOW52""))"),"")</f>
        <v/>
      </c>
      <c r="H103" s="304" t="str">
        <f>IFERROR(__xludf.DUMMYFUNCTION("if(ISBLANK(A103),"""",GOOGLEFINANCE(A103,""Price""))"),"")</f>
        <v/>
      </c>
      <c r="I103" s="305" t="str">
        <f t="shared" si="1"/>
        <v/>
      </c>
      <c r="J103" s="306" t="str">
        <f t="shared" si="2"/>
        <v/>
      </c>
      <c r="K103" s="307" t="str">
        <f>IFERROR(__xludf.DUMMYFUNCTION("if(ISBLANK(A103),"""",googlefinance(A103,""Marketcap"")/10000000)"),"")</f>
        <v/>
      </c>
      <c r="L103" s="309" t="str">
        <f t="shared" si="3"/>
        <v/>
      </c>
      <c r="M103" s="308" t="str">
        <f t="shared" si="4"/>
        <v/>
      </c>
      <c r="N103" s="309" t="str">
        <f t="shared" si="5"/>
        <v/>
      </c>
      <c r="O103" s="322" t="str">
        <f t="shared" si="6"/>
        <v/>
      </c>
      <c r="P103" s="308" t="str">
        <f t="shared" si="7"/>
        <v/>
      </c>
      <c r="Q103" s="311" t="str">
        <f t="shared" si="8"/>
        <v/>
      </c>
      <c r="R103" s="309" t="str">
        <f t="shared" si="9"/>
        <v/>
      </c>
      <c r="S103" s="308" t="str">
        <f t="shared" si="10"/>
        <v/>
      </c>
      <c r="T103" s="309" t="str">
        <f t="shared" si="11"/>
        <v/>
      </c>
      <c r="U103" s="309" t="str">
        <f t="shared" si="12"/>
        <v/>
      </c>
      <c r="V103" s="308" t="str">
        <f t="shared" si="13"/>
        <v/>
      </c>
      <c r="W103" s="309" t="str">
        <f t="shared" si="14"/>
        <v/>
      </c>
      <c r="X103" s="309" t="str">
        <f t="shared" si="15"/>
        <v/>
      </c>
      <c r="Y103" s="308" t="str">
        <f t="shared" si="16"/>
        <v/>
      </c>
      <c r="Z103" s="309" t="str">
        <f t="shared" si="17"/>
        <v/>
      </c>
      <c r="AA103" s="312" t="str">
        <f t="shared" si="18"/>
        <v/>
      </c>
      <c r="AB103" s="308" t="str">
        <f t="shared" si="19"/>
        <v/>
      </c>
      <c r="AC103" s="308" t="str">
        <f t="shared" si="20"/>
        <v/>
      </c>
      <c r="AD103" s="312" t="str">
        <f t="shared" si="21"/>
        <v/>
      </c>
      <c r="AE103" s="308" t="str">
        <f t="shared" si="22"/>
        <v/>
      </c>
      <c r="AF103" s="313" t="str">
        <f t="shared" si="23"/>
        <v/>
      </c>
      <c r="AG103" s="304" t="str">
        <f t="shared" si="24"/>
        <v/>
      </c>
      <c r="AH103" s="308" t="str">
        <f t="shared" si="25"/>
        <v/>
      </c>
      <c r="AI103" s="313" t="str">
        <f t="shared" si="26"/>
        <v/>
      </c>
      <c r="AJ103" s="304" t="str">
        <f t="shared" si="27"/>
        <v/>
      </c>
      <c r="AK103" s="308" t="str">
        <f t="shared" si="28"/>
        <v/>
      </c>
      <c r="AL103" s="308" t="str">
        <f t="shared" si="29"/>
        <v/>
      </c>
      <c r="AM103" s="304" t="str">
        <f t="shared" si="30"/>
        <v/>
      </c>
      <c r="AN103" s="308" t="str">
        <f t="shared" si="31"/>
        <v/>
      </c>
      <c r="AO103" s="313" t="str">
        <f t="shared" si="32"/>
        <v/>
      </c>
      <c r="AP103" s="304" t="str">
        <f t="shared" si="33"/>
        <v/>
      </c>
      <c r="AQ103" s="308" t="str">
        <f t="shared" si="34"/>
        <v/>
      </c>
      <c r="AR103" s="313" t="str">
        <f t="shared" si="35"/>
        <v/>
      </c>
      <c r="AS103" s="304" t="str">
        <f t="shared" si="36"/>
        <v/>
      </c>
      <c r="AT103" s="308" t="str">
        <f t="shared" si="37"/>
        <v/>
      </c>
      <c r="AU103" s="308" t="str">
        <f t="shared" si="38"/>
        <v/>
      </c>
      <c r="AV103" s="304" t="str">
        <f t="shared" si="39"/>
        <v/>
      </c>
      <c r="AW103" s="308" t="str">
        <f t="shared" si="40"/>
        <v/>
      </c>
      <c r="AX103" s="308" t="str">
        <f t="shared" si="41"/>
        <v/>
      </c>
      <c r="AY103" s="304" t="str">
        <f t="shared" si="42"/>
        <v/>
      </c>
      <c r="AZ103" s="308" t="str">
        <f t="shared" si="43"/>
        <v/>
      </c>
      <c r="BA103" s="313" t="str">
        <f t="shared" si="44"/>
        <v/>
      </c>
      <c r="BB103" s="304" t="str">
        <f t="shared" si="45"/>
        <v/>
      </c>
      <c r="BC103" s="308" t="str">
        <f t="shared" si="46"/>
        <v/>
      </c>
      <c r="BD103" s="308" t="str">
        <f t="shared" si="47"/>
        <v/>
      </c>
    </row>
    <row r="104">
      <c r="A104" s="299"/>
      <c r="B104" s="299"/>
      <c r="C104" s="300"/>
      <c r="D104" s="301" t="str">
        <f>IFERROR(__xludf.DUMMYFUNCTION("if(ISBLANK(A104),"""",GOOGLEFINANCE(A104,""NAME""))"),"")</f>
        <v/>
      </c>
      <c r="E104" s="302">
        <v>5000.0</v>
      </c>
      <c r="F104" s="303" t="str">
        <f>IFERROR(__xludf.DUMMYFUNCTION("if(ISBLANK(A104),"""",GOOGLEFINANCE(A104,""HIGH52""))"),"")</f>
        <v/>
      </c>
      <c r="G104" s="303" t="str">
        <f>IFERROR(__xludf.DUMMYFUNCTION("if(ISBLANK(A104),"""",GOOGLEFINANCE(A104,""LOW52""))"),"")</f>
        <v/>
      </c>
      <c r="H104" s="304" t="str">
        <f>IFERROR(__xludf.DUMMYFUNCTION("if(ISBLANK(A104),"""",GOOGLEFINANCE(A104,""Price""))"),"")</f>
        <v/>
      </c>
      <c r="I104" s="305" t="str">
        <f t="shared" si="1"/>
        <v/>
      </c>
      <c r="J104" s="306" t="str">
        <f t="shared" si="2"/>
        <v/>
      </c>
      <c r="K104" s="307" t="str">
        <f>IFERROR(__xludf.DUMMYFUNCTION("if(ISBLANK(A104),"""",googlefinance(A104,""Marketcap"")/10000000)"),"")</f>
        <v/>
      </c>
      <c r="L104" s="309" t="str">
        <f t="shared" si="3"/>
        <v/>
      </c>
      <c r="M104" s="308" t="str">
        <f t="shared" si="4"/>
        <v/>
      </c>
      <c r="N104" s="309" t="str">
        <f t="shared" si="5"/>
        <v/>
      </c>
      <c r="O104" s="322" t="str">
        <f t="shared" si="6"/>
        <v/>
      </c>
      <c r="P104" s="308" t="str">
        <f t="shared" si="7"/>
        <v/>
      </c>
      <c r="Q104" s="311" t="str">
        <f t="shared" si="8"/>
        <v/>
      </c>
      <c r="R104" s="309" t="str">
        <f t="shared" si="9"/>
        <v/>
      </c>
      <c r="S104" s="308" t="str">
        <f t="shared" si="10"/>
        <v/>
      </c>
      <c r="T104" s="309" t="str">
        <f t="shared" si="11"/>
        <v/>
      </c>
      <c r="U104" s="309" t="str">
        <f t="shared" si="12"/>
        <v/>
      </c>
      <c r="V104" s="308" t="str">
        <f t="shared" si="13"/>
        <v/>
      </c>
      <c r="W104" s="309" t="str">
        <f t="shared" si="14"/>
        <v/>
      </c>
      <c r="X104" s="309" t="str">
        <f t="shared" si="15"/>
        <v/>
      </c>
      <c r="Y104" s="308" t="str">
        <f t="shared" si="16"/>
        <v/>
      </c>
      <c r="Z104" s="309" t="str">
        <f t="shared" si="17"/>
        <v/>
      </c>
      <c r="AA104" s="312" t="str">
        <f t="shared" si="18"/>
        <v/>
      </c>
      <c r="AB104" s="308" t="str">
        <f t="shared" si="19"/>
        <v/>
      </c>
      <c r="AC104" s="308" t="str">
        <f t="shared" si="20"/>
        <v/>
      </c>
      <c r="AD104" s="312" t="str">
        <f t="shared" si="21"/>
        <v/>
      </c>
      <c r="AE104" s="308" t="str">
        <f t="shared" si="22"/>
        <v/>
      </c>
      <c r="AF104" s="313" t="str">
        <f t="shared" si="23"/>
        <v/>
      </c>
      <c r="AG104" s="304" t="str">
        <f t="shared" si="24"/>
        <v/>
      </c>
      <c r="AH104" s="308" t="str">
        <f t="shared" si="25"/>
        <v/>
      </c>
      <c r="AI104" s="313" t="str">
        <f t="shared" si="26"/>
        <v/>
      </c>
      <c r="AJ104" s="304" t="str">
        <f t="shared" si="27"/>
        <v/>
      </c>
      <c r="AK104" s="308" t="str">
        <f t="shared" si="28"/>
        <v/>
      </c>
      <c r="AL104" s="308" t="str">
        <f t="shared" si="29"/>
        <v/>
      </c>
      <c r="AM104" s="304" t="str">
        <f t="shared" si="30"/>
        <v/>
      </c>
      <c r="AN104" s="308" t="str">
        <f t="shared" si="31"/>
        <v/>
      </c>
      <c r="AO104" s="313" t="str">
        <f t="shared" si="32"/>
        <v/>
      </c>
      <c r="AP104" s="304" t="str">
        <f t="shared" si="33"/>
        <v/>
      </c>
      <c r="AQ104" s="308" t="str">
        <f t="shared" si="34"/>
        <v/>
      </c>
      <c r="AR104" s="313" t="str">
        <f t="shared" si="35"/>
        <v/>
      </c>
      <c r="AS104" s="304" t="str">
        <f t="shared" si="36"/>
        <v/>
      </c>
      <c r="AT104" s="308" t="str">
        <f t="shared" si="37"/>
        <v/>
      </c>
      <c r="AU104" s="308" t="str">
        <f t="shared" si="38"/>
        <v/>
      </c>
      <c r="AV104" s="304" t="str">
        <f t="shared" si="39"/>
        <v/>
      </c>
      <c r="AW104" s="308" t="str">
        <f t="shared" si="40"/>
        <v/>
      </c>
      <c r="AX104" s="308" t="str">
        <f t="shared" si="41"/>
        <v/>
      </c>
      <c r="AY104" s="304" t="str">
        <f t="shared" si="42"/>
        <v/>
      </c>
      <c r="AZ104" s="308" t="str">
        <f t="shared" si="43"/>
        <v/>
      </c>
      <c r="BA104" s="313" t="str">
        <f t="shared" si="44"/>
        <v/>
      </c>
      <c r="BB104" s="304" t="str">
        <f t="shared" si="45"/>
        <v/>
      </c>
      <c r="BC104" s="308" t="str">
        <f t="shared" si="46"/>
        <v/>
      </c>
      <c r="BD104" s="308" t="str">
        <f t="shared" si="47"/>
        <v/>
      </c>
    </row>
    <row r="105">
      <c r="A105" s="318"/>
      <c r="B105" s="318"/>
      <c r="C105" s="319"/>
      <c r="D105" s="301" t="str">
        <f>IFERROR(__xludf.DUMMYFUNCTION("if(ISBLANK(A105),"""",GOOGLEFINANCE(A105,""NAME""))"),"")</f>
        <v/>
      </c>
      <c r="E105" s="302">
        <v>5000.0</v>
      </c>
      <c r="F105" s="303" t="str">
        <f>IFERROR(__xludf.DUMMYFUNCTION("if(ISBLANK(A105),"""",GOOGLEFINANCE(A105,""HIGH52""))"),"")</f>
        <v/>
      </c>
      <c r="G105" s="303" t="str">
        <f>IFERROR(__xludf.DUMMYFUNCTION("if(ISBLANK(A105),"""",GOOGLEFINANCE(A105,""LOW52""))"),"")</f>
        <v/>
      </c>
      <c r="H105" s="304" t="str">
        <f>IFERROR(__xludf.DUMMYFUNCTION("if(ISBLANK(A105),"""",GOOGLEFINANCE(A105,""Price""))"),"")</f>
        <v/>
      </c>
      <c r="I105" s="305" t="str">
        <f t="shared" si="1"/>
        <v/>
      </c>
      <c r="J105" s="306" t="str">
        <f t="shared" si="2"/>
        <v/>
      </c>
      <c r="K105" s="307" t="str">
        <f>IFERROR(__xludf.DUMMYFUNCTION("if(ISBLANK(A105),"""",googlefinance(A105,""Marketcap"")/10000000)"),"")</f>
        <v/>
      </c>
      <c r="L105" s="309" t="str">
        <f t="shared" si="3"/>
        <v/>
      </c>
      <c r="M105" s="308" t="str">
        <f t="shared" si="4"/>
        <v/>
      </c>
      <c r="N105" s="309" t="str">
        <f t="shared" si="5"/>
        <v/>
      </c>
      <c r="O105" s="322" t="str">
        <f t="shared" si="6"/>
        <v/>
      </c>
      <c r="P105" s="308" t="str">
        <f t="shared" si="7"/>
        <v/>
      </c>
      <c r="Q105" s="311" t="str">
        <f t="shared" si="8"/>
        <v/>
      </c>
      <c r="R105" s="309" t="str">
        <f t="shared" si="9"/>
        <v/>
      </c>
      <c r="S105" s="308" t="str">
        <f t="shared" si="10"/>
        <v/>
      </c>
      <c r="T105" s="309" t="str">
        <f t="shared" si="11"/>
        <v/>
      </c>
      <c r="U105" s="309" t="str">
        <f t="shared" si="12"/>
        <v/>
      </c>
      <c r="V105" s="308" t="str">
        <f t="shared" si="13"/>
        <v/>
      </c>
      <c r="W105" s="309" t="str">
        <f t="shared" si="14"/>
        <v/>
      </c>
      <c r="X105" s="309" t="str">
        <f t="shared" si="15"/>
        <v/>
      </c>
      <c r="Y105" s="308" t="str">
        <f t="shared" si="16"/>
        <v/>
      </c>
      <c r="Z105" s="309" t="str">
        <f t="shared" si="17"/>
        <v/>
      </c>
      <c r="AA105" s="312" t="str">
        <f t="shared" si="18"/>
        <v/>
      </c>
      <c r="AB105" s="308" t="str">
        <f t="shared" si="19"/>
        <v/>
      </c>
      <c r="AC105" s="308" t="str">
        <f t="shared" si="20"/>
        <v/>
      </c>
      <c r="AD105" s="312" t="str">
        <f t="shared" si="21"/>
        <v/>
      </c>
      <c r="AE105" s="308" t="str">
        <f t="shared" si="22"/>
        <v/>
      </c>
      <c r="AF105" s="313" t="str">
        <f t="shared" si="23"/>
        <v/>
      </c>
      <c r="AG105" s="304" t="str">
        <f t="shared" si="24"/>
        <v/>
      </c>
      <c r="AH105" s="308" t="str">
        <f t="shared" si="25"/>
        <v/>
      </c>
      <c r="AI105" s="313" t="str">
        <f t="shared" si="26"/>
        <v/>
      </c>
      <c r="AJ105" s="304" t="str">
        <f t="shared" si="27"/>
        <v/>
      </c>
      <c r="AK105" s="308" t="str">
        <f t="shared" si="28"/>
        <v/>
      </c>
      <c r="AL105" s="308" t="str">
        <f t="shared" si="29"/>
        <v/>
      </c>
      <c r="AM105" s="304" t="str">
        <f t="shared" si="30"/>
        <v/>
      </c>
      <c r="AN105" s="308" t="str">
        <f t="shared" si="31"/>
        <v/>
      </c>
      <c r="AO105" s="313" t="str">
        <f t="shared" si="32"/>
        <v/>
      </c>
      <c r="AP105" s="304" t="str">
        <f t="shared" si="33"/>
        <v/>
      </c>
      <c r="AQ105" s="308" t="str">
        <f t="shared" si="34"/>
        <v/>
      </c>
      <c r="AR105" s="313" t="str">
        <f t="shared" si="35"/>
        <v/>
      </c>
      <c r="AS105" s="304" t="str">
        <f t="shared" si="36"/>
        <v/>
      </c>
      <c r="AT105" s="308" t="str">
        <f t="shared" si="37"/>
        <v/>
      </c>
      <c r="AU105" s="308" t="str">
        <f t="shared" si="38"/>
        <v/>
      </c>
      <c r="AV105" s="304" t="str">
        <f t="shared" si="39"/>
        <v/>
      </c>
      <c r="AW105" s="308" t="str">
        <f t="shared" si="40"/>
        <v/>
      </c>
      <c r="AX105" s="308" t="str">
        <f t="shared" si="41"/>
        <v/>
      </c>
      <c r="AY105" s="304" t="str">
        <f t="shared" si="42"/>
        <v/>
      </c>
      <c r="AZ105" s="308" t="str">
        <f t="shared" si="43"/>
        <v/>
      </c>
      <c r="BA105" s="313" t="str">
        <f t="shared" si="44"/>
        <v/>
      </c>
      <c r="BB105" s="304" t="str">
        <f t="shared" si="45"/>
        <v/>
      </c>
      <c r="BC105" s="308" t="str">
        <f t="shared" si="46"/>
        <v/>
      </c>
      <c r="BD105" s="308" t="str">
        <f t="shared" si="47"/>
        <v/>
      </c>
    </row>
    <row r="106">
      <c r="A106" s="318"/>
      <c r="B106" s="318"/>
      <c r="C106" s="319"/>
      <c r="D106" s="301" t="str">
        <f>IFERROR(__xludf.DUMMYFUNCTION("if(ISBLANK(A106),"""",GOOGLEFINANCE(A106,""NAME""))"),"")</f>
        <v/>
      </c>
      <c r="E106" s="302">
        <v>5000.0</v>
      </c>
      <c r="F106" s="303" t="str">
        <f>IFERROR(__xludf.DUMMYFUNCTION("if(ISBLANK(A106),"""",GOOGLEFINANCE(A106,""HIGH52""))"),"")</f>
        <v/>
      </c>
      <c r="G106" s="303" t="str">
        <f>IFERROR(__xludf.DUMMYFUNCTION("if(ISBLANK(A106),"""",GOOGLEFINANCE(A106,""LOW52""))"),"")</f>
        <v/>
      </c>
      <c r="H106" s="304" t="str">
        <f>IFERROR(__xludf.DUMMYFUNCTION("if(ISBLANK(A106),"""",GOOGLEFINANCE(A106,""Price""))"),"")</f>
        <v/>
      </c>
      <c r="I106" s="305" t="str">
        <f t="shared" si="1"/>
        <v/>
      </c>
      <c r="J106" s="306" t="str">
        <f t="shared" si="2"/>
        <v/>
      </c>
      <c r="K106" s="307" t="str">
        <f>IFERROR(__xludf.DUMMYFUNCTION("if(ISBLANK(A106),"""",googlefinance(A106,""Marketcap"")/10000000)"),"")</f>
        <v/>
      </c>
      <c r="L106" s="309" t="str">
        <f t="shared" si="3"/>
        <v/>
      </c>
      <c r="M106" s="308" t="str">
        <f t="shared" si="4"/>
        <v/>
      </c>
      <c r="N106" s="309" t="str">
        <f t="shared" si="5"/>
        <v/>
      </c>
      <c r="O106" s="322" t="str">
        <f t="shared" si="6"/>
        <v/>
      </c>
      <c r="P106" s="308" t="str">
        <f t="shared" si="7"/>
        <v/>
      </c>
      <c r="Q106" s="311" t="str">
        <f t="shared" si="8"/>
        <v/>
      </c>
      <c r="R106" s="309" t="str">
        <f t="shared" si="9"/>
        <v/>
      </c>
      <c r="S106" s="308" t="str">
        <f t="shared" si="10"/>
        <v/>
      </c>
      <c r="T106" s="309" t="str">
        <f t="shared" si="11"/>
        <v/>
      </c>
      <c r="U106" s="309" t="str">
        <f t="shared" si="12"/>
        <v/>
      </c>
      <c r="V106" s="308" t="str">
        <f t="shared" si="13"/>
        <v/>
      </c>
      <c r="W106" s="309" t="str">
        <f t="shared" si="14"/>
        <v/>
      </c>
      <c r="X106" s="309" t="str">
        <f t="shared" si="15"/>
        <v/>
      </c>
      <c r="Y106" s="308" t="str">
        <f t="shared" si="16"/>
        <v/>
      </c>
      <c r="Z106" s="309" t="str">
        <f t="shared" si="17"/>
        <v/>
      </c>
      <c r="AA106" s="312" t="str">
        <f t="shared" si="18"/>
        <v/>
      </c>
      <c r="AB106" s="308" t="str">
        <f t="shared" si="19"/>
        <v/>
      </c>
      <c r="AC106" s="308" t="str">
        <f t="shared" si="20"/>
        <v/>
      </c>
      <c r="AD106" s="312" t="str">
        <f t="shared" si="21"/>
        <v/>
      </c>
      <c r="AE106" s="308" t="str">
        <f t="shared" si="22"/>
        <v/>
      </c>
      <c r="AF106" s="313" t="str">
        <f t="shared" si="23"/>
        <v/>
      </c>
      <c r="AG106" s="304" t="str">
        <f t="shared" si="24"/>
        <v/>
      </c>
      <c r="AH106" s="308" t="str">
        <f t="shared" si="25"/>
        <v/>
      </c>
      <c r="AI106" s="313" t="str">
        <f t="shared" si="26"/>
        <v/>
      </c>
      <c r="AJ106" s="304" t="str">
        <f t="shared" si="27"/>
        <v/>
      </c>
      <c r="AK106" s="308" t="str">
        <f t="shared" si="28"/>
        <v/>
      </c>
      <c r="AL106" s="308" t="str">
        <f t="shared" si="29"/>
        <v/>
      </c>
      <c r="AM106" s="304" t="str">
        <f t="shared" si="30"/>
        <v/>
      </c>
      <c r="AN106" s="308" t="str">
        <f t="shared" si="31"/>
        <v/>
      </c>
      <c r="AO106" s="313" t="str">
        <f t="shared" si="32"/>
        <v/>
      </c>
      <c r="AP106" s="304" t="str">
        <f t="shared" si="33"/>
        <v/>
      </c>
      <c r="AQ106" s="308" t="str">
        <f t="shared" si="34"/>
        <v/>
      </c>
      <c r="AR106" s="313" t="str">
        <f t="shared" si="35"/>
        <v/>
      </c>
      <c r="AS106" s="304" t="str">
        <f t="shared" si="36"/>
        <v/>
      </c>
      <c r="AT106" s="308" t="str">
        <f t="shared" si="37"/>
        <v/>
      </c>
      <c r="AU106" s="308" t="str">
        <f t="shared" si="38"/>
        <v/>
      </c>
      <c r="AV106" s="304" t="str">
        <f t="shared" si="39"/>
        <v/>
      </c>
      <c r="AW106" s="308" t="str">
        <f t="shared" si="40"/>
        <v/>
      </c>
      <c r="AX106" s="308" t="str">
        <f t="shared" si="41"/>
        <v/>
      </c>
      <c r="AY106" s="304" t="str">
        <f t="shared" si="42"/>
        <v/>
      </c>
      <c r="AZ106" s="308" t="str">
        <f t="shared" si="43"/>
        <v/>
      </c>
      <c r="BA106" s="313" t="str">
        <f t="shared" si="44"/>
        <v/>
      </c>
      <c r="BB106" s="304" t="str">
        <f t="shared" si="45"/>
        <v/>
      </c>
      <c r="BC106" s="308" t="str">
        <f t="shared" si="46"/>
        <v/>
      </c>
      <c r="BD106" s="308" t="str">
        <f t="shared" si="47"/>
        <v/>
      </c>
    </row>
    <row r="107">
      <c r="A107" s="320"/>
      <c r="B107" s="320"/>
      <c r="C107" s="321"/>
      <c r="D107" s="301" t="str">
        <f>IFERROR(__xludf.DUMMYFUNCTION("if(ISBLANK(A107),"""",GOOGLEFINANCE(A107,""NAME""))"),"")</f>
        <v/>
      </c>
      <c r="E107" s="302">
        <v>5000.0</v>
      </c>
      <c r="F107" s="303" t="str">
        <f>IFERROR(__xludf.DUMMYFUNCTION("if(ISBLANK(A107),"""",GOOGLEFINANCE(A107,""HIGH52""))"),"")</f>
        <v/>
      </c>
      <c r="G107" s="303" t="str">
        <f>IFERROR(__xludf.DUMMYFUNCTION("if(ISBLANK(A107),"""",GOOGLEFINANCE(A107,""LOW52""))"),"")</f>
        <v/>
      </c>
      <c r="H107" s="304" t="str">
        <f>IFERROR(__xludf.DUMMYFUNCTION("if(ISBLANK(A107),"""",GOOGLEFINANCE(A107,""Price""))"),"")</f>
        <v/>
      </c>
      <c r="I107" s="305" t="str">
        <f t="shared" si="1"/>
        <v/>
      </c>
      <c r="J107" s="306" t="str">
        <f t="shared" si="2"/>
        <v/>
      </c>
      <c r="K107" s="307" t="str">
        <f>IFERROR(__xludf.DUMMYFUNCTION("if(ISBLANK(A107),"""",googlefinance(A107,""Marketcap"")/10000000)"),"")</f>
        <v/>
      </c>
      <c r="L107" s="309" t="str">
        <f t="shared" si="3"/>
        <v/>
      </c>
      <c r="M107" s="308" t="str">
        <f t="shared" si="4"/>
        <v/>
      </c>
      <c r="N107" s="309" t="str">
        <f t="shared" si="5"/>
        <v/>
      </c>
      <c r="O107" s="322" t="str">
        <f t="shared" si="6"/>
        <v/>
      </c>
      <c r="P107" s="308" t="str">
        <f t="shared" si="7"/>
        <v/>
      </c>
      <c r="Q107" s="311" t="str">
        <f t="shared" si="8"/>
        <v/>
      </c>
      <c r="R107" s="309" t="str">
        <f t="shared" si="9"/>
        <v/>
      </c>
      <c r="S107" s="308" t="str">
        <f t="shared" si="10"/>
        <v/>
      </c>
      <c r="T107" s="309" t="str">
        <f t="shared" si="11"/>
        <v/>
      </c>
      <c r="U107" s="309" t="str">
        <f t="shared" si="12"/>
        <v/>
      </c>
      <c r="V107" s="308" t="str">
        <f t="shared" si="13"/>
        <v/>
      </c>
      <c r="W107" s="309" t="str">
        <f t="shared" si="14"/>
        <v/>
      </c>
      <c r="X107" s="309" t="str">
        <f t="shared" si="15"/>
        <v/>
      </c>
      <c r="Y107" s="308" t="str">
        <f t="shared" si="16"/>
        <v/>
      </c>
      <c r="Z107" s="309" t="str">
        <f t="shared" si="17"/>
        <v/>
      </c>
      <c r="AA107" s="312" t="str">
        <f t="shared" si="18"/>
        <v/>
      </c>
      <c r="AB107" s="308" t="str">
        <f t="shared" si="19"/>
        <v/>
      </c>
      <c r="AC107" s="308" t="str">
        <f t="shared" si="20"/>
        <v/>
      </c>
      <c r="AD107" s="312" t="str">
        <f t="shared" si="21"/>
        <v/>
      </c>
      <c r="AE107" s="308" t="str">
        <f t="shared" si="22"/>
        <v/>
      </c>
      <c r="AF107" s="313" t="str">
        <f t="shared" si="23"/>
        <v/>
      </c>
      <c r="AG107" s="304" t="str">
        <f t="shared" si="24"/>
        <v/>
      </c>
      <c r="AH107" s="308" t="str">
        <f t="shared" si="25"/>
        <v/>
      </c>
      <c r="AI107" s="313" t="str">
        <f t="shared" si="26"/>
        <v/>
      </c>
      <c r="AJ107" s="304" t="str">
        <f t="shared" si="27"/>
        <v/>
      </c>
      <c r="AK107" s="308" t="str">
        <f t="shared" si="28"/>
        <v/>
      </c>
      <c r="AL107" s="308" t="str">
        <f t="shared" si="29"/>
        <v/>
      </c>
      <c r="AM107" s="304" t="str">
        <f t="shared" si="30"/>
        <v/>
      </c>
      <c r="AN107" s="308" t="str">
        <f t="shared" si="31"/>
        <v/>
      </c>
      <c r="AO107" s="313" t="str">
        <f t="shared" si="32"/>
        <v/>
      </c>
      <c r="AP107" s="304" t="str">
        <f t="shared" si="33"/>
        <v/>
      </c>
      <c r="AQ107" s="308" t="str">
        <f t="shared" si="34"/>
        <v/>
      </c>
      <c r="AR107" s="313" t="str">
        <f t="shared" si="35"/>
        <v/>
      </c>
      <c r="AS107" s="304" t="str">
        <f t="shared" si="36"/>
        <v/>
      </c>
      <c r="AT107" s="308" t="str">
        <f t="shared" si="37"/>
        <v/>
      </c>
      <c r="AU107" s="308" t="str">
        <f t="shared" si="38"/>
        <v/>
      </c>
      <c r="AV107" s="304" t="str">
        <f t="shared" si="39"/>
        <v/>
      </c>
      <c r="AW107" s="308" t="str">
        <f t="shared" si="40"/>
        <v/>
      </c>
      <c r="AX107" s="308" t="str">
        <f t="shared" si="41"/>
        <v/>
      </c>
      <c r="AY107" s="304" t="str">
        <f t="shared" si="42"/>
        <v/>
      </c>
      <c r="AZ107" s="308" t="str">
        <f t="shared" si="43"/>
        <v/>
      </c>
      <c r="BA107" s="313" t="str">
        <f t="shared" si="44"/>
        <v/>
      </c>
      <c r="BB107" s="304" t="str">
        <f t="shared" si="45"/>
        <v/>
      </c>
      <c r="BC107" s="308" t="str">
        <f t="shared" si="46"/>
        <v/>
      </c>
      <c r="BD107" s="308" t="str">
        <f t="shared" si="47"/>
        <v/>
      </c>
    </row>
    <row r="108">
      <c r="A108" s="318"/>
      <c r="B108" s="318"/>
      <c r="C108" s="319"/>
      <c r="D108" s="301" t="str">
        <f>IFERROR(__xludf.DUMMYFUNCTION("if(ISBLANK(A108),"""",GOOGLEFINANCE(A108,""NAME""))"),"")</f>
        <v/>
      </c>
      <c r="E108" s="302">
        <v>5000.0</v>
      </c>
      <c r="F108" s="303" t="str">
        <f>IFERROR(__xludf.DUMMYFUNCTION("if(ISBLANK(A108),"""",GOOGLEFINANCE(A108,""HIGH52""))"),"")</f>
        <v/>
      </c>
      <c r="G108" s="303" t="str">
        <f>IFERROR(__xludf.DUMMYFUNCTION("if(ISBLANK(A108),"""",GOOGLEFINANCE(A108,""LOW52""))"),"")</f>
        <v/>
      </c>
      <c r="H108" s="304" t="str">
        <f>IFERROR(__xludf.DUMMYFUNCTION("if(ISBLANK(A108),"""",GOOGLEFINANCE(A108,""Price""))"),"")</f>
        <v/>
      </c>
      <c r="I108" s="305" t="str">
        <f t="shared" si="1"/>
        <v/>
      </c>
      <c r="J108" s="306" t="str">
        <f t="shared" si="2"/>
        <v/>
      </c>
      <c r="K108" s="307" t="str">
        <f>IFERROR(__xludf.DUMMYFUNCTION("if(ISBLANK(A108),"""",googlefinance(A108,""Marketcap"")/10000000)"),"")</f>
        <v/>
      </c>
      <c r="L108" s="309" t="str">
        <f t="shared" si="3"/>
        <v/>
      </c>
      <c r="M108" s="308" t="str">
        <f t="shared" si="4"/>
        <v/>
      </c>
      <c r="N108" s="309" t="str">
        <f t="shared" si="5"/>
        <v/>
      </c>
      <c r="O108" s="322" t="str">
        <f t="shared" si="6"/>
        <v/>
      </c>
      <c r="P108" s="308" t="str">
        <f t="shared" si="7"/>
        <v/>
      </c>
      <c r="Q108" s="311" t="str">
        <f t="shared" si="8"/>
        <v/>
      </c>
      <c r="R108" s="309" t="str">
        <f t="shared" si="9"/>
        <v/>
      </c>
      <c r="S108" s="308" t="str">
        <f t="shared" si="10"/>
        <v/>
      </c>
      <c r="T108" s="309" t="str">
        <f t="shared" si="11"/>
        <v/>
      </c>
      <c r="U108" s="309" t="str">
        <f t="shared" si="12"/>
        <v/>
      </c>
      <c r="V108" s="308" t="str">
        <f t="shared" si="13"/>
        <v/>
      </c>
      <c r="W108" s="309" t="str">
        <f t="shared" si="14"/>
        <v/>
      </c>
      <c r="X108" s="309" t="str">
        <f t="shared" si="15"/>
        <v/>
      </c>
      <c r="Y108" s="308" t="str">
        <f t="shared" si="16"/>
        <v/>
      </c>
      <c r="Z108" s="309" t="str">
        <f t="shared" si="17"/>
        <v/>
      </c>
      <c r="AA108" s="312" t="str">
        <f t="shared" si="18"/>
        <v/>
      </c>
      <c r="AB108" s="308" t="str">
        <f t="shared" si="19"/>
        <v/>
      </c>
      <c r="AC108" s="308" t="str">
        <f t="shared" si="20"/>
        <v/>
      </c>
      <c r="AD108" s="312" t="str">
        <f t="shared" si="21"/>
        <v/>
      </c>
      <c r="AE108" s="308" t="str">
        <f t="shared" si="22"/>
        <v/>
      </c>
      <c r="AF108" s="313" t="str">
        <f t="shared" si="23"/>
        <v/>
      </c>
      <c r="AG108" s="304" t="str">
        <f t="shared" si="24"/>
        <v/>
      </c>
      <c r="AH108" s="308" t="str">
        <f t="shared" si="25"/>
        <v/>
      </c>
      <c r="AI108" s="313" t="str">
        <f t="shared" si="26"/>
        <v/>
      </c>
      <c r="AJ108" s="304" t="str">
        <f t="shared" si="27"/>
        <v/>
      </c>
      <c r="AK108" s="308" t="str">
        <f t="shared" si="28"/>
        <v/>
      </c>
      <c r="AL108" s="308" t="str">
        <f t="shared" si="29"/>
        <v/>
      </c>
      <c r="AM108" s="304" t="str">
        <f t="shared" si="30"/>
        <v/>
      </c>
      <c r="AN108" s="308" t="str">
        <f t="shared" si="31"/>
        <v/>
      </c>
      <c r="AO108" s="313" t="str">
        <f t="shared" si="32"/>
        <v/>
      </c>
      <c r="AP108" s="304" t="str">
        <f t="shared" si="33"/>
        <v/>
      </c>
      <c r="AQ108" s="308" t="str">
        <f t="shared" si="34"/>
        <v/>
      </c>
      <c r="AR108" s="313" t="str">
        <f t="shared" si="35"/>
        <v/>
      </c>
      <c r="AS108" s="304" t="str">
        <f t="shared" si="36"/>
        <v/>
      </c>
      <c r="AT108" s="308" t="str">
        <f t="shared" si="37"/>
        <v/>
      </c>
      <c r="AU108" s="308" t="str">
        <f t="shared" si="38"/>
        <v/>
      </c>
      <c r="AV108" s="304" t="str">
        <f t="shared" si="39"/>
        <v/>
      </c>
      <c r="AW108" s="308" t="str">
        <f t="shared" si="40"/>
        <v/>
      </c>
      <c r="AX108" s="308" t="str">
        <f t="shared" si="41"/>
        <v/>
      </c>
      <c r="AY108" s="304" t="str">
        <f t="shared" si="42"/>
        <v/>
      </c>
      <c r="AZ108" s="308" t="str">
        <f t="shared" si="43"/>
        <v/>
      </c>
      <c r="BA108" s="313" t="str">
        <f t="shared" si="44"/>
        <v/>
      </c>
      <c r="BB108" s="304" t="str">
        <f t="shared" si="45"/>
        <v/>
      </c>
      <c r="BC108" s="308" t="str">
        <f t="shared" si="46"/>
        <v/>
      </c>
      <c r="BD108" s="308" t="str">
        <f t="shared" si="47"/>
        <v/>
      </c>
    </row>
    <row r="109">
      <c r="A109" s="318"/>
      <c r="B109" s="318"/>
      <c r="C109" s="319"/>
      <c r="D109" s="301" t="str">
        <f>IFERROR(__xludf.DUMMYFUNCTION("if(ISBLANK(A109),"""",GOOGLEFINANCE(A109,""NAME""))"),"")</f>
        <v/>
      </c>
      <c r="E109" s="302">
        <v>5000.0</v>
      </c>
      <c r="F109" s="303" t="str">
        <f>IFERROR(__xludf.DUMMYFUNCTION("if(ISBLANK(A109),"""",GOOGLEFINANCE(A109,""HIGH52""))"),"")</f>
        <v/>
      </c>
      <c r="G109" s="303" t="str">
        <f>IFERROR(__xludf.DUMMYFUNCTION("if(ISBLANK(A109),"""",GOOGLEFINANCE(A109,""LOW52""))"),"")</f>
        <v/>
      </c>
      <c r="H109" s="304" t="str">
        <f>IFERROR(__xludf.DUMMYFUNCTION("if(ISBLANK(A109),"""",GOOGLEFINANCE(A109,""Price""))"),"")</f>
        <v/>
      </c>
      <c r="I109" s="305" t="str">
        <f t="shared" si="1"/>
        <v/>
      </c>
      <c r="J109" s="306" t="str">
        <f t="shared" si="2"/>
        <v/>
      </c>
      <c r="K109" s="307" t="str">
        <f>IFERROR(__xludf.DUMMYFUNCTION("if(ISBLANK(A109),"""",googlefinance(A109,""Marketcap"")/10000000)"),"")</f>
        <v/>
      </c>
      <c r="L109" s="309" t="str">
        <f t="shared" si="3"/>
        <v/>
      </c>
      <c r="M109" s="308" t="str">
        <f t="shared" si="4"/>
        <v/>
      </c>
      <c r="N109" s="309" t="str">
        <f t="shared" si="5"/>
        <v/>
      </c>
      <c r="O109" s="322" t="str">
        <f t="shared" si="6"/>
        <v/>
      </c>
      <c r="P109" s="308" t="str">
        <f t="shared" si="7"/>
        <v/>
      </c>
      <c r="Q109" s="311" t="str">
        <f t="shared" si="8"/>
        <v/>
      </c>
      <c r="R109" s="309" t="str">
        <f t="shared" si="9"/>
        <v/>
      </c>
      <c r="S109" s="308" t="str">
        <f t="shared" si="10"/>
        <v/>
      </c>
      <c r="T109" s="309" t="str">
        <f t="shared" si="11"/>
        <v/>
      </c>
      <c r="U109" s="309" t="str">
        <f t="shared" si="12"/>
        <v/>
      </c>
      <c r="V109" s="308" t="str">
        <f t="shared" si="13"/>
        <v/>
      </c>
      <c r="W109" s="309" t="str">
        <f t="shared" si="14"/>
        <v/>
      </c>
      <c r="X109" s="309" t="str">
        <f t="shared" si="15"/>
        <v/>
      </c>
      <c r="Y109" s="308" t="str">
        <f t="shared" si="16"/>
        <v/>
      </c>
      <c r="Z109" s="309" t="str">
        <f t="shared" si="17"/>
        <v/>
      </c>
      <c r="AA109" s="312" t="str">
        <f t="shared" si="18"/>
        <v/>
      </c>
      <c r="AB109" s="308" t="str">
        <f t="shared" si="19"/>
        <v/>
      </c>
      <c r="AC109" s="308" t="str">
        <f t="shared" si="20"/>
        <v/>
      </c>
      <c r="AD109" s="312" t="str">
        <f t="shared" si="21"/>
        <v/>
      </c>
      <c r="AE109" s="308" t="str">
        <f t="shared" si="22"/>
        <v/>
      </c>
      <c r="AF109" s="313" t="str">
        <f t="shared" si="23"/>
        <v/>
      </c>
      <c r="AG109" s="304" t="str">
        <f t="shared" si="24"/>
        <v/>
      </c>
      <c r="AH109" s="308" t="str">
        <f t="shared" si="25"/>
        <v/>
      </c>
      <c r="AI109" s="313" t="str">
        <f t="shared" si="26"/>
        <v/>
      </c>
      <c r="AJ109" s="304" t="str">
        <f t="shared" si="27"/>
        <v/>
      </c>
      <c r="AK109" s="308" t="str">
        <f t="shared" si="28"/>
        <v/>
      </c>
      <c r="AL109" s="308" t="str">
        <f t="shared" si="29"/>
        <v/>
      </c>
      <c r="AM109" s="304" t="str">
        <f t="shared" si="30"/>
        <v/>
      </c>
      <c r="AN109" s="308" t="str">
        <f t="shared" si="31"/>
        <v/>
      </c>
      <c r="AO109" s="313" t="str">
        <f t="shared" si="32"/>
        <v/>
      </c>
      <c r="AP109" s="304" t="str">
        <f t="shared" si="33"/>
        <v/>
      </c>
      <c r="AQ109" s="308" t="str">
        <f t="shared" si="34"/>
        <v/>
      </c>
      <c r="AR109" s="313" t="str">
        <f t="shared" si="35"/>
        <v/>
      </c>
      <c r="AS109" s="304" t="str">
        <f t="shared" si="36"/>
        <v/>
      </c>
      <c r="AT109" s="308" t="str">
        <f t="shared" si="37"/>
        <v/>
      </c>
      <c r="AU109" s="308" t="str">
        <f t="shared" si="38"/>
        <v/>
      </c>
      <c r="AV109" s="304" t="str">
        <f t="shared" si="39"/>
        <v/>
      </c>
      <c r="AW109" s="308" t="str">
        <f t="shared" si="40"/>
        <v/>
      </c>
      <c r="AX109" s="308" t="str">
        <f t="shared" si="41"/>
        <v/>
      </c>
      <c r="AY109" s="304" t="str">
        <f t="shared" si="42"/>
        <v/>
      </c>
      <c r="AZ109" s="308" t="str">
        <f t="shared" si="43"/>
        <v/>
      </c>
      <c r="BA109" s="313" t="str">
        <f t="shared" si="44"/>
        <v/>
      </c>
      <c r="BB109" s="304" t="str">
        <f t="shared" si="45"/>
        <v/>
      </c>
      <c r="BC109" s="308" t="str">
        <f t="shared" si="46"/>
        <v/>
      </c>
      <c r="BD109" s="308" t="str">
        <f t="shared" si="47"/>
        <v/>
      </c>
    </row>
    <row r="110">
      <c r="A110" s="318"/>
      <c r="B110" s="318"/>
      <c r="C110" s="319"/>
      <c r="D110" s="301" t="str">
        <f>IFERROR(__xludf.DUMMYFUNCTION("if(ISBLANK(A110),"""",GOOGLEFINANCE(A110,""NAME""))"),"")</f>
        <v/>
      </c>
      <c r="E110" s="302">
        <v>5000.0</v>
      </c>
      <c r="F110" s="303" t="str">
        <f>IFERROR(__xludf.DUMMYFUNCTION("if(ISBLANK(A110),"""",GOOGLEFINANCE(A110,""HIGH52""))"),"")</f>
        <v/>
      </c>
      <c r="G110" s="303" t="str">
        <f>IFERROR(__xludf.DUMMYFUNCTION("if(ISBLANK(A110),"""",GOOGLEFINANCE(A110,""LOW52""))"),"")</f>
        <v/>
      </c>
      <c r="H110" s="304" t="str">
        <f>IFERROR(__xludf.DUMMYFUNCTION("if(ISBLANK(A110),"""",GOOGLEFINANCE(A110,""Price""))"),"")</f>
        <v/>
      </c>
      <c r="I110" s="305" t="str">
        <f t="shared" si="1"/>
        <v/>
      </c>
      <c r="J110" s="306" t="str">
        <f t="shared" si="2"/>
        <v/>
      </c>
      <c r="K110" s="307" t="str">
        <f>IFERROR(__xludf.DUMMYFUNCTION("if(ISBLANK(A110),"""",googlefinance(A110,""Marketcap"")/10000000)"),"")</f>
        <v/>
      </c>
      <c r="L110" s="309" t="str">
        <f t="shared" si="3"/>
        <v/>
      </c>
      <c r="M110" s="308" t="str">
        <f t="shared" si="4"/>
        <v/>
      </c>
      <c r="N110" s="309" t="str">
        <f t="shared" si="5"/>
        <v/>
      </c>
      <c r="O110" s="322" t="str">
        <f t="shared" si="6"/>
        <v/>
      </c>
      <c r="P110" s="308" t="str">
        <f t="shared" si="7"/>
        <v/>
      </c>
      <c r="Q110" s="311" t="str">
        <f t="shared" si="8"/>
        <v/>
      </c>
      <c r="R110" s="309" t="str">
        <f t="shared" si="9"/>
        <v/>
      </c>
      <c r="S110" s="308" t="str">
        <f t="shared" si="10"/>
        <v/>
      </c>
      <c r="T110" s="309" t="str">
        <f t="shared" si="11"/>
        <v/>
      </c>
      <c r="U110" s="309" t="str">
        <f t="shared" si="12"/>
        <v/>
      </c>
      <c r="V110" s="308" t="str">
        <f t="shared" si="13"/>
        <v/>
      </c>
      <c r="W110" s="309" t="str">
        <f t="shared" si="14"/>
        <v/>
      </c>
      <c r="X110" s="309" t="str">
        <f t="shared" si="15"/>
        <v/>
      </c>
      <c r="Y110" s="308" t="str">
        <f t="shared" si="16"/>
        <v/>
      </c>
      <c r="Z110" s="309" t="str">
        <f t="shared" si="17"/>
        <v/>
      </c>
      <c r="AA110" s="312" t="str">
        <f t="shared" si="18"/>
        <v/>
      </c>
      <c r="AB110" s="308" t="str">
        <f t="shared" si="19"/>
        <v/>
      </c>
      <c r="AC110" s="308" t="str">
        <f t="shared" si="20"/>
        <v/>
      </c>
      <c r="AD110" s="312" t="str">
        <f t="shared" si="21"/>
        <v/>
      </c>
      <c r="AE110" s="308" t="str">
        <f t="shared" si="22"/>
        <v/>
      </c>
      <c r="AF110" s="313" t="str">
        <f t="shared" si="23"/>
        <v/>
      </c>
      <c r="AG110" s="304" t="str">
        <f t="shared" si="24"/>
        <v/>
      </c>
      <c r="AH110" s="308" t="str">
        <f t="shared" si="25"/>
        <v/>
      </c>
      <c r="AI110" s="313" t="str">
        <f t="shared" si="26"/>
        <v/>
      </c>
      <c r="AJ110" s="304" t="str">
        <f t="shared" si="27"/>
        <v/>
      </c>
      <c r="AK110" s="308" t="str">
        <f t="shared" si="28"/>
        <v/>
      </c>
      <c r="AL110" s="308" t="str">
        <f t="shared" si="29"/>
        <v/>
      </c>
      <c r="AM110" s="304" t="str">
        <f t="shared" si="30"/>
        <v/>
      </c>
      <c r="AN110" s="308" t="str">
        <f t="shared" si="31"/>
        <v/>
      </c>
      <c r="AO110" s="313" t="str">
        <f t="shared" si="32"/>
        <v/>
      </c>
      <c r="AP110" s="304" t="str">
        <f t="shared" si="33"/>
        <v/>
      </c>
      <c r="AQ110" s="308" t="str">
        <f t="shared" si="34"/>
        <v/>
      </c>
      <c r="AR110" s="313" t="str">
        <f t="shared" si="35"/>
        <v/>
      </c>
      <c r="AS110" s="304" t="str">
        <f t="shared" si="36"/>
        <v/>
      </c>
      <c r="AT110" s="308" t="str">
        <f t="shared" si="37"/>
        <v/>
      </c>
      <c r="AU110" s="308" t="str">
        <f t="shared" si="38"/>
        <v/>
      </c>
      <c r="AV110" s="304" t="str">
        <f t="shared" si="39"/>
        <v/>
      </c>
      <c r="AW110" s="308" t="str">
        <f t="shared" si="40"/>
        <v/>
      </c>
      <c r="AX110" s="308" t="str">
        <f t="shared" si="41"/>
        <v/>
      </c>
      <c r="AY110" s="304" t="str">
        <f t="shared" si="42"/>
        <v/>
      </c>
      <c r="AZ110" s="308" t="str">
        <f t="shared" si="43"/>
        <v/>
      </c>
      <c r="BA110" s="313" t="str">
        <f t="shared" si="44"/>
        <v/>
      </c>
      <c r="BB110" s="304" t="str">
        <f t="shared" si="45"/>
        <v/>
      </c>
      <c r="BC110" s="308" t="str">
        <f t="shared" si="46"/>
        <v/>
      </c>
      <c r="BD110" s="308" t="str">
        <f t="shared" si="47"/>
        <v/>
      </c>
    </row>
    <row r="111">
      <c r="A111" s="299"/>
      <c r="B111" s="299"/>
      <c r="C111" s="300"/>
      <c r="D111" s="301" t="str">
        <f>IFERROR(__xludf.DUMMYFUNCTION("if(ISBLANK(A111),"""",GOOGLEFINANCE(A111,""NAME""))"),"")</f>
        <v/>
      </c>
      <c r="E111" s="302">
        <v>5000.0</v>
      </c>
      <c r="F111" s="303" t="str">
        <f>IFERROR(__xludf.DUMMYFUNCTION("if(ISBLANK(A111),"""",GOOGLEFINANCE(A111,""HIGH52""))"),"")</f>
        <v/>
      </c>
      <c r="G111" s="303" t="str">
        <f>IFERROR(__xludf.DUMMYFUNCTION("if(ISBLANK(A111),"""",GOOGLEFINANCE(A111,""LOW52""))"),"")</f>
        <v/>
      </c>
      <c r="H111" s="304" t="str">
        <f>IFERROR(__xludf.DUMMYFUNCTION("if(ISBLANK(A111),"""",GOOGLEFINANCE(A111,""Price""))"),"")</f>
        <v/>
      </c>
      <c r="I111" s="305" t="str">
        <f t="shared" si="1"/>
        <v/>
      </c>
      <c r="J111" s="306" t="str">
        <f t="shared" si="2"/>
        <v/>
      </c>
      <c r="K111" s="307" t="str">
        <f>IFERROR(__xludf.DUMMYFUNCTION("if(ISBLANK(A111),"""",googlefinance(A111,""Marketcap"")/10000000)"),"")</f>
        <v/>
      </c>
      <c r="L111" s="309" t="str">
        <f t="shared" si="3"/>
        <v/>
      </c>
      <c r="M111" s="308" t="str">
        <f t="shared" si="4"/>
        <v/>
      </c>
      <c r="N111" s="309" t="str">
        <f t="shared" si="5"/>
        <v/>
      </c>
      <c r="O111" s="322" t="str">
        <f t="shared" si="6"/>
        <v/>
      </c>
      <c r="P111" s="308" t="str">
        <f t="shared" si="7"/>
        <v/>
      </c>
      <c r="Q111" s="311" t="str">
        <f t="shared" si="8"/>
        <v/>
      </c>
      <c r="R111" s="309" t="str">
        <f t="shared" si="9"/>
        <v/>
      </c>
      <c r="S111" s="308" t="str">
        <f t="shared" si="10"/>
        <v/>
      </c>
      <c r="T111" s="309" t="str">
        <f t="shared" si="11"/>
        <v/>
      </c>
      <c r="U111" s="309" t="str">
        <f t="shared" si="12"/>
        <v/>
      </c>
      <c r="V111" s="308" t="str">
        <f t="shared" si="13"/>
        <v/>
      </c>
      <c r="W111" s="309" t="str">
        <f t="shared" si="14"/>
        <v/>
      </c>
      <c r="X111" s="309" t="str">
        <f t="shared" si="15"/>
        <v/>
      </c>
      <c r="Y111" s="308" t="str">
        <f t="shared" si="16"/>
        <v/>
      </c>
      <c r="Z111" s="309" t="str">
        <f t="shared" si="17"/>
        <v/>
      </c>
      <c r="AA111" s="312" t="str">
        <f t="shared" si="18"/>
        <v/>
      </c>
      <c r="AB111" s="308" t="str">
        <f t="shared" si="19"/>
        <v/>
      </c>
      <c r="AC111" s="308" t="str">
        <f t="shared" si="20"/>
        <v/>
      </c>
      <c r="AD111" s="312" t="str">
        <f t="shared" si="21"/>
        <v/>
      </c>
      <c r="AE111" s="308" t="str">
        <f t="shared" si="22"/>
        <v/>
      </c>
      <c r="AF111" s="313" t="str">
        <f t="shared" si="23"/>
        <v/>
      </c>
      <c r="AG111" s="304" t="str">
        <f t="shared" si="24"/>
        <v/>
      </c>
      <c r="AH111" s="308" t="str">
        <f t="shared" si="25"/>
        <v/>
      </c>
      <c r="AI111" s="313" t="str">
        <f t="shared" si="26"/>
        <v/>
      </c>
      <c r="AJ111" s="304" t="str">
        <f t="shared" si="27"/>
        <v/>
      </c>
      <c r="AK111" s="308" t="str">
        <f t="shared" si="28"/>
        <v/>
      </c>
      <c r="AL111" s="308" t="str">
        <f t="shared" si="29"/>
        <v/>
      </c>
      <c r="AM111" s="304" t="str">
        <f t="shared" si="30"/>
        <v/>
      </c>
      <c r="AN111" s="308" t="str">
        <f t="shared" si="31"/>
        <v/>
      </c>
      <c r="AO111" s="313" t="str">
        <f t="shared" si="32"/>
        <v/>
      </c>
      <c r="AP111" s="304" t="str">
        <f t="shared" si="33"/>
        <v/>
      </c>
      <c r="AQ111" s="308" t="str">
        <f t="shared" si="34"/>
        <v/>
      </c>
      <c r="AR111" s="313" t="str">
        <f t="shared" si="35"/>
        <v/>
      </c>
      <c r="AS111" s="304" t="str">
        <f t="shared" si="36"/>
        <v/>
      </c>
      <c r="AT111" s="308" t="str">
        <f t="shared" si="37"/>
        <v/>
      </c>
      <c r="AU111" s="308" t="str">
        <f t="shared" si="38"/>
        <v/>
      </c>
      <c r="AV111" s="304" t="str">
        <f t="shared" si="39"/>
        <v/>
      </c>
      <c r="AW111" s="308" t="str">
        <f t="shared" si="40"/>
        <v/>
      </c>
      <c r="AX111" s="308" t="str">
        <f t="shared" si="41"/>
        <v/>
      </c>
      <c r="AY111" s="304" t="str">
        <f t="shared" si="42"/>
        <v/>
      </c>
      <c r="AZ111" s="308" t="str">
        <f t="shared" si="43"/>
        <v/>
      </c>
      <c r="BA111" s="313" t="str">
        <f t="shared" si="44"/>
        <v/>
      </c>
      <c r="BB111" s="304" t="str">
        <f t="shared" si="45"/>
        <v/>
      </c>
      <c r="BC111" s="308" t="str">
        <f t="shared" si="46"/>
        <v/>
      </c>
      <c r="BD111" s="308" t="str">
        <f t="shared" si="47"/>
        <v/>
      </c>
    </row>
    <row r="112">
      <c r="A112" s="299"/>
      <c r="B112" s="299"/>
      <c r="C112" s="300"/>
      <c r="D112" s="301" t="str">
        <f>IFERROR(__xludf.DUMMYFUNCTION("if(ISBLANK(A112),"""",GOOGLEFINANCE(A112,""NAME""))"),"")</f>
        <v/>
      </c>
      <c r="E112" s="302">
        <v>5000.0</v>
      </c>
      <c r="F112" s="303" t="str">
        <f>IFERROR(__xludf.DUMMYFUNCTION("if(ISBLANK(A112),"""",GOOGLEFINANCE(A112,""HIGH52""))"),"")</f>
        <v/>
      </c>
      <c r="G112" s="303" t="str">
        <f>IFERROR(__xludf.DUMMYFUNCTION("if(ISBLANK(A112),"""",GOOGLEFINANCE(A112,""LOW52""))"),"")</f>
        <v/>
      </c>
      <c r="H112" s="304" t="str">
        <f>IFERROR(__xludf.DUMMYFUNCTION("if(ISBLANK(A112),"""",GOOGLEFINANCE(A112,""Price""))"),"")</f>
        <v/>
      </c>
      <c r="I112" s="305" t="str">
        <f t="shared" si="1"/>
        <v/>
      </c>
      <c r="J112" s="306" t="str">
        <f t="shared" si="2"/>
        <v/>
      </c>
      <c r="K112" s="307" t="str">
        <f>IFERROR(__xludf.DUMMYFUNCTION("if(ISBLANK(A112),"""",googlefinance(A112,""Marketcap"")/10000000)"),"")</f>
        <v/>
      </c>
      <c r="L112" s="309" t="str">
        <f t="shared" si="3"/>
        <v/>
      </c>
      <c r="M112" s="308" t="str">
        <f t="shared" si="4"/>
        <v/>
      </c>
      <c r="N112" s="309" t="str">
        <f t="shared" si="5"/>
        <v/>
      </c>
      <c r="O112" s="322" t="str">
        <f t="shared" si="6"/>
        <v/>
      </c>
      <c r="P112" s="308" t="str">
        <f t="shared" si="7"/>
        <v/>
      </c>
      <c r="Q112" s="311" t="str">
        <f t="shared" si="8"/>
        <v/>
      </c>
      <c r="R112" s="309" t="str">
        <f t="shared" si="9"/>
        <v/>
      </c>
      <c r="S112" s="308" t="str">
        <f t="shared" si="10"/>
        <v/>
      </c>
      <c r="T112" s="309" t="str">
        <f t="shared" si="11"/>
        <v/>
      </c>
      <c r="U112" s="309" t="str">
        <f t="shared" si="12"/>
        <v/>
      </c>
      <c r="V112" s="308" t="str">
        <f t="shared" si="13"/>
        <v/>
      </c>
      <c r="W112" s="309" t="str">
        <f t="shared" si="14"/>
        <v/>
      </c>
      <c r="X112" s="309" t="str">
        <f t="shared" si="15"/>
        <v/>
      </c>
      <c r="Y112" s="308" t="str">
        <f t="shared" si="16"/>
        <v/>
      </c>
      <c r="Z112" s="309" t="str">
        <f t="shared" si="17"/>
        <v/>
      </c>
      <c r="AA112" s="312" t="str">
        <f t="shared" si="18"/>
        <v/>
      </c>
      <c r="AB112" s="308" t="str">
        <f t="shared" si="19"/>
        <v/>
      </c>
      <c r="AC112" s="308" t="str">
        <f t="shared" si="20"/>
        <v/>
      </c>
      <c r="AD112" s="312" t="str">
        <f t="shared" si="21"/>
        <v/>
      </c>
      <c r="AE112" s="308" t="str">
        <f t="shared" si="22"/>
        <v/>
      </c>
      <c r="AF112" s="313" t="str">
        <f t="shared" si="23"/>
        <v/>
      </c>
      <c r="AG112" s="304" t="str">
        <f t="shared" si="24"/>
        <v/>
      </c>
      <c r="AH112" s="308" t="str">
        <f t="shared" si="25"/>
        <v/>
      </c>
      <c r="AI112" s="313" t="str">
        <f t="shared" si="26"/>
        <v/>
      </c>
      <c r="AJ112" s="304" t="str">
        <f t="shared" si="27"/>
        <v/>
      </c>
      <c r="AK112" s="308" t="str">
        <f t="shared" si="28"/>
        <v/>
      </c>
      <c r="AL112" s="308" t="str">
        <f t="shared" si="29"/>
        <v/>
      </c>
      <c r="AM112" s="304" t="str">
        <f t="shared" si="30"/>
        <v/>
      </c>
      <c r="AN112" s="308" t="str">
        <f t="shared" si="31"/>
        <v/>
      </c>
      <c r="AO112" s="313" t="str">
        <f t="shared" si="32"/>
        <v/>
      </c>
      <c r="AP112" s="304" t="str">
        <f t="shared" si="33"/>
        <v/>
      </c>
      <c r="AQ112" s="308" t="str">
        <f t="shared" si="34"/>
        <v/>
      </c>
      <c r="AR112" s="313" t="str">
        <f t="shared" si="35"/>
        <v/>
      </c>
      <c r="AS112" s="304" t="str">
        <f t="shared" si="36"/>
        <v/>
      </c>
      <c r="AT112" s="308" t="str">
        <f t="shared" si="37"/>
        <v/>
      </c>
      <c r="AU112" s="308" t="str">
        <f t="shared" si="38"/>
        <v/>
      </c>
      <c r="AV112" s="304" t="str">
        <f t="shared" si="39"/>
        <v/>
      </c>
      <c r="AW112" s="308" t="str">
        <f t="shared" si="40"/>
        <v/>
      </c>
      <c r="AX112" s="308" t="str">
        <f t="shared" si="41"/>
        <v/>
      </c>
      <c r="AY112" s="304" t="str">
        <f t="shared" si="42"/>
        <v/>
      </c>
      <c r="AZ112" s="308" t="str">
        <f t="shared" si="43"/>
        <v/>
      </c>
      <c r="BA112" s="313" t="str">
        <f t="shared" si="44"/>
        <v/>
      </c>
      <c r="BB112" s="304" t="str">
        <f t="shared" si="45"/>
        <v/>
      </c>
      <c r="BC112" s="308" t="str">
        <f t="shared" si="46"/>
        <v/>
      </c>
      <c r="BD112" s="308" t="str">
        <f t="shared" si="47"/>
        <v/>
      </c>
    </row>
    <row r="113">
      <c r="A113" s="299"/>
      <c r="B113" s="299"/>
      <c r="C113" s="300"/>
      <c r="D113" s="301" t="str">
        <f>IFERROR(__xludf.DUMMYFUNCTION("if(ISBLANK(A113),"""",GOOGLEFINANCE(A113,""NAME""))"),"")</f>
        <v/>
      </c>
      <c r="E113" s="302">
        <v>5000.0</v>
      </c>
      <c r="F113" s="303" t="str">
        <f>IFERROR(__xludf.DUMMYFUNCTION("if(ISBLANK(A113),"""",GOOGLEFINANCE(A113,""HIGH52""))"),"")</f>
        <v/>
      </c>
      <c r="G113" s="303" t="str">
        <f>IFERROR(__xludf.DUMMYFUNCTION("if(ISBLANK(A113),"""",GOOGLEFINANCE(A113,""LOW52""))"),"")</f>
        <v/>
      </c>
      <c r="H113" s="304" t="str">
        <f>IFERROR(__xludf.DUMMYFUNCTION("if(ISBLANK(A113),"""",GOOGLEFINANCE(A113,""Price""))"),"")</f>
        <v/>
      </c>
      <c r="I113" s="305" t="str">
        <f t="shared" si="1"/>
        <v/>
      </c>
      <c r="J113" s="306" t="str">
        <f t="shared" si="2"/>
        <v/>
      </c>
      <c r="K113" s="307" t="str">
        <f>IFERROR(__xludf.DUMMYFUNCTION("if(ISBLANK(A113),"""",googlefinance(A113,""Marketcap"")/10000000)"),"")</f>
        <v/>
      </c>
      <c r="L113" s="309" t="str">
        <f t="shared" si="3"/>
        <v/>
      </c>
      <c r="M113" s="308" t="str">
        <f t="shared" si="4"/>
        <v/>
      </c>
      <c r="N113" s="309" t="str">
        <f t="shared" si="5"/>
        <v/>
      </c>
      <c r="O113" s="322" t="str">
        <f t="shared" si="6"/>
        <v/>
      </c>
      <c r="P113" s="308" t="str">
        <f t="shared" si="7"/>
        <v/>
      </c>
      <c r="Q113" s="311" t="str">
        <f t="shared" si="8"/>
        <v/>
      </c>
      <c r="R113" s="309" t="str">
        <f t="shared" si="9"/>
        <v/>
      </c>
      <c r="S113" s="308" t="str">
        <f t="shared" si="10"/>
        <v/>
      </c>
      <c r="T113" s="309" t="str">
        <f t="shared" si="11"/>
        <v/>
      </c>
      <c r="U113" s="309" t="str">
        <f t="shared" si="12"/>
        <v/>
      </c>
      <c r="V113" s="308" t="str">
        <f t="shared" si="13"/>
        <v/>
      </c>
      <c r="W113" s="309" t="str">
        <f t="shared" si="14"/>
        <v/>
      </c>
      <c r="X113" s="309" t="str">
        <f t="shared" si="15"/>
        <v/>
      </c>
      <c r="Y113" s="308" t="str">
        <f t="shared" si="16"/>
        <v/>
      </c>
      <c r="Z113" s="309" t="str">
        <f t="shared" si="17"/>
        <v/>
      </c>
      <c r="AA113" s="312" t="str">
        <f t="shared" si="18"/>
        <v/>
      </c>
      <c r="AB113" s="308" t="str">
        <f t="shared" si="19"/>
        <v/>
      </c>
      <c r="AC113" s="308" t="str">
        <f t="shared" si="20"/>
        <v/>
      </c>
      <c r="AD113" s="312" t="str">
        <f t="shared" si="21"/>
        <v/>
      </c>
      <c r="AE113" s="308" t="str">
        <f t="shared" si="22"/>
        <v/>
      </c>
      <c r="AF113" s="313" t="str">
        <f t="shared" si="23"/>
        <v/>
      </c>
      <c r="AG113" s="304" t="str">
        <f t="shared" si="24"/>
        <v/>
      </c>
      <c r="AH113" s="308" t="str">
        <f t="shared" si="25"/>
        <v/>
      </c>
      <c r="AI113" s="313" t="str">
        <f t="shared" si="26"/>
        <v/>
      </c>
      <c r="AJ113" s="304" t="str">
        <f t="shared" si="27"/>
        <v/>
      </c>
      <c r="AK113" s="308" t="str">
        <f t="shared" si="28"/>
        <v/>
      </c>
      <c r="AL113" s="308" t="str">
        <f t="shared" si="29"/>
        <v/>
      </c>
      <c r="AM113" s="304" t="str">
        <f t="shared" si="30"/>
        <v/>
      </c>
      <c r="AN113" s="308" t="str">
        <f t="shared" si="31"/>
        <v/>
      </c>
      <c r="AO113" s="313" t="str">
        <f t="shared" si="32"/>
        <v/>
      </c>
      <c r="AP113" s="304" t="str">
        <f t="shared" si="33"/>
        <v/>
      </c>
      <c r="AQ113" s="308" t="str">
        <f t="shared" si="34"/>
        <v/>
      </c>
      <c r="AR113" s="313" t="str">
        <f t="shared" si="35"/>
        <v/>
      </c>
      <c r="AS113" s="304" t="str">
        <f t="shared" si="36"/>
        <v/>
      </c>
      <c r="AT113" s="308" t="str">
        <f t="shared" si="37"/>
        <v/>
      </c>
      <c r="AU113" s="308" t="str">
        <f t="shared" si="38"/>
        <v/>
      </c>
      <c r="AV113" s="304" t="str">
        <f t="shared" si="39"/>
        <v/>
      </c>
      <c r="AW113" s="308" t="str">
        <f t="shared" si="40"/>
        <v/>
      </c>
      <c r="AX113" s="308" t="str">
        <f t="shared" si="41"/>
        <v/>
      </c>
      <c r="AY113" s="304" t="str">
        <f t="shared" si="42"/>
        <v/>
      </c>
      <c r="AZ113" s="308" t="str">
        <f t="shared" si="43"/>
        <v/>
      </c>
      <c r="BA113" s="313" t="str">
        <f t="shared" si="44"/>
        <v/>
      </c>
      <c r="BB113" s="304" t="str">
        <f t="shared" si="45"/>
        <v/>
      </c>
      <c r="BC113" s="308" t="str">
        <f t="shared" si="46"/>
        <v/>
      </c>
      <c r="BD113" s="308" t="str">
        <f t="shared" si="47"/>
        <v/>
      </c>
    </row>
    <row r="114">
      <c r="A114" s="320"/>
      <c r="B114" s="320"/>
      <c r="C114" s="321"/>
      <c r="D114" s="301" t="str">
        <f>IFERROR(__xludf.DUMMYFUNCTION("if(ISBLANK(A114),"""",GOOGLEFINANCE(A114,""NAME""))"),"")</f>
        <v/>
      </c>
      <c r="E114" s="302">
        <v>5000.0</v>
      </c>
      <c r="F114" s="303" t="str">
        <f>IFERROR(__xludf.DUMMYFUNCTION("if(ISBLANK(A114),"""",GOOGLEFINANCE(A114,""HIGH52""))"),"")</f>
        <v/>
      </c>
      <c r="G114" s="303" t="str">
        <f>IFERROR(__xludf.DUMMYFUNCTION("if(ISBLANK(A114),"""",GOOGLEFINANCE(A114,""LOW52""))"),"")</f>
        <v/>
      </c>
      <c r="H114" s="304" t="str">
        <f>IFERROR(__xludf.DUMMYFUNCTION("if(ISBLANK(A114),"""",GOOGLEFINANCE(A114,""Price""))"),"")</f>
        <v/>
      </c>
      <c r="I114" s="305" t="str">
        <f t="shared" si="1"/>
        <v/>
      </c>
      <c r="J114" s="306" t="str">
        <f t="shared" si="2"/>
        <v/>
      </c>
      <c r="K114" s="307" t="str">
        <f>IFERROR(__xludf.DUMMYFUNCTION("if(ISBLANK(A114),"""",googlefinance(A114,""Marketcap"")/10000000)"),"")</f>
        <v/>
      </c>
      <c r="L114" s="309" t="str">
        <f t="shared" si="3"/>
        <v/>
      </c>
      <c r="M114" s="308" t="str">
        <f t="shared" si="4"/>
        <v/>
      </c>
      <c r="N114" s="309" t="str">
        <f t="shared" si="5"/>
        <v/>
      </c>
      <c r="O114" s="322" t="str">
        <f t="shared" si="6"/>
        <v/>
      </c>
      <c r="P114" s="308" t="str">
        <f t="shared" si="7"/>
        <v/>
      </c>
      <c r="Q114" s="311" t="str">
        <f t="shared" si="8"/>
        <v/>
      </c>
      <c r="R114" s="309" t="str">
        <f t="shared" si="9"/>
        <v/>
      </c>
      <c r="S114" s="308" t="str">
        <f t="shared" si="10"/>
        <v/>
      </c>
      <c r="T114" s="309" t="str">
        <f t="shared" si="11"/>
        <v/>
      </c>
      <c r="U114" s="309" t="str">
        <f t="shared" si="12"/>
        <v/>
      </c>
      <c r="V114" s="308" t="str">
        <f t="shared" si="13"/>
        <v/>
      </c>
      <c r="W114" s="309" t="str">
        <f t="shared" si="14"/>
        <v/>
      </c>
      <c r="X114" s="309" t="str">
        <f t="shared" si="15"/>
        <v/>
      </c>
      <c r="Y114" s="308" t="str">
        <f t="shared" si="16"/>
        <v/>
      </c>
      <c r="Z114" s="309" t="str">
        <f t="shared" si="17"/>
        <v/>
      </c>
      <c r="AA114" s="312" t="str">
        <f t="shared" si="18"/>
        <v/>
      </c>
      <c r="AB114" s="308" t="str">
        <f t="shared" si="19"/>
        <v/>
      </c>
      <c r="AC114" s="308" t="str">
        <f t="shared" si="20"/>
        <v/>
      </c>
      <c r="AD114" s="312" t="str">
        <f t="shared" si="21"/>
        <v/>
      </c>
      <c r="AE114" s="308" t="str">
        <f t="shared" si="22"/>
        <v/>
      </c>
      <c r="AF114" s="313" t="str">
        <f t="shared" si="23"/>
        <v/>
      </c>
      <c r="AG114" s="304" t="str">
        <f t="shared" si="24"/>
        <v/>
      </c>
      <c r="AH114" s="308" t="str">
        <f t="shared" si="25"/>
        <v/>
      </c>
      <c r="AI114" s="313" t="str">
        <f t="shared" si="26"/>
        <v/>
      </c>
      <c r="AJ114" s="304" t="str">
        <f t="shared" si="27"/>
        <v/>
      </c>
      <c r="AK114" s="308" t="str">
        <f t="shared" si="28"/>
        <v/>
      </c>
      <c r="AL114" s="308" t="str">
        <f t="shared" si="29"/>
        <v/>
      </c>
      <c r="AM114" s="304" t="str">
        <f t="shared" si="30"/>
        <v/>
      </c>
      <c r="AN114" s="308" t="str">
        <f t="shared" si="31"/>
        <v/>
      </c>
      <c r="AO114" s="313" t="str">
        <f t="shared" si="32"/>
        <v/>
      </c>
      <c r="AP114" s="304" t="str">
        <f t="shared" si="33"/>
        <v/>
      </c>
      <c r="AQ114" s="308" t="str">
        <f t="shared" si="34"/>
        <v/>
      </c>
      <c r="AR114" s="313" t="str">
        <f t="shared" si="35"/>
        <v/>
      </c>
      <c r="AS114" s="304" t="str">
        <f t="shared" si="36"/>
        <v/>
      </c>
      <c r="AT114" s="308" t="str">
        <f t="shared" si="37"/>
        <v/>
      </c>
      <c r="AU114" s="308" t="str">
        <f t="shared" si="38"/>
        <v/>
      </c>
      <c r="AV114" s="304" t="str">
        <f t="shared" si="39"/>
        <v/>
      </c>
      <c r="AW114" s="308" t="str">
        <f t="shared" si="40"/>
        <v/>
      </c>
      <c r="AX114" s="308" t="str">
        <f t="shared" si="41"/>
        <v/>
      </c>
      <c r="AY114" s="304" t="str">
        <f t="shared" si="42"/>
        <v/>
      </c>
      <c r="AZ114" s="308" t="str">
        <f t="shared" si="43"/>
        <v/>
      </c>
      <c r="BA114" s="313" t="str">
        <f t="shared" si="44"/>
        <v/>
      </c>
      <c r="BB114" s="304" t="str">
        <f t="shared" si="45"/>
        <v/>
      </c>
      <c r="BC114" s="308" t="str">
        <f t="shared" si="46"/>
        <v/>
      </c>
      <c r="BD114" s="308" t="str">
        <f t="shared" si="47"/>
        <v/>
      </c>
    </row>
    <row r="115">
      <c r="A115" s="318"/>
      <c r="B115" s="318"/>
      <c r="C115" s="319"/>
      <c r="D115" s="301" t="str">
        <f>IFERROR(__xludf.DUMMYFUNCTION("if(ISBLANK(A115),"""",GOOGLEFINANCE(A115,""NAME""))"),"")</f>
        <v/>
      </c>
      <c r="E115" s="302">
        <v>5000.0</v>
      </c>
      <c r="F115" s="303" t="str">
        <f>IFERROR(__xludf.DUMMYFUNCTION("if(ISBLANK(A115),"""",GOOGLEFINANCE(A115,""HIGH52""))"),"")</f>
        <v/>
      </c>
      <c r="G115" s="303" t="str">
        <f>IFERROR(__xludf.DUMMYFUNCTION("if(ISBLANK(A115),"""",GOOGLEFINANCE(A115,""LOW52""))"),"")</f>
        <v/>
      </c>
      <c r="H115" s="304" t="str">
        <f>IFERROR(__xludf.DUMMYFUNCTION("if(ISBLANK(A115),"""",GOOGLEFINANCE(A115,""Price""))"),"")</f>
        <v/>
      </c>
      <c r="I115" s="305" t="str">
        <f t="shared" si="1"/>
        <v/>
      </c>
      <c r="J115" s="306" t="str">
        <f t="shared" si="2"/>
        <v/>
      </c>
      <c r="K115" s="307" t="str">
        <f>IFERROR(__xludf.DUMMYFUNCTION("if(ISBLANK(A115),"""",googlefinance(A115,""Marketcap"")/10000000)"),"")</f>
        <v/>
      </c>
      <c r="L115" s="309" t="str">
        <f t="shared" si="3"/>
        <v/>
      </c>
      <c r="M115" s="308" t="str">
        <f t="shared" si="4"/>
        <v/>
      </c>
      <c r="N115" s="309" t="str">
        <f t="shared" si="5"/>
        <v/>
      </c>
      <c r="O115" s="322" t="str">
        <f t="shared" si="6"/>
        <v/>
      </c>
      <c r="P115" s="308" t="str">
        <f t="shared" si="7"/>
        <v/>
      </c>
      <c r="Q115" s="311" t="str">
        <f t="shared" si="8"/>
        <v/>
      </c>
      <c r="R115" s="309" t="str">
        <f t="shared" si="9"/>
        <v/>
      </c>
      <c r="S115" s="308" t="str">
        <f t="shared" si="10"/>
        <v/>
      </c>
      <c r="T115" s="309" t="str">
        <f t="shared" si="11"/>
        <v/>
      </c>
      <c r="U115" s="309" t="str">
        <f t="shared" si="12"/>
        <v/>
      </c>
      <c r="V115" s="308" t="str">
        <f t="shared" si="13"/>
        <v/>
      </c>
      <c r="W115" s="309" t="str">
        <f t="shared" si="14"/>
        <v/>
      </c>
      <c r="X115" s="309" t="str">
        <f t="shared" si="15"/>
        <v/>
      </c>
      <c r="Y115" s="308" t="str">
        <f t="shared" si="16"/>
        <v/>
      </c>
      <c r="Z115" s="309" t="str">
        <f t="shared" si="17"/>
        <v/>
      </c>
      <c r="AA115" s="312" t="str">
        <f t="shared" si="18"/>
        <v/>
      </c>
      <c r="AB115" s="308" t="str">
        <f t="shared" si="19"/>
        <v/>
      </c>
      <c r="AC115" s="308" t="str">
        <f t="shared" si="20"/>
        <v/>
      </c>
      <c r="AD115" s="312" t="str">
        <f t="shared" si="21"/>
        <v/>
      </c>
      <c r="AE115" s="308" t="str">
        <f t="shared" si="22"/>
        <v/>
      </c>
      <c r="AF115" s="313" t="str">
        <f t="shared" si="23"/>
        <v/>
      </c>
      <c r="AG115" s="304" t="str">
        <f t="shared" si="24"/>
        <v/>
      </c>
      <c r="AH115" s="308" t="str">
        <f t="shared" si="25"/>
        <v/>
      </c>
      <c r="AI115" s="313" t="str">
        <f t="shared" si="26"/>
        <v/>
      </c>
      <c r="AJ115" s="304" t="str">
        <f t="shared" si="27"/>
        <v/>
      </c>
      <c r="AK115" s="308" t="str">
        <f t="shared" si="28"/>
        <v/>
      </c>
      <c r="AL115" s="308" t="str">
        <f t="shared" si="29"/>
        <v/>
      </c>
      <c r="AM115" s="304" t="str">
        <f t="shared" si="30"/>
        <v/>
      </c>
      <c r="AN115" s="308" t="str">
        <f t="shared" si="31"/>
        <v/>
      </c>
      <c r="AO115" s="313" t="str">
        <f t="shared" si="32"/>
        <v/>
      </c>
      <c r="AP115" s="304" t="str">
        <f t="shared" si="33"/>
        <v/>
      </c>
      <c r="AQ115" s="308" t="str">
        <f t="shared" si="34"/>
        <v/>
      </c>
      <c r="AR115" s="313" t="str">
        <f t="shared" si="35"/>
        <v/>
      </c>
      <c r="AS115" s="304" t="str">
        <f t="shared" si="36"/>
        <v/>
      </c>
      <c r="AT115" s="308" t="str">
        <f t="shared" si="37"/>
        <v/>
      </c>
      <c r="AU115" s="308" t="str">
        <f t="shared" si="38"/>
        <v/>
      </c>
      <c r="AV115" s="304" t="str">
        <f t="shared" si="39"/>
        <v/>
      </c>
      <c r="AW115" s="308" t="str">
        <f t="shared" si="40"/>
        <v/>
      </c>
      <c r="AX115" s="308" t="str">
        <f t="shared" si="41"/>
        <v/>
      </c>
      <c r="AY115" s="304" t="str">
        <f t="shared" si="42"/>
        <v/>
      </c>
      <c r="AZ115" s="308" t="str">
        <f t="shared" si="43"/>
        <v/>
      </c>
      <c r="BA115" s="313" t="str">
        <f t="shared" si="44"/>
        <v/>
      </c>
      <c r="BB115" s="304" t="str">
        <f t="shared" si="45"/>
        <v/>
      </c>
      <c r="BC115" s="308" t="str">
        <f t="shared" si="46"/>
        <v/>
      </c>
      <c r="BD115" s="308" t="str">
        <f t="shared" si="47"/>
        <v/>
      </c>
    </row>
    <row r="116">
      <c r="A116" s="318"/>
      <c r="B116" s="318"/>
      <c r="C116" s="319"/>
      <c r="D116" s="301" t="str">
        <f>IFERROR(__xludf.DUMMYFUNCTION("if(ISBLANK(A116),"""",GOOGLEFINANCE(A116,""NAME""))"),"")</f>
        <v/>
      </c>
      <c r="E116" s="302">
        <v>5000.0</v>
      </c>
      <c r="F116" s="303" t="str">
        <f>IFERROR(__xludf.DUMMYFUNCTION("if(ISBLANK(A116),"""",GOOGLEFINANCE(A116,""HIGH52""))"),"")</f>
        <v/>
      </c>
      <c r="G116" s="303" t="str">
        <f>IFERROR(__xludf.DUMMYFUNCTION("if(ISBLANK(A116),"""",GOOGLEFINANCE(A116,""LOW52""))"),"")</f>
        <v/>
      </c>
      <c r="H116" s="304" t="str">
        <f>IFERROR(__xludf.DUMMYFUNCTION("if(ISBLANK(A116),"""",GOOGLEFINANCE(A116,""Price""))"),"")</f>
        <v/>
      </c>
      <c r="I116" s="305" t="str">
        <f t="shared" si="1"/>
        <v/>
      </c>
      <c r="J116" s="306" t="str">
        <f t="shared" si="2"/>
        <v/>
      </c>
      <c r="K116" s="307" t="str">
        <f>IFERROR(__xludf.DUMMYFUNCTION("if(ISBLANK(A116),"""",googlefinance(A116,""Marketcap"")/10000000)"),"")</f>
        <v/>
      </c>
      <c r="L116" s="309" t="str">
        <f t="shared" si="3"/>
        <v/>
      </c>
      <c r="M116" s="308" t="str">
        <f t="shared" si="4"/>
        <v/>
      </c>
      <c r="N116" s="309" t="str">
        <f t="shared" si="5"/>
        <v/>
      </c>
      <c r="O116" s="322" t="str">
        <f t="shared" si="6"/>
        <v/>
      </c>
      <c r="P116" s="308" t="str">
        <f t="shared" si="7"/>
        <v/>
      </c>
      <c r="Q116" s="311" t="str">
        <f t="shared" si="8"/>
        <v/>
      </c>
      <c r="R116" s="309" t="str">
        <f t="shared" si="9"/>
        <v/>
      </c>
      <c r="S116" s="308" t="str">
        <f t="shared" si="10"/>
        <v/>
      </c>
      <c r="T116" s="309" t="str">
        <f t="shared" si="11"/>
        <v/>
      </c>
      <c r="U116" s="309" t="str">
        <f t="shared" si="12"/>
        <v/>
      </c>
      <c r="V116" s="308" t="str">
        <f t="shared" si="13"/>
        <v/>
      </c>
      <c r="W116" s="309" t="str">
        <f t="shared" si="14"/>
        <v/>
      </c>
      <c r="X116" s="309" t="str">
        <f t="shared" si="15"/>
        <v/>
      </c>
      <c r="Y116" s="308" t="str">
        <f t="shared" si="16"/>
        <v/>
      </c>
      <c r="Z116" s="309" t="str">
        <f t="shared" si="17"/>
        <v/>
      </c>
      <c r="AA116" s="312" t="str">
        <f t="shared" si="18"/>
        <v/>
      </c>
      <c r="AB116" s="308" t="str">
        <f t="shared" si="19"/>
        <v/>
      </c>
      <c r="AC116" s="308" t="str">
        <f t="shared" si="20"/>
        <v/>
      </c>
      <c r="AD116" s="312" t="str">
        <f t="shared" si="21"/>
        <v/>
      </c>
      <c r="AE116" s="308" t="str">
        <f t="shared" si="22"/>
        <v/>
      </c>
      <c r="AF116" s="313" t="str">
        <f t="shared" si="23"/>
        <v/>
      </c>
      <c r="AG116" s="304" t="str">
        <f t="shared" si="24"/>
        <v/>
      </c>
      <c r="AH116" s="308" t="str">
        <f t="shared" si="25"/>
        <v/>
      </c>
      <c r="AI116" s="313" t="str">
        <f t="shared" si="26"/>
        <v/>
      </c>
      <c r="AJ116" s="304" t="str">
        <f t="shared" si="27"/>
        <v/>
      </c>
      <c r="AK116" s="308" t="str">
        <f t="shared" si="28"/>
        <v/>
      </c>
      <c r="AL116" s="308" t="str">
        <f t="shared" si="29"/>
        <v/>
      </c>
      <c r="AM116" s="304" t="str">
        <f t="shared" si="30"/>
        <v/>
      </c>
      <c r="AN116" s="308" t="str">
        <f t="shared" si="31"/>
        <v/>
      </c>
      <c r="AO116" s="313" t="str">
        <f t="shared" si="32"/>
        <v/>
      </c>
      <c r="AP116" s="304" t="str">
        <f t="shared" si="33"/>
        <v/>
      </c>
      <c r="AQ116" s="308" t="str">
        <f t="shared" si="34"/>
        <v/>
      </c>
      <c r="AR116" s="313" t="str">
        <f t="shared" si="35"/>
        <v/>
      </c>
      <c r="AS116" s="304" t="str">
        <f t="shared" si="36"/>
        <v/>
      </c>
      <c r="AT116" s="308" t="str">
        <f t="shared" si="37"/>
        <v/>
      </c>
      <c r="AU116" s="308" t="str">
        <f t="shared" si="38"/>
        <v/>
      </c>
      <c r="AV116" s="304" t="str">
        <f t="shared" si="39"/>
        <v/>
      </c>
      <c r="AW116" s="308" t="str">
        <f t="shared" si="40"/>
        <v/>
      </c>
      <c r="AX116" s="308" t="str">
        <f t="shared" si="41"/>
        <v/>
      </c>
      <c r="AY116" s="304" t="str">
        <f t="shared" si="42"/>
        <v/>
      </c>
      <c r="AZ116" s="308" t="str">
        <f t="shared" si="43"/>
        <v/>
      </c>
      <c r="BA116" s="313" t="str">
        <f t="shared" si="44"/>
        <v/>
      </c>
      <c r="BB116" s="304" t="str">
        <f t="shared" si="45"/>
        <v/>
      </c>
      <c r="BC116" s="308" t="str">
        <f t="shared" si="46"/>
        <v/>
      </c>
      <c r="BD116" s="308" t="str">
        <f t="shared" si="47"/>
        <v/>
      </c>
    </row>
    <row r="117">
      <c r="A117" s="318"/>
      <c r="B117" s="318"/>
      <c r="C117" s="319"/>
      <c r="D117" s="301" t="str">
        <f>IFERROR(__xludf.DUMMYFUNCTION("if(ISBLANK(A117),"""",GOOGLEFINANCE(A117,""NAME""))"),"")</f>
        <v/>
      </c>
      <c r="E117" s="302">
        <v>5000.0</v>
      </c>
      <c r="F117" s="303" t="str">
        <f>IFERROR(__xludf.DUMMYFUNCTION("if(ISBLANK(A117),"""",GOOGLEFINANCE(A117,""HIGH52""))"),"")</f>
        <v/>
      </c>
      <c r="G117" s="303" t="str">
        <f>IFERROR(__xludf.DUMMYFUNCTION("if(ISBLANK(A117),"""",GOOGLEFINANCE(A117,""LOW52""))"),"")</f>
        <v/>
      </c>
      <c r="H117" s="304" t="str">
        <f>IFERROR(__xludf.DUMMYFUNCTION("if(ISBLANK(A117),"""",GOOGLEFINANCE(A117,""Price""))"),"")</f>
        <v/>
      </c>
      <c r="I117" s="305" t="str">
        <f t="shared" si="1"/>
        <v/>
      </c>
      <c r="J117" s="306" t="str">
        <f t="shared" si="2"/>
        <v/>
      </c>
      <c r="K117" s="307" t="str">
        <f>IFERROR(__xludf.DUMMYFUNCTION("if(ISBLANK(A117),"""",googlefinance(A117,""Marketcap"")/10000000)"),"")</f>
        <v/>
      </c>
      <c r="L117" s="309" t="str">
        <f t="shared" si="3"/>
        <v/>
      </c>
      <c r="M117" s="308" t="str">
        <f t="shared" si="4"/>
        <v/>
      </c>
      <c r="N117" s="309" t="str">
        <f t="shared" si="5"/>
        <v/>
      </c>
      <c r="O117" s="322" t="str">
        <f t="shared" si="6"/>
        <v/>
      </c>
      <c r="P117" s="308" t="str">
        <f t="shared" si="7"/>
        <v/>
      </c>
      <c r="Q117" s="311" t="str">
        <f t="shared" si="8"/>
        <v/>
      </c>
      <c r="R117" s="309" t="str">
        <f t="shared" si="9"/>
        <v/>
      </c>
      <c r="S117" s="308" t="str">
        <f t="shared" si="10"/>
        <v/>
      </c>
      <c r="T117" s="309" t="str">
        <f t="shared" si="11"/>
        <v/>
      </c>
      <c r="U117" s="309" t="str">
        <f t="shared" si="12"/>
        <v/>
      </c>
      <c r="V117" s="308" t="str">
        <f t="shared" si="13"/>
        <v/>
      </c>
      <c r="W117" s="309" t="str">
        <f t="shared" si="14"/>
        <v/>
      </c>
      <c r="X117" s="309" t="str">
        <f t="shared" si="15"/>
        <v/>
      </c>
      <c r="Y117" s="308" t="str">
        <f t="shared" si="16"/>
        <v/>
      </c>
      <c r="Z117" s="309" t="str">
        <f t="shared" si="17"/>
        <v/>
      </c>
      <c r="AA117" s="312" t="str">
        <f t="shared" si="18"/>
        <v/>
      </c>
      <c r="AB117" s="308" t="str">
        <f t="shared" si="19"/>
        <v/>
      </c>
      <c r="AC117" s="308" t="str">
        <f t="shared" si="20"/>
        <v/>
      </c>
      <c r="AD117" s="312" t="str">
        <f t="shared" si="21"/>
        <v/>
      </c>
      <c r="AE117" s="308" t="str">
        <f t="shared" si="22"/>
        <v/>
      </c>
      <c r="AF117" s="313" t="str">
        <f t="shared" si="23"/>
        <v/>
      </c>
      <c r="AG117" s="304" t="str">
        <f t="shared" si="24"/>
        <v/>
      </c>
      <c r="AH117" s="308" t="str">
        <f t="shared" si="25"/>
        <v/>
      </c>
      <c r="AI117" s="313" t="str">
        <f t="shared" si="26"/>
        <v/>
      </c>
      <c r="AJ117" s="304" t="str">
        <f t="shared" si="27"/>
        <v/>
      </c>
      <c r="AK117" s="308" t="str">
        <f t="shared" si="28"/>
        <v/>
      </c>
      <c r="AL117" s="308" t="str">
        <f t="shared" si="29"/>
        <v/>
      </c>
      <c r="AM117" s="304" t="str">
        <f t="shared" si="30"/>
        <v/>
      </c>
      <c r="AN117" s="308" t="str">
        <f t="shared" si="31"/>
        <v/>
      </c>
      <c r="AO117" s="313" t="str">
        <f t="shared" si="32"/>
        <v/>
      </c>
      <c r="AP117" s="304" t="str">
        <f t="shared" si="33"/>
        <v/>
      </c>
      <c r="AQ117" s="308" t="str">
        <f t="shared" si="34"/>
        <v/>
      </c>
      <c r="AR117" s="313" t="str">
        <f t="shared" si="35"/>
        <v/>
      </c>
      <c r="AS117" s="304" t="str">
        <f t="shared" si="36"/>
        <v/>
      </c>
      <c r="AT117" s="308" t="str">
        <f t="shared" si="37"/>
        <v/>
      </c>
      <c r="AU117" s="308" t="str">
        <f t="shared" si="38"/>
        <v/>
      </c>
      <c r="AV117" s="304" t="str">
        <f t="shared" si="39"/>
        <v/>
      </c>
      <c r="AW117" s="308" t="str">
        <f t="shared" si="40"/>
        <v/>
      </c>
      <c r="AX117" s="308" t="str">
        <f t="shared" si="41"/>
        <v/>
      </c>
      <c r="AY117" s="304" t="str">
        <f t="shared" si="42"/>
        <v/>
      </c>
      <c r="AZ117" s="308" t="str">
        <f t="shared" si="43"/>
        <v/>
      </c>
      <c r="BA117" s="313" t="str">
        <f t="shared" si="44"/>
        <v/>
      </c>
      <c r="BB117" s="304" t="str">
        <f t="shared" si="45"/>
        <v/>
      </c>
      <c r="BC117" s="308" t="str">
        <f t="shared" si="46"/>
        <v/>
      </c>
      <c r="BD117" s="308" t="str">
        <f t="shared" si="47"/>
        <v/>
      </c>
    </row>
    <row r="118">
      <c r="A118" s="320"/>
      <c r="B118" s="320"/>
      <c r="C118" s="321"/>
      <c r="D118" s="301" t="str">
        <f>IFERROR(__xludf.DUMMYFUNCTION("if(ISBLANK(A118),"""",GOOGLEFINANCE(A118,""NAME""))"),"")</f>
        <v/>
      </c>
      <c r="E118" s="302">
        <v>5000.0</v>
      </c>
      <c r="F118" s="303" t="str">
        <f>IFERROR(__xludf.DUMMYFUNCTION("if(ISBLANK(A118),"""",GOOGLEFINANCE(A118,""HIGH52""))"),"")</f>
        <v/>
      </c>
      <c r="G118" s="303" t="str">
        <f>IFERROR(__xludf.DUMMYFUNCTION("if(ISBLANK(A118),"""",GOOGLEFINANCE(A118,""LOW52""))"),"")</f>
        <v/>
      </c>
      <c r="H118" s="304" t="str">
        <f>IFERROR(__xludf.DUMMYFUNCTION("if(ISBLANK(A118),"""",GOOGLEFINANCE(A118,""Price""))"),"")</f>
        <v/>
      </c>
      <c r="I118" s="305" t="str">
        <f t="shared" si="1"/>
        <v/>
      </c>
      <c r="J118" s="306" t="str">
        <f t="shared" si="2"/>
        <v/>
      </c>
      <c r="K118" s="307" t="str">
        <f>IFERROR(__xludf.DUMMYFUNCTION("if(ISBLANK(A118),"""",googlefinance(A118,""Marketcap"")/10000000)"),"")</f>
        <v/>
      </c>
      <c r="L118" s="309" t="str">
        <f t="shared" si="3"/>
        <v/>
      </c>
      <c r="M118" s="308" t="str">
        <f t="shared" si="4"/>
        <v/>
      </c>
      <c r="N118" s="309" t="str">
        <f t="shared" si="5"/>
        <v/>
      </c>
      <c r="O118" s="322" t="str">
        <f t="shared" si="6"/>
        <v/>
      </c>
      <c r="P118" s="308" t="str">
        <f t="shared" si="7"/>
        <v/>
      </c>
      <c r="Q118" s="311" t="str">
        <f t="shared" si="8"/>
        <v/>
      </c>
      <c r="R118" s="309" t="str">
        <f t="shared" si="9"/>
        <v/>
      </c>
      <c r="S118" s="308" t="str">
        <f t="shared" si="10"/>
        <v/>
      </c>
      <c r="T118" s="309" t="str">
        <f t="shared" si="11"/>
        <v/>
      </c>
      <c r="U118" s="309" t="str">
        <f t="shared" si="12"/>
        <v/>
      </c>
      <c r="V118" s="308" t="str">
        <f t="shared" si="13"/>
        <v/>
      </c>
      <c r="W118" s="309" t="str">
        <f t="shared" si="14"/>
        <v/>
      </c>
      <c r="X118" s="309" t="str">
        <f t="shared" si="15"/>
        <v/>
      </c>
      <c r="Y118" s="308" t="str">
        <f t="shared" si="16"/>
        <v/>
      </c>
      <c r="Z118" s="309" t="str">
        <f t="shared" si="17"/>
        <v/>
      </c>
      <c r="AA118" s="312" t="str">
        <f t="shared" si="18"/>
        <v/>
      </c>
      <c r="AB118" s="308" t="str">
        <f t="shared" si="19"/>
        <v/>
      </c>
      <c r="AC118" s="308" t="str">
        <f t="shared" si="20"/>
        <v/>
      </c>
      <c r="AD118" s="312" t="str">
        <f t="shared" si="21"/>
        <v/>
      </c>
      <c r="AE118" s="308" t="str">
        <f t="shared" si="22"/>
        <v/>
      </c>
      <c r="AF118" s="313" t="str">
        <f t="shared" si="23"/>
        <v/>
      </c>
      <c r="AG118" s="304" t="str">
        <f t="shared" si="24"/>
        <v/>
      </c>
      <c r="AH118" s="308" t="str">
        <f t="shared" si="25"/>
        <v/>
      </c>
      <c r="AI118" s="313" t="str">
        <f t="shared" si="26"/>
        <v/>
      </c>
      <c r="AJ118" s="304" t="str">
        <f t="shared" si="27"/>
        <v/>
      </c>
      <c r="AK118" s="308" t="str">
        <f t="shared" si="28"/>
        <v/>
      </c>
      <c r="AL118" s="308" t="str">
        <f t="shared" si="29"/>
        <v/>
      </c>
      <c r="AM118" s="304" t="str">
        <f t="shared" si="30"/>
        <v/>
      </c>
      <c r="AN118" s="308" t="str">
        <f t="shared" si="31"/>
        <v/>
      </c>
      <c r="AO118" s="313" t="str">
        <f t="shared" si="32"/>
        <v/>
      </c>
      <c r="AP118" s="304" t="str">
        <f t="shared" si="33"/>
        <v/>
      </c>
      <c r="AQ118" s="308" t="str">
        <f t="shared" si="34"/>
        <v/>
      </c>
      <c r="AR118" s="313" t="str">
        <f t="shared" si="35"/>
        <v/>
      </c>
      <c r="AS118" s="304" t="str">
        <f t="shared" si="36"/>
        <v/>
      </c>
      <c r="AT118" s="308" t="str">
        <f t="shared" si="37"/>
        <v/>
      </c>
      <c r="AU118" s="308" t="str">
        <f t="shared" si="38"/>
        <v/>
      </c>
      <c r="AV118" s="304" t="str">
        <f t="shared" si="39"/>
        <v/>
      </c>
      <c r="AW118" s="308" t="str">
        <f t="shared" si="40"/>
        <v/>
      </c>
      <c r="AX118" s="308" t="str">
        <f t="shared" si="41"/>
        <v/>
      </c>
      <c r="AY118" s="304" t="str">
        <f t="shared" si="42"/>
        <v/>
      </c>
      <c r="AZ118" s="308" t="str">
        <f t="shared" si="43"/>
        <v/>
      </c>
      <c r="BA118" s="313" t="str">
        <f t="shared" si="44"/>
        <v/>
      </c>
      <c r="BB118" s="304" t="str">
        <f t="shared" si="45"/>
        <v/>
      </c>
      <c r="BC118" s="308" t="str">
        <f t="shared" si="46"/>
        <v/>
      </c>
      <c r="BD118" s="308" t="str">
        <f t="shared" si="47"/>
        <v/>
      </c>
    </row>
    <row r="119">
      <c r="A119" s="318"/>
      <c r="B119" s="318"/>
      <c r="C119" s="319"/>
      <c r="D119" s="301" t="str">
        <f>IFERROR(__xludf.DUMMYFUNCTION("if(ISBLANK(A119),"""",GOOGLEFINANCE(A119,""NAME""))"),"")</f>
        <v/>
      </c>
      <c r="E119" s="302">
        <v>5000.0</v>
      </c>
      <c r="F119" s="303" t="str">
        <f>IFERROR(__xludf.DUMMYFUNCTION("if(ISBLANK(A119),"""",GOOGLEFINANCE(A119,""HIGH52""))"),"")</f>
        <v/>
      </c>
      <c r="G119" s="303" t="str">
        <f>IFERROR(__xludf.DUMMYFUNCTION("if(ISBLANK(A119),"""",GOOGLEFINANCE(A119,""LOW52""))"),"")</f>
        <v/>
      </c>
      <c r="H119" s="304" t="str">
        <f>IFERROR(__xludf.DUMMYFUNCTION("if(ISBLANK(A119),"""",GOOGLEFINANCE(A119,""Price""))"),"")</f>
        <v/>
      </c>
      <c r="I119" s="305" t="str">
        <f t="shared" si="1"/>
        <v/>
      </c>
      <c r="J119" s="306" t="str">
        <f t="shared" si="2"/>
        <v/>
      </c>
      <c r="K119" s="307" t="str">
        <f>IFERROR(__xludf.DUMMYFUNCTION("if(ISBLANK(A119),"""",googlefinance(A119,""Marketcap"")/10000000)"),"")</f>
        <v/>
      </c>
      <c r="L119" s="309" t="str">
        <f t="shared" si="3"/>
        <v/>
      </c>
      <c r="M119" s="308" t="str">
        <f t="shared" si="4"/>
        <v/>
      </c>
      <c r="N119" s="309" t="str">
        <f t="shared" si="5"/>
        <v/>
      </c>
      <c r="O119" s="322" t="str">
        <f t="shared" si="6"/>
        <v/>
      </c>
      <c r="P119" s="308" t="str">
        <f t="shared" si="7"/>
        <v/>
      </c>
      <c r="Q119" s="311" t="str">
        <f t="shared" si="8"/>
        <v/>
      </c>
      <c r="R119" s="309" t="str">
        <f t="shared" si="9"/>
        <v/>
      </c>
      <c r="S119" s="308" t="str">
        <f t="shared" si="10"/>
        <v/>
      </c>
      <c r="T119" s="309" t="str">
        <f t="shared" si="11"/>
        <v/>
      </c>
      <c r="U119" s="309" t="str">
        <f t="shared" si="12"/>
        <v/>
      </c>
      <c r="V119" s="308" t="str">
        <f t="shared" si="13"/>
        <v/>
      </c>
      <c r="W119" s="309" t="str">
        <f t="shared" si="14"/>
        <v/>
      </c>
      <c r="X119" s="309" t="str">
        <f t="shared" si="15"/>
        <v/>
      </c>
      <c r="Y119" s="308" t="str">
        <f t="shared" si="16"/>
        <v/>
      </c>
      <c r="Z119" s="309" t="str">
        <f t="shared" si="17"/>
        <v/>
      </c>
      <c r="AA119" s="312" t="str">
        <f t="shared" si="18"/>
        <v/>
      </c>
      <c r="AB119" s="308" t="str">
        <f t="shared" si="19"/>
        <v/>
      </c>
      <c r="AC119" s="308" t="str">
        <f t="shared" si="20"/>
        <v/>
      </c>
      <c r="AD119" s="312" t="str">
        <f t="shared" si="21"/>
        <v/>
      </c>
      <c r="AE119" s="308" t="str">
        <f t="shared" si="22"/>
        <v/>
      </c>
      <c r="AF119" s="313" t="str">
        <f t="shared" si="23"/>
        <v/>
      </c>
      <c r="AG119" s="304" t="str">
        <f t="shared" si="24"/>
        <v/>
      </c>
      <c r="AH119" s="308" t="str">
        <f t="shared" si="25"/>
        <v/>
      </c>
      <c r="AI119" s="313" t="str">
        <f t="shared" si="26"/>
        <v/>
      </c>
      <c r="AJ119" s="304" t="str">
        <f t="shared" si="27"/>
        <v/>
      </c>
      <c r="AK119" s="308" t="str">
        <f t="shared" si="28"/>
        <v/>
      </c>
      <c r="AL119" s="308" t="str">
        <f t="shared" si="29"/>
        <v/>
      </c>
      <c r="AM119" s="304" t="str">
        <f t="shared" si="30"/>
        <v/>
      </c>
      <c r="AN119" s="308" t="str">
        <f t="shared" si="31"/>
        <v/>
      </c>
      <c r="AO119" s="313" t="str">
        <f t="shared" si="32"/>
        <v/>
      </c>
      <c r="AP119" s="304" t="str">
        <f t="shared" si="33"/>
        <v/>
      </c>
      <c r="AQ119" s="308" t="str">
        <f t="shared" si="34"/>
        <v/>
      </c>
      <c r="AR119" s="313" t="str">
        <f t="shared" si="35"/>
        <v/>
      </c>
      <c r="AS119" s="304" t="str">
        <f t="shared" si="36"/>
        <v/>
      </c>
      <c r="AT119" s="308" t="str">
        <f t="shared" si="37"/>
        <v/>
      </c>
      <c r="AU119" s="308" t="str">
        <f t="shared" si="38"/>
        <v/>
      </c>
      <c r="AV119" s="304" t="str">
        <f t="shared" si="39"/>
        <v/>
      </c>
      <c r="AW119" s="308" t="str">
        <f t="shared" si="40"/>
        <v/>
      </c>
      <c r="AX119" s="308" t="str">
        <f t="shared" si="41"/>
        <v/>
      </c>
      <c r="AY119" s="304" t="str">
        <f t="shared" si="42"/>
        <v/>
      </c>
      <c r="AZ119" s="308" t="str">
        <f t="shared" si="43"/>
        <v/>
      </c>
      <c r="BA119" s="313" t="str">
        <f t="shared" si="44"/>
        <v/>
      </c>
      <c r="BB119" s="304" t="str">
        <f t="shared" si="45"/>
        <v/>
      </c>
      <c r="BC119" s="308" t="str">
        <f t="shared" si="46"/>
        <v/>
      </c>
      <c r="BD119" s="308" t="str">
        <f t="shared" si="47"/>
        <v/>
      </c>
    </row>
    <row r="120">
      <c r="A120" s="299"/>
      <c r="B120" s="299"/>
      <c r="C120" s="300"/>
      <c r="D120" s="301" t="str">
        <f>IFERROR(__xludf.DUMMYFUNCTION("if(ISBLANK(A120),"""",GOOGLEFINANCE(A120,""NAME""))"),"")</f>
        <v/>
      </c>
      <c r="E120" s="302">
        <v>5000.0</v>
      </c>
      <c r="F120" s="303" t="str">
        <f>IFERROR(__xludf.DUMMYFUNCTION("if(ISBLANK(A120),"""",GOOGLEFINANCE(A120,""HIGH52""))"),"")</f>
        <v/>
      </c>
      <c r="G120" s="303" t="str">
        <f>IFERROR(__xludf.DUMMYFUNCTION("if(ISBLANK(A120),"""",GOOGLEFINANCE(A120,""LOW52""))"),"")</f>
        <v/>
      </c>
      <c r="H120" s="304" t="str">
        <f>IFERROR(__xludf.DUMMYFUNCTION("if(ISBLANK(A120),"""",GOOGLEFINANCE(A120,""Price""))"),"")</f>
        <v/>
      </c>
      <c r="I120" s="305" t="str">
        <f t="shared" si="1"/>
        <v/>
      </c>
      <c r="J120" s="306" t="str">
        <f t="shared" si="2"/>
        <v/>
      </c>
      <c r="K120" s="307" t="str">
        <f>IFERROR(__xludf.DUMMYFUNCTION("if(ISBLANK(A120),"""",googlefinance(A120,""Marketcap"")/10000000)"),"")</f>
        <v/>
      </c>
      <c r="L120" s="309" t="str">
        <f t="shared" si="3"/>
        <v/>
      </c>
      <c r="M120" s="308" t="str">
        <f t="shared" si="4"/>
        <v/>
      </c>
      <c r="N120" s="309" t="str">
        <f t="shared" si="5"/>
        <v/>
      </c>
      <c r="O120" s="322" t="str">
        <f t="shared" si="6"/>
        <v/>
      </c>
      <c r="P120" s="308" t="str">
        <f t="shared" si="7"/>
        <v/>
      </c>
      <c r="Q120" s="311" t="str">
        <f t="shared" si="8"/>
        <v/>
      </c>
      <c r="R120" s="309" t="str">
        <f t="shared" si="9"/>
        <v/>
      </c>
      <c r="S120" s="308" t="str">
        <f t="shared" si="10"/>
        <v/>
      </c>
      <c r="T120" s="309" t="str">
        <f t="shared" si="11"/>
        <v/>
      </c>
      <c r="U120" s="309" t="str">
        <f t="shared" si="12"/>
        <v/>
      </c>
      <c r="V120" s="308" t="str">
        <f t="shared" si="13"/>
        <v/>
      </c>
      <c r="W120" s="309" t="str">
        <f t="shared" si="14"/>
        <v/>
      </c>
      <c r="X120" s="309" t="str">
        <f t="shared" si="15"/>
        <v/>
      </c>
      <c r="Y120" s="308" t="str">
        <f t="shared" si="16"/>
        <v/>
      </c>
      <c r="Z120" s="309" t="str">
        <f t="shared" si="17"/>
        <v/>
      </c>
      <c r="AA120" s="312" t="str">
        <f t="shared" si="18"/>
        <v/>
      </c>
      <c r="AB120" s="308" t="str">
        <f t="shared" si="19"/>
        <v/>
      </c>
      <c r="AC120" s="308" t="str">
        <f t="shared" si="20"/>
        <v/>
      </c>
      <c r="AD120" s="312" t="str">
        <f t="shared" si="21"/>
        <v/>
      </c>
      <c r="AE120" s="308" t="str">
        <f t="shared" si="22"/>
        <v/>
      </c>
      <c r="AF120" s="313" t="str">
        <f t="shared" si="23"/>
        <v/>
      </c>
      <c r="AG120" s="304" t="str">
        <f t="shared" si="24"/>
        <v/>
      </c>
      <c r="AH120" s="308" t="str">
        <f t="shared" si="25"/>
        <v/>
      </c>
      <c r="AI120" s="313" t="str">
        <f t="shared" si="26"/>
        <v/>
      </c>
      <c r="AJ120" s="304" t="str">
        <f t="shared" si="27"/>
        <v/>
      </c>
      <c r="AK120" s="308" t="str">
        <f t="shared" si="28"/>
        <v/>
      </c>
      <c r="AL120" s="308" t="str">
        <f t="shared" si="29"/>
        <v/>
      </c>
      <c r="AM120" s="304" t="str">
        <f t="shared" si="30"/>
        <v/>
      </c>
      <c r="AN120" s="308" t="str">
        <f t="shared" si="31"/>
        <v/>
      </c>
      <c r="AO120" s="313" t="str">
        <f t="shared" si="32"/>
        <v/>
      </c>
      <c r="AP120" s="304" t="str">
        <f t="shared" si="33"/>
        <v/>
      </c>
      <c r="AQ120" s="308" t="str">
        <f t="shared" si="34"/>
        <v/>
      </c>
      <c r="AR120" s="313" t="str">
        <f t="shared" si="35"/>
        <v/>
      </c>
      <c r="AS120" s="304" t="str">
        <f t="shared" si="36"/>
        <v/>
      </c>
      <c r="AT120" s="308" t="str">
        <f t="shared" si="37"/>
        <v/>
      </c>
      <c r="AU120" s="308" t="str">
        <f t="shared" si="38"/>
        <v/>
      </c>
      <c r="AV120" s="304" t="str">
        <f t="shared" si="39"/>
        <v/>
      </c>
      <c r="AW120" s="308" t="str">
        <f t="shared" si="40"/>
        <v/>
      </c>
      <c r="AX120" s="308" t="str">
        <f t="shared" si="41"/>
        <v/>
      </c>
      <c r="AY120" s="304" t="str">
        <f t="shared" si="42"/>
        <v/>
      </c>
      <c r="AZ120" s="308" t="str">
        <f t="shared" si="43"/>
        <v/>
      </c>
      <c r="BA120" s="313" t="str">
        <f t="shared" si="44"/>
        <v/>
      </c>
      <c r="BB120" s="304" t="str">
        <f t="shared" si="45"/>
        <v/>
      </c>
      <c r="BC120" s="308" t="str">
        <f t="shared" si="46"/>
        <v/>
      </c>
      <c r="BD120" s="308" t="str">
        <f t="shared" si="47"/>
        <v/>
      </c>
    </row>
    <row r="121">
      <c r="A121" s="318"/>
      <c r="B121" s="318"/>
      <c r="C121" s="319"/>
      <c r="D121" s="301" t="str">
        <f>IFERROR(__xludf.DUMMYFUNCTION("if(ISBLANK(A121),"""",GOOGLEFINANCE(A121,""NAME""))"),"")</f>
        <v/>
      </c>
      <c r="E121" s="302">
        <v>5000.0</v>
      </c>
      <c r="F121" s="303" t="str">
        <f>IFERROR(__xludf.DUMMYFUNCTION("if(ISBLANK(A121),"""",GOOGLEFINANCE(A121,""HIGH52""))"),"")</f>
        <v/>
      </c>
      <c r="G121" s="303" t="str">
        <f>IFERROR(__xludf.DUMMYFUNCTION("if(ISBLANK(A121),"""",GOOGLEFINANCE(A121,""LOW52""))"),"")</f>
        <v/>
      </c>
      <c r="H121" s="304" t="str">
        <f>IFERROR(__xludf.DUMMYFUNCTION("if(ISBLANK(A121),"""",GOOGLEFINANCE(A121,""Price""))"),"")</f>
        <v/>
      </c>
      <c r="I121" s="305" t="str">
        <f t="shared" si="1"/>
        <v/>
      </c>
      <c r="J121" s="306" t="str">
        <f t="shared" si="2"/>
        <v/>
      </c>
      <c r="K121" s="307" t="str">
        <f>IFERROR(__xludf.DUMMYFUNCTION("if(ISBLANK(A121),"""",googlefinance(A121,""Marketcap"")/10000000)"),"")</f>
        <v/>
      </c>
      <c r="L121" s="309" t="str">
        <f t="shared" si="3"/>
        <v/>
      </c>
      <c r="M121" s="308" t="str">
        <f t="shared" si="4"/>
        <v/>
      </c>
      <c r="N121" s="309" t="str">
        <f t="shared" si="5"/>
        <v/>
      </c>
      <c r="O121" s="322" t="str">
        <f t="shared" si="6"/>
        <v/>
      </c>
      <c r="P121" s="308" t="str">
        <f t="shared" si="7"/>
        <v/>
      </c>
      <c r="Q121" s="311" t="str">
        <f t="shared" si="8"/>
        <v/>
      </c>
      <c r="R121" s="309" t="str">
        <f t="shared" si="9"/>
        <v/>
      </c>
      <c r="S121" s="308" t="str">
        <f t="shared" si="10"/>
        <v/>
      </c>
      <c r="T121" s="309" t="str">
        <f t="shared" si="11"/>
        <v/>
      </c>
      <c r="U121" s="309" t="str">
        <f t="shared" si="12"/>
        <v/>
      </c>
      <c r="V121" s="308" t="str">
        <f t="shared" si="13"/>
        <v/>
      </c>
      <c r="W121" s="309" t="str">
        <f t="shared" si="14"/>
        <v/>
      </c>
      <c r="X121" s="309" t="str">
        <f t="shared" si="15"/>
        <v/>
      </c>
      <c r="Y121" s="308" t="str">
        <f t="shared" si="16"/>
        <v/>
      </c>
      <c r="Z121" s="309" t="str">
        <f t="shared" si="17"/>
        <v/>
      </c>
      <c r="AA121" s="312" t="str">
        <f t="shared" si="18"/>
        <v/>
      </c>
      <c r="AB121" s="308" t="str">
        <f t="shared" si="19"/>
        <v/>
      </c>
      <c r="AC121" s="308" t="str">
        <f t="shared" si="20"/>
        <v/>
      </c>
      <c r="AD121" s="312" t="str">
        <f t="shared" si="21"/>
        <v/>
      </c>
      <c r="AE121" s="308" t="str">
        <f t="shared" si="22"/>
        <v/>
      </c>
      <c r="AF121" s="313" t="str">
        <f t="shared" si="23"/>
        <v/>
      </c>
      <c r="AG121" s="304" t="str">
        <f t="shared" si="24"/>
        <v/>
      </c>
      <c r="AH121" s="308" t="str">
        <f t="shared" si="25"/>
        <v/>
      </c>
      <c r="AI121" s="313" t="str">
        <f t="shared" si="26"/>
        <v/>
      </c>
      <c r="AJ121" s="304" t="str">
        <f t="shared" si="27"/>
        <v/>
      </c>
      <c r="AK121" s="308" t="str">
        <f t="shared" si="28"/>
        <v/>
      </c>
      <c r="AL121" s="308" t="str">
        <f t="shared" si="29"/>
        <v/>
      </c>
      <c r="AM121" s="304" t="str">
        <f t="shared" si="30"/>
        <v/>
      </c>
      <c r="AN121" s="308" t="str">
        <f t="shared" si="31"/>
        <v/>
      </c>
      <c r="AO121" s="313" t="str">
        <f t="shared" si="32"/>
        <v/>
      </c>
      <c r="AP121" s="304" t="str">
        <f t="shared" si="33"/>
        <v/>
      </c>
      <c r="AQ121" s="308" t="str">
        <f t="shared" si="34"/>
        <v/>
      </c>
      <c r="AR121" s="313" t="str">
        <f t="shared" si="35"/>
        <v/>
      </c>
      <c r="AS121" s="304" t="str">
        <f t="shared" si="36"/>
        <v/>
      </c>
      <c r="AT121" s="308" t="str">
        <f t="shared" si="37"/>
        <v/>
      </c>
      <c r="AU121" s="308" t="str">
        <f t="shared" si="38"/>
        <v/>
      </c>
      <c r="AV121" s="304" t="str">
        <f t="shared" si="39"/>
        <v/>
      </c>
      <c r="AW121" s="308" t="str">
        <f t="shared" si="40"/>
        <v/>
      </c>
      <c r="AX121" s="308" t="str">
        <f t="shared" si="41"/>
        <v/>
      </c>
      <c r="AY121" s="304" t="str">
        <f t="shared" si="42"/>
        <v/>
      </c>
      <c r="AZ121" s="308" t="str">
        <f t="shared" si="43"/>
        <v/>
      </c>
      <c r="BA121" s="313" t="str">
        <f t="shared" si="44"/>
        <v/>
      </c>
      <c r="BB121" s="304" t="str">
        <f t="shared" si="45"/>
        <v/>
      </c>
      <c r="BC121" s="308" t="str">
        <f t="shared" si="46"/>
        <v/>
      </c>
      <c r="BD121" s="308" t="str">
        <f t="shared" si="47"/>
        <v/>
      </c>
    </row>
    <row r="122">
      <c r="A122" s="299"/>
      <c r="B122" s="299"/>
      <c r="C122" s="300"/>
      <c r="D122" s="301" t="str">
        <f>IFERROR(__xludf.DUMMYFUNCTION("if(ISBLANK(A122),"""",GOOGLEFINANCE(A122,""NAME""))"),"")</f>
        <v/>
      </c>
      <c r="E122" s="302">
        <v>5000.0</v>
      </c>
      <c r="F122" s="303" t="str">
        <f>IFERROR(__xludf.DUMMYFUNCTION("if(ISBLANK(A122),"""",GOOGLEFINANCE(A122,""HIGH52""))"),"")</f>
        <v/>
      </c>
      <c r="G122" s="303" t="str">
        <f>IFERROR(__xludf.DUMMYFUNCTION("if(ISBLANK(A122),"""",GOOGLEFINANCE(A122,""LOW52""))"),"")</f>
        <v/>
      </c>
      <c r="H122" s="304" t="str">
        <f>IFERROR(__xludf.DUMMYFUNCTION("if(ISBLANK(A122),"""",GOOGLEFINANCE(A122,""Price""))"),"")</f>
        <v/>
      </c>
      <c r="I122" s="305" t="str">
        <f t="shared" si="1"/>
        <v/>
      </c>
      <c r="J122" s="306" t="str">
        <f t="shared" si="2"/>
        <v/>
      </c>
      <c r="K122" s="307" t="str">
        <f>IFERROR(__xludf.DUMMYFUNCTION("if(ISBLANK(A122),"""",googlefinance(A122,""Marketcap"")/10000000)"),"")</f>
        <v/>
      </c>
      <c r="L122" s="309" t="str">
        <f t="shared" si="3"/>
        <v/>
      </c>
      <c r="M122" s="308" t="str">
        <f t="shared" si="4"/>
        <v/>
      </c>
      <c r="N122" s="309" t="str">
        <f t="shared" si="5"/>
        <v/>
      </c>
      <c r="O122" s="322" t="str">
        <f t="shared" si="6"/>
        <v/>
      </c>
      <c r="P122" s="308" t="str">
        <f t="shared" si="7"/>
        <v/>
      </c>
      <c r="Q122" s="311" t="str">
        <f t="shared" si="8"/>
        <v/>
      </c>
      <c r="R122" s="309" t="str">
        <f t="shared" si="9"/>
        <v/>
      </c>
      <c r="S122" s="308" t="str">
        <f t="shared" si="10"/>
        <v/>
      </c>
      <c r="T122" s="309" t="str">
        <f t="shared" si="11"/>
        <v/>
      </c>
      <c r="U122" s="309" t="str">
        <f t="shared" si="12"/>
        <v/>
      </c>
      <c r="V122" s="308" t="str">
        <f t="shared" si="13"/>
        <v/>
      </c>
      <c r="W122" s="309" t="str">
        <f t="shared" si="14"/>
        <v/>
      </c>
      <c r="X122" s="309" t="str">
        <f t="shared" si="15"/>
        <v/>
      </c>
      <c r="Y122" s="308" t="str">
        <f t="shared" si="16"/>
        <v/>
      </c>
      <c r="Z122" s="309" t="str">
        <f t="shared" si="17"/>
        <v/>
      </c>
      <c r="AA122" s="312" t="str">
        <f t="shared" si="18"/>
        <v/>
      </c>
      <c r="AB122" s="308" t="str">
        <f t="shared" si="19"/>
        <v/>
      </c>
      <c r="AC122" s="308" t="str">
        <f t="shared" si="20"/>
        <v/>
      </c>
      <c r="AD122" s="312" t="str">
        <f t="shared" si="21"/>
        <v/>
      </c>
      <c r="AE122" s="308" t="str">
        <f t="shared" si="22"/>
        <v/>
      </c>
      <c r="AF122" s="313" t="str">
        <f t="shared" si="23"/>
        <v/>
      </c>
      <c r="AG122" s="304" t="str">
        <f t="shared" si="24"/>
        <v/>
      </c>
      <c r="AH122" s="308" t="str">
        <f t="shared" si="25"/>
        <v/>
      </c>
      <c r="AI122" s="313" t="str">
        <f t="shared" si="26"/>
        <v/>
      </c>
      <c r="AJ122" s="304" t="str">
        <f t="shared" si="27"/>
        <v/>
      </c>
      <c r="AK122" s="308" t="str">
        <f t="shared" si="28"/>
        <v/>
      </c>
      <c r="AL122" s="308" t="str">
        <f t="shared" si="29"/>
        <v/>
      </c>
      <c r="AM122" s="304" t="str">
        <f t="shared" si="30"/>
        <v/>
      </c>
      <c r="AN122" s="308" t="str">
        <f t="shared" si="31"/>
        <v/>
      </c>
      <c r="AO122" s="313" t="str">
        <f t="shared" si="32"/>
        <v/>
      </c>
      <c r="AP122" s="304" t="str">
        <f t="shared" si="33"/>
        <v/>
      </c>
      <c r="AQ122" s="308" t="str">
        <f t="shared" si="34"/>
        <v/>
      </c>
      <c r="AR122" s="313" t="str">
        <f t="shared" si="35"/>
        <v/>
      </c>
      <c r="AS122" s="304" t="str">
        <f t="shared" si="36"/>
        <v/>
      </c>
      <c r="AT122" s="308" t="str">
        <f t="shared" si="37"/>
        <v/>
      </c>
      <c r="AU122" s="308" t="str">
        <f t="shared" si="38"/>
        <v/>
      </c>
      <c r="AV122" s="304" t="str">
        <f t="shared" si="39"/>
        <v/>
      </c>
      <c r="AW122" s="308" t="str">
        <f t="shared" si="40"/>
        <v/>
      </c>
      <c r="AX122" s="308" t="str">
        <f t="shared" si="41"/>
        <v/>
      </c>
      <c r="AY122" s="304" t="str">
        <f t="shared" si="42"/>
        <v/>
      </c>
      <c r="AZ122" s="308" t="str">
        <f t="shared" si="43"/>
        <v/>
      </c>
      <c r="BA122" s="313" t="str">
        <f t="shared" si="44"/>
        <v/>
      </c>
      <c r="BB122" s="304" t="str">
        <f t="shared" si="45"/>
        <v/>
      </c>
      <c r="BC122" s="308" t="str">
        <f t="shared" si="46"/>
        <v/>
      </c>
      <c r="BD122" s="308" t="str">
        <f t="shared" si="47"/>
        <v/>
      </c>
    </row>
    <row r="123">
      <c r="A123" s="299"/>
      <c r="B123" s="299"/>
      <c r="C123" s="300"/>
      <c r="D123" s="301" t="str">
        <f>IFERROR(__xludf.DUMMYFUNCTION("if(ISBLANK(A123),"""",GOOGLEFINANCE(A123,""NAME""))"),"")</f>
        <v/>
      </c>
      <c r="E123" s="302">
        <v>5000.0</v>
      </c>
      <c r="F123" s="303" t="str">
        <f>IFERROR(__xludf.DUMMYFUNCTION("if(ISBLANK(A123),"""",GOOGLEFINANCE(A123,""HIGH52""))"),"")</f>
        <v/>
      </c>
      <c r="G123" s="303" t="str">
        <f>IFERROR(__xludf.DUMMYFUNCTION("if(ISBLANK(A123),"""",GOOGLEFINANCE(A123,""LOW52""))"),"")</f>
        <v/>
      </c>
      <c r="H123" s="304" t="str">
        <f>IFERROR(__xludf.DUMMYFUNCTION("if(ISBLANK(A123),"""",GOOGLEFINANCE(A123,""Price""))"),"")</f>
        <v/>
      </c>
      <c r="I123" s="305" t="str">
        <f t="shared" si="1"/>
        <v/>
      </c>
      <c r="J123" s="306" t="str">
        <f t="shared" si="2"/>
        <v/>
      </c>
      <c r="K123" s="307" t="str">
        <f>IFERROR(__xludf.DUMMYFUNCTION("if(ISBLANK(A123),"""",googlefinance(A123,""Marketcap"")/10000000)"),"")</f>
        <v/>
      </c>
      <c r="L123" s="309" t="str">
        <f t="shared" si="3"/>
        <v/>
      </c>
      <c r="M123" s="308" t="str">
        <f t="shared" si="4"/>
        <v/>
      </c>
      <c r="N123" s="309" t="str">
        <f t="shared" si="5"/>
        <v/>
      </c>
      <c r="O123" s="322" t="str">
        <f t="shared" si="6"/>
        <v/>
      </c>
      <c r="P123" s="308" t="str">
        <f t="shared" si="7"/>
        <v/>
      </c>
      <c r="Q123" s="311" t="str">
        <f t="shared" si="8"/>
        <v/>
      </c>
      <c r="R123" s="309" t="str">
        <f t="shared" si="9"/>
        <v/>
      </c>
      <c r="S123" s="308" t="str">
        <f t="shared" si="10"/>
        <v/>
      </c>
      <c r="T123" s="309" t="str">
        <f t="shared" si="11"/>
        <v/>
      </c>
      <c r="U123" s="309" t="str">
        <f t="shared" si="12"/>
        <v/>
      </c>
      <c r="V123" s="308" t="str">
        <f t="shared" si="13"/>
        <v/>
      </c>
      <c r="W123" s="309" t="str">
        <f t="shared" si="14"/>
        <v/>
      </c>
      <c r="X123" s="309" t="str">
        <f t="shared" si="15"/>
        <v/>
      </c>
      <c r="Y123" s="308" t="str">
        <f t="shared" si="16"/>
        <v/>
      </c>
      <c r="Z123" s="309" t="str">
        <f t="shared" si="17"/>
        <v/>
      </c>
      <c r="AA123" s="312" t="str">
        <f t="shared" si="18"/>
        <v/>
      </c>
      <c r="AB123" s="308" t="str">
        <f t="shared" si="19"/>
        <v/>
      </c>
      <c r="AC123" s="308" t="str">
        <f t="shared" si="20"/>
        <v/>
      </c>
      <c r="AD123" s="312" t="str">
        <f t="shared" si="21"/>
        <v/>
      </c>
      <c r="AE123" s="308" t="str">
        <f t="shared" si="22"/>
        <v/>
      </c>
      <c r="AF123" s="313" t="str">
        <f t="shared" si="23"/>
        <v/>
      </c>
      <c r="AG123" s="304" t="str">
        <f t="shared" si="24"/>
        <v/>
      </c>
      <c r="AH123" s="308" t="str">
        <f t="shared" si="25"/>
        <v/>
      </c>
      <c r="AI123" s="313" t="str">
        <f t="shared" si="26"/>
        <v/>
      </c>
      <c r="AJ123" s="304" t="str">
        <f t="shared" si="27"/>
        <v/>
      </c>
      <c r="AK123" s="308" t="str">
        <f t="shared" si="28"/>
        <v/>
      </c>
      <c r="AL123" s="308" t="str">
        <f t="shared" si="29"/>
        <v/>
      </c>
      <c r="AM123" s="304" t="str">
        <f t="shared" si="30"/>
        <v/>
      </c>
      <c r="AN123" s="308" t="str">
        <f t="shared" si="31"/>
        <v/>
      </c>
      <c r="AO123" s="313" t="str">
        <f t="shared" si="32"/>
        <v/>
      </c>
      <c r="AP123" s="304" t="str">
        <f t="shared" si="33"/>
        <v/>
      </c>
      <c r="AQ123" s="308" t="str">
        <f t="shared" si="34"/>
        <v/>
      </c>
      <c r="AR123" s="313" t="str">
        <f t="shared" si="35"/>
        <v/>
      </c>
      <c r="AS123" s="304" t="str">
        <f t="shared" si="36"/>
        <v/>
      </c>
      <c r="AT123" s="308" t="str">
        <f t="shared" si="37"/>
        <v/>
      </c>
      <c r="AU123" s="308" t="str">
        <f t="shared" si="38"/>
        <v/>
      </c>
      <c r="AV123" s="304" t="str">
        <f t="shared" si="39"/>
        <v/>
      </c>
      <c r="AW123" s="308" t="str">
        <f t="shared" si="40"/>
        <v/>
      </c>
      <c r="AX123" s="308" t="str">
        <f t="shared" si="41"/>
        <v/>
      </c>
      <c r="AY123" s="304" t="str">
        <f t="shared" si="42"/>
        <v/>
      </c>
      <c r="AZ123" s="308" t="str">
        <f t="shared" si="43"/>
        <v/>
      </c>
      <c r="BA123" s="313" t="str">
        <f t="shared" si="44"/>
        <v/>
      </c>
      <c r="BB123" s="304" t="str">
        <f t="shared" si="45"/>
        <v/>
      </c>
      <c r="BC123" s="308" t="str">
        <f t="shared" si="46"/>
        <v/>
      </c>
      <c r="BD123" s="308" t="str">
        <f t="shared" si="47"/>
        <v/>
      </c>
    </row>
    <row r="124">
      <c r="A124" s="320"/>
      <c r="B124" s="320"/>
      <c r="C124" s="321"/>
      <c r="D124" s="301" t="str">
        <f>IFERROR(__xludf.DUMMYFUNCTION("if(ISBLANK(A124),"""",GOOGLEFINANCE(A124,""NAME""))"),"")</f>
        <v/>
      </c>
      <c r="E124" s="302">
        <v>5000.0</v>
      </c>
      <c r="F124" s="303" t="str">
        <f>IFERROR(__xludf.DUMMYFUNCTION("if(ISBLANK(A124),"""",GOOGLEFINANCE(A124,""HIGH52""))"),"")</f>
        <v/>
      </c>
      <c r="G124" s="303" t="str">
        <f>IFERROR(__xludf.DUMMYFUNCTION("if(ISBLANK(A124),"""",GOOGLEFINANCE(A124,""LOW52""))"),"")</f>
        <v/>
      </c>
      <c r="H124" s="304" t="str">
        <f>IFERROR(__xludf.DUMMYFUNCTION("if(ISBLANK(A124),"""",GOOGLEFINANCE(A124,""Price""))"),"")</f>
        <v/>
      </c>
      <c r="I124" s="305" t="str">
        <f t="shared" si="1"/>
        <v/>
      </c>
      <c r="J124" s="306" t="str">
        <f t="shared" si="2"/>
        <v/>
      </c>
      <c r="K124" s="307" t="str">
        <f>IFERROR(__xludf.DUMMYFUNCTION("if(ISBLANK(A124),"""",googlefinance(A124,""Marketcap"")/10000000)"),"")</f>
        <v/>
      </c>
      <c r="L124" s="309" t="str">
        <f t="shared" si="3"/>
        <v/>
      </c>
      <c r="M124" s="308" t="str">
        <f t="shared" si="4"/>
        <v/>
      </c>
      <c r="N124" s="309" t="str">
        <f t="shared" si="5"/>
        <v/>
      </c>
      <c r="O124" s="322" t="str">
        <f t="shared" si="6"/>
        <v/>
      </c>
      <c r="P124" s="308" t="str">
        <f t="shared" si="7"/>
        <v/>
      </c>
      <c r="Q124" s="311" t="str">
        <f t="shared" si="8"/>
        <v/>
      </c>
      <c r="R124" s="309" t="str">
        <f t="shared" si="9"/>
        <v/>
      </c>
      <c r="S124" s="308" t="str">
        <f t="shared" si="10"/>
        <v/>
      </c>
      <c r="T124" s="309" t="str">
        <f t="shared" si="11"/>
        <v/>
      </c>
      <c r="U124" s="309" t="str">
        <f t="shared" si="12"/>
        <v/>
      </c>
      <c r="V124" s="308" t="str">
        <f t="shared" si="13"/>
        <v/>
      </c>
      <c r="W124" s="309" t="str">
        <f t="shared" si="14"/>
        <v/>
      </c>
      <c r="X124" s="309" t="str">
        <f t="shared" si="15"/>
        <v/>
      </c>
      <c r="Y124" s="308" t="str">
        <f t="shared" si="16"/>
        <v/>
      </c>
      <c r="Z124" s="309" t="str">
        <f t="shared" si="17"/>
        <v/>
      </c>
      <c r="AA124" s="312" t="str">
        <f t="shared" si="18"/>
        <v/>
      </c>
      <c r="AB124" s="308" t="str">
        <f t="shared" si="19"/>
        <v/>
      </c>
      <c r="AC124" s="308" t="str">
        <f t="shared" si="20"/>
        <v/>
      </c>
      <c r="AD124" s="312" t="str">
        <f t="shared" si="21"/>
        <v/>
      </c>
      <c r="AE124" s="308" t="str">
        <f t="shared" si="22"/>
        <v/>
      </c>
      <c r="AF124" s="313" t="str">
        <f t="shared" si="23"/>
        <v/>
      </c>
      <c r="AG124" s="304" t="str">
        <f t="shared" si="24"/>
        <v/>
      </c>
      <c r="AH124" s="308" t="str">
        <f t="shared" si="25"/>
        <v/>
      </c>
      <c r="AI124" s="313" t="str">
        <f t="shared" si="26"/>
        <v/>
      </c>
      <c r="AJ124" s="304" t="str">
        <f t="shared" si="27"/>
        <v/>
      </c>
      <c r="AK124" s="308" t="str">
        <f t="shared" si="28"/>
        <v/>
      </c>
      <c r="AL124" s="308" t="str">
        <f t="shared" si="29"/>
        <v/>
      </c>
      <c r="AM124" s="304" t="str">
        <f t="shared" si="30"/>
        <v/>
      </c>
      <c r="AN124" s="308" t="str">
        <f t="shared" si="31"/>
        <v/>
      </c>
      <c r="AO124" s="313" t="str">
        <f t="shared" si="32"/>
        <v/>
      </c>
      <c r="AP124" s="304" t="str">
        <f t="shared" si="33"/>
        <v/>
      </c>
      <c r="AQ124" s="308" t="str">
        <f t="shared" si="34"/>
        <v/>
      </c>
      <c r="AR124" s="313" t="str">
        <f t="shared" si="35"/>
        <v/>
      </c>
      <c r="AS124" s="304" t="str">
        <f t="shared" si="36"/>
        <v/>
      </c>
      <c r="AT124" s="308" t="str">
        <f t="shared" si="37"/>
        <v/>
      </c>
      <c r="AU124" s="308" t="str">
        <f t="shared" si="38"/>
        <v/>
      </c>
      <c r="AV124" s="304" t="str">
        <f t="shared" si="39"/>
        <v/>
      </c>
      <c r="AW124" s="308" t="str">
        <f t="shared" si="40"/>
        <v/>
      </c>
      <c r="AX124" s="308" t="str">
        <f t="shared" si="41"/>
        <v/>
      </c>
      <c r="AY124" s="304" t="str">
        <f t="shared" si="42"/>
        <v/>
      </c>
      <c r="AZ124" s="308" t="str">
        <f t="shared" si="43"/>
        <v/>
      </c>
      <c r="BA124" s="313" t="str">
        <f t="shared" si="44"/>
        <v/>
      </c>
      <c r="BB124" s="304" t="str">
        <f t="shared" si="45"/>
        <v/>
      </c>
      <c r="BC124" s="308" t="str">
        <f t="shared" si="46"/>
        <v/>
      </c>
      <c r="BD124" s="308" t="str">
        <f t="shared" si="47"/>
        <v/>
      </c>
    </row>
    <row r="125">
      <c r="A125" s="318"/>
      <c r="B125" s="318"/>
      <c r="C125" s="319"/>
      <c r="D125" s="301" t="str">
        <f>IFERROR(__xludf.DUMMYFUNCTION("if(ISBLANK(A125),"""",GOOGLEFINANCE(A125,""NAME""))"),"")</f>
        <v/>
      </c>
      <c r="E125" s="302">
        <v>5000.0</v>
      </c>
      <c r="F125" s="303" t="str">
        <f>IFERROR(__xludf.DUMMYFUNCTION("if(ISBLANK(A125),"""",GOOGLEFINANCE(A125,""HIGH52""))"),"")</f>
        <v/>
      </c>
      <c r="G125" s="303" t="str">
        <f>IFERROR(__xludf.DUMMYFUNCTION("if(ISBLANK(A125),"""",GOOGLEFINANCE(A125,""LOW52""))"),"")</f>
        <v/>
      </c>
      <c r="H125" s="304" t="str">
        <f>IFERROR(__xludf.DUMMYFUNCTION("if(ISBLANK(A125),"""",GOOGLEFINANCE(A125,""Price""))"),"")</f>
        <v/>
      </c>
      <c r="I125" s="305" t="str">
        <f t="shared" si="1"/>
        <v/>
      </c>
      <c r="J125" s="306" t="str">
        <f t="shared" si="2"/>
        <v/>
      </c>
      <c r="K125" s="307" t="str">
        <f>IFERROR(__xludf.DUMMYFUNCTION("if(ISBLANK(A125),"""",googlefinance(A125,""Marketcap"")/10000000)"),"")</f>
        <v/>
      </c>
      <c r="L125" s="309" t="str">
        <f t="shared" si="3"/>
        <v/>
      </c>
      <c r="M125" s="308" t="str">
        <f t="shared" si="4"/>
        <v/>
      </c>
      <c r="N125" s="309" t="str">
        <f t="shared" si="5"/>
        <v/>
      </c>
      <c r="O125" s="322" t="str">
        <f t="shared" si="6"/>
        <v/>
      </c>
      <c r="P125" s="308" t="str">
        <f t="shared" si="7"/>
        <v/>
      </c>
      <c r="Q125" s="311" t="str">
        <f t="shared" si="8"/>
        <v/>
      </c>
      <c r="R125" s="309" t="str">
        <f t="shared" si="9"/>
        <v/>
      </c>
      <c r="S125" s="308" t="str">
        <f t="shared" si="10"/>
        <v/>
      </c>
      <c r="T125" s="309" t="str">
        <f t="shared" si="11"/>
        <v/>
      </c>
      <c r="U125" s="309" t="str">
        <f t="shared" si="12"/>
        <v/>
      </c>
      <c r="V125" s="308" t="str">
        <f t="shared" si="13"/>
        <v/>
      </c>
      <c r="W125" s="309" t="str">
        <f t="shared" si="14"/>
        <v/>
      </c>
      <c r="X125" s="309" t="str">
        <f t="shared" si="15"/>
        <v/>
      </c>
      <c r="Y125" s="308" t="str">
        <f t="shared" si="16"/>
        <v/>
      </c>
      <c r="Z125" s="309" t="str">
        <f t="shared" si="17"/>
        <v/>
      </c>
      <c r="AA125" s="312" t="str">
        <f t="shared" si="18"/>
        <v/>
      </c>
      <c r="AB125" s="308" t="str">
        <f t="shared" si="19"/>
        <v/>
      </c>
      <c r="AC125" s="308" t="str">
        <f t="shared" si="20"/>
        <v/>
      </c>
      <c r="AD125" s="312" t="str">
        <f t="shared" si="21"/>
        <v/>
      </c>
      <c r="AE125" s="308" t="str">
        <f t="shared" si="22"/>
        <v/>
      </c>
      <c r="AF125" s="313" t="str">
        <f t="shared" si="23"/>
        <v/>
      </c>
      <c r="AG125" s="304" t="str">
        <f t="shared" si="24"/>
        <v/>
      </c>
      <c r="AH125" s="308" t="str">
        <f t="shared" si="25"/>
        <v/>
      </c>
      <c r="AI125" s="313" t="str">
        <f t="shared" si="26"/>
        <v/>
      </c>
      <c r="AJ125" s="304" t="str">
        <f t="shared" si="27"/>
        <v/>
      </c>
      <c r="AK125" s="308" t="str">
        <f t="shared" si="28"/>
        <v/>
      </c>
      <c r="AL125" s="308" t="str">
        <f t="shared" si="29"/>
        <v/>
      </c>
      <c r="AM125" s="304" t="str">
        <f t="shared" si="30"/>
        <v/>
      </c>
      <c r="AN125" s="308" t="str">
        <f t="shared" si="31"/>
        <v/>
      </c>
      <c r="AO125" s="313" t="str">
        <f t="shared" si="32"/>
        <v/>
      </c>
      <c r="AP125" s="304" t="str">
        <f t="shared" si="33"/>
        <v/>
      </c>
      <c r="AQ125" s="308" t="str">
        <f t="shared" si="34"/>
        <v/>
      </c>
      <c r="AR125" s="313" t="str">
        <f t="shared" si="35"/>
        <v/>
      </c>
      <c r="AS125" s="304" t="str">
        <f t="shared" si="36"/>
        <v/>
      </c>
      <c r="AT125" s="308" t="str">
        <f t="shared" si="37"/>
        <v/>
      </c>
      <c r="AU125" s="308" t="str">
        <f t="shared" si="38"/>
        <v/>
      </c>
      <c r="AV125" s="304" t="str">
        <f t="shared" si="39"/>
        <v/>
      </c>
      <c r="AW125" s="308" t="str">
        <f t="shared" si="40"/>
        <v/>
      </c>
      <c r="AX125" s="308" t="str">
        <f t="shared" si="41"/>
        <v/>
      </c>
      <c r="AY125" s="304" t="str">
        <f t="shared" si="42"/>
        <v/>
      </c>
      <c r="AZ125" s="308" t="str">
        <f t="shared" si="43"/>
        <v/>
      </c>
      <c r="BA125" s="313" t="str">
        <f t="shared" si="44"/>
        <v/>
      </c>
      <c r="BB125" s="304" t="str">
        <f t="shared" si="45"/>
        <v/>
      </c>
      <c r="BC125" s="308" t="str">
        <f t="shared" si="46"/>
        <v/>
      </c>
      <c r="BD125" s="308" t="str">
        <f t="shared" si="47"/>
        <v/>
      </c>
    </row>
    <row r="126">
      <c r="A126" s="318"/>
      <c r="B126" s="318"/>
      <c r="C126" s="319"/>
      <c r="D126" s="301" t="str">
        <f>IFERROR(__xludf.DUMMYFUNCTION("if(ISBLANK(A126),"""",GOOGLEFINANCE(A126,""NAME""))"),"")</f>
        <v/>
      </c>
      <c r="E126" s="302">
        <v>5000.0</v>
      </c>
      <c r="F126" s="303" t="str">
        <f>IFERROR(__xludf.DUMMYFUNCTION("if(ISBLANK(A126),"""",GOOGLEFINANCE(A126,""HIGH52""))"),"")</f>
        <v/>
      </c>
      <c r="G126" s="303" t="str">
        <f>IFERROR(__xludf.DUMMYFUNCTION("if(ISBLANK(A126),"""",GOOGLEFINANCE(A126,""LOW52""))"),"")</f>
        <v/>
      </c>
      <c r="H126" s="304" t="str">
        <f>IFERROR(__xludf.DUMMYFUNCTION("if(ISBLANK(A126),"""",GOOGLEFINANCE(A126,""Price""))"),"")</f>
        <v/>
      </c>
      <c r="I126" s="305" t="str">
        <f t="shared" si="1"/>
        <v/>
      </c>
      <c r="J126" s="306" t="str">
        <f t="shared" si="2"/>
        <v/>
      </c>
      <c r="K126" s="307" t="str">
        <f>IFERROR(__xludf.DUMMYFUNCTION("if(ISBLANK(A126),"""",googlefinance(A126,""Marketcap"")/10000000)"),"")</f>
        <v/>
      </c>
      <c r="L126" s="309" t="str">
        <f t="shared" si="3"/>
        <v/>
      </c>
      <c r="M126" s="308" t="str">
        <f t="shared" si="4"/>
        <v/>
      </c>
      <c r="N126" s="309" t="str">
        <f t="shared" si="5"/>
        <v/>
      </c>
      <c r="O126" s="322" t="str">
        <f t="shared" si="6"/>
        <v/>
      </c>
      <c r="P126" s="308" t="str">
        <f t="shared" si="7"/>
        <v/>
      </c>
      <c r="Q126" s="311" t="str">
        <f t="shared" si="8"/>
        <v/>
      </c>
      <c r="R126" s="309" t="str">
        <f t="shared" si="9"/>
        <v/>
      </c>
      <c r="S126" s="308" t="str">
        <f t="shared" si="10"/>
        <v/>
      </c>
      <c r="T126" s="309" t="str">
        <f t="shared" si="11"/>
        <v/>
      </c>
      <c r="U126" s="309" t="str">
        <f t="shared" si="12"/>
        <v/>
      </c>
      <c r="V126" s="308" t="str">
        <f t="shared" si="13"/>
        <v/>
      </c>
      <c r="W126" s="309" t="str">
        <f t="shared" si="14"/>
        <v/>
      </c>
      <c r="X126" s="309" t="str">
        <f t="shared" si="15"/>
        <v/>
      </c>
      <c r="Y126" s="308" t="str">
        <f t="shared" si="16"/>
        <v/>
      </c>
      <c r="Z126" s="309" t="str">
        <f t="shared" si="17"/>
        <v/>
      </c>
      <c r="AA126" s="312" t="str">
        <f t="shared" si="18"/>
        <v/>
      </c>
      <c r="AB126" s="308" t="str">
        <f t="shared" si="19"/>
        <v/>
      </c>
      <c r="AC126" s="308" t="str">
        <f t="shared" si="20"/>
        <v/>
      </c>
      <c r="AD126" s="312" t="str">
        <f t="shared" si="21"/>
        <v/>
      </c>
      <c r="AE126" s="308" t="str">
        <f t="shared" si="22"/>
        <v/>
      </c>
      <c r="AF126" s="313" t="str">
        <f t="shared" si="23"/>
        <v/>
      </c>
      <c r="AG126" s="304" t="str">
        <f t="shared" si="24"/>
        <v/>
      </c>
      <c r="AH126" s="308" t="str">
        <f t="shared" si="25"/>
        <v/>
      </c>
      <c r="AI126" s="313" t="str">
        <f t="shared" si="26"/>
        <v/>
      </c>
      <c r="AJ126" s="304" t="str">
        <f t="shared" si="27"/>
        <v/>
      </c>
      <c r="AK126" s="308" t="str">
        <f t="shared" si="28"/>
        <v/>
      </c>
      <c r="AL126" s="308" t="str">
        <f t="shared" si="29"/>
        <v/>
      </c>
      <c r="AM126" s="304" t="str">
        <f t="shared" si="30"/>
        <v/>
      </c>
      <c r="AN126" s="308" t="str">
        <f t="shared" si="31"/>
        <v/>
      </c>
      <c r="AO126" s="313" t="str">
        <f t="shared" si="32"/>
        <v/>
      </c>
      <c r="AP126" s="304" t="str">
        <f t="shared" si="33"/>
        <v/>
      </c>
      <c r="AQ126" s="308" t="str">
        <f t="shared" si="34"/>
        <v/>
      </c>
      <c r="AR126" s="313" t="str">
        <f t="shared" si="35"/>
        <v/>
      </c>
      <c r="AS126" s="304" t="str">
        <f t="shared" si="36"/>
        <v/>
      </c>
      <c r="AT126" s="308" t="str">
        <f t="shared" si="37"/>
        <v/>
      </c>
      <c r="AU126" s="308" t="str">
        <f t="shared" si="38"/>
        <v/>
      </c>
      <c r="AV126" s="304" t="str">
        <f t="shared" si="39"/>
        <v/>
      </c>
      <c r="AW126" s="308" t="str">
        <f t="shared" si="40"/>
        <v/>
      </c>
      <c r="AX126" s="308" t="str">
        <f t="shared" si="41"/>
        <v/>
      </c>
      <c r="AY126" s="304" t="str">
        <f t="shared" si="42"/>
        <v/>
      </c>
      <c r="AZ126" s="308" t="str">
        <f t="shared" si="43"/>
        <v/>
      </c>
      <c r="BA126" s="313" t="str">
        <f t="shared" si="44"/>
        <v/>
      </c>
      <c r="BB126" s="304" t="str">
        <f t="shared" si="45"/>
        <v/>
      </c>
      <c r="BC126" s="308" t="str">
        <f t="shared" si="46"/>
        <v/>
      </c>
      <c r="BD126" s="308" t="str">
        <f t="shared" si="47"/>
        <v/>
      </c>
    </row>
    <row r="127">
      <c r="A127" s="318"/>
      <c r="B127" s="318"/>
      <c r="C127" s="319"/>
      <c r="D127" s="301" t="str">
        <f>IFERROR(__xludf.DUMMYFUNCTION("if(ISBLANK(A127),"""",GOOGLEFINANCE(A127,""NAME""))"),"")</f>
        <v/>
      </c>
      <c r="E127" s="302">
        <v>5000.0</v>
      </c>
      <c r="F127" s="303" t="str">
        <f>IFERROR(__xludf.DUMMYFUNCTION("if(ISBLANK(A127),"""",GOOGLEFINANCE(A127,""HIGH52""))"),"")</f>
        <v/>
      </c>
      <c r="G127" s="303" t="str">
        <f>IFERROR(__xludf.DUMMYFUNCTION("if(ISBLANK(A127),"""",GOOGLEFINANCE(A127,""LOW52""))"),"")</f>
        <v/>
      </c>
      <c r="H127" s="304" t="str">
        <f>IFERROR(__xludf.DUMMYFUNCTION("if(ISBLANK(A127),"""",GOOGLEFINANCE(A127,""Price""))"),"")</f>
        <v/>
      </c>
      <c r="I127" s="305" t="str">
        <f t="shared" si="1"/>
        <v/>
      </c>
      <c r="J127" s="306" t="str">
        <f t="shared" si="2"/>
        <v/>
      </c>
      <c r="K127" s="307" t="str">
        <f>IFERROR(__xludf.DUMMYFUNCTION("if(ISBLANK(A127),"""",googlefinance(A127,""Marketcap"")/10000000)"),"")</f>
        <v/>
      </c>
      <c r="L127" s="309" t="str">
        <f t="shared" si="3"/>
        <v/>
      </c>
      <c r="M127" s="308" t="str">
        <f t="shared" si="4"/>
        <v/>
      </c>
      <c r="N127" s="309" t="str">
        <f t="shared" si="5"/>
        <v/>
      </c>
      <c r="O127" s="322" t="str">
        <f t="shared" si="6"/>
        <v/>
      </c>
      <c r="P127" s="308" t="str">
        <f t="shared" si="7"/>
        <v/>
      </c>
      <c r="Q127" s="311" t="str">
        <f t="shared" si="8"/>
        <v/>
      </c>
      <c r="R127" s="309" t="str">
        <f t="shared" si="9"/>
        <v/>
      </c>
      <c r="S127" s="308" t="str">
        <f t="shared" si="10"/>
        <v/>
      </c>
      <c r="T127" s="309" t="str">
        <f t="shared" si="11"/>
        <v/>
      </c>
      <c r="U127" s="309" t="str">
        <f t="shared" si="12"/>
        <v/>
      </c>
      <c r="V127" s="308" t="str">
        <f t="shared" si="13"/>
        <v/>
      </c>
      <c r="W127" s="309" t="str">
        <f t="shared" si="14"/>
        <v/>
      </c>
      <c r="X127" s="309" t="str">
        <f t="shared" si="15"/>
        <v/>
      </c>
      <c r="Y127" s="308" t="str">
        <f t="shared" si="16"/>
        <v/>
      </c>
      <c r="Z127" s="309" t="str">
        <f t="shared" si="17"/>
        <v/>
      </c>
      <c r="AA127" s="312" t="str">
        <f t="shared" si="18"/>
        <v/>
      </c>
      <c r="AB127" s="308" t="str">
        <f t="shared" si="19"/>
        <v/>
      </c>
      <c r="AC127" s="308" t="str">
        <f t="shared" si="20"/>
        <v/>
      </c>
      <c r="AD127" s="312" t="str">
        <f t="shared" si="21"/>
        <v/>
      </c>
      <c r="AE127" s="308" t="str">
        <f t="shared" si="22"/>
        <v/>
      </c>
      <c r="AF127" s="313" t="str">
        <f t="shared" si="23"/>
        <v/>
      </c>
      <c r="AG127" s="304" t="str">
        <f t="shared" si="24"/>
        <v/>
      </c>
      <c r="AH127" s="308" t="str">
        <f t="shared" si="25"/>
        <v/>
      </c>
      <c r="AI127" s="313" t="str">
        <f t="shared" si="26"/>
        <v/>
      </c>
      <c r="AJ127" s="304" t="str">
        <f t="shared" si="27"/>
        <v/>
      </c>
      <c r="AK127" s="308" t="str">
        <f t="shared" si="28"/>
        <v/>
      </c>
      <c r="AL127" s="308" t="str">
        <f t="shared" si="29"/>
        <v/>
      </c>
      <c r="AM127" s="304" t="str">
        <f t="shared" si="30"/>
        <v/>
      </c>
      <c r="AN127" s="308" t="str">
        <f t="shared" si="31"/>
        <v/>
      </c>
      <c r="AO127" s="313" t="str">
        <f t="shared" si="32"/>
        <v/>
      </c>
      <c r="AP127" s="304" t="str">
        <f t="shared" si="33"/>
        <v/>
      </c>
      <c r="AQ127" s="308" t="str">
        <f t="shared" si="34"/>
        <v/>
      </c>
      <c r="AR127" s="313" t="str">
        <f t="shared" si="35"/>
        <v/>
      </c>
      <c r="AS127" s="304" t="str">
        <f t="shared" si="36"/>
        <v/>
      </c>
      <c r="AT127" s="308" t="str">
        <f t="shared" si="37"/>
        <v/>
      </c>
      <c r="AU127" s="308" t="str">
        <f t="shared" si="38"/>
        <v/>
      </c>
      <c r="AV127" s="304" t="str">
        <f t="shared" si="39"/>
        <v/>
      </c>
      <c r="AW127" s="308" t="str">
        <f t="shared" si="40"/>
        <v/>
      </c>
      <c r="AX127" s="308" t="str">
        <f t="shared" si="41"/>
        <v/>
      </c>
      <c r="AY127" s="304" t="str">
        <f t="shared" si="42"/>
        <v/>
      </c>
      <c r="AZ127" s="308" t="str">
        <f t="shared" si="43"/>
        <v/>
      </c>
      <c r="BA127" s="313" t="str">
        <f t="shared" si="44"/>
        <v/>
      </c>
      <c r="BB127" s="304" t="str">
        <f t="shared" si="45"/>
        <v/>
      </c>
      <c r="BC127" s="308" t="str">
        <f t="shared" si="46"/>
        <v/>
      </c>
      <c r="BD127" s="308" t="str">
        <f t="shared" si="47"/>
        <v/>
      </c>
    </row>
    <row r="128">
      <c r="A128" s="318"/>
      <c r="B128" s="318"/>
      <c r="C128" s="319"/>
      <c r="D128" s="301" t="str">
        <f>IFERROR(__xludf.DUMMYFUNCTION("if(ISBLANK(A128),"""",GOOGLEFINANCE(A128,""NAME""))"),"")</f>
        <v/>
      </c>
      <c r="E128" s="302">
        <v>5000.0</v>
      </c>
      <c r="F128" s="303" t="str">
        <f>IFERROR(__xludf.DUMMYFUNCTION("if(ISBLANK(A128),"""",GOOGLEFINANCE(A128,""HIGH52""))"),"")</f>
        <v/>
      </c>
      <c r="G128" s="303" t="str">
        <f>IFERROR(__xludf.DUMMYFUNCTION("if(ISBLANK(A128),"""",GOOGLEFINANCE(A128,""LOW52""))"),"")</f>
        <v/>
      </c>
      <c r="H128" s="304" t="str">
        <f>IFERROR(__xludf.DUMMYFUNCTION("if(ISBLANK(A128),"""",GOOGLEFINANCE(A128,""Price""))"),"")</f>
        <v/>
      </c>
      <c r="I128" s="305" t="str">
        <f t="shared" si="1"/>
        <v/>
      </c>
      <c r="J128" s="306" t="str">
        <f t="shared" si="2"/>
        <v/>
      </c>
      <c r="K128" s="307" t="str">
        <f>IFERROR(__xludf.DUMMYFUNCTION("if(ISBLANK(A128),"""",googlefinance(A128,""Marketcap"")/10000000)"),"")</f>
        <v/>
      </c>
      <c r="L128" s="309" t="str">
        <f t="shared" si="3"/>
        <v/>
      </c>
      <c r="M128" s="308" t="str">
        <f t="shared" si="4"/>
        <v/>
      </c>
      <c r="N128" s="309" t="str">
        <f t="shared" si="5"/>
        <v/>
      </c>
      <c r="O128" s="322" t="str">
        <f t="shared" si="6"/>
        <v/>
      </c>
      <c r="P128" s="308" t="str">
        <f t="shared" si="7"/>
        <v/>
      </c>
      <c r="Q128" s="311" t="str">
        <f t="shared" si="8"/>
        <v/>
      </c>
      <c r="R128" s="309" t="str">
        <f t="shared" si="9"/>
        <v/>
      </c>
      <c r="S128" s="308" t="str">
        <f t="shared" si="10"/>
        <v/>
      </c>
      <c r="T128" s="309" t="str">
        <f t="shared" si="11"/>
        <v/>
      </c>
      <c r="U128" s="309" t="str">
        <f t="shared" si="12"/>
        <v/>
      </c>
      <c r="V128" s="308" t="str">
        <f t="shared" si="13"/>
        <v/>
      </c>
      <c r="W128" s="309" t="str">
        <f t="shared" si="14"/>
        <v/>
      </c>
      <c r="X128" s="309" t="str">
        <f t="shared" si="15"/>
        <v/>
      </c>
      <c r="Y128" s="308" t="str">
        <f t="shared" si="16"/>
        <v/>
      </c>
      <c r="Z128" s="309" t="str">
        <f t="shared" si="17"/>
        <v/>
      </c>
      <c r="AA128" s="312" t="str">
        <f t="shared" si="18"/>
        <v/>
      </c>
      <c r="AB128" s="308" t="str">
        <f t="shared" si="19"/>
        <v/>
      </c>
      <c r="AC128" s="308" t="str">
        <f t="shared" si="20"/>
        <v/>
      </c>
      <c r="AD128" s="312" t="str">
        <f t="shared" si="21"/>
        <v/>
      </c>
      <c r="AE128" s="308" t="str">
        <f t="shared" si="22"/>
        <v/>
      </c>
      <c r="AF128" s="313" t="str">
        <f t="shared" si="23"/>
        <v/>
      </c>
      <c r="AG128" s="304" t="str">
        <f t="shared" si="24"/>
        <v/>
      </c>
      <c r="AH128" s="308" t="str">
        <f t="shared" si="25"/>
        <v/>
      </c>
      <c r="AI128" s="313" t="str">
        <f t="shared" si="26"/>
        <v/>
      </c>
      <c r="AJ128" s="304" t="str">
        <f t="shared" si="27"/>
        <v/>
      </c>
      <c r="AK128" s="308" t="str">
        <f t="shared" si="28"/>
        <v/>
      </c>
      <c r="AL128" s="308" t="str">
        <f t="shared" si="29"/>
        <v/>
      </c>
      <c r="AM128" s="304" t="str">
        <f t="shared" si="30"/>
        <v/>
      </c>
      <c r="AN128" s="308" t="str">
        <f t="shared" si="31"/>
        <v/>
      </c>
      <c r="AO128" s="313" t="str">
        <f t="shared" si="32"/>
        <v/>
      </c>
      <c r="AP128" s="304" t="str">
        <f t="shared" si="33"/>
        <v/>
      </c>
      <c r="AQ128" s="308" t="str">
        <f t="shared" si="34"/>
        <v/>
      </c>
      <c r="AR128" s="313" t="str">
        <f t="shared" si="35"/>
        <v/>
      </c>
      <c r="AS128" s="304" t="str">
        <f t="shared" si="36"/>
        <v/>
      </c>
      <c r="AT128" s="308" t="str">
        <f t="shared" si="37"/>
        <v/>
      </c>
      <c r="AU128" s="308" t="str">
        <f t="shared" si="38"/>
        <v/>
      </c>
      <c r="AV128" s="304" t="str">
        <f t="shared" si="39"/>
        <v/>
      </c>
      <c r="AW128" s="308" t="str">
        <f t="shared" si="40"/>
        <v/>
      </c>
      <c r="AX128" s="308" t="str">
        <f t="shared" si="41"/>
        <v/>
      </c>
      <c r="AY128" s="304" t="str">
        <f t="shared" si="42"/>
        <v/>
      </c>
      <c r="AZ128" s="308" t="str">
        <f t="shared" si="43"/>
        <v/>
      </c>
      <c r="BA128" s="313" t="str">
        <f t="shared" si="44"/>
        <v/>
      </c>
      <c r="BB128" s="304" t="str">
        <f t="shared" si="45"/>
        <v/>
      </c>
      <c r="BC128" s="308" t="str">
        <f t="shared" si="46"/>
        <v/>
      </c>
      <c r="BD128" s="308" t="str">
        <f t="shared" si="47"/>
        <v/>
      </c>
    </row>
    <row r="129">
      <c r="A129" s="318"/>
      <c r="B129" s="318"/>
      <c r="C129" s="319"/>
      <c r="D129" s="301" t="str">
        <f>IFERROR(__xludf.DUMMYFUNCTION("if(ISBLANK(A129),"""",GOOGLEFINANCE(A129,""NAME""))"),"")</f>
        <v/>
      </c>
      <c r="E129" s="302">
        <v>5000.0</v>
      </c>
      <c r="F129" s="303" t="str">
        <f>IFERROR(__xludf.DUMMYFUNCTION("if(ISBLANK(A129),"""",GOOGLEFINANCE(A129,""HIGH52""))"),"")</f>
        <v/>
      </c>
      <c r="G129" s="303" t="str">
        <f>IFERROR(__xludf.DUMMYFUNCTION("if(ISBLANK(A129),"""",GOOGLEFINANCE(A129,""LOW52""))"),"")</f>
        <v/>
      </c>
      <c r="H129" s="304" t="str">
        <f>IFERROR(__xludf.DUMMYFUNCTION("if(ISBLANK(A129),"""",GOOGLEFINANCE(A129,""Price""))"),"")</f>
        <v/>
      </c>
      <c r="I129" s="305" t="str">
        <f t="shared" si="1"/>
        <v/>
      </c>
      <c r="J129" s="306" t="str">
        <f t="shared" si="2"/>
        <v/>
      </c>
      <c r="K129" s="307" t="str">
        <f>IFERROR(__xludf.DUMMYFUNCTION("if(ISBLANK(A129),"""",googlefinance(A129,""Marketcap"")/10000000)"),"")</f>
        <v/>
      </c>
      <c r="L129" s="309" t="str">
        <f t="shared" si="3"/>
        <v/>
      </c>
      <c r="M129" s="308" t="str">
        <f t="shared" si="4"/>
        <v/>
      </c>
      <c r="N129" s="309" t="str">
        <f t="shared" si="5"/>
        <v/>
      </c>
      <c r="O129" s="322" t="str">
        <f t="shared" si="6"/>
        <v/>
      </c>
      <c r="P129" s="308" t="str">
        <f t="shared" si="7"/>
        <v/>
      </c>
      <c r="Q129" s="311" t="str">
        <f t="shared" si="8"/>
        <v/>
      </c>
      <c r="R129" s="309" t="str">
        <f t="shared" si="9"/>
        <v/>
      </c>
      <c r="S129" s="308" t="str">
        <f t="shared" si="10"/>
        <v/>
      </c>
      <c r="T129" s="309" t="str">
        <f t="shared" si="11"/>
        <v/>
      </c>
      <c r="U129" s="309" t="str">
        <f t="shared" si="12"/>
        <v/>
      </c>
      <c r="V129" s="308" t="str">
        <f t="shared" si="13"/>
        <v/>
      </c>
      <c r="W129" s="309" t="str">
        <f t="shared" si="14"/>
        <v/>
      </c>
      <c r="X129" s="309" t="str">
        <f t="shared" si="15"/>
        <v/>
      </c>
      <c r="Y129" s="308" t="str">
        <f t="shared" si="16"/>
        <v/>
      </c>
      <c r="Z129" s="309" t="str">
        <f t="shared" si="17"/>
        <v/>
      </c>
      <c r="AA129" s="312" t="str">
        <f t="shared" si="18"/>
        <v/>
      </c>
      <c r="AB129" s="308" t="str">
        <f t="shared" si="19"/>
        <v/>
      </c>
      <c r="AC129" s="308" t="str">
        <f t="shared" si="20"/>
        <v/>
      </c>
      <c r="AD129" s="312" t="str">
        <f t="shared" si="21"/>
        <v/>
      </c>
      <c r="AE129" s="308" t="str">
        <f t="shared" si="22"/>
        <v/>
      </c>
      <c r="AF129" s="313" t="str">
        <f t="shared" si="23"/>
        <v/>
      </c>
      <c r="AG129" s="304" t="str">
        <f t="shared" si="24"/>
        <v/>
      </c>
      <c r="AH129" s="308" t="str">
        <f t="shared" si="25"/>
        <v/>
      </c>
      <c r="AI129" s="313" t="str">
        <f t="shared" si="26"/>
        <v/>
      </c>
      <c r="AJ129" s="304" t="str">
        <f t="shared" si="27"/>
        <v/>
      </c>
      <c r="AK129" s="308" t="str">
        <f t="shared" si="28"/>
        <v/>
      </c>
      <c r="AL129" s="308" t="str">
        <f t="shared" si="29"/>
        <v/>
      </c>
      <c r="AM129" s="304" t="str">
        <f t="shared" si="30"/>
        <v/>
      </c>
      <c r="AN129" s="308" t="str">
        <f t="shared" si="31"/>
        <v/>
      </c>
      <c r="AO129" s="313" t="str">
        <f t="shared" si="32"/>
        <v/>
      </c>
      <c r="AP129" s="304" t="str">
        <f t="shared" si="33"/>
        <v/>
      </c>
      <c r="AQ129" s="308" t="str">
        <f t="shared" si="34"/>
        <v/>
      </c>
      <c r="AR129" s="313" t="str">
        <f t="shared" si="35"/>
        <v/>
      </c>
      <c r="AS129" s="304" t="str">
        <f t="shared" si="36"/>
        <v/>
      </c>
      <c r="AT129" s="308" t="str">
        <f t="shared" si="37"/>
        <v/>
      </c>
      <c r="AU129" s="308" t="str">
        <f t="shared" si="38"/>
        <v/>
      </c>
      <c r="AV129" s="304" t="str">
        <f t="shared" si="39"/>
        <v/>
      </c>
      <c r="AW129" s="308" t="str">
        <f t="shared" si="40"/>
        <v/>
      </c>
      <c r="AX129" s="308" t="str">
        <f t="shared" si="41"/>
        <v/>
      </c>
      <c r="AY129" s="304" t="str">
        <f t="shared" si="42"/>
        <v/>
      </c>
      <c r="AZ129" s="308" t="str">
        <f t="shared" si="43"/>
        <v/>
      </c>
      <c r="BA129" s="313" t="str">
        <f t="shared" si="44"/>
        <v/>
      </c>
      <c r="BB129" s="304" t="str">
        <f t="shared" si="45"/>
        <v/>
      </c>
      <c r="BC129" s="308" t="str">
        <f t="shared" si="46"/>
        <v/>
      </c>
      <c r="BD129" s="308" t="str">
        <f t="shared" si="47"/>
        <v/>
      </c>
    </row>
    <row r="130">
      <c r="A130" s="299"/>
      <c r="B130" s="299"/>
      <c r="C130" s="300"/>
      <c r="D130" s="301" t="str">
        <f>IFERROR(__xludf.DUMMYFUNCTION("if(ISBLANK(A130),"""",GOOGLEFINANCE(A130,""NAME""))"),"")</f>
        <v/>
      </c>
      <c r="E130" s="302">
        <v>5000.0</v>
      </c>
      <c r="F130" s="303" t="str">
        <f>IFERROR(__xludf.DUMMYFUNCTION("if(ISBLANK(A130),"""",GOOGLEFINANCE(A130,""HIGH52""))"),"")</f>
        <v/>
      </c>
      <c r="G130" s="303" t="str">
        <f>IFERROR(__xludf.DUMMYFUNCTION("if(ISBLANK(A130),"""",GOOGLEFINANCE(A130,""LOW52""))"),"")</f>
        <v/>
      </c>
      <c r="H130" s="304" t="str">
        <f>IFERROR(__xludf.DUMMYFUNCTION("if(ISBLANK(A130),"""",GOOGLEFINANCE(A130,""Price""))"),"")</f>
        <v/>
      </c>
      <c r="I130" s="305" t="str">
        <f t="shared" si="1"/>
        <v/>
      </c>
      <c r="J130" s="306" t="str">
        <f t="shared" si="2"/>
        <v/>
      </c>
      <c r="K130" s="307" t="str">
        <f>IFERROR(__xludf.DUMMYFUNCTION("if(ISBLANK(A130),"""",googlefinance(A130,""Marketcap"")/10000000)"),"")</f>
        <v/>
      </c>
      <c r="L130" s="309" t="str">
        <f t="shared" si="3"/>
        <v/>
      </c>
      <c r="M130" s="308" t="str">
        <f t="shared" si="4"/>
        <v/>
      </c>
      <c r="N130" s="309" t="str">
        <f t="shared" si="5"/>
        <v/>
      </c>
      <c r="O130" s="322" t="str">
        <f t="shared" si="6"/>
        <v/>
      </c>
      <c r="P130" s="308" t="str">
        <f t="shared" si="7"/>
        <v/>
      </c>
      <c r="Q130" s="311" t="str">
        <f t="shared" si="8"/>
        <v/>
      </c>
      <c r="R130" s="309" t="str">
        <f t="shared" si="9"/>
        <v/>
      </c>
      <c r="S130" s="308" t="str">
        <f t="shared" si="10"/>
        <v/>
      </c>
      <c r="T130" s="309" t="str">
        <f t="shared" si="11"/>
        <v/>
      </c>
      <c r="U130" s="309" t="str">
        <f t="shared" si="12"/>
        <v/>
      </c>
      <c r="V130" s="308" t="str">
        <f t="shared" si="13"/>
        <v/>
      </c>
      <c r="W130" s="309" t="str">
        <f t="shared" si="14"/>
        <v/>
      </c>
      <c r="X130" s="309" t="str">
        <f t="shared" si="15"/>
        <v/>
      </c>
      <c r="Y130" s="308" t="str">
        <f t="shared" si="16"/>
        <v/>
      </c>
      <c r="Z130" s="309" t="str">
        <f t="shared" si="17"/>
        <v/>
      </c>
      <c r="AA130" s="312" t="str">
        <f t="shared" si="18"/>
        <v/>
      </c>
      <c r="AB130" s="308" t="str">
        <f t="shared" si="19"/>
        <v/>
      </c>
      <c r="AC130" s="308" t="str">
        <f t="shared" si="20"/>
        <v/>
      </c>
      <c r="AD130" s="312" t="str">
        <f t="shared" si="21"/>
        <v/>
      </c>
      <c r="AE130" s="308" t="str">
        <f t="shared" si="22"/>
        <v/>
      </c>
      <c r="AF130" s="313" t="str">
        <f t="shared" si="23"/>
        <v/>
      </c>
      <c r="AG130" s="304" t="str">
        <f t="shared" si="24"/>
        <v/>
      </c>
      <c r="AH130" s="308" t="str">
        <f t="shared" si="25"/>
        <v/>
      </c>
      <c r="AI130" s="313" t="str">
        <f t="shared" si="26"/>
        <v/>
      </c>
      <c r="AJ130" s="304" t="str">
        <f t="shared" si="27"/>
        <v/>
      </c>
      <c r="AK130" s="308" t="str">
        <f t="shared" si="28"/>
        <v/>
      </c>
      <c r="AL130" s="308" t="str">
        <f t="shared" si="29"/>
        <v/>
      </c>
      <c r="AM130" s="304" t="str">
        <f t="shared" si="30"/>
        <v/>
      </c>
      <c r="AN130" s="308" t="str">
        <f t="shared" si="31"/>
        <v/>
      </c>
      <c r="AO130" s="313" t="str">
        <f t="shared" si="32"/>
        <v/>
      </c>
      <c r="AP130" s="304" t="str">
        <f t="shared" si="33"/>
        <v/>
      </c>
      <c r="AQ130" s="308" t="str">
        <f t="shared" si="34"/>
        <v/>
      </c>
      <c r="AR130" s="313" t="str">
        <f t="shared" si="35"/>
        <v/>
      </c>
      <c r="AS130" s="304" t="str">
        <f t="shared" si="36"/>
        <v/>
      </c>
      <c r="AT130" s="308" t="str">
        <f t="shared" si="37"/>
        <v/>
      </c>
      <c r="AU130" s="308" t="str">
        <f t="shared" si="38"/>
        <v/>
      </c>
      <c r="AV130" s="304" t="str">
        <f t="shared" si="39"/>
        <v/>
      </c>
      <c r="AW130" s="308" t="str">
        <f t="shared" si="40"/>
        <v/>
      </c>
      <c r="AX130" s="308" t="str">
        <f t="shared" si="41"/>
        <v/>
      </c>
      <c r="AY130" s="304" t="str">
        <f t="shared" si="42"/>
        <v/>
      </c>
      <c r="AZ130" s="308" t="str">
        <f t="shared" si="43"/>
        <v/>
      </c>
      <c r="BA130" s="313" t="str">
        <f t="shared" si="44"/>
        <v/>
      </c>
      <c r="BB130" s="304" t="str">
        <f t="shared" si="45"/>
        <v/>
      </c>
      <c r="BC130" s="308" t="str">
        <f t="shared" si="46"/>
        <v/>
      </c>
      <c r="BD130" s="308" t="str">
        <f t="shared" si="47"/>
        <v/>
      </c>
    </row>
    <row r="131">
      <c r="A131" s="318"/>
      <c r="B131" s="318"/>
      <c r="C131" s="319"/>
      <c r="D131" s="301" t="str">
        <f>IFERROR(__xludf.DUMMYFUNCTION("if(ISBLANK(A131),"""",GOOGLEFINANCE(A131,""NAME""))"),"")</f>
        <v/>
      </c>
      <c r="E131" s="302">
        <v>5000.0</v>
      </c>
      <c r="F131" s="303" t="str">
        <f>IFERROR(__xludf.DUMMYFUNCTION("if(ISBLANK(A131),"""",GOOGLEFINANCE(A131,""HIGH52""))"),"")</f>
        <v/>
      </c>
      <c r="G131" s="303" t="str">
        <f>IFERROR(__xludf.DUMMYFUNCTION("if(ISBLANK(A131),"""",GOOGLEFINANCE(A131,""LOW52""))"),"")</f>
        <v/>
      </c>
      <c r="H131" s="304" t="str">
        <f>IFERROR(__xludf.DUMMYFUNCTION("if(ISBLANK(A131),"""",GOOGLEFINANCE(A131,""Price""))"),"")</f>
        <v/>
      </c>
      <c r="I131" s="305" t="str">
        <f t="shared" si="1"/>
        <v/>
      </c>
      <c r="J131" s="306" t="str">
        <f t="shared" si="2"/>
        <v/>
      </c>
      <c r="K131" s="307" t="str">
        <f>IFERROR(__xludf.DUMMYFUNCTION("if(ISBLANK(A131),"""",googlefinance(A131,""Marketcap"")/10000000)"),"")</f>
        <v/>
      </c>
      <c r="L131" s="309" t="str">
        <f t="shared" si="3"/>
        <v/>
      </c>
      <c r="M131" s="308" t="str">
        <f t="shared" si="4"/>
        <v/>
      </c>
      <c r="N131" s="309" t="str">
        <f t="shared" si="5"/>
        <v/>
      </c>
      <c r="O131" s="322" t="str">
        <f t="shared" si="6"/>
        <v/>
      </c>
      <c r="P131" s="308" t="str">
        <f t="shared" si="7"/>
        <v/>
      </c>
      <c r="Q131" s="311" t="str">
        <f t="shared" si="8"/>
        <v/>
      </c>
      <c r="R131" s="309" t="str">
        <f t="shared" si="9"/>
        <v/>
      </c>
      <c r="S131" s="308" t="str">
        <f t="shared" si="10"/>
        <v/>
      </c>
      <c r="T131" s="309" t="str">
        <f t="shared" si="11"/>
        <v/>
      </c>
      <c r="U131" s="309" t="str">
        <f t="shared" si="12"/>
        <v/>
      </c>
      <c r="V131" s="308" t="str">
        <f t="shared" si="13"/>
        <v/>
      </c>
      <c r="W131" s="309" t="str">
        <f t="shared" si="14"/>
        <v/>
      </c>
      <c r="X131" s="309" t="str">
        <f t="shared" si="15"/>
        <v/>
      </c>
      <c r="Y131" s="308" t="str">
        <f t="shared" si="16"/>
        <v/>
      </c>
      <c r="Z131" s="309" t="str">
        <f t="shared" si="17"/>
        <v/>
      </c>
      <c r="AA131" s="312" t="str">
        <f t="shared" si="18"/>
        <v/>
      </c>
      <c r="AB131" s="308" t="str">
        <f t="shared" si="19"/>
        <v/>
      </c>
      <c r="AC131" s="308" t="str">
        <f t="shared" si="20"/>
        <v/>
      </c>
      <c r="AD131" s="312" t="str">
        <f t="shared" si="21"/>
        <v/>
      </c>
      <c r="AE131" s="308" t="str">
        <f t="shared" si="22"/>
        <v/>
      </c>
      <c r="AF131" s="313" t="str">
        <f t="shared" si="23"/>
        <v/>
      </c>
      <c r="AG131" s="304" t="str">
        <f t="shared" si="24"/>
        <v/>
      </c>
      <c r="AH131" s="308" t="str">
        <f t="shared" si="25"/>
        <v/>
      </c>
      <c r="AI131" s="313" t="str">
        <f t="shared" si="26"/>
        <v/>
      </c>
      <c r="AJ131" s="304" t="str">
        <f t="shared" si="27"/>
        <v/>
      </c>
      <c r="AK131" s="308" t="str">
        <f t="shared" si="28"/>
        <v/>
      </c>
      <c r="AL131" s="308" t="str">
        <f t="shared" si="29"/>
        <v/>
      </c>
      <c r="AM131" s="304" t="str">
        <f t="shared" si="30"/>
        <v/>
      </c>
      <c r="AN131" s="308" t="str">
        <f t="shared" si="31"/>
        <v/>
      </c>
      <c r="AO131" s="313" t="str">
        <f t="shared" si="32"/>
        <v/>
      </c>
      <c r="AP131" s="304" t="str">
        <f t="shared" si="33"/>
        <v/>
      </c>
      <c r="AQ131" s="308" t="str">
        <f t="shared" si="34"/>
        <v/>
      </c>
      <c r="AR131" s="313" t="str">
        <f t="shared" si="35"/>
        <v/>
      </c>
      <c r="AS131" s="304" t="str">
        <f t="shared" si="36"/>
        <v/>
      </c>
      <c r="AT131" s="308" t="str">
        <f t="shared" si="37"/>
        <v/>
      </c>
      <c r="AU131" s="308" t="str">
        <f t="shared" si="38"/>
        <v/>
      </c>
      <c r="AV131" s="304" t="str">
        <f t="shared" si="39"/>
        <v/>
      </c>
      <c r="AW131" s="308" t="str">
        <f t="shared" si="40"/>
        <v/>
      </c>
      <c r="AX131" s="308" t="str">
        <f t="shared" si="41"/>
        <v/>
      </c>
      <c r="AY131" s="304" t="str">
        <f t="shared" si="42"/>
        <v/>
      </c>
      <c r="AZ131" s="308" t="str">
        <f t="shared" si="43"/>
        <v/>
      </c>
      <c r="BA131" s="313" t="str">
        <f t="shared" si="44"/>
        <v/>
      </c>
      <c r="BB131" s="304" t="str">
        <f t="shared" si="45"/>
        <v/>
      </c>
      <c r="BC131" s="308" t="str">
        <f t="shared" si="46"/>
        <v/>
      </c>
      <c r="BD131" s="308" t="str">
        <f t="shared" si="47"/>
        <v/>
      </c>
    </row>
    <row r="132">
      <c r="A132" s="318"/>
      <c r="B132" s="318"/>
      <c r="C132" s="319"/>
      <c r="D132" s="301" t="str">
        <f>IFERROR(__xludf.DUMMYFUNCTION("if(ISBLANK(A132),"""",GOOGLEFINANCE(A132,""NAME""))"),"")</f>
        <v/>
      </c>
      <c r="E132" s="302">
        <v>5000.0</v>
      </c>
      <c r="F132" s="303" t="str">
        <f>IFERROR(__xludf.DUMMYFUNCTION("if(ISBLANK(A132),"""",GOOGLEFINANCE(A132,""HIGH52""))"),"")</f>
        <v/>
      </c>
      <c r="G132" s="303" t="str">
        <f>IFERROR(__xludf.DUMMYFUNCTION("if(ISBLANK(A132),"""",GOOGLEFINANCE(A132,""LOW52""))"),"")</f>
        <v/>
      </c>
      <c r="H132" s="304" t="str">
        <f>IFERROR(__xludf.DUMMYFUNCTION("if(ISBLANK(A132),"""",GOOGLEFINANCE(A132,""Price""))"),"")</f>
        <v/>
      </c>
      <c r="I132" s="305" t="str">
        <f t="shared" si="1"/>
        <v/>
      </c>
      <c r="J132" s="306" t="str">
        <f t="shared" si="2"/>
        <v/>
      </c>
      <c r="K132" s="307" t="str">
        <f>IFERROR(__xludf.DUMMYFUNCTION("if(ISBLANK(A132),"""",googlefinance(A132,""Marketcap"")/10000000)"),"")</f>
        <v/>
      </c>
      <c r="L132" s="309" t="str">
        <f t="shared" si="3"/>
        <v/>
      </c>
      <c r="M132" s="308" t="str">
        <f t="shared" si="4"/>
        <v/>
      </c>
      <c r="N132" s="309" t="str">
        <f t="shared" si="5"/>
        <v/>
      </c>
      <c r="O132" s="322" t="str">
        <f t="shared" si="6"/>
        <v/>
      </c>
      <c r="P132" s="308" t="str">
        <f t="shared" si="7"/>
        <v/>
      </c>
      <c r="Q132" s="311" t="str">
        <f t="shared" si="8"/>
        <v/>
      </c>
      <c r="R132" s="309" t="str">
        <f t="shared" si="9"/>
        <v/>
      </c>
      <c r="S132" s="308" t="str">
        <f t="shared" si="10"/>
        <v/>
      </c>
      <c r="T132" s="309" t="str">
        <f t="shared" si="11"/>
        <v/>
      </c>
      <c r="U132" s="309" t="str">
        <f t="shared" si="12"/>
        <v/>
      </c>
      <c r="V132" s="308" t="str">
        <f t="shared" si="13"/>
        <v/>
      </c>
      <c r="W132" s="309" t="str">
        <f t="shared" si="14"/>
        <v/>
      </c>
      <c r="X132" s="309" t="str">
        <f t="shared" si="15"/>
        <v/>
      </c>
      <c r="Y132" s="308" t="str">
        <f t="shared" si="16"/>
        <v/>
      </c>
      <c r="Z132" s="309" t="str">
        <f t="shared" si="17"/>
        <v/>
      </c>
      <c r="AA132" s="312" t="str">
        <f t="shared" si="18"/>
        <v/>
      </c>
      <c r="AB132" s="308" t="str">
        <f t="shared" si="19"/>
        <v/>
      </c>
      <c r="AC132" s="308" t="str">
        <f t="shared" si="20"/>
        <v/>
      </c>
      <c r="AD132" s="312" t="str">
        <f t="shared" si="21"/>
        <v/>
      </c>
      <c r="AE132" s="308" t="str">
        <f t="shared" si="22"/>
        <v/>
      </c>
      <c r="AF132" s="313" t="str">
        <f t="shared" si="23"/>
        <v/>
      </c>
      <c r="AG132" s="304" t="str">
        <f t="shared" si="24"/>
        <v/>
      </c>
      <c r="AH132" s="308" t="str">
        <f t="shared" si="25"/>
        <v/>
      </c>
      <c r="AI132" s="313" t="str">
        <f t="shared" si="26"/>
        <v/>
      </c>
      <c r="AJ132" s="304" t="str">
        <f t="shared" si="27"/>
        <v/>
      </c>
      <c r="AK132" s="308" t="str">
        <f t="shared" si="28"/>
        <v/>
      </c>
      <c r="AL132" s="308" t="str">
        <f t="shared" si="29"/>
        <v/>
      </c>
      <c r="AM132" s="304" t="str">
        <f t="shared" si="30"/>
        <v/>
      </c>
      <c r="AN132" s="308" t="str">
        <f t="shared" si="31"/>
        <v/>
      </c>
      <c r="AO132" s="313" t="str">
        <f t="shared" si="32"/>
        <v/>
      </c>
      <c r="AP132" s="304" t="str">
        <f t="shared" si="33"/>
        <v/>
      </c>
      <c r="AQ132" s="308" t="str">
        <f t="shared" si="34"/>
        <v/>
      </c>
      <c r="AR132" s="313" t="str">
        <f t="shared" si="35"/>
        <v/>
      </c>
      <c r="AS132" s="304" t="str">
        <f t="shared" si="36"/>
        <v/>
      </c>
      <c r="AT132" s="308" t="str">
        <f t="shared" si="37"/>
        <v/>
      </c>
      <c r="AU132" s="308" t="str">
        <f t="shared" si="38"/>
        <v/>
      </c>
      <c r="AV132" s="304" t="str">
        <f t="shared" si="39"/>
        <v/>
      </c>
      <c r="AW132" s="308" t="str">
        <f t="shared" si="40"/>
        <v/>
      </c>
      <c r="AX132" s="308" t="str">
        <f t="shared" si="41"/>
        <v/>
      </c>
      <c r="AY132" s="304" t="str">
        <f t="shared" si="42"/>
        <v/>
      </c>
      <c r="AZ132" s="308" t="str">
        <f t="shared" si="43"/>
        <v/>
      </c>
      <c r="BA132" s="313" t="str">
        <f t="shared" si="44"/>
        <v/>
      </c>
      <c r="BB132" s="304" t="str">
        <f t="shared" si="45"/>
        <v/>
      </c>
      <c r="BC132" s="308" t="str">
        <f t="shared" si="46"/>
        <v/>
      </c>
      <c r="BD132" s="308" t="str">
        <f t="shared" si="47"/>
        <v/>
      </c>
    </row>
    <row r="133">
      <c r="A133" s="318"/>
      <c r="B133" s="318"/>
      <c r="C133" s="319"/>
      <c r="D133" s="301" t="str">
        <f>IFERROR(__xludf.DUMMYFUNCTION("if(ISBLANK(A133),"""",GOOGLEFINANCE(A133,""NAME""))"),"")</f>
        <v/>
      </c>
      <c r="E133" s="302">
        <v>5000.0</v>
      </c>
      <c r="F133" s="303" t="str">
        <f>IFERROR(__xludf.DUMMYFUNCTION("if(ISBLANK(A133),"""",GOOGLEFINANCE(A133,""HIGH52""))"),"")</f>
        <v/>
      </c>
      <c r="G133" s="303" t="str">
        <f>IFERROR(__xludf.DUMMYFUNCTION("if(ISBLANK(A133),"""",GOOGLEFINANCE(A133,""LOW52""))"),"")</f>
        <v/>
      </c>
      <c r="H133" s="304" t="str">
        <f>IFERROR(__xludf.DUMMYFUNCTION("if(ISBLANK(A133),"""",GOOGLEFINANCE(A133,""Price""))"),"")</f>
        <v/>
      </c>
      <c r="I133" s="305" t="str">
        <f t="shared" si="1"/>
        <v/>
      </c>
      <c r="J133" s="306" t="str">
        <f t="shared" si="2"/>
        <v/>
      </c>
      <c r="K133" s="307" t="str">
        <f>IFERROR(__xludf.DUMMYFUNCTION("if(ISBLANK(A133),"""",googlefinance(A133,""Marketcap"")/10000000)"),"")</f>
        <v/>
      </c>
      <c r="L133" s="309" t="str">
        <f t="shared" si="3"/>
        <v/>
      </c>
      <c r="M133" s="308" t="str">
        <f t="shared" si="4"/>
        <v/>
      </c>
      <c r="N133" s="309" t="str">
        <f t="shared" si="5"/>
        <v/>
      </c>
      <c r="O133" s="322" t="str">
        <f t="shared" si="6"/>
        <v/>
      </c>
      <c r="P133" s="308" t="str">
        <f t="shared" si="7"/>
        <v/>
      </c>
      <c r="Q133" s="311" t="str">
        <f t="shared" si="8"/>
        <v/>
      </c>
      <c r="R133" s="309" t="str">
        <f t="shared" si="9"/>
        <v/>
      </c>
      <c r="S133" s="308" t="str">
        <f t="shared" si="10"/>
        <v/>
      </c>
      <c r="T133" s="309" t="str">
        <f t="shared" si="11"/>
        <v/>
      </c>
      <c r="U133" s="309" t="str">
        <f t="shared" si="12"/>
        <v/>
      </c>
      <c r="V133" s="308" t="str">
        <f t="shared" si="13"/>
        <v/>
      </c>
      <c r="W133" s="309" t="str">
        <f t="shared" si="14"/>
        <v/>
      </c>
      <c r="X133" s="309" t="str">
        <f t="shared" si="15"/>
        <v/>
      </c>
      <c r="Y133" s="308" t="str">
        <f t="shared" si="16"/>
        <v/>
      </c>
      <c r="Z133" s="309" t="str">
        <f t="shared" si="17"/>
        <v/>
      </c>
      <c r="AA133" s="312" t="str">
        <f t="shared" si="18"/>
        <v/>
      </c>
      <c r="AB133" s="308" t="str">
        <f t="shared" si="19"/>
        <v/>
      </c>
      <c r="AC133" s="308" t="str">
        <f t="shared" si="20"/>
        <v/>
      </c>
      <c r="AD133" s="312" t="str">
        <f t="shared" si="21"/>
        <v/>
      </c>
      <c r="AE133" s="308" t="str">
        <f t="shared" si="22"/>
        <v/>
      </c>
      <c r="AF133" s="313" t="str">
        <f t="shared" si="23"/>
        <v/>
      </c>
      <c r="AG133" s="304" t="str">
        <f t="shared" si="24"/>
        <v/>
      </c>
      <c r="AH133" s="308" t="str">
        <f t="shared" si="25"/>
        <v/>
      </c>
      <c r="AI133" s="313" t="str">
        <f t="shared" si="26"/>
        <v/>
      </c>
      <c r="AJ133" s="304" t="str">
        <f t="shared" si="27"/>
        <v/>
      </c>
      <c r="AK133" s="308" t="str">
        <f t="shared" si="28"/>
        <v/>
      </c>
      <c r="AL133" s="308" t="str">
        <f t="shared" si="29"/>
        <v/>
      </c>
      <c r="AM133" s="304" t="str">
        <f t="shared" si="30"/>
        <v/>
      </c>
      <c r="AN133" s="308" t="str">
        <f t="shared" si="31"/>
        <v/>
      </c>
      <c r="AO133" s="313" t="str">
        <f t="shared" si="32"/>
        <v/>
      </c>
      <c r="AP133" s="304" t="str">
        <f t="shared" si="33"/>
        <v/>
      </c>
      <c r="AQ133" s="308" t="str">
        <f t="shared" si="34"/>
        <v/>
      </c>
      <c r="AR133" s="313" t="str">
        <f t="shared" si="35"/>
        <v/>
      </c>
      <c r="AS133" s="304" t="str">
        <f t="shared" si="36"/>
        <v/>
      </c>
      <c r="AT133" s="308" t="str">
        <f t="shared" si="37"/>
        <v/>
      </c>
      <c r="AU133" s="308" t="str">
        <f t="shared" si="38"/>
        <v/>
      </c>
      <c r="AV133" s="304" t="str">
        <f t="shared" si="39"/>
        <v/>
      </c>
      <c r="AW133" s="308" t="str">
        <f t="shared" si="40"/>
        <v/>
      </c>
      <c r="AX133" s="308" t="str">
        <f t="shared" si="41"/>
        <v/>
      </c>
      <c r="AY133" s="304" t="str">
        <f t="shared" si="42"/>
        <v/>
      </c>
      <c r="AZ133" s="308" t="str">
        <f t="shared" si="43"/>
        <v/>
      </c>
      <c r="BA133" s="313" t="str">
        <f t="shared" si="44"/>
        <v/>
      </c>
      <c r="BB133" s="304" t="str">
        <f t="shared" si="45"/>
        <v/>
      </c>
      <c r="BC133" s="308" t="str">
        <f t="shared" si="46"/>
        <v/>
      </c>
      <c r="BD133" s="308" t="str">
        <f t="shared" si="47"/>
        <v/>
      </c>
    </row>
    <row r="134">
      <c r="A134" s="299"/>
      <c r="B134" s="299"/>
      <c r="C134" s="300"/>
      <c r="D134" s="301" t="str">
        <f>IFERROR(__xludf.DUMMYFUNCTION("if(ISBLANK(A134),"""",GOOGLEFINANCE(A134,""NAME""))"),"")</f>
        <v/>
      </c>
      <c r="E134" s="302">
        <v>5000.0</v>
      </c>
      <c r="F134" s="303" t="str">
        <f>IFERROR(__xludf.DUMMYFUNCTION("if(ISBLANK(A134),"""",GOOGLEFINANCE(A134,""HIGH52""))"),"")</f>
        <v/>
      </c>
      <c r="G134" s="303" t="str">
        <f>IFERROR(__xludf.DUMMYFUNCTION("if(ISBLANK(A134),"""",GOOGLEFINANCE(A134,""LOW52""))"),"")</f>
        <v/>
      </c>
      <c r="H134" s="304" t="str">
        <f>IFERROR(__xludf.DUMMYFUNCTION("if(ISBLANK(A134),"""",GOOGLEFINANCE(A134,""Price""))"),"")</f>
        <v/>
      </c>
      <c r="I134" s="305" t="str">
        <f t="shared" si="1"/>
        <v/>
      </c>
      <c r="J134" s="306" t="str">
        <f t="shared" si="2"/>
        <v/>
      </c>
      <c r="K134" s="307" t="str">
        <f>IFERROR(__xludf.DUMMYFUNCTION("if(ISBLANK(A134),"""",googlefinance(A134,""Marketcap"")/10000000)"),"")</f>
        <v/>
      </c>
      <c r="L134" s="309" t="str">
        <f t="shared" si="3"/>
        <v/>
      </c>
      <c r="M134" s="308" t="str">
        <f t="shared" si="4"/>
        <v/>
      </c>
      <c r="N134" s="309" t="str">
        <f t="shared" si="5"/>
        <v/>
      </c>
      <c r="O134" s="322" t="str">
        <f t="shared" si="6"/>
        <v/>
      </c>
      <c r="P134" s="308" t="str">
        <f t="shared" si="7"/>
        <v/>
      </c>
      <c r="Q134" s="311" t="str">
        <f t="shared" si="8"/>
        <v/>
      </c>
      <c r="R134" s="309" t="str">
        <f t="shared" si="9"/>
        <v/>
      </c>
      <c r="S134" s="308" t="str">
        <f t="shared" si="10"/>
        <v/>
      </c>
      <c r="T134" s="309" t="str">
        <f t="shared" si="11"/>
        <v/>
      </c>
      <c r="U134" s="309" t="str">
        <f t="shared" si="12"/>
        <v/>
      </c>
      <c r="V134" s="308" t="str">
        <f t="shared" si="13"/>
        <v/>
      </c>
      <c r="W134" s="309" t="str">
        <f t="shared" si="14"/>
        <v/>
      </c>
      <c r="X134" s="309" t="str">
        <f t="shared" si="15"/>
        <v/>
      </c>
      <c r="Y134" s="308" t="str">
        <f t="shared" si="16"/>
        <v/>
      </c>
      <c r="Z134" s="309" t="str">
        <f t="shared" si="17"/>
        <v/>
      </c>
      <c r="AA134" s="312" t="str">
        <f t="shared" si="18"/>
        <v/>
      </c>
      <c r="AB134" s="308" t="str">
        <f t="shared" si="19"/>
        <v/>
      </c>
      <c r="AC134" s="308" t="str">
        <f t="shared" si="20"/>
        <v/>
      </c>
      <c r="AD134" s="312" t="str">
        <f t="shared" si="21"/>
        <v/>
      </c>
      <c r="AE134" s="308" t="str">
        <f t="shared" si="22"/>
        <v/>
      </c>
      <c r="AF134" s="313" t="str">
        <f t="shared" si="23"/>
        <v/>
      </c>
      <c r="AG134" s="304" t="str">
        <f t="shared" si="24"/>
        <v/>
      </c>
      <c r="AH134" s="308" t="str">
        <f t="shared" si="25"/>
        <v/>
      </c>
      <c r="AI134" s="313" t="str">
        <f t="shared" si="26"/>
        <v/>
      </c>
      <c r="AJ134" s="304" t="str">
        <f t="shared" si="27"/>
        <v/>
      </c>
      <c r="AK134" s="308" t="str">
        <f t="shared" si="28"/>
        <v/>
      </c>
      <c r="AL134" s="308" t="str">
        <f t="shared" si="29"/>
        <v/>
      </c>
      <c r="AM134" s="304" t="str">
        <f t="shared" si="30"/>
        <v/>
      </c>
      <c r="AN134" s="308" t="str">
        <f t="shared" si="31"/>
        <v/>
      </c>
      <c r="AO134" s="313" t="str">
        <f t="shared" si="32"/>
        <v/>
      </c>
      <c r="AP134" s="304" t="str">
        <f t="shared" si="33"/>
        <v/>
      </c>
      <c r="AQ134" s="308" t="str">
        <f t="shared" si="34"/>
        <v/>
      </c>
      <c r="AR134" s="313" t="str">
        <f t="shared" si="35"/>
        <v/>
      </c>
      <c r="AS134" s="304" t="str">
        <f t="shared" si="36"/>
        <v/>
      </c>
      <c r="AT134" s="308" t="str">
        <f t="shared" si="37"/>
        <v/>
      </c>
      <c r="AU134" s="308" t="str">
        <f t="shared" si="38"/>
        <v/>
      </c>
      <c r="AV134" s="304" t="str">
        <f t="shared" si="39"/>
        <v/>
      </c>
      <c r="AW134" s="308" t="str">
        <f t="shared" si="40"/>
        <v/>
      </c>
      <c r="AX134" s="308" t="str">
        <f t="shared" si="41"/>
        <v/>
      </c>
      <c r="AY134" s="304" t="str">
        <f t="shared" si="42"/>
        <v/>
      </c>
      <c r="AZ134" s="308" t="str">
        <f t="shared" si="43"/>
        <v/>
      </c>
      <c r="BA134" s="313" t="str">
        <f t="shared" si="44"/>
        <v/>
      </c>
      <c r="BB134" s="304" t="str">
        <f t="shared" si="45"/>
        <v/>
      </c>
      <c r="BC134" s="308" t="str">
        <f t="shared" si="46"/>
        <v/>
      </c>
      <c r="BD134" s="308" t="str">
        <f t="shared" si="47"/>
        <v/>
      </c>
    </row>
    <row r="135">
      <c r="A135" s="318"/>
      <c r="B135" s="318"/>
      <c r="C135" s="319"/>
      <c r="D135" s="301" t="str">
        <f>IFERROR(__xludf.DUMMYFUNCTION("if(ISBLANK(A135),"""",GOOGLEFINANCE(A135,""NAME""))"),"")</f>
        <v/>
      </c>
      <c r="E135" s="302">
        <v>5000.0</v>
      </c>
      <c r="F135" s="303" t="str">
        <f>IFERROR(__xludf.DUMMYFUNCTION("if(ISBLANK(A135),"""",GOOGLEFINANCE(A135,""HIGH52""))"),"")</f>
        <v/>
      </c>
      <c r="G135" s="303" t="str">
        <f>IFERROR(__xludf.DUMMYFUNCTION("if(ISBLANK(A135),"""",GOOGLEFINANCE(A135,""LOW52""))"),"")</f>
        <v/>
      </c>
      <c r="H135" s="304" t="str">
        <f>IFERROR(__xludf.DUMMYFUNCTION("if(ISBLANK(A135),"""",GOOGLEFINANCE(A135,""Price""))"),"")</f>
        <v/>
      </c>
      <c r="I135" s="305" t="str">
        <f t="shared" si="1"/>
        <v/>
      </c>
      <c r="J135" s="306" t="str">
        <f t="shared" si="2"/>
        <v/>
      </c>
      <c r="K135" s="307" t="str">
        <f>IFERROR(__xludf.DUMMYFUNCTION("if(ISBLANK(A135),"""",googlefinance(A135,""Marketcap"")/10000000)"),"")</f>
        <v/>
      </c>
      <c r="L135" s="309" t="str">
        <f t="shared" si="3"/>
        <v/>
      </c>
      <c r="M135" s="308" t="str">
        <f t="shared" si="4"/>
        <v/>
      </c>
      <c r="N135" s="309" t="str">
        <f t="shared" si="5"/>
        <v/>
      </c>
      <c r="O135" s="322" t="str">
        <f t="shared" si="6"/>
        <v/>
      </c>
      <c r="P135" s="308" t="str">
        <f t="shared" si="7"/>
        <v/>
      </c>
      <c r="Q135" s="311" t="str">
        <f t="shared" si="8"/>
        <v/>
      </c>
      <c r="R135" s="309" t="str">
        <f t="shared" si="9"/>
        <v/>
      </c>
      <c r="S135" s="308" t="str">
        <f t="shared" si="10"/>
        <v/>
      </c>
      <c r="T135" s="309" t="str">
        <f t="shared" si="11"/>
        <v/>
      </c>
      <c r="U135" s="309" t="str">
        <f t="shared" si="12"/>
        <v/>
      </c>
      <c r="V135" s="308" t="str">
        <f t="shared" si="13"/>
        <v/>
      </c>
      <c r="W135" s="309" t="str">
        <f t="shared" si="14"/>
        <v/>
      </c>
      <c r="X135" s="309" t="str">
        <f t="shared" si="15"/>
        <v/>
      </c>
      <c r="Y135" s="308" t="str">
        <f t="shared" si="16"/>
        <v/>
      </c>
      <c r="Z135" s="309" t="str">
        <f t="shared" si="17"/>
        <v/>
      </c>
      <c r="AA135" s="312" t="str">
        <f t="shared" si="18"/>
        <v/>
      </c>
      <c r="AB135" s="308" t="str">
        <f t="shared" si="19"/>
        <v/>
      </c>
      <c r="AC135" s="308" t="str">
        <f t="shared" si="20"/>
        <v/>
      </c>
      <c r="AD135" s="312" t="str">
        <f t="shared" si="21"/>
        <v/>
      </c>
      <c r="AE135" s="308" t="str">
        <f t="shared" si="22"/>
        <v/>
      </c>
      <c r="AF135" s="313" t="str">
        <f t="shared" si="23"/>
        <v/>
      </c>
      <c r="AG135" s="304" t="str">
        <f t="shared" si="24"/>
        <v/>
      </c>
      <c r="AH135" s="308" t="str">
        <f t="shared" si="25"/>
        <v/>
      </c>
      <c r="AI135" s="313" t="str">
        <f t="shared" si="26"/>
        <v/>
      </c>
      <c r="AJ135" s="304" t="str">
        <f t="shared" si="27"/>
        <v/>
      </c>
      <c r="AK135" s="308" t="str">
        <f t="shared" si="28"/>
        <v/>
      </c>
      <c r="AL135" s="308" t="str">
        <f t="shared" si="29"/>
        <v/>
      </c>
      <c r="AM135" s="304" t="str">
        <f t="shared" si="30"/>
        <v/>
      </c>
      <c r="AN135" s="308" t="str">
        <f t="shared" si="31"/>
        <v/>
      </c>
      <c r="AO135" s="313" t="str">
        <f t="shared" si="32"/>
        <v/>
      </c>
      <c r="AP135" s="304" t="str">
        <f t="shared" si="33"/>
        <v/>
      </c>
      <c r="AQ135" s="308" t="str">
        <f t="shared" si="34"/>
        <v/>
      </c>
      <c r="AR135" s="313" t="str">
        <f t="shared" si="35"/>
        <v/>
      </c>
      <c r="AS135" s="304" t="str">
        <f t="shared" si="36"/>
        <v/>
      </c>
      <c r="AT135" s="308" t="str">
        <f t="shared" si="37"/>
        <v/>
      </c>
      <c r="AU135" s="308" t="str">
        <f t="shared" si="38"/>
        <v/>
      </c>
      <c r="AV135" s="304" t="str">
        <f t="shared" si="39"/>
        <v/>
      </c>
      <c r="AW135" s="308" t="str">
        <f t="shared" si="40"/>
        <v/>
      </c>
      <c r="AX135" s="308" t="str">
        <f t="shared" si="41"/>
        <v/>
      </c>
      <c r="AY135" s="304" t="str">
        <f t="shared" si="42"/>
        <v/>
      </c>
      <c r="AZ135" s="308" t="str">
        <f t="shared" si="43"/>
        <v/>
      </c>
      <c r="BA135" s="313" t="str">
        <f t="shared" si="44"/>
        <v/>
      </c>
      <c r="BB135" s="304" t="str">
        <f t="shared" si="45"/>
        <v/>
      </c>
      <c r="BC135" s="308" t="str">
        <f t="shared" si="46"/>
        <v/>
      </c>
      <c r="BD135" s="308" t="str">
        <f t="shared" si="47"/>
        <v/>
      </c>
    </row>
    <row r="136">
      <c r="A136" s="320"/>
      <c r="B136" s="320"/>
      <c r="C136" s="321"/>
      <c r="D136" s="301" t="str">
        <f>IFERROR(__xludf.DUMMYFUNCTION("if(ISBLANK(A136),"""",GOOGLEFINANCE(A136,""NAME""))"),"")</f>
        <v/>
      </c>
      <c r="E136" s="302">
        <v>5000.0</v>
      </c>
      <c r="F136" s="303" t="str">
        <f>IFERROR(__xludf.DUMMYFUNCTION("if(ISBLANK(A136),"""",GOOGLEFINANCE(A136,""HIGH52""))"),"")</f>
        <v/>
      </c>
      <c r="G136" s="303" t="str">
        <f>IFERROR(__xludf.DUMMYFUNCTION("if(ISBLANK(A136),"""",GOOGLEFINANCE(A136,""LOW52""))"),"")</f>
        <v/>
      </c>
      <c r="H136" s="304" t="str">
        <f>IFERROR(__xludf.DUMMYFUNCTION("if(ISBLANK(A136),"""",GOOGLEFINANCE(A136,""Price""))"),"")</f>
        <v/>
      </c>
      <c r="I136" s="305" t="str">
        <f t="shared" si="1"/>
        <v/>
      </c>
      <c r="J136" s="306" t="str">
        <f t="shared" si="2"/>
        <v/>
      </c>
      <c r="K136" s="307" t="str">
        <f>IFERROR(__xludf.DUMMYFUNCTION("if(ISBLANK(A136),"""",googlefinance(A136,""Marketcap"")/10000000)"),"")</f>
        <v/>
      </c>
      <c r="L136" s="309" t="str">
        <f t="shared" si="3"/>
        <v/>
      </c>
      <c r="M136" s="308" t="str">
        <f t="shared" si="4"/>
        <v/>
      </c>
      <c r="N136" s="309" t="str">
        <f t="shared" si="5"/>
        <v/>
      </c>
      <c r="O136" s="322" t="str">
        <f t="shared" si="6"/>
        <v/>
      </c>
      <c r="P136" s="308" t="str">
        <f t="shared" si="7"/>
        <v/>
      </c>
      <c r="Q136" s="311" t="str">
        <f t="shared" si="8"/>
        <v/>
      </c>
      <c r="R136" s="309" t="str">
        <f t="shared" si="9"/>
        <v/>
      </c>
      <c r="S136" s="308" t="str">
        <f t="shared" si="10"/>
        <v/>
      </c>
      <c r="T136" s="309" t="str">
        <f t="shared" si="11"/>
        <v/>
      </c>
      <c r="U136" s="309" t="str">
        <f t="shared" si="12"/>
        <v/>
      </c>
      <c r="V136" s="308" t="str">
        <f t="shared" si="13"/>
        <v/>
      </c>
      <c r="W136" s="309" t="str">
        <f t="shared" si="14"/>
        <v/>
      </c>
      <c r="X136" s="309" t="str">
        <f t="shared" si="15"/>
        <v/>
      </c>
      <c r="Y136" s="308" t="str">
        <f t="shared" si="16"/>
        <v/>
      </c>
      <c r="Z136" s="309" t="str">
        <f t="shared" si="17"/>
        <v/>
      </c>
      <c r="AA136" s="312" t="str">
        <f t="shared" si="18"/>
        <v/>
      </c>
      <c r="AB136" s="308" t="str">
        <f t="shared" si="19"/>
        <v/>
      </c>
      <c r="AC136" s="308" t="str">
        <f t="shared" si="20"/>
        <v/>
      </c>
      <c r="AD136" s="312" t="str">
        <f t="shared" si="21"/>
        <v/>
      </c>
      <c r="AE136" s="308" t="str">
        <f t="shared" si="22"/>
        <v/>
      </c>
      <c r="AF136" s="313" t="str">
        <f t="shared" si="23"/>
        <v/>
      </c>
      <c r="AG136" s="304" t="str">
        <f t="shared" si="24"/>
        <v/>
      </c>
      <c r="AH136" s="308" t="str">
        <f t="shared" si="25"/>
        <v/>
      </c>
      <c r="AI136" s="313" t="str">
        <f t="shared" si="26"/>
        <v/>
      </c>
      <c r="AJ136" s="304" t="str">
        <f t="shared" si="27"/>
        <v/>
      </c>
      <c r="AK136" s="308" t="str">
        <f t="shared" si="28"/>
        <v/>
      </c>
      <c r="AL136" s="308" t="str">
        <f t="shared" si="29"/>
        <v/>
      </c>
      <c r="AM136" s="304" t="str">
        <f t="shared" si="30"/>
        <v/>
      </c>
      <c r="AN136" s="308" t="str">
        <f t="shared" si="31"/>
        <v/>
      </c>
      <c r="AO136" s="313" t="str">
        <f t="shared" si="32"/>
        <v/>
      </c>
      <c r="AP136" s="304" t="str">
        <f t="shared" si="33"/>
        <v/>
      </c>
      <c r="AQ136" s="308" t="str">
        <f t="shared" si="34"/>
        <v/>
      </c>
      <c r="AR136" s="313" t="str">
        <f t="shared" si="35"/>
        <v/>
      </c>
      <c r="AS136" s="304" t="str">
        <f t="shared" si="36"/>
        <v/>
      </c>
      <c r="AT136" s="308" t="str">
        <f t="shared" si="37"/>
        <v/>
      </c>
      <c r="AU136" s="308" t="str">
        <f t="shared" si="38"/>
        <v/>
      </c>
      <c r="AV136" s="304" t="str">
        <f t="shared" si="39"/>
        <v/>
      </c>
      <c r="AW136" s="308" t="str">
        <f t="shared" si="40"/>
        <v/>
      </c>
      <c r="AX136" s="308" t="str">
        <f t="shared" si="41"/>
        <v/>
      </c>
      <c r="AY136" s="304" t="str">
        <f t="shared" si="42"/>
        <v/>
      </c>
      <c r="AZ136" s="308" t="str">
        <f t="shared" si="43"/>
        <v/>
      </c>
      <c r="BA136" s="313" t="str">
        <f t="shared" si="44"/>
        <v/>
      </c>
      <c r="BB136" s="304" t="str">
        <f t="shared" si="45"/>
        <v/>
      </c>
      <c r="BC136" s="308" t="str">
        <f t="shared" si="46"/>
        <v/>
      </c>
      <c r="BD136" s="308" t="str">
        <f t="shared" si="47"/>
        <v/>
      </c>
    </row>
    <row r="137">
      <c r="A137" s="320"/>
      <c r="B137" s="320"/>
      <c r="C137" s="321"/>
      <c r="D137" s="301" t="str">
        <f>IFERROR(__xludf.DUMMYFUNCTION("if(ISBLANK(A137),"""",GOOGLEFINANCE(A137,""NAME""))"),"")</f>
        <v/>
      </c>
      <c r="E137" s="302">
        <v>5000.0</v>
      </c>
      <c r="F137" s="303" t="str">
        <f>IFERROR(__xludf.DUMMYFUNCTION("if(ISBLANK(A137),"""",GOOGLEFINANCE(A137,""HIGH52""))"),"")</f>
        <v/>
      </c>
      <c r="G137" s="303" t="str">
        <f>IFERROR(__xludf.DUMMYFUNCTION("if(ISBLANK(A137),"""",GOOGLEFINANCE(A137,""LOW52""))"),"")</f>
        <v/>
      </c>
      <c r="H137" s="304" t="str">
        <f>IFERROR(__xludf.DUMMYFUNCTION("if(ISBLANK(A137),"""",GOOGLEFINANCE(A137,""Price""))"),"")</f>
        <v/>
      </c>
      <c r="I137" s="305" t="str">
        <f t="shared" si="1"/>
        <v/>
      </c>
      <c r="J137" s="306" t="str">
        <f t="shared" si="2"/>
        <v/>
      </c>
      <c r="K137" s="307" t="str">
        <f>IFERROR(__xludf.DUMMYFUNCTION("if(ISBLANK(A137),"""",googlefinance(A137,""Marketcap"")/10000000)"),"")</f>
        <v/>
      </c>
      <c r="L137" s="309" t="str">
        <f t="shared" si="3"/>
        <v/>
      </c>
      <c r="M137" s="308" t="str">
        <f t="shared" si="4"/>
        <v/>
      </c>
      <c r="N137" s="309" t="str">
        <f t="shared" si="5"/>
        <v/>
      </c>
      <c r="O137" s="322" t="str">
        <f t="shared" si="6"/>
        <v/>
      </c>
      <c r="P137" s="308" t="str">
        <f t="shared" si="7"/>
        <v/>
      </c>
      <c r="Q137" s="311" t="str">
        <f t="shared" si="8"/>
        <v/>
      </c>
      <c r="R137" s="309" t="str">
        <f t="shared" si="9"/>
        <v/>
      </c>
      <c r="S137" s="308" t="str">
        <f t="shared" si="10"/>
        <v/>
      </c>
      <c r="T137" s="309" t="str">
        <f t="shared" si="11"/>
        <v/>
      </c>
      <c r="U137" s="309" t="str">
        <f t="shared" si="12"/>
        <v/>
      </c>
      <c r="V137" s="308" t="str">
        <f t="shared" si="13"/>
        <v/>
      </c>
      <c r="W137" s="309" t="str">
        <f t="shared" si="14"/>
        <v/>
      </c>
      <c r="X137" s="309" t="str">
        <f t="shared" si="15"/>
        <v/>
      </c>
      <c r="Y137" s="308" t="str">
        <f t="shared" si="16"/>
        <v/>
      </c>
      <c r="Z137" s="309" t="str">
        <f t="shared" si="17"/>
        <v/>
      </c>
      <c r="AA137" s="312" t="str">
        <f t="shared" si="18"/>
        <v/>
      </c>
      <c r="AB137" s="308" t="str">
        <f t="shared" si="19"/>
        <v/>
      </c>
      <c r="AC137" s="308" t="str">
        <f t="shared" si="20"/>
        <v/>
      </c>
      <c r="AD137" s="312" t="str">
        <f t="shared" si="21"/>
        <v/>
      </c>
      <c r="AE137" s="308" t="str">
        <f t="shared" si="22"/>
        <v/>
      </c>
      <c r="AF137" s="313" t="str">
        <f t="shared" si="23"/>
        <v/>
      </c>
      <c r="AG137" s="304" t="str">
        <f t="shared" si="24"/>
        <v/>
      </c>
      <c r="AH137" s="308" t="str">
        <f t="shared" si="25"/>
        <v/>
      </c>
      <c r="AI137" s="313" t="str">
        <f t="shared" si="26"/>
        <v/>
      </c>
      <c r="AJ137" s="304" t="str">
        <f t="shared" si="27"/>
        <v/>
      </c>
      <c r="AK137" s="308" t="str">
        <f t="shared" si="28"/>
        <v/>
      </c>
      <c r="AL137" s="308" t="str">
        <f t="shared" si="29"/>
        <v/>
      </c>
      <c r="AM137" s="304" t="str">
        <f t="shared" si="30"/>
        <v/>
      </c>
      <c r="AN137" s="308" t="str">
        <f t="shared" si="31"/>
        <v/>
      </c>
      <c r="AO137" s="313" t="str">
        <f t="shared" si="32"/>
        <v/>
      </c>
      <c r="AP137" s="304" t="str">
        <f t="shared" si="33"/>
        <v/>
      </c>
      <c r="AQ137" s="308" t="str">
        <f t="shared" si="34"/>
        <v/>
      </c>
      <c r="AR137" s="313" t="str">
        <f t="shared" si="35"/>
        <v/>
      </c>
      <c r="AS137" s="304" t="str">
        <f t="shared" si="36"/>
        <v/>
      </c>
      <c r="AT137" s="308" t="str">
        <f t="shared" si="37"/>
        <v/>
      </c>
      <c r="AU137" s="308" t="str">
        <f t="shared" si="38"/>
        <v/>
      </c>
      <c r="AV137" s="304" t="str">
        <f t="shared" si="39"/>
        <v/>
      </c>
      <c r="AW137" s="308" t="str">
        <f t="shared" si="40"/>
        <v/>
      </c>
      <c r="AX137" s="308" t="str">
        <f t="shared" si="41"/>
        <v/>
      </c>
      <c r="AY137" s="304" t="str">
        <f t="shared" si="42"/>
        <v/>
      </c>
      <c r="AZ137" s="308" t="str">
        <f t="shared" si="43"/>
        <v/>
      </c>
      <c r="BA137" s="313" t="str">
        <f t="shared" si="44"/>
        <v/>
      </c>
      <c r="BB137" s="304" t="str">
        <f t="shared" si="45"/>
        <v/>
      </c>
      <c r="BC137" s="308" t="str">
        <f t="shared" si="46"/>
        <v/>
      </c>
      <c r="BD137" s="308" t="str">
        <f t="shared" si="47"/>
        <v/>
      </c>
    </row>
    <row r="138">
      <c r="A138" s="318"/>
      <c r="B138" s="318"/>
      <c r="C138" s="319"/>
      <c r="D138" s="301" t="str">
        <f>IFERROR(__xludf.DUMMYFUNCTION("if(ISBLANK(A138),"""",GOOGLEFINANCE(A138,""NAME""))"),"")</f>
        <v/>
      </c>
      <c r="E138" s="302">
        <v>5000.0</v>
      </c>
      <c r="F138" s="303" t="str">
        <f>IFERROR(__xludf.DUMMYFUNCTION("if(ISBLANK(A138),"""",GOOGLEFINANCE(A138,""HIGH52""))"),"")</f>
        <v/>
      </c>
      <c r="G138" s="303" t="str">
        <f>IFERROR(__xludf.DUMMYFUNCTION("if(ISBLANK(A138),"""",GOOGLEFINANCE(A138,""LOW52""))"),"")</f>
        <v/>
      </c>
      <c r="H138" s="304" t="str">
        <f>IFERROR(__xludf.DUMMYFUNCTION("if(ISBLANK(A138),"""",GOOGLEFINANCE(A138,""Price""))"),"")</f>
        <v/>
      </c>
      <c r="I138" s="305" t="str">
        <f t="shared" si="1"/>
        <v/>
      </c>
      <c r="J138" s="306" t="str">
        <f t="shared" si="2"/>
        <v/>
      </c>
      <c r="K138" s="307" t="str">
        <f>IFERROR(__xludf.DUMMYFUNCTION("if(ISBLANK(A138),"""",googlefinance(A138,""Marketcap"")/10000000)"),"")</f>
        <v/>
      </c>
      <c r="L138" s="309" t="str">
        <f t="shared" si="3"/>
        <v/>
      </c>
      <c r="M138" s="308" t="str">
        <f t="shared" si="4"/>
        <v/>
      </c>
      <c r="N138" s="309" t="str">
        <f t="shared" si="5"/>
        <v/>
      </c>
      <c r="O138" s="322" t="str">
        <f t="shared" si="6"/>
        <v/>
      </c>
      <c r="P138" s="308" t="str">
        <f t="shared" si="7"/>
        <v/>
      </c>
      <c r="Q138" s="311" t="str">
        <f t="shared" si="8"/>
        <v/>
      </c>
      <c r="R138" s="309" t="str">
        <f t="shared" si="9"/>
        <v/>
      </c>
      <c r="S138" s="308" t="str">
        <f t="shared" si="10"/>
        <v/>
      </c>
      <c r="T138" s="309" t="str">
        <f t="shared" si="11"/>
        <v/>
      </c>
      <c r="U138" s="309" t="str">
        <f t="shared" si="12"/>
        <v/>
      </c>
      <c r="V138" s="308" t="str">
        <f t="shared" si="13"/>
        <v/>
      </c>
      <c r="W138" s="309" t="str">
        <f t="shared" si="14"/>
        <v/>
      </c>
      <c r="X138" s="309" t="str">
        <f t="shared" si="15"/>
        <v/>
      </c>
      <c r="Y138" s="308" t="str">
        <f t="shared" si="16"/>
        <v/>
      </c>
      <c r="Z138" s="309" t="str">
        <f t="shared" si="17"/>
        <v/>
      </c>
      <c r="AA138" s="312" t="str">
        <f t="shared" si="18"/>
        <v/>
      </c>
      <c r="AB138" s="308" t="str">
        <f t="shared" si="19"/>
        <v/>
      </c>
      <c r="AC138" s="308" t="str">
        <f t="shared" si="20"/>
        <v/>
      </c>
      <c r="AD138" s="312" t="str">
        <f t="shared" si="21"/>
        <v/>
      </c>
      <c r="AE138" s="308" t="str">
        <f t="shared" si="22"/>
        <v/>
      </c>
      <c r="AF138" s="313" t="str">
        <f t="shared" si="23"/>
        <v/>
      </c>
      <c r="AG138" s="304" t="str">
        <f t="shared" si="24"/>
        <v/>
      </c>
      <c r="AH138" s="308" t="str">
        <f t="shared" si="25"/>
        <v/>
      </c>
      <c r="AI138" s="313" t="str">
        <f t="shared" si="26"/>
        <v/>
      </c>
      <c r="AJ138" s="304" t="str">
        <f t="shared" si="27"/>
        <v/>
      </c>
      <c r="AK138" s="308" t="str">
        <f t="shared" si="28"/>
        <v/>
      </c>
      <c r="AL138" s="308" t="str">
        <f t="shared" si="29"/>
        <v/>
      </c>
      <c r="AM138" s="304" t="str">
        <f t="shared" si="30"/>
        <v/>
      </c>
      <c r="AN138" s="308" t="str">
        <f t="shared" si="31"/>
        <v/>
      </c>
      <c r="AO138" s="313" t="str">
        <f t="shared" si="32"/>
        <v/>
      </c>
      <c r="AP138" s="304" t="str">
        <f t="shared" si="33"/>
        <v/>
      </c>
      <c r="AQ138" s="308" t="str">
        <f t="shared" si="34"/>
        <v/>
      </c>
      <c r="AR138" s="313" t="str">
        <f t="shared" si="35"/>
        <v/>
      </c>
      <c r="AS138" s="304" t="str">
        <f t="shared" si="36"/>
        <v/>
      </c>
      <c r="AT138" s="308" t="str">
        <f t="shared" si="37"/>
        <v/>
      </c>
      <c r="AU138" s="308" t="str">
        <f t="shared" si="38"/>
        <v/>
      </c>
      <c r="AV138" s="304" t="str">
        <f t="shared" si="39"/>
        <v/>
      </c>
      <c r="AW138" s="308" t="str">
        <f t="shared" si="40"/>
        <v/>
      </c>
      <c r="AX138" s="308" t="str">
        <f t="shared" si="41"/>
        <v/>
      </c>
      <c r="AY138" s="304" t="str">
        <f t="shared" si="42"/>
        <v/>
      </c>
      <c r="AZ138" s="308" t="str">
        <f t="shared" si="43"/>
        <v/>
      </c>
      <c r="BA138" s="313" t="str">
        <f t="shared" si="44"/>
        <v/>
      </c>
      <c r="BB138" s="304" t="str">
        <f t="shared" si="45"/>
        <v/>
      </c>
      <c r="BC138" s="308" t="str">
        <f t="shared" si="46"/>
        <v/>
      </c>
      <c r="BD138" s="308" t="str">
        <f t="shared" si="47"/>
        <v/>
      </c>
    </row>
    <row r="139">
      <c r="A139" s="318"/>
      <c r="B139" s="318"/>
      <c r="C139" s="319"/>
      <c r="D139" s="301" t="str">
        <f>IFERROR(__xludf.DUMMYFUNCTION("if(ISBLANK(A139),"""",GOOGLEFINANCE(A139,""NAME""))"),"")</f>
        <v/>
      </c>
      <c r="E139" s="302">
        <v>5000.0</v>
      </c>
      <c r="F139" s="303" t="str">
        <f>IFERROR(__xludf.DUMMYFUNCTION("if(ISBLANK(A139),"""",GOOGLEFINANCE(A139,""HIGH52""))"),"")</f>
        <v/>
      </c>
      <c r="G139" s="303" t="str">
        <f>IFERROR(__xludf.DUMMYFUNCTION("if(ISBLANK(A139),"""",GOOGLEFINANCE(A139,""LOW52""))"),"")</f>
        <v/>
      </c>
      <c r="H139" s="304" t="str">
        <f>IFERROR(__xludf.DUMMYFUNCTION("if(ISBLANK(A139),"""",GOOGLEFINANCE(A139,""Price""))"),"")</f>
        <v/>
      </c>
      <c r="I139" s="305" t="str">
        <f t="shared" si="1"/>
        <v/>
      </c>
      <c r="J139" s="306" t="str">
        <f t="shared" si="2"/>
        <v/>
      </c>
      <c r="K139" s="307" t="str">
        <f>IFERROR(__xludf.DUMMYFUNCTION("if(ISBLANK(A139),"""",googlefinance(A139,""Marketcap"")/10000000)"),"")</f>
        <v/>
      </c>
      <c r="L139" s="309" t="str">
        <f t="shared" si="3"/>
        <v/>
      </c>
      <c r="M139" s="308" t="str">
        <f t="shared" si="4"/>
        <v/>
      </c>
      <c r="N139" s="309" t="str">
        <f t="shared" si="5"/>
        <v/>
      </c>
      <c r="O139" s="322" t="str">
        <f t="shared" si="6"/>
        <v/>
      </c>
      <c r="P139" s="308" t="str">
        <f t="shared" si="7"/>
        <v/>
      </c>
      <c r="Q139" s="311" t="str">
        <f t="shared" si="8"/>
        <v/>
      </c>
      <c r="R139" s="309" t="str">
        <f t="shared" si="9"/>
        <v/>
      </c>
      <c r="S139" s="308" t="str">
        <f t="shared" si="10"/>
        <v/>
      </c>
      <c r="T139" s="309" t="str">
        <f t="shared" si="11"/>
        <v/>
      </c>
      <c r="U139" s="309" t="str">
        <f t="shared" si="12"/>
        <v/>
      </c>
      <c r="V139" s="308" t="str">
        <f t="shared" si="13"/>
        <v/>
      </c>
      <c r="W139" s="309" t="str">
        <f t="shared" si="14"/>
        <v/>
      </c>
      <c r="X139" s="309" t="str">
        <f t="shared" si="15"/>
        <v/>
      </c>
      <c r="Y139" s="308" t="str">
        <f t="shared" si="16"/>
        <v/>
      </c>
      <c r="Z139" s="309" t="str">
        <f t="shared" si="17"/>
        <v/>
      </c>
      <c r="AA139" s="312" t="str">
        <f t="shared" si="18"/>
        <v/>
      </c>
      <c r="AB139" s="308" t="str">
        <f t="shared" si="19"/>
        <v/>
      </c>
      <c r="AC139" s="308" t="str">
        <f t="shared" si="20"/>
        <v/>
      </c>
      <c r="AD139" s="312" t="str">
        <f t="shared" si="21"/>
        <v/>
      </c>
      <c r="AE139" s="308" t="str">
        <f t="shared" si="22"/>
        <v/>
      </c>
      <c r="AF139" s="313" t="str">
        <f t="shared" si="23"/>
        <v/>
      </c>
      <c r="AG139" s="304" t="str">
        <f t="shared" si="24"/>
        <v/>
      </c>
      <c r="AH139" s="308" t="str">
        <f t="shared" si="25"/>
        <v/>
      </c>
      <c r="AI139" s="313" t="str">
        <f t="shared" si="26"/>
        <v/>
      </c>
      <c r="AJ139" s="304" t="str">
        <f t="shared" si="27"/>
        <v/>
      </c>
      <c r="AK139" s="308" t="str">
        <f t="shared" si="28"/>
        <v/>
      </c>
      <c r="AL139" s="308" t="str">
        <f t="shared" si="29"/>
        <v/>
      </c>
      <c r="AM139" s="304" t="str">
        <f t="shared" si="30"/>
        <v/>
      </c>
      <c r="AN139" s="308" t="str">
        <f t="shared" si="31"/>
        <v/>
      </c>
      <c r="AO139" s="313" t="str">
        <f t="shared" si="32"/>
        <v/>
      </c>
      <c r="AP139" s="304" t="str">
        <f t="shared" si="33"/>
        <v/>
      </c>
      <c r="AQ139" s="308" t="str">
        <f t="shared" si="34"/>
        <v/>
      </c>
      <c r="AR139" s="313" t="str">
        <f t="shared" si="35"/>
        <v/>
      </c>
      <c r="AS139" s="304" t="str">
        <f t="shared" si="36"/>
        <v/>
      </c>
      <c r="AT139" s="308" t="str">
        <f t="shared" si="37"/>
        <v/>
      </c>
      <c r="AU139" s="308" t="str">
        <f t="shared" si="38"/>
        <v/>
      </c>
      <c r="AV139" s="304" t="str">
        <f t="shared" si="39"/>
        <v/>
      </c>
      <c r="AW139" s="308" t="str">
        <f t="shared" si="40"/>
        <v/>
      </c>
      <c r="AX139" s="308" t="str">
        <f t="shared" si="41"/>
        <v/>
      </c>
      <c r="AY139" s="304" t="str">
        <f t="shared" si="42"/>
        <v/>
      </c>
      <c r="AZ139" s="308" t="str">
        <f t="shared" si="43"/>
        <v/>
      </c>
      <c r="BA139" s="313" t="str">
        <f t="shared" si="44"/>
        <v/>
      </c>
      <c r="BB139" s="304" t="str">
        <f t="shared" si="45"/>
        <v/>
      </c>
      <c r="BC139" s="308" t="str">
        <f t="shared" si="46"/>
        <v/>
      </c>
      <c r="BD139" s="308" t="str">
        <f t="shared" si="47"/>
        <v/>
      </c>
    </row>
    <row r="140">
      <c r="A140" s="318"/>
      <c r="B140" s="318"/>
      <c r="C140" s="319"/>
      <c r="D140" s="301" t="str">
        <f>IFERROR(__xludf.DUMMYFUNCTION("if(ISBLANK(A140),"""",GOOGLEFINANCE(A140,""NAME""))"),"")</f>
        <v/>
      </c>
      <c r="E140" s="302">
        <v>5000.0</v>
      </c>
      <c r="F140" s="303" t="str">
        <f>IFERROR(__xludf.DUMMYFUNCTION("if(ISBLANK(A140),"""",GOOGLEFINANCE(A140,""HIGH52""))"),"")</f>
        <v/>
      </c>
      <c r="G140" s="303" t="str">
        <f>IFERROR(__xludf.DUMMYFUNCTION("if(ISBLANK(A140),"""",GOOGLEFINANCE(A140,""LOW52""))"),"")</f>
        <v/>
      </c>
      <c r="H140" s="304" t="str">
        <f>IFERROR(__xludf.DUMMYFUNCTION("if(ISBLANK(A140),"""",GOOGLEFINANCE(A140,""Price""))"),"")</f>
        <v/>
      </c>
      <c r="I140" s="305" t="str">
        <f t="shared" si="1"/>
        <v/>
      </c>
      <c r="J140" s="306" t="str">
        <f t="shared" si="2"/>
        <v/>
      </c>
      <c r="K140" s="307" t="str">
        <f>IFERROR(__xludf.DUMMYFUNCTION("if(ISBLANK(A140),"""",googlefinance(A140,""Marketcap"")/10000000)"),"")</f>
        <v/>
      </c>
      <c r="L140" s="309" t="str">
        <f t="shared" si="3"/>
        <v/>
      </c>
      <c r="M140" s="308" t="str">
        <f t="shared" si="4"/>
        <v/>
      </c>
      <c r="N140" s="309" t="str">
        <f t="shared" si="5"/>
        <v/>
      </c>
      <c r="O140" s="322" t="str">
        <f t="shared" si="6"/>
        <v/>
      </c>
      <c r="P140" s="308" t="str">
        <f t="shared" si="7"/>
        <v/>
      </c>
      <c r="Q140" s="311" t="str">
        <f t="shared" si="8"/>
        <v/>
      </c>
      <c r="R140" s="309" t="str">
        <f t="shared" si="9"/>
        <v/>
      </c>
      <c r="S140" s="308" t="str">
        <f t="shared" si="10"/>
        <v/>
      </c>
      <c r="T140" s="309" t="str">
        <f t="shared" si="11"/>
        <v/>
      </c>
      <c r="U140" s="309" t="str">
        <f t="shared" si="12"/>
        <v/>
      </c>
      <c r="V140" s="308" t="str">
        <f t="shared" si="13"/>
        <v/>
      </c>
      <c r="W140" s="309" t="str">
        <f t="shared" si="14"/>
        <v/>
      </c>
      <c r="X140" s="309" t="str">
        <f t="shared" si="15"/>
        <v/>
      </c>
      <c r="Y140" s="308" t="str">
        <f t="shared" si="16"/>
        <v/>
      </c>
      <c r="Z140" s="309" t="str">
        <f t="shared" si="17"/>
        <v/>
      </c>
      <c r="AA140" s="312" t="str">
        <f t="shared" si="18"/>
        <v/>
      </c>
      <c r="AB140" s="308" t="str">
        <f t="shared" si="19"/>
        <v/>
      </c>
      <c r="AC140" s="308" t="str">
        <f t="shared" si="20"/>
        <v/>
      </c>
      <c r="AD140" s="312" t="str">
        <f t="shared" si="21"/>
        <v/>
      </c>
      <c r="AE140" s="308" t="str">
        <f t="shared" si="22"/>
        <v/>
      </c>
      <c r="AF140" s="313" t="str">
        <f t="shared" si="23"/>
        <v/>
      </c>
      <c r="AG140" s="304" t="str">
        <f t="shared" si="24"/>
        <v/>
      </c>
      <c r="AH140" s="308" t="str">
        <f t="shared" si="25"/>
        <v/>
      </c>
      <c r="AI140" s="313" t="str">
        <f t="shared" si="26"/>
        <v/>
      </c>
      <c r="AJ140" s="304" t="str">
        <f t="shared" si="27"/>
        <v/>
      </c>
      <c r="AK140" s="308" t="str">
        <f t="shared" si="28"/>
        <v/>
      </c>
      <c r="AL140" s="308" t="str">
        <f t="shared" si="29"/>
        <v/>
      </c>
      <c r="AM140" s="304" t="str">
        <f t="shared" si="30"/>
        <v/>
      </c>
      <c r="AN140" s="308" t="str">
        <f t="shared" si="31"/>
        <v/>
      </c>
      <c r="AO140" s="313" t="str">
        <f t="shared" si="32"/>
        <v/>
      </c>
      <c r="AP140" s="304" t="str">
        <f t="shared" si="33"/>
        <v/>
      </c>
      <c r="AQ140" s="308" t="str">
        <f t="shared" si="34"/>
        <v/>
      </c>
      <c r="AR140" s="313" t="str">
        <f t="shared" si="35"/>
        <v/>
      </c>
      <c r="AS140" s="304" t="str">
        <f t="shared" si="36"/>
        <v/>
      </c>
      <c r="AT140" s="308" t="str">
        <f t="shared" si="37"/>
        <v/>
      </c>
      <c r="AU140" s="308" t="str">
        <f t="shared" si="38"/>
        <v/>
      </c>
      <c r="AV140" s="304" t="str">
        <f t="shared" si="39"/>
        <v/>
      </c>
      <c r="AW140" s="308" t="str">
        <f t="shared" si="40"/>
        <v/>
      </c>
      <c r="AX140" s="308" t="str">
        <f t="shared" si="41"/>
        <v/>
      </c>
      <c r="AY140" s="304" t="str">
        <f t="shared" si="42"/>
        <v/>
      </c>
      <c r="AZ140" s="308" t="str">
        <f t="shared" si="43"/>
        <v/>
      </c>
      <c r="BA140" s="313" t="str">
        <f t="shared" si="44"/>
        <v/>
      </c>
      <c r="BB140" s="304" t="str">
        <f t="shared" si="45"/>
        <v/>
      </c>
      <c r="BC140" s="308" t="str">
        <f t="shared" si="46"/>
        <v/>
      </c>
      <c r="BD140" s="308" t="str">
        <f t="shared" si="47"/>
        <v/>
      </c>
    </row>
    <row r="141">
      <c r="A141" s="318"/>
      <c r="B141" s="318"/>
      <c r="C141" s="319"/>
      <c r="D141" s="301" t="str">
        <f>IFERROR(__xludf.DUMMYFUNCTION("if(ISBLANK(A141),"""",GOOGLEFINANCE(A141,""NAME""))"),"")</f>
        <v/>
      </c>
      <c r="E141" s="302">
        <v>5000.0</v>
      </c>
      <c r="F141" s="303" t="str">
        <f>IFERROR(__xludf.DUMMYFUNCTION("if(ISBLANK(A141),"""",GOOGLEFINANCE(A141,""HIGH52""))"),"")</f>
        <v/>
      </c>
      <c r="G141" s="303" t="str">
        <f>IFERROR(__xludf.DUMMYFUNCTION("if(ISBLANK(A141),"""",GOOGLEFINANCE(A141,""LOW52""))"),"")</f>
        <v/>
      </c>
      <c r="H141" s="304" t="str">
        <f>IFERROR(__xludf.DUMMYFUNCTION("if(ISBLANK(A141),"""",GOOGLEFINANCE(A141,""Price""))"),"")</f>
        <v/>
      </c>
      <c r="I141" s="305" t="str">
        <f t="shared" si="1"/>
        <v/>
      </c>
      <c r="J141" s="306" t="str">
        <f t="shared" si="2"/>
        <v/>
      </c>
      <c r="K141" s="307" t="str">
        <f>IFERROR(__xludf.DUMMYFUNCTION("if(ISBLANK(A141),"""",googlefinance(A141,""Marketcap"")/10000000)"),"")</f>
        <v/>
      </c>
      <c r="L141" s="309" t="str">
        <f t="shared" si="3"/>
        <v/>
      </c>
      <c r="M141" s="308" t="str">
        <f t="shared" si="4"/>
        <v/>
      </c>
      <c r="N141" s="309" t="str">
        <f t="shared" si="5"/>
        <v/>
      </c>
      <c r="O141" s="322" t="str">
        <f t="shared" si="6"/>
        <v/>
      </c>
      <c r="P141" s="308" t="str">
        <f t="shared" si="7"/>
        <v/>
      </c>
      <c r="Q141" s="311" t="str">
        <f t="shared" si="8"/>
        <v/>
      </c>
      <c r="R141" s="309" t="str">
        <f t="shared" si="9"/>
        <v/>
      </c>
      <c r="S141" s="308" t="str">
        <f t="shared" si="10"/>
        <v/>
      </c>
      <c r="T141" s="309" t="str">
        <f t="shared" si="11"/>
        <v/>
      </c>
      <c r="U141" s="309" t="str">
        <f t="shared" si="12"/>
        <v/>
      </c>
      <c r="V141" s="308" t="str">
        <f t="shared" si="13"/>
        <v/>
      </c>
      <c r="W141" s="309" t="str">
        <f t="shared" si="14"/>
        <v/>
      </c>
      <c r="X141" s="309" t="str">
        <f t="shared" si="15"/>
        <v/>
      </c>
      <c r="Y141" s="308" t="str">
        <f t="shared" si="16"/>
        <v/>
      </c>
      <c r="Z141" s="309" t="str">
        <f t="shared" si="17"/>
        <v/>
      </c>
      <c r="AA141" s="312" t="str">
        <f t="shared" si="18"/>
        <v/>
      </c>
      <c r="AB141" s="308" t="str">
        <f t="shared" si="19"/>
        <v/>
      </c>
      <c r="AC141" s="308" t="str">
        <f t="shared" si="20"/>
        <v/>
      </c>
      <c r="AD141" s="312" t="str">
        <f t="shared" si="21"/>
        <v/>
      </c>
      <c r="AE141" s="308" t="str">
        <f t="shared" si="22"/>
        <v/>
      </c>
      <c r="AF141" s="313" t="str">
        <f t="shared" si="23"/>
        <v/>
      </c>
      <c r="AG141" s="304" t="str">
        <f t="shared" si="24"/>
        <v/>
      </c>
      <c r="AH141" s="308" t="str">
        <f t="shared" si="25"/>
        <v/>
      </c>
      <c r="AI141" s="313" t="str">
        <f t="shared" si="26"/>
        <v/>
      </c>
      <c r="AJ141" s="304" t="str">
        <f t="shared" si="27"/>
        <v/>
      </c>
      <c r="AK141" s="308" t="str">
        <f t="shared" si="28"/>
        <v/>
      </c>
      <c r="AL141" s="308" t="str">
        <f t="shared" si="29"/>
        <v/>
      </c>
      <c r="AM141" s="304" t="str">
        <f t="shared" si="30"/>
        <v/>
      </c>
      <c r="AN141" s="308" t="str">
        <f t="shared" si="31"/>
        <v/>
      </c>
      <c r="AO141" s="313" t="str">
        <f t="shared" si="32"/>
        <v/>
      </c>
      <c r="AP141" s="304" t="str">
        <f t="shared" si="33"/>
        <v/>
      </c>
      <c r="AQ141" s="308" t="str">
        <f t="shared" si="34"/>
        <v/>
      </c>
      <c r="AR141" s="313" t="str">
        <f t="shared" si="35"/>
        <v/>
      </c>
      <c r="AS141" s="304" t="str">
        <f t="shared" si="36"/>
        <v/>
      </c>
      <c r="AT141" s="308" t="str">
        <f t="shared" si="37"/>
        <v/>
      </c>
      <c r="AU141" s="308" t="str">
        <f t="shared" si="38"/>
        <v/>
      </c>
      <c r="AV141" s="304" t="str">
        <f t="shared" si="39"/>
        <v/>
      </c>
      <c r="AW141" s="308" t="str">
        <f t="shared" si="40"/>
        <v/>
      </c>
      <c r="AX141" s="308" t="str">
        <f t="shared" si="41"/>
        <v/>
      </c>
      <c r="AY141" s="304" t="str">
        <f t="shared" si="42"/>
        <v/>
      </c>
      <c r="AZ141" s="308" t="str">
        <f t="shared" si="43"/>
        <v/>
      </c>
      <c r="BA141" s="313" t="str">
        <f t="shared" si="44"/>
        <v/>
      </c>
      <c r="BB141" s="304" t="str">
        <f t="shared" si="45"/>
        <v/>
      </c>
      <c r="BC141" s="308" t="str">
        <f t="shared" si="46"/>
        <v/>
      </c>
      <c r="BD141" s="308" t="str">
        <f t="shared" si="47"/>
        <v/>
      </c>
    </row>
    <row r="142">
      <c r="A142" s="318"/>
      <c r="B142" s="318"/>
      <c r="C142" s="319"/>
      <c r="D142" s="301" t="str">
        <f>IFERROR(__xludf.DUMMYFUNCTION("if(ISBLANK(A142),"""",GOOGLEFINANCE(A142,""NAME""))"),"")</f>
        <v/>
      </c>
      <c r="E142" s="302">
        <v>5000.0</v>
      </c>
      <c r="F142" s="303" t="str">
        <f>IFERROR(__xludf.DUMMYFUNCTION("if(ISBLANK(A142),"""",GOOGLEFINANCE(A142,""HIGH52""))"),"")</f>
        <v/>
      </c>
      <c r="G142" s="303" t="str">
        <f>IFERROR(__xludf.DUMMYFUNCTION("if(ISBLANK(A142),"""",GOOGLEFINANCE(A142,""LOW52""))"),"")</f>
        <v/>
      </c>
      <c r="H142" s="304" t="str">
        <f>IFERROR(__xludf.DUMMYFUNCTION("if(ISBLANK(A142),"""",GOOGLEFINANCE(A142,""Price""))"),"")</f>
        <v/>
      </c>
      <c r="I142" s="305" t="str">
        <f t="shared" si="1"/>
        <v/>
      </c>
      <c r="J142" s="306" t="str">
        <f t="shared" si="2"/>
        <v/>
      </c>
      <c r="K142" s="307" t="str">
        <f>IFERROR(__xludf.DUMMYFUNCTION("if(ISBLANK(A142),"""",googlefinance(A142,""Marketcap"")/10000000)"),"")</f>
        <v/>
      </c>
      <c r="L142" s="309" t="str">
        <f t="shared" si="3"/>
        <v/>
      </c>
      <c r="M142" s="308" t="str">
        <f t="shared" si="4"/>
        <v/>
      </c>
      <c r="N142" s="309" t="str">
        <f t="shared" si="5"/>
        <v/>
      </c>
      <c r="O142" s="322" t="str">
        <f t="shared" si="6"/>
        <v/>
      </c>
      <c r="P142" s="308" t="str">
        <f t="shared" si="7"/>
        <v/>
      </c>
      <c r="Q142" s="311" t="str">
        <f t="shared" si="8"/>
        <v/>
      </c>
      <c r="R142" s="309" t="str">
        <f t="shared" si="9"/>
        <v/>
      </c>
      <c r="S142" s="308" t="str">
        <f t="shared" si="10"/>
        <v/>
      </c>
      <c r="T142" s="309" t="str">
        <f t="shared" si="11"/>
        <v/>
      </c>
      <c r="U142" s="309" t="str">
        <f t="shared" si="12"/>
        <v/>
      </c>
      <c r="V142" s="308" t="str">
        <f t="shared" si="13"/>
        <v/>
      </c>
      <c r="W142" s="309" t="str">
        <f t="shared" si="14"/>
        <v/>
      </c>
      <c r="X142" s="309" t="str">
        <f t="shared" si="15"/>
        <v/>
      </c>
      <c r="Y142" s="308" t="str">
        <f t="shared" si="16"/>
        <v/>
      </c>
      <c r="Z142" s="309" t="str">
        <f t="shared" si="17"/>
        <v/>
      </c>
      <c r="AA142" s="312" t="str">
        <f t="shared" si="18"/>
        <v/>
      </c>
      <c r="AB142" s="308" t="str">
        <f t="shared" si="19"/>
        <v/>
      </c>
      <c r="AC142" s="308" t="str">
        <f t="shared" si="20"/>
        <v/>
      </c>
      <c r="AD142" s="312" t="str">
        <f t="shared" si="21"/>
        <v/>
      </c>
      <c r="AE142" s="308" t="str">
        <f t="shared" si="22"/>
        <v/>
      </c>
      <c r="AF142" s="313" t="str">
        <f t="shared" si="23"/>
        <v/>
      </c>
      <c r="AG142" s="304" t="str">
        <f t="shared" si="24"/>
        <v/>
      </c>
      <c r="AH142" s="308" t="str">
        <f t="shared" si="25"/>
        <v/>
      </c>
      <c r="AI142" s="313" t="str">
        <f t="shared" si="26"/>
        <v/>
      </c>
      <c r="AJ142" s="304" t="str">
        <f t="shared" si="27"/>
        <v/>
      </c>
      <c r="AK142" s="308" t="str">
        <f t="shared" si="28"/>
        <v/>
      </c>
      <c r="AL142" s="308" t="str">
        <f t="shared" si="29"/>
        <v/>
      </c>
      <c r="AM142" s="304" t="str">
        <f t="shared" si="30"/>
        <v/>
      </c>
      <c r="AN142" s="308" t="str">
        <f t="shared" si="31"/>
        <v/>
      </c>
      <c r="AO142" s="313" t="str">
        <f t="shared" si="32"/>
        <v/>
      </c>
      <c r="AP142" s="304" t="str">
        <f t="shared" si="33"/>
        <v/>
      </c>
      <c r="AQ142" s="308" t="str">
        <f t="shared" si="34"/>
        <v/>
      </c>
      <c r="AR142" s="313" t="str">
        <f t="shared" si="35"/>
        <v/>
      </c>
      <c r="AS142" s="304" t="str">
        <f t="shared" si="36"/>
        <v/>
      </c>
      <c r="AT142" s="308" t="str">
        <f t="shared" si="37"/>
        <v/>
      </c>
      <c r="AU142" s="308" t="str">
        <f t="shared" si="38"/>
        <v/>
      </c>
      <c r="AV142" s="304" t="str">
        <f t="shared" si="39"/>
        <v/>
      </c>
      <c r="AW142" s="308" t="str">
        <f t="shared" si="40"/>
        <v/>
      </c>
      <c r="AX142" s="308" t="str">
        <f t="shared" si="41"/>
        <v/>
      </c>
      <c r="AY142" s="304" t="str">
        <f t="shared" si="42"/>
        <v/>
      </c>
      <c r="AZ142" s="308" t="str">
        <f t="shared" si="43"/>
        <v/>
      </c>
      <c r="BA142" s="313" t="str">
        <f t="shared" si="44"/>
        <v/>
      </c>
      <c r="BB142" s="304" t="str">
        <f t="shared" si="45"/>
        <v/>
      </c>
      <c r="BC142" s="308" t="str">
        <f t="shared" si="46"/>
        <v/>
      </c>
      <c r="BD142" s="308" t="str">
        <f t="shared" si="47"/>
        <v/>
      </c>
    </row>
    <row r="143">
      <c r="A143" s="318"/>
      <c r="B143" s="318"/>
      <c r="C143" s="319"/>
      <c r="D143" s="301" t="str">
        <f>IFERROR(__xludf.DUMMYFUNCTION("if(ISBLANK(A143),"""",GOOGLEFINANCE(A143,""NAME""))"),"")</f>
        <v/>
      </c>
      <c r="E143" s="302">
        <v>5000.0</v>
      </c>
      <c r="F143" s="303" t="str">
        <f>IFERROR(__xludf.DUMMYFUNCTION("if(ISBLANK(A143),"""",GOOGLEFINANCE(A143,""HIGH52""))"),"")</f>
        <v/>
      </c>
      <c r="G143" s="303" t="str">
        <f>IFERROR(__xludf.DUMMYFUNCTION("if(ISBLANK(A143),"""",GOOGLEFINANCE(A143,""LOW52""))"),"")</f>
        <v/>
      </c>
      <c r="H143" s="304" t="str">
        <f>IFERROR(__xludf.DUMMYFUNCTION("if(ISBLANK(A143),"""",GOOGLEFINANCE(A143,""Price""))"),"")</f>
        <v/>
      </c>
      <c r="I143" s="305" t="str">
        <f t="shared" si="1"/>
        <v/>
      </c>
      <c r="J143" s="306" t="str">
        <f t="shared" si="2"/>
        <v/>
      </c>
      <c r="K143" s="307" t="str">
        <f>IFERROR(__xludf.DUMMYFUNCTION("if(ISBLANK(A143),"""",googlefinance(A143,""Marketcap"")/10000000)"),"")</f>
        <v/>
      </c>
      <c r="L143" s="309" t="str">
        <f t="shared" si="3"/>
        <v/>
      </c>
      <c r="M143" s="308" t="str">
        <f t="shared" si="4"/>
        <v/>
      </c>
      <c r="N143" s="309" t="str">
        <f t="shared" si="5"/>
        <v/>
      </c>
      <c r="O143" s="322" t="str">
        <f t="shared" si="6"/>
        <v/>
      </c>
      <c r="P143" s="308" t="str">
        <f t="shared" si="7"/>
        <v/>
      </c>
      <c r="Q143" s="311" t="str">
        <f t="shared" si="8"/>
        <v/>
      </c>
      <c r="R143" s="309" t="str">
        <f t="shared" si="9"/>
        <v/>
      </c>
      <c r="S143" s="308" t="str">
        <f t="shared" si="10"/>
        <v/>
      </c>
      <c r="T143" s="309" t="str">
        <f t="shared" si="11"/>
        <v/>
      </c>
      <c r="U143" s="309" t="str">
        <f t="shared" si="12"/>
        <v/>
      </c>
      <c r="V143" s="308" t="str">
        <f t="shared" si="13"/>
        <v/>
      </c>
      <c r="W143" s="309" t="str">
        <f t="shared" si="14"/>
        <v/>
      </c>
      <c r="X143" s="309" t="str">
        <f t="shared" si="15"/>
        <v/>
      </c>
      <c r="Y143" s="308" t="str">
        <f t="shared" si="16"/>
        <v/>
      </c>
      <c r="Z143" s="309" t="str">
        <f t="shared" si="17"/>
        <v/>
      </c>
      <c r="AA143" s="312" t="str">
        <f t="shared" si="18"/>
        <v/>
      </c>
      <c r="AB143" s="308" t="str">
        <f t="shared" si="19"/>
        <v/>
      </c>
      <c r="AC143" s="308" t="str">
        <f t="shared" si="20"/>
        <v/>
      </c>
      <c r="AD143" s="312" t="str">
        <f t="shared" si="21"/>
        <v/>
      </c>
      <c r="AE143" s="308" t="str">
        <f t="shared" si="22"/>
        <v/>
      </c>
      <c r="AF143" s="313" t="str">
        <f t="shared" si="23"/>
        <v/>
      </c>
      <c r="AG143" s="304" t="str">
        <f t="shared" si="24"/>
        <v/>
      </c>
      <c r="AH143" s="308" t="str">
        <f t="shared" si="25"/>
        <v/>
      </c>
      <c r="AI143" s="313" t="str">
        <f t="shared" si="26"/>
        <v/>
      </c>
      <c r="AJ143" s="304" t="str">
        <f t="shared" si="27"/>
        <v/>
      </c>
      <c r="AK143" s="308" t="str">
        <f t="shared" si="28"/>
        <v/>
      </c>
      <c r="AL143" s="308" t="str">
        <f t="shared" si="29"/>
        <v/>
      </c>
      <c r="AM143" s="304" t="str">
        <f t="shared" si="30"/>
        <v/>
      </c>
      <c r="AN143" s="308" t="str">
        <f t="shared" si="31"/>
        <v/>
      </c>
      <c r="AO143" s="313" t="str">
        <f t="shared" si="32"/>
        <v/>
      </c>
      <c r="AP143" s="304" t="str">
        <f t="shared" si="33"/>
        <v/>
      </c>
      <c r="AQ143" s="308" t="str">
        <f t="shared" si="34"/>
        <v/>
      </c>
      <c r="AR143" s="313" t="str">
        <f t="shared" si="35"/>
        <v/>
      </c>
      <c r="AS143" s="304" t="str">
        <f t="shared" si="36"/>
        <v/>
      </c>
      <c r="AT143" s="308" t="str">
        <f t="shared" si="37"/>
        <v/>
      </c>
      <c r="AU143" s="308" t="str">
        <f t="shared" si="38"/>
        <v/>
      </c>
      <c r="AV143" s="304" t="str">
        <f t="shared" si="39"/>
        <v/>
      </c>
      <c r="AW143" s="308" t="str">
        <f t="shared" si="40"/>
        <v/>
      </c>
      <c r="AX143" s="308" t="str">
        <f t="shared" si="41"/>
        <v/>
      </c>
      <c r="AY143" s="304" t="str">
        <f t="shared" si="42"/>
        <v/>
      </c>
      <c r="AZ143" s="308" t="str">
        <f t="shared" si="43"/>
        <v/>
      </c>
      <c r="BA143" s="313" t="str">
        <f t="shared" si="44"/>
        <v/>
      </c>
      <c r="BB143" s="304" t="str">
        <f t="shared" si="45"/>
        <v/>
      </c>
      <c r="BC143" s="308" t="str">
        <f t="shared" si="46"/>
        <v/>
      </c>
      <c r="BD143" s="308" t="str">
        <f t="shared" si="47"/>
        <v/>
      </c>
    </row>
    <row r="144">
      <c r="A144" s="299"/>
      <c r="B144" s="299"/>
      <c r="C144" s="300"/>
      <c r="D144" s="301" t="str">
        <f>IFERROR(__xludf.DUMMYFUNCTION("if(ISBLANK(A144),"""",GOOGLEFINANCE(A144,""NAME""))"),"")</f>
        <v/>
      </c>
      <c r="E144" s="302">
        <v>5000.0</v>
      </c>
      <c r="F144" s="303" t="str">
        <f>IFERROR(__xludf.DUMMYFUNCTION("if(ISBLANK(A144),"""",GOOGLEFINANCE(A144,""HIGH52""))"),"")</f>
        <v/>
      </c>
      <c r="G144" s="303" t="str">
        <f>IFERROR(__xludf.DUMMYFUNCTION("if(ISBLANK(A144),"""",GOOGLEFINANCE(A144,""LOW52""))"),"")</f>
        <v/>
      </c>
      <c r="H144" s="304" t="str">
        <f>IFERROR(__xludf.DUMMYFUNCTION("if(ISBLANK(A144),"""",GOOGLEFINANCE(A144,""Price""))"),"")</f>
        <v/>
      </c>
      <c r="I144" s="305" t="str">
        <f t="shared" si="1"/>
        <v/>
      </c>
      <c r="J144" s="306" t="str">
        <f t="shared" si="2"/>
        <v/>
      </c>
      <c r="K144" s="307" t="str">
        <f>IFERROR(__xludf.DUMMYFUNCTION("if(ISBLANK(A144),"""",googlefinance(A144,""Marketcap"")/10000000)"),"")</f>
        <v/>
      </c>
      <c r="L144" s="309" t="str">
        <f t="shared" si="3"/>
        <v/>
      </c>
      <c r="M144" s="308" t="str">
        <f t="shared" si="4"/>
        <v/>
      </c>
      <c r="N144" s="309" t="str">
        <f t="shared" si="5"/>
        <v/>
      </c>
      <c r="O144" s="322" t="str">
        <f t="shared" si="6"/>
        <v/>
      </c>
      <c r="P144" s="308" t="str">
        <f t="shared" si="7"/>
        <v/>
      </c>
      <c r="Q144" s="311" t="str">
        <f t="shared" si="8"/>
        <v/>
      </c>
      <c r="R144" s="309" t="str">
        <f t="shared" si="9"/>
        <v/>
      </c>
      <c r="S144" s="308" t="str">
        <f t="shared" si="10"/>
        <v/>
      </c>
      <c r="T144" s="309" t="str">
        <f t="shared" si="11"/>
        <v/>
      </c>
      <c r="U144" s="309" t="str">
        <f t="shared" si="12"/>
        <v/>
      </c>
      <c r="V144" s="308" t="str">
        <f t="shared" si="13"/>
        <v/>
      </c>
      <c r="W144" s="309" t="str">
        <f t="shared" si="14"/>
        <v/>
      </c>
      <c r="X144" s="309" t="str">
        <f t="shared" si="15"/>
        <v/>
      </c>
      <c r="Y144" s="308" t="str">
        <f t="shared" si="16"/>
        <v/>
      </c>
      <c r="Z144" s="309" t="str">
        <f t="shared" si="17"/>
        <v/>
      </c>
      <c r="AA144" s="312" t="str">
        <f t="shared" si="18"/>
        <v/>
      </c>
      <c r="AB144" s="308" t="str">
        <f t="shared" si="19"/>
        <v/>
      </c>
      <c r="AC144" s="308" t="str">
        <f t="shared" si="20"/>
        <v/>
      </c>
      <c r="AD144" s="312" t="str">
        <f t="shared" si="21"/>
        <v/>
      </c>
      <c r="AE144" s="308" t="str">
        <f t="shared" si="22"/>
        <v/>
      </c>
      <c r="AF144" s="313" t="str">
        <f t="shared" si="23"/>
        <v/>
      </c>
      <c r="AG144" s="304" t="str">
        <f t="shared" si="24"/>
        <v/>
      </c>
      <c r="AH144" s="308" t="str">
        <f t="shared" si="25"/>
        <v/>
      </c>
      <c r="AI144" s="313" t="str">
        <f t="shared" si="26"/>
        <v/>
      </c>
      <c r="AJ144" s="304" t="str">
        <f t="shared" si="27"/>
        <v/>
      </c>
      <c r="AK144" s="308" t="str">
        <f t="shared" si="28"/>
        <v/>
      </c>
      <c r="AL144" s="308" t="str">
        <f t="shared" si="29"/>
        <v/>
      </c>
      <c r="AM144" s="304" t="str">
        <f t="shared" si="30"/>
        <v/>
      </c>
      <c r="AN144" s="308" t="str">
        <f t="shared" si="31"/>
        <v/>
      </c>
      <c r="AO144" s="313" t="str">
        <f t="shared" si="32"/>
        <v/>
      </c>
      <c r="AP144" s="304" t="str">
        <f t="shared" si="33"/>
        <v/>
      </c>
      <c r="AQ144" s="308" t="str">
        <f t="shared" si="34"/>
        <v/>
      </c>
      <c r="AR144" s="313" t="str">
        <f t="shared" si="35"/>
        <v/>
      </c>
      <c r="AS144" s="304" t="str">
        <f t="shared" si="36"/>
        <v/>
      </c>
      <c r="AT144" s="308" t="str">
        <f t="shared" si="37"/>
        <v/>
      </c>
      <c r="AU144" s="308" t="str">
        <f t="shared" si="38"/>
        <v/>
      </c>
      <c r="AV144" s="304" t="str">
        <f t="shared" si="39"/>
        <v/>
      </c>
      <c r="AW144" s="308" t="str">
        <f t="shared" si="40"/>
        <v/>
      </c>
      <c r="AX144" s="308" t="str">
        <f t="shared" si="41"/>
        <v/>
      </c>
      <c r="AY144" s="304" t="str">
        <f t="shared" si="42"/>
        <v/>
      </c>
      <c r="AZ144" s="308" t="str">
        <f t="shared" si="43"/>
        <v/>
      </c>
      <c r="BA144" s="313" t="str">
        <f t="shared" si="44"/>
        <v/>
      </c>
      <c r="BB144" s="304" t="str">
        <f t="shared" si="45"/>
        <v/>
      </c>
      <c r="BC144" s="308" t="str">
        <f t="shared" si="46"/>
        <v/>
      </c>
      <c r="BD144" s="308" t="str">
        <f t="shared" si="47"/>
        <v/>
      </c>
    </row>
    <row r="145">
      <c r="A145" s="315"/>
      <c r="B145" s="315"/>
      <c r="C145" s="316"/>
      <c r="D145" s="301" t="str">
        <f>IFERROR(__xludf.DUMMYFUNCTION("if(ISBLANK(A145),"""",GOOGLEFINANCE(A145,""NAME""))"),"")</f>
        <v/>
      </c>
      <c r="E145" s="302">
        <v>5000.0</v>
      </c>
      <c r="F145" s="303" t="str">
        <f>IFERROR(__xludf.DUMMYFUNCTION("if(ISBLANK(A145),"""",GOOGLEFINANCE(A145,""HIGH52""))"),"")</f>
        <v/>
      </c>
      <c r="G145" s="303" t="str">
        <f>IFERROR(__xludf.DUMMYFUNCTION("if(ISBLANK(A145),"""",GOOGLEFINANCE(A145,""LOW52""))"),"")</f>
        <v/>
      </c>
      <c r="H145" s="304" t="str">
        <f>IFERROR(__xludf.DUMMYFUNCTION("if(ISBLANK(A145),"""",GOOGLEFINANCE(A145,""Price""))"),"")</f>
        <v/>
      </c>
      <c r="I145" s="305" t="str">
        <f t="shared" si="1"/>
        <v/>
      </c>
      <c r="J145" s="306" t="str">
        <f t="shared" si="2"/>
        <v/>
      </c>
      <c r="K145" s="307" t="str">
        <f>IFERROR(__xludf.DUMMYFUNCTION("if(ISBLANK(A145),"""",googlefinance(A145,""Marketcap"")/10000000)"),"")</f>
        <v/>
      </c>
      <c r="L145" s="309" t="str">
        <f t="shared" si="3"/>
        <v/>
      </c>
      <c r="M145" s="308" t="str">
        <f t="shared" si="4"/>
        <v/>
      </c>
      <c r="N145" s="309" t="str">
        <f t="shared" si="5"/>
        <v/>
      </c>
      <c r="O145" s="322" t="str">
        <f t="shared" si="6"/>
        <v/>
      </c>
      <c r="P145" s="308" t="str">
        <f t="shared" si="7"/>
        <v/>
      </c>
      <c r="Q145" s="311" t="str">
        <f t="shared" si="8"/>
        <v/>
      </c>
      <c r="R145" s="309" t="str">
        <f t="shared" si="9"/>
        <v/>
      </c>
      <c r="S145" s="308" t="str">
        <f t="shared" si="10"/>
        <v/>
      </c>
      <c r="T145" s="309" t="str">
        <f t="shared" si="11"/>
        <v/>
      </c>
      <c r="U145" s="309" t="str">
        <f t="shared" si="12"/>
        <v/>
      </c>
      <c r="V145" s="308" t="str">
        <f t="shared" si="13"/>
        <v/>
      </c>
      <c r="W145" s="309" t="str">
        <f t="shared" si="14"/>
        <v/>
      </c>
      <c r="X145" s="309" t="str">
        <f t="shared" si="15"/>
        <v/>
      </c>
      <c r="Y145" s="308" t="str">
        <f t="shared" si="16"/>
        <v/>
      </c>
      <c r="Z145" s="309" t="str">
        <f t="shared" si="17"/>
        <v/>
      </c>
      <c r="AA145" s="312" t="str">
        <f t="shared" si="18"/>
        <v/>
      </c>
      <c r="AB145" s="308" t="str">
        <f t="shared" si="19"/>
        <v/>
      </c>
      <c r="AC145" s="308" t="str">
        <f t="shared" si="20"/>
        <v/>
      </c>
      <c r="AD145" s="312" t="str">
        <f t="shared" si="21"/>
        <v/>
      </c>
      <c r="AE145" s="308" t="str">
        <f t="shared" si="22"/>
        <v/>
      </c>
      <c r="AF145" s="313" t="str">
        <f t="shared" si="23"/>
        <v/>
      </c>
      <c r="AG145" s="304" t="str">
        <f t="shared" si="24"/>
        <v/>
      </c>
      <c r="AH145" s="308" t="str">
        <f t="shared" si="25"/>
        <v/>
      </c>
      <c r="AI145" s="313" t="str">
        <f t="shared" si="26"/>
        <v/>
      </c>
      <c r="AJ145" s="304" t="str">
        <f t="shared" si="27"/>
        <v/>
      </c>
      <c r="AK145" s="308" t="str">
        <f t="shared" si="28"/>
        <v/>
      </c>
      <c r="AL145" s="308" t="str">
        <f t="shared" si="29"/>
        <v/>
      </c>
      <c r="AM145" s="304" t="str">
        <f t="shared" si="30"/>
        <v/>
      </c>
      <c r="AN145" s="308" t="str">
        <f t="shared" si="31"/>
        <v/>
      </c>
      <c r="AO145" s="313" t="str">
        <f t="shared" si="32"/>
        <v/>
      </c>
      <c r="AP145" s="304" t="str">
        <f t="shared" si="33"/>
        <v/>
      </c>
      <c r="AQ145" s="308" t="str">
        <f t="shared" si="34"/>
        <v/>
      </c>
      <c r="AR145" s="313" t="str">
        <f t="shared" si="35"/>
        <v/>
      </c>
      <c r="AS145" s="304" t="str">
        <f t="shared" si="36"/>
        <v/>
      </c>
      <c r="AT145" s="308" t="str">
        <f t="shared" si="37"/>
        <v/>
      </c>
      <c r="AU145" s="308" t="str">
        <f t="shared" si="38"/>
        <v/>
      </c>
      <c r="AV145" s="304" t="str">
        <f t="shared" si="39"/>
        <v/>
      </c>
      <c r="AW145" s="308" t="str">
        <f t="shared" si="40"/>
        <v/>
      </c>
      <c r="AX145" s="308" t="str">
        <f t="shared" si="41"/>
        <v/>
      </c>
      <c r="AY145" s="304" t="str">
        <f t="shared" si="42"/>
        <v/>
      </c>
      <c r="AZ145" s="308" t="str">
        <f t="shared" si="43"/>
        <v/>
      </c>
      <c r="BA145" s="313" t="str">
        <f t="shared" si="44"/>
        <v/>
      </c>
      <c r="BB145" s="304" t="str">
        <f t="shared" si="45"/>
        <v/>
      </c>
      <c r="BC145" s="308" t="str">
        <f t="shared" si="46"/>
        <v/>
      </c>
      <c r="BD145" s="308" t="str">
        <f t="shared" si="47"/>
        <v/>
      </c>
    </row>
    <row r="146">
      <c r="A146" s="299"/>
      <c r="B146" s="299"/>
      <c r="C146" s="300"/>
      <c r="D146" s="301" t="str">
        <f>IFERROR(__xludf.DUMMYFUNCTION("if(ISBLANK(A146),"""",GOOGLEFINANCE(A146,""NAME""))"),"")</f>
        <v/>
      </c>
      <c r="E146" s="302">
        <v>5000.0</v>
      </c>
      <c r="F146" s="303" t="str">
        <f>IFERROR(__xludf.DUMMYFUNCTION("if(ISBLANK(A146),"""",GOOGLEFINANCE(A146,""HIGH52""))"),"")</f>
        <v/>
      </c>
      <c r="G146" s="303" t="str">
        <f>IFERROR(__xludf.DUMMYFUNCTION("if(ISBLANK(A146),"""",GOOGLEFINANCE(A146,""LOW52""))"),"")</f>
        <v/>
      </c>
      <c r="H146" s="304" t="str">
        <f>IFERROR(__xludf.DUMMYFUNCTION("if(ISBLANK(A146),"""",GOOGLEFINANCE(A146,""Price""))"),"")</f>
        <v/>
      </c>
      <c r="I146" s="305" t="str">
        <f t="shared" si="1"/>
        <v/>
      </c>
      <c r="J146" s="306" t="str">
        <f t="shared" si="2"/>
        <v/>
      </c>
      <c r="K146" s="307" t="str">
        <f>IFERROR(__xludf.DUMMYFUNCTION("if(ISBLANK(A146),"""",googlefinance(A146,""Marketcap"")/10000000)"),"")</f>
        <v/>
      </c>
      <c r="L146" s="309" t="str">
        <f t="shared" si="3"/>
        <v/>
      </c>
      <c r="M146" s="308" t="str">
        <f t="shared" si="4"/>
        <v/>
      </c>
      <c r="N146" s="309" t="str">
        <f t="shared" si="5"/>
        <v/>
      </c>
      <c r="O146" s="322" t="str">
        <f t="shared" si="6"/>
        <v/>
      </c>
      <c r="P146" s="308" t="str">
        <f t="shared" si="7"/>
        <v/>
      </c>
      <c r="Q146" s="311" t="str">
        <f t="shared" si="8"/>
        <v/>
      </c>
      <c r="R146" s="309" t="str">
        <f t="shared" si="9"/>
        <v/>
      </c>
      <c r="S146" s="308" t="str">
        <f t="shared" si="10"/>
        <v/>
      </c>
      <c r="T146" s="309" t="str">
        <f t="shared" si="11"/>
        <v/>
      </c>
      <c r="U146" s="309" t="str">
        <f t="shared" si="12"/>
        <v/>
      </c>
      <c r="V146" s="308" t="str">
        <f t="shared" si="13"/>
        <v/>
      </c>
      <c r="W146" s="309" t="str">
        <f t="shared" si="14"/>
        <v/>
      </c>
      <c r="X146" s="309" t="str">
        <f t="shared" si="15"/>
        <v/>
      </c>
      <c r="Y146" s="308" t="str">
        <f t="shared" si="16"/>
        <v/>
      </c>
      <c r="Z146" s="309" t="str">
        <f t="shared" si="17"/>
        <v/>
      </c>
      <c r="AA146" s="312" t="str">
        <f t="shared" si="18"/>
        <v/>
      </c>
      <c r="AB146" s="308" t="str">
        <f t="shared" si="19"/>
        <v/>
      </c>
      <c r="AC146" s="308" t="str">
        <f t="shared" si="20"/>
        <v/>
      </c>
      <c r="AD146" s="312" t="str">
        <f t="shared" si="21"/>
        <v/>
      </c>
      <c r="AE146" s="308" t="str">
        <f t="shared" si="22"/>
        <v/>
      </c>
      <c r="AF146" s="313" t="str">
        <f t="shared" si="23"/>
        <v/>
      </c>
      <c r="AG146" s="304" t="str">
        <f t="shared" si="24"/>
        <v/>
      </c>
      <c r="AH146" s="308" t="str">
        <f t="shared" si="25"/>
        <v/>
      </c>
      <c r="AI146" s="313" t="str">
        <f t="shared" si="26"/>
        <v/>
      </c>
      <c r="AJ146" s="304" t="str">
        <f t="shared" si="27"/>
        <v/>
      </c>
      <c r="AK146" s="308" t="str">
        <f t="shared" si="28"/>
        <v/>
      </c>
      <c r="AL146" s="308" t="str">
        <f t="shared" si="29"/>
        <v/>
      </c>
      <c r="AM146" s="304" t="str">
        <f t="shared" si="30"/>
        <v/>
      </c>
      <c r="AN146" s="308" t="str">
        <f t="shared" si="31"/>
        <v/>
      </c>
      <c r="AO146" s="313" t="str">
        <f t="shared" si="32"/>
        <v/>
      </c>
      <c r="AP146" s="304" t="str">
        <f t="shared" si="33"/>
        <v/>
      </c>
      <c r="AQ146" s="308" t="str">
        <f t="shared" si="34"/>
        <v/>
      </c>
      <c r="AR146" s="313" t="str">
        <f t="shared" si="35"/>
        <v/>
      </c>
      <c r="AS146" s="304" t="str">
        <f t="shared" si="36"/>
        <v/>
      </c>
      <c r="AT146" s="308" t="str">
        <f t="shared" si="37"/>
        <v/>
      </c>
      <c r="AU146" s="308" t="str">
        <f t="shared" si="38"/>
        <v/>
      </c>
      <c r="AV146" s="304" t="str">
        <f t="shared" si="39"/>
        <v/>
      </c>
      <c r="AW146" s="308" t="str">
        <f t="shared" si="40"/>
        <v/>
      </c>
      <c r="AX146" s="308" t="str">
        <f t="shared" si="41"/>
        <v/>
      </c>
      <c r="AY146" s="304" t="str">
        <f t="shared" si="42"/>
        <v/>
      </c>
      <c r="AZ146" s="308" t="str">
        <f t="shared" si="43"/>
        <v/>
      </c>
      <c r="BA146" s="313" t="str">
        <f t="shared" si="44"/>
        <v/>
      </c>
      <c r="BB146" s="304" t="str">
        <f t="shared" si="45"/>
        <v/>
      </c>
      <c r="BC146" s="308" t="str">
        <f t="shared" si="46"/>
        <v/>
      </c>
      <c r="BD146" s="308" t="str">
        <f t="shared" si="47"/>
        <v/>
      </c>
    </row>
    <row r="147">
      <c r="A147" s="315"/>
      <c r="B147" s="315"/>
      <c r="C147" s="316"/>
      <c r="D147" s="301" t="str">
        <f>IFERROR(__xludf.DUMMYFUNCTION("if(ISBLANK(A147),"""",GOOGLEFINANCE(A147,""NAME""))"),"")</f>
        <v/>
      </c>
      <c r="E147" s="302">
        <v>5000.0</v>
      </c>
      <c r="F147" s="303" t="str">
        <f>IFERROR(__xludf.DUMMYFUNCTION("if(ISBLANK(A147),"""",GOOGLEFINANCE(A147,""HIGH52""))"),"")</f>
        <v/>
      </c>
      <c r="G147" s="303" t="str">
        <f>IFERROR(__xludf.DUMMYFUNCTION("if(ISBLANK(A147),"""",GOOGLEFINANCE(A147,""LOW52""))"),"")</f>
        <v/>
      </c>
      <c r="H147" s="304" t="str">
        <f>IFERROR(__xludf.DUMMYFUNCTION("if(ISBLANK(A147),"""",GOOGLEFINANCE(A147,""Price""))"),"")</f>
        <v/>
      </c>
      <c r="I147" s="305" t="str">
        <f t="shared" si="1"/>
        <v/>
      </c>
      <c r="J147" s="306" t="str">
        <f t="shared" si="2"/>
        <v/>
      </c>
      <c r="K147" s="307" t="str">
        <f>IFERROR(__xludf.DUMMYFUNCTION("if(ISBLANK(A147),"""",googlefinance(A147,""Marketcap"")/10000000)"),"")</f>
        <v/>
      </c>
      <c r="L147" s="309" t="str">
        <f t="shared" si="3"/>
        <v/>
      </c>
      <c r="M147" s="308" t="str">
        <f t="shared" si="4"/>
        <v/>
      </c>
      <c r="N147" s="309" t="str">
        <f t="shared" si="5"/>
        <v/>
      </c>
      <c r="O147" s="322" t="str">
        <f t="shared" si="6"/>
        <v/>
      </c>
      <c r="P147" s="308" t="str">
        <f t="shared" si="7"/>
        <v/>
      </c>
      <c r="Q147" s="311" t="str">
        <f t="shared" si="8"/>
        <v/>
      </c>
      <c r="R147" s="309" t="str">
        <f t="shared" si="9"/>
        <v/>
      </c>
      <c r="S147" s="308" t="str">
        <f t="shared" si="10"/>
        <v/>
      </c>
      <c r="T147" s="309" t="str">
        <f t="shared" si="11"/>
        <v/>
      </c>
      <c r="U147" s="309" t="str">
        <f t="shared" si="12"/>
        <v/>
      </c>
      <c r="V147" s="308" t="str">
        <f t="shared" si="13"/>
        <v/>
      </c>
      <c r="W147" s="309" t="str">
        <f t="shared" si="14"/>
        <v/>
      </c>
      <c r="X147" s="309" t="str">
        <f t="shared" si="15"/>
        <v/>
      </c>
      <c r="Y147" s="308" t="str">
        <f t="shared" si="16"/>
        <v/>
      </c>
      <c r="Z147" s="309" t="str">
        <f t="shared" si="17"/>
        <v/>
      </c>
      <c r="AA147" s="312" t="str">
        <f t="shared" si="18"/>
        <v/>
      </c>
      <c r="AB147" s="308" t="str">
        <f t="shared" si="19"/>
        <v/>
      </c>
      <c r="AC147" s="308" t="str">
        <f t="shared" si="20"/>
        <v/>
      </c>
      <c r="AD147" s="312" t="str">
        <f t="shared" si="21"/>
        <v/>
      </c>
      <c r="AE147" s="308" t="str">
        <f t="shared" si="22"/>
        <v/>
      </c>
      <c r="AF147" s="313" t="str">
        <f t="shared" si="23"/>
        <v/>
      </c>
      <c r="AG147" s="304" t="str">
        <f t="shared" si="24"/>
        <v/>
      </c>
      <c r="AH147" s="308" t="str">
        <f t="shared" si="25"/>
        <v/>
      </c>
      <c r="AI147" s="313" t="str">
        <f t="shared" si="26"/>
        <v/>
      </c>
      <c r="AJ147" s="304" t="str">
        <f t="shared" si="27"/>
        <v/>
      </c>
      <c r="AK147" s="308" t="str">
        <f t="shared" si="28"/>
        <v/>
      </c>
      <c r="AL147" s="308" t="str">
        <f t="shared" si="29"/>
        <v/>
      </c>
      <c r="AM147" s="304" t="str">
        <f t="shared" si="30"/>
        <v/>
      </c>
      <c r="AN147" s="308" t="str">
        <f t="shared" si="31"/>
        <v/>
      </c>
      <c r="AO147" s="313" t="str">
        <f t="shared" si="32"/>
        <v/>
      </c>
      <c r="AP147" s="304" t="str">
        <f t="shared" si="33"/>
        <v/>
      </c>
      <c r="AQ147" s="308" t="str">
        <f t="shared" si="34"/>
        <v/>
      </c>
      <c r="AR147" s="313" t="str">
        <f t="shared" si="35"/>
        <v/>
      </c>
      <c r="AS147" s="304" t="str">
        <f t="shared" si="36"/>
        <v/>
      </c>
      <c r="AT147" s="308" t="str">
        <f t="shared" si="37"/>
        <v/>
      </c>
      <c r="AU147" s="308" t="str">
        <f t="shared" si="38"/>
        <v/>
      </c>
      <c r="AV147" s="304" t="str">
        <f t="shared" si="39"/>
        <v/>
      </c>
      <c r="AW147" s="308" t="str">
        <f t="shared" si="40"/>
        <v/>
      </c>
      <c r="AX147" s="308" t="str">
        <f t="shared" si="41"/>
        <v/>
      </c>
      <c r="AY147" s="304" t="str">
        <f t="shared" si="42"/>
        <v/>
      </c>
      <c r="AZ147" s="308" t="str">
        <f t="shared" si="43"/>
        <v/>
      </c>
      <c r="BA147" s="313" t="str">
        <f t="shared" si="44"/>
        <v/>
      </c>
      <c r="BB147" s="304" t="str">
        <f t="shared" si="45"/>
        <v/>
      </c>
      <c r="BC147" s="308" t="str">
        <f t="shared" si="46"/>
        <v/>
      </c>
      <c r="BD147" s="308" t="str">
        <f t="shared" si="47"/>
        <v/>
      </c>
    </row>
    <row r="148">
      <c r="A148" s="318"/>
      <c r="B148" s="318"/>
      <c r="C148" s="319"/>
      <c r="D148" s="301" t="str">
        <f>IFERROR(__xludf.DUMMYFUNCTION("if(ISBLANK(A148),"""",GOOGLEFINANCE(A148,""NAME""))"),"")</f>
        <v/>
      </c>
      <c r="E148" s="302">
        <v>5000.0</v>
      </c>
      <c r="F148" s="303" t="str">
        <f>IFERROR(__xludf.DUMMYFUNCTION("if(ISBLANK(A148),"""",GOOGLEFINANCE(A148,""HIGH52""))"),"")</f>
        <v/>
      </c>
      <c r="G148" s="303" t="str">
        <f>IFERROR(__xludf.DUMMYFUNCTION("if(ISBLANK(A148),"""",GOOGLEFINANCE(A148,""LOW52""))"),"")</f>
        <v/>
      </c>
      <c r="H148" s="304" t="str">
        <f>IFERROR(__xludf.DUMMYFUNCTION("if(ISBLANK(A148),"""",GOOGLEFINANCE(A148,""Price""))"),"")</f>
        <v/>
      </c>
      <c r="I148" s="305" t="str">
        <f t="shared" si="1"/>
        <v/>
      </c>
      <c r="J148" s="306" t="str">
        <f t="shared" si="2"/>
        <v/>
      </c>
      <c r="K148" s="307" t="str">
        <f>IFERROR(__xludf.DUMMYFUNCTION("if(ISBLANK(A148),"""",googlefinance(A148,""Marketcap"")/10000000)"),"")</f>
        <v/>
      </c>
      <c r="L148" s="309" t="str">
        <f t="shared" si="3"/>
        <v/>
      </c>
      <c r="M148" s="308" t="str">
        <f t="shared" si="4"/>
        <v/>
      </c>
      <c r="N148" s="309" t="str">
        <f t="shared" si="5"/>
        <v/>
      </c>
      <c r="O148" s="322" t="str">
        <f t="shared" si="6"/>
        <v/>
      </c>
      <c r="P148" s="308" t="str">
        <f t="shared" si="7"/>
        <v/>
      </c>
      <c r="Q148" s="311" t="str">
        <f t="shared" si="8"/>
        <v/>
      </c>
      <c r="R148" s="309" t="str">
        <f t="shared" si="9"/>
        <v/>
      </c>
      <c r="S148" s="308" t="str">
        <f t="shared" si="10"/>
        <v/>
      </c>
      <c r="T148" s="309" t="str">
        <f t="shared" si="11"/>
        <v/>
      </c>
      <c r="U148" s="309" t="str">
        <f t="shared" si="12"/>
        <v/>
      </c>
      <c r="V148" s="308" t="str">
        <f t="shared" si="13"/>
        <v/>
      </c>
      <c r="W148" s="309" t="str">
        <f t="shared" si="14"/>
        <v/>
      </c>
      <c r="X148" s="309" t="str">
        <f t="shared" si="15"/>
        <v/>
      </c>
      <c r="Y148" s="308" t="str">
        <f t="shared" si="16"/>
        <v/>
      </c>
      <c r="Z148" s="309" t="str">
        <f t="shared" si="17"/>
        <v/>
      </c>
      <c r="AA148" s="312" t="str">
        <f t="shared" si="18"/>
        <v/>
      </c>
      <c r="AB148" s="308" t="str">
        <f t="shared" si="19"/>
        <v/>
      </c>
      <c r="AC148" s="308" t="str">
        <f t="shared" si="20"/>
        <v/>
      </c>
      <c r="AD148" s="312" t="str">
        <f t="shared" si="21"/>
        <v/>
      </c>
      <c r="AE148" s="308" t="str">
        <f t="shared" si="22"/>
        <v/>
      </c>
      <c r="AF148" s="313" t="str">
        <f t="shared" si="23"/>
        <v/>
      </c>
      <c r="AG148" s="304" t="str">
        <f t="shared" si="24"/>
        <v/>
      </c>
      <c r="AH148" s="308" t="str">
        <f t="shared" si="25"/>
        <v/>
      </c>
      <c r="AI148" s="313" t="str">
        <f t="shared" si="26"/>
        <v/>
      </c>
      <c r="AJ148" s="304" t="str">
        <f t="shared" si="27"/>
        <v/>
      </c>
      <c r="AK148" s="308" t="str">
        <f t="shared" si="28"/>
        <v/>
      </c>
      <c r="AL148" s="308" t="str">
        <f t="shared" si="29"/>
        <v/>
      </c>
      <c r="AM148" s="304" t="str">
        <f t="shared" si="30"/>
        <v/>
      </c>
      <c r="AN148" s="308" t="str">
        <f t="shared" si="31"/>
        <v/>
      </c>
      <c r="AO148" s="313" t="str">
        <f t="shared" si="32"/>
        <v/>
      </c>
      <c r="AP148" s="304" t="str">
        <f t="shared" si="33"/>
        <v/>
      </c>
      <c r="AQ148" s="308" t="str">
        <f t="shared" si="34"/>
        <v/>
      </c>
      <c r="AR148" s="313" t="str">
        <f t="shared" si="35"/>
        <v/>
      </c>
      <c r="AS148" s="304" t="str">
        <f t="shared" si="36"/>
        <v/>
      </c>
      <c r="AT148" s="308" t="str">
        <f t="shared" si="37"/>
        <v/>
      </c>
      <c r="AU148" s="308" t="str">
        <f t="shared" si="38"/>
        <v/>
      </c>
      <c r="AV148" s="304" t="str">
        <f t="shared" si="39"/>
        <v/>
      </c>
      <c r="AW148" s="308" t="str">
        <f t="shared" si="40"/>
        <v/>
      </c>
      <c r="AX148" s="308" t="str">
        <f t="shared" si="41"/>
        <v/>
      </c>
      <c r="AY148" s="304" t="str">
        <f t="shared" si="42"/>
        <v/>
      </c>
      <c r="AZ148" s="308" t="str">
        <f t="shared" si="43"/>
        <v/>
      </c>
      <c r="BA148" s="313" t="str">
        <f t="shared" si="44"/>
        <v/>
      </c>
      <c r="BB148" s="304" t="str">
        <f t="shared" si="45"/>
        <v/>
      </c>
      <c r="BC148" s="308" t="str">
        <f t="shared" si="46"/>
        <v/>
      </c>
      <c r="BD148" s="308" t="str">
        <f t="shared" si="47"/>
        <v/>
      </c>
    </row>
    <row r="149">
      <c r="A149" s="315"/>
      <c r="B149" s="315"/>
      <c r="C149" s="316"/>
      <c r="D149" s="301" t="str">
        <f>IFERROR(__xludf.DUMMYFUNCTION("if(ISBLANK(A149),"""",GOOGLEFINANCE(A149,""NAME""))"),"")</f>
        <v/>
      </c>
      <c r="E149" s="302">
        <v>5000.0</v>
      </c>
      <c r="F149" s="303" t="str">
        <f>IFERROR(__xludf.DUMMYFUNCTION("if(ISBLANK(A149),"""",GOOGLEFINANCE(A149,""HIGH52""))"),"")</f>
        <v/>
      </c>
      <c r="G149" s="303" t="str">
        <f>IFERROR(__xludf.DUMMYFUNCTION("if(ISBLANK(A149),"""",GOOGLEFINANCE(A149,""LOW52""))"),"")</f>
        <v/>
      </c>
      <c r="H149" s="304" t="str">
        <f>IFERROR(__xludf.DUMMYFUNCTION("if(ISBLANK(A149),"""",GOOGLEFINANCE(A149,""Price""))"),"")</f>
        <v/>
      </c>
      <c r="I149" s="305" t="str">
        <f t="shared" si="1"/>
        <v/>
      </c>
      <c r="J149" s="306" t="str">
        <f t="shared" si="2"/>
        <v/>
      </c>
      <c r="K149" s="307" t="str">
        <f>IFERROR(__xludf.DUMMYFUNCTION("if(ISBLANK(A149),"""",googlefinance(A149,""Marketcap"")/10000000)"),"")</f>
        <v/>
      </c>
      <c r="L149" s="309" t="str">
        <f t="shared" si="3"/>
        <v/>
      </c>
      <c r="M149" s="308" t="str">
        <f t="shared" si="4"/>
        <v/>
      </c>
      <c r="N149" s="309" t="str">
        <f t="shared" si="5"/>
        <v/>
      </c>
      <c r="O149" s="322" t="str">
        <f t="shared" si="6"/>
        <v/>
      </c>
      <c r="P149" s="308" t="str">
        <f t="shared" si="7"/>
        <v/>
      </c>
      <c r="Q149" s="311" t="str">
        <f t="shared" si="8"/>
        <v/>
      </c>
      <c r="R149" s="309" t="str">
        <f t="shared" si="9"/>
        <v/>
      </c>
      <c r="S149" s="308" t="str">
        <f t="shared" si="10"/>
        <v/>
      </c>
      <c r="T149" s="309" t="str">
        <f t="shared" si="11"/>
        <v/>
      </c>
      <c r="U149" s="309" t="str">
        <f t="shared" si="12"/>
        <v/>
      </c>
      <c r="V149" s="308" t="str">
        <f t="shared" si="13"/>
        <v/>
      </c>
      <c r="W149" s="309" t="str">
        <f t="shared" si="14"/>
        <v/>
      </c>
      <c r="X149" s="309" t="str">
        <f t="shared" si="15"/>
        <v/>
      </c>
      <c r="Y149" s="308" t="str">
        <f t="shared" si="16"/>
        <v/>
      </c>
      <c r="Z149" s="309" t="str">
        <f t="shared" si="17"/>
        <v/>
      </c>
      <c r="AA149" s="312" t="str">
        <f t="shared" si="18"/>
        <v/>
      </c>
      <c r="AB149" s="308" t="str">
        <f t="shared" si="19"/>
        <v/>
      </c>
      <c r="AC149" s="308" t="str">
        <f t="shared" si="20"/>
        <v/>
      </c>
      <c r="AD149" s="312" t="str">
        <f t="shared" si="21"/>
        <v/>
      </c>
      <c r="AE149" s="308" t="str">
        <f t="shared" si="22"/>
        <v/>
      </c>
      <c r="AF149" s="313" t="str">
        <f t="shared" si="23"/>
        <v/>
      </c>
      <c r="AG149" s="304" t="str">
        <f t="shared" si="24"/>
        <v/>
      </c>
      <c r="AH149" s="308" t="str">
        <f t="shared" si="25"/>
        <v/>
      </c>
      <c r="AI149" s="313" t="str">
        <f t="shared" si="26"/>
        <v/>
      </c>
      <c r="AJ149" s="304" t="str">
        <f t="shared" si="27"/>
        <v/>
      </c>
      <c r="AK149" s="308" t="str">
        <f t="shared" si="28"/>
        <v/>
      </c>
      <c r="AL149" s="308" t="str">
        <f t="shared" si="29"/>
        <v/>
      </c>
      <c r="AM149" s="304" t="str">
        <f t="shared" si="30"/>
        <v/>
      </c>
      <c r="AN149" s="308" t="str">
        <f t="shared" si="31"/>
        <v/>
      </c>
      <c r="AO149" s="313" t="str">
        <f t="shared" si="32"/>
        <v/>
      </c>
      <c r="AP149" s="304" t="str">
        <f t="shared" si="33"/>
        <v/>
      </c>
      <c r="AQ149" s="308" t="str">
        <f t="shared" si="34"/>
        <v/>
      </c>
      <c r="AR149" s="313" t="str">
        <f t="shared" si="35"/>
        <v/>
      </c>
      <c r="AS149" s="304" t="str">
        <f t="shared" si="36"/>
        <v/>
      </c>
      <c r="AT149" s="308" t="str">
        <f t="shared" si="37"/>
        <v/>
      </c>
      <c r="AU149" s="308" t="str">
        <f t="shared" si="38"/>
        <v/>
      </c>
      <c r="AV149" s="304" t="str">
        <f t="shared" si="39"/>
        <v/>
      </c>
      <c r="AW149" s="308" t="str">
        <f t="shared" si="40"/>
        <v/>
      </c>
      <c r="AX149" s="308" t="str">
        <f t="shared" si="41"/>
        <v/>
      </c>
      <c r="AY149" s="304" t="str">
        <f t="shared" si="42"/>
        <v/>
      </c>
      <c r="AZ149" s="308" t="str">
        <f t="shared" si="43"/>
        <v/>
      </c>
      <c r="BA149" s="313" t="str">
        <f t="shared" si="44"/>
        <v/>
      </c>
      <c r="BB149" s="304" t="str">
        <f t="shared" si="45"/>
        <v/>
      </c>
      <c r="BC149" s="308" t="str">
        <f t="shared" si="46"/>
        <v/>
      </c>
      <c r="BD149" s="308" t="str">
        <f t="shared" si="47"/>
        <v/>
      </c>
    </row>
    <row r="150">
      <c r="A150" s="299"/>
      <c r="B150" s="299"/>
      <c r="C150" s="300"/>
      <c r="D150" s="301" t="str">
        <f>IFERROR(__xludf.DUMMYFUNCTION("if(ISBLANK(A150),"""",GOOGLEFINANCE(A150,""NAME""))"),"")</f>
        <v/>
      </c>
      <c r="E150" s="302">
        <v>5000.0</v>
      </c>
      <c r="F150" s="303" t="str">
        <f>IFERROR(__xludf.DUMMYFUNCTION("if(ISBLANK(A150),"""",GOOGLEFINANCE(A150,""HIGH52""))"),"")</f>
        <v/>
      </c>
      <c r="G150" s="303" t="str">
        <f>IFERROR(__xludf.DUMMYFUNCTION("if(ISBLANK(A150),"""",GOOGLEFINANCE(A150,""LOW52""))"),"")</f>
        <v/>
      </c>
      <c r="H150" s="304" t="str">
        <f>IFERROR(__xludf.DUMMYFUNCTION("if(ISBLANK(A150),"""",GOOGLEFINANCE(A150,""Price""))"),"")</f>
        <v/>
      </c>
      <c r="I150" s="305" t="str">
        <f t="shared" si="1"/>
        <v/>
      </c>
      <c r="J150" s="306" t="str">
        <f t="shared" si="2"/>
        <v/>
      </c>
      <c r="K150" s="307" t="str">
        <f>IFERROR(__xludf.DUMMYFUNCTION("if(ISBLANK(A150),"""",googlefinance(A150,""Marketcap"")/10000000)"),"")</f>
        <v/>
      </c>
      <c r="L150" s="309" t="str">
        <f t="shared" si="3"/>
        <v/>
      </c>
      <c r="M150" s="308" t="str">
        <f t="shared" si="4"/>
        <v/>
      </c>
      <c r="N150" s="309" t="str">
        <f t="shared" si="5"/>
        <v/>
      </c>
      <c r="O150" s="322" t="str">
        <f t="shared" si="6"/>
        <v/>
      </c>
      <c r="P150" s="308" t="str">
        <f t="shared" si="7"/>
        <v/>
      </c>
      <c r="Q150" s="311" t="str">
        <f t="shared" si="8"/>
        <v/>
      </c>
      <c r="R150" s="309" t="str">
        <f t="shared" si="9"/>
        <v/>
      </c>
      <c r="S150" s="308" t="str">
        <f t="shared" si="10"/>
        <v/>
      </c>
      <c r="T150" s="309" t="str">
        <f t="shared" si="11"/>
        <v/>
      </c>
      <c r="U150" s="309" t="str">
        <f t="shared" si="12"/>
        <v/>
      </c>
      <c r="V150" s="308" t="str">
        <f t="shared" si="13"/>
        <v/>
      </c>
      <c r="W150" s="309" t="str">
        <f t="shared" si="14"/>
        <v/>
      </c>
      <c r="X150" s="309" t="str">
        <f t="shared" si="15"/>
        <v/>
      </c>
      <c r="Y150" s="308" t="str">
        <f t="shared" si="16"/>
        <v/>
      </c>
      <c r="Z150" s="309" t="str">
        <f t="shared" si="17"/>
        <v/>
      </c>
      <c r="AA150" s="312" t="str">
        <f t="shared" si="18"/>
        <v/>
      </c>
      <c r="AB150" s="308" t="str">
        <f t="shared" si="19"/>
        <v/>
      </c>
      <c r="AC150" s="308" t="str">
        <f t="shared" si="20"/>
        <v/>
      </c>
      <c r="AD150" s="312" t="str">
        <f t="shared" si="21"/>
        <v/>
      </c>
      <c r="AE150" s="308" t="str">
        <f t="shared" si="22"/>
        <v/>
      </c>
      <c r="AF150" s="313" t="str">
        <f t="shared" si="23"/>
        <v/>
      </c>
      <c r="AG150" s="304" t="str">
        <f t="shared" si="24"/>
        <v/>
      </c>
      <c r="AH150" s="308" t="str">
        <f t="shared" si="25"/>
        <v/>
      </c>
      <c r="AI150" s="313" t="str">
        <f t="shared" si="26"/>
        <v/>
      </c>
      <c r="AJ150" s="304" t="str">
        <f t="shared" si="27"/>
        <v/>
      </c>
      <c r="AK150" s="308" t="str">
        <f t="shared" si="28"/>
        <v/>
      </c>
      <c r="AL150" s="308" t="str">
        <f t="shared" si="29"/>
        <v/>
      </c>
      <c r="AM150" s="304" t="str">
        <f t="shared" si="30"/>
        <v/>
      </c>
      <c r="AN150" s="308" t="str">
        <f t="shared" si="31"/>
        <v/>
      </c>
      <c r="AO150" s="313" t="str">
        <f t="shared" si="32"/>
        <v/>
      </c>
      <c r="AP150" s="304" t="str">
        <f t="shared" si="33"/>
        <v/>
      </c>
      <c r="AQ150" s="308" t="str">
        <f t="shared" si="34"/>
        <v/>
      </c>
      <c r="AR150" s="313" t="str">
        <f t="shared" si="35"/>
        <v/>
      </c>
      <c r="AS150" s="304" t="str">
        <f t="shared" si="36"/>
        <v/>
      </c>
      <c r="AT150" s="308" t="str">
        <f t="shared" si="37"/>
        <v/>
      </c>
      <c r="AU150" s="308" t="str">
        <f t="shared" si="38"/>
        <v/>
      </c>
      <c r="AV150" s="304" t="str">
        <f t="shared" si="39"/>
        <v/>
      </c>
      <c r="AW150" s="308" t="str">
        <f t="shared" si="40"/>
        <v/>
      </c>
      <c r="AX150" s="308" t="str">
        <f t="shared" si="41"/>
        <v/>
      </c>
      <c r="AY150" s="304" t="str">
        <f t="shared" si="42"/>
        <v/>
      </c>
      <c r="AZ150" s="308" t="str">
        <f t="shared" si="43"/>
        <v/>
      </c>
      <c r="BA150" s="313" t="str">
        <f t="shared" si="44"/>
        <v/>
      </c>
      <c r="BB150" s="304" t="str">
        <f t="shared" si="45"/>
        <v/>
      </c>
      <c r="BC150" s="308" t="str">
        <f t="shared" si="46"/>
        <v/>
      </c>
      <c r="BD150" s="308" t="str">
        <f t="shared" si="47"/>
        <v/>
      </c>
    </row>
    <row r="151">
      <c r="A151" s="318"/>
      <c r="B151" s="318"/>
      <c r="C151" s="319"/>
      <c r="D151" s="301" t="str">
        <f>IFERROR(__xludf.DUMMYFUNCTION("if(ISBLANK(A151),"""",GOOGLEFINANCE(A151,""NAME""))"),"")</f>
        <v/>
      </c>
      <c r="E151" s="302">
        <v>5000.0</v>
      </c>
      <c r="F151" s="303" t="str">
        <f>IFERROR(__xludf.DUMMYFUNCTION("if(ISBLANK(A151),"""",GOOGLEFINANCE(A151,""HIGH52""))"),"")</f>
        <v/>
      </c>
      <c r="G151" s="303" t="str">
        <f>IFERROR(__xludf.DUMMYFUNCTION("if(ISBLANK(A151),"""",GOOGLEFINANCE(A151,""LOW52""))"),"")</f>
        <v/>
      </c>
      <c r="H151" s="304" t="str">
        <f>IFERROR(__xludf.DUMMYFUNCTION("if(ISBLANK(A151),"""",GOOGLEFINANCE(A151,""Price""))"),"")</f>
        <v/>
      </c>
      <c r="I151" s="305" t="str">
        <f t="shared" si="1"/>
        <v/>
      </c>
      <c r="J151" s="306" t="str">
        <f t="shared" si="2"/>
        <v/>
      </c>
      <c r="K151" s="307" t="str">
        <f>IFERROR(__xludf.DUMMYFUNCTION("if(ISBLANK(A151),"""",googlefinance(A151,""Marketcap"")/10000000)"),"")</f>
        <v/>
      </c>
      <c r="L151" s="309" t="str">
        <f t="shared" si="3"/>
        <v/>
      </c>
      <c r="M151" s="308" t="str">
        <f t="shared" si="4"/>
        <v/>
      </c>
      <c r="N151" s="309" t="str">
        <f t="shared" si="5"/>
        <v/>
      </c>
      <c r="O151" s="322" t="str">
        <f t="shared" si="6"/>
        <v/>
      </c>
      <c r="P151" s="308" t="str">
        <f t="shared" si="7"/>
        <v/>
      </c>
      <c r="Q151" s="311" t="str">
        <f t="shared" si="8"/>
        <v/>
      </c>
      <c r="R151" s="309" t="str">
        <f t="shared" si="9"/>
        <v/>
      </c>
      <c r="S151" s="308" t="str">
        <f t="shared" si="10"/>
        <v/>
      </c>
      <c r="T151" s="309" t="str">
        <f t="shared" si="11"/>
        <v/>
      </c>
      <c r="U151" s="309" t="str">
        <f t="shared" si="12"/>
        <v/>
      </c>
      <c r="V151" s="308" t="str">
        <f t="shared" si="13"/>
        <v/>
      </c>
      <c r="W151" s="309" t="str">
        <f t="shared" si="14"/>
        <v/>
      </c>
      <c r="X151" s="309" t="str">
        <f t="shared" si="15"/>
        <v/>
      </c>
      <c r="Y151" s="308" t="str">
        <f t="shared" si="16"/>
        <v/>
      </c>
      <c r="Z151" s="309" t="str">
        <f t="shared" si="17"/>
        <v/>
      </c>
      <c r="AA151" s="312" t="str">
        <f t="shared" si="18"/>
        <v/>
      </c>
      <c r="AB151" s="308" t="str">
        <f t="shared" si="19"/>
        <v/>
      </c>
      <c r="AC151" s="308" t="str">
        <f t="shared" si="20"/>
        <v/>
      </c>
      <c r="AD151" s="312" t="str">
        <f t="shared" si="21"/>
        <v/>
      </c>
      <c r="AE151" s="308" t="str">
        <f t="shared" si="22"/>
        <v/>
      </c>
      <c r="AF151" s="313" t="str">
        <f t="shared" si="23"/>
        <v/>
      </c>
      <c r="AG151" s="304" t="str">
        <f t="shared" si="24"/>
        <v/>
      </c>
      <c r="AH151" s="308" t="str">
        <f t="shared" si="25"/>
        <v/>
      </c>
      <c r="AI151" s="313" t="str">
        <f t="shared" si="26"/>
        <v/>
      </c>
      <c r="AJ151" s="304" t="str">
        <f t="shared" si="27"/>
        <v/>
      </c>
      <c r="AK151" s="308" t="str">
        <f t="shared" si="28"/>
        <v/>
      </c>
      <c r="AL151" s="308" t="str">
        <f t="shared" si="29"/>
        <v/>
      </c>
      <c r="AM151" s="304" t="str">
        <f t="shared" si="30"/>
        <v/>
      </c>
      <c r="AN151" s="308" t="str">
        <f t="shared" si="31"/>
        <v/>
      </c>
      <c r="AO151" s="313" t="str">
        <f t="shared" si="32"/>
        <v/>
      </c>
      <c r="AP151" s="304" t="str">
        <f t="shared" si="33"/>
        <v/>
      </c>
      <c r="AQ151" s="308" t="str">
        <f t="shared" si="34"/>
        <v/>
      </c>
      <c r="AR151" s="313" t="str">
        <f t="shared" si="35"/>
        <v/>
      </c>
      <c r="AS151" s="304" t="str">
        <f t="shared" si="36"/>
        <v/>
      </c>
      <c r="AT151" s="308" t="str">
        <f t="shared" si="37"/>
        <v/>
      </c>
      <c r="AU151" s="308" t="str">
        <f t="shared" si="38"/>
        <v/>
      </c>
      <c r="AV151" s="304" t="str">
        <f t="shared" si="39"/>
        <v/>
      </c>
      <c r="AW151" s="308" t="str">
        <f t="shared" si="40"/>
        <v/>
      </c>
      <c r="AX151" s="308" t="str">
        <f t="shared" si="41"/>
        <v/>
      </c>
      <c r="AY151" s="304" t="str">
        <f t="shared" si="42"/>
        <v/>
      </c>
      <c r="AZ151" s="308" t="str">
        <f t="shared" si="43"/>
        <v/>
      </c>
      <c r="BA151" s="313" t="str">
        <f t="shared" si="44"/>
        <v/>
      </c>
      <c r="BB151" s="304" t="str">
        <f t="shared" si="45"/>
        <v/>
      </c>
      <c r="BC151" s="308" t="str">
        <f t="shared" si="46"/>
        <v/>
      </c>
      <c r="BD151" s="308" t="str">
        <f t="shared" si="47"/>
        <v/>
      </c>
    </row>
    <row r="152">
      <c r="A152" s="299"/>
      <c r="B152" s="299"/>
      <c r="C152" s="300"/>
      <c r="D152" s="301" t="str">
        <f>IFERROR(__xludf.DUMMYFUNCTION("if(ISBLANK(A152),"""",GOOGLEFINANCE(A152,""NAME""))"),"")</f>
        <v/>
      </c>
      <c r="E152" s="302">
        <v>5000.0</v>
      </c>
      <c r="F152" s="303" t="str">
        <f>IFERROR(__xludf.DUMMYFUNCTION("if(ISBLANK(A152),"""",GOOGLEFINANCE(A152,""HIGH52""))"),"")</f>
        <v/>
      </c>
      <c r="G152" s="303" t="str">
        <f>IFERROR(__xludf.DUMMYFUNCTION("if(ISBLANK(A152),"""",GOOGLEFINANCE(A152,""LOW52""))"),"")</f>
        <v/>
      </c>
      <c r="H152" s="304" t="str">
        <f>IFERROR(__xludf.DUMMYFUNCTION("if(ISBLANK(A152),"""",GOOGLEFINANCE(A152,""Price""))"),"")</f>
        <v/>
      </c>
      <c r="I152" s="305" t="str">
        <f t="shared" si="1"/>
        <v/>
      </c>
      <c r="J152" s="306" t="str">
        <f t="shared" si="2"/>
        <v/>
      </c>
      <c r="K152" s="307" t="str">
        <f>IFERROR(__xludf.DUMMYFUNCTION("if(ISBLANK(A152),"""",googlefinance(A152,""Marketcap"")/10000000)"),"")</f>
        <v/>
      </c>
      <c r="L152" s="309" t="str">
        <f t="shared" si="3"/>
        <v/>
      </c>
      <c r="M152" s="308" t="str">
        <f t="shared" si="4"/>
        <v/>
      </c>
      <c r="N152" s="309" t="str">
        <f t="shared" si="5"/>
        <v/>
      </c>
      <c r="O152" s="322" t="str">
        <f t="shared" si="6"/>
        <v/>
      </c>
      <c r="P152" s="308" t="str">
        <f t="shared" si="7"/>
        <v/>
      </c>
      <c r="Q152" s="311" t="str">
        <f t="shared" si="8"/>
        <v/>
      </c>
      <c r="R152" s="309" t="str">
        <f t="shared" si="9"/>
        <v/>
      </c>
      <c r="S152" s="308" t="str">
        <f t="shared" si="10"/>
        <v/>
      </c>
      <c r="T152" s="309" t="str">
        <f t="shared" si="11"/>
        <v/>
      </c>
      <c r="U152" s="309" t="str">
        <f t="shared" si="12"/>
        <v/>
      </c>
      <c r="V152" s="308" t="str">
        <f t="shared" si="13"/>
        <v/>
      </c>
      <c r="W152" s="309" t="str">
        <f t="shared" si="14"/>
        <v/>
      </c>
      <c r="X152" s="309" t="str">
        <f t="shared" si="15"/>
        <v/>
      </c>
      <c r="Y152" s="308" t="str">
        <f t="shared" si="16"/>
        <v/>
      </c>
      <c r="Z152" s="309" t="str">
        <f t="shared" si="17"/>
        <v/>
      </c>
      <c r="AA152" s="312" t="str">
        <f t="shared" si="18"/>
        <v/>
      </c>
      <c r="AB152" s="308" t="str">
        <f t="shared" si="19"/>
        <v/>
      </c>
      <c r="AC152" s="308" t="str">
        <f t="shared" si="20"/>
        <v/>
      </c>
      <c r="AD152" s="312" t="str">
        <f t="shared" si="21"/>
        <v/>
      </c>
      <c r="AE152" s="308" t="str">
        <f t="shared" si="22"/>
        <v/>
      </c>
      <c r="AF152" s="313" t="str">
        <f t="shared" si="23"/>
        <v/>
      </c>
      <c r="AG152" s="304" t="str">
        <f t="shared" si="24"/>
        <v/>
      </c>
      <c r="AH152" s="308" t="str">
        <f t="shared" si="25"/>
        <v/>
      </c>
      <c r="AI152" s="313" t="str">
        <f t="shared" si="26"/>
        <v/>
      </c>
      <c r="AJ152" s="304" t="str">
        <f t="shared" si="27"/>
        <v/>
      </c>
      <c r="AK152" s="308" t="str">
        <f t="shared" si="28"/>
        <v/>
      </c>
      <c r="AL152" s="308" t="str">
        <f t="shared" si="29"/>
        <v/>
      </c>
      <c r="AM152" s="304" t="str">
        <f t="shared" si="30"/>
        <v/>
      </c>
      <c r="AN152" s="308" t="str">
        <f t="shared" si="31"/>
        <v/>
      </c>
      <c r="AO152" s="313" t="str">
        <f t="shared" si="32"/>
        <v/>
      </c>
      <c r="AP152" s="304" t="str">
        <f t="shared" si="33"/>
        <v/>
      </c>
      <c r="AQ152" s="308" t="str">
        <f t="shared" si="34"/>
        <v/>
      </c>
      <c r="AR152" s="313" t="str">
        <f t="shared" si="35"/>
        <v/>
      </c>
      <c r="AS152" s="304" t="str">
        <f t="shared" si="36"/>
        <v/>
      </c>
      <c r="AT152" s="308" t="str">
        <f t="shared" si="37"/>
        <v/>
      </c>
      <c r="AU152" s="308" t="str">
        <f t="shared" si="38"/>
        <v/>
      </c>
      <c r="AV152" s="304" t="str">
        <f t="shared" si="39"/>
        <v/>
      </c>
      <c r="AW152" s="308" t="str">
        <f t="shared" si="40"/>
        <v/>
      </c>
      <c r="AX152" s="308" t="str">
        <f t="shared" si="41"/>
        <v/>
      </c>
      <c r="AY152" s="304" t="str">
        <f t="shared" si="42"/>
        <v/>
      </c>
      <c r="AZ152" s="308" t="str">
        <f t="shared" si="43"/>
        <v/>
      </c>
      <c r="BA152" s="313" t="str">
        <f t="shared" si="44"/>
        <v/>
      </c>
      <c r="BB152" s="304" t="str">
        <f t="shared" si="45"/>
        <v/>
      </c>
      <c r="BC152" s="308" t="str">
        <f t="shared" si="46"/>
        <v/>
      </c>
      <c r="BD152" s="308" t="str">
        <f t="shared" si="47"/>
        <v/>
      </c>
    </row>
    <row r="153">
      <c r="A153" s="299"/>
      <c r="B153" s="299"/>
      <c r="C153" s="300"/>
      <c r="D153" s="301" t="str">
        <f>IFERROR(__xludf.DUMMYFUNCTION("if(ISBLANK(A153),"""",GOOGLEFINANCE(A153,""NAME""))"),"")</f>
        <v/>
      </c>
      <c r="E153" s="302">
        <v>5000.0</v>
      </c>
      <c r="F153" s="303" t="str">
        <f>IFERROR(__xludf.DUMMYFUNCTION("if(ISBLANK(A153),"""",GOOGLEFINANCE(A153,""HIGH52""))"),"")</f>
        <v/>
      </c>
      <c r="G153" s="303" t="str">
        <f>IFERROR(__xludf.DUMMYFUNCTION("if(ISBLANK(A153),"""",GOOGLEFINANCE(A153,""LOW52""))"),"")</f>
        <v/>
      </c>
      <c r="H153" s="304" t="str">
        <f>IFERROR(__xludf.DUMMYFUNCTION("if(ISBLANK(A153),"""",GOOGLEFINANCE(A153,""Price""))"),"")</f>
        <v/>
      </c>
      <c r="I153" s="305" t="str">
        <f t="shared" si="1"/>
        <v/>
      </c>
      <c r="J153" s="306" t="str">
        <f t="shared" si="2"/>
        <v/>
      </c>
      <c r="K153" s="307" t="str">
        <f>IFERROR(__xludf.DUMMYFUNCTION("if(ISBLANK(A153),"""",googlefinance(A153,""Marketcap"")/10000000)"),"")</f>
        <v/>
      </c>
      <c r="L153" s="309" t="str">
        <f t="shared" si="3"/>
        <v/>
      </c>
      <c r="M153" s="308" t="str">
        <f t="shared" si="4"/>
        <v/>
      </c>
      <c r="N153" s="309" t="str">
        <f t="shared" si="5"/>
        <v/>
      </c>
      <c r="O153" s="322" t="str">
        <f t="shared" si="6"/>
        <v/>
      </c>
      <c r="P153" s="308" t="str">
        <f t="shared" si="7"/>
        <v/>
      </c>
      <c r="Q153" s="311" t="str">
        <f t="shared" si="8"/>
        <v/>
      </c>
      <c r="R153" s="309" t="str">
        <f t="shared" si="9"/>
        <v/>
      </c>
      <c r="S153" s="308" t="str">
        <f t="shared" si="10"/>
        <v/>
      </c>
      <c r="T153" s="309" t="str">
        <f t="shared" si="11"/>
        <v/>
      </c>
      <c r="U153" s="309" t="str">
        <f t="shared" si="12"/>
        <v/>
      </c>
      <c r="V153" s="308" t="str">
        <f t="shared" si="13"/>
        <v/>
      </c>
      <c r="W153" s="309" t="str">
        <f t="shared" si="14"/>
        <v/>
      </c>
      <c r="X153" s="309" t="str">
        <f t="shared" si="15"/>
        <v/>
      </c>
      <c r="Y153" s="308" t="str">
        <f t="shared" si="16"/>
        <v/>
      </c>
      <c r="Z153" s="309" t="str">
        <f t="shared" si="17"/>
        <v/>
      </c>
      <c r="AA153" s="312" t="str">
        <f t="shared" si="18"/>
        <v/>
      </c>
      <c r="AB153" s="308" t="str">
        <f t="shared" si="19"/>
        <v/>
      </c>
      <c r="AC153" s="308" t="str">
        <f t="shared" si="20"/>
        <v/>
      </c>
      <c r="AD153" s="312" t="str">
        <f t="shared" si="21"/>
        <v/>
      </c>
      <c r="AE153" s="308" t="str">
        <f t="shared" si="22"/>
        <v/>
      </c>
      <c r="AF153" s="313" t="str">
        <f t="shared" si="23"/>
        <v/>
      </c>
      <c r="AG153" s="304" t="str">
        <f t="shared" si="24"/>
        <v/>
      </c>
      <c r="AH153" s="308" t="str">
        <f t="shared" si="25"/>
        <v/>
      </c>
      <c r="AI153" s="313" t="str">
        <f t="shared" si="26"/>
        <v/>
      </c>
      <c r="AJ153" s="304" t="str">
        <f t="shared" si="27"/>
        <v/>
      </c>
      <c r="AK153" s="308" t="str">
        <f t="shared" si="28"/>
        <v/>
      </c>
      <c r="AL153" s="308" t="str">
        <f t="shared" si="29"/>
        <v/>
      </c>
      <c r="AM153" s="304" t="str">
        <f t="shared" si="30"/>
        <v/>
      </c>
      <c r="AN153" s="308" t="str">
        <f t="shared" si="31"/>
        <v/>
      </c>
      <c r="AO153" s="313" t="str">
        <f t="shared" si="32"/>
        <v/>
      </c>
      <c r="AP153" s="304" t="str">
        <f t="shared" si="33"/>
        <v/>
      </c>
      <c r="AQ153" s="308" t="str">
        <f t="shared" si="34"/>
        <v/>
      </c>
      <c r="AR153" s="313" t="str">
        <f t="shared" si="35"/>
        <v/>
      </c>
      <c r="AS153" s="304" t="str">
        <f t="shared" si="36"/>
        <v/>
      </c>
      <c r="AT153" s="308" t="str">
        <f t="shared" si="37"/>
        <v/>
      </c>
      <c r="AU153" s="308" t="str">
        <f t="shared" si="38"/>
        <v/>
      </c>
      <c r="AV153" s="304" t="str">
        <f t="shared" si="39"/>
        <v/>
      </c>
      <c r="AW153" s="308" t="str">
        <f t="shared" si="40"/>
        <v/>
      </c>
      <c r="AX153" s="308" t="str">
        <f t="shared" si="41"/>
        <v/>
      </c>
      <c r="AY153" s="304" t="str">
        <f t="shared" si="42"/>
        <v/>
      </c>
      <c r="AZ153" s="308" t="str">
        <f t="shared" si="43"/>
        <v/>
      </c>
      <c r="BA153" s="313" t="str">
        <f t="shared" si="44"/>
        <v/>
      </c>
      <c r="BB153" s="304" t="str">
        <f t="shared" si="45"/>
        <v/>
      </c>
      <c r="BC153" s="308" t="str">
        <f t="shared" si="46"/>
        <v/>
      </c>
      <c r="BD153" s="308" t="str">
        <f t="shared" si="47"/>
        <v/>
      </c>
    </row>
    <row r="154">
      <c r="A154" s="320"/>
      <c r="B154" s="320"/>
      <c r="C154" s="321"/>
      <c r="D154" s="301" t="str">
        <f>IFERROR(__xludf.DUMMYFUNCTION("if(ISBLANK(A154),"""",GOOGLEFINANCE(A154,""NAME""))"),"")</f>
        <v/>
      </c>
      <c r="E154" s="302">
        <v>5000.0</v>
      </c>
      <c r="F154" s="303" t="str">
        <f>IFERROR(__xludf.DUMMYFUNCTION("if(ISBLANK(A154),"""",GOOGLEFINANCE(A154,""HIGH52""))"),"")</f>
        <v/>
      </c>
      <c r="G154" s="303" t="str">
        <f>IFERROR(__xludf.DUMMYFUNCTION("if(ISBLANK(A154),"""",GOOGLEFINANCE(A154,""LOW52""))"),"")</f>
        <v/>
      </c>
      <c r="H154" s="304" t="str">
        <f>IFERROR(__xludf.DUMMYFUNCTION("if(ISBLANK(A154),"""",GOOGLEFINANCE(A154,""Price""))"),"")</f>
        <v/>
      </c>
      <c r="I154" s="305" t="str">
        <f t="shared" si="1"/>
        <v/>
      </c>
      <c r="J154" s="306" t="str">
        <f t="shared" si="2"/>
        <v/>
      </c>
      <c r="K154" s="307" t="str">
        <f>IFERROR(__xludf.DUMMYFUNCTION("if(ISBLANK(A154),"""",googlefinance(A154,""Marketcap"")/10000000)"),"")</f>
        <v/>
      </c>
      <c r="L154" s="309" t="str">
        <f t="shared" si="3"/>
        <v/>
      </c>
      <c r="M154" s="308" t="str">
        <f t="shared" si="4"/>
        <v/>
      </c>
      <c r="N154" s="309" t="str">
        <f t="shared" si="5"/>
        <v/>
      </c>
      <c r="O154" s="322" t="str">
        <f t="shared" si="6"/>
        <v/>
      </c>
      <c r="P154" s="308" t="str">
        <f t="shared" si="7"/>
        <v/>
      </c>
      <c r="Q154" s="311" t="str">
        <f t="shared" si="8"/>
        <v/>
      </c>
      <c r="R154" s="309" t="str">
        <f t="shared" si="9"/>
        <v/>
      </c>
      <c r="S154" s="308" t="str">
        <f t="shared" si="10"/>
        <v/>
      </c>
      <c r="T154" s="309" t="str">
        <f t="shared" si="11"/>
        <v/>
      </c>
      <c r="U154" s="309" t="str">
        <f t="shared" si="12"/>
        <v/>
      </c>
      <c r="V154" s="308" t="str">
        <f t="shared" si="13"/>
        <v/>
      </c>
      <c r="W154" s="309" t="str">
        <f t="shared" si="14"/>
        <v/>
      </c>
      <c r="X154" s="309" t="str">
        <f t="shared" si="15"/>
        <v/>
      </c>
      <c r="Y154" s="308" t="str">
        <f t="shared" si="16"/>
        <v/>
      </c>
      <c r="Z154" s="309" t="str">
        <f t="shared" si="17"/>
        <v/>
      </c>
      <c r="AA154" s="312" t="str">
        <f t="shared" si="18"/>
        <v/>
      </c>
      <c r="AB154" s="308" t="str">
        <f t="shared" si="19"/>
        <v/>
      </c>
      <c r="AC154" s="308" t="str">
        <f t="shared" si="20"/>
        <v/>
      </c>
      <c r="AD154" s="312" t="str">
        <f t="shared" si="21"/>
        <v/>
      </c>
      <c r="AE154" s="308" t="str">
        <f t="shared" si="22"/>
        <v/>
      </c>
      <c r="AF154" s="313" t="str">
        <f t="shared" si="23"/>
        <v/>
      </c>
      <c r="AG154" s="304" t="str">
        <f t="shared" si="24"/>
        <v/>
      </c>
      <c r="AH154" s="308" t="str">
        <f t="shared" si="25"/>
        <v/>
      </c>
      <c r="AI154" s="313" t="str">
        <f t="shared" si="26"/>
        <v/>
      </c>
      <c r="AJ154" s="304" t="str">
        <f t="shared" si="27"/>
        <v/>
      </c>
      <c r="AK154" s="308" t="str">
        <f t="shared" si="28"/>
        <v/>
      </c>
      <c r="AL154" s="308" t="str">
        <f t="shared" si="29"/>
        <v/>
      </c>
      <c r="AM154" s="304" t="str">
        <f t="shared" si="30"/>
        <v/>
      </c>
      <c r="AN154" s="308" t="str">
        <f t="shared" si="31"/>
        <v/>
      </c>
      <c r="AO154" s="313" t="str">
        <f t="shared" si="32"/>
        <v/>
      </c>
      <c r="AP154" s="304" t="str">
        <f t="shared" si="33"/>
        <v/>
      </c>
      <c r="AQ154" s="308" t="str">
        <f t="shared" si="34"/>
        <v/>
      </c>
      <c r="AR154" s="313" t="str">
        <f t="shared" si="35"/>
        <v/>
      </c>
      <c r="AS154" s="304" t="str">
        <f t="shared" si="36"/>
        <v/>
      </c>
      <c r="AT154" s="308" t="str">
        <f t="shared" si="37"/>
        <v/>
      </c>
      <c r="AU154" s="308" t="str">
        <f t="shared" si="38"/>
        <v/>
      </c>
      <c r="AV154" s="304" t="str">
        <f t="shared" si="39"/>
        <v/>
      </c>
      <c r="AW154" s="308" t="str">
        <f t="shared" si="40"/>
        <v/>
      </c>
      <c r="AX154" s="308" t="str">
        <f t="shared" si="41"/>
        <v/>
      </c>
      <c r="AY154" s="304" t="str">
        <f t="shared" si="42"/>
        <v/>
      </c>
      <c r="AZ154" s="308" t="str">
        <f t="shared" si="43"/>
        <v/>
      </c>
      <c r="BA154" s="313" t="str">
        <f t="shared" si="44"/>
        <v/>
      </c>
      <c r="BB154" s="304" t="str">
        <f t="shared" si="45"/>
        <v/>
      </c>
      <c r="BC154" s="308" t="str">
        <f t="shared" si="46"/>
        <v/>
      </c>
      <c r="BD154" s="308" t="str">
        <f t="shared" si="47"/>
        <v/>
      </c>
    </row>
    <row r="155">
      <c r="A155" s="299"/>
      <c r="B155" s="299"/>
      <c r="C155" s="300"/>
      <c r="D155" s="301" t="str">
        <f>IFERROR(__xludf.DUMMYFUNCTION("if(ISBLANK(A155),"""",GOOGLEFINANCE(A155,""NAME""))"),"")</f>
        <v/>
      </c>
      <c r="E155" s="302">
        <v>5000.0</v>
      </c>
      <c r="F155" s="303" t="str">
        <f>IFERROR(__xludf.DUMMYFUNCTION("if(ISBLANK(A155),"""",GOOGLEFINANCE(A155,""HIGH52""))"),"")</f>
        <v/>
      </c>
      <c r="G155" s="303" t="str">
        <f>IFERROR(__xludf.DUMMYFUNCTION("if(ISBLANK(A155),"""",GOOGLEFINANCE(A155,""LOW52""))"),"")</f>
        <v/>
      </c>
      <c r="H155" s="304" t="str">
        <f>IFERROR(__xludf.DUMMYFUNCTION("if(ISBLANK(A155),"""",GOOGLEFINANCE(A155,""Price""))"),"")</f>
        <v/>
      </c>
      <c r="I155" s="305" t="str">
        <f t="shared" si="1"/>
        <v/>
      </c>
      <c r="J155" s="306" t="str">
        <f t="shared" si="2"/>
        <v/>
      </c>
      <c r="K155" s="307" t="str">
        <f>IFERROR(__xludf.DUMMYFUNCTION("if(ISBLANK(A155),"""",googlefinance(A155,""Marketcap"")/10000000)"),"")</f>
        <v/>
      </c>
      <c r="L155" s="309" t="str">
        <f t="shared" si="3"/>
        <v/>
      </c>
      <c r="M155" s="308" t="str">
        <f t="shared" si="4"/>
        <v/>
      </c>
      <c r="N155" s="309" t="str">
        <f t="shared" si="5"/>
        <v/>
      </c>
      <c r="O155" s="322" t="str">
        <f t="shared" si="6"/>
        <v/>
      </c>
      <c r="P155" s="308" t="str">
        <f t="shared" si="7"/>
        <v/>
      </c>
      <c r="Q155" s="311" t="str">
        <f t="shared" si="8"/>
        <v/>
      </c>
      <c r="R155" s="309" t="str">
        <f t="shared" si="9"/>
        <v/>
      </c>
      <c r="S155" s="308" t="str">
        <f t="shared" si="10"/>
        <v/>
      </c>
      <c r="T155" s="309" t="str">
        <f t="shared" si="11"/>
        <v/>
      </c>
      <c r="U155" s="309" t="str">
        <f t="shared" si="12"/>
        <v/>
      </c>
      <c r="V155" s="308" t="str">
        <f t="shared" si="13"/>
        <v/>
      </c>
      <c r="W155" s="309" t="str">
        <f t="shared" si="14"/>
        <v/>
      </c>
      <c r="X155" s="309" t="str">
        <f t="shared" si="15"/>
        <v/>
      </c>
      <c r="Y155" s="308" t="str">
        <f t="shared" si="16"/>
        <v/>
      </c>
      <c r="Z155" s="309" t="str">
        <f t="shared" si="17"/>
        <v/>
      </c>
      <c r="AA155" s="312" t="str">
        <f t="shared" si="18"/>
        <v/>
      </c>
      <c r="AB155" s="308" t="str">
        <f t="shared" si="19"/>
        <v/>
      </c>
      <c r="AC155" s="308" t="str">
        <f t="shared" si="20"/>
        <v/>
      </c>
      <c r="AD155" s="312" t="str">
        <f t="shared" si="21"/>
        <v/>
      </c>
      <c r="AE155" s="308" t="str">
        <f t="shared" si="22"/>
        <v/>
      </c>
      <c r="AF155" s="313" t="str">
        <f t="shared" si="23"/>
        <v/>
      </c>
      <c r="AG155" s="304" t="str">
        <f t="shared" si="24"/>
        <v/>
      </c>
      <c r="AH155" s="308" t="str">
        <f t="shared" si="25"/>
        <v/>
      </c>
      <c r="AI155" s="313" t="str">
        <f t="shared" si="26"/>
        <v/>
      </c>
      <c r="AJ155" s="304" t="str">
        <f t="shared" si="27"/>
        <v/>
      </c>
      <c r="AK155" s="308" t="str">
        <f t="shared" si="28"/>
        <v/>
      </c>
      <c r="AL155" s="308" t="str">
        <f t="shared" si="29"/>
        <v/>
      </c>
      <c r="AM155" s="304" t="str">
        <f t="shared" si="30"/>
        <v/>
      </c>
      <c r="AN155" s="308" t="str">
        <f t="shared" si="31"/>
        <v/>
      </c>
      <c r="AO155" s="313" t="str">
        <f t="shared" si="32"/>
        <v/>
      </c>
      <c r="AP155" s="304" t="str">
        <f t="shared" si="33"/>
        <v/>
      </c>
      <c r="AQ155" s="308" t="str">
        <f t="shared" si="34"/>
        <v/>
      </c>
      <c r="AR155" s="313" t="str">
        <f t="shared" si="35"/>
        <v/>
      </c>
      <c r="AS155" s="304" t="str">
        <f t="shared" si="36"/>
        <v/>
      </c>
      <c r="AT155" s="308" t="str">
        <f t="shared" si="37"/>
        <v/>
      </c>
      <c r="AU155" s="308" t="str">
        <f t="shared" si="38"/>
        <v/>
      </c>
      <c r="AV155" s="304" t="str">
        <f t="shared" si="39"/>
        <v/>
      </c>
      <c r="AW155" s="308" t="str">
        <f t="shared" si="40"/>
        <v/>
      </c>
      <c r="AX155" s="308" t="str">
        <f t="shared" si="41"/>
        <v/>
      </c>
      <c r="AY155" s="304" t="str">
        <f t="shared" si="42"/>
        <v/>
      </c>
      <c r="AZ155" s="308" t="str">
        <f t="shared" si="43"/>
        <v/>
      </c>
      <c r="BA155" s="313" t="str">
        <f t="shared" si="44"/>
        <v/>
      </c>
      <c r="BB155" s="304" t="str">
        <f t="shared" si="45"/>
        <v/>
      </c>
      <c r="BC155" s="308" t="str">
        <f t="shared" si="46"/>
        <v/>
      </c>
      <c r="BD155" s="308" t="str">
        <f t="shared" si="47"/>
        <v/>
      </c>
    </row>
    <row r="156">
      <c r="A156" s="299"/>
      <c r="B156" s="299"/>
      <c r="C156" s="300"/>
      <c r="D156" s="301" t="str">
        <f>IFERROR(__xludf.DUMMYFUNCTION("if(ISBLANK(A156),"""",GOOGLEFINANCE(A156,""NAME""))"),"")</f>
        <v/>
      </c>
      <c r="E156" s="302">
        <v>5000.0</v>
      </c>
      <c r="F156" s="303" t="str">
        <f>IFERROR(__xludf.DUMMYFUNCTION("if(ISBLANK(A156),"""",GOOGLEFINANCE(A156,""HIGH52""))"),"")</f>
        <v/>
      </c>
      <c r="G156" s="303" t="str">
        <f>IFERROR(__xludf.DUMMYFUNCTION("if(ISBLANK(A156),"""",GOOGLEFINANCE(A156,""LOW52""))"),"")</f>
        <v/>
      </c>
      <c r="H156" s="304" t="str">
        <f>IFERROR(__xludf.DUMMYFUNCTION("if(ISBLANK(A156),"""",GOOGLEFINANCE(A156,""Price""))"),"")</f>
        <v/>
      </c>
      <c r="I156" s="305" t="str">
        <f t="shared" si="1"/>
        <v/>
      </c>
      <c r="J156" s="306" t="str">
        <f t="shared" si="2"/>
        <v/>
      </c>
      <c r="K156" s="307" t="str">
        <f>IFERROR(__xludf.DUMMYFUNCTION("if(ISBLANK(A156),"""",googlefinance(A156,""Marketcap"")/10000000)"),"")</f>
        <v/>
      </c>
      <c r="L156" s="309" t="str">
        <f t="shared" si="3"/>
        <v/>
      </c>
      <c r="M156" s="308" t="str">
        <f t="shared" si="4"/>
        <v/>
      </c>
      <c r="N156" s="309" t="str">
        <f t="shared" si="5"/>
        <v/>
      </c>
      <c r="O156" s="322" t="str">
        <f t="shared" si="6"/>
        <v/>
      </c>
      <c r="P156" s="308" t="str">
        <f t="shared" si="7"/>
        <v/>
      </c>
      <c r="Q156" s="311" t="str">
        <f t="shared" si="8"/>
        <v/>
      </c>
      <c r="R156" s="309" t="str">
        <f t="shared" si="9"/>
        <v/>
      </c>
      <c r="S156" s="308" t="str">
        <f t="shared" si="10"/>
        <v/>
      </c>
      <c r="T156" s="309" t="str">
        <f t="shared" si="11"/>
        <v/>
      </c>
      <c r="U156" s="309" t="str">
        <f t="shared" si="12"/>
        <v/>
      </c>
      <c r="V156" s="308" t="str">
        <f t="shared" si="13"/>
        <v/>
      </c>
      <c r="W156" s="309" t="str">
        <f t="shared" si="14"/>
        <v/>
      </c>
      <c r="X156" s="309" t="str">
        <f t="shared" si="15"/>
        <v/>
      </c>
      <c r="Y156" s="308" t="str">
        <f t="shared" si="16"/>
        <v/>
      </c>
      <c r="Z156" s="309" t="str">
        <f t="shared" si="17"/>
        <v/>
      </c>
      <c r="AA156" s="312" t="str">
        <f t="shared" si="18"/>
        <v/>
      </c>
      <c r="AB156" s="308" t="str">
        <f t="shared" si="19"/>
        <v/>
      </c>
      <c r="AC156" s="308" t="str">
        <f t="shared" si="20"/>
        <v/>
      </c>
      <c r="AD156" s="312" t="str">
        <f t="shared" si="21"/>
        <v/>
      </c>
      <c r="AE156" s="308" t="str">
        <f t="shared" si="22"/>
        <v/>
      </c>
      <c r="AF156" s="313" t="str">
        <f t="shared" si="23"/>
        <v/>
      </c>
      <c r="AG156" s="304" t="str">
        <f t="shared" si="24"/>
        <v/>
      </c>
      <c r="AH156" s="308" t="str">
        <f t="shared" si="25"/>
        <v/>
      </c>
      <c r="AI156" s="313" t="str">
        <f t="shared" si="26"/>
        <v/>
      </c>
      <c r="AJ156" s="304" t="str">
        <f t="shared" si="27"/>
        <v/>
      </c>
      <c r="AK156" s="308" t="str">
        <f t="shared" si="28"/>
        <v/>
      </c>
      <c r="AL156" s="308" t="str">
        <f t="shared" si="29"/>
        <v/>
      </c>
      <c r="AM156" s="304" t="str">
        <f t="shared" si="30"/>
        <v/>
      </c>
      <c r="AN156" s="308" t="str">
        <f t="shared" si="31"/>
        <v/>
      </c>
      <c r="AO156" s="313" t="str">
        <f t="shared" si="32"/>
        <v/>
      </c>
      <c r="AP156" s="304" t="str">
        <f t="shared" si="33"/>
        <v/>
      </c>
      <c r="AQ156" s="308" t="str">
        <f t="shared" si="34"/>
        <v/>
      </c>
      <c r="AR156" s="313" t="str">
        <f t="shared" si="35"/>
        <v/>
      </c>
      <c r="AS156" s="304" t="str">
        <f t="shared" si="36"/>
        <v/>
      </c>
      <c r="AT156" s="308" t="str">
        <f t="shared" si="37"/>
        <v/>
      </c>
      <c r="AU156" s="308" t="str">
        <f t="shared" si="38"/>
        <v/>
      </c>
      <c r="AV156" s="304" t="str">
        <f t="shared" si="39"/>
        <v/>
      </c>
      <c r="AW156" s="308" t="str">
        <f t="shared" si="40"/>
        <v/>
      </c>
      <c r="AX156" s="308" t="str">
        <f t="shared" si="41"/>
        <v/>
      </c>
      <c r="AY156" s="304" t="str">
        <f t="shared" si="42"/>
        <v/>
      </c>
      <c r="AZ156" s="308" t="str">
        <f t="shared" si="43"/>
        <v/>
      </c>
      <c r="BA156" s="313" t="str">
        <f t="shared" si="44"/>
        <v/>
      </c>
      <c r="BB156" s="304" t="str">
        <f t="shared" si="45"/>
        <v/>
      </c>
      <c r="BC156" s="308" t="str">
        <f t="shared" si="46"/>
        <v/>
      </c>
      <c r="BD156" s="308" t="str">
        <f t="shared" si="47"/>
        <v/>
      </c>
    </row>
    <row r="157">
      <c r="A157" s="299"/>
      <c r="B157" s="299"/>
      <c r="C157" s="300"/>
      <c r="D157" s="301" t="str">
        <f>IFERROR(__xludf.DUMMYFUNCTION("if(ISBLANK(A157),"""",GOOGLEFINANCE(A157,""NAME""))"),"")</f>
        <v/>
      </c>
      <c r="E157" s="302">
        <v>5000.0</v>
      </c>
      <c r="F157" s="303" t="str">
        <f>IFERROR(__xludf.DUMMYFUNCTION("if(ISBLANK(A157),"""",GOOGLEFINANCE(A157,""HIGH52""))"),"")</f>
        <v/>
      </c>
      <c r="G157" s="303" t="str">
        <f>IFERROR(__xludf.DUMMYFUNCTION("if(ISBLANK(A157),"""",GOOGLEFINANCE(A157,""LOW52""))"),"")</f>
        <v/>
      </c>
      <c r="H157" s="304" t="str">
        <f>IFERROR(__xludf.DUMMYFUNCTION("if(ISBLANK(A157),"""",GOOGLEFINANCE(A157,""Price""))"),"")</f>
        <v/>
      </c>
      <c r="I157" s="305" t="str">
        <f t="shared" si="1"/>
        <v/>
      </c>
      <c r="J157" s="306" t="str">
        <f t="shared" si="2"/>
        <v/>
      </c>
      <c r="K157" s="307" t="str">
        <f>IFERROR(__xludf.DUMMYFUNCTION("if(ISBLANK(A157),"""",googlefinance(A157,""Marketcap"")/10000000)"),"")</f>
        <v/>
      </c>
      <c r="L157" s="309" t="str">
        <f t="shared" si="3"/>
        <v/>
      </c>
      <c r="M157" s="308" t="str">
        <f t="shared" si="4"/>
        <v/>
      </c>
      <c r="N157" s="309" t="str">
        <f t="shared" si="5"/>
        <v/>
      </c>
      <c r="O157" s="322" t="str">
        <f t="shared" si="6"/>
        <v/>
      </c>
      <c r="P157" s="308" t="str">
        <f t="shared" si="7"/>
        <v/>
      </c>
      <c r="Q157" s="311" t="str">
        <f t="shared" si="8"/>
        <v/>
      </c>
      <c r="R157" s="309" t="str">
        <f t="shared" si="9"/>
        <v/>
      </c>
      <c r="S157" s="308" t="str">
        <f t="shared" si="10"/>
        <v/>
      </c>
      <c r="T157" s="309" t="str">
        <f t="shared" si="11"/>
        <v/>
      </c>
      <c r="U157" s="309" t="str">
        <f t="shared" si="12"/>
        <v/>
      </c>
      <c r="V157" s="308" t="str">
        <f t="shared" si="13"/>
        <v/>
      </c>
      <c r="W157" s="309" t="str">
        <f t="shared" si="14"/>
        <v/>
      </c>
      <c r="X157" s="309" t="str">
        <f t="shared" si="15"/>
        <v/>
      </c>
      <c r="Y157" s="308" t="str">
        <f t="shared" si="16"/>
        <v/>
      </c>
      <c r="Z157" s="309" t="str">
        <f t="shared" si="17"/>
        <v/>
      </c>
      <c r="AA157" s="312" t="str">
        <f t="shared" si="18"/>
        <v/>
      </c>
      <c r="AB157" s="308" t="str">
        <f t="shared" si="19"/>
        <v/>
      </c>
      <c r="AC157" s="308" t="str">
        <f t="shared" si="20"/>
        <v/>
      </c>
      <c r="AD157" s="312" t="str">
        <f t="shared" si="21"/>
        <v/>
      </c>
      <c r="AE157" s="308" t="str">
        <f t="shared" si="22"/>
        <v/>
      </c>
      <c r="AF157" s="313" t="str">
        <f t="shared" si="23"/>
        <v/>
      </c>
      <c r="AG157" s="304" t="str">
        <f t="shared" si="24"/>
        <v/>
      </c>
      <c r="AH157" s="308" t="str">
        <f t="shared" si="25"/>
        <v/>
      </c>
      <c r="AI157" s="313" t="str">
        <f t="shared" si="26"/>
        <v/>
      </c>
      <c r="AJ157" s="304" t="str">
        <f t="shared" si="27"/>
        <v/>
      </c>
      <c r="AK157" s="308" t="str">
        <f t="shared" si="28"/>
        <v/>
      </c>
      <c r="AL157" s="308" t="str">
        <f t="shared" si="29"/>
        <v/>
      </c>
      <c r="AM157" s="304" t="str">
        <f t="shared" si="30"/>
        <v/>
      </c>
      <c r="AN157" s="308" t="str">
        <f t="shared" si="31"/>
        <v/>
      </c>
      <c r="AO157" s="313" t="str">
        <f t="shared" si="32"/>
        <v/>
      </c>
      <c r="AP157" s="304" t="str">
        <f t="shared" si="33"/>
        <v/>
      </c>
      <c r="AQ157" s="308" t="str">
        <f t="shared" si="34"/>
        <v/>
      </c>
      <c r="AR157" s="313" t="str">
        <f t="shared" si="35"/>
        <v/>
      </c>
      <c r="AS157" s="304" t="str">
        <f t="shared" si="36"/>
        <v/>
      </c>
      <c r="AT157" s="308" t="str">
        <f t="shared" si="37"/>
        <v/>
      </c>
      <c r="AU157" s="308" t="str">
        <f t="shared" si="38"/>
        <v/>
      </c>
      <c r="AV157" s="304" t="str">
        <f t="shared" si="39"/>
        <v/>
      </c>
      <c r="AW157" s="308" t="str">
        <f t="shared" si="40"/>
        <v/>
      </c>
      <c r="AX157" s="308" t="str">
        <f t="shared" si="41"/>
        <v/>
      </c>
      <c r="AY157" s="304" t="str">
        <f t="shared" si="42"/>
        <v/>
      </c>
      <c r="AZ157" s="308" t="str">
        <f t="shared" si="43"/>
        <v/>
      </c>
      <c r="BA157" s="313" t="str">
        <f t="shared" si="44"/>
        <v/>
      </c>
      <c r="BB157" s="304" t="str">
        <f t="shared" si="45"/>
        <v/>
      </c>
      <c r="BC157" s="308" t="str">
        <f t="shared" si="46"/>
        <v/>
      </c>
      <c r="BD157" s="308" t="str">
        <f t="shared" si="47"/>
        <v/>
      </c>
    </row>
    <row r="158">
      <c r="A158" s="299"/>
      <c r="B158" s="299"/>
      <c r="C158" s="300"/>
      <c r="D158" s="301" t="str">
        <f>IFERROR(__xludf.DUMMYFUNCTION("if(ISBLANK(A158),"""",GOOGLEFINANCE(A158,""NAME""))"),"")</f>
        <v/>
      </c>
      <c r="E158" s="302">
        <v>5000.0</v>
      </c>
      <c r="F158" s="303" t="str">
        <f>IFERROR(__xludf.DUMMYFUNCTION("if(ISBLANK(A158),"""",GOOGLEFINANCE(A158,""HIGH52""))"),"")</f>
        <v/>
      </c>
      <c r="G158" s="303" t="str">
        <f>IFERROR(__xludf.DUMMYFUNCTION("if(ISBLANK(A158),"""",GOOGLEFINANCE(A158,""LOW52""))"),"")</f>
        <v/>
      </c>
      <c r="H158" s="304" t="str">
        <f>IFERROR(__xludf.DUMMYFUNCTION("if(ISBLANK(A158),"""",GOOGLEFINANCE(A158,""Price""))"),"")</f>
        <v/>
      </c>
      <c r="I158" s="305" t="str">
        <f t="shared" si="1"/>
        <v/>
      </c>
      <c r="J158" s="306" t="str">
        <f t="shared" si="2"/>
        <v/>
      </c>
      <c r="K158" s="307" t="str">
        <f>IFERROR(__xludf.DUMMYFUNCTION("if(ISBLANK(A158),"""",googlefinance(A158,""Marketcap"")/10000000)"),"")</f>
        <v/>
      </c>
      <c r="L158" s="309" t="str">
        <f t="shared" si="3"/>
        <v/>
      </c>
      <c r="M158" s="308" t="str">
        <f t="shared" si="4"/>
        <v/>
      </c>
      <c r="N158" s="309" t="str">
        <f t="shared" si="5"/>
        <v/>
      </c>
      <c r="O158" s="322" t="str">
        <f t="shared" si="6"/>
        <v/>
      </c>
      <c r="P158" s="308" t="str">
        <f t="shared" si="7"/>
        <v/>
      </c>
      <c r="Q158" s="311" t="str">
        <f t="shared" si="8"/>
        <v/>
      </c>
      <c r="R158" s="309" t="str">
        <f t="shared" si="9"/>
        <v/>
      </c>
      <c r="S158" s="308" t="str">
        <f t="shared" si="10"/>
        <v/>
      </c>
      <c r="T158" s="309" t="str">
        <f t="shared" si="11"/>
        <v/>
      </c>
      <c r="U158" s="309" t="str">
        <f t="shared" si="12"/>
        <v/>
      </c>
      <c r="V158" s="308" t="str">
        <f t="shared" si="13"/>
        <v/>
      </c>
      <c r="W158" s="309" t="str">
        <f t="shared" si="14"/>
        <v/>
      </c>
      <c r="X158" s="309" t="str">
        <f t="shared" si="15"/>
        <v/>
      </c>
      <c r="Y158" s="308" t="str">
        <f t="shared" si="16"/>
        <v/>
      </c>
      <c r="Z158" s="309" t="str">
        <f t="shared" si="17"/>
        <v/>
      </c>
      <c r="AA158" s="312" t="str">
        <f t="shared" si="18"/>
        <v/>
      </c>
      <c r="AB158" s="308" t="str">
        <f t="shared" si="19"/>
        <v/>
      </c>
      <c r="AC158" s="308" t="str">
        <f t="shared" si="20"/>
        <v/>
      </c>
      <c r="AD158" s="312" t="str">
        <f t="shared" si="21"/>
        <v/>
      </c>
      <c r="AE158" s="308" t="str">
        <f t="shared" si="22"/>
        <v/>
      </c>
      <c r="AF158" s="313" t="str">
        <f t="shared" si="23"/>
        <v/>
      </c>
      <c r="AG158" s="304" t="str">
        <f t="shared" si="24"/>
        <v/>
      </c>
      <c r="AH158" s="308" t="str">
        <f t="shared" si="25"/>
        <v/>
      </c>
      <c r="AI158" s="313" t="str">
        <f t="shared" si="26"/>
        <v/>
      </c>
      <c r="AJ158" s="304" t="str">
        <f t="shared" si="27"/>
        <v/>
      </c>
      <c r="AK158" s="308" t="str">
        <f t="shared" si="28"/>
        <v/>
      </c>
      <c r="AL158" s="308" t="str">
        <f t="shared" si="29"/>
        <v/>
      </c>
      <c r="AM158" s="304" t="str">
        <f t="shared" si="30"/>
        <v/>
      </c>
      <c r="AN158" s="308" t="str">
        <f t="shared" si="31"/>
        <v/>
      </c>
      <c r="AO158" s="313" t="str">
        <f t="shared" si="32"/>
        <v/>
      </c>
      <c r="AP158" s="304" t="str">
        <f t="shared" si="33"/>
        <v/>
      </c>
      <c r="AQ158" s="308" t="str">
        <f t="shared" si="34"/>
        <v/>
      </c>
      <c r="AR158" s="313" t="str">
        <f t="shared" si="35"/>
        <v/>
      </c>
      <c r="AS158" s="304" t="str">
        <f t="shared" si="36"/>
        <v/>
      </c>
      <c r="AT158" s="308" t="str">
        <f t="shared" si="37"/>
        <v/>
      </c>
      <c r="AU158" s="308" t="str">
        <f t="shared" si="38"/>
        <v/>
      </c>
      <c r="AV158" s="304" t="str">
        <f t="shared" si="39"/>
        <v/>
      </c>
      <c r="AW158" s="308" t="str">
        <f t="shared" si="40"/>
        <v/>
      </c>
      <c r="AX158" s="308" t="str">
        <f t="shared" si="41"/>
        <v/>
      </c>
      <c r="AY158" s="304" t="str">
        <f t="shared" si="42"/>
        <v/>
      </c>
      <c r="AZ158" s="308" t="str">
        <f t="shared" si="43"/>
        <v/>
      </c>
      <c r="BA158" s="313" t="str">
        <f t="shared" si="44"/>
        <v/>
      </c>
      <c r="BB158" s="304" t="str">
        <f t="shared" si="45"/>
        <v/>
      </c>
      <c r="BC158" s="308" t="str">
        <f t="shared" si="46"/>
        <v/>
      </c>
      <c r="BD158" s="308" t="str">
        <f t="shared" si="47"/>
        <v/>
      </c>
    </row>
    <row r="159">
      <c r="A159" s="315"/>
      <c r="B159" s="315"/>
      <c r="C159" s="316"/>
      <c r="D159" s="301" t="str">
        <f>IFERROR(__xludf.DUMMYFUNCTION("if(ISBLANK(A159),"""",GOOGLEFINANCE(A159,""NAME""))"),"")</f>
        <v/>
      </c>
      <c r="E159" s="302">
        <v>5000.0</v>
      </c>
      <c r="F159" s="303" t="str">
        <f>IFERROR(__xludf.DUMMYFUNCTION("if(ISBLANK(A159),"""",GOOGLEFINANCE(A159,""HIGH52""))"),"")</f>
        <v/>
      </c>
      <c r="G159" s="303" t="str">
        <f>IFERROR(__xludf.DUMMYFUNCTION("if(ISBLANK(A159),"""",GOOGLEFINANCE(A159,""LOW52""))"),"")</f>
        <v/>
      </c>
      <c r="H159" s="304" t="str">
        <f>IFERROR(__xludf.DUMMYFUNCTION("if(ISBLANK(A159),"""",GOOGLEFINANCE(A159,""Price""))"),"")</f>
        <v/>
      </c>
      <c r="I159" s="305" t="str">
        <f t="shared" si="1"/>
        <v/>
      </c>
      <c r="J159" s="306" t="str">
        <f t="shared" si="2"/>
        <v/>
      </c>
      <c r="K159" s="307" t="str">
        <f>IFERROR(__xludf.DUMMYFUNCTION("if(ISBLANK(A159),"""",googlefinance(A159,""Marketcap"")/10000000)"),"")</f>
        <v/>
      </c>
      <c r="L159" s="309" t="str">
        <f t="shared" si="3"/>
        <v/>
      </c>
      <c r="M159" s="308" t="str">
        <f t="shared" si="4"/>
        <v/>
      </c>
      <c r="N159" s="309" t="str">
        <f t="shared" si="5"/>
        <v/>
      </c>
      <c r="O159" s="322" t="str">
        <f t="shared" si="6"/>
        <v/>
      </c>
      <c r="P159" s="308" t="str">
        <f t="shared" si="7"/>
        <v/>
      </c>
      <c r="Q159" s="311" t="str">
        <f t="shared" si="8"/>
        <v/>
      </c>
      <c r="R159" s="309" t="str">
        <f t="shared" si="9"/>
        <v/>
      </c>
      <c r="S159" s="308" t="str">
        <f t="shared" si="10"/>
        <v/>
      </c>
      <c r="T159" s="309" t="str">
        <f t="shared" si="11"/>
        <v/>
      </c>
      <c r="U159" s="309" t="str">
        <f t="shared" si="12"/>
        <v/>
      </c>
      <c r="V159" s="308" t="str">
        <f t="shared" si="13"/>
        <v/>
      </c>
      <c r="W159" s="309" t="str">
        <f t="shared" si="14"/>
        <v/>
      </c>
      <c r="X159" s="309" t="str">
        <f t="shared" si="15"/>
        <v/>
      </c>
      <c r="Y159" s="308" t="str">
        <f t="shared" si="16"/>
        <v/>
      </c>
      <c r="Z159" s="309" t="str">
        <f t="shared" si="17"/>
        <v/>
      </c>
      <c r="AA159" s="312" t="str">
        <f t="shared" si="18"/>
        <v/>
      </c>
      <c r="AB159" s="308" t="str">
        <f t="shared" si="19"/>
        <v/>
      </c>
      <c r="AC159" s="308" t="str">
        <f t="shared" si="20"/>
        <v/>
      </c>
      <c r="AD159" s="312" t="str">
        <f t="shared" si="21"/>
        <v/>
      </c>
      <c r="AE159" s="308" t="str">
        <f t="shared" si="22"/>
        <v/>
      </c>
      <c r="AF159" s="313" t="str">
        <f t="shared" si="23"/>
        <v/>
      </c>
      <c r="AG159" s="304" t="str">
        <f t="shared" si="24"/>
        <v/>
      </c>
      <c r="AH159" s="308" t="str">
        <f t="shared" si="25"/>
        <v/>
      </c>
      <c r="AI159" s="313" t="str">
        <f t="shared" si="26"/>
        <v/>
      </c>
      <c r="AJ159" s="304" t="str">
        <f t="shared" si="27"/>
        <v/>
      </c>
      <c r="AK159" s="308" t="str">
        <f t="shared" si="28"/>
        <v/>
      </c>
      <c r="AL159" s="308" t="str">
        <f t="shared" si="29"/>
        <v/>
      </c>
      <c r="AM159" s="304" t="str">
        <f t="shared" si="30"/>
        <v/>
      </c>
      <c r="AN159" s="308" t="str">
        <f t="shared" si="31"/>
        <v/>
      </c>
      <c r="AO159" s="313" t="str">
        <f t="shared" si="32"/>
        <v/>
      </c>
      <c r="AP159" s="304" t="str">
        <f t="shared" si="33"/>
        <v/>
      </c>
      <c r="AQ159" s="308" t="str">
        <f t="shared" si="34"/>
        <v/>
      </c>
      <c r="AR159" s="313" t="str">
        <f t="shared" si="35"/>
        <v/>
      </c>
      <c r="AS159" s="304" t="str">
        <f t="shared" si="36"/>
        <v/>
      </c>
      <c r="AT159" s="308" t="str">
        <f t="shared" si="37"/>
        <v/>
      </c>
      <c r="AU159" s="308" t="str">
        <f t="shared" si="38"/>
        <v/>
      </c>
      <c r="AV159" s="304" t="str">
        <f t="shared" si="39"/>
        <v/>
      </c>
      <c r="AW159" s="308" t="str">
        <f t="shared" si="40"/>
        <v/>
      </c>
      <c r="AX159" s="308" t="str">
        <f t="shared" si="41"/>
        <v/>
      </c>
      <c r="AY159" s="304" t="str">
        <f t="shared" si="42"/>
        <v/>
      </c>
      <c r="AZ159" s="308" t="str">
        <f t="shared" si="43"/>
        <v/>
      </c>
      <c r="BA159" s="313" t="str">
        <f t="shared" si="44"/>
        <v/>
      </c>
      <c r="BB159" s="304" t="str">
        <f t="shared" si="45"/>
        <v/>
      </c>
      <c r="BC159" s="308" t="str">
        <f t="shared" si="46"/>
        <v/>
      </c>
      <c r="BD159" s="308" t="str">
        <f t="shared" si="47"/>
        <v/>
      </c>
    </row>
    <row r="160">
      <c r="A160" s="315"/>
      <c r="B160" s="315"/>
      <c r="C160" s="316"/>
      <c r="D160" s="301" t="str">
        <f>IFERROR(__xludf.DUMMYFUNCTION("if(ISBLANK(A160),"""",GOOGLEFINANCE(A160,""NAME""))"),"")</f>
        <v/>
      </c>
      <c r="E160" s="302">
        <v>5000.0</v>
      </c>
      <c r="F160" s="303" t="str">
        <f>IFERROR(__xludf.DUMMYFUNCTION("if(ISBLANK(A160),"""",GOOGLEFINANCE(A160,""HIGH52""))"),"")</f>
        <v/>
      </c>
      <c r="G160" s="303" t="str">
        <f>IFERROR(__xludf.DUMMYFUNCTION("if(ISBLANK(A160),"""",GOOGLEFINANCE(A160,""LOW52""))"),"")</f>
        <v/>
      </c>
      <c r="H160" s="304" t="str">
        <f>IFERROR(__xludf.DUMMYFUNCTION("if(ISBLANK(A160),"""",GOOGLEFINANCE(A160,""Price""))"),"")</f>
        <v/>
      </c>
      <c r="I160" s="305" t="str">
        <f t="shared" si="1"/>
        <v/>
      </c>
      <c r="J160" s="306" t="str">
        <f t="shared" si="2"/>
        <v/>
      </c>
      <c r="K160" s="307" t="str">
        <f>IFERROR(__xludf.DUMMYFUNCTION("if(ISBLANK(A160),"""",googlefinance(A160,""Marketcap"")/10000000)"),"")</f>
        <v/>
      </c>
      <c r="L160" s="309" t="str">
        <f t="shared" si="3"/>
        <v/>
      </c>
      <c r="M160" s="308" t="str">
        <f t="shared" si="4"/>
        <v/>
      </c>
      <c r="N160" s="309" t="str">
        <f t="shared" si="5"/>
        <v/>
      </c>
      <c r="O160" s="322" t="str">
        <f t="shared" si="6"/>
        <v/>
      </c>
      <c r="P160" s="308" t="str">
        <f t="shared" si="7"/>
        <v/>
      </c>
      <c r="Q160" s="311" t="str">
        <f t="shared" si="8"/>
        <v/>
      </c>
      <c r="R160" s="309" t="str">
        <f t="shared" si="9"/>
        <v/>
      </c>
      <c r="S160" s="308" t="str">
        <f t="shared" si="10"/>
        <v/>
      </c>
      <c r="T160" s="309" t="str">
        <f t="shared" si="11"/>
        <v/>
      </c>
      <c r="U160" s="309" t="str">
        <f t="shared" si="12"/>
        <v/>
      </c>
      <c r="V160" s="308" t="str">
        <f t="shared" si="13"/>
        <v/>
      </c>
      <c r="W160" s="309" t="str">
        <f t="shared" si="14"/>
        <v/>
      </c>
      <c r="X160" s="309" t="str">
        <f t="shared" si="15"/>
        <v/>
      </c>
      <c r="Y160" s="308" t="str">
        <f t="shared" si="16"/>
        <v/>
      </c>
      <c r="Z160" s="309" t="str">
        <f t="shared" si="17"/>
        <v/>
      </c>
      <c r="AA160" s="312" t="str">
        <f t="shared" si="18"/>
        <v/>
      </c>
      <c r="AB160" s="308" t="str">
        <f t="shared" si="19"/>
        <v/>
      </c>
      <c r="AC160" s="308" t="str">
        <f t="shared" si="20"/>
        <v/>
      </c>
      <c r="AD160" s="312" t="str">
        <f t="shared" si="21"/>
        <v/>
      </c>
      <c r="AE160" s="308" t="str">
        <f t="shared" si="22"/>
        <v/>
      </c>
      <c r="AF160" s="313" t="str">
        <f t="shared" si="23"/>
        <v/>
      </c>
      <c r="AG160" s="304" t="str">
        <f t="shared" si="24"/>
        <v/>
      </c>
      <c r="AH160" s="308" t="str">
        <f t="shared" si="25"/>
        <v/>
      </c>
      <c r="AI160" s="313" t="str">
        <f t="shared" si="26"/>
        <v/>
      </c>
      <c r="AJ160" s="304" t="str">
        <f t="shared" si="27"/>
        <v/>
      </c>
      <c r="AK160" s="308" t="str">
        <f t="shared" si="28"/>
        <v/>
      </c>
      <c r="AL160" s="308" t="str">
        <f t="shared" si="29"/>
        <v/>
      </c>
      <c r="AM160" s="304" t="str">
        <f t="shared" si="30"/>
        <v/>
      </c>
      <c r="AN160" s="308" t="str">
        <f t="shared" si="31"/>
        <v/>
      </c>
      <c r="AO160" s="313" t="str">
        <f t="shared" si="32"/>
        <v/>
      </c>
      <c r="AP160" s="304" t="str">
        <f t="shared" si="33"/>
        <v/>
      </c>
      <c r="AQ160" s="308" t="str">
        <f t="shared" si="34"/>
        <v/>
      </c>
      <c r="AR160" s="313" t="str">
        <f t="shared" si="35"/>
        <v/>
      </c>
      <c r="AS160" s="304" t="str">
        <f t="shared" si="36"/>
        <v/>
      </c>
      <c r="AT160" s="308" t="str">
        <f t="shared" si="37"/>
        <v/>
      </c>
      <c r="AU160" s="308" t="str">
        <f t="shared" si="38"/>
        <v/>
      </c>
      <c r="AV160" s="304" t="str">
        <f t="shared" si="39"/>
        <v/>
      </c>
      <c r="AW160" s="308" t="str">
        <f t="shared" si="40"/>
        <v/>
      </c>
      <c r="AX160" s="308" t="str">
        <f t="shared" si="41"/>
        <v/>
      </c>
      <c r="AY160" s="304" t="str">
        <f t="shared" si="42"/>
        <v/>
      </c>
      <c r="AZ160" s="308" t="str">
        <f t="shared" si="43"/>
        <v/>
      </c>
      <c r="BA160" s="313" t="str">
        <f t="shared" si="44"/>
        <v/>
      </c>
      <c r="BB160" s="304" t="str">
        <f t="shared" si="45"/>
        <v/>
      </c>
      <c r="BC160" s="308" t="str">
        <f t="shared" si="46"/>
        <v/>
      </c>
      <c r="BD160" s="308" t="str">
        <f t="shared" si="47"/>
        <v/>
      </c>
    </row>
    <row r="161">
      <c r="A161" s="323"/>
      <c r="B161" s="318"/>
      <c r="C161" s="319"/>
      <c r="D161" s="301" t="str">
        <f>IFERROR(__xludf.DUMMYFUNCTION("if(ISBLANK(A161),"""",GOOGLEFINANCE(A161,""NAME""))"),"")</f>
        <v/>
      </c>
      <c r="E161" s="302">
        <v>5000.0</v>
      </c>
      <c r="F161" s="303" t="str">
        <f>IFERROR(__xludf.DUMMYFUNCTION("if(ISBLANK(A161),"""",GOOGLEFINANCE(A161,""HIGH52""))"),"")</f>
        <v/>
      </c>
      <c r="G161" s="303" t="str">
        <f>IFERROR(__xludf.DUMMYFUNCTION("if(ISBLANK(A161),"""",GOOGLEFINANCE(A161,""LOW52""))"),"")</f>
        <v/>
      </c>
      <c r="H161" s="304" t="str">
        <f>IFERROR(__xludf.DUMMYFUNCTION("if(ISBLANK(A161),"""",GOOGLEFINANCE(A161,""Price""))"),"")</f>
        <v/>
      </c>
      <c r="I161" s="305" t="str">
        <f t="shared" si="1"/>
        <v/>
      </c>
      <c r="J161" s="306" t="str">
        <f t="shared" si="2"/>
        <v/>
      </c>
      <c r="K161" s="307" t="str">
        <f>IFERROR(__xludf.DUMMYFUNCTION("if(ISBLANK(A161),"""",googlefinance(A161,""Marketcap"")/10000000)"),"")</f>
        <v/>
      </c>
      <c r="L161" s="309" t="str">
        <f t="shared" si="3"/>
        <v/>
      </c>
      <c r="M161" s="308" t="str">
        <f t="shared" si="4"/>
        <v/>
      </c>
      <c r="N161" s="309" t="str">
        <f t="shared" si="5"/>
        <v/>
      </c>
      <c r="O161" s="322" t="str">
        <f t="shared" si="6"/>
        <v/>
      </c>
      <c r="P161" s="308" t="str">
        <f t="shared" si="7"/>
        <v/>
      </c>
      <c r="Q161" s="311" t="str">
        <f t="shared" si="8"/>
        <v/>
      </c>
      <c r="R161" s="309" t="str">
        <f t="shared" si="9"/>
        <v/>
      </c>
      <c r="S161" s="308" t="str">
        <f t="shared" si="10"/>
        <v/>
      </c>
      <c r="T161" s="309" t="str">
        <f t="shared" si="11"/>
        <v/>
      </c>
      <c r="U161" s="309" t="str">
        <f t="shared" si="12"/>
        <v/>
      </c>
      <c r="V161" s="308" t="str">
        <f t="shared" si="13"/>
        <v/>
      </c>
      <c r="W161" s="309" t="str">
        <f t="shared" si="14"/>
        <v/>
      </c>
      <c r="X161" s="309" t="str">
        <f t="shared" si="15"/>
        <v/>
      </c>
      <c r="Y161" s="308" t="str">
        <f t="shared" si="16"/>
        <v/>
      </c>
      <c r="Z161" s="309" t="str">
        <f t="shared" si="17"/>
        <v/>
      </c>
      <c r="AA161" s="312" t="str">
        <f t="shared" si="18"/>
        <v/>
      </c>
      <c r="AB161" s="308" t="str">
        <f t="shared" si="19"/>
        <v/>
      </c>
      <c r="AC161" s="308" t="str">
        <f t="shared" si="20"/>
        <v/>
      </c>
      <c r="AD161" s="312" t="str">
        <f t="shared" si="21"/>
        <v/>
      </c>
      <c r="AE161" s="308" t="str">
        <f t="shared" si="22"/>
        <v/>
      </c>
      <c r="AF161" s="313" t="str">
        <f t="shared" si="23"/>
        <v/>
      </c>
      <c r="AG161" s="304" t="str">
        <f t="shared" si="24"/>
        <v/>
      </c>
      <c r="AH161" s="308" t="str">
        <f t="shared" si="25"/>
        <v/>
      </c>
      <c r="AI161" s="313" t="str">
        <f t="shared" si="26"/>
        <v/>
      </c>
      <c r="AJ161" s="304" t="str">
        <f t="shared" si="27"/>
        <v/>
      </c>
      <c r="AK161" s="308" t="str">
        <f t="shared" si="28"/>
        <v/>
      </c>
      <c r="AL161" s="308" t="str">
        <f t="shared" si="29"/>
        <v/>
      </c>
      <c r="AM161" s="304" t="str">
        <f t="shared" si="30"/>
        <v/>
      </c>
      <c r="AN161" s="308" t="str">
        <f t="shared" si="31"/>
        <v/>
      </c>
      <c r="AO161" s="313" t="str">
        <f t="shared" si="32"/>
        <v/>
      </c>
      <c r="AP161" s="304" t="str">
        <f t="shared" si="33"/>
        <v/>
      </c>
      <c r="AQ161" s="308" t="str">
        <f t="shared" si="34"/>
        <v/>
      </c>
      <c r="AR161" s="313" t="str">
        <f t="shared" si="35"/>
        <v/>
      </c>
      <c r="AS161" s="304" t="str">
        <f t="shared" si="36"/>
        <v/>
      </c>
      <c r="AT161" s="308" t="str">
        <f t="shared" si="37"/>
        <v/>
      </c>
      <c r="AU161" s="308" t="str">
        <f t="shared" si="38"/>
        <v/>
      </c>
      <c r="AV161" s="304" t="str">
        <f t="shared" si="39"/>
        <v/>
      </c>
      <c r="AW161" s="308" t="str">
        <f t="shared" si="40"/>
        <v/>
      </c>
      <c r="AX161" s="308" t="str">
        <f t="shared" si="41"/>
        <v/>
      </c>
      <c r="AY161" s="304" t="str">
        <f t="shared" si="42"/>
        <v/>
      </c>
      <c r="AZ161" s="308" t="str">
        <f t="shared" si="43"/>
        <v/>
      </c>
      <c r="BA161" s="313" t="str">
        <f t="shared" si="44"/>
        <v/>
      </c>
      <c r="BB161" s="304" t="str">
        <f t="shared" si="45"/>
        <v/>
      </c>
      <c r="BC161" s="308" t="str">
        <f t="shared" si="46"/>
        <v/>
      </c>
      <c r="BD161" s="308" t="str">
        <f t="shared" si="47"/>
        <v/>
      </c>
    </row>
    <row r="162">
      <c r="A162" s="324"/>
      <c r="B162" s="299"/>
      <c r="C162" s="300"/>
      <c r="D162" s="301" t="str">
        <f>IFERROR(__xludf.DUMMYFUNCTION("if(ISBLANK(A162),"""",GOOGLEFINANCE(A162,""NAME""))"),"")</f>
        <v/>
      </c>
      <c r="E162" s="302">
        <v>5000.0</v>
      </c>
      <c r="F162" s="303" t="str">
        <f>IFERROR(__xludf.DUMMYFUNCTION("if(ISBLANK(A162),"""",GOOGLEFINANCE(A162,""HIGH52""))"),"")</f>
        <v/>
      </c>
      <c r="G162" s="303" t="str">
        <f>IFERROR(__xludf.DUMMYFUNCTION("if(ISBLANK(A162),"""",GOOGLEFINANCE(A162,""LOW52""))"),"")</f>
        <v/>
      </c>
      <c r="H162" s="304" t="str">
        <f>IFERROR(__xludf.DUMMYFUNCTION("if(ISBLANK(A162),"""",GOOGLEFINANCE(A162,""Price""))"),"")</f>
        <v/>
      </c>
      <c r="I162" s="305" t="str">
        <f t="shared" si="1"/>
        <v/>
      </c>
      <c r="J162" s="306" t="str">
        <f t="shared" si="2"/>
        <v/>
      </c>
      <c r="K162" s="307" t="str">
        <f>IFERROR(__xludf.DUMMYFUNCTION("if(ISBLANK(A162),"""",googlefinance(A162,""Marketcap"")/10000000)"),"")</f>
        <v/>
      </c>
      <c r="L162" s="309" t="str">
        <f t="shared" si="3"/>
        <v/>
      </c>
      <c r="M162" s="308" t="str">
        <f t="shared" si="4"/>
        <v/>
      </c>
      <c r="N162" s="309" t="str">
        <f t="shared" si="5"/>
        <v/>
      </c>
      <c r="O162" s="322" t="str">
        <f t="shared" si="6"/>
        <v/>
      </c>
      <c r="P162" s="308" t="str">
        <f t="shared" si="7"/>
        <v/>
      </c>
      <c r="Q162" s="311" t="str">
        <f t="shared" si="8"/>
        <v/>
      </c>
      <c r="R162" s="309" t="str">
        <f t="shared" si="9"/>
        <v/>
      </c>
      <c r="S162" s="308" t="str">
        <f t="shared" si="10"/>
        <v/>
      </c>
      <c r="T162" s="309" t="str">
        <f t="shared" si="11"/>
        <v/>
      </c>
      <c r="U162" s="309" t="str">
        <f t="shared" si="12"/>
        <v/>
      </c>
      <c r="V162" s="308" t="str">
        <f t="shared" si="13"/>
        <v/>
      </c>
      <c r="W162" s="309" t="str">
        <f t="shared" si="14"/>
        <v/>
      </c>
      <c r="X162" s="309" t="str">
        <f t="shared" si="15"/>
        <v/>
      </c>
      <c r="Y162" s="308" t="str">
        <f t="shared" si="16"/>
        <v/>
      </c>
      <c r="Z162" s="309" t="str">
        <f t="shared" si="17"/>
        <v/>
      </c>
      <c r="AA162" s="312" t="str">
        <f t="shared" si="18"/>
        <v/>
      </c>
      <c r="AB162" s="308" t="str">
        <f t="shared" si="19"/>
        <v/>
      </c>
      <c r="AC162" s="308" t="str">
        <f t="shared" si="20"/>
        <v/>
      </c>
      <c r="AD162" s="312" t="str">
        <f t="shared" si="21"/>
        <v/>
      </c>
      <c r="AE162" s="308" t="str">
        <f t="shared" si="22"/>
        <v/>
      </c>
      <c r="AF162" s="313" t="str">
        <f t="shared" si="23"/>
        <v/>
      </c>
      <c r="AG162" s="304" t="str">
        <f t="shared" si="24"/>
        <v/>
      </c>
      <c r="AH162" s="308" t="str">
        <f t="shared" si="25"/>
        <v/>
      </c>
      <c r="AI162" s="313" t="str">
        <f t="shared" si="26"/>
        <v/>
      </c>
      <c r="AJ162" s="304" t="str">
        <f t="shared" si="27"/>
        <v/>
      </c>
      <c r="AK162" s="308" t="str">
        <f t="shared" si="28"/>
        <v/>
      </c>
      <c r="AL162" s="308" t="str">
        <f t="shared" si="29"/>
        <v/>
      </c>
      <c r="AM162" s="304" t="str">
        <f t="shared" si="30"/>
        <v/>
      </c>
      <c r="AN162" s="308" t="str">
        <f t="shared" si="31"/>
        <v/>
      </c>
      <c r="AO162" s="313" t="str">
        <f t="shared" si="32"/>
        <v/>
      </c>
      <c r="AP162" s="304" t="str">
        <f t="shared" si="33"/>
        <v/>
      </c>
      <c r="AQ162" s="308" t="str">
        <f t="shared" si="34"/>
        <v/>
      </c>
      <c r="AR162" s="313" t="str">
        <f t="shared" si="35"/>
        <v/>
      </c>
      <c r="AS162" s="304" t="str">
        <f t="shared" si="36"/>
        <v/>
      </c>
      <c r="AT162" s="308" t="str">
        <f t="shared" si="37"/>
        <v/>
      </c>
      <c r="AU162" s="308" t="str">
        <f t="shared" si="38"/>
        <v/>
      </c>
      <c r="AV162" s="304" t="str">
        <f t="shared" si="39"/>
        <v/>
      </c>
      <c r="AW162" s="308" t="str">
        <f t="shared" si="40"/>
        <v/>
      </c>
      <c r="AX162" s="308" t="str">
        <f t="shared" si="41"/>
        <v/>
      </c>
      <c r="AY162" s="304" t="str">
        <f t="shared" si="42"/>
        <v/>
      </c>
      <c r="AZ162" s="308" t="str">
        <f t="shared" si="43"/>
        <v/>
      </c>
      <c r="BA162" s="313" t="str">
        <f t="shared" si="44"/>
        <v/>
      </c>
      <c r="BB162" s="304" t="str">
        <f t="shared" si="45"/>
        <v/>
      </c>
      <c r="BC162" s="308" t="str">
        <f t="shared" si="46"/>
        <v/>
      </c>
      <c r="BD162" s="308" t="str">
        <f t="shared" si="47"/>
        <v/>
      </c>
    </row>
    <row r="163">
      <c r="A163" s="323"/>
      <c r="B163" s="318"/>
      <c r="C163" s="319"/>
      <c r="D163" s="301" t="str">
        <f>IFERROR(__xludf.DUMMYFUNCTION("if(ISBLANK(A163),"""",GOOGLEFINANCE(A163,""NAME""))"),"")</f>
        <v/>
      </c>
      <c r="E163" s="302">
        <v>5000.0</v>
      </c>
      <c r="F163" s="303" t="str">
        <f>IFERROR(__xludf.DUMMYFUNCTION("if(ISBLANK(A163),"""",GOOGLEFINANCE(A163,""HIGH52""))"),"")</f>
        <v/>
      </c>
      <c r="G163" s="303" t="str">
        <f>IFERROR(__xludf.DUMMYFUNCTION("if(ISBLANK(A163),"""",GOOGLEFINANCE(A163,""LOW52""))"),"")</f>
        <v/>
      </c>
      <c r="H163" s="304" t="str">
        <f>IFERROR(__xludf.DUMMYFUNCTION("if(ISBLANK(A163),"""",GOOGLEFINANCE(A163,""Price""))"),"")</f>
        <v/>
      </c>
      <c r="I163" s="305" t="str">
        <f t="shared" si="1"/>
        <v/>
      </c>
      <c r="J163" s="306" t="str">
        <f t="shared" si="2"/>
        <v/>
      </c>
      <c r="K163" s="307" t="str">
        <f>IFERROR(__xludf.DUMMYFUNCTION("if(ISBLANK(A163),"""",googlefinance(A163,""Marketcap"")/10000000)"),"")</f>
        <v/>
      </c>
      <c r="L163" s="309" t="str">
        <f t="shared" si="3"/>
        <v/>
      </c>
      <c r="M163" s="308" t="str">
        <f t="shared" si="4"/>
        <v/>
      </c>
      <c r="N163" s="309" t="str">
        <f t="shared" si="5"/>
        <v/>
      </c>
      <c r="O163" s="322" t="str">
        <f t="shared" si="6"/>
        <v/>
      </c>
      <c r="P163" s="308" t="str">
        <f t="shared" si="7"/>
        <v/>
      </c>
      <c r="Q163" s="311" t="str">
        <f t="shared" si="8"/>
        <v/>
      </c>
      <c r="R163" s="309" t="str">
        <f t="shared" si="9"/>
        <v/>
      </c>
      <c r="S163" s="308" t="str">
        <f t="shared" si="10"/>
        <v/>
      </c>
      <c r="T163" s="309" t="str">
        <f t="shared" si="11"/>
        <v/>
      </c>
      <c r="U163" s="309" t="str">
        <f t="shared" si="12"/>
        <v/>
      </c>
      <c r="V163" s="308" t="str">
        <f t="shared" si="13"/>
        <v/>
      </c>
      <c r="W163" s="309" t="str">
        <f t="shared" si="14"/>
        <v/>
      </c>
      <c r="X163" s="309" t="str">
        <f t="shared" si="15"/>
        <v/>
      </c>
      <c r="Y163" s="308" t="str">
        <f t="shared" si="16"/>
        <v/>
      </c>
      <c r="Z163" s="309" t="str">
        <f t="shared" si="17"/>
        <v/>
      </c>
      <c r="AA163" s="312" t="str">
        <f t="shared" si="18"/>
        <v/>
      </c>
      <c r="AB163" s="308" t="str">
        <f t="shared" si="19"/>
        <v/>
      </c>
      <c r="AC163" s="308" t="str">
        <f t="shared" si="20"/>
        <v/>
      </c>
      <c r="AD163" s="312" t="str">
        <f t="shared" si="21"/>
        <v/>
      </c>
      <c r="AE163" s="308" t="str">
        <f t="shared" si="22"/>
        <v/>
      </c>
      <c r="AF163" s="313" t="str">
        <f t="shared" si="23"/>
        <v/>
      </c>
      <c r="AG163" s="304" t="str">
        <f t="shared" si="24"/>
        <v/>
      </c>
      <c r="AH163" s="308" t="str">
        <f t="shared" si="25"/>
        <v/>
      </c>
      <c r="AI163" s="313" t="str">
        <f t="shared" si="26"/>
        <v/>
      </c>
      <c r="AJ163" s="304" t="str">
        <f t="shared" si="27"/>
        <v/>
      </c>
      <c r="AK163" s="308" t="str">
        <f t="shared" si="28"/>
        <v/>
      </c>
      <c r="AL163" s="308" t="str">
        <f t="shared" si="29"/>
        <v/>
      </c>
      <c r="AM163" s="304" t="str">
        <f t="shared" si="30"/>
        <v/>
      </c>
      <c r="AN163" s="308" t="str">
        <f t="shared" si="31"/>
        <v/>
      </c>
      <c r="AO163" s="313" t="str">
        <f t="shared" si="32"/>
        <v/>
      </c>
      <c r="AP163" s="304" t="str">
        <f t="shared" si="33"/>
        <v/>
      </c>
      <c r="AQ163" s="308" t="str">
        <f t="shared" si="34"/>
        <v/>
      </c>
      <c r="AR163" s="313" t="str">
        <f t="shared" si="35"/>
        <v/>
      </c>
      <c r="AS163" s="304" t="str">
        <f t="shared" si="36"/>
        <v/>
      </c>
      <c r="AT163" s="308" t="str">
        <f t="shared" si="37"/>
        <v/>
      </c>
      <c r="AU163" s="308" t="str">
        <f t="shared" si="38"/>
        <v/>
      </c>
      <c r="AV163" s="304" t="str">
        <f t="shared" si="39"/>
        <v/>
      </c>
      <c r="AW163" s="308" t="str">
        <f t="shared" si="40"/>
        <v/>
      </c>
      <c r="AX163" s="308" t="str">
        <f t="shared" si="41"/>
        <v/>
      </c>
      <c r="AY163" s="304" t="str">
        <f t="shared" si="42"/>
        <v/>
      </c>
      <c r="AZ163" s="308" t="str">
        <f t="shared" si="43"/>
        <v/>
      </c>
      <c r="BA163" s="313" t="str">
        <f t="shared" si="44"/>
        <v/>
      </c>
      <c r="BB163" s="304" t="str">
        <f t="shared" si="45"/>
        <v/>
      </c>
      <c r="BC163" s="308" t="str">
        <f t="shared" si="46"/>
        <v/>
      </c>
      <c r="BD163" s="308" t="str">
        <f t="shared" si="47"/>
        <v/>
      </c>
    </row>
    <row r="164">
      <c r="A164" s="323"/>
      <c r="B164" s="318"/>
      <c r="C164" s="319"/>
      <c r="D164" s="301" t="str">
        <f>IFERROR(__xludf.DUMMYFUNCTION("if(ISBLANK(A164),"""",GOOGLEFINANCE(A164,""NAME""))"),"")</f>
        <v/>
      </c>
      <c r="E164" s="302">
        <v>5000.0</v>
      </c>
      <c r="F164" s="303" t="str">
        <f>IFERROR(__xludf.DUMMYFUNCTION("if(ISBLANK(A164),"""",GOOGLEFINANCE(A164,""HIGH52""))"),"")</f>
        <v/>
      </c>
      <c r="G164" s="303" t="str">
        <f>IFERROR(__xludf.DUMMYFUNCTION("if(ISBLANK(A164),"""",GOOGLEFINANCE(A164,""LOW52""))"),"")</f>
        <v/>
      </c>
      <c r="H164" s="304" t="str">
        <f>IFERROR(__xludf.DUMMYFUNCTION("if(ISBLANK(A164),"""",GOOGLEFINANCE(A164,""Price""))"),"")</f>
        <v/>
      </c>
      <c r="I164" s="305" t="str">
        <f t="shared" si="1"/>
        <v/>
      </c>
      <c r="J164" s="306" t="str">
        <f t="shared" si="2"/>
        <v/>
      </c>
      <c r="K164" s="307" t="str">
        <f>IFERROR(__xludf.DUMMYFUNCTION("if(ISBLANK(A164),"""",googlefinance(A164,""Marketcap"")/10000000)"),"")</f>
        <v/>
      </c>
      <c r="L164" s="309" t="str">
        <f t="shared" si="3"/>
        <v/>
      </c>
      <c r="M164" s="308" t="str">
        <f t="shared" si="4"/>
        <v/>
      </c>
      <c r="N164" s="309" t="str">
        <f t="shared" si="5"/>
        <v/>
      </c>
      <c r="O164" s="322" t="str">
        <f t="shared" si="6"/>
        <v/>
      </c>
      <c r="P164" s="308" t="str">
        <f t="shared" si="7"/>
        <v/>
      </c>
      <c r="Q164" s="311" t="str">
        <f t="shared" si="8"/>
        <v/>
      </c>
      <c r="R164" s="309" t="str">
        <f t="shared" si="9"/>
        <v/>
      </c>
      <c r="S164" s="308" t="str">
        <f t="shared" si="10"/>
        <v/>
      </c>
      <c r="T164" s="309" t="str">
        <f t="shared" si="11"/>
        <v/>
      </c>
      <c r="U164" s="309" t="str">
        <f t="shared" si="12"/>
        <v/>
      </c>
      <c r="V164" s="308" t="str">
        <f t="shared" si="13"/>
        <v/>
      </c>
      <c r="W164" s="309" t="str">
        <f t="shared" si="14"/>
        <v/>
      </c>
      <c r="X164" s="309" t="str">
        <f t="shared" si="15"/>
        <v/>
      </c>
      <c r="Y164" s="308" t="str">
        <f t="shared" si="16"/>
        <v/>
      </c>
      <c r="Z164" s="309" t="str">
        <f t="shared" si="17"/>
        <v/>
      </c>
      <c r="AA164" s="312" t="str">
        <f t="shared" si="18"/>
        <v/>
      </c>
      <c r="AB164" s="308" t="str">
        <f t="shared" si="19"/>
        <v/>
      </c>
      <c r="AC164" s="308" t="str">
        <f t="shared" si="20"/>
        <v/>
      </c>
      <c r="AD164" s="312" t="str">
        <f t="shared" si="21"/>
        <v/>
      </c>
      <c r="AE164" s="308" t="str">
        <f t="shared" si="22"/>
        <v/>
      </c>
      <c r="AF164" s="313" t="str">
        <f t="shared" si="23"/>
        <v/>
      </c>
      <c r="AG164" s="304" t="str">
        <f t="shared" si="24"/>
        <v/>
      </c>
      <c r="AH164" s="308" t="str">
        <f t="shared" si="25"/>
        <v/>
      </c>
      <c r="AI164" s="313" t="str">
        <f t="shared" si="26"/>
        <v/>
      </c>
      <c r="AJ164" s="304" t="str">
        <f t="shared" si="27"/>
        <v/>
      </c>
      <c r="AK164" s="308" t="str">
        <f t="shared" si="28"/>
        <v/>
      </c>
      <c r="AL164" s="308" t="str">
        <f t="shared" si="29"/>
        <v/>
      </c>
      <c r="AM164" s="304" t="str">
        <f t="shared" si="30"/>
        <v/>
      </c>
      <c r="AN164" s="308" t="str">
        <f t="shared" si="31"/>
        <v/>
      </c>
      <c r="AO164" s="313" t="str">
        <f t="shared" si="32"/>
        <v/>
      </c>
      <c r="AP164" s="304" t="str">
        <f t="shared" si="33"/>
        <v/>
      </c>
      <c r="AQ164" s="308" t="str">
        <f t="shared" si="34"/>
        <v/>
      </c>
      <c r="AR164" s="313" t="str">
        <f t="shared" si="35"/>
        <v/>
      </c>
      <c r="AS164" s="304" t="str">
        <f t="shared" si="36"/>
        <v/>
      </c>
      <c r="AT164" s="308" t="str">
        <f t="shared" si="37"/>
        <v/>
      </c>
      <c r="AU164" s="308" t="str">
        <f t="shared" si="38"/>
        <v/>
      </c>
      <c r="AV164" s="304" t="str">
        <f t="shared" si="39"/>
        <v/>
      </c>
      <c r="AW164" s="308" t="str">
        <f t="shared" si="40"/>
        <v/>
      </c>
      <c r="AX164" s="308" t="str">
        <f t="shared" si="41"/>
        <v/>
      </c>
      <c r="AY164" s="304" t="str">
        <f t="shared" si="42"/>
        <v/>
      </c>
      <c r="AZ164" s="308" t="str">
        <f t="shared" si="43"/>
        <v/>
      </c>
      <c r="BA164" s="313" t="str">
        <f t="shared" si="44"/>
        <v/>
      </c>
      <c r="BB164" s="304" t="str">
        <f t="shared" si="45"/>
        <v/>
      </c>
      <c r="BC164" s="308" t="str">
        <f t="shared" si="46"/>
        <v/>
      </c>
      <c r="BD164" s="308" t="str">
        <f t="shared" si="47"/>
        <v/>
      </c>
    </row>
    <row r="165">
      <c r="A165" s="323"/>
      <c r="B165" s="318"/>
      <c r="C165" s="319"/>
      <c r="D165" s="301" t="str">
        <f>IFERROR(__xludf.DUMMYFUNCTION("if(ISBLANK(A165),"""",GOOGLEFINANCE(A165,""NAME""))"),"")</f>
        <v/>
      </c>
      <c r="E165" s="302">
        <v>5000.0</v>
      </c>
      <c r="F165" s="303" t="str">
        <f>IFERROR(__xludf.DUMMYFUNCTION("if(ISBLANK(A165),"""",GOOGLEFINANCE(A165,""HIGH52""))"),"")</f>
        <v/>
      </c>
      <c r="G165" s="303" t="str">
        <f>IFERROR(__xludf.DUMMYFUNCTION("if(ISBLANK(A165),"""",GOOGLEFINANCE(A165,""LOW52""))"),"")</f>
        <v/>
      </c>
      <c r="H165" s="304" t="str">
        <f>IFERROR(__xludf.DUMMYFUNCTION("if(ISBLANK(A165),"""",GOOGLEFINANCE(A165,""Price""))"),"")</f>
        <v/>
      </c>
      <c r="I165" s="305" t="str">
        <f t="shared" si="1"/>
        <v/>
      </c>
      <c r="J165" s="306" t="str">
        <f t="shared" si="2"/>
        <v/>
      </c>
      <c r="K165" s="307" t="str">
        <f>IFERROR(__xludf.DUMMYFUNCTION("if(ISBLANK(A165),"""",googlefinance(A165,""Marketcap"")/10000000)"),"")</f>
        <v/>
      </c>
      <c r="L165" s="309" t="str">
        <f t="shared" si="3"/>
        <v/>
      </c>
      <c r="M165" s="308" t="str">
        <f t="shared" si="4"/>
        <v/>
      </c>
      <c r="N165" s="309" t="str">
        <f t="shared" si="5"/>
        <v/>
      </c>
      <c r="O165" s="322" t="str">
        <f t="shared" si="6"/>
        <v/>
      </c>
      <c r="P165" s="308" t="str">
        <f t="shared" si="7"/>
        <v/>
      </c>
      <c r="Q165" s="311" t="str">
        <f t="shared" si="8"/>
        <v/>
      </c>
      <c r="R165" s="309" t="str">
        <f t="shared" si="9"/>
        <v/>
      </c>
      <c r="S165" s="308" t="str">
        <f t="shared" si="10"/>
        <v/>
      </c>
      <c r="T165" s="309" t="str">
        <f t="shared" si="11"/>
        <v/>
      </c>
      <c r="U165" s="309" t="str">
        <f t="shared" si="12"/>
        <v/>
      </c>
      <c r="V165" s="308" t="str">
        <f t="shared" si="13"/>
        <v/>
      </c>
      <c r="W165" s="309" t="str">
        <f t="shared" si="14"/>
        <v/>
      </c>
      <c r="X165" s="309" t="str">
        <f t="shared" si="15"/>
        <v/>
      </c>
      <c r="Y165" s="308" t="str">
        <f t="shared" si="16"/>
        <v/>
      </c>
      <c r="Z165" s="309" t="str">
        <f t="shared" si="17"/>
        <v/>
      </c>
      <c r="AA165" s="312" t="str">
        <f t="shared" si="18"/>
        <v/>
      </c>
      <c r="AB165" s="308" t="str">
        <f t="shared" si="19"/>
        <v/>
      </c>
      <c r="AC165" s="308" t="str">
        <f t="shared" si="20"/>
        <v/>
      </c>
      <c r="AD165" s="312" t="str">
        <f t="shared" si="21"/>
        <v/>
      </c>
      <c r="AE165" s="308" t="str">
        <f t="shared" si="22"/>
        <v/>
      </c>
      <c r="AF165" s="313" t="str">
        <f t="shared" si="23"/>
        <v/>
      </c>
      <c r="AG165" s="304" t="str">
        <f t="shared" si="24"/>
        <v/>
      </c>
      <c r="AH165" s="308" t="str">
        <f t="shared" si="25"/>
        <v/>
      </c>
      <c r="AI165" s="313" t="str">
        <f t="shared" si="26"/>
        <v/>
      </c>
      <c r="AJ165" s="304" t="str">
        <f t="shared" si="27"/>
        <v/>
      </c>
      <c r="AK165" s="308" t="str">
        <f t="shared" si="28"/>
        <v/>
      </c>
      <c r="AL165" s="308" t="str">
        <f t="shared" si="29"/>
        <v/>
      </c>
      <c r="AM165" s="304" t="str">
        <f t="shared" si="30"/>
        <v/>
      </c>
      <c r="AN165" s="308" t="str">
        <f t="shared" si="31"/>
        <v/>
      </c>
      <c r="AO165" s="313" t="str">
        <f t="shared" si="32"/>
        <v/>
      </c>
      <c r="AP165" s="304" t="str">
        <f t="shared" si="33"/>
        <v/>
      </c>
      <c r="AQ165" s="308" t="str">
        <f t="shared" si="34"/>
        <v/>
      </c>
      <c r="AR165" s="313" t="str">
        <f t="shared" si="35"/>
        <v/>
      </c>
      <c r="AS165" s="304" t="str">
        <f t="shared" si="36"/>
        <v/>
      </c>
      <c r="AT165" s="308" t="str">
        <f t="shared" si="37"/>
        <v/>
      </c>
      <c r="AU165" s="308" t="str">
        <f t="shared" si="38"/>
        <v/>
      </c>
      <c r="AV165" s="304" t="str">
        <f t="shared" si="39"/>
        <v/>
      </c>
      <c r="AW165" s="308" t="str">
        <f t="shared" si="40"/>
        <v/>
      </c>
      <c r="AX165" s="308" t="str">
        <f t="shared" si="41"/>
        <v/>
      </c>
      <c r="AY165" s="304" t="str">
        <f t="shared" si="42"/>
        <v/>
      </c>
      <c r="AZ165" s="308" t="str">
        <f t="shared" si="43"/>
        <v/>
      </c>
      <c r="BA165" s="313" t="str">
        <f t="shared" si="44"/>
        <v/>
      </c>
      <c r="BB165" s="304" t="str">
        <f t="shared" si="45"/>
        <v/>
      </c>
      <c r="BC165" s="308" t="str">
        <f t="shared" si="46"/>
        <v/>
      </c>
      <c r="BD165" s="308" t="str">
        <f t="shared" si="47"/>
        <v/>
      </c>
    </row>
    <row r="166">
      <c r="A166" s="323"/>
      <c r="B166" s="318"/>
      <c r="C166" s="319"/>
      <c r="D166" s="301" t="str">
        <f>IFERROR(__xludf.DUMMYFUNCTION("if(ISBLANK(A166),"""",GOOGLEFINANCE(A166,""NAME""))"),"")</f>
        <v/>
      </c>
      <c r="E166" s="302">
        <v>5000.0</v>
      </c>
      <c r="F166" s="303" t="str">
        <f>IFERROR(__xludf.DUMMYFUNCTION("if(ISBLANK(A166),"""",GOOGLEFINANCE(A166,""HIGH52""))"),"")</f>
        <v/>
      </c>
      <c r="G166" s="303" t="str">
        <f>IFERROR(__xludf.DUMMYFUNCTION("if(ISBLANK(A166),"""",GOOGLEFINANCE(A166,""LOW52""))"),"")</f>
        <v/>
      </c>
      <c r="H166" s="304" t="str">
        <f>IFERROR(__xludf.DUMMYFUNCTION("if(ISBLANK(A166),"""",GOOGLEFINANCE(A166,""Price""))"),"")</f>
        <v/>
      </c>
      <c r="I166" s="305" t="str">
        <f t="shared" si="1"/>
        <v/>
      </c>
      <c r="J166" s="306" t="str">
        <f t="shared" si="2"/>
        <v/>
      </c>
      <c r="K166" s="307" t="str">
        <f>IFERROR(__xludf.DUMMYFUNCTION("if(ISBLANK(A166),"""",googlefinance(A166,""Marketcap"")/10000000)"),"")</f>
        <v/>
      </c>
      <c r="L166" s="309" t="str">
        <f t="shared" si="3"/>
        <v/>
      </c>
      <c r="M166" s="308" t="str">
        <f t="shared" si="4"/>
        <v/>
      </c>
      <c r="N166" s="309" t="str">
        <f t="shared" si="5"/>
        <v/>
      </c>
      <c r="O166" s="322" t="str">
        <f t="shared" si="6"/>
        <v/>
      </c>
      <c r="P166" s="308" t="str">
        <f t="shared" si="7"/>
        <v/>
      </c>
      <c r="Q166" s="311" t="str">
        <f t="shared" si="8"/>
        <v/>
      </c>
      <c r="R166" s="309" t="str">
        <f t="shared" si="9"/>
        <v/>
      </c>
      <c r="S166" s="308" t="str">
        <f t="shared" si="10"/>
        <v/>
      </c>
      <c r="T166" s="309" t="str">
        <f t="shared" si="11"/>
        <v/>
      </c>
      <c r="U166" s="309" t="str">
        <f t="shared" si="12"/>
        <v/>
      </c>
      <c r="V166" s="308" t="str">
        <f t="shared" si="13"/>
        <v/>
      </c>
      <c r="W166" s="309" t="str">
        <f t="shared" si="14"/>
        <v/>
      </c>
      <c r="X166" s="309" t="str">
        <f t="shared" si="15"/>
        <v/>
      </c>
      <c r="Y166" s="308" t="str">
        <f t="shared" si="16"/>
        <v/>
      </c>
      <c r="Z166" s="309" t="str">
        <f t="shared" si="17"/>
        <v/>
      </c>
      <c r="AA166" s="312" t="str">
        <f t="shared" si="18"/>
        <v/>
      </c>
      <c r="AB166" s="308" t="str">
        <f t="shared" si="19"/>
        <v/>
      </c>
      <c r="AC166" s="308" t="str">
        <f t="shared" si="20"/>
        <v/>
      </c>
      <c r="AD166" s="312" t="str">
        <f t="shared" si="21"/>
        <v/>
      </c>
      <c r="AE166" s="308" t="str">
        <f t="shared" si="22"/>
        <v/>
      </c>
      <c r="AF166" s="313" t="str">
        <f t="shared" si="23"/>
        <v/>
      </c>
      <c r="AG166" s="304" t="str">
        <f t="shared" si="24"/>
        <v/>
      </c>
      <c r="AH166" s="308" t="str">
        <f t="shared" si="25"/>
        <v/>
      </c>
      <c r="AI166" s="313" t="str">
        <f t="shared" si="26"/>
        <v/>
      </c>
      <c r="AJ166" s="304" t="str">
        <f t="shared" si="27"/>
        <v/>
      </c>
      <c r="AK166" s="308" t="str">
        <f t="shared" si="28"/>
        <v/>
      </c>
      <c r="AL166" s="308" t="str">
        <f t="shared" si="29"/>
        <v/>
      </c>
      <c r="AM166" s="304" t="str">
        <f t="shared" si="30"/>
        <v/>
      </c>
      <c r="AN166" s="308" t="str">
        <f t="shared" si="31"/>
        <v/>
      </c>
      <c r="AO166" s="313" t="str">
        <f t="shared" si="32"/>
        <v/>
      </c>
      <c r="AP166" s="304" t="str">
        <f t="shared" si="33"/>
        <v/>
      </c>
      <c r="AQ166" s="308" t="str">
        <f t="shared" si="34"/>
        <v/>
      </c>
      <c r="AR166" s="313" t="str">
        <f t="shared" si="35"/>
        <v/>
      </c>
      <c r="AS166" s="304" t="str">
        <f t="shared" si="36"/>
        <v/>
      </c>
      <c r="AT166" s="308" t="str">
        <f t="shared" si="37"/>
        <v/>
      </c>
      <c r="AU166" s="308" t="str">
        <f t="shared" si="38"/>
        <v/>
      </c>
      <c r="AV166" s="304" t="str">
        <f t="shared" si="39"/>
        <v/>
      </c>
      <c r="AW166" s="308" t="str">
        <f t="shared" si="40"/>
        <v/>
      </c>
      <c r="AX166" s="308" t="str">
        <f t="shared" si="41"/>
        <v/>
      </c>
      <c r="AY166" s="304" t="str">
        <f t="shared" si="42"/>
        <v/>
      </c>
      <c r="AZ166" s="308" t="str">
        <f t="shared" si="43"/>
        <v/>
      </c>
      <c r="BA166" s="313" t="str">
        <f t="shared" si="44"/>
        <v/>
      </c>
      <c r="BB166" s="304" t="str">
        <f t="shared" si="45"/>
        <v/>
      </c>
      <c r="BC166" s="308" t="str">
        <f t="shared" si="46"/>
        <v/>
      </c>
      <c r="BD166" s="308" t="str">
        <f t="shared" si="47"/>
        <v/>
      </c>
    </row>
    <row r="167">
      <c r="A167" s="323"/>
      <c r="B167" s="318"/>
      <c r="C167" s="319"/>
      <c r="D167" s="301" t="str">
        <f>IFERROR(__xludf.DUMMYFUNCTION("if(ISBLANK(A167),"""",GOOGLEFINANCE(A167,""NAME""))"),"")</f>
        <v/>
      </c>
      <c r="E167" s="302">
        <v>5000.0</v>
      </c>
      <c r="F167" s="303" t="str">
        <f>IFERROR(__xludf.DUMMYFUNCTION("if(ISBLANK(A167),"""",GOOGLEFINANCE(A167,""HIGH52""))"),"")</f>
        <v/>
      </c>
      <c r="G167" s="303" t="str">
        <f>IFERROR(__xludf.DUMMYFUNCTION("if(ISBLANK(A167),"""",GOOGLEFINANCE(A167,""LOW52""))"),"")</f>
        <v/>
      </c>
      <c r="H167" s="304" t="str">
        <f>IFERROR(__xludf.DUMMYFUNCTION("if(ISBLANK(A167),"""",GOOGLEFINANCE(A167,""Price""))"),"")</f>
        <v/>
      </c>
      <c r="I167" s="305" t="str">
        <f t="shared" si="1"/>
        <v/>
      </c>
      <c r="J167" s="306" t="str">
        <f t="shared" si="2"/>
        <v/>
      </c>
      <c r="K167" s="307" t="str">
        <f>IFERROR(__xludf.DUMMYFUNCTION("if(ISBLANK(A167),"""",googlefinance(A167,""Marketcap"")/10000000)"),"")</f>
        <v/>
      </c>
      <c r="L167" s="309" t="str">
        <f t="shared" si="3"/>
        <v/>
      </c>
      <c r="M167" s="308" t="str">
        <f t="shared" si="4"/>
        <v/>
      </c>
      <c r="N167" s="309" t="str">
        <f t="shared" si="5"/>
        <v/>
      </c>
      <c r="O167" s="322" t="str">
        <f t="shared" si="6"/>
        <v/>
      </c>
      <c r="P167" s="308" t="str">
        <f t="shared" si="7"/>
        <v/>
      </c>
      <c r="Q167" s="311" t="str">
        <f t="shared" si="8"/>
        <v/>
      </c>
      <c r="R167" s="309" t="str">
        <f t="shared" si="9"/>
        <v/>
      </c>
      <c r="S167" s="308" t="str">
        <f t="shared" si="10"/>
        <v/>
      </c>
      <c r="T167" s="309" t="str">
        <f t="shared" si="11"/>
        <v/>
      </c>
      <c r="U167" s="309" t="str">
        <f t="shared" si="12"/>
        <v/>
      </c>
      <c r="V167" s="308" t="str">
        <f t="shared" si="13"/>
        <v/>
      </c>
      <c r="W167" s="309" t="str">
        <f t="shared" si="14"/>
        <v/>
      </c>
      <c r="X167" s="309" t="str">
        <f t="shared" si="15"/>
        <v/>
      </c>
      <c r="Y167" s="308" t="str">
        <f t="shared" si="16"/>
        <v/>
      </c>
      <c r="Z167" s="309" t="str">
        <f t="shared" si="17"/>
        <v/>
      </c>
      <c r="AA167" s="312" t="str">
        <f t="shared" si="18"/>
        <v/>
      </c>
      <c r="AB167" s="308" t="str">
        <f t="shared" si="19"/>
        <v/>
      </c>
      <c r="AC167" s="308" t="str">
        <f t="shared" si="20"/>
        <v/>
      </c>
      <c r="AD167" s="312" t="str">
        <f t="shared" si="21"/>
        <v/>
      </c>
      <c r="AE167" s="308" t="str">
        <f t="shared" si="22"/>
        <v/>
      </c>
      <c r="AF167" s="313" t="str">
        <f t="shared" si="23"/>
        <v/>
      </c>
      <c r="AG167" s="304" t="str">
        <f t="shared" si="24"/>
        <v/>
      </c>
      <c r="AH167" s="308" t="str">
        <f t="shared" si="25"/>
        <v/>
      </c>
      <c r="AI167" s="313" t="str">
        <f t="shared" si="26"/>
        <v/>
      </c>
      <c r="AJ167" s="304" t="str">
        <f t="shared" si="27"/>
        <v/>
      </c>
      <c r="AK167" s="308" t="str">
        <f t="shared" si="28"/>
        <v/>
      </c>
      <c r="AL167" s="308" t="str">
        <f t="shared" si="29"/>
        <v/>
      </c>
      <c r="AM167" s="304" t="str">
        <f t="shared" si="30"/>
        <v/>
      </c>
      <c r="AN167" s="308" t="str">
        <f t="shared" si="31"/>
        <v/>
      </c>
      <c r="AO167" s="313" t="str">
        <f t="shared" si="32"/>
        <v/>
      </c>
      <c r="AP167" s="304" t="str">
        <f t="shared" si="33"/>
        <v/>
      </c>
      <c r="AQ167" s="308" t="str">
        <f t="shared" si="34"/>
        <v/>
      </c>
      <c r="AR167" s="313" t="str">
        <f t="shared" si="35"/>
        <v/>
      </c>
      <c r="AS167" s="304" t="str">
        <f t="shared" si="36"/>
        <v/>
      </c>
      <c r="AT167" s="308" t="str">
        <f t="shared" si="37"/>
        <v/>
      </c>
      <c r="AU167" s="308" t="str">
        <f t="shared" si="38"/>
        <v/>
      </c>
      <c r="AV167" s="304" t="str">
        <f t="shared" si="39"/>
        <v/>
      </c>
      <c r="AW167" s="308" t="str">
        <f t="shared" si="40"/>
        <v/>
      </c>
      <c r="AX167" s="308" t="str">
        <f t="shared" si="41"/>
        <v/>
      </c>
      <c r="AY167" s="304" t="str">
        <f t="shared" si="42"/>
        <v/>
      </c>
      <c r="AZ167" s="308" t="str">
        <f t="shared" si="43"/>
        <v/>
      </c>
      <c r="BA167" s="313" t="str">
        <f t="shared" si="44"/>
        <v/>
      </c>
      <c r="BB167" s="304" t="str">
        <f t="shared" si="45"/>
        <v/>
      </c>
      <c r="BC167" s="308" t="str">
        <f t="shared" si="46"/>
        <v/>
      </c>
      <c r="BD167" s="308" t="str">
        <f t="shared" si="47"/>
        <v/>
      </c>
    </row>
    <row r="168">
      <c r="A168" s="324"/>
      <c r="B168" s="299"/>
      <c r="C168" s="300"/>
      <c r="D168" s="301" t="str">
        <f>IFERROR(__xludf.DUMMYFUNCTION("if(ISBLANK(A168),"""",GOOGLEFINANCE(A168,""NAME""))"),"")</f>
        <v/>
      </c>
      <c r="E168" s="302">
        <v>5000.0</v>
      </c>
      <c r="F168" s="303" t="str">
        <f>IFERROR(__xludf.DUMMYFUNCTION("if(ISBLANK(A168),"""",GOOGLEFINANCE(A168,""HIGH52""))"),"")</f>
        <v/>
      </c>
      <c r="G168" s="303" t="str">
        <f>IFERROR(__xludf.DUMMYFUNCTION("if(ISBLANK(A168),"""",GOOGLEFINANCE(A168,""LOW52""))"),"")</f>
        <v/>
      </c>
      <c r="H168" s="304" t="str">
        <f>IFERROR(__xludf.DUMMYFUNCTION("if(ISBLANK(A168),"""",GOOGLEFINANCE(A168,""Price""))"),"")</f>
        <v/>
      </c>
      <c r="I168" s="305" t="str">
        <f t="shared" si="1"/>
        <v/>
      </c>
      <c r="J168" s="306" t="str">
        <f t="shared" si="2"/>
        <v/>
      </c>
      <c r="K168" s="307" t="str">
        <f>IFERROR(__xludf.DUMMYFUNCTION("if(ISBLANK(A168),"""",googlefinance(A168,""Marketcap"")/10000000)"),"")</f>
        <v/>
      </c>
      <c r="L168" s="309" t="str">
        <f t="shared" si="3"/>
        <v/>
      </c>
      <c r="M168" s="308" t="str">
        <f t="shared" si="4"/>
        <v/>
      </c>
      <c r="N168" s="309" t="str">
        <f t="shared" si="5"/>
        <v/>
      </c>
      <c r="O168" s="322" t="str">
        <f t="shared" si="6"/>
        <v/>
      </c>
      <c r="P168" s="308" t="str">
        <f t="shared" si="7"/>
        <v/>
      </c>
      <c r="Q168" s="311" t="str">
        <f t="shared" si="8"/>
        <v/>
      </c>
      <c r="R168" s="309" t="str">
        <f t="shared" si="9"/>
        <v/>
      </c>
      <c r="S168" s="308" t="str">
        <f t="shared" si="10"/>
        <v/>
      </c>
      <c r="T168" s="309" t="str">
        <f t="shared" si="11"/>
        <v/>
      </c>
      <c r="U168" s="309" t="str">
        <f t="shared" si="12"/>
        <v/>
      </c>
      <c r="V168" s="308" t="str">
        <f t="shared" si="13"/>
        <v/>
      </c>
      <c r="W168" s="309" t="str">
        <f t="shared" si="14"/>
        <v/>
      </c>
      <c r="X168" s="309" t="str">
        <f t="shared" si="15"/>
        <v/>
      </c>
      <c r="Y168" s="308" t="str">
        <f t="shared" si="16"/>
        <v/>
      </c>
      <c r="Z168" s="309" t="str">
        <f t="shared" si="17"/>
        <v/>
      </c>
      <c r="AA168" s="312" t="str">
        <f t="shared" si="18"/>
        <v/>
      </c>
      <c r="AB168" s="308" t="str">
        <f t="shared" si="19"/>
        <v/>
      </c>
      <c r="AC168" s="308" t="str">
        <f t="shared" si="20"/>
        <v/>
      </c>
      <c r="AD168" s="312" t="str">
        <f t="shared" si="21"/>
        <v/>
      </c>
      <c r="AE168" s="308" t="str">
        <f t="shared" si="22"/>
        <v/>
      </c>
      <c r="AF168" s="313" t="str">
        <f t="shared" si="23"/>
        <v/>
      </c>
      <c r="AG168" s="304" t="str">
        <f t="shared" si="24"/>
        <v/>
      </c>
      <c r="AH168" s="308" t="str">
        <f t="shared" si="25"/>
        <v/>
      </c>
      <c r="AI168" s="313" t="str">
        <f t="shared" si="26"/>
        <v/>
      </c>
      <c r="AJ168" s="304" t="str">
        <f t="shared" si="27"/>
        <v/>
      </c>
      <c r="AK168" s="308" t="str">
        <f t="shared" si="28"/>
        <v/>
      </c>
      <c r="AL168" s="308" t="str">
        <f t="shared" si="29"/>
        <v/>
      </c>
      <c r="AM168" s="304" t="str">
        <f t="shared" si="30"/>
        <v/>
      </c>
      <c r="AN168" s="308" t="str">
        <f t="shared" si="31"/>
        <v/>
      </c>
      <c r="AO168" s="313" t="str">
        <f t="shared" si="32"/>
        <v/>
      </c>
      <c r="AP168" s="304" t="str">
        <f t="shared" si="33"/>
        <v/>
      </c>
      <c r="AQ168" s="308" t="str">
        <f t="shared" si="34"/>
        <v/>
      </c>
      <c r="AR168" s="313" t="str">
        <f t="shared" si="35"/>
        <v/>
      </c>
      <c r="AS168" s="304" t="str">
        <f t="shared" si="36"/>
        <v/>
      </c>
      <c r="AT168" s="308" t="str">
        <f t="shared" si="37"/>
        <v/>
      </c>
      <c r="AU168" s="308" t="str">
        <f t="shared" si="38"/>
        <v/>
      </c>
      <c r="AV168" s="304" t="str">
        <f t="shared" si="39"/>
        <v/>
      </c>
      <c r="AW168" s="308" t="str">
        <f t="shared" si="40"/>
        <v/>
      </c>
      <c r="AX168" s="308" t="str">
        <f t="shared" si="41"/>
        <v/>
      </c>
      <c r="AY168" s="304" t="str">
        <f t="shared" si="42"/>
        <v/>
      </c>
      <c r="AZ168" s="308" t="str">
        <f t="shared" si="43"/>
        <v/>
      </c>
      <c r="BA168" s="313" t="str">
        <f t="shared" si="44"/>
        <v/>
      </c>
      <c r="BB168" s="304" t="str">
        <f t="shared" si="45"/>
        <v/>
      </c>
      <c r="BC168" s="308" t="str">
        <f t="shared" si="46"/>
        <v/>
      </c>
      <c r="BD168" s="308" t="str">
        <f t="shared" si="47"/>
        <v/>
      </c>
    </row>
    <row r="169">
      <c r="A169" s="324"/>
      <c r="B169" s="299"/>
      <c r="C169" s="300"/>
      <c r="D169" s="301" t="str">
        <f>IFERROR(__xludf.DUMMYFUNCTION("if(ISBLANK(A169),"""",GOOGLEFINANCE(A169,""NAME""))"),"")</f>
        <v/>
      </c>
      <c r="E169" s="302">
        <v>5000.0</v>
      </c>
      <c r="F169" s="303" t="str">
        <f>IFERROR(__xludf.DUMMYFUNCTION("if(ISBLANK(A169),"""",GOOGLEFINANCE(A169,""HIGH52""))"),"")</f>
        <v/>
      </c>
      <c r="G169" s="303" t="str">
        <f>IFERROR(__xludf.DUMMYFUNCTION("if(ISBLANK(A169),"""",GOOGLEFINANCE(A169,""LOW52""))"),"")</f>
        <v/>
      </c>
      <c r="H169" s="304" t="str">
        <f>IFERROR(__xludf.DUMMYFUNCTION("if(ISBLANK(A169),"""",GOOGLEFINANCE(A169,""Price""))"),"")</f>
        <v/>
      </c>
      <c r="I169" s="305" t="str">
        <f t="shared" si="1"/>
        <v/>
      </c>
      <c r="J169" s="306" t="str">
        <f t="shared" si="2"/>
        <v/>
      </c>
      <c r="K169" s="307" t="str">
        <f>IFERROR(__xludf.DUMMYFUNCTION("if(ISBLANK(A169),"""",googlefinance(A169,""Marketcap"")/10000000)"),"")</f>
        <v/>
      </c>
      <c r="L169" s="309" t="str">
        <f t="shared" si="3"/>
        <v/>
      </c>
      <c r="M169" s="308" t="str">
        <f t="shared" si="4"/>
        <v/>
      </c>
      <c r="N169" s="309" t="str">
        <f t="shared" si="5"/>
        <v/>
      </c>
      <c r="O169" s="322" t="str">
        <f t="shared" si="6"/>
        <v/>
      </c>
      <c r="P169" s="308" t="str">
        <f t="shared" si="7"/>
        <v/>
      </c>
      <c r="Q169" s="311" t="str">
        <f t="shared" si="8"/>
        <v/>
      </c>
      <c r="R169" s="309" t="str">
        <f t="shared" si="9"/>
        <v/>
      </c>
      <c r="S169" s="308" t="str">
        <f t="shared" si="10"/>
        <v/>
      </c>
      <c r="T169" s="309" t="str">
        <f t="shared" si="11"/>
        <v/>
      </c>
      <c r="U169" s="309" t="str">
        <f t="shared" si="12"/>
        <v/>
      </c>
      <c r="V169" s="308" t="str">
        <f t="shared" si="13"/>
        <v/>
      </c>
      <c r="W169" s="309" t="str">
        <f t="shared" si="14"/>
        <v/>
      </c>
      <c r="X169" s="309" t="str">
        <f t="shared" si="15"/>
        <v/>
      </c>
      <c r="Y169" s="308" t="str">
        <f t="shared" si="16"/>
        <v/>
      </c>
      <c r="Z169" s="309" t="str">
        <f t="shared" si="17"/>
        <v/>
      </c>
      <c r="AA169" s="312" t="str">
        <f t="shared" si="18"/>
        <v/>
      </c>
      <c r="AB169" s="308" t="str">
        <f t="shared" si="19"/>
        <v/>
      </c>
      <c r="AC169" s="308" t="str">
        <f t="shared" si="20"/>
        <v/>
      </c>
      <c r="AD169" s="312" t="str">
        <f t="shared" si="21"/>
        <v/>
      </c>
      <c r="AE169" s="308" t="str">
        <f t="shared" si="22"/>
        <v/>
      </c>
      <c r="AF169" s="313" t="str">
        <f t="shared" si="23"/>
        <v/>
      </c>
      <c r="AG169" s="304" t="str">
        <f t="shared" si="24"/>
        <v/>
      </c>
      <c r="AH169" s="308" t="str">
        <f t="shared" si="25"/>
        <v/>
      </c>
      <c r="AI169" s="313" t="str">
        <f t="shared" si="26"/>
        <v/>
      </c>
      <c r="AJ169" s="304" t="str">
        <f t="shared" si="27"/>
        <v/>
      </c>
      <c r="AK169" s="308" t="str">
        <f t="shared" si="28"/>
        <v/>
      </c>
      <c r="AL169" s="308" t="str">
        <f t="shared" si="29"/>
        <v/>
      </c>
      <c r="AM169" s="304" t="str">
        <f t="shared" si="30"/>
        <v/>
      </c>
      <c r="AN169" s="308" t="str">
        <f t="shared" si="31"/>
        <v/>
      </c>
      <c r="AO169" s="313" t="str">
        <f t="shared" si="32"/>
        <v/>
      </c>
      <c r="AP169" s="304" t="str">
        <f t="shared" si="33"/>
        <v/>
      </c>
      <c r="AQ169" s="308" t="str">
        <f t="shared" si="34"/>
        <v/>
      </c>
      <c r="AR169" s="313" t="str">
        <f t="shared" si="35"/>
        <v/>
      </c>
      <c r="AS169" s="304" t="str">
        <f t="shared" si="36"/>
        <v/>
      </c>
      <c r="AT169" s="308" t="str">
        <f t="shared" si="37"/>
        <v/>
      </c>
      <c r="AU169" s="308" t="str">
        <f t="shared" si="38"/>
        <v/>
      </c>
      <c r="AV169" s="304" t="str">
        <f t="shared" si="39"/>
        <v/>
      </c>
      <c r="AW169" s="308" t="str">
        <f t="shared" si="40"/>
        <v/>
      </c>
      <c r="AX169" s="308" t="str">
        <f t="shared" si="41"/>
        <v/>
      </c>
      <c r="AY169" s="304" t="str">
        <f t="shared" si="42"/>
        <v/>
      </c>
      <c r="AZ169" s="308" t="str">
        <f t="shared" si="43"/>
        <v/>
      </c>
      <c r="BA169" s="313" t="str">
        <f t="shared" si="44"/>
        <v/>
      </c>
      <c r="BB169" s="304" t="str">
        <f t="shared" si="45"/>
        <v/>
      </c>
      <c r="BC169" s="308" t="str">
        <f t="shared" si="46"/>
        <v/>
      </c>
      <c r="BD169" s="308" t="str">
        <f t="shared" si="47"/>
        <v/>
      </c>
    </row>
    <row r="170">
      <c r="A170" s="325"/>
      <c r="B170" s="320"/>
      <c r="C170" s="321"/>
      <c r="D170" s="301" t="str">
        <f>IFERROR(__xludf.DUMMYFUNCTION("if(ISBLANK(A170),"""",GOOGLEFINANCE(A170,""NAME""))"),"")</f>
        <v/>
      </c>
      <c r="E170" s="302">
        <v>5000.0</v>
      </c>
      <c r="F170" s="303" t="str">
        <f>IFERROR(__xludf.DUMMYFUNCTION("if(ISBLANK(A170),"""",GOOGLEFINANCE(A170,""HIGH52""))"),"")</f>
        <v/>
      </c>
      <c r="G170" s="303" t="str">
        <f>IFERROR(__xludf.DUMMYFUNCTION("if(ISBLANK(A170),"""",GOOGLEFINANCE(A170,""LOW52""))"),"")</f>
        <v/>
      </c>
      <c r="H170" s="304" t="str">
        <f>IFERROR(__xludf.DUMMYFUNCTION("if(ISBLANK(A170),"""",GOOGLEFINANCE(A170,""Price""))"),"")</f>
        <v/>
      </c>
      <c r="I170" s="305" t="str">
        <f t="shared" si="1"/>
        <v/>
      </c>
      <c r="J170" s="306" t="str">
        <f t="shared" si="2"/>
        <v/>
      </c>
      <c r="K170" s="307" t="str">
        <f>IFERROR(__xludf.DUMMYFUNCTION("if(ISBLANK(A170),"""",googlefinance(A170,""Marketcap"")/10000000)"),"")</f>
        <v/>
      </c>
      <c r="L170" s="309" t="str">
        <f t="shared" si="3"/>
        <v/>
      </c>
      <c r="M170" s="308" t="str">
        <f t="shared" si="4"/>
        <v/>
      </c>
      <c r="N170" s="309" t="str">
        <f t="shared" si="5"/>
        <v/>
      </c>
      <c r="O170" s="322" t="str">
        <f t="shared" si="6"/>
        <v/>
      </c>
      <c r="P170" s="308" t="str">
        <f t="shared" si="7"/>
        <v/>
      </c>
      <c r="Q170" s="311" t="str">
        <f t="shared" si="8"/>
        <v/>
      </c>
      <c r="R170" s="309" t="str">
        <f t="shared" si="9"/>
        <v/>
      </c>
      <c r="S170" s="308" t="str">
        <f t="shared" si="10"/>
        <v/>
      </c>
      <c r="T170" s="309" t="str">
        <f t="shared" si="11"/>
        <v/>
      </c>
      <c r="U170" s="309" t="str">
        <f t="shared" si="12"/>
        <v/>
      </c>
      <c r="V170" s="308" t="str">
        <f t="shared" si="13"/>
        <v/>
      </c>
      <c r="W170" s="309" t="str">
        <f t="shared" si="14"/>
        <v/>
      </c>
      <c r="X170" s="309" t="str">
        <f t="shared" si="15"/>
        <v/>
      </c>
      <c r="Y170" s="308" t="str">
        <f t="shared" si="16"/>
        <v/>
      </c>
      <c r="Z170" s="309" t="str">
        <f t="shared" si="17"/>
        <v/>
      </c>
      <c r="AA170" s="312" t="str">
        <f t="shared" si="18"/>
        <v/>
      </c>
      <c r="AB170" s="308" t="str">
        <f t="shared" si="19"/>
        <v/>
      </c>
      <c r="AC170" s="308" t="str">
        <f t="shared" si="20"/>
        <v/>
      </c>
      <c r="AD170" s="312" t="str">
        <f t="shared" si="21"/>
        <v/>
      </c>
      <c r="AE170" s="308" t="str">
        <f t="shared" si="22"/>
        <v/>
      </c>
      <c r="AF170" s="313" t="str">
        <f t="shared" si="23"/>
        <v/>
      </c>
      <c r="AG170" s="304" t="str">
        <f t="shared" si="24"/>
        <v/>
      </c>
      <c r="AH170" s="308" t="str">
        <f t="shared" si="25"/>
        <v/>
      </c>
      <c r="AI170" s="313" t="str">
        <f t="shared" si="26"/>
        <v/>
      </c>
      <c r="AJ170" s="304" t="str">
        <f t="shared" si="27"/>
        <v/>
      </c>
      <c r="AK170" s="308" t="str">
        <f t="shared" si="28"/>
        <v/>
      </c>
      <c r="AL170" s="308" t="str">
        <f t="shared" si="29"/>
        <v/>
      </c>
      <c r="AM170" s="304" t="str">
        <f t="shared" si="30"/>
        <v/>
      </c>
      <c r="AN170" s="308" t="str">
        <f t="shared" si="31"/>
        <v/>
      </c>
      <c r="AO170" s="313" t="str">
        <f t="shared" si="32"/>
        <v/>
      </c>
      <c r="AP170" s="304" t="str">
        <f t="shared" si="33"/>
        <v/>
      </c>
      <c r="AQ170" s="308" t="str">
        <f t="shared" si="34"/>
        <v/>
      </c>
      <c r="AR170" s="313" t="str">
        <f t="shared" si="35"/>
        <v/>
      </c>
      <c r="AS170" s="304" t="str">
        <f t="shared" si="36"/>
        <v/>
      </c>
      <c r="AT170" s="308" t="str">
        <f t="shared" si="37"/>
        <v/>
      </c>
      <c r="AU170" s="308" t="str">
        <f t="shared" si="38"/>
        <v/>
      </c>
      <c r="AV170" s="304" t="str">
        <f t="shared" si="39"/>
        <v/>
      </c>
      <c r="AW170" s="308" t="str">
        <f t="shared" si="40"/>
        <v/>
      </c>
      <c r="AX170" s="308" t="str">
        <f t="shared" si="41"/>
        <v/>
      </c>
      <c r="AY170" s="304" t="str">
        <f t="shared" si="42"/>
        <v/>
      </c>
      <c r="AZ170" s="308" t="str">
        <f t="shared" si="43"/>
        <v/>
      </c>
      <c r="BA170" s="313" t="str">
        <f t="shared" si="44"/>
        <v/>
      </c>
      <c r="BB170" s="304" t="str">
        <f t="shared" si="45"/>
        <v/>
      </c>
      <c r="BC170" s="308" t="str">
        <f t="shared" si="46"/>
        <v/>
      </c>
      <c r="BD170" s="308" t="str">
        <f t="shared" si="47"/>
        <v/>
      </c>
    </row>
    <row r="171">
      <c r="A171" s="298"/>
      <c r="B171" s="299"/>
      <c r="C171" s="300"/>
      <c r="D171" s="301" t="str">
        <f>IFERROR(__xludf.DUMMYFUNCTION("if(ISBLANK(A171),"""",GOOGLEFINANCE(A171,""NAME""))"),"")</f>
        <v/>
      </c>
      <c r="E171" s="302">
        <v>5000.0</v>
      </c>
      <c r="F171" s="303" t="str">
        <f>IFERROR(__xludf.DUMMYFUNCTION("if(ISBLANK(A171),"""",GOOGLEFINANCE(A171,""HIGH52""))"),"")</f>
        <v/>
      </c>
      <c r="G171" s="303" t="str">
        <f>IFERROR(__xludf.DUMMYFUNCTION("if(ISBLANK(A171),"""",GOOGLEFINANCE(A171,""LOW52""))"),"")</f>
        <v/>
      </c>
      <c r="H171" s="304" t="str">
        <f>IFERROR(__xludf.DUMMYFUNCTION("if(ISBLANK(A171),"""",GOOGLEFINANCE(A171,""Price""))"),"")</f>
        <v/>
      </c>
      <c r="I171" s="305" t="str">
        <f t="shared" si="1"/>
        <v/>
      </c>
      <c r="J171" s="306" t="str">
        <f t="shared" si="2"/>
        <v/>
      </c>
      <c r="K171" s="307" t="str">
        <f>IFERROR(__xludf.DUMMYFUNCTION("if(ISBLANK(A171),"""",googlefinance(A171,""Marketcap"")/10000000)"),"")</f>
        <v/>
      </c>
      <c r="L171" s="309" t="str">
        <f t="shared" si="3"/>
        <v/>
      </c>
      <c r="M171" s="308" t="str">
        <f t="shared" si="4"/>
        <v/>
      </c>
      <c r="N171" s="309" t="str">
        <f t="shared" si="5"/>
        <v/>
      </c>
      <c r="O171" s="322" t="str">
        <f t="shared" si="6"/>
        <v/>
      </c>
      <c r="P171" s="308" t="str">
        <f t="shared" si="7"/>
        <v/>
      </c>
      <c r="Q171" s="311" t="str">
        <f t="shared" si="8"/>
        <v/>
      </c>
      <c r="R171" s="309" t="str">
        <f t="shared" si="9"/>
        <v/>
      </c>
      <c r="S171" s="308" t="str">
        <f t="shared" si="10"/>
        <v/>
      </c>
      <c r="T171" s="309" t="str">
        <f t="shared" si="11"/>
        <v/>
      </c>
      <c r="U171" s="309" t="str">
        <f t="shared" si="12"/>
        <v/>
      </c>
      <c r="V171" s="308" t="str">
        <f t="shared" si="13"/>
        <v/>
      </c>
      <c r="W171" s="309" t="str">
        <f t="shared" si="14"/>
        <v/>
      </c>
      <c r="X171" s="309" t="str">
        <f t="shared" si="15"/>
        <v/>
      </c>
      <c r="Y171" s="308" t="str">
        <f t="shared" si="16"/>
        <v/>
      </c>
      <c r="Z171" s="309" t="str">
        <f t="shared" si="17"/>
        <v/>
      </c>
      <c r="AA171" s="312" t="str">
        <f t="shared" si="18"/>
        <v/>
      </c>
      <c r="AB171" s="308" t="str">
        <f t="shared" si="19"/>
        <v/>
      </c>
      <c r="AC171" s="308" t="str">
        <f t="shared" si="20"/>
        <v/>
      </c>
      <c r="AD171" s="312" t="str">
        <f t="shared" si="21"/>
        <v/>
      </c>
      <c r="AE171" s="308" t="str">
        <f t="shared" si="22"/>
        <v/>
      </c>
      <c r="AF171" s="313" t="str">
        <f t="shared" si="23"/>
        <v/>
      </c>
      <c r="AG171" s="304" t="str">
        <f t="shared" si="24"/>
        <v/>
      </c>
      <c r="AH171" s="308" t="str">
        <f t="shared" si="25"/>
        <v/>
      </c>
      <c r="AI171" s="313" t="str">
        <f t="shared" si="26"/>
        <v/>
      </c>
      <c r="AJ171" s="304" t="str">
        <f t="shared" si="27"/>
        <v/>
      </c>
      <c r="AK171" s="308" t="str">
        <f t="shared" si="28"/>
        <v/>
      </c>
      <c r="AL171" s="308" t="str">
        <f t="shared" si="29"/>
        <v/>
      </c>
      <c r="AM171" s="304" t="str">
        <f t="shared" si="30"/>
        <v/>
      </c>
      <c r="AN171" s="308" t="str">
        <f t="shared" si="31"/>
        <v/>
      </c>
      <c r="AO171" s="313" t="str">
        <f t="shared" si="32"/>
        <v/>
      </c>
      <c r="AP171" s="304" t="str">
        <f t="shared" si="33"/>
        <v/>
      </c>
      <c r="AQ171" s="308" t="str">
        <f t="shared" si="34"/>
        <v/>
      </c>
      <c r="AR171" s="313" t="str">
        <f t="shared" si="35"/>
        <v/>
      </c>
      <c r="AS171" s="304" t="str">
        <f t="shared" si="36"/>
        <v/>
      </c>
      <c r="AT171" s="308" t="str">
        <f t="shared" si="37"/>
        <v/>
      </c>
      <c r="AU171" s="308" t="str">
        <f t="shared" si="38"/>
        <v/>
      </c>
      <c r="AV171" s="304" t="str">
        <f t="shared" si="39"/>
        <v/>
      </c>
      <c r="AW171" s="308" t="str">
        <f t="shared" si="40"/>
        <v/>
      </c>
      <c r="AX171" s="308" t="str">
        <f t="shared" si="41"/>
        <v/>
      </c>
      <c r="AY171" s="304" t="str">
        <f t="shared" si="42"/>
        <v/>
      </c>
      <c r="AZ171" s="308" t="str">
        <f t="shared" si="43"/>
        <v/>
      </c>
      <c r="BA171" s="313" t="str">
        <f t="shared" si="44"/>
        <v/>
      </c>
      <c r="BB171" s="304" t="str">
        <f t="shared" si="45"/>
        <v/>
      </c>
      <c r="BC171" s="308" t="str">
        <f t="shared" si="46"/>
        <v/>
      </c>
      <c r="BD171" s="308" t="str">
        <f t="shared" si="47"/>
        <v/>
      </c>
    </row>
    <row r="172">
      <c r="A172" s="298"/>
      <c r="B172" s="299"/>
      <c r="C172" s="300"/>
      <c r="D172" s="301" t="str">
        <f>IFERROR(__xludf.DUMMYFUNCTION("if(ISBLANK(A172),"""",GOOGLEFINANCE(A172,""NAME""))"),"")</f>
        <v/>
      </c>
      <c r="E172" s="302">
        <v>5000.0</v>
      </c>
      <c r="F172" s="303" t="str">
        <f>IFERROR(__xludf.DUMMYFUNCTION("if(ISBLANK(A172),"""",GOOGLEFINANCE(A172,""HIGH52""))"),"")</f>
        <v/>
      </c>
      <c r="G172" s="303" t="str">
        <f>IFERROR(__xludf.DUMMYFUNCTION("if(ISBLANK(A172),"""",GOOGLEFINANCE(A172,""LOW52""))"),"")</f>
        <v/>
      </c>
      <c r="H172" s="304" t="str">
        <f>IFERROR(__xludf.DUMMYFUNCTION("if(ISBLANK(A172),"""",GOOGLEFINANCE(A172,""Price""))"),"")</f>
        <v/>
      </c>
      <c r="I172" s="305" t="str">
        <f t="shared" si="1"/>
        <v/>
      </c>
      <c r="J172" s="306" t="str">
        <f t="shared" si="2"/>
        <v/>
      </c>
      <c r="K172" s="307" t="str">
        <f>IFERROR(__xludf.DUMMYFUNCTION("if(ISBLANK(A172),"""",googlefinance(A172,""Marketcap"")/10000000)"),"")</f>
        <v/>
      </c>
      <c r="L172" s="309" t="str">
        <f t="shared" si="3"/>
        <v/>
      </c>
      <c r="M172" s="308" t="str">
        <f t="shared" si="4"/>
        <v/>
      </c>
      <c r="N172" s="309" t="str">
        <f t="shared" si="5"/>
        <v/>
      </c>
      <c r="O172" s="322" t="str">
        <f t="shared" si="6"/>
        <v/>
      </c>
      <c r="P172" s="308" t="str">
        <f t="shared" si="7"/>
        <v/>
      </c>
      <c r="Q172" s="311" t="str">
        <f t="shared" si="8"/>
        <v/>
      </c>
      <c r="R172" s="309" t="str">
        <f t="shared" si="9"/>
        <v/>
      </c>
      <c r="S172" s="308" t="str">
        <f t="shared" si="10"/>
        <v/>
      </c>
      <c r="T172" s="309" t="str">
        <f t="shared" si="11"/>
        <v/>
      </c>
      <c r="U172" s="309" t="str">
        <f t="shared" si="12"/>
        <v/>
      </c>
      <c r="V172" s="308" t="str">
        <f t="shared" si="13"/>
        <v/>
      </c>
      <c r="W172" s="309" t="str">
        <f t="shared" si="14"/>
        <v/>
      </c>
      <c r="X172" s="309" t="str">
        <f t="shared" si="15"/>
        <v/>
      </c>
      <c r="Y172" s="308" t="str">
        <f t="shared" si="16"/>
        <v/>
      </c>
      <c r="Z172" s="309" t="str">
        <f t="shared" si="17"/>
        <v/>
      </c>
      <c r="AA172" s="312" t="str">
        <f t="shared" si="18"/>
        <v/>
      </c>
      <c r="AB172" s="308" t="str">
        <f t="shared" si="19"/>
        <v/>
      </c>
      <c r="AC172" s="308" t="str">
        <f t="shared" si="20"/>
        <v/>
      </c>
      <c r="AD172" s="312" t="str">
        <f t="shared" si="21"/>
        <v/>
      </c>
      <c r="AE172" s="308" t="str">
        <f t="shared" si="22"/>
        <v/>
      </c>
      <c r="AF172" s="313" t="str">
        <f t="shared" si="23"/>
        <v/>
      </c>
      <c r="AG172" s="304" t="str">
        <f t="shared" si="24"/>
        <v/>
      </c>
      <c r="AH172" s="308" t="str">
        <f t="shared" si="25"/>
        <v/>
      </c>
      <c r="AI172" s="313" t="str">
        <f t="shared" si="26"/>
        <v/>
      </c>
      <c r="AJ172" s="304" t="str">
        <f t="shared" si="27"/>
        <v/>
      </c>
      <c r="AK172" s="308" t="str">
        <f t="shared" si="28"/>
        <v/>
      </c>
      <c r="AL172" s="308" t="str">
        <f t="shared" si="29"/>
        <v/>
      </c>
      <c r="AM172" s="304" t="str">
        <f t="shared" si="30"/>
        <v/>
      </c>
      <c r="AN172" s="308" t="str">
        <f t="shared" si="31"/>
        <v/>
      </c>
      <c r="AO172" s="313" t="str">
        <f t="shared" si="32"/>
        <v/>
      </c>
      <c r="AP172" s="304" t="str">
        <f t="shared" si="33"/>
        <v/>
      </c>
      <c r="AQ172" s="308" t="str">
        <f t="shared" si="34"/>
        <v/>
      </c>
      <c r="AR172" s="313" t="str">
        <f t="shared" si="35"/>
        <v/>
      </c>
      <c r="AS172" s="304" t="str">
        <f t="shared" si="36"/>
        <v/>
      </c>
      <c r="AT172" s="308" t="str">
        <f t="shared" si="37"/>
        <v/>
      </c>
      <c r="AU172" s="308" t="str">
        <f t="shared" si="38"/>
        <v/>
      </c>
      <c r="AV172" s="304" t="str">
        <f t="shared" si="39"/>
        <v/>
      </c>
      <c r="AW172" s="308" t="str">
        <f t="shared" si="40"/>
        <v/>
      </c>
      <c r="AX172" s="308" t="str">
        <f t="shared" si="41"/>
        <v/>
      </c>
      <c r="AY172" s="304" t="str">
        <f t="shared" si="42"/>
        <v/>
      </c>
      <c r="AZ172" s="308" t="str">
        <f t="shared" si="43"/>
        <v/>
      </c>
      <c r="BA172" s="313" t="str">
        <f t="shared" si="44"/>
        <v/>
      </c>
      <c r="BB172" s="304" t="str">
        <f t="shared" si="45"/>
        <v/>
      </c>
      <c r="BC172" s="308" t="str">
        <f t="shared" si="46"/>
        <v/>
      </c>
      <c r="BD172" s="308" t="str">
        <f t="shared" si="47"/>
        <v/>
      </c>
    </row>
    <row r="173">
      <c r="A173" s="298"/>
      <c r="B173" s="299"/>
      <c r="C173" s="300"/>
      <c r="D173" s="301" t="str">
        <f>IFERROR(__xludf.DUMMYFUNCTION("if(ISBLANK(A173),"""",GOOGLEFINANCE(A173,""NAME""))"),"")</f>
        <v/>
      </c>
      <c r="E173" s="302">
        <v>5000.0</v>
      </c>
      <c r="F173" s="303" t="str">
        <f>IFERROR(__xludf.DUMMYFUNCTION("if(ISBLANK(A173),"""",GOOGLEFINANCE(A173,""HIGH52""))"),"")</f>
        <v/>
      </c>
      <c r="G173" s="303" t="str">
        <f>IFERROR(__xludf.DUMMYFUNCTION("if(ISBLANK(A173),"""",GOOGLEFINANCE(A173,""LOW52""))"),"")</f>
        <v/>
      </c>
      <c r="H173" s="304" t="str">
        <f>IFERROR(__xludf.DUMMYFUNCTION("if(ISBLANK(A173),"""",GOOGLEFINANCE(A173,""Price""))"),"")</f>
        <v/>
      </c>
      <c r="I173" s="305" t="str">
        <f t="shared" si="1"/>
        <v/>
      </c>
      <c r="J173" s="306" t="str">
        <f t="shared" si="2"/>
        <v/>
      </c>
      <c r="K173" s="307" t="str">
        <f>IFERROR(__xludf.DUMMYFUNCTION("if(ISBLANK(A173),"""",googlefinance(A173,""Marketcap"")/10000000)"),"")</f>
        <v/>
      </c>
      <c r="L173" s="309" t="str">
        <f t="shared" si="3"/>
        <v/>
      </c>
      <c r="M173" s="308" t="str">
        <f t="shared" si="4"/>
        <v/>
      </c>
      <c r="N173" s="309" t="str">
        <f t="shared" si="5"/>
        <v/>
      </c>
      <c r="O173" s="322" t="str">
        <f t="shared" si="6"/>
        <v/>
      </c>
      <c r="P173" s="308" t="str">
        <f t="shared" si="7"/>
        <v/>
      </c>
      <c r="Q173" s="311" t="str">
        <f t="shared" si="8"/>
        <v/>
      </c>
      <c r="R173" s="309" t="str">
        <f t="shared" si="9"/>
        <v/>
      </c>
      <c r="S173" s="308" t="str">
        <f t="shared" si="10"/>
        <v/>
      </c>
      <c r="T173" s="309" t="str">
        <f t="shared" si="11"/>
        <v/>
      </c>
      <c r="U173" s="309" t="str">
        <f t="shared" si="12"/>
        <v/>
      </c>
      <c r="V173" s="308" t="str">
        <f t="shared" si="13"/>
        <v/>
      </c>
      <c r="W173" s="309" t="str">
        <f t="shared" si="14"/>
        <v/>
      </c>
      <c r="X173" s="309" t="str">
        <f t="shared" si="15"/>
        <v/>
      </c>
      <c r="Y173" s="308" t="str">
        <f t="shared" si="16"/>
        <v/>
      </c>
      <c r="Z173" s="309" t="str">
        <f t="shared" si="17"/>
        <v/>
      </c>
      <c r="AA173" s="312" t="str">
        <f t="shared" si="18"/>
        <v/>
      </c>
      <c r="AB173" s="308" t="str">
        <f t="shared" si="19"/>
        <v/>
      </c>
      <c r="AC173" s="308" t="str">
        <f t="shared" si="20"/>
        <v/>
      </c>
      <c r="AD173" s="312" t="str">
        <f t="shared" si="21"/>
        <v/>
      </c>
      <c r="AE173" s="308" t="str">
        <f t="shared" si="22"/>
        <v/>
      </c>
      <c r="AF173" s="313" t="str">
        <f t="shared" si="23"/>
        <v/>
      </c>
      <c r="AG173" s="304" t="str">
        <f t="shared" si="24"/>
        <v/>
      </c>
      <c r="AH173" s="308" t="str">
        <f t="shared" si="25"/>
        <v/>
      </c>
      <c r="AI173" s="313" t="str">
        <f t="shared" si="26"/>
        <v/>
      </c>
      <c r="AJ173" s="304" t="str">
        <f t="shared" si="27"/>
        <v/>
      </c>
      <c r="AK173" s="308" t="str">
        <f t="shared" si="28"/>
        <v/>
      </c>
      <c r="AL173" s="308" t="str">
        <f t="shared" si="29"/>
        <v/>
      </c>
      <c r="AM173" s="304" t="str">
        <f t="shared" si="30"/>
        <v/>
      </c>
      <c r="AN173" s="308" t="str">
        <f t="shared" si="31"/>
        <v/>
      </c>
      <c r="AO173" s="313" t="str">
        <f t="shared" si="32"/>
        <v/>
      </c>
      <c r="AP173" s="304" t="str">
        <f t="shared" si="33"/>
        <v/>
      </c>
      <c r="AQ173" s="308" t="str">
        <f t="shared" si="34"/>
        <v/>
      </c>
      <c r="AR173" s="313" t="str">
        <f t="shared" si="35"/>
        <v/>
      </c>
      <c r="AS173" s="304" t="str">
        <f t="shared" si="36"/>
        <v/>
      </c>
      <c r="AT173" s="308" t="str">
        <f t="shared" si="37"/>
        <v/>
      </c>
      <c r="AU173" s="308" t="str">
        <f t="shared" si="38"/>
        <v/>
      </c>
      <c r="AV173" s="304" t="str">
        <f t="shared" si="39"/>
        <v/>
      </c>
      <c r="AW173" s="308" t="str">
        <f t="shared" si="40"/>
        <v/>
      </c>
      <c r="AX173" s="308" t="str">
        <f t="shared" si="41"/>
        <v/>
      </c>
      <c r="AY173" s="304" t="str">
        <f t="shared" si="42"/>
        <v/>
      </c>
      <c r="AZ173" s="308" t="str">
        <f t="shared" si="43"/>
        <v/>
      </c>
      <c r="BA173" s="313" t="str">
        <f t="shared" si="44"/>
        <v/>
      </c>
      <c r="BB173" s="304" t="str">
        <f t="shared" si="45"/>
        <v/>
      </c>
      <c r="BC173" s="308" t="str">
        <f t="shared" si="46"/>
        <v/>
      </c>
      <c r="BD173" s="308" t="str">
        <f t="shared" si="47"/>
        <v/>
      </c>
    </row>
    <row r="174">
      <c r="A174" s="298"/>
      <c r="B174" s="299"/>
      <c r="C174" s="300"/>
      <c r="D174" s="301" t="str">
        <f>IFERROR(__xludf.DUMMYFUNCTION("if(ISBLANK(A174),"""",GOOGLEFINANCE(A174,""NAME""))"),"")</f>
        <v/>
      </c>
      <c r="E174" s="302">
        <v>5000.0</v>
      </c>
      <c r="F174" s="303" t="str">
        <f>IFERROR(__xludf.DUMMYFUNCTION("if(ISBLANK(A174),"""",GOOGLEFINANCE(A174,""HIGH52""))"),"")</f>
        <v/>
      </c>
      <c r="G174" s="303" t="str">
        <f>IFERROR(__xludf.DUMMYFUNCTION("if(ISBLANK(A174),"""",GOOGLEFINANCE(A174,""LOW52""))"),"")</f>
        <v/>
      </c>
      <c r="H174" s="304" t="str">
        <f>IFERROR(__xludf.DUMMYFUNCTION("if(ISBLANK(A174),"""",GOOGLEFINANCE(A174,""Price""))"),"")</f>
        <v/>
      </c>
      <c r="I174" s="305" t="str">
        <f t="shared" si="1"/>
        <v/>
      </c>
      <c r="J174" s="306" t="str">
        <f t="shared" si="2"/>
        <v/>
      </c>
      <c r="K174" s="307" t="str">
        <f>IFERROR(__xludf.DUMMYFUNCTION("if(ISBLANK(A174),"""",googlefinance(A174,""Marketcap"")/10000000)"),"")</f>
        <v/>
      </c>
      <c r="L174" s="309" t="str">
        <f t="shared" si="3"/>
        <v/>
      </c>
      <c r="M174" s="308" t="str">
        <f t="shared" si="4"/>
        <v/>
      </c>
      <c r="N174" s="309" t="str">
        <f t="shared" si="5"/>
        <v/>
      </c>
      <c r="O174" s="322" t="str">
        <f t="shared" si="6"/>
        <v/>
      </c>
      <c r="P174" s="308" t="str">
        <f t="shared" si="7"/>
        <v/>
      </c>
      <c r="Q174" s="311" t="str">
        <f t="shared" si="8"/>
        <v/>
      </c>
      <c r="R174" s="309" t="str">
        <f t="shared" si="9"/>
        <v/>
      </c>
      <c r="S174" s="308" t="str">
        <f t="shared" si="10"/>
        <v/>
      </c>
      <c r="T174" s="309" t="str">
        <f t="shared" si="11"/>
        <v/>
      </c>
      <c r="U174" s="309" t="str">
        <f t="shared" si="12"/>
        <v/>
      </c>
      <c r="V174" s="308" t="str">
        <f t="shared" si="13"/>
        <v/>
      </c>
      <c r="W174" s="309" t="str">
        <f t="shared" si="14"/>
        <v/>
      </c>
      <c r="X174" s="309" t="str">
        <f t="shared" si="15"/>
        <v/>
      </c>
      <c r="Y174" s="308" t="str">
        <f t="shared" si="16"/>
        <v/>
      </c>
      <c r="Z174" s="309" t="str">
        <f t="shared" si="17"/>
        <v/>
      </c>
      <c r="AA174" s="312" t="str">
        <f t="shared" si="18"/>
        <v/>
      </c>
      <c r="AB174" s="308" t="str">
        <f t="shared" si="19"/>
        <v/>
      </c>
      <c r="AC174" s="308" t="str">
        <f t="shared" si="20"/>
        <v/>
      </c>
      <c r="AD174" s="312" t="str">
        <f t="shared" si="21"/>
        <v/>
      </c>
      <c r="AE174" s="308" t="str">
        <f t="shared" si="22"/>
        <v/>
      </c>
      <c r="AF174" s="313" t="str">
        <f t="shared" si="23"/>
        <v/>
      </c>
      <c r="AG174" s="304" t="str">
        <f t="shared" si="24"/>
        <v/>
      </c>
      <c r="AH174" s="308" t="str">
        <f t="shared" si="25"/>
        <v/>
      </c>
      <c r="AI174" s="313" t="str">
        <f t="shared" si="26"/>
        <v/>
      </c>
      <c r="AJ174" s="304" t="str">
        <f t="shared" si="27"/>
        <v/>
      </c>
      <c r="AK174" s="308" t="str">
        <f t="shared" si="28"/>
        <v/>
      </c>
      <c r="AL174" s="308" t="str">
        <f t="shared" si="29"/>
        <v/>
      </c>
      <c r="AM174" s="304" t="str">
        <f t="shared" si="30"/>
        <v/>
      </c>
      <c r="AN174" s="308" t="str">
        <f t="shared" si="31"/>
        <v/>
      </c>
      <c r="AO174" s="313" t="str">
        <f t="shared" si="32"/>
        <v/>
      </c>
      <c r="AP174" s="304" t="str">
        <f t="shared" si="33"/>
        <v/>
      </c>
      <c r="AQ174" s="308" t="str">
        <f t="shared" si="34"/>
        <v/>
      </c>
      <c r="AR174" s="313" t="str">
        <f t="shared" si="35"/>
        <v/>
      </c>
      <c r="AS174" s="304" t="str">
        <f t="shared" si="36"/>
        <v/>
      </c>
      <c r="AT174" s="308" t="str">
        <f t="shared" si="37"/>
        <v/>
      </c>
      <c r="AU174" s="308" t="str">
        <f t="shared" si="38"/>
        <v/>
      </c>
      <c r="AV174" s="304" t="str">
        <f t="shared" si="39"/>
        <v/>
      </c>
      <c r="AW174" s="308" t="str">
        <f t="shared" si="40"/>
        <v/>
      </c>
      <c r="AX174" s="308" t="str">
        <f t="shared" si="41"/>
        <v/>
      </c>
      <c r="AY174" s="304" t="str">
        <f t="shared" si="42"/>
        <v/>
      </c>
      <c r="AZ174" s="308" t="str">
        <f t="shared" si="43"/>
        <v/>
      </c>
      <c r="BA174" s="313" t="str">
        <f t="shared" si="44"/>
        <v/>
      </c>
      <c r="BB174" s="304" t="str">
        <f t="shared" si="45"/>
        <v/>
      </c>
      <c r="BC174" s="308" t="str">
        <f t="shared" si="46"/>
        <v/>
      </c>
      <c r="BD174" s="308" t="str">
        <f t="shared" si="47"/>
        <v/>
      </c>
    </row>
    <row r="175">
      <c r="A175" s="298"/>
      <c r="B175" s="299"/>
      <c r="C175" s="300"/>
      <c r="D175" s="301" t="str">
        <f>IFERROR(__xludf.DUMMYFUNCTION("if(ISBLANK(A175),"""",GOOGLEFINANCE(A175,""NAME""))"),"")</f>
        <v/>
      </c>
      <c r="E175" s="302">
        <v>5000.0</v>
      </c>
      <c r="F175" s="303" t="str">
        <f>IFERROR(__xludf.DUMMYFUNCTION("if(ISBLANK(A175),"""",GOOGLEFINANCE(A175,""HIGH52""))"),"")</f>
        <v/>
      </c>
      <c r="G175" s="303" t="str">
        <f>IFERROR(__xludf.DUMMYFUNCTION("if(ISBLANK(A175),"""",GOOGLEFINANCE(A175,""LOW52""))"),"")</f>
        <v/>
      </c>
      <c r="H175" s="304" t="str">
        <f>IFERROR(__xludf.DUMMYFUNCTION("if(ISBLANK(A175),"""",GOOGLEFINANCE(A175,""Price""))"),"")</f>
        <v/>
      </c>
      <c r="I175" s="305" t="str">
        <f t="shared" si="1"/>
        <v/>
      </c>
      <c r="J175" s="306" t="str">
        <f t="shared" si="2"/>
        <v/>
      </c>
      <c r="K175" s="307" t="str">
        <f>IFERROR(__xludf.DUMMYFUNCTION("if(ISBLANK(A175),"""",googlefinance(A175,""Marketcap"")/10000000)"),"")</f>
        <v/>
      </c>
      <c r="L175" s="309" t="str">
        <f t="shared" si="3"/>
        <v/>
      </c>
      <c r="M175" s="308" t="str">
        <f t="shared" si="4"/>
        <v/>
      </c>
      <c r="N175" s="309" t="str">
        <f t="shared" si="5"/>
        <v/>
      </c>
      <c r="O175" s="322" t="str">
        <f t="shared" si="6"/>
        <v/>
      </c>
      <c r="P175" s="308" t="str">
        <f t="shared" si="7"/>
        <v/>
      </c>
      <c r="Q175" s="311" t="str">
        <f t="shared" si="8"/>
        <v/>
      </c>
      <c r="R175" s="309" t="str">
        <f t="shared" si="9"/>
        <v/>
      </c>
      <c r="S175" s="308" t="str">
        <f t="shared" si="10"/>
        <v/>
      </c>
      <c r="T175" s="309" t="str">
        <f t="shared" si="11"/>
        <v/>
      </c>
      <c r="U175" s="309" t="str">
        <f t="shared" si="12"/>
        <v/>
      </c>
      <c r="V175" s="308" t="str">
        <f t="shared" si="13"/>
        <v/>
      </c>
      <c r="W175" s="309" t="str">
        <f t="shared" si="14"/>
        <v/>
      </c>
      <c r="X175" s="309" t="str">
        <f t="shared" si="15"/>
        <v/>
      </c>
      <c r="Y175" s="308" t="str">
        <f t="shared" si="16"/>
        <v/>
      </c>
      <c r="Z175" s="309" t="str">
        <f t="shared" si="17"/>
        <v/>
      </c>
      <c r="AA175" s="312" t="str">
        <f t="shared" si="18"/>
        <v/>
      </c>
      <c r="AB175" s="308" t="str">
        <f t="shared" si="19"/>
        <v/>
      </c>
      <c r="AC175" s="308" t="str">
        <f t="shared" si="20"/>
        <v/>
      </c>
      <c r="AD175" s="312" t="str">
        <f t="shared" si="21"/>
        <v/>
      </c>
      <c r="AE175" s="308" t="str">
        <f t="shared" si="22"/>
        <v/>
      </c>
      <c r="AF175" s="313" t="str">
        <f t="shared" si="23"/>
        <v/>
      </c>
      <c r="AG175" s="304" t="str">
        <f t="shared" si="24"/>
        <v/>
      </c>
      <c r="AH175" s="308" t="str">
        <f t="shared" si="25"/>
        <v/>
      </c>
      <c r="AI175" s="313" t="str">
        <f t="shared" si="26"/>
        <v/>
      </c>
      <c r="AJ175" s="304" t="str">
        <f t="shared" si="27"/>
        <v/>
      </c>
      <c r="AK175" s="308" t="str">
        <f t="shared" si="28"/>
        <v/>
      </c>
      <c r="AL175" s="308" t="str">
        <f t="shared" si="29"/>
        <v/>
      </c>
      <c r="AM175" s="304" t="str">
        <f t="shared" si="30"/>
        <v/>
      </c>
      <c r="AN175" s="308" t="str">
        <f t="shared" si="31"/>
        <v/>
      </c>
      <c r="AO175" s="313" t="str">
        <f t="shared" si="32"/>
        <v/>
      </c>
      <c r="AP175" s="304" t="str">
        <f t="shared" si="33"/>
        <v/>
      </c>
      <c r="AQ175" s="308" t="str">
        <f t="shared" si="34"/>
        <v/>
      </c>
      <c r="AR175" s="313" t="str">
        <f t="shared" si="35"/>
        <v/>
      </c>
      <c r="AS175" s="304" t="str">
        <f t="shared" si="36"/>
        <v/>
      </c>
      <c r="AT175" s="308" t="str">
        <f t="shared" si="37"/>
        <v/>
      </c>
      <c r="AU175" s="308" t="str">
        <f t="shared" si="38"/>
        <v/>
      </c>
      <c r="AV175" s="304" t="str">
        <f t="shared" si="39"/>
        <v/>
      </c>
      <c r="AW175" s="308" t="str">
        <f t="shared" si="40"/>
        <v/>
      </c>
      <c r="AX175" s="308" t="str">
        <f t="shared" si="41"/>
        <v/>
      </c>
      <c r="AY175" s="304" t="str">
        <f t="shared" si="42"/>
        <v/>
      </c>
      <c r="AZ175" s="308" t="str">
        <f t="shared" si="43"/>
        <v/>
      </c>
      <c r="BA175" s="313" t="str">
        <f t="shared" si="44"/>
        <v/>
      </c>
      <c r="BB175" s="304" t="str">
        <f t="shared" si="45"/>
        <v/>
      </c>
      <c r="BC175" s="308" t="str">
        <f t="shared" si="46"/>
        <v/>
      </c>
      <c r="BD175" s="308" t="str">
        <f t="shared" si="47"/>
        <v/>
      </c>
    </row>
    <row r="176">
      <c r="A176" s="298"/>
      <c r="B176" s="299"/>
      <c r="C176" s="300"/>
      <c r="D176" s="301" t="str">
        <f>IFERROR(__xludf.DUMMYFUNCTION("if(ISBLANK(A176),"""",GOOGLEFINANCE(A176,""NAME""))"),"")</f>
        <v/>
      </c>
      <c r="E176" s="302">
        <v>5000.0</v>
      </c>
      <c r="F176" s="303" t="str">
        <f>IFERROR(__xludf.DUMMYFUNCTION("if(ISBLANK(A176),"""",GOOGLEFINANCE(A176,""HIGH52""))"),"")</f>
        <v/>
      </c>
      <c r="G176" s="303" t="str">
        <f>IFERROR(__xludf.DUMMYFUNCTION("if(ISBLANK(A176),"""",GOOGLEFINANCE(A176,""LOW52""))"),"")</f>
        <v/>
      </c>
      <c r="H176" s="304" t="str">
        <f>IFERROR(__xludf.DUMMYFUNCTION("if(ISBLANK(A176),"""",GOOGLEFINANCE(A176,""Price""))"),"")</f>
        <v/>
      </c>
      <c r="I176" s="305" t="str">
        <f t="shared" si="1"/>
        <v/>
      </c>
      <c r="J176" s="306" t="str">
        <f t="shared" si="2"/>
        <v/>
      </c>
      <c r="K176" s="307" t="str">
        <f>IFERROR(__xludf.DUMMYFUNCTION("if(ISBLANK(A176),"""",googlefinance(A176,""Marketcap"")/10000000)"),"")</f>
        <v/>
      </c>
      <c r="L176" s="309" t="str">
        <f t="shared" si="3"/>
        <v/>
      </c>
      <c r="M176" s="308" t="str">
        <f t="shared" si="4"/>
        <v/>
      </c>
      <c r="N176" s="309" t="str">
        <f t="shared" si="5"/>
        <v/>
      </c>
      <c r="O176" s="322" t="str">
        <f t="shared" si="6"/>
        <v/>
      </c>
      <c r="P176" s="308" t="str">
        <f t="shared" si="7"/>
        <v/>
      </c>
      <c r="Q176" s="311" t="str">
        <f t="shared" si="8"/>
        <v/>
      </c>
      <c r="R176" s="309" t="str">
        <f t="shared" si="9"/>
        <v/>
      </c>
      <c r="S176" s="308" t="str">
        <f t="shared" si="10"/>
        <v/>
      </c>
      <c r="T176" s="309" t="str">
        <f t="shared" si="11"/>
        <v/>
      </c>
      <c r="U176" s="309" t="str">
        <f t="shared" si="12"/>
        <v/>
      </c>
      <c r="V176" s="308" t="str">
        <f t="shared" si="13"/>
        <v/>
      </c>
      <c r="W176" s="309" t="str">
        <f t="shared" si="14"/>
        <v/>
      </c>
      <c r="X176" s="309" t="str">
        <f t="shared" si="15"/>
        <v/>
      </c>
      <c r="Y176" s="308" t="str">
        <f t="shared" si="16"/>
        <v/>
      </c>
      <c r="Z176" s="309" t="str">
        <f t="shared" si="17"/>
        <v/>
      </c>
      <c r="AA176" s="312" t="str">
        <f t="shared" si="18"/>
        <v/>
      </c>
      <c r="AB176" s="308" t="str">
        <f t="shared" si="19"/>
        <v/>
      </c>
      <c r="AC176" s="308" t="str">
        <f t="shared" si="20"/>
        <v/>
      </c>
      <c r="AD176" s="312" t="str">
        <f t="shared" si="21"/>
        <v/>
      </c>
      <c r="AE176" s="308" t="str">
        <f t="shared" si="22"/>
        <v/>
      </c>
      <c r="AF176" s="313" t="str">
        <f t="shared" si="23"/>
        <v/>
      </c>
      <c r="AG176" s="304" t="str">
        <f t="shared" si="24"/>
        <v/>
      </c>
      <c r="AH176" s="308" t="str">
        <f t="shared" si="25"/>
        <v/>
      </c>
      <c r="AI176" s="313" t="str">
        <f t="shared" si="26"/>
        <v/>
      </c>
      <c r="AJ176" s="304" t="str">
        <f t="shared" si="27"/>
        <v/>
      </c>
      <c r="AK176" s="308" t="str">
        <f t="shared" si="28"/>
        <v/>
      </c>
      <c r="AL176" s="308" t="str">
        <f t="shared" si="29"/>
        <v/>
      </c>
      <c r="AM176" s="304" t="str">
        <f t="shared" si="30"/>
        <v/>
      </c>
      <c r="AN176" s="308" t="str">
        <f t="shared" si="31"/>
        <v/>
      </c>
      <c r="AO176" s="313" t="str">
        <f t="shared" si="32"/>
        <v/>
      </c>
      <c r="AP176" s="304" t="str">
        <f t="shared" si="33"/>
        <v/>
      </c>
      <c r="AQ176" s="308" t="str">
        <f t="shared" si="34"/>
        <v/>
      </c>
      <c r="AR176" s="313" t="str">
        <f t="shared" si="35"/>
        <v/>
      </c>
      <c r="AS176" s="304" t="str">
        <f t="shared" si="36"/>
        <v/>
      </c>
      <c r="AT176" s="308" t="str">
        <f t="shared" si="37"/>
        <v/>
      </c>
      <c r="AU176" s="308" t="str">
        <f t="shared" si="38"/>
        <v/>
      </c>
      <c r="AV176" s="304" t="str">
        <f t="shared" si="39"/>
        <v/>
      </c>
      <c r="AW176" s="308" t="str">
        <f t="shared" si="40"/>
        <v/>
      </c>
      <c r="AX176" s="308" t="str">
        <f t="shared" si="41"/>
        <v/>
      </c>
      <c r="AY176" s="304" t="str">
        <f t="shared" si="42"/>
        <v/>
      </c>
      <c r="AZ176" s="308" t="str">
        <f t="shared" si="43"/>
        <v/>
      </c>
      <c r="BA176" s="313" t="str">
        <f t="shared" si="44"/>
        <v/>
      </c>
      <c r="BB176" s="304" t="str">
        <f t="shared" si="45"/>
        <v/>
      </c>
      <c r="BC176" s="308" t="str">
        <f t="shared" si="46"/>
        <v/>
      </c>
      <c r="BD176" s="308" t="str">
        <f t="shared" si="47"/>
        <v/>
      </c>
    </row>
    <row r="177">
      <c r="A177" s="298"/>
      <c r="B177" s="299"/>
      <c r="C177" s="300"/>
      <c r="D177" s="301" t="str">
        <f>IFERROR(__xludf.DUMMYFUNCTION("if(ISBLANK(A177),"""",GOOGLEFINANCE(A177,""NAME""))"),"")</f>
        <v/>
      </c>
      <c r="E177" s="302">
        <v>5000.0</v>
      </c>
      <c r="F177" s="303" t="str">
        <f>IFERROR(__xludf.DUMMYFUNCTION("if(ISBLANK(A177),"""",GOOGLEFINANCE(A177,""HIGH52""))"),"")</f>
        <v/>
      </c>
      <c r="G177" s="303" t="str">
        <f>IFERROR(__xludf.DUMMYFUNCTION("if(ISBLANK(A177),"""",GOOGLEFINANCE(A177,""LOW52""))"),"")</f>
        <v/>
      </c>
      <c r="H177" s="304" t="str">
        <f>IFERROR(__xludf.DUMMYFUNCTION("if(ISBLANK(A177),"""",GOOGLEFINANCE(A177,""Price""))"),"")</f>
        <v/>
      </c>
      <c r="I177" s="305" t="str">
        <f t="shared" si="1"/>
        <v/>
      </c>
      <c r="J177" s="306" t="str">
        <f t="shared" si="2"/>
        <v/>
      </c>
      <c r="K177" s="307" t="str">
        <f>IFERROR(__xludf.DUMMYFUNCTION("if(ISBLANK(A177),"""",googlefinance(A177,""Marketcap"")/10000000)"),"")</f>
        <v/>
      </c>
      <c r="L177" s="309" t="str">
        <f t="shared" si="3"/>
        <v/>
      </c>
      <c r="M177" s="308" t="str">
        <f t="shared" si="4"/>
        <v/>
      </c>
      <c r="N177" s="309" t="str">
        <f t="shared" si="5"/>
        <v/>
      </c>
      <c r="O177" s="322" t="str">
        <f t="shared" si="6"/>
        <v/>
      </c>
      <c r="P177" s="308" t="str">
        <f t="shared" si="7"/>
        <v/>
      </c>
      <c r="Q177" s="311" t="str">
        <f t="shared" si="8"/>
        <v/>
      </c>
      <c r="R177" s="309" t="str">
        <f t="shared" si="9"/>
        <v/>
      </c>
      <c r="S177" s="308" t="str">
        <f t="shared" si="10"/>
        <v/>
      </c>
      <c r="T177" s="309" t="str">
        <f t="shared" si="11"/>
        <v/>
      </c>
      <c r="U177" s="309" t="str">
        <f t="shared" si="12"/>
        <v/>
      </c>
      <c r="V177" s="308" t="str">
        <f t="shared" si="13"/>
        <v/>
      </c>
      <c r="W177" s="309" t="str">
        <f t="shared" si="14"/>
        <v/>
      </c>
      <c r="X177" s="309" t="str">
        <f t="shared" si="15"/>
        <v/>
      </c>
      <c r="Y177" s="308" t="str">
        <f t="shared" si="16"/>
        <v/>
      </c>
      <c r="Z177" s="309" t="str">
        <f t="shared" si="17"/>
        <v/>
      </c>
      <c r="AA177" s="312" t="str">
        <f t="shared" si="18"/>
        <v/>
      </c>
      <c r="AB177" s="308" t="str">
        <f t="shared" si="19"/>
        <v/>
      </c>
      <c r="AC177" s="308" t="str">
        <f t="shared" si="20"/>
        <v/>
      </c>
      <c r="AD177" s="312" t="str">
        <f t="shared" si="21"/>
        <v/>
      </c>
      <c r="AE177" s="308" t="str">
        <f t="shared" si="22"/>
        <v/>
      </c>
      <c r="AF177" s="313" t="str">
        <f t="shared" si="23"/>
        <v/>
      </c>
      <c r="AG177" s="304" t="str">
        <f t="shared" si="24"/>
        <v/>
      </c>
      <c r="AH177" s="308" t="str">
        <f t="shared" si="25"/>
        <v/>
      </c>
      <c r="AI177" s="313" t="str">
        <f t="shared" si="26"/>
        <v/>
      </c>
      <c r="AJ177" s="304" t="str">
        <f t="shared" si="27"/>
        <v/>
      </c>
      <c r="AK177" s="308" t="str">
        <f t="shared" si="28"/>
        <v/>
      </c>
      <c r="AL177" s="308" t="str">
        <f t="shared" si="29"/>
        <v/>
      </c>
      <c r="AM177" s="304" t="str">
        <f t="shared" si="30"/>
        <v/>
      </c>
      <c r="AN177" s="308" t="str">
        <f t="shared" si="31"/>
        <v/>
      </c>
      <c r="AO177" s="313" t="str">
        <f t="shared" si="32"/>
        <v/>
      </c>
      <c r="AP177" s="304" t="str">
        <f t="shared" si="33"/>
        <v/>
      </c>
      <c r="AQ177" s="308" t="str">
        <f t="shared" si="34"/>
        <v/>
      </c>
      <c r="AR177" s="313" t="str">
        <f t="shared" si="35"/>
        <v/>
      </c>
      <c r="AS177" s="304" t="str">
        <f t="shared" si="36"/>
        <v/>
      </c>
      <c r="AT177" s="308" t="str">
        <f t="shared" si="37"/>
        <v/>
      </c>
      <c r="AU177" s="308" t="str">
        <f t="shared" si="38"/>
        <v/>
      </c>
      <c r="AV177" s="304" t="str">
        <f t="shared" si="39"/>
        <v/>
      </c>
      <c r="AW177" s="308" t="str">
        <f t="shared" si="40"/>
        <v/>
      </c>
      <c r="AX177" s="308" t="str">
        <f t="shared" si="41"/>
        <v/>
      </c>
      <c r="AY177" s="304" t="str">
        <f t="shared" si="42"/>
        <v/>
      </c>
      <c r="AZ177" s="308" t="str">
        <f t="shared" si="43"/>
        <v/>
      </c>
      <c r="BA177" s="313" t="str">
        <f t="shared" si="44"/>
        <v/>
      </c>
      <c r="BB177" s="304" t="str">
        <f t="shared" si="45"/>
        <v/>
      </c>
      <c r="BC177" s="308" t="str">
        <f t="shared" si="46"/>
        <v/>
      </c>
      <c r="BD177" s="308" t="str">
        <f t="shared" si="47"/>
        <v/>
      </c>
    </row>
    <row r="178">
      <c r="A178" s="298"/>
      <c r="B178" s="299"/>
      <c r="C178" s="300"/>
      <c r="D178" s="301" t="str">
        <f>IFERROR(__xludf.DUMMYFUNCTION("if(ISBLANK(A178),"""",GOOGLEFINANCE(A178,""NAME""))"),"")</f>
        <v/>
      </c>
      <c r="E178" s="302">
        <v>5000.0</v>
      </c>
      <c r="F178" s="303" t="str">
        <f>IFERROR(__xludf.DUMMYFUNCTION("if(ISBLANK(A178),"""",GOOGLEFINANCE(A178,""HIGH52""))"),"")</f>
        <v/>
      </c>
      <c r="G178" s="303" t="str">
        <f>IFERROR(__xludf.DUMMYFUNCTION("if(ISBLANK(A178),"""",GOOGLEFINANCE(A178,""LOW52""))"),"")</f>
        <v/>
      </c>
      <c r="H178" s="304" t="str">
        <f>IFERROR(__xludf.DUMMYFUNCTION("if(ISBLANK(A178),"""",GOOGLEFINANCE(A178,""Price""))"),"")</f>
        <v/>
      </c>
      <c r="I178" s="305" t="str">
        <f t="shared" si="1"/>
        <v/>
      </c>
      <c r="J178" s="306" t="str">
        <f t="shared" si="2"/>
        <v/>
      </c>
      <c r="K178" s="307" t="str">
        <f>IFERROR(__xludf.DUMMYFUNCTION("if(ISBLANK(A178),"""",googlefinance(A178,""Marketcap"")/10000000)"),"")</f>
        <v/>
      </c>
      <c r="L178" s="309" t="str">
        <f t="shared" si="3"/>
        <v/>
      </c>
      <c r="M178" s="308" t="str">
        <f t="shared" si="4"/>
        <v/>
      </c>
      <c r="N178" s="309" t="str">
        <f t="shared" si="5"/>
        <v/>
      </c>
      <c r="O178" s="322" t="str">
        <f t="shared" si="6"/>
        <v/>
      </c>
      <c r="P178" s="308" t="str">
        <f t="shared" si="7"/>
        <v/>
      </c>
      <c r="Q178" s="311" t="str">
        <f t="shared" si="8"/>
        <v/>
      </c>
      <c r="R178" s="309" t="str">
        <f t="shared" si="9"/>
        <v/>
      </c>
      <c r="S178" s="308" t="str">
        <f t="shared" si="10"/>
        <v/>
      </c>
      <c r="T178" s="309" t="str">
        <f t="shared" si="11"/>
        <v/>
      </c>
      <c r="U178" s="309" t="str">
        <f t="shared" si="12"/>
        <v/>
      </c>
      <c r="V178" s="308" t="str">
        <f t="shared" si="13"/>
        <v/>
      </c>
      <c r="W178" s="309" t="str">
        <f t="shared" si="14"/>
        <v/>
      </c>
      <c r="X178" s="309" t="str">
        <f t="shared" si="15"/>
        <v/>
      </c>
      <c r="Y178" s="308" t="str">
        <f t="shared" si="16"/>
        <v/>
      </c>
      <c r="Z178" s="309" t="str">
        <f t="shared" si="17"/>
        <v/>
      </c>
      <c r="AA178" s="312" t="str">
        <f t="shared" si="18"/>
        <v/>
      </c>
      <c r="AB178" s="308" t="str">
        <f t="shared" si="19"/>
        <v/>
      </c>
      <c r="AC178" s="308" t="str">
        <f t="shared" si="20"/>
        <v/>
      </c>
      <c r="AD178" s="312" t="str">
        <f t="shared" si="21"/>
        <v/>
      </c>
      <c r="AE178" s="308" t="str">
        <f t="shared" si="22"/>
        <v/>
      </c>
      <c r="AF178" s="313" t="str">
        <f t="shared" si="23"/>
        <v/>
      </c>
      <c r="AG178" s="304" t="str">
        <f t="shared" si="24"/>
        <v/>
      </c>
      <c r="AH178" s="308" t="str">
        <f t="shared" si="25"/>
        <v/>
      </c>
      <c r="AI178" s="313" t="str">
        <f t="shared" si="26"/>
        <v/>
      </c>
      <c r="AJ178" s="304" t="str">
        <f t="shared" si="27"/>
        <v/>
      </c>
      <c r="AK178" s="308" t="str">
        <f t="shared" si="28"/>
        <v/>
      </c>
      <c r="AL178" s="308" t="str">
        <f t="shared" si="29"/>
        <v/>
      </c>
      <c r="AM178" s="304" t="str">
        <f t="shared" si="30"/>
        <v/>
      </c>
      <c r="AN178" s="308" t="str">
        <f t="shared" si="31"/>
        <v/>
      </c>
      <c r="AO178" s="313" t="str">
        <f t="shared" si="32"/>
        <v/>
      </c>
      <c r="AP178" s="304" t="str">
        <f t="shared" si="33"/>
        <v/>
      </c>
      <c r="AQ178" s="308" t="str">
        <f t="shared" si="34"/>
        <v/>
      </c>
      <c r="AR178" s="313" t="str">
        <f t="shared" si="35"/>
        <v/>
      </c>
      <c r="AS178" s="304" t="str">
        <f t="shared" si="36"/>
        <v/>
      </c>
      <c r="AT178" s="308" t="str">
        <f t="shared" si="37"/>
        <v/>
      </c>
      <c r="AU178" s="308" t="str">
        <f t="shared" si="38"/>
        <v/>
      </c>
      <c r="AV178" s="304" t="str">
        <f t="shared" si="39"/>
        <v/>
      </c>
      <c r="AW178" s="308" t="str">
        <f t="shared" si="40"/>
        <v/>
      </c>
      <c r="AX178" s="308" t="str">
        <f t="shared" si="41"/>
        <v/>
      </c>
      <c r="AY178" s="304" t="str">
        <f t="shared" si="42"/>
        <v/>
      </c>
      <c r="AZ178" s="308" t="str">
        <f t="shared" si="43"/>
        <v/>
      </c>
      <c r="BA178" s="313" t="str">
        <f t="shared" si="44"/>
        <v/>
      </c>
      <c r="BB178" s="304" t="str">
        <f t="shared" si="45"/>
        <v/>
      </c>
      <c r="BC178" s="308" t="str">
        <f t="shared" si="46"/>
        <v/>
      </c>
      <c r="BD178" s="308" t="str">
        <f t="shared" si="47"/>
        <v/>
      </c>
    </row>
    <row r="179">
      <c r="A179" s="298"/>
      <c r="B179" s="299"/>
      <c r="C179" s="300"/>
      <c r="D179" s="301" t="str">
        <f>IFERROR(__xludf.DUMMYFUNCTION("if(ISBLANK(A179),"""",GOOGLEFINANCE(A179,""NAME""))"),"")</f>
        <v/>
      </c>
      <c r="E179" s="302">
        <v>5000.0</v>
      </c>
      <c r="F179" s="303" t="str">
        <f>IFERROR(__xludf.DUMMYFUNCTION("if(ISBLANK(A179),"""",GOOGLEFINANCE(A179,""HIGH52""))"),"")</f>
        <v/>
      </c>
      <c r="G179" s="303" t="str">
        <f>IFERROR(__xludf.DUMMYFUNCTION("if(ISBLANK(A179),"""",GOOGLEFINANCE(A179,""LOW52""))"),"")</f>
        <v/>
      </c>
      <c r="H179" s="304" t="str">
        <f>IFERROR(__xludf.DUMMYFUNCTION("if(ISBLANK(A179),"""",GOOGLEFINANCE(A179,""Price""))"),"")</f>
        <v/>
      </c>
      <c r="I179" s="305" t="str">
        <f t="shared" si="1"/>
        <v/>
      </c>
      <c r="J179" s="306" t="str">
        <f t="shared" si="2"/>
        <v/>
      </c>
      <c r="K179" s="307" t="str">
        <f>IFERROR(__xludf.DUMMYFUNCTION("if(ISBLANK(A179),"""",googlefinance(A179,""Marketcap"")/10000000)"),"")</f>
        <v/>
      </c>
      <c r="L179" s="309" t="str">
        <f t="shared" si="3"/>
        <v/>
      </c>
      <c r="M179" s="308" t="str">
        <f t="shared" si="4"/>
        <v/>
      </c>
      <c r="N179" s="309" t="str">
        <f t="shared" si="5"/>
        <v/>
      </c>
      <c r="O179" s="322" t="str">
        <f t="shared" si="6"/>
        <v/>
      </c>
      <c r="P179" s="308" t="str">
        <f t="shared" si="7"/>
        <v/>
      </c>
      <c r="Q179" s="311" t="str">
        <f t="shared" si="8"/>
        <v/>
      </c>
      <c r="R179" s="309" t="str">
        <f t="shared" si="9"/>
        <v/>
      </c>
      <c r="S179" s="308" t="str">
        <f t="shared" si="10"/>
        <v/>
      </c>
      <c r="T179" s="309" t="str">
        <f t="shared" si="11"/>
        <v/>
      </c>
      <c r="U179" s="309" t="str">
        <f t="shared" si="12"/>
        <v/>
      </c>
      <c r="V179" s="308" t="str">
        <f t="shared" si="13"/>
        <v/>
      </c>
      <c r="W179" s="309" t="str">
        <f t="shared" si="14"/>
        <v/>
      </c>
      <c r="X179" s="309" t="str">
        <f t="shared" si="15"/>
        <v/>
      </c>
      <c r="Y179" s="308" t="str">
        <f t="shared" si="16"/>
        <v/>
      </c>
      <c r="Z179" s="309" t="str">
        <f t="shared" si="17"/>
        <v/>
      </c>
      <c r="AA179" s="312" t="str">
        <f t="shared" si="18"/>
        <v/>
      </c>
      <c r="AB179" s="308" t="str">
        <f t="shared" si="19"/>
        <v/>
      </c>
      <c r="AC179" s="308" t="str">
        <f t="shared" si="20"/>
        <v/>
      </c>
      <c r="AD179" s="312" t="str">
        <f t="shared" si="21"/>
        <v/>
      </c>
      <c r="AE179" s="308" t="str">
        <f t="shared" si="22"/>
        <v/>
      </c>
      <c r="AF179" s="313" t="str">
        <f t="shared" si="23"/>
        <v/>
      </c>
      <c r="AG179" s="304" t="str">
        <f t="shared" si="24"/>
        <v/>
      </c>
      <c r="AH179" s="308" t="str">
        <f t="shared" si="25"/>
        <v/>
      </c>
      <c r="AI179" s="313" t="str">
        <f t="shared" si="26"/>
        <v/>
      </c>
      <c r="AJ179" s="304" t="str">
        <f t="shared" si="27"/>
        <v/>
      </c>
      <c r="AK179" s="308" t="str">
        <f t="shared" si="28"/>
        <v/>
      </c>
      <c r="AL179" s="308" t="str">
        <f t="shared" si="29"/>
        <v/>
      </c>
      <c r="AM179" s="304" t="str">
        <f t="shared" si="30"/>
        <v/>
      </c>
      <c r="AN179" s="308" t="str">
        <f t="shared" si="31"/>
        <v/>
      </c>
      <c r="AO179" s="313" t="str">
        <f t="shared" si="32"/>
        <v/>
      </c>
      <c r="AP179" s="304" t="str">
        <f t="shared" si="33"/>
        <v/>
      </c>
      <c r="AQ179" s="308" t="str">
        <f t="shared" si="34"/>
        <v/>
      </c>
      <c r="AR179" s="313" t="str">
        <f t="shared" si="35"/>
        <v/>
      </c>
      <c r="AS179" s="304" t="str">
        <f t="shared" si="36"/>
        <v/>
      </c>
      <c r="AT179" s="308" t="str">
        <f t="shared" si="37"/>
        <v/>
      </c>
      <c r="AU179" s="308" t="str">
        <f t="shared" si="38"/>
        <v/>
      </c>
      <c r="AV179" s="304" t="str">
        <f t="shared" si="39"/>
        <v/>
      </c>
      <c r="AW179" s="308" t="str">
        <f t="shared" si="40"/>
        <v/>
      </c>
      <c r="AX179" s="308" t="str">
        <f t="shared" si="41"/>
        <v/>
      </c>
      <c r="AY179" s="304" t="str">
        <f t="shared" si="42"/>
        <v/>
      </c>
      <c r="AZ179" s="308" t="str">
        <f t="shared" si="43"/>
        <v/>
      </c>
      <c r="BA179" s="313" t="str">
        <f t="shared" si="44"/>
        <v/>
      </c>
      <c r="BB179" s="304" t="str">
        <f t="shared" si="45"/>
        <v/>
      </c>
      <c r="BC179" s="308" t="str">
        <f t="shared" si="46"/>
        <v/>
      </c>
      <c r="BD179" s="308" t="str">
        <f t="shared" si="47"/>
        <v/>
      </c>
    </row>
    <row r="180">
      <c r="A180" s="298"/>
      <c r="B180" s="299"/>
      <c r="C180" s="300"/>
      <c r="D180" s="301" t="str">
        <f>IFERROR(__xludf.DUMMYFUNCTION("if(ISBLANK(A180),"""",GOOGLEFINANCE(A180,""NAME""))"),"")</f>
        <v/>
      </c>
      <c r="E180" s="302">
        <v>5000.0</v>
      </c>
      <c r="F180" s="303" t="str">
        <f>IFERROR(__xludf.DUMMYFUNCTION("if(ISBLANK(A180),"""",GOOGLEFINANCE(A180,""HIGH52""))"),"")</f>
        <v/>
      </c>
      <c r="G180" s="303" t="str">
        <f>IFERROR(__xludf.DUMMYFUNCTION("if(ISBLANK(A180),"""",GOOGLEFINANCE(A180,""LOW52""))"),"")</f>
        <v/>
      </c>
      <c r="H180" s="304" t="str">
        <f>IFERROR(__xludf.DUMMYFUNCTION("if(ISBLANK(A180),"""",GOOGLEFINANCE(A180,""Price""))"),"")</f>
        <v/>
      </c>
      <c r="I180" s="305" t="str">
        <f t="shared" si="1"/>
        <v/>
      </c>
      <c r="J180" s="306" t="str">
        <f t="shared" si="2"/>
        <v/>
      </c>
      <c r="K180" s="307" t="str">
        <f>IFERROR(__xludf.DUMMYFUNCTION("if(ISBLANK(A180),"""",googlefinance(A180,""Marketcap"")/10000000)"),"")</f>
        <v/>
      </c>
      <c r="L180" s="309" t="str">
        <f t="shared" si="3"/>
        <v/>
      </c>
      <c r="M180" s="308" t="str">
        <f t="shared" si="4"/>
        <v/>
      </c>
      <c r="N180" s="309" t="str">
        <f t="shared" si="5"/>
        <v/>
      </c>
      <c r="O180" s="322" t="str">
        <f t="shared" si="6"/>
        <v/>
      </c>
      <c r="P180" s="308" t="str">
        <f t="shared" si="7"/>
        <v/>
      </c>
      <c r="Q180" s="311" t="str">
        <f t="shared" si="8"/>
        <v/>
      </c>
      <c r="R180" s="309" t="str">
        <f t="shared" si="9"/>
        <v/>
      </c>
      <c r="S180" s="308" t="str">
        <f t="shared" si="10"/>
        <v/>
      </c>
      <c r="T180" s="309" t="str">
        <f t="shared" si="11"/>
        <v/>
      </c>
      <c r="U180" s="309" t="str">
        <f t="shared" si="12"/>
        <v/>
      </c>
      <c r="V180" s="308" t="str">
        <f t="shared" si="13"/>
        <v/>
      </c>
      <c r="W180" s="309" t="str">
        <f t="shared" si="14"/>
        <v/>
      </c>
      <c r="X180" s="309" t="str">
        <f t="shared" si="15"/>
        <v/>
      </c>
      <c r="Y180" s="308" t="str">
        <f t="shared" si="16"/>
        <v/>
      </c>
      <c r="Z180" s="309" t="str">
        <f t="shared" si="17"/>
        <v/>
      </c>
      <c r="AA180" s="312" t="str">
        <f t="shared" si="18"/>
        <v/>
      </c>
      <c r="AB180" s="308" t="str">
        <f t="shared" si="19"/>
        <v/>
      </c>
      <c r="AC180" s="308" t="str">
        <f t="shared" si="20"/>
        <v/>
      </c>
      <c r="AD180" s="312" t="str">
        <f t="shared" si="21"/>
        <v/>
      </c>
      <c r="AE180" s="308" t="str">
        <f t="shared" si="22"/>
        <v/>
      </c>
      <c r="AF180" s="313" t="str">
        <f t="shared" si="23"/>
        <v/>
      </c>
      <c r="AG180" s="304" t="str">
        <f t="shared" si="24"/>
        <v/>
      </c>
      <c r="AH180" s="308" t="str">
        <f t="shared" si="25"/>
        <v/>
      </c>
      <c r="AI180" s="313" t="str">
        <f t="shared" si="26"/>
        <v/>
      </c>
      <c r="AJ180" s="304" t="str">
        <f t="shared" si="27"/>
        <v/>
      </c>
      <c r="AK180" s="308" t="str">
        <f t="shared" si="28"/>
        <v/>
      </c>
      <c r="AL180" s="308" t="str">
        <f t="shared" si="29"/>
        <v/>
      </c>
      <c r="AM180" s="304" t="str">
        <f t="shared" si="30"/>
        <v/>
      </c>
      <c r="AN180" s="308" t="str">
        <f t="shared" si="31"/>
        <v/>
      </c>
      <c r="AO180" s="313" t="str">
        <f t="shared" si="32"/>
        <v/>
      </c>
      <c r="AP180" s="304" t="str">
        <f t="shared" si="33"/>
        <v/>
      </c>
      <c r="AQ180" s="308" t="str">
        <f t="shared" si="34"/>
        <v/>
      </c>
      <c r="AR180" s="313" t="str">
        <f t="shared" si="35"/>
        <v/>
      </c>
      <c r="AS180" s="304" t="str">
        <f t="shared" si="36"/>
        <v/>
      </c>
      <c r="AT180" s="308" t="str">
        <f t="shared" si="37"/>
        <v/>
      </c>
      <c r="AU180" s="308" t="str">
        <f t="shared" si="38"/>
        <v/>
      </c>
      <c r="AV180" s="304" t="str">
        <f t="shared" si="39"/>
        <v/>
      </c>
      <c r="AW180" s="308" t="str">
        <f t="shared" si="40"/>
        <v/>
      </c>
      <c r="AX180" s="308" t="str">
        <f t="shared" si="41"/>
        <v/>
      </c>
      <c r="AY180" s="304" t="str">
        <f t="shared" si="42"/>
        <v/>
      </c>
      <c r="AZ180" s="308" t="str">
        <f t="shared" si="43"/>
        <v/>
      </c>
      <c r="BA180" s="313" t="str">
        <f t="shared" si="44"/>
        <v/>
      </c>
      <c r="BB180" s="304" t="str">
        <f t="shared" si="45"/>
        <v/>
      </c>
      <c r="BC180" s="308" t="str">
        <f t="shared" si="46"/>
        <v/>
      </c>
      <c r="BD180" s="308" t="str">
        <f t="shared" si="47"/>
        <v/>
      </c>
    </row>
    <row r="181">
      <c r="A181" s="298"/>
      <c r="B181" s="299"/>
      <c r="C181" s="300"/>
      <c r="D181" s="301" t="str">
        <f>IFERROR(__xludf.DUMMYFUNCTION("if(ISBLANK(A181),"""",GOOGLEFINANCE(A181,""NAME""))"),"")</f>
        <v/>
      </c>
      <c r="E181" s="302">
        <v>5000.0</v>
      </c>
      <c r="F181" s="303" t="str">
        <f>IFERROR(__xludf.DUMMYFUNCTION("if(ISBLANK(A181),"""",GOOGLEFINANCE(A181,""HIGH52""))"),"")</f>
        <v/>
      </c>
      <c r="G181" s="303" t="str">
        <f>IFERROR(__xludf.DUMMYFUNCTION("if(ISBLANK(A181),"""",GOOGLEFINANCE(A181,""LOW52""))"),"")</f>
        <v/>
      </c>
      <c r="H181" s="304" t="str">
        <f>IFERROR(__xludf.DUMMYFUNCTION("if(ISBLANK(A181),"""",GOOGLEFINANCE(A181,""Price""))"),"")</f>
        <v/>
      </c>
      <c r="I181" s="305" t="str">
        <f t="shared" si="1"/>
        <v/>
      </c>
      <c r="J181" s="306" t="str">
        <f t="shared" si="2"/>
        <v/>
      </c>
      <c r="K181" s="307" t="str">
        <f>IFERROR(__xludf.DUMMYFUNCTION("if(ISBLANK(A181),"""",googlefinance(A181,""Marketcap"")/10000000)"),"")</f>
        <v/>
      </c>
      <c r="L181" s="309" t="str">
        <f t="shared" si="3"/>
        <v/>
      </c>
      <c r="M181" s="308" t="str">
        <f t="shared" si="4"/>
        <v/>
      </c>
      <c r="N181" s="309" t="str">
        <f t="shared" si="5"/>
        <v/>
      </c>
      <c r="O181" s="322" t="str">
        <f t="shared" si="6"/>
        <v/>
      </c>
      <c r="P181" s="308" t="str">
        <f t="shared" si="7"/>
        <v/>
      </c>
      <c r="Q181" s="311" t="str">
        <f t="shared" si="8"/>
        <v/>
      </c>
      <c r="R181" s="309" t="str">
        <f t="shared" si="9"/>
        <v/>
      </c>
      <c r="S181" s="308" t="str">
        <f t="shared" si="10"/>
        <v/>
      </c>
      <c r="T181" s="309" t="str">
        <f t="shared" si="11"/>
        <v/>
      </c>
      <c r="U181" s="309" t="str">
        <f t="shared" si="12"/>
        <v/>
      </c>
      <c r="V181" s="308" t="str">
        <f t="shared" si="13"/>
        <v/>
      </c>
      <c r="W181" s="309" t="str">
        <f t="shared" si="14"/>
        <v/>
      </c>
      <c r="X181" s="309" t="str">
        <f t="shared" si="15"/>
        <v/>
      </c>
      <c r="Y181" s="308" t="str">
        <f t="shared" si="16"/>
        <v/>
      </c>
      <c r="Z181" s="309" t="str">
        <f t="shared" si="17"/>
        <v/>
      </c>
      <c r="AA181" s="312" t="str">
        <f t="shared" si="18"/>
        <v/>
      </c>
      <c r="AB181" s="308" t="str">
        <f t="shared" si="19"/>
        <v/>
      </c>
      <c r="AC181" s="308" t="str">
        <f t="shared" si="20"/>
        <v/>
      </c>
      <c r="AD181" s="312" t="str">
        <f t="shared" si="21"/>
        <v/>
      </c>
      <c r="AE181" s="308" t="str">
        <f t="shared" si="22"/>
        <v/>
      </c>
      <c r="AF181" s="313" t="str">
        <f t="shared" si="23"/>
        <v/>
      </c>
      <c r="AG181" s="304" t="str">
        <f t="shared" si="24"/>
        <v/>
      </c>
      <c r="AH181" s="308" t="str">
        <f t="shared" si="25"/>
        <v/>
      </c>
      <c r="AI181" s="313" t="str">
        <f t="shared" si="26"/>
        <v/>
      </c>
      <c r="AJ181" s="304" t="str">
        <f t="shared" si="27"/>
        <v/>
      </c>
      <c r="AK181" s="308" t="str">
        <f t="shared" si="28"/>
        <v/>
      </c>
      <c r="AL181" s="308" t="str">
        <f t="shared" si="29"/>
        <v/>
      </c>
      <c r="AM181" s="304" t="str">
        <f t="shared" si="30"/>
        <v/>
      </c>
      <c r="AN181" s="308" t="str">
        <f t="shared" si="31"/>
        <v/>
      </c>
      <c r="AO181" s="313" t="str">
        <f t="shared" si="32"/>
        <v/>
      </c>
      <c r="AP181" s="304" t="str">
        <f t="shared" si="33"/>
        <v/>
      </c>
      <c r="AQ181" s="308" t="str">
        <f t="shared" si="34"/>
        <v/>
      </c>
      <c r="AR181" s="313" t="str">
        <f t="shared" si="35"/>
        <v/>
      </c>
      <c r="AS181" s="304" t="str">
        <f t="shared" si="36"/>
        <v/>
      </c>
      <c r="AT181" s="308" t="str">
        <f t="shared" si="37"/>
        <v/>
      </c>
      <c r="AU181" s="308" t="str">
        <f t="shared" si="38"/>
        <v/>
      </c>
      <c r="AV181" s="304" t="str">
        <f t="shared" si="39"/>
        <v/>
      </c>
      <c r="AW181" s="308" t="str">
        <f t="shared" si="40"/>
        <v/>
      </c>
      <c r="AX181" s="308" t="str">
        <f t="shared" si="41"/>
        <v/>
      </c>
      <c r="AY181" s="304" t="str">
        <f t="shared" si="42"/>
        <v/>
      </c>
      <c r="AZ181" s="308" t="str">
        <f t="shared" si="43"/>
        <v/>
      </c>
      <c r="BA181" s="313" t="str">
        <f t="shared" si="44"/>
        <v/>
      </c>
      <c r="BB181" s="304" t="str">
        <f t="shared" si="45"/>
        <v/>
      </c>
      <c r="BC181" s="308" t="str">
        <f t="shared" si="46"/>
        <v/>
      </c>
      <c r="BD181" s="308" t="str">
        <f t="shared" si="47"/>
        <v/>
      </c>
    </row>
    <row r="182">
      <c r="A182" s="298"/>
      <c r="B182" s="299"/>
      <c r="C182" s="300"/>
      <c r="D182" s="301" t="str">
        <f>IFERROR(__xludf.DUMMYFUNCTION("if(ISBLANK(A182),"""",GOOGLEFINANCE(A182,""NAME""))"),"")</f>
        <v/>
      </c>
      <c r="E182" s="302">
        <v>5000.0</v>
      </c>
      <c r="F182" s="303" t="str">
        <f>IFERROR(__xludf.DUMMYFUNCTION("if(ISBLANK(A182),"""",GOOGLEFINANCE(A182,""HIGH52""))"),"")</f>
        <v/>
      </c>
      <c r="G182" s="303" t="str">
        <f>IFERROR(__xludf.DUMMYFUNCTION("if(ISBLANK(A182),"""",GOOGLEFINANCE(A182,""LOW52""))"),"")</f>
        <v/>
      </c>
      <c r="H182" s="304" t="str">
        <f>IFERROR(__xludf.DUMMYFUNCTION("if(ISBLANK(A182),"""",GOOGLEFINANCE(A182,""Price""))"),"")</f>
        <v/>
      </c>
      <c r="I182" s="305" t="str">
        <f t="shared" si="1"/>
        <v/>
      </c>
      <c r="J182" s="306" t="str">
        <f t="shared" si="2"/>
        <v/>
      </c>
      <c r="K182" s="307" t="str">
        <f>IFERROR(__xludf.DUMMYFUNCTION("if(ISBLANK(A182),"""",googlefinance(A182,""Marketcap"")/10000000)"),"")</f>
        <v/>
      </c>
      <c r="L182" s="309" t="str">
        <f t="shared" si="3"/>
        <v/>
      </c>
      <c r="M182" s="308" t="str">
        <f t="shared" si="4"/>
        <v/>
      </c>
      <c r="N182" s="309" t="str">
        <f t="shared" si="5"/>
        <v/>
      </c>
      <c r="O182" s="322" t="str">
        <f t="shared" si="6"/>
        <v/>
      </c>
      <c r="P182" s="308" t="str">
        <f t="shared" si="7"/>
        <v/>
      </c>
      <c r="Q182" s="311" t="str">
        <f t="shared" si="8"/>
        <v/>
      </c>
      <c r="R182" s="309" t="str">
        <f t="shared" si="9"/>
        <v/>
      </c>
      <c r="S182" s="308" t="str">
        <f t="shared" si="10"/>
        <v/>
      </c>
      <c r="T182" s="309" t="str">
        <f t="shared" si="11"/>
        <v/>
      </c>
      <c r="U182" s="309" t="str">
        <f t="shared" si="12"/>
        <v/>
      </c>
      <c r="V182" s="308" t="str">
        <f t="shared" si="13"/>
        <v/>
      </c>
      <c r="W182" s="309" t="str">
        <f t="shared" si="14"/>
        <v/>
      </c>
      <c r="X182" s="309" t="str">
        <f t="shared" si="15"/>
        <v/>
      </c>
      <c r="Y182" s="308" t="str">
        <f t="shared" si="16"/>
        <v/>
      </c>
      <c r="Z182" s="309" t="str">
        <f t="shared" si="17"/>
        <v/>
      </c>
      <c r="AA182" s="312" t="str">
        <f t="shared" si="18"/>
        <v/>
      </c>
      <c r="AB182" s="308" t="str">
        <f t="shared" si="19"/>
        <v/>
      </c>
      <c r="AC182" s="308" t="str">
        <f t="shared" si="20"/>
        <v/>
      </c>
      <c r="AD182" s="312" t="str">
        <f t="shared" si="21"/>
        <v/>
      </c>
      <c r="AE182" s="308" t="str">
        <f t="shared" si="22"/>
        <v/>
      </c>
      <c r="AF182" s="313" t="str">
        <f t="shared" si="23"/>
        <v/>
      </c>
      <c r="AG182" s="304" t="str">
        <f t="shared" si="24"/>
        <v/>
      </c>
      <c r="AH182" s="308" t="str">
        <f t="shared" si="25"/>
        <v/>
      </c>
      <c r="AI182" s="313" t="str">
        <f t="shared" si="26"/>
        <v/>
      </c>
      <c r="AJ182" s="304" t="str">
        <f t="shared" si="27"/>
        <v/>
      </c>
      <c r="AK182" s="308" t="str">
        <f t="shared" si="28"/>
        <v/>
      </c>
      <c r="AL182" s="308" t="str">
        <f t="shared" si="29"/>
        <v/>
      </c>
      <c r="AM182" s="304" t="str">
        <f t="shared" si="30"/>
        <v/>
      </c>
      <c r="AN182" s="308" t="str">
        <f t="shared" si="31"/>
        <v/>
      </c>
      <c r="AO182" s="313" t="str">
        <f t="shared" si="32"/>
        <v/>
      </c>
      <c r="AP182" s="304" t="str">
        <f t="shared" si="33"/>
        <v/>
      </c>
      <c r="AQ182" s="308" t="str">
        <f t="shared" si="34"/>
        <v/>
      </c>
      <c r="AR182" s="313" t="str">
        <f t="shared" si="35"/>
        <v/>
      </c>
      <c r="AS182" s="304" t="str">
        <f t="shared" si="36"/>
        <v/>
      </c>
      <c r="AT182" s="308" t="str">
        <f t="shared" si="37"/>
        <v/>
      </c>
      <c r="AU182" s="308" t="str">
        <f t="shared" si="38"/>
        <v/>
      </c>
      <c r="AV182" s="304" t="str">
        <f t="shared" si="39"/>
        <v/>
      </c>
      <c r="AW182" s="308" t="str">
        <f t="shared" si="40"/>
        <v/>
      </c>
      <c r="AX182" s="308" t="str">
        <f t="shared" si="41"/>
        <v/>
      </c>
      <c r="AY182" s="304" t="str">
        <f t="shared" si="42"/>
        <v/>
      </c>
      <c r="AZ182" s="308" t="str">
        <f t="shared" si="43"/>
        <v/>
      </c>
      <c r="BA182" s="313" t="str">
        <f t="shared" si="44"/>
        <v/>
      </c>
      <c r="BB182" s="304" t="str">
        <f t="shared" si="45"/>
        <v/>
      </c>
      <c r="BC182" s="308" t="str">
        <f t="shared" si="46"/>
        <v/>
      </c>
      <c r="BD182" s="308" t="str">
        <f t="shared" si="47"/>
        <v/>
      </c>
    </row>
    <row r="183">
      <c r="A183" s="298"/>
      <c r="B183" s="299"/>
      <c r="C183" s="300"/>
      <c r="D183" s="301" t="str">
        <f>IFERROR(__xludf.DUMMYFUNCTION("if(ISBLANK(A183),"""",GOOGLEFINANCE(A183,""NAME""))"),"")</f>
        <v/>
      </c>
      <c r="E183" s="302">
        <v>5000.0</v>
      </c>
      <c r="F183" s="303" t="str">
        <f>IFERROR(__xludf.DUMMYFUNCTION("if(ISBLANK(A183),"""",GOOGLEFINANCE(A183,""HIGH52""))"),"")</f>
        <v/>
      </c>
      <c r="G183" s="303" t="str">
        <f>IFERROR(__xludf.DUMMYFUNCTION("if(ISBLANK(A183),"""",GOOGLEFINANCE(A183,""LOW52""))"),"")</f>
        <v/>
      </c>
      <c r="H183" s="304" t="str">
        <f>IFERROR(__xludf.DUMMYFUNCTION("if(ISBLANK(A183),"""",GOOGLEFINANCE(A183,""Price""))"),"")</f>
        <v/>
      </c>
      <c r="I183" s="305" t="str">
        <f t="shared" si="1"/>
        <v/>
      </c>
      <c r="J183" s="306" t="str">
        <f t="shared" si="2"/>
        <v/>
      </c>
      <c r="K183" s="307" t="str">
        <f>IFERROR(__xludf.DUMMYFUNCTION("if(ISBLANK(A183),"""",googlefinance(A183,""Marketcap"")/10000000)"),"")</f>
        <v/>
      </c>
      <c r="L183" s="309" t="str">
        <f t="shared" si="3"/>
        <v/>
      </c>
      <c r="M183" s="308" t="str">
        <f t="shared" si="4"/>
        <v/>
      </c>
      <c r="N183" s="309" t="str">
        <f t="shared" si="5"/>
        <v/>
      </c>
      <c r="O183" s="322" t="str">
        <f t="shared" si="6"/>
        <v/>
      </c>
      <c r="P183" s="308" t="str">
        <f t="shared" si="7"/>
        <v/>
      </c>
      <c r="Q183" s="311" t="str">
        <f t="shared" si="8"/>
        <v/>
      </c>
      <c r="R183" s="309" t="str">
        <f t="shared" si="9"/>
        <v/>
      </c>
      <c r="S183" s="308" t="str">
        <f t="shared" si="10"/>
        <v/>
      </c>
      <c r="T183" s="309" t="str">
        <f t="shared" si="11"/>
        <v/>
      </c>
      <c r="U183" s="309" t="str">
        <f t="shared" si="12"/>
        <v/>
      </c>
      <c r="V183" s="308" t="str">
        <f t="shared" si="13"/>
        <v/>
      </c>
      <c r="W183" s="309" t="str">
        <f t="shared" si="14"/>
        <v/>
      </c>
      <c r="X183" s="309" t="str">
        <f t="shared" si="15"/>
        <v/>
      </c>
      <c r="Y183" s="308" t="str">
        <f t="shared" si="16"/>
        <v/>
      </c>
      <c r="Z183" s="309" t="str">
        <f t="shared" si="17"/>
        <v/>
      </c>
      <c r="AA183" s="312" t="str">
        <f t="shared" si="18"/>
        <v/>
      </c>
      <c r="AB183" s="308" t="str">
        <f t="shared" si="19"/>
        <v/>
      </c>
      <c r="AC183" s="308" t="str">
        <f t="shared" si="20"/>
        <v/>
      </c>
      <c r="AD183" s="312" t="str">
        <f t="shared" si="21"/>
        <v/>
      </c>
      <c r="AE183" s="308" t="str">
        <f t="shared" si="22"/>
        <v/>
      </c>
      <c r="AF183" s="313" t="str">
        <f t="shared" si="23"/>
        <v/>
      </c>
      <c r="AG183" s="304" t="str">
        <f t="shared" si="24"/>
        <v/>
      </c>
      <c r="AH183" s="308" t="str">
        <f t="shared" si="25"/>
        <v/>
      </c>
      <c r="AI183" s="313" t="str">
        <f t="shared" si="26"/>
        <v/>
      </c>
      <c r="AJ183" s="304" t="str">
        <f t="shared" si="27"/>
        <v/>
      </c>
      <c r="AK183" s="308" t="str">
        <f t="shared" si="28"/>
        <v/>
      </c>
      <c r="AL183" s="308" t="str">
        <f t="shared" si="29"/>
        <v/>
      </c>
      <c r="AM183" s="304" t="str">
        <f t="shared" si="30"/>
        <v/>
      </c>
      <c r="AN183" s="308" t="str">
        <f t="shared" si="31"/>
        <v/>
      </c>
      <c r="AO183" s="313" t="str">
        <f t="shared" si="32"/>
        <v/>
      </c>
      <c r="AP183" s="304" t="str">
        <f t="shared" si="33"/>
        <v/>
      </c>
      <c r="AQ183" s="308" t="str">
        <f t="shared" si="34"/>
        <v/>
      </c>
      <c r="AR183" s="313" t="str">
        <f t="shared" si="35"/>
        <v/>
      </c>
      <c r="AS183" s="304" t="str">
        <f t="shared" si="36"/>
        <v/>
      </c>
      <c r="AT183" s="308" t="str">
        <f t="shared" si="37"/>
        <v/>
      </c>
      <c r="AU183" s="308" t="str">
        <f t="shared" si="38"/>
        <v/>
      </c>
      <c r="AV183" s="304" t="str">
        <f t="shared" si="39"/>
        <v/>
      </c>
      <c r="AW183" s="308" t="str">
        <f t="shared" si="40"/>
        <v/>
      </c>
      <c r="AX183" s="308" t="str">
        <f t="shared" si="41"/>
        <v/>
      </c>
      <c r="AY183" s="304" t="str">
        <f t="shared" si="42"/>
        <v/>
      </c>
      <c r="AZ183" s="308" t="str">
        <f t="shared" si="43"/>
        <v/>
      </c>
      <c r="BA183" s="313" t="str">
        <f t="shared" si="44"/>
        <v/>
      </c>
      <c r="BB183" s="304" t="str">
        <f t="shared" si="45"/>
        <v/>
      </c>
      <c r="BC183" s="308" t="str">
        <f t="shared" si="46"/>
        <v/>
      </c>
      <c r="BD183" s="308" t="str">
        <f t="shared" si="47"/>
        <v/>
      </c>
    </row>
    <row r="184">
      <c r="A184" s="298"/>
      <c r="B184" s="299"/>
      <c r="C184" s="300"/>
      <c r="D184" s="301" t="str">
        <f>IFERROR(__xludf.DUMMYFUNCTION("if(ISBLANK(A184),"""",GOOGLEFINANCE(A184,""NAME""))"),"")</f>
        <v/>
      </c>
      <c r="E184" s="302">
        <v>5000.0</v>
      </c>
      <c r="F184" s="303" t="str">
        <f>IFERROR(__xludf.DUMMYFUNCTION("if(ISBLANK(A184),"""",GOOGLEFINANCE(A184,""HIGH52""))"),"")</f>
        <v/>
      </c>
      <c r="G184" s="303" t="str">
        <f>IFERROR(__xludf.DUMMYFUNCTION("if(ISBLANK(A184),"""",GOOGLEFINANCE(A184,""LOW52""))"),"")</f>
        <v/>
      </c>
      <c r="H184" s="304" t="str">
        <f>IFERROR(__xludf.DUMMYFUNCTION("if(ISBLANK(A184),"""",GOOGLEFINANCE(A184,""Price""))"),"")</f>
        <v/>
      </c>
      <c r="I184" s="305" t="str">
        <f t="shared" si="1"/>
        <v/>
      </c>
      <c r="J184" s="306" t="str">
        <f t="shared" si="2"/>
        <v/>
      </c>
      <c r="K184" s="307" t="str">
        <f>IFERROR(__xludf.DUMMYFUNCTION("if(ISBLANK(A184),"""",googlefinance(A184,""Marketcap"")/10000000)"),"")</f>
        <v/>
      </c>
      <c r="L184" s="309" t="str">
        <f t="shared" si="3"/>
        <v/>
      </c>
      <c r="M184" s="308" t="str">
        <f t="shared" si="4"/>
        <v/>
      </c>
      <c r="N184" s="309" t="str">
        <f t="shared" si="5"/>
        <v/>
      </c>
      <c r="O184" s="322" t="str">
        <f t="shared" si="6"/>
        <v/>
      </c>
      <c r="P184" s="308" t="str">
        <f t="shared" si="7"/>
        <v/>
      </c>
      <c r="Q184" s="311" t="str">
        <f t="shared" si="8"/>
        <v/>
      </c>
      <c r="R184" s="309" t="str">
        <f t="shared" si="9"/>
        <v/>
      </c>
      <c r="S184" s="308" t="str">
        <f t="shared" si="10"/>
        <v/>
      </c>
      <c r="T184" s="309" t="str">
        <f t="shared" si="11"/>
        <v/>
      </c>
      <c r="U184" s="309" t="str">
        <f t="shared" si="12"/>
        <v/>
      </c>
      <c r="V184" s="308" t="str">
        <f t="shared" si="13"/>
        <v/>
      </c>
      <c r="W184" s="309" t="str">
        <f t="shared" si="14"/>
        <v/>
      </c>
      <c r="X184" s="309" t="str">
        <f t="shared" si="15"/>
        <v/>
      </c>
      <c r="Y184" s="308" t="str">
        <f t="shared" si="16"/>
        <v/>
      </c>
      <c r="Z184" s="309" t="str">
        <f t="shared" si="17"/>
        <v/>
      </c>
      <c r="AA184" s="312" t="str">
        <f t="shared" si="18"/>
        <v/>
      </c>
      <c r="AB184" s="308" t="str">
        <f t="shared" si="19"/>
        <v/>
      </c>
      <c r="AC184" s="308" t="str">
        <f t="shared" si="20"/>
        <v/>
      </c>
      <c r="AD184" s="312" t="str">
        <f t="shared" si="21"/>
        <v/>
      </c>
      <c r="AE184" s="308" t="str">
        <f t="shared" si="22"/>
        <v/>
      </c>
      <c r="AF184" s="313" t="str">
        <f t="shared" si="23"/>
        <v/>
      </c>
      <c r="AG184" s="304" t="str">
        <f t="shared" si="24"/>
        <v/>
      </c>
      <c r="AH184" s="308" t="str">
        <f t="shared" si="25"/>
        <v/>
      </c>
      <c r="AI184" s="313" t="str">
        <f t="shared" si="26"/>
        <v/>
      </c>
      <c r="AJ184" s="304" t="str">
        <f t="shared" si="27"/>
        <v/>
      </c>
      <c r="AK184" s="308" t="str">
        <f t="shared" si="28"/>
        <v/>
      </c>
      <c r="AL184" s="308" t="str">
        <f t="shared" si="29"/>
        <v/>
      </c>
      <c r="AM184" s="304" t="str">
        <f t="shared" si="30"/>
        <v/>
      </c>
      <c r="AN184" s="308" t="str">
        <f t="shared" si="31"/>
        <v/>
      </c>
      <c r="AO184" s="313" t="str">
        <f t="shared" si="32"/>
        <v/>
      </c>
      <c r="AP184" s="304" t="str">
        <f t="shared" si="33"/>
        <v/>
      </c>
      <c r="AQ184" s="308" t="str">
        <f t="shared" si="34"/>
        <v/>
      </c>
      <c r="AR184" s="313" t="str">
        <f t="shared" si="35"/>
        <v/>
      </c>
      <c r="AS184" s="304" t="str">
        <f t="shared" si="36"/>
        <v/>
      </c>
      <c r="AT184" s="308" t="str">
        <f t="shared" si="37"/>
        <v/>
      </c>
      <c r="AU184" s="308" t="str">
        <f t="shared" si="38"/>
        <v/>
      </c>
      <c r="AV184" s="304" t="str">
        <f t="shared" si="39"/>
        <v/>
      </c>
      <c r="AW184" s="308" t="str">
        <f t="shared" si="40"/>
        <v/>
      </c>
      <c r="AX184" s="308" t="str">
        <f t="shared" si="41"/>
        <v/>
      </c>
      <c r="AY184" s="304" t="str">
        <f t="shared" si="42"/>
        <v/>
      </c>
      <c r="AZ184" s="308" t="str">
        <f t="shared" si="43"/>
        <v/>
      </c>
      <c r="BA184" s="313" t="str">
        <f t="shared" si="44"/>
        <v/>
      </c>
      <c r="BB184" s="304" t="str">
        <f t="shared" si="45"/>
        <v/>
      </c>
      <c r="BC184" s="308" t="str">
        <f t="shared" si="46"/>
        <v/>
      </c>
      <c r="BD184" s="308" t="str">
        <f t="shared" si="47"/>
        <v/>
      </c>
    </row>
    <row r="185">
      <c r="A185" s="298"/>
      <c r="B185" s="299"/>
      <c r="C185" s="300"/>
      <c r="D185" s="301" t="str">
        <f>IFERROR(__xludf.DUMMYFUNCTION("if(ISBLANK(A185),"""",GOOGLEFINANCE(A185,""NAME""))"),"")</f>
        <v/>
      </c>
      <c r="E185" s="302">
        <v>5000.0</v>
      </c>
      <c r="F185" s="303" t="str">
        <f>IFERROR(__xludf.DUMMYFUNCTION("if(ISBLANK(A185),"""",GOOGLEFINANCE(A185,""HIGH52""))"),"")</f>
        <v/>
      </c>
      <c r="G185" s="303" t="str">
        <f>IFERROR(__xludf.DUMMYFUNCTION("if(ISBLANK(A185),"""",GOOGLEFINANCE(A185,""LOW52""))"),"")</f>
        <v/>
      </c>
      <c r="H185" s="304" t="str">
        <f>IFERROR(__xludf.DUMMYFUNCTION("if(ISBLANK(A185),"""",GOOGLEFINANCE(A185,""Price""))"),"")</f>
        <v/>
      </c>
      <c r="I185" s="305" t="str">
        <f t="shared" si="1"/>
        <v/>
      </c>
      <c r="J185" s="306" t="str">
        <f t="shared" si="2"/>
        <v/>
      </c>
      <c r="K185" s="307" t="str">
        <f>IFERROR(__xludf.DUMMYFUNCTION("if(ISBLANK(A185),"""",googlefinance(A185,""Marketcap"")/10000000)"),"")</f>
        <v/>
      </c>
      <c r="L185" s="309" t="str">
        <f t="shared" si="3"/>
        <v/>
      </c>
      <c r="M185" s="308" t="str">
        <f t="shared" si="4"/>
        <v/>
      </c>
      <c r="N185" s="309" t="str">
        <f t="shared" si="5"/>
        <v/>
      </c>
      <c r="O185" s="322" t="str">
        <f t="shared" si="6"/>
        <v/>
      </c>
      <c r="P185" s="308" t="str">
        <f t="shared" si="7"/>
        <v/>
      </c>
      <c r="Q185" s="311" t="str">
        <f t="shared" si="8"/>
        <v/>
      </c>
      <c r="R185" s="309" t="str">
        <f t="shared" si="9"/>
        <v/>
      </c>
      <c r="S185" s="308" t="str">
        <f t="shared" si="10"/>
        <v/>
      </c>
      <c r="T185" s="309" t="str">
        <f t="shared" si="11"/>
        <v/>
      </c>
      <c r="U185" s="309" t="str">
        <f t="shared" si="12"/>
        <v/>
      </c>
      <c r="V185" s="308" t="str">
        <f t="shared" si="13"/>
        <v/>
      </c>
      <c r="W185" s="309" t="str">
        <f t="shared" si="14"/>
        <v/>
      </c>
      <c r="X185" s="309" t="str">
        <f t="shared" si="15"/>
        <v/>
      </c>
      <c r="Y185" s="308" t="str">
        <f t="shared" si="16"/>
        <v/>
      </c>
      <c r="Z185" s="309" t="str">
        <f t="shared" si="17"/>
        <v/>
      </c>
      <c r="AA185" s="312" t="str">
        <f t="shared" si="18"/>
        <v/>
      </c>
      <c r="AB185" s="308" t="str">
        <f t="shared" si="19"/>
        <v/>
      </c>
      <c r="AC185" s="308" t="str">
        <f t="shared" si="20"/>
        <v/>
      </c>
      <c r="AD185" s="312" t="str">
        <f t="shared" si="21"/>
        <v/>
      </c>
      <c r="AE185" s="308" t="str">
        <f t="shared" si="22"/>
        <v/>
      </c>
      <c r="AF185" s="313" t="str">
        <f t="shared" si="23"/>
        <v/>
      </c>
      <c r="AG185" s="304" t="str">
        <f t="shared" si="24"/>
        <v/>
      </c>
      <c r="AH185" s="308" t="str">
        <f t="shared" si="25"/>
        <v/>
      </c>
      <c r="AI185" s="313" t="str">
        <f t="shared" si="26"/>
        <v/>
      </c>
      <c r="AJ185" s="304" t="str">
        <f t="shared" si="27"/>
        <v/>
      </c>
      <c r="AK185" s="308" t="str">
        <f t="shared" si="28"/>
        <v/>
      </c>
      <c r="AL185" s="308" t="str">
        <f t="shared" si="29"/>
        <v/>
      </c>
      <c r="AM185" s="304" t="str">
        <f t="shared" si="30"/>
        <v/>
      </c>
      <c r="AN185" s="308" t="str">
        <f t="shared" si="31"/>
        <v/>
      </c>
      <c r="AO185" s="313" t="str">
        <f t="shared" si="32"/>
        <v/>
      </c>
      <c r="AP185" s="304" t="str">
        <f t="shared" si="33"/>
        <v/>
      </c>
      <c r="AQ185" s="308" t="str">
        <f t="shared" si="34"/>
        <v/>
      </c>
      <c r="AR185" s="313" t="str">
        <f t="shared" si="35"/>
        <v/>
      </c>
      <c r="AS185" s="304" t="str">
        <f t="shared" si="36"/>
        <v/>
      </c>
      <c r="AT185" s="308" t="str">
        <f t="shared" si="37"/>
        <v/>
      </c>
      <c r="AU185" s="308" t="str">
        <f t="shared" si="38"/>
        <v/>
      </c>
      <c r="AV185" s="304" t="str">
        <f t="shared" si="39"/>
        <v/>
      </c>
      <c r="AW185" s="308" t="str">
        <f t="shared" si="40"/>
        <v/>
      </c>
      <c r="AX185" s="308" t="str">
        <f t="shared" si="41"/>
        <v/>
      </c>
      <c r="AY185" s="304" t="str">
        <f t="shared" si="42"/>
        <v/>
      </c>
      <c r="AZ185" s="308" t="str">
        <f t="shared" si="43"/>
        <v/>
      </c>
      <c r="BA185" s="313" t="str">
        <f t="shared" si="44"/>
        <v/>
      </c>
      <c r="BB185" s="304" t="str">
        <f t="shared" si="45"/>
        <v/>
      </c>
      <c r="BC185" s="308" t="str">
        <f t="shared" si="46"/>
        <v/>
      </c>
      <c r="BD185" s="308" t="str">
        <f t="shared" si="47"/>
        <v/>
      </c>
    </row>
    <row r="186">
      <c r="A186" s="298"/>
      <c r="B186" s="299"/>
      <c r="C186" s="300"/>
      <c r="D186" s="301" t="str">
        <f>IFERROR(__xludf.DUMMYFUNCTION("if(ISBLANK(A186),"""",GOOGLEFINANCE(A186,""NAME""))"),"")</f>
        <v/>
      </c>
      <c r="E186" s="302">
        <v>5000.0</v>
      </c>
      <c r="F186" s="303" t="str">
        <f>IFERROR(__xludf.DUMMYFUNCTION("if(ISBLANK(A186),"""",GOOGLEFINANCE(A186,""HIGH52""))"),"")</f>
        <v/>
      </c>
      <c r="G186" s="303" t="str">
        <f>IFERROR(__xludf.DUMMYFUNCTION("if(ISBLANK(A186),"""",GOOGLEFINANCE(A186,""LOW52""))"),"")</f>
        <v/>
      </c>
      <c r="H186" s="304" t="str">
        <f>IFERROR(__xludf.DUMMYFUNCTION("if(ISBLANK(A186),"""",GOOGLEFINANCE(A186,""Price""))"),"")</f>
        <v/>
      </c>
      <c r="I186" s="305" t="str">
        <f t="shared" si="1"/>
        <v/>
      </c>
      <c r="J186" s="306" t="str">
        <f t="shared" si="2"/>
        <v/>
      </c>
      <c r="K186" s="307" t="str">
        <f>IFERROR(__xludf.DUMMYFUNCTION("if(ISBLANK(A186),"""",googlefinance(A186,""Marketcap"")/10000000)"),"")</f>
        <v/>
      </c>
      <c r="L186" s="309" t="str">
        <f t="shared" si="3"/>
        <v/>
      </c>
      <c r="M186" s="308" t="str">
        <f t="shared" si="4"/>
        <v/>
      </c>
      <c r="N186" s="309" t="str">
        <f t="shared" si="5"/>
        <v/>
      </c>
      <c r="O186" s="322" t="str">
        <f t="shared" si="6"/>
        <v/>
      </c>
      <c r="P186" s="308" t="str">
        <f t="shared" si="7"/>
        <v/>
      </c>
      <c r="Q186" s="311" t="str">
        <f t="shared" si="8"/>
        <v/>
      </c>
      <c r="R186" s="309" t="str">
        <f t="shared" si="9"/>
        <v/>
      </c>
      <c r="S186" s="308" t="str">
        <f t="shared" si="10"/>
        <v/>
      </c>
      <c r="T186" s="309" t="str">
        <f t="shared" si="11"/>
        <v/>
      </c>
      <c r="U186" s="309" t="str">
        <f t="shared" si="12"/>
        <v/>
      </c>
      <c r="V186" s="308" t="str">
        <f t="shared" si="13"/>
        <v/>
      </c>
      <c r="W186" s="309" t="str">
        <f t="shared" si="14"/>
        <v/>
      </c>
      <c r="X186" s="309" t="str">
        <f t="shared" si="15"/>
        <v/>
      </c>
      <c r="Y186" s="308" t="str">
        <f t="shared" si="16"/>
        <v/>
      </c>
      <c r="Z186" s="309" t="str">
        <f t="shared" si="17"/>
        <v/>
      </c>
      <c r="AA186" s="312" t="str">
        <f t="shared" si="18"/>
        <v/>
      </c>
      <c r="AB186" s="308" t="str">
        <f t="shared" si="19"/>
        <v/>
      </c>
      <c r="AC186" s="308" t="str">
        <f t="shared" si="20"/>
        <v/>
      </c>
      <c r="AD186" s="312" t="str">
        <f t="shared" si="21"/>
        <v/>
      </c>
      <c r="AE186" s="308" t="str">
        <f t="shared" si="22"/>
        <v/>
      </c>
      <c r="AF186" s="313" t="str">
        <f t="shared" si="23"/>
        <v/>
      </c>
      <c r="AG186" s="304" t="str">
        <f t="shared" si="24"/>
        <v/>
      </c>
      <c r="AH186" s="308" t="str">
        <f t="shared" si="25"/>
        <v/>
      </c>
      <c r="AI186" s="313" t="str">
        <f t="shared" si="26"/>
        <v/>
      </c>
      <c r="AJ186" s="304" t="str">
        <f t="shared" si="27"/>
        <v/>
      </c>
      <c r="AK186" s="308" t="str">
        <f t="shared" si="28"/>
        <v/>
      </c>
      <c r="AL186" s="308" t="str">
        <f t="shared" si="29"/>
        <v/>
      </c>
      <c r="AM186" s="304" t="str">
        <f t="shared" si="30"/>
        <v/>
      </c>
      <c r="AN186" s="308" t="str">
        <f t="shared" si="31"/>
        <v/>
      </c>
      <c r="AO186" s="313" t="str">
        <f t="shared" si="32"/>
        <v/>
      </c>
      <c r="AP186" s="304" t="str">
        <f t="shared" si="33"/>
        <v/>
      </c>
      <c r="AQ186" s="308" t="str">
        <f t="shared" si="34"/>
        <v/>
      </c>
      <c r="AR186" s="313" t="str">
        <f t="shared" si="35"/>
        <v/>
      </c>
      <c r="AS186" s="304" t="str">
        <f t="shared" si="36"/>
        <v/>
      </c>
      <c r="AT186" s="308" t="str">
        <f t="shared" si="37"/>
        <v/>
      </c>
      <c r="AU186" s="308" t="str">
        <f t="shared" si="38"/>
        <v/>
      </c>
      <c r="AV186" s="304" t="str">
        <f t="shared" si="39"/>
        <v/>
      </c>
      <c r="AW186" s="308" t="str">
        <f t="shared" si="40"/>
        <v/>
      </c>
      <c r="AX186" s="308" t="str">
        <f t="shared" si="41"/>
        <v/>
      </c>
      <c r="AY186" s="304" t="str">
        <f t="shared" si="42"/>
        <v/>
      </c>
      <c r="AZ186" s="308" t="str">
        <f t="shared" si="43"/>
        <v/>
      </c>
      <c r="BA186" s="313" t="str">
        <f t="shared" si="44"/>
        <v/>
      </c>
      <c r="BB186" s="304" t="str">
        <f t="shared" si="45"/>
        <v/>
      </c>
      <c r="BC186" s="308" t="str">
        <f t="shared" si="46"/>
        <v/>
      </c>
      <c r="BD186" s="308" t="str">
        <f t="shared" si="47"/>
        <v/>
      </c>
    </row>
    <row r="187">
      <c r="A187" s="298"/>
      <c r="B187" s="299"/>
      <c r="C187" s="300"/>
      <c r="D187" s="301" t="str">
        <f>IFERROR(__xludf.DUMMYFUNCTION("if(ISBLANK(A187),"""",GOOGLEFINANCE(A187,""NAME""))"),"")</f>
        <v/>
      </c>
      <c r="E187" s="302">
        <v>5000.0</v>
      </c>
      <c r="F187" s="303" t="str">
        <f>IFERROR(__xludf.DUMMYFUNCTION("if(ISBLANK(A187),"""",GOOGLEFINANCE(A187,""HIGH52""))"),"")</f>
        <v/>
      </c>
      <c r="G187" s="303" t="str">
        <f>IFERROR(__xludf.DUMMYFUNCTION("if(ISBLANK(A187),"""",GOOGLEFINANCE(A187,""LOW52""))"),"")</f>
        <v/>
      </c>
      <c r="H187" s="304" t="str">
        <f>IFERROR(__xludf.DUMMYFUNCTION("if(ISBLANK(A187),"""",GOOGLEFINANCE(A187,""Price""))"),"")</f>
        <v/>
      </c>
      <c r="I187" s="305" t="str">
        <f t="shared" si="1"/>
        <v/>
      </c>
      <c r="J187" s="306" t="str">
        <f t="shared" si="2"/>
        <v/>
      </c>
      <c r="K187" s="307" t="str">
        <f>IFERROR(__xludf.DUMMYFUNCTION("if(ISBLANK(A187),"""",googlefinance(A187,""Marketcap"")/10000000)"),"")</f>
        <v/>
      </c>
      <c r="L187" s="309" t="str">
        <f t="shared" si="3"/>
        <v/>
      </c>
      <c r="M187" s="308" t="str">
        <f t="shared" si="4"/>
        <v/>
      </c>
      <c r="N187" s="309" t="str">
        <f t="shared" si="5"/>
        <v/>
      </c>
      <c r="O187" s="322" t="str">
        <f t="shared" si="6"/>
        <v/>
      </c>
      <c r="P187" s="308" t="str">
        <f t="shared" si="7"/>
        <v/>
      </c>
      <c r="Q187" s="311" t="str">
        <f t="shared" si="8"/>
        <v/>
      </c>
      <c r="R187" s="309" t="str">
        <f t="shared" si="9"/>
        <v/>
      </c>
      <c r="S187" s="308" t="str">
        <f t="shared" si="10"/>
        <v/>
      </c>
      <c r="T187" s="309" t="str">
        <f t="shared" si="11"/>
        <v/>
      </c>
      <c r="U187" s="309" t="str">
        <f t="shared" si="12"/>
        <v/>
      </c>
      <c r="V187" s="308" t="str">
        <f t="shared" si="13"/>
        <v/>
      </c>
      <c r="W187" s="309" t="str">
        <f t="shared" si="14"/>
        <v/>
      </c>
      <c r="X187" s="309" t="str">
        <f t="shared" si="15"/>
        <v/>
      </c>
      <c r="Y187" s="308" t="str">
        <f t="shared" si="16"/>
        <v/>
      </c>
      <c r="Z187" s="309" t="str">
        <f t="shared" si="17"/>
        <v/>
      </c>
      <c r="AA187" s="312" t="str">
        <f t="shared" si="18"/>
        <v/>
      </c>
      <c r="AB187" s="308" t="str">
        <f t="shared" si="19"/>
        <v/>
      </c>
      <c r="AC187" s="308" t="str">
        <f t="shared" si="20"/>
        <v/>
      </c>
      <c r="AD187" s="312" t="str">
        <f t="shared" si="21"/>
        <v/>
      </c>
      <c r="AE187" s="308" t="str">
        <f t="shared" si="22"/>
        <v/>
      </c>
      <c r="AF187" s="313" t="str">
        <f t="shared" si="23"/>
        <v/>
      </c>
      <c r="AG187" s="304" t="str">
        <f t="shared" si="24"/>
        <v/>
      </c>
      <c r="AH187" s="308" t="str">
        <f t="shared" si="25"/>
        <v/>
      </c>
      <c r="AI187" s="313" t="str">
        <f t="shared" si="26"/>
        <v/>
      </c>
      <c r="AJ187" s="304" t="str">
        <f t="shared" si="27"/>
        <v/>
      </c>
      <c r="AK187" s="308" t="str">
        <f t="shared" si="28"/>
        <v/>
      </c>
      <c r="AL187" s="308" t="str">
        <f t="shared" si="29"/>
        <v/>
      </c>
      <c r="AM187" s="304" t="str">
        <f t="shared" si="30"/>
        <v/>
      </c>
      <c r="AN187" s="308" t="str">
        <f t="shared" si="31"/>
        <v/>
      </c>
      <c r="AO187" s="313" t="str">
        <f t="shared" si="32"/>
        <v/>
      </c>
      <c r="AP187" s="304" t="str">
        <f t="shared" si="33"/>
        <v/>
      </c>
      <c r="AQ187" s="308" t="str">
        <f t="shared" si="34"/>
        <v/>
      </c>
      <c r="AR187" s="313" t="str">
        <f t="shared" si="35"/>
        <v/>
      </c>
      <c r="AS187" s="304" t="str">
        <f t="shared" si="36"/>
        <v/>
      </c>
      <c r="AT187" s="308" t="str">
        <f t="shared" si="37"/>
        <v/>
      </c>
      <c r="AU187" s="308" t="str">
        <f t="shared" si="38"/>
        <v/>
      </c>
      <c r="AV187" s="304" t="str">
        <f t="shared" si="39"/>
        <v/>
      </c>
      <c r="AW187" s="308" t="str">
        <f t="shared" si="40"/>
        <v/>
      </c>
      <c r="AX187" s="308" t="str">
        <f t="shared" si="41"/>
        <v/>
      </c>
      <c r="AY187" s="304" t="str">
        <f t="shared" si="42"/>
        <v/>
      </c>
      <c r="AZ187" s="308" t="str">
        <f t="shared" si="43"/>
        <v/>
      </c>
      <c r="BA187" s="313" t="str">
        <f t="shared" si="44"/>
        <v/>
      </c>
      <c r="BB187" s="304" t="str">
        <f t="shared" si="45"/>
        <v/>
      </c>
      <c r="BC187" s="308" t="str">
        <f t="shared" si="46"/>
        <v/>
      </c>
      <c r="BD187" s="308" t="str">
        <f t="shared" si="47"/>
        <v/>
      </c>
    </row>
    <row r="188">
      <c r="A188" s="298"/>
      <c r="B188" s="299"/>
      <c r="C188" s="300"/>
      <c r="D188" s="301" t="str">
        <f>IFERROR(__xludf.DUMMYFUNCTION("if(ISBLANK(A188),"""",GOOGLEFINANCE(A188,""NAME""))"),"")</f>
        <v/>
      </c>
      <c r="E188" s="302">
        <v>5000.0</v>
      </c>
      <c r="F188" s="303" t="str">
        <f>IFERROR(__xludf.DUMMYFUNCTION("if(ISBLANK(A188),"""",GOOGLEFINANCE(A188,""HIGH52""))"),"")</f>
        <v/>
      </c>
      <c r="G188" s="303" t="str">
        <f>IFERROR(__xludf.DUMMYFUNCTION("if(ISBLANK(A188),"""",GOOGLEFINANCE(A188,""LOW52""))"),"")</f>
        <v/>
      </c>
      <c r="H188" s="304" t="str">
        <f>IFERROR(__xludf.DUMMYFUNCTION("if(ISBLANK(A188),"""",GOOGLEFINANCE(A188,""Price""))"),"")</f>
        <v/>
      </c>
      <c r="I188" s="305" t="str">
        <f t="shared" si="1"/>
        <v/>
      </c>
      <c r="J188" s="306" t="str">
        <f t="shared" si="2"/>
        <v/>
      </c>
      <c r="K188" s="307" t="str">
        <f>IFERROR(__xludf.DUMMYFUNCTION("if(ISBLANK(A188),"""",googlefinance(A188,""Marketcap"")/10000000)"),"")</f>
        <v/>
      </c>
      <c r="L188" s="309" t="str">
        <f t="shared" si="3"/>
        <v/>
      </c>
      <c r="M188" s="308" t="str">
        <f t="shared" si="4"/>
        <v/>
      </c>
      <c r="N188" s="309" t="str">
        <f t="shared" si="5"/>
        <v/>
      </c>
      <c r="O188" s="322" t="str">
        <f t="shared" si="6"/>
        <v/>
      </c>
      <c r="P188" s="308" t="str">
        <f t="shared" si="7"/>
        <v/>
      </c>
      <c r="Q188" s="311" t="str">
        <f t="shared" si="8"/>
        <v/>
      </c>
      <c r="R188" s="309" t="str">
        <f t="shared" si="9"/>
        <v/>
      </c>
      <c r="S188" s="308" t="str">
        <f t="shared" si="10"/>
        <v/>
      </c>
      <c r="T188" s="309" t="str">
        <f t="shared" si="11"/>
        <v/>
      </c>
      <c r="U188" s="309" t="str">
        <f t="shared" si="12"/>
        <v/>
      </c>
      <c r="V188" s="308" t="str">
        <f t="shared" si="13"/>
        <v/>
      </c>
      <c r="W188" s="309" t="str">
        <f t="shared" si="14"/>
        <v/>
      </c>
      <c r="X188" s="309" t="str">
        <f t="shared" si="15"/>
        <v/>
      </c>
      <c r="Y188" s="308" t="str">
        <f t="shared" si="16"/>
        <v/>
      </c>
      <c r="Z188" s="309" t="str">
        <f t="shared" si="17"/>
        <v/>
      </c>
      <c r="AA188" s="312" t="str">
        <f t="shared" si="18"/>
        <v/>
      </c>
      <c r="AB188" s="308" t="str">
        <f t="shared" si="19"/>
        <v/>
      </c>
      <c r="AC188" s="308" t="str">
        <f t="shared" si="20"/>
        <v/>
      </c>
      <c r="AD188" s="312" t="str">
        <f t="shared" si="21"/>
        <v/>
      </c>
      <c r="AE188" s="308" t="str">
        <f t="shared" si="22"/>
        <v/>
      </c>
      <c r="AF188" s="313" t="str">
        <f t="shared" si="23"/>
        <v/>
      </c>
      <c r="AG188" s="304" t="str">
        <f t="shared" si="24"/>
        <v/>
      </c>
      <c r="AH188" s="308" t="str">
        <f t="shared" si="25"/>
        <v/>
      </c>
      <c r="AI188" s="313" t="str">
        <f t="shared" si="26"/>
        <v/>
      </c>
      <c r="AJ188" s="304" t="str">
        <f t="shared" si="27"/>
        <v/>
      </c>
      <c r="AK188" s="308" t="str">
        <f t="shared" si="28"/>
        <v/>
      </c>
      <c r="AL188" s="308" t="str">
        <f t="shared" si="29"/>
        <v/>
      </c>
      <c r="AM188" s="304" t="str">
        <f t="shared" si="30"/>
        <v/>
      </c>
      <c r="AN188" s="308" t="str">
        <f t="shared" si="31"/>
        <v/>
      </c>
      <c r="AO188" s="313" t="str">
        <f t="shared" si="32"/>
        <v/>
      </c>
      <c r="AP188" s="304" t="str">
        <f t="shared" si="33"/>
        <v/>
      </c>
      <c r="AQ188" s="308" t="str">
        <f t="shared" si="34"/>
        <v/>
      </c>
      <c r="AR188" s="313" t="str">
        <f t="shared" si="35"/>
        <v/>
      </c>
      <c r="AS188" s="304" t="str">
        <f t="shared" si="36"/>
        <v/>
      </c>
      <c r="AT188" s="308" t="str">
        <f t="shared" si="37"/>
        <v/>
      </c>
      <c r="AU188" s="308" t="str">
        <f t="shared" si="38"/>
        <v/>
      </c>
      <c r="AV188" s="304" t="str">
        <f t="shared" si="39"/>
        <v/>
      </c>
      <c r="AW188" s="308" t="str">
        <f t="shared" si="40"/>
        <v/>
      </c>
      <c r="AX188" s="308" t="str">
        <f t="shared" si="41"/>
        <v/>
      </c>
      <c r="AY188" s="304" t="str">
        <f t="shared" si="42"/>
        <v/>
      </c>
      <c r="AZ188" s="308" t="str">
        <f t="shared" si="43"/>
        <v/>
      </c>
      <c r="BA188" s="313" t="str">
        <f t="shared" si="44"/>
        <v/>
      </c>
      <c r="BB188" s="304" t="str">
        <f t="shared" si="45"/>
        <v/>
      </c>
      <c r="BC188" s="308" t="str">
        <f t="shared" si="46"/>
        <v/>
      </c>
      <c r="BD188" s="308" t="str">
        <f t="shared" si="47"/>
        <v/>
      </c>
    </row>
    <row r="189">
      <c r="A189" s="298"/>
      <c r="B189" s="299"/>
      <c r="C189" s="300"/>
      <c r="D189" s="301" t="str">
        <f>IFERROR(__xludf.DUMMYFUNCTION("if(ISBLANK(A189),"""",GOOGLEFINANCE(A189,""NAME""))"),"")</f>
        <v/>
      </c>
      <c r="E189" s="302">
        <v>5000.0</v>
      </c>
      <c r="F189" s="303" t="str">
        <f>IFERROR(__xludf.DUMMYFUNCTION("if(ISBLANK(A189),"""",GOOGLEFINANCE(A189,""HIGH52""))"),"")</f>
        <v/>
      </c>
      <c r="G189" s="303" t="str">
        <f>IFERROR(__xludf.DUMMYFUNCTION("if(ISBLANK(A189),"""",GOOGLEFINANCE(A189,""LOW52""))"),"")</f>
        <v/>
      </c>
      <c r="H189" s="304" t="str">
        <f>IFERROR(__xludf.DUMMYFUNCTION("if(ISBLANK(A189),"""",GOOGLEFINANCE(A189,""Price""))"),"")</f>
        <v/>
      </c>
      <c r="I189" s="305" t="str">
        <f t="shared" si="1"/>
        <v/>
      </c>
      <c r="J189" s="306" t="str">
        <f t="shared" si="2"/>
        <v/>
      </c>
      <c r="K189" s="307" t="str">
        <f>IFERROR(__xludf.DUMMYFUNCTION("if(ISBLANK(A189),"""",googlefinance(A189,""Marketcap"")/10000000)"),"")</f>
        <v/>
      </c>
      <c r="L189" s="309" t="str">
        <f t="shared" si="3"/>
        <v/>
      </c>
      <c r="M189" s="308" t="str">
        <f t="shared" si="4"/>
        <v/>
      </c>
      <c r="N189" s="309" t="str">
        <f t="shared" si="5"/>
        <v/>
      </c>
      <c r="O189" s="322" t="str">
        <f t="shared" si="6"/>
        <v/>
      </c>
      <c r="P189" s="308" t="str">
        <f t="shared" si="7"/>
        <v/>
      </c>
      <c r="Q189" s="311" t="str">
        <f t="shared" si="8"/>
        <v/>
      </c>
      <c r="R189" s="309" t="str">
        <f t="shared" si="9"/>
        <v/>
      </c>
      <c r="S189" s="308" t="str">
        <f t="shared" si="10"/>
        <v/>
      </c>
      <c r="T189" s="309" t="str">
        <f t="shared" si="11"/>
        <v/>
      </c>
      <c r="U189" s="309" t="str">
        <f t="shared" si="12"/>
        <v/>
      </c>
      <c r="V189" s="308" t="str">
        <f t="shared" si="13"/>
        <v/>
      </c>
      <c r="W189" s="309" t="str">
        <f t="shared" si="14"/>
        <v/>
      </c>
      <c r="X189" s="309" t="str">
        <f t="shared" si="15"/>
        <v/>
      </c>
      <c r="Y189" s="308" t="str">
        <f t="shared" si="16"/>
        <v/>
      </c>
      <c r="Z189" s="309" t="str">
        <f t="shared" si="17"/>
        <v/>
      </c>
      <c r="AA189" s="312" t="str">
        <f t="shared" si="18"/>
        <v/>
      </c>
      <c r="AB189" s="308" t="str">
        <f t="shared" si="19"/>
        <v/>
      </c>
      <c r="AC189" s="308" t="str">
        <f t="shared" si="20"/>
        <v/>
      </c>
      <c r="AD189" s="312" t="str">
        <f t="shared" si="21"/>
        <v/>
      </c>
      <c r="AE189" s="308" t="str">
        <f t="shared" si="22"/>
        <v/>
      </c>
      <c r="AF189" s="313" t="str">
        <f t="shared" si="23"/>
        <v/>
      </c>
      <c r="AG189" s="304" t="str">
        <f t="shared" si="24"/>
        <v/>
      </c>
      <c r="AH189" s="308" t="str">
        <f t="shared" si="25"/>
        <v/>
      </c>
      <c r="AI189" s="313" t="str">
        <f t="shared" si="26"/>
        <v/>
      </c>
      <c r="AJ189" s="304" t="str">
        <f t="shared" si="27"/>
        <v/>
      </c>
      <c r="AK189" s="308" t="str">
        <f t="shared" si="28"/>
        <v/>
      </c>
      <c r="AL189" s="308" t="str">
        <f t="shared" si="29"/>
        <v/>
      </c>
      <c r="AM189" s="304" t="str">
        <f t="shared" si="30"/>
        <v/>
      </c>
      <c r="AN189" s="308" t="str">
        <f t="shared" si="31"/>
        <v/>
      </c>
      <c r="AO189" s="313" t="str">
        <f t="shared" si="32"/>
        <v/>
      </c>
      <c r="AP189" s="304" t="str">
        <f t="shared" si="33"/>
        <v/>
      </c>
      <c r="AQ189" s="308" t="str">
        <f t="shared" si="34"/>
        <v/>
      </c>
      <c r="AR189" s="313" t="str">
        <f t="shared" si="35"/>
        <v/>
      </c>
      <c r="AS189" s="304" t="str">
        <f t="shared" si="36"/>
        <v/>
      </c>
      <c r="AT189" s="308" t="str">
        <f t="shared" si="37"/>
        <v/>
      </c>
      <c r="AU189" s="308" t="str">
        <f t="shared" si="38"/>
        <v/>
      </c>
      <c r="AV189" s="304" t="str">
        <f t="shared" si="39"/>
        <v/>
      </c>
      <c r="AW189" s="308" t="str">
        <f t="shared" si="40"/>
        <v/>
      </c>
      <c r="AX189" s="308" t="str">
        <f t="shared" si="41"/>
        <v/>
      </c>
      <c r="AY189" s="304" t="str">
        <f t="shared" si="42"/>
        <v/>
      </c>
      <c r="AZ189" s="308" t="str">
        <f t="shared" si="43"/>
        <v/>
      </c>
      <c r="BA189" s="313" t="str">
        <f t="shared" si="44"/>
        <v/>
      </c>
      <c r="BB189" s="304" t="str">
        <f t="shared" si="45"/>
        <v/>
      </c>
      <c r="BC189" s="308" t="str">
        <f t="shared" si="46"/>
        <v/>
      </c>
      <c r="BD189" s="308" t="str">
        <f t="shared" si="47"/>
        <v/>
      </c>
    </row>
    <row r="190">
      <c r="A190" s="298"/>
      <c r="B190" s="299"/>
      <c r="C190" s="300"/>
      <c r="D190" s="301" t="str">
        <f>IFERROR(__xludf.DUMMYFUNCTION("if(ISBLANK(A190),"""",GOOGLEFINANCE(A190,""NAME""))"),"")</f>
        <v/>
      </c>
      <c r="E190" s="302">
        <v>5000.0</v>
      </c>
      <c r="F190" s="303" t="str">
        <f>IFERROR(__xludf.DUMMYFUNCTION("if(ISBLANK(A190),"""",GOOGLEFINANCE(A190,""HIGH52""))"),"")</f>
        <v/>
      </c>
      <c r="G190" s="303" t="str">
        <f>IFERROR(__xludf.DUMMYFUNCTION("if(ISBLANK(A190),"""",GOOGLEFINANCE(A190,""LOW52""))"),"")</f>
        <v/>
      </c>
      <c r="H190" s="304" t="str">
        <f>IFERROR(__xludf.DUMMYFUNCTION("if(ISBLANK(A190),"""",GOOGLEFINANCE(A190,""Price""))"),"")</f>
        <v/>
      </c>
      <c r="I190" s="305" t="str">
        <f t="shared" si="1"/>
        <v/>
      </c>
      <c r="J190" s="306" t="str">
        <f t="shared" si="2"/>
        <v/>
      </c>
      <c r="K190" s="307" t="str">
        <f>IFERROR(__xludf.DUMMYFUNCTION("if(ISBLANK(A190),"""",googlefinance(A190,""Marketcap"")/10000000)"),"")</f>
        <v/>
      </c>
      <c r="L190" s="309" t="str">
        <f t="shared" si="3"/>
        <v/>
      </c>
      <c r="M190" s="308" t="str">
        <f t="shared" si="4"/>
        <v/>
      </c>
      <c r="N190" s="309" t="str">
        <f t="shared" si="5"/>
        <v/>
      </c>
      <c r="O190" s="322" t="str">
        <f t="shared" si="6"/>
        <v/>
      </c>
      <c r="P190" s="308" t="str">
        <f t="shared" si="7"/>
        <v/>
      </c>
      <c r="Q190" s="311" t="str">
        <f t="shared" si="8"/>
        <v/>
      </c>
      <c r="R190" s="309" t="str">
        <f t="shared" si="9"/>
        <v/>
      </c>
      <c r="S190" s="308" t="str">
        <f t="shared" si="10"/>
        <v/>
      </c>
      <c r="T190" s="309" t="str">
        <f t="shared" si="11"/>
        <v/>
      </c>
      <c r="U190" s="309" t="str">
        <f t="shared" si="12"/>
        <v/>
      </c>
      <c r="V190" s="308" t="str">
        <f t="shared" si="13"/>
        <v/>
      </c>
      <c r="W190" s="309" t="str">
        <f t="shared" si="14"/>
        <v/>
      </c>
      <c r="X190" s="309" t="str">
        <f t="shared" si="15"/>
        <v/>
      </c>
      <c r="Y190" s="308" t="str">
        <f t="shared" si="16"/>
        <v/>
      </c>
      <c r="Z190" s="309" t="str">
        <f t="shared" si="17"/>
        <v/>
      </c>
      <c r="AA190" s="312" t="str">
        <f t="shared" si="18"/>
        <v/>
      </c>
      <c r="AB190" s="308" t="str">
        <f t="shared" si="19"/>
        <v/>
      </c>
      <c r="AC190" s="308" t="str">
        <f t="shared" si="20"/>
        <v/>
      </c>
      <c r="AD190" s="312" t="str">
        <f t="shared" si="21"/>
        <v/>
      </c>
      <c r="AE190" s="308" t="str">
        <f t="shared" si="22"/>
        <v/>
      </c>
      <c r="AF190" s="313" t="str">
        <f t="shared" si="23"/>
        <v/>
      </c>
      <c r="AG190" s="304" t="str">
        <f t="shared" si="24"/>
        <v/>
      </c>
      <c r="AH190" s="308" t="str">
        <f t="shared" si="25"/>
        <v/>
      </c>
      <c r="AI190" s="313" t="str">
        <f t="shared" si="26"/>
        <v/>
      </c>
      <c r="AJ190" s="304" t="str">
        <f t="shared" si="27"/>
        <v/>
      </c>
      <c r="AK190" s="308" t="str">
        <f t="shared" si="28"/>
        <v/>
      </c>
      <c r="AL190" s="308" t="str">
        <f t="shared" si="29"/>
        <v/>
      </c>
      <c r="AM190" s="304" t="str">
        <f t="shared" si="30"/>
        <v/>
      </c>
      <c r="AN190" s="308" t="str">
        <f t="shared" si="31"/>
        <v/>
      </c>
      <c r="AO190" s="313" t="str">
        <f t="shared" si="32"/>
        <v/>
      </c>
      <c r="AP190" s="304" t="str">
        <f t="shared" si="33"/>
        <v/>
      </c>
      <c r="AQ190" s="308" t="str">
        <f t="shared" si="34"/>
        <v/>
      </c>
      <c r="AR190" s="313" t="str">
        <f t="shared" si="35"/>
        <v/>
      </c>
      <c r="AS190" s="304" t="str">
        <f t="shared" si="36"/>
        <v/>
      </c>
      <c r="AT190" s="308" t="str">
        <f t="shared" si="37"/>
        <v/>
      </c>
      <c r="AU190" s="308" t="str">
        <f t="shared" si="38"/>
        <v/>
      </c>
      <c r="AV190" s="304" t="str">
        <f t="shared" si="39"/>
        <v/>
      </c>
      <c r="AW190" s="308" t="str">
        <f t="shared" si="40"/>
        <v/>
      </c>
      <c r="AX190" s="308" t="str">
        <f t="shared" si="41"/>
        <v/>
      </c>
      <c r="AY190" s="304" t="str">
        <f t="shared" si="42"/>
        <v/>
      </c>
      <c r="AZ190" s="308" t="str">
        <f t="shared" si="43"/>
        <v/>
      </c>
      <c r="BA190" s="313" t="str">
        <f t="shared" si="44"/>
        <v/>
      </c>
      <c r="BB190" s="304" t="str">
        <f t="shared" si="45"/>
        <v/>
      </c>
      <c r="BC190" s="308" t="str">
        <f t="shared" si="46"/>
        <v/>
      </c>
      <c r="BD190" s="308" t="str">
        <f t="shared" si="47"/>
        <v/>
      </c>
    </row>
    <row r="191">
      <c r="A191" s="298"/>
      <c r="B191" s="299"/>
      <c r="C191" s="300"/>
      <c r="D191" s="301" t="str">
        <f>IFERROR(__xludf.DUMMYFUNCTION("if(ISBLANK(A191),"""",GOOGLEFINANCE(A191,""NAME""))"),"")</f>
        <v/>
      </c>
      <c r="E191" s="302">
        <v>5000.0</v>
      </c>
      <c r="F191" s="303" t="str">
        <f>IFERROR(__xludf.DUMMYFUNCTION("if(ISBLANK(A191),"""",GOOGLEFINANCE(A191,""HIGH52""))"),"")</f>
        <v/>
      </c>
      <c r="G191" s="303" t="str">
        <f>IFERROR(__xludf.DUMMYFUNCTION("if(ISBLANK(A191),"""",GOOGLEFINANCE(A191,""LOW52""))"),"")</f>
        <v/>
      </c>
      <c r="H191" s="304" t="str">
        <f>IFERROR(__xludf.DUMMYFUNCTION("if(ISBLANK(A191),"""",GOOGLEFINANCE(A191,""Price""))"),"")</f>
        <v/>
      </c>
      <c r="I191" s="305" t="str">
        <f t="shared" si="1"/>
        <v/>
      </c>
      <c r="J191" s="306" t="str">
        <f t="shared" si="2"/>
        <v/>
      </c>
      <c r="K191" s="307" t="str">
        <f>IFERROR(__xludf.DUMMYFUNCTION("if(ISBLANK(A191),"""",googlefinance(A191,""Marketcap"")/10000000)"),"")</f>
        <v/>
      </c>
      <c r="L191" s="309" t="str">
        <f t="shared" si="3"/>
        <v/>
      </c>
      <c r="M191" s="308" t="str">
        <f t="shared" si="4"/>
        <v/>
      </c>
      <c r="N191" s="309" t="str">
        <f t="shared" si="5"/>
        <v/>
      </c>
      <c r="O191" s="322" t="str">
        <f t="shared" si="6"/>
        <v/>
      </c>
      <c r="P191" s="308" t="str">
        <f t="shared" si="7"/>
        <v/>
      </c>
      <c r="Q191" s="311" t="str">
        <f t="shared" si="8"/>
        <v/>
      </c>
      <c r="R191" s="309" t="str">
        <f t="shared" si="9"/>
        <v/>
      </c>
      <c r="S191" s="308" t="str">
        <f t="shared" si="10"/>
        <v/>
      </c>
      <c r="T191" s="309" t="str">
        <f t="shared" si="11"/>
        <v/>
      </c>
      <c r="U191" s="309" t="str">
        <f t="shared" si="12"/>
        <v/>
      </c>
      <c r="V191" s="308" t="str">
        <f t="shared" si="13"/>
        <v/>
      </c>
      <c r="W191" s="309" t="str">
        <f t="shared" si="14"/>
        <v/>
      </c>
      <c r="X191" s="309" t="str">
        <f t="shared" si="15"/>
        <v/>
      </c>
      <c r="Y191" s="308" t="str">
        <f t="shared" si="16"/>
        <v/>
      </c>
      <c r="Z191" s="309" t="str">
        <f t="shared" si="17"/>
        <v/>
      </c>
      <c r="AA191" s="312" t="str">
        <f t="shared" si="18"/>
        <v/>
      </c>
      <c r="AB191" s="308" t="str">
        <f t="shared" si="19"/>
        <v/>
      </c>
      <c r="AC191" s="308" t="str">
        <f t="shared" si="20"/>
        <v/>
      </c>
      <c r="AD191" s="312" t="str">
        <f t="shared" si="21"/>
        <v/>
      </c>
      <c r="AE191" s="308" t="str">
        <f t="shared" si="22"/>
        <v/>
      </c>
      <c r="AF191" s="313" t="str">
        <f t="shared" si="23"/>
        <v/>
      </c>
      <c r="AG191" s="304" t="str">
        <f t="shared" si="24"/>
        <v/>
      </c>
      <c r="AH191" s="308" t="str">
        <f t="shared" si="25"/>
        <v/>
      </c>
      <c r="AI191" s="313" t="str">
        <f t="shared" si="26"/>
        <v/>
      </c>
      <c r="AJ191" s="304" t="str">
        <f t="shared" si="27"/>
        <v/>
      </c>
      <c r="AK191" s="308" t="str">
        <f t="shared" si="28"/>
        <v/>
      </c>
      <c r="AL191" s="308" t="str">
        <f t="shared" si="29"/>
        <v/>
      </c>
      <c r="AM191" s="304" t="str">
        <f t="shared" si="30"/>
        <v/>
      </c>
      <c r="AN191" s="308" t="str">
        <f t="shared" si="31"/>
        <v/>
      </c>
      <c r="AO191" s="313" t="str">
        <f t="shared" si="32"/>
        <v/>
      </c>
      <c r="AP191" s="304" t="str">
        <f t="shared" si="33"/>
        <v/>
      </c>
      <c r="AQ191" s="308" t="str">
        <f t="shared" si="34"/>
        <v/>
      </c>
      <c r="AR191" s="313" t="str">
        <f t="shared" si="35"/>
        <v/>
      </c>
      <c r="AS191" s="304" t="str">
        <f t="shared" si="36"/>
        <v/>
      </c>
      <c r="AT191" s="308" t="str">
        <f t="shared" si="37"/>
        <v/>
      </c>
      <c r="AU191" s="308" t="str">
        <f t="shared" si="38"/>
        <v/>
      </c>
      <c r="AV191" s="304" t="str">
        <f t="shared" si="39"/>
        <v/>
      </c>
      <c r="AW191" s="308" t="str">
        <f t="shared" si="40"/>
        <v/>
      </c>
      <c r="AX191" s="308" t="str">
        <f t="shared" si="41"/>
        <v/>
      </c>
      <c r="AY191" s="304" t="str">
        <f t="shared" si="42"/>
        <v/>
      </c>
      <c r="AZ191" s="308" t="str">
        <f t="shared" si="43"/>
        <v/>
      </c>
      <c r="BA191" s="313" t="str">
        <f t="shared" si="44"/>
        <v/>
      </c>
      <c r="BB191" s="304" t="str">
        <f t="shared" si="45"/>
        <v/>
      </c>
      <c r="BC191" s="308" t="str">
        <f t="shared" si="46"/>
        <v/>
      </c>
      <c r="BD191" s="308" t="str">
        <f t="shared" si="47"/>
        <v/>
      </c>
    </row>
    <row r="192">
      <c r="A192" s="298"/>
      <c r="B192" s="299"/>
      <c r="C192" s="300"/>
      <c r="D192" s="301" t="str">
        <f>IFERROR(__xludf.DUMMYFUNCTION("if(ISBLANK(A192),"""",GOOGLEFINANCE(A192,""NAME""))"),"")</f>
        <v/>
      </c>
      <c r="E192" s="302">
        <v>5000.0</v>
      </c>
      <c r="F192" s="303" t="str">
        <f>IFERROR(__xludf.DUMMYFUNCTION("if(ISBLANK(A192),"""",GOOGLEFINANCE(A192,""HIGH52""))"),"")</f>
        <v/>
      </c>
      <c r="G192" s="303" t="str">
        <f>IFERROR(__xludf.DUMMYFUNCTION("if(ISBLANK(A192),"""",GOOGLEFINANCE(A192,""LOW52""))"),"")</f>
        <v/>
      </c>
      <c r="H192" s="304" t="str">
        <f>IFERROR(__xludf.DUMMYFUNCTION("if(ISBLANK(A192),"""",GOOGLEFINANCE(A192,""Price""))"),"")</f>
        <v/>
      </c>
      <c r="I192" s="305" t="str">
        <f t="shared" si="1"/>
        <v/>
      </c>
      <c r="J192" s="306" t="str">
        <f t="shared" si="2"/>
        <v/>
      </c>
      <c r="K192" s="307" t="str">
        <f>IFERROR(__xludf.DUMMYFUNCTION("if(ISBLANK(A192),"""",googlefinance(A192,""Marketcap"")/10000000)"),"")</f>
        <v/>
      </c>
      <c r="L192" s="309" t="str">
        <f t="shared" si="3"/>
        <v/>
      </c>
      <c r="M192" s="308" t="str">
        <f t="shared" si="4"/>
        <v/>
      </c>
      <c r="N192" s="309" t="str">
        <f t="shared" si="5"/>
        <v/>
      </c>
      <c r="O192" s="322" t="str">
        <f t="shared" si="6"/>
        <v/>
      </c>
      <c r="P192" s="308" t="str">
        <f t="shared" si="7"/>
        <v/>
      </c>
      <c r="Q192" s="311" t="str">
        <f t="shared" si="8"/>
        <v/>
      </c>
      <c r="R192" s="309" t="str">
        <f t="shared" si="9"/>
        <v/>
      </c>
      <c r="S192" s="308" t="str">
        <f t="shared" si="10"/>
        <v/>
      </c>
      <c r="T192" s="309" t="str">
        <f t="shared" si="11"/>
        <v/>
      </c>
      <c r="U192" s="309" t="str">
        <f t="shared" si="12"/>
        <v/>
      </c>
      <c r="V192" s="308" t="str">
        <f t="shared" si="13"/>
        <v/>
      </c>
      <c r="W192" s="309" t="str">
        <f t="shared" si="14"/>
        <v/>
      </c>
      <c r="X192" s="309" t="str">
        <f t="shared" si="15"/>
        <v/>
      </c>
      <c r="Y192" s="308" t="str">
        <f t="shared" si="16"/>
        <v/>
      </c>
      <c r="Z192" s="309" t="str">
        <f t="shared" si="17"/>
        <v/>
      </c>
      <c r="AA192" s="312" t="str">
        <f t="shared" si="18"/>
        <v/>
      </c>
      <c r="AB192" s="308" t="str">
        <f t="shared" si="19"/>
        <v/>
      </c>
      <c r="AC192" s="308" t="str">
        <f t="shared" si="20"/>
        <v/>
      </c>
      <c r="AD192" s="312" t="str">
        <f t="shared" si="21"/>
        <v/>
      </c>
      <c r="AE192" s="308" t="str">
        <f t="shared" si="22"/>
        <v/>
      </c>
      <c r="AF192" s="313" t="str">
        <f t="shared" si="23"/>
        <v/>
      </c>
      <c r="AG192" s="304" t="str">
        <f t="shared" si="24"/>
        <v/>
      </c>
      <c r="AH192" s="308" t="str">
        <f t="shared" si="25"/>
        <v/>
      </c>
      <c r="AI192" s="313" t="str">
        <f t="shared" si="26"/>
        <v/>
      </c>
      <c r="AJ192" s="304" t="str">
        <f t="shared" si="27"/>
        <v/>
      </c>
      <c r="AK192" s="308" t="str">
        <f t="shared" si="28"/>
        <v/>
      </c>
      <c r="AL192" s="308" t="str">
        <f t="shared" si="29"/>
        <v/>
      </c>
      <c r="AM192" s="304" t="str">
        <f t="shared" si="30"/>
        <v/>
      </c>
      <c r="AN192" s="308" t="str">
        <f t="shared" si="31"/>
        <v/>
      </c>
      <c r="AO192" s="313" t="str">
        <f t="shared" si="32"/>
        <v/>
      </c>
      <c r="AP192" s="304" t="str">
        <f t="shared" si="33"/>
        <v/>
      </c>
      <c r="AQ192" s="308" t="str">
        <f t="shared" si="34"/>
        <v/>
      </c>
      <c r="AR192" s="313" t="str">
        <f t="shared" si="35"/>
        <v/>
      </c>
      <c r="AS192" s="304" t="str">
        <f t="shared" si="36"/>
        <v/>
      </c>
      <c r="AT192" s="308" t="str">
        <f t="shared" si="37"/>
        <v/>
      </c>
      <c r="AU192" s="308" t="str">
        <f t="shared" si="38"/>
        <v/>
      </c>
      <c r="AV192" s="304" t="str">
        <f t="shared" si="39"/>
        <v/>
      </c>
      <c r="AW192" s="308" t="str">
        <f t="shared" si="40"/>
        <v/>
      </c>
      <c r="AX192" s="308" t="str">
        <f t="shared" si="41"/>
        <v/>
      </c>
      <c r="AY192" s="304" t="str">
        <f t="shared" si="42"/>
        <v/>
      </c>
      <c r="AZ192" s="308" t="str">
        <f t="shared" si="43"/>
        <v/>
      </c>
      <c r="BA192" s="313" t="str">
        <f t="shared" si="44"/>
        <v/>
      </c>
      <c r="BB192" s="304" t="str">
        <f t="shared" si="45"/>
        <v/>
      </c>
      <c r="BC192" s="308" t="str">
        <f t="shared" si="46"/>
        <v/>
      </c>
      <c r="BD192" s="308" t="str">
        <f t="shared" si="47"/>
        <v/>
      </c>
    </row>
    <row r="193">
      <c r="A193" s="298"/>
      <c r="B193" s="299"/>
      <c r="C193" s="300"/>
      <c r="D193" s="301" t="str">
        <f>IFERROR(__xludf.DUMMYFUNCTION("if(ISBLANK(A193),"""",GOOGLEFINANCE(A193,""NAME""))"),"")</f>
        <v/>
      </c>
      <c r="E193" s="302">
        <v>5000.0</v>
      </c>
      <c r="F193" s="303" t="str">
        <f>IFERROR(__xludf.DUMMYFUNCTION("if(ISBLANK(A193),"""",GOOGLEFINANCE(A193,""HIGH52""))"),"")</f>
        <v/>
      </c>
      <c r="G193" s="303" t="str">
        <f>IFERROR(__xludf.DUMMYFUNCTION("if(ISBLANK(A193),"""",GOOGLEFINANCE(A193,""LOW52""))"),"")</f>
        <v/>
      </c>
      <c r="H193" s="304" t="str">
        <f>IFERROR(__xludf.DUMMYFUNCTION("if(ISBLANK(A193),"""",GOOGLEFINANCE(A193,""Price""))"),"")</f>
        <v/>
      </c>
      <c r="I193" s="305" t="str">
        <f t="shared" si="1"/>
        <v/>
      </c>
      <c r="J193" s="306" t="str">
        <f t="shared" si="2"/>
        <v/>
      </c>
      <c r="K193" s="307" t="str">
        <f>IFERROR(__xludf.DUMMYFUNCTION("if(ISBLANK(A193),"""",googlefinance(A193,""Marketcap"")/10000000)"),"")</f>
        <v/>
      </c>
      <c r="L193" s="309" t="str">
        <f t="shared" si="3"/>
        <v/>
      </c>
      <c r="M193" s="308" t="str">
        <f t="shared" si="4"/>
        <v/>
      </c>
      <c r="N193" s="309" t="str">
        <f t="shared" si="5"/>
        <v/>
      </c>
      <c r="O193" s="322" t="str">
        <f t="shared" si="6"/>
        <v/>
      </c>
      <c r="P193" s="308" t="str">
        <f t="shared" si="7"/>
        <v/>
      </c>
      <c r="Q193" s="311" t="str">
        <f t="shared" si="8"/>
        <v/>
      </c>
      <c r="R193" s="309" t="str">
        <f t="shared" si="9"/>
        <v/>
      </c>
      <c r="S193" s="308" t="str">
        <f t="shared" si="10"/>
        <v/>
      </c>
      <c r="T193" s="309" t="str">
        <f t="shared" si="11"/>
        <v/>
      </c>
      <c r="U193" s="309" t="str">
        <f t="shared" si="12"/>
        <v/>
      </c>
      <c r="V193" s="308" t="str">
        <f t="shared" si="13"/>
        <v/>
      </c>
      <c r="W193" s="309" t="str">
        <f t="shared" si="14"/>
        <v/>
      </c>
      <c r="X193" s="309" t="str">
        <f t="shared" si="15"/>
        <v/>
      </c>
      <c r="Y193" s="308" t="str">
        <f t="shared" si="16"/>
        <v/>
      </c>
      <c r="Z193" s="309" t="str">
        <f t="shared" si="17"/>
        <v/>
      </c>
      <c r="AA193" s="312" t="str">
        <f t="shared" si="18"/>
        <v/>
      </c>
      <c r="AB193" s="308" t="str">
        <f t="shared" si="19"/>
        <v/>
      </c>
      <c r="AC193" s="308" t="str">
        <f t="shared" si="20"/>
        <v/>
      </c>
      <c r="AD193" s="312" t="str">
        <f t="shared" si="21"/>
        <v/>
      </c>
      <c r="AE193" s="308" t="str">
        <f t="shared" si="22"/>
        <v/>
      </c>
      <c r="AF193" s="313" t="str">
        <f t="shared" si="23"/>
        <v/>
      </c>
      <c r="AG193" s="304" t="str">
        <f t="shared" si="24"/>
        <v/>
      </c>
      <c r="AH193" s="308" t="str">
        <f t="shared" si="25"/>
        <v/>
      </c>
      <c r="AI193" s="313" t="str">
        <f t="shared" si="26"/>
        <v/>
      </c>
      <c r="AJ193" s="304" t="str">
        <f t="shared" si="27"/>
        <v/>
      </c>
      <c r="AK193" s="308" t="str">
        <f t="shared" si="28"/>
        <v/>
      </c>
      <c r="AL193" s="308" t="str">
        <f t="shared" si="29"/>
        <v/>
      </c>
      <c r="AM193" s="304" t="str">
        <f t="shared" si="30"/>
        <v/>
      </c>
      <c r="AN193" s="308" t="str">
        <f t="shared" si="31"/>
        <v/>
      </c>
      <c r="AO193" s="313" t="str">
        <f t="shared" si="32"/>
        <v/>
      </c>
      <c r="AP193" s="304" t="str">
        <f t="shared" si="33"/>
        <v/>
      </c>
      <c r="AQ193" s="308" t="str">
        <f t="shared" si="34"/>
        <v/>
      </c>
      <c r="AR193" s="313" t="str">
        <f t="shared" si="35"/>
        <v/>
      </c>
      <c r="AS193" s="304" t="str">
        <f t="shared" si="36"/>
        <v/>
      </c>
      <c r="AT193" s="308" t="str">
        <f t="shared" si="37"/>
        <v/>
      </c>
      <c r="AU193" s="308" t="str">
        <f t="shared" si="38"/>
        <v/>
      </c>
      <c r="AV193" s="304" t="str">
        <f t="shared" si="39"/>
        <v/>
      </c>
      <c r="AW193" s="308" t="str">
        <f t="shared" si="40"/>
        <v/>
      </c>
      <c r="AX193" s="308" t="str">
        <f t="shared" si="41"/>
        <v/>
      </c>
      <c r="AY193" s="304" t="str">
        <f t="shared" si="42"/>
        <v/>
      </c>
      <c r="AZ193" s="308" t="str">
        <f t="shared" si="43"/>
        <v/>
      </c>
      <c r="BA193" s="313" t="str">
        <f t="shared" si="44"/>
        <v/>
      </c>
      <c r="BB193" s="304" t="str">
        <f t="shared" si="45"/>
        <v/>
      </c>
      <c r="BC193" s="308" t="str">
        <f t="shared" si="46"/>
        <v/>
      </c>
      <c r="BD193" s="308" t="str">
        <f t="shared" si="47"/>
        <v/>
      </c>
    </row>
    <row r="194">
      <c r="A194" s="298"/>
      <c r="B194" s="299"/>
      <c r="C194" s="300"/>
      <c r="D194" s="301" t="str">
        <f>IFERROR(__xludf.DUMMYFUNCTION("if(ISBLANK(A194),"""",GOOGLEFINANCE(A194,""NAME""))"),"")</f>
        <v/>
      </c>
      <c r="E194" s="302">
        <v>5000.0</v>
      </c>
      <c r="F194" s="303" t="str">
        <f>IFERROR(__xludf.DUMMYFUNCTION("if(ISBLANK(A194),"""",GOOGLEFINANCE(A194,""HIGH52""))"),"")</f>
        <v/>
      </c>
      <c r="G194" s="303" t="str">
        <f>IFERROR(__xludf.DUMMYFUNCTION("if(ISBLANK(A194),"""",GOOGLEFINANCE(A194,""LOW52""))"),"")</f>
        <v/>
      </c>
      <c r="H194" s="304" t="str">
        <f>IFERROR(__xludf.DUMMYFUNCTION("if(ISBLANK(A194),"""",GOOGLEFINANCE(A194,""Price""))"),"")</f>
        <v/>
      </c>
      <c r="I194" s="305" t="str">
        <f t="shared" si="1"/>
        <v/>
      </c>
      <c r="J194" s="306" t="str">
        <f t="shared" si="2"/>
        <v/>
      </c>
      <c r="K194" s="307" t="str">
        <f>IFERROR(__xludf.DUMMYFUNCTION("if(ISBLANK(A194),"""",googlefinance(A194,""Marketcap"")/10000000)"),"")</f>
        <v/>
      </c>
      <c r="L194" s="309" t="str">
        <f t="shared" si="3"/>
        <v/>
      </c>
      <c r="M194" s="308" t="str">
        <f t="shared" si="4"/>
        <v/>
      </c>
      <c r="N194" s="309" t="str">
        <f t="shared" si="5"/>
        <v/>
      </c>
      <c r="O194" s="322" t="str">
        <f t="shared" si="6"/>
        <v/>
      </c>
      <c r="P194" s="308" t="str">
        <f t="shared" si="7"/>
        <v/>
      </c>
      <c r="Q194" s="311" t="str">
        <f t="shared" si="8"/>
        <v/>
      </c>
      <c r="R194" s="309" t="str">
        <f t="shared" si="9"/>
        <v/>
      </c>
      <c r="S194" s="308" t="str">
        <f t="shared" si="10"/>
        <v/>
      </c>
      <c r="T194" s="309" t="str">
        <f t="shared" si="11"/>
        <v/>
      </c>
      <c r="U194" s="309" t="str">
        <f t="shared" si="12"/>
        <v/>
      </c>
      <c r="V194" s="308" t="str">
        <f t="shared" si="13"/>
        <v/>
      </c>
      <c r="W194" s="309" t="str">
        <f t="shared" si="14"/>
        <v/>
      </c>
      <c r="X194" s="309" t="str">
        <f t="shared" si="15"/>
        <v/>
      </c>
      <c r="Y194" s="308" t="str">
        <f t="shared" si="16"/>
        <v/>
      </c>
      <c r="Z194" s="309" t="str">
        <f t="shared" si="17"/>
        <v/>
      </c>
      <c r="AA194" s="312" t="str">
        <f t="shared" si="18"/>
        <v/>
      </c>
      <c r="AB194" s="308" t="str">
        <f t="shared" si="19"/>
        <v/>
      </c>
      <c r="AC194" s="308" t="str">
        <f t="shared" si="20"/>
        <v/>
      </c>
      <c r="AD194" s="312" t="str">
        <f t="shared" si="21"/>
        <v/>
      </c>
      <c r="AE194" s="308" t="str">
        <f t="shared" si="22"/>
        <v/>
      </c>
      <c r="AF194" s="313" t="str">
        <f t="shared" si="23"/>
        <v/>
      </c>
      <c r="AG194" s="304" t="str">
        <f t="shared" si="24"/>
        <v/>
      </c>
      <c r="AH194" s="308" t="str">
        <f t="shared" si="25"/>
        <v/>
      </c>
      <c r="AI194" s="313" t="str">
        <f t="shared" si="26"/>
        <v/>
      </c>
      <c r="AJ194" s="304" t="str">
        <f t="shared" si="27"/>
        <v/>
      </c>
      <c r="AK194" s="308" t="str">
        <f t="shared" si="28"/>
        <v/>
      </c>
      <c r="AL194" s="308" t="str">
        <f t="shared" si="29"/>
        <v/>
      </c>
      <c r="AM194" s="304" t="str">
        <f t="shared" si="30"/>
        <v/>
      </c>
      <c r="AN194" s="308" t="str">
        <f t="shared" si="31"/>
        <v/>
      </c>
      <c r="AO194" s="313" t="str">
        <f t="shared" si="32"/>
        <v/>
      </c>
      <c r="AP194" s="304" t="str">
        <f t="shared" si="33"/>
        <v/>
      </c>
      <c r="AQ194" s="308" t="str">
        <f t="shared" si="34"/>
        <v/>
      </c>
      <c r="AR194" s="313" t="str">
        <f t="shared" si="35"/>
        <v/>
      </c>
      <c r="AS194" s="304" t="str">
        <f t="shared" si="36"/>
        <v/>
      </c>
      <c r="AT194" s="308" t="str">
        <f t="shared" si="37"/>
        <v/>
      </c>
      <c r="AU194" s="308" t="str">
        <f t="shared" si="38"/>
        <v/>
      </c>
      <c r="AV194" s="304" t="str">
        <f t="shared" si="39"/>
        <v/>
      </c>
      <c r="AW194" s="308" t="str">
        <f t="shared" si="40"/>
        <v/>
      </c>
      <c r="AX194" s="308" t="str">
        <f t="shared" si="41"/>
        <v/>
      </c>
      <c r="AY194" s="304" t="str">
        <f t="shared" si="42"/>
        <v/>
      </c>
      <c r="AZ194" s="308" t="str">
        <f t="shared" si="43"/>
        <v/>
      </c>
      <c r="BA194" s="313" t="str">
        <f t="shared" si="44"/>
        <v/>
      </c>
      <c r="BB194" s="304" t="str">
        <f t="shared" si="45"/>
        <v/>
      </c>
      <c r="BC194" s="308" t="str">
        <f t="shared" si="46"/>
        <v/>
      </c>
      <c r="BD194" s="308" t="str">
        <f t="shared" si="47"/>
        <v/>
      </c>
    </row>
    <row r="195">
      <c r="A195" s="298"/>
      <c r="B195" s="299"/>
      <c r="C195" s="300"/>
      <c r="D195" s="301" t="str">
        <f>IFERROR(__xludf.DUMMYFUNCTION("if(ISBLANK(A195),"""",GOOGLEFINANCE(A195,""NAME""))"),"")</f>
        <v/>
      </c>
      <c r="E195" s="302">
        <v>5000.0</v>
      </c>
      <c r="F195" s="303" t="str">
        <f>IFERROR(__xludf.DUMMYFUNCTION("if(ISBLANK(A195),"""",GOOGLEFINANCE(A195,""HIGH52""))"),"")</f>
        <v/>
      </c>
      <c r="G195" s="303" t="str">
        <f>IFERROR(__xludf.DUMMYFUNCTION("if(ISBLANK(A195),"""",GOOGLEFINANCE(A195,""LOW52""))"),"")</f>
        <v/>
      </c>
      <c r="H195" s="304" t="str">
        <f>IFERROR(__xludf.DUMMYFUNCTION("if(ISBLANK(A195),"""",GOOGLEFINANCE(A195,""Price""))"),"")</f>
        <v/>
      </c>
      <c r="I195" s="305" t="str">
        <f t="shared" si="1"/>
        <v/>
      </c>
      <c r="J195" s="306" t="str">
        <f t="shared" si="2"/>
        <v/>
      </c>
      <c r="K195" s="307" t="str">
        <f>IFERROR(__xludf.DUMMYFUNCTION("if(ISBLANK(A195),"""",googlefinance(A195,""Marketcap"")/10000000)"),"")</f>
        <v/>
      </c>
      <c r="L195" s="309" t="str">
        <f t="shared" si="3"/>
        <v/>
      </c>
      <c r="M195" s="308" t="str">
        <f t="shared" si="4"/>
        <v/>
      </c>
      <c r="N195" s="309" t="str">
        <f t="shared" si="5"/>
        <v/>
      </c>
      <c r="O195" s="322" t="str">
        <f t="shared" si="6"/>
        <v/>
      </c>
      <c r="P195" s="308" t="str">
        <f t="shared" si="7"/>
        <v/>
      </c>
      <c r="Q195" s="311" t="str">
        <f t="shared" si="8"/>
        <v/>
      </c>
      <c r="R195" s="309" t="str">
        <f t="shared" si="9"/>
        <v/>
      </c>
      <c r="S195" s="308" t="str">
        <f t="shared" si="10"/>
        <v/>
      </c>
      <c r="T195" s="309" t="str">
        <f t="shared" si="11"/>
        <v/>
      </c>
      <c r="U195" s="309" t="str">
        <f t="shared" si="12"/>
        <v/>
      </c>
      <c r="V195" s="308" t="str">
        <f t="shared" si="13"/>
        <v/>
      </c>
      <c r="W195" s="309" t="str">
        <f t="shared" si="14"/>
        <v/>
      </c>
      <c r="X195" s="309" t="str">
        <f t="shared" si="15"/>
        <v/>
      </c>
      <c r="Y195" s="308" t="str">
        <f t="shared" si="16"/>
        <v/>
      </c>
      <c r="Z195" s="309" t="str">
        <f t="shared" si="17"/>
        <v/>
      </c>
      <c r="AA195" s="312" t="str">
        <f t="shared" si="18"/>
        <v/>
      </c>
      <c r="AB195" s="308" t="str">
        <f t="shared" si="19"/>
        <v/>
      </c>
      <c r="AC195" s="308" t="str">
        <f t="shared" si="20"/>
        <v/>
      </c>
      <c r="AD195" s="312" t="str">
        <f t="shared" si="21"/>
        <v/>
      </c>
      <c r="AE195" s="308" t="str">
        <f t="shared" si="22"/>
        <v/>
      </c>
      <c r="AF195" s="313" t="str">
        <f t="shared" si="23"/>
        <v/>
      </c>
      <c r="AG195" s="304" t="str">
        <f t="shared" si="24"/>
        <v/>
      </c>
      <c r="AH195" s="308" t="str">
        <f t="shared" si="25"/>
        <v/>
      </c>
      <c r="AI195" s="313" t="str">
        <f t="shared" si="26"/>
        <v/>
      </c>
      <c r="AJ195" s="304" t="str">
        <f t="shared" si="27"/>
        <v/>
      </c>
      <c r="AK195" s="308" t="str">
        <f t="shared" si="28"/>
        <v/>
      </c>
      <c r="AL195" s="308" t="str">
        <f t="shared" si="29"/>
        <v/>
      </c>
      <c r="AM195" s="304" t="str">
        <f t="shared" si="30"/>
        <v/>
      </c>
      <c r="AN195" s="308" t="str">
        <f t="shared" si="31"/>
        <v/>
      </c>
      <c r="AO195" s="313" t="str">
        <f t="shared" si="32"/>
        <v/>
      </c>
      <c r="AP195" s="304" t="str">
        <f t="shared" si="33"/>
        <v/>
      </c>
      <c r="AQ195" s="308" t="str">
        <f t="shared" si="34"/>
        <v/>
      </c>
      <c r="AR195" s="313" t="str">
        <f t="shared" si="35"/>
        <v/>
      </c>
      <c r="AS195" s="304" t="str">
        <f t="shared" si="36"/>
        <v/>
      </c>
      <c r="AT195" s="308" t="str">
        <f t="shared" si="37"/>
        <v/>
      </c>
      <c r="AU195" s="308" t="str">
        <f t="shared" si="38"/>
        <v/>
      </c>
      <c r="AV195" s="304" t="str">
        <f t="shared" si="39"/>
        <v/>
      </c>
      <c r="AW195" s="308" t="str">
        <f t="shared" si="40"/>
        <v/>
      </c>
      <c r="AX195" s="308" t="str">
        <f t="shared" si="41"/>
        <v/>
      </c>
      <c r="AY195" s="304" t="str">
        <f t="shared" si="42"/>
        <v/>
      </c>
      <c r="AZ195" s="308" t="str">
        <f t="shared" si="43"/>
        <v/>
      </c>
      <c r="BA195" s="313" t="str">
        <f t="shared" si="44"/>
        <v/>
      </c>
      <c r="BB195" s="304" t="str">
        <f t="shared" si="45"/>
        <v/>
      </c>
      <c r="BC195" s="308" t="str">
        <f t="shared" si="46"/>
        <v/>
      </c>
      <c r="BD195" s="308" t="str">
        <f t="shared" si="47"/>
        <v/>
      </c>
    </row>
    <row r="196">
      <c r="A196" s="298"/>
      <c r="B196" s="299"/>
      <c r="C196" s="300"/>
      <c r="D196" s="301" t="str">
        <f>IFERROR(__xludf.DUMMYFUNCTION("if(ISBLANK(A196),"""",GOOGLEFINANCE(A196,""NAME""))"),"")</f>
        <v/>
      </c>
      <c r="E196" s="302">
        <v>5000.0</v>
      </c>
      <c r="F196" s="303" t="str">
        <f>IFERROR(__xludf.DUMMYFUNCTION("if(ISBLANK(A196),"""",GOOGLEFINANCE(A196,""HIGH52""))"),"")</f>
        <v/>
      </c>
      <c r="G196" s="303" t="str">
        <f>IFERROR(__xludf.DUMMYFUNCTION("if(ISBLANK(A196),"""",GOOGLEFINANCE(A196,""LOW52""))"),"")</f>
        <v/>
      </c>
      <c r="H196" s="304" t="str">
        <f>IFERROR(__xludf.DUMMYFUNCTION("if(ISBLANK(A196),"""",GOOGLEFINANCE(A196,""Price""))"),"")</f>
        <v/>
      </c>
      <c r="I196" s="305" t="str">
        <f t="shared" si="1"/>
        <v/>
      </c>
      <c r="J196" s="306" t="str">
        <f t="shared" si="2"/>
        <v/>
      </c>
      <c r="K196" s="307" t="str">
        <f>IFERROR(__xludf.DUMMYFUNCTION("if(ISBLANK(A196),"""",googlefinance(A196,""Marketcap"")/10000000)"),"")</f>
        <v/>
      </c>
      <c r="L196" s="309" t="str">
        <f t="shared" si="3"/>
        <v/>
      </c>
      <c r="M196" s="308" t="str">
        <f t="shared" si="4"/>
        <v/>
      </c>
      <c r="N196" s="309" t="str">
        <f t="shared" si="5"/>
        <v/>
      </c>
      <c r="O196" s="322" t="str">
        <f t="shared" si="6"/>
        <v/>
      </c>
      <c r="P196" s="308" t="str">
        <f t="shared" si="7"/>
        <v/>
      </c>
      <c r="Q196" s="311" t="str">
        <f t="shared" si="8"/>
        <v/>
      </c>
      <c r="R196" s="309" t="str">
        <f t="shared" si="9"/>
        <v/>
      </c>
      <c r="S196" s="308" t="str">
        <f t="shared" si="10"/>
        <v/>
      </c>
      <c r="T196" s="309" t="str">
        <f t="shared" si="11"/>
        <v/>
      </c>
      <c r="U196" s="309" t="str">
        <f t="shared" si="12"/>
        <v/>
      </c>
      <c r="V196" s="308" t="str">
        <f t="shared" si="13"/>
        <v/>
      </c>
      <c r="W196" s="309" t="str">
        <f t="shared" si="14"/>
        <v/>
      </c>
      <c r="X196" s="309" t="str">
        <f t="shared" si="15"/>
        <v/>
      </c>
      <c r="Y196" s="308" t="str">
        <f t="shared" si="16"/>
        <v/>
      </c>
      <c r="Z196" s="309" t="str">
        <f t="shared" si="17"/>
        <v/>
      </c>
      <c r="AA196" s="312" t="str">
        <f t="shared" si="18"/>
        <v/>
      </c>
      <c r="AB196" s="308" t="str">
        <f t="shared" si="19"/>
        <v/>
      </c>
      <c r="AC196" s="308" t="str">
        <f t="shared" si="20"/>
        <v/>
      </c>
      <c r="AD196" s="312" t="str">
        <f t="shared" si="21"/>
        <v/>
      </c>
      <c r="AE196" s="308" t="str">
        <f t="shared" si="22"/>
        <v/>
      </c>
      <c r="AF196" s="313" t="str">
        <f t="shared" si="23"/>
        <v/>
      </c>
      <c r="AG196" s="304" t="str">
        <f t="shared" si="24"/>
        <v/>
      </c>
      <c r="AH196" s="308" t="str">
        <f t="shared" si="25"/>
        <v/>
      </c>
      <c r="AI196" s="313" t="str">
        <f t="shared" si="26"/>
        <v/>
      </c>
      <c r="AJ196" s="304" t="str">
        <f t="shared" si="27"/>
        <v/>
      </c>
      <c r="AK196" s="308" t="str">
        <f t="shared" si="28"/>
        <v/>
      </c>
      <c r="AL196" s="308" t="str">
        <f t="shared" si="29"/>
        <v/>
      </c>
      <c r="AM196" s="304" t="str">
        <f t="shared" si="30"/>
        <v/>
      </c>
      <c r="AN196" s="308" t="str">
        <f t="shared" si="31"/>
        <v/>
      </c>
      <c r="AO196" s="313" t="str">
        <f t="shared" si="32"/>
        <v/>
      </c>
      <c r="AP196" s="304" t="str">
        <f t="shared" si="33"/>
        <v/>
      </c>
      <c r="AQ196" s="308" t="str">
        <f t="shared" si="34"/>
        <v/>
      </c>
      <c r="AR196" s="313" t="str">
        <f t="shared" si="35"/>
        <v/>
      </c>
      <c r="AS196" s="304" t="str">
        <f t="shared" si="36"/>
        <v/>
      </c>
      <c r="AT196" s="308" t="str">
        <f t="shared" si="37"/>
        <v/>
      </c>
      <c r="AU196" s="308" t="str">
        <f t="shared" si="38"/>
        <v/>
      </c>
      <c r="AV196" s="304" t="str">
        <f t="shared" si="39"/>
        <v/>
      </c>
      <c r="AW196" s="308" t="str">
        <f t="shared" si="40"/>
        <v/>
      </c>
      <c r="AX196" s="308" t="str">
        <f t="shared" si="41"/>
        <v/>
      </c>
      <c r="AY196" s="304" t="str">
        <f t="shared" si="42"/>
        <v/>
      </c>
      <c r="AZ196" s="308" t="str">
        <f t="shared" si="43"/>
        <v/>
      </c>
      <c r="BA196" s="313" t="str">
        <f t="shared" si="44"/>
        <v/>
      </c>
      <c r="BB196" s="304" t="str">
        <f t="shared" si="45"/>
        <v/>
      </c>
      <c r="BC196" s="308" t="str">
        <f t="shared" si="46"/>
        <v/>
      </c>
      <c r="BD196" s="308" t="str">
        <f t="shared" si="47"/>
        <v/>
      </c>
    </row>
    <row r="197">
      <c r="A197" s="298"/>
      <c r="B197" s="299"/>
      <c r="C197" s="300"/>
      <c r="D197" s="301" t="str">
        <f>IFERROR(__xludf.DUMMYFUNCTION("if(ISBLANK(A197),"""",GOOGLEFINANCE(A197,""NAME""))"),"")</f>
        <v/>
      </c>
      <c r="E197" s="302">
        <v>5000.0</v>
      </c>
      <c r="F197" s="303" t="str">
        <f>IFERROR(__xludf.DUMMYFUNCTION("if(ISBLANK(A197),"""",GOOGLEFINANCE(A197,""HIGH52""))"),"")</f>
        <v/>
      </c>
      <c r="G197" s="303" t="str">
        <f>IFERROR(__xludf.DUMMYFUNCTION("if(ISBLANK(A197),"""",GOOGLEFINANCE(A197,""LOW52""))"),"")</f>
        <v/>
      </c>
      <c r="H197" s="304" t="str">
        <f>IFERROR(__xludf.DUMMYFUNCTION("if(ISBLANK(A197),"""",GOOGLEFINANCE(A197,""Price""))"),"")</f>
        <v/>
      </c>
      <c r="I197" s="305" t="str">
        <f t="shared" si="1"/>
        <v/>
      </c>
      <c r="J197" s="306" t="str">
        <f t="shared" si="2"/>
        <v/>
      </c>
      <c r="K197" s="307" t="str">
        <f>IFERROR(__xludf.DUMMYFUNCTION("if(ISBLANK(A197),"""",googlefinance(A197,""Marketcap"")/10000000)"),"")</f>
        <v/>
      </c>
      <c r="L197" s="309" t="str">
        <f t="shared" si="3"/>
        <v/>
      </c>
      <c r="M197" s="308" t="str">
        <f t="shared" si="4"/>
        <v/>
      </c>
      <c r="N197" s="309" t="str">
        <f t="shared" si="5"/>
        <v/>
      </c>
      <c r="O197" s="322" t="str">
        <f t="shared" si="6"/>
        <v/>
      </c>
      <c r="P197" s="308" t="str">
        <f t="shared" si="7"/>
        <v/>
      </c>
      <c r="Q197" s="311" t="str">
        <f t="shared" si="8"/>
        <v/>
      </c>
      <c r="R197" s="309" t="str">
        <f t="shared" si="9"/>
        <v/>
      </c>
      <c r="S197" s="308" t="str">
        <f t="shared" si="10"/>
        <v/>
      </c>
      <c r="T197" s="309" t="str">
        <f t="shared" si="11"/>
        <v/>
      </c>
      <c r="U197" s="309" t="str">
        <f t="shared" si="12"/>
        <v/>
      </c>
      <c r="V197" s="308" t="str">
        <f t="shared" si="13"/>
        <v/>
      </c>
      <c r="W197" s="309" t="str">
        <f t="shared" si="14"/>
        <v/>
      </c>
      <c r="X197" s="309" t="str">
        <f t="shared" si="15"/>
        <v/>
      </c>
      <c r="Y197" s="308" t="str">
        <f t="shared" si="16"/>
        <v/>
      </c>
      <c r="Z197" s="309" t="str">
        <f t="shared" si="17"/>
        <v/>
      </c>
      <c r="AA197" s="312" t="str">
        <f t="shared" si="18"/>
        <v/>
      </c>
      <c r="AB197" s="308" t="str">
        <f t="shared" si="19"/>
        <v/>
      </c>
      <c r="AC197" s="308" t="str">
        <f t="shared" si="20"/>
        <v/>
      </c>
      <c r="AD197" s="312" t="str">
        <f t="shared" si="21"/>
        <v/>
      </c>
      <c r="AE197" s="308" t="str">
        <f t="shared" si="22"/>
        <v/>
      </c>
      <c r="AF197" s="313" t="str">
        <f t="shared" si="23"/>
        <v/>
      </c>
      <c r="AG197" s="304" t="str">
        <f t="shared" si="24"/>
        <v/>
      </c>
      <c r="AH197" s="308" t="str">
        <f t="shared" si="25"/>
        <v/>
      </c>
      <c r="AI197" s="313" t="str">
        <f t="shared" si="26"/>
        <v/>
      </c>
      <c r="AJ197" s="304" t="str">
        <f t="shared" si="27"/>
        <v/>
      </c>
      <c r="AK197" s="308" t="str">
        <f t="shared" si="28"/>
        <v/>
      </c>
      <c r="AL197" s="308" t="str">
        <f t="shared" si="29"/>
        <v/>
      </c>
      <c r="AM197" s="304" t="str">
        <f t="shared" si="30"/>
        <v/>
      </c>
      <c r="AN197" s="308" t="str">
        <f t="shared" si="31"/>
        <v/>
      </c>
      <c r="AO197" s="313" t="str">
        <f t="shared" si="32"/>
        <v/>
      </c>
      <c r="AP197" s="304" t="str">
        <f t="shared" si="33"/>
        <v/>
      </c>
      <c r="AQ197" s="308" t="str">
        <f t="shared" si="34"/>
        <v/>
      </c>
      <c r="AR197" s="313" t="str">
        <f t="shared" si="35"/>
        <v/>
      </c>
      <c r="AS197" s="304" t="str">
        <f t="shared" si="36"/>
        <v/>
      </c>
      <c r="AT197" s="308" t="str">
        <f t="shared" si="37"/>
        <v/>
      </c>
      <c r="AU197" s="308" t="str">
        <f t="shared" si="38"/>
        <v/>
      </c>
      <c r="AV197" s="304" t="str">
        <f t="shared" si="39"/>
        <v/>
      </c>
      <c r="AW197" s="308" t="str">
        <f t="shared" si="40"/>
        <v/>
      </c>
      <c r="AX197" s="308" t="str">
        <f t="shared" si="41"/>
        <v/>
      </c>
      <c r="AY197" s="304" t="str">
        <f t="shared" si="42"/>
        <v/>
      </c>
      <c r="AZ197" s="308" t="str">
        <f t="shared" si="43"/>
        <v/>
      </c>
      <c r="BA197" s="313" t="str">
        <f t="shared" si="44"/>
        <v/>
      </c>
      <c r="BB197" s="304" t="str">
        <f t="shared" si="45"/>
        <v/>
      </c>
      <c r="BC197" s="308" t="str">
        <f t="shared" si="46"/>
        <v/>
      </c>
      <c r="BD197" s="308" t="str">
        <f t="shared" si="47"/>
        <v/>
      </c>
    </row>
    <row r="198">
      <c r="A198" s="298"/>
      <c r="B198" s="299"/>
      <c r="C198" s="300"/>
      <c r="D198" s="301" t="str">
        <f>IFERROR(__xludf.DUMMYFUNCTION("if(ISBLANK(A198),"""",GOOGLEFINANCE(A198,""NAME""))"),"")</f>
        <v/>
      </c>
      <c r="E198" s="302">
        <v>5000.0</v>
      </c>
      <c r="F198" s="303" t="str">
        <f>IFERROR(__xludf.DUMMYFUNCTION("if(ISBLANK(A198),"""",GOOGLEFINANCE(A198,""HIGH52""))"),"")</f>
        <v/>
      </c>
      <c r="G198" s="303" t="str">
        <f>IFERROR(__xludf.DUMMYFUNCTION("if(ISBLANK(A198),"""",GOOGLEFINANCE(A198,""LOW52""))"),"")</f>
        <v/>
      </c>
      <c r="H198" s="304" t="str">
        <f>IFERROR(__xludf.DUMMYFUNCTION("if(ISBLANK(A198),"""",GOOGLEFINANCE(A198,""Price""))"),"")</f>
        <v/>
      </c>
      <c r="I198" s="305" t="str">
        <f t="shared" si="1"/>
        <v/>
      </c>
      <c r="J198" s="306" t="str">
        <f t="shared" si="2"/>
        <v/>
      </c>
      <c r="K198" s="307" t="str">
        <f>IFERROR(__xludf.DUMMYFUNCTION("if(ISBLANK(A198),"""",googlefinance(A198,""Marketcap"")/10000000)"),"")</f>
        <v/>
      </c>
      <c r="L198" s="309" t="str">
        <f t="shared" si="3"/>
        <v/>
      </c>
      <c r="M198" s="308" t="str">
        <f t="shared" si="4"/>
        <v/>
      </c>
      <c r="N198" s="309" t="str">
        <f t="shared" si="5"/>
        <v/>
      </c>
      <c r="O198" s="322" t="str">
        <f t="shared" si="6"/>
        <v/>
      </c>
      <c r="P198" s="308" t="str">
        <f t="shared" si="7"/>
        <v/>
      </c>
      <c r="Q198" s="311" t="str">
        <f t="shared" si="8"/>
        <v/>
      </c>
      <c r="R198" s="309" t="str">
        <f t="shared" si="9"/>
        <v/>
      </c>
      <c r="S198" s="308" t="str">
        <f t="shared" si="10"/>
        <v/>
      </c>
      <c r="T198" s="309" t="str">
        <f t="shared" si="11"/>
        <v/>
      </c>
      <c r="U198" s="309" t="str">
        <f t="shared" si="12"/>
        <v/>
      </c>
      <c r="V198" s="308" t="str">
        <f t="shared" si="13"/>
        <v/>
      </c>
      <c r="W198" s="309" t="str">
        <f t="shared" si="14"/>
        <v/>
      </c>
      <c r="X198" s="309" t="str">
        <f t="shared" si="15"/>
        <v/>
      </c>
      <c r="Y198" s="308" t="str">
        <f t="shared" si="16"/>
        <v/>
      </c>
      <c r="Z198" s="309" t="str">
        <f t="shared" si="17"/>
        <v/>
      </c>
      <c r="AA198" s="312" t="str">
        <f t="shared" si="18"/>
        <v/>
      </c>
      <c r="AB198" s="308" t="str">
        <f t="shared" si="19"/>
        <v/>
      </c>
      <c r="AC198" s="308" t="str">
        <f t="shared" si="20"/>
        <v/>
      </c>
      <c r="AD198" s="312" t="str">
        <f t="shared" si="21"/>
        <v/>
      </c>
      <c r="AE198" s="308" t="str">
        <f t="shared" si="22"/>
        <v/>
      </c>
      <c r="AF198" s="313" t="str">
        <f t="shared" si="23"/>
        <v/>
      </c>
      <c r="AG198" s="304" t="str">
        <f t="shared" si="24"/>
        <v/>
      </c>
      <c r="AH198" s="308" t="str">
        <f t="shared" si="25"/>
        <v/>
      </c>
      <c r="AI198" s="313" t="str">
        <f t="shared" si="26"/>
        <v/>
      </c>
      <c r="AJ198" s="304" t="str">
        <f t="shared" si="27"/>
        <v/>
      </c>
      <c r="AK198" s="308" t="str">
        <f t="shared" si="28"/>
        <v/>
      </c>
      <c r="AL198" s="308" t="str">
        <f t="shared" si="29"/>
        <v/>
      </c>
      <c r="AM198" s="304" t="str">
        <f t="shared" si="30"/>
        <v/>
      </c>
      <c r="AN198" s="308" t="str">
        <f t="shared" si="31"/>
        <v/>
      </c>
      <c r="AO198" s="313" t="str">
        <f t="shared" si="32"/>
        <v/>
      </c>
      <c r="AP198" s="304" t="str">
        <f t="shared" si="33"/>
        <v/>
      </c>
      <c r="AQ198" s="308" t="str">
        <f t="shared" si="34"/>
        <v/>
      </c>
      <c r="AR198" s="313" t="str">
        <f t="shared" si="35"/>
        <v/>
      </c>
      <c r="AS198" s="304" t="str">
        <f t="shared" si="36"/>
        <v/>
      </c>
      <c r="AT198" s="308" t="str">
        <f t="shared" si="37"/>
        <v/>
      </c>
      <c r="AU198" s="308" t="str">
        <f t="shared" si="38"/>
        <v/>
      </c>
      <c r="AV198" s="304" t="str">
        <f t="shared" si="39"/>
        <v/>
      </c>
      <c r="AW198" s="308" t="str">
        <f t="shared" si="40"/>
        <v/>
      </c>
      <c r="AX198" s="308" t="str">
        <f t="shared" si="41"/>
        <v/>
      </c>
      <c r="AY198" s="304" t="str">
        <f t="shared" si="42"/>
        <v/>
      </c>
      <c r="AZ198" s="308" t="str">
        <f t="shared" si="43"/>
        <v/>
      </c>
      <c r="BA198" s="313" t="str">
        <f t="shared" si="44"/>
        <v/>
      </c>
      <c r="BB198" s="304" t="str">
        <f t="shared" si="45"/>
        <v/>
      </c>
      <c r="BC198" s="308" t="str">
        <f t="shared" si="46"/>
        <v/>
      </c>
      <c r="BD198" s="308" t="str">
        <f t="shared" si="47"/>
        <v/>
      </c>
    </row>
    <row r="199">
      <c r="A199" s="298"/>
      <c r="B199" s="299"/>
      <c r="C199" s="300"/>
      <c r="D199" s="301" t="str">
        <f>IFERROR(__xludf.DUMMYFUNCTION("if(ISBLANK(A199),"""",GOOGLEFINANCE(A199,""NAME""))"),"")</f>
        <v/>
      </c>
      <c r="E199" s="302">
        <v>5000.0</v>
      </c>
      <c r="F199" s="303" t="str">
        <f>IFERROR(__xludf.DUMMYFUNCTION("if(ISBLANK(A199),"""",GOOGLEFINANCE(A199,""HIGH52""))"),"")</f>
        <v/>
      </c>
      <c r="G199" s="303" t="str">
        <f>IFERROR(__xludf.DUMMYFUNCTION("if(ISBLANK(A199),"""",GOOGLEFINANCE(A199,""LOW52""))"),"")</f>
        <v/>
      </c>
      <c r="H199" s="304" t="str">
        <f>IFERROR(__xludf.DUMMYFUNCTION("if(ISBLANK(A199),"""",GOOGLEFINANCE(A199,""Price""))"),"")</f>
        <v/>
      </c>
      <c r="I199" s="305" t="str">
        <f t="shared" si="1"/>
        <v/>
      </c>
      <c r="J199" s="306" t="str">
        <f t="shared" si="2"/>
        <v/>
      </c>
      <c r="K199" s="307" t="str">
        <f>IFERROR(__xludf.DUMMYFUNCTION("if(ISBLANK(A199),"""",googlefinance(A199,""Marketcap"")/10000000)"),"")</f>
        <v/>
      </c>
      <c r="L199" s="309" t="str">
        <f t="shared" si="3"/>
        <v/>
      </c>
      <c r="M199" s="308" t="str">
        <f t="shared" si="4"/>
        <v/>
      </c>
      <c r="N199" s="309" t="str">
        <f t="shared" si="5"/>
        <v/>
      </c>
      <c r="O199" s="322" t="str">
        <f t="shared" si="6"/>
        <v/>
      </c>
      <c r="P199" s="308" t="str">
        <f t="shared" si="7"/>
        <v/>
      </c>
      <c r="Q199" s="311" t="str">
        <f t="shared" si="8"/>
        <v/>
      </c>
      <c r="R199" s="309" t="str">
        <f t="shared" si="9"/>
        <v/>
      </c>
      <c r="S199" s="308" t="str">
        <f t="shared" si="10"/>
        <v/>
      </c>
      <c r="T199" s="309" t="str">
        <f t="shared" si="11"/>
        <v/>
      </c>
      <c r="U199" s="309" t="str">
        <f t="shared" si="12"/>
        <v/>
      </c>
      <c r="V199" s="308" t="str">
        <f t="shared" si="13"/>
        <v/>
      </c>
      <c r="W199" s="309" t="str">
        <f t="shared" si="14"/>
        <v/>
      </c>
      <c r="X199" s="309" t="str">
        <f t="shared" si="15"/>
        <v/>
      </c>
      <c r="Y199" s="308" t="str">
        <f t="shared" si="16"/>
        <v/>
      </c>
      <c r="Z199" s="309" t="str">
        <f t="shared" si="17"/>
        <v/>
      </c>
      <c r="AA199" s="312" t="str">
        <f t="shared" si="18"/>
        <v/>
      </c>
      <c r="AB199" s="308" t="str">
        <f t="shared" si="19"/>
        <v/>
      </c>
      <c r="AC199" s="308" t="str">
        <f t="shared" si="20"/>
        <v/>
      </c>
      <c r="AD199" s="312" t="str">
        <f t="shared" si="21"/>
        <v/>
      </c>
      <c r="AE199" s="308" t="str">
        <f t="shared" si="22"/>
        <v/>
      </c>
      <c r="AF199" s="313" t="str">
        <f t="shared" si="23"/>
        <v/>
      </c>
      <c r="AG199" s="304" t="str">
        <f t="shared" si="24"/>
        <v/>
      </c>
      <c r="AH199" s="308" t="str">
        <f t="shared" si="25"/>
        <v/>
      </c>
      <c r="AI199" s="313" t="str">
        <f t="shared" si="26"/>
        <v/>
      </c>
      <c r="AJ199" s="304" t="str">
        <f t="shared" si="27"/>
        <v/>
      </c>
      <c r="AK199" s="308" t="str">
        <f t="shared" si="28"/>
        <v/>
      </c>
      <c r="AL199" s="308" t="str">
        <f t="shared" si="29"/>
        <v/>
      </c>
      <c r="AM199" s="304" t="str">
        <f t="shared" si="30"/>
        <v/>
      </c>
      <c r="AN199" s="308" t="str">
        <f t="shared" si="31"/>
        <v/>
      </c>
      <c r="AO199" s="313" t="str">
        <f t="shared" si="32"/>
        <v/>
      </c>
      <c r="AP199" s="304" t="str">
        <f t="shared" si="33"/>
        <v/>
      </c>
      <c r="AQ199" s="308" t="str">
        <f t="shared" si="34"/>
        <v/>
      </c>
      <c r="AR199" s="313" t="str">
        <f t="shared" si="35"/>
        <v/>
      </c>
      <c r="AS199" s="304" t="str">
        <f t="shared" si="36"/>
        <v/>
      </c>
      <c r="AT199" s="308" t="str">
        <f t="shared" si="37"/>
        <v/>
      </c>
      <c r="AU199" s="308" t="str">
        <f t="shared" si="38"/>
        <v/>
      </c>
      <c r="AV199" s="304" t="str">
        <f t="shared" si="39"/>
        <v/>
      </c>
      <c r="AW199" s="308" t="str">
        <f t="shared" si="40"/>
        <v/>
      </c>
      <c r="AX199" s="308" t="str">
        <f t="shared" si="41"/>
        <v/>
      </c>
      <c r="AY199" s="304" t="str">
        <f t="shared" si="42"/>
        <v/>
      </c>
      <c r="AZ199" s="308" t="str">
        <f t="shared" si="43"/>
        <v/>
      </c>
      <c r="BA199" s="313" t="str">
        <f t="shared" si="44"/>
        <v/>
      </c>
      <c r="BB199" s="304" t="str">
        <f t="shared" si="45"/>
        <v/>
      </c>
      <c r="BC199" s="308" t="str">
        <f t="shared" si="46"/>
        <v/>
      </c>
      <c r="BD199" s="308" t="str">
        <f t="shared" si="47"/>
        <v/>
      </c>
    </row>
    <row r="200">
      <c r="A200" s="298"/>
      <c r="B200" s="299"/>
      <c r="C200" s="300"/>
      <c r="D200" s="301" t="str">
        <f>IFERROR(__xludf.DUMMYFUNCTION("if(ISBLANK(A200),"""",GOOGLEFINANCE(A200,""NAME""))"),"")</f>
        <v/>
      </c>
      <c r="E200" s="302">
        <v>5000.0</v>
      </c>
      <c r="F200" s="303" t="str">
        <f>IFERROR(__xludf.DUMMYFUNCTION("if(ISBLANK(A200),"""",GOOGLEFINANCE(A200,""HIGH52""))"),"")</f>
        <v/>
      </c>
      <c r="G200" s="303" t="str">
        <f>IFERROR(__xludf.DUMMYFUNCTION("if(ISBLANK(A200),"""",GOOGLEFINANCE(A200,""LOW52""))"),"")</f>
        <v/>
      </c>
      <c r="H200" s="304" t="str">
        <f>IFERROR(__xludf.DUMMYFUNCTION("if(ISBLANK(A200),"""",GOOGLEFINANCE(A200,""Price""))"),"")</f>
        <v/>
      </c>
      <c r="I200" s="305" t="str">
        <f t="shared" si="1"/>
        <v/>
      </c>
      <c r="J200" s="306" t="str">
        <f t="shared" si="2"/>
        <v/>
      </c>
      <c r="K200" s="307" t="str">
        <f>IFERROR(__xludf.DUMMYFUNCTION("if(ISBLANK(A200),"""",googlefinance(A200,""Marketcap"")/10000000)"),"")</f>
        <v/>
      </c>
      <c r="L200" s="309" t="str">
        <f t="shared" si="3"/>
        <v/>
      </c>
      <c r="M200" s="308" t="str">
        <f t="shared" si="4"/>
        <v/>
      </c>
      <c r="N200" s="309" t="str">
        <f t="shared" si="5"/>
        <v/>
      </c>
      <c r="O200" s="322" t="str">
        <f t="shared" si="6"/>
        <v/>
      </c>
      <c r="P200" s="308" t="str">
        <f t="shared" si="7"/>
        <v/>
      </c>
      <c r="Q200" s="311" t="str">
        <f t="shared" si="8"/>
        <v/>
      </c>
      <c r="R200" s="309" t="str">
        <f t="shared" si="9"/>
        <v/>
      </c>
      <c r="S200" s="308" t="str">
        <f t="shared" si="10"/>
        <v/>
      </c>
      <c r="T200" s="309" t="str">
        <f t="shared" si="11"/>
        <v/>
      </c>
      <c r="U200" s="309" t="str">
        <f t="shared" si="12"/>
        <v/>
      </c>
      <c r="V200" s="308" t="str">
        <f t="shared" si="13"/>
        <v/>
      </c>
      <c r="W200" s="309" t="str">
        <f t="shared" si="14"/>
        <v/>
      </c>
      <c r="X200" s="309" t="str">
        <f t="shared" si="15"/>
        <v/>
      </c>
      <c r="Y200" s="308" t="str">
        <f t="shared" si="16"/>
        <v/>
      </c>
      <c r="Z200" s="309" t="str">
        <f t="shared" si="17"/>
        <v/>
      </c>
      <c r="AA200" s="312" t="str">
        <f t="shared" si="18"/>
        <v/>
      </c>
      <c r="AB200" s="308" t="str">
        <f t="shared" si="19"/>
        <v/>
      </c>
      <c r="AC200" s="308" t="str">
        <f t="shared" si="20"/>
        <v/>
      </c>
      <c r="AD200" s="312" t="str">
        <f t="shared" si="21"/>
        <v/>
      </c>
      <c r="AE200" s="308" t="str">
        <f t="shared" si="22"/>
        <v/>
      </c>
      <c r="AF200" s="313" t="str">
        <f t="shared" si="23"/>
        <v/>
      </c>
      <c r="AG200" s="304" t="str">
        <f t="shared" si="24"/>
        <v/>
      </c>
      <c r="AH200" s="308" t="str">
        <f t="shared" si="25"/>
        <v/>
      </c>
      <c r="AI200" s="313" t="str">
        <f t="shared" si="26"/>
        <v/>
      </c>
      <c r="AJ200" s="304" t="str">
        <f t="shared" si="27"/>
        <v/>
      </c>
      <c r="AK200" s="308" t="str">
        <f t="shared" si="28"/>
        <v/>
      </c>
      <c r="AL200" s="308" t="str">
        <f t="shared" si="29"/>
        <v/>
      </c>
      <c r="AM200" s="304" t="str">
        <f t="shared" si="30"/>
        <v/>
      </c>
      <c r="AN200" s="308" t="str">
        <f t="shared" si="31"/>
        <v/>
      </c>
      <c r="AO200" s="313" t="str">
        <f t="shared" si="32"/>
        <v/>
      </c>
      <c r="AP200" s="304" t="str">
        <f t="shared" si="33"/>
        <v/>
      </c>
      <c r="AQ200" s="308" t="str">
        <f t="shared" si="34"/>
        <v/>
      </c>
      <c r="AR200" s="313" t="str">
        <f t="shared" si="35"/>
        <v/>
      </c>
      <c r="AS200" s="304" t="str">
        <f t="shared" si="36"/>
        <v/>
      </c>
      <c r="AT200" s="308" t="str">
        <f t="shared" si="37"/>
        <v/>
      </c>
      <c r="AU200" s="308" t="str">
        <f t="shared" si="38"/>
        <v/>
      </c>
      <c r="AV200" s="304" t="str">
        <f t="shared" si="39"/>
        <v/>
      </c>
      <c r="AW200" s="308" t="str">
        <f t="shared" si="40"/>
        <v/>
      </c>
      <c r="AX200" s="308" t="str">
        <f t="shared" si="41"/>
        <v/>
      </c>
      <c r="AY200" s="304" t="str">
        <f t="shared" si="42"/>
        <v/>
      </c>
      <c r="AZ200" s="308" t="str">
        <f t="shared" si="43"/>
        <v/>
      </c>
      <c r="BA200" s="313" t="str">
        <f t="shared" si="44"/>
        <v/>
      </c>
      <c r="BB200" s="304" t="str">
        <f t="shared" si="45"/>
        <v/>
      </c>
      <c r="BC200" s="308" t="str">
        <f t="shared" si="46"/>
        <v/>
      </c>
      <c r="BD200" s="308" t="str">
        <f t="shared" si="47"/>
        <v/>
      </c>
    </row>
    <row r="201">
      <c r="A201" s="298"/>
      <c r="B201" s="299"/>
      <c r="C201" s="300"/>
      <c r="D201" s="301" t="str">
        <f>IFERROR(__xludf.DUMMYFUNCTION("if(ISBLANK(A201),"""",GOOGLEFINANCE(A201,""NAME""))"),"")</f>
        <v/>
      </c>
      <c r="E201" s="302">
        <v>5000.0</v>
      </c>
      <c r="F201" s="303" t="str">
        <f>IFERROR(__xludf.DUMMYFUNCTION("if(ISBLANK(A201),"""",GOOGLEFINANCE(A201,""HIGH52""))"),"")</f>
        <v/>
      </c>
      <c r="G201" s="303" t="str">
        <f>IFERROR(__xludf.DUMMYFUNCTION("if(ISBLANK(A201),"""",GOOGLEFINANCE(A201,""LOW52""))"),"")</f>
        <v/>
      </c>
      <c r="H201" s="304" t="str">
        <f>IFERROR(__xludf.DUMMYFUNCTION("if(ISBLANK(A201),"""",GOOGLEFINANCE(A201,""Price""))"),"")</f>
        <v/>
      </c>
      <c r="I201" s="305" t="str">
        <f t="shared" si="1"/>
        <v/>
      </c>
      <c r="J201" s="306" t="str">
        <f t="shared" si="2"/>
        <v/>
      </c>
      <c r="K201" s="307" t="str">
        <f>IFERROR(__xludf.DUMMYFUNCTION("if(ISBLANK(A201),"""",googlefinance(A201,""Marketcap"")/10000000)"),"")</f>
        <v/>
      </c>
      <c r="L201" s="309" t="str">
        <f t="shared" si="3"/>
        <v/>
      </c>
      <c r="M201" s="308" t="str">
        <f t="shared" si="4"/>
        <v/>
      </c>
      <c r="N201" s="309" t="str">
        <f t="shared" si="5"/>
        <v/>
      </c>
      <c r="O201" s="322" t="str">
        <f t="shared" si="6"/>
        <v/>
      </c>
      <c r="P201" s="308" t="str">
        <f t="shared" si="7"/>
        <v/>
      </c>
      <c r="Q201" s="311" t="str">
        <f t="shared" si="8"/>
        <v/>
      </c>
      <c r="R201" s="309" t="str">
        <f t="shared" si="9"/>
        <v/>
      </c>
      <c r="S201" s="308" t="str">
        <f t="shared" si="10"/>
        <v/>
      </c>
      <c r="T201" s="309" t="str">
        <f t="shared" si="11"/>
        <v/>
      </c>
      <c r="U201" s="309" t="str">
        <f t="shared" si="12"/>
        <v/>
      </c>
      <c r="V201" s="308" t="str">
        <f t="shared" si="13"/>
        <v/>
      </c>
      <c r="W201" s="309" t="str">
        <f t="shared" si="14"/>
        <v/>
      </c>
      <c r="X201" s="309" t="str">
        <f t="shared" si="15"/>
        <v/>
      </c>
      <c r="Y201" s="308" t="str">
        <f t="shared" si="16"/>
        <v/>
      </c>
      <c r="Z201" s="309" t="str">
        <f t="shared" si="17"/>
        <v/>
      </c>
      <c r="AA201" s="312" t="str">
        <f t="shared" si="18"/>
        <v/>
      </c>
      <c r="AB201" s="308" t="str">
        <f t="shared" si="19"/>
        <v/>
      </c>
      <c r="AC201" s="308" t="str">
        <f t="shared" si="20"/>
        <v/>
      </c>
      <c r="AD201" s="312" t="str">
        <f t="shared" si="21"/>
        <v/>
      </c>
      <c r="AE201" s="308" t="str">
        <f t="shared" si="22"/>
        <v/>
      </c>
      <c r="AF201" s="313" t="str">
        <f t="shared" si="23"/>
        <v/>
      </c>
      <c r="AG201" s="304" t="str">
        <f t="shared" si="24"/>
        <v/>
      </c>
      <c r="AH201" s="308" t="str">
        <f t="shared" si="25"/>
        <v/>
      </c>
      <c r="AI201" s="313" t="str">
        <f t="shared" si="26"/>
        <v/>
      </c>
      <c r="AJ201" s="304" t="str">
        <f t="shared" si="27"/>
        <v/>
      </c>
      <c r="AK201" s="308" t="str">
        <f t="shared" si="28"/>
        <v/>
      </c>
      <c r="AL201" s="308" t="str">
        <f t="shared" si="29"/>
        <v/>
      </c>
      <c r="AM201" s="304" t="str">
        <f t="shared" si="30"/>
        <v/>
      </c>
      <c r="AN201" s="308" t="str">
        <f t="shared" si="31"/>
        <v/>
      </c>
      <c r="AO201" s="313" t="str">
        <f t="shared" si="32"/>
        <v/>
      </c>
      <c r="AP201" s="304" t="str">
        <f t="shared" si="33"/>
        <v/>
      </c>
      <c r="AQ201" s="308" t="str">
        <f t="shared" si="34"/>
        <v/>
      </c>
      <c r="AR201" s="313" t="str">
        <f t="shared" si="35"/>
        <v/>
      </c>
      <c r="AS201" s="304" t="str">
        <f t="shared" si="36"/>
        <v/>
      </c>
      <c r="AT201" s="308" t="str">
        <f t="shared" si="37"/>
        <v/>
      </c>
      <c r="AU201" s="308" t="str">
        <f t="shared" si="38"/>
        <v/>
      </c>
      <c r="AV201" s="304" t="str">
        <f t="shared" si="39"/>
        <v/>
      </c>
      <c r="AW201" s="308" t="str">
        <f t="shared" si="40"/>
        <v/>
      </c>
      <c r="AX201" s="308" t="str">
        <f t="shared" si="41"/>
        <v/>
      </c>
      <c r="AY201" s="304" t="str">
        <f t="shared" si="42"/>
        <v/>
      </c>
      <c r="AZ201" s="308" t="str">
        <f t="shared" si="43"/>
        <v/>
      </c>
      <c r="BA201" s="313" t="str">
        <f t="shared" si="44"/>
        <v/>
      </c>
      <c r="BB201" s="304" t="str">
        <f t="shared" si="45"/>
        <v/>
      </c>
      <c r="BC201" s="308" t="str">
        <f t="shared" si="46"/>
        <v/>
      </c>
      <c r="BD201" s="308" t="str">
        <f t="shared" si="47"/>
        <v/>
      </c>
    </row>
    <row r="202">
      <c r="A202" s="298"/>
      <c r="B202" s="299"/>
      <c r="C202" s="300"/>
      <c r="D202" s="301" t="str">
        <f>IFERROR(__xludf.DUMMYFUNCTION("if(ISBLANK(A202),"""",GOOGLEFINANCE(A202,""NAME""))"),"")</f>
        <v/>
      </c>
      <c r="E202" s="302">
        <v>5000.0</v>
      </c>
      <c r="F202" s="303" t="str">
        <f>IFERROR(__xludf.DUMMYFUNCTION("if(ISBLANK(A202),"""",GOOGLEFINANCE(A202,""HIGH52""))"),"")</f>
        <v/>
      </c>
      <c r="G202" s="303" t="str">
        <f>IFERROR(__xludf.DUMMYFUNCTION("if(ISBLANK(A202),"""",GOOGLEFINANCE(A202,""LOW52""))"),"")</f>
        <v/>
      </c>
      <c r="H202" s="304" t="str">
        <f>IFERROR(__xludf.DUMMYFUNCTION("if(ISBLANK(A202),"""",GOOGLEFINANCE(A202,""Price""))"),"")</f>
        <v/>
      </c>
      <c r="I202" s="305" t="str">
        <f t="shared" si="1"/>
        <v/>
      </c>
      <c r="J202" s="306" t="str">
        <f t="shared" si="2"/>
        <v/>
      </c>
      <c r="K202" s="307" t="str">
        <f>IFERROR(__xludf.DUMMYFUNCTION("if(ISBLANK(A202),"""",googlefinance(A202,""Marketcap"")/10000000)"),"")</f>
        <v/>
      </c>
      <c r="L202" s="309" t="str">
        <f t="shared" si="3"/>
        <v/>
      </c>
      <c r="M202" s="308" t="str">
        <f t="shared" si="4"/>
        <v/>
      </c>
      <c r="N202" s="309" t="str">
        <f t="shared" si="5"/>
        <v/>
      </c>
      <c r="O202" s="322" t="str">
        <f t="shared" si="6"/>
        <v/>
      </c>
      <c r="P202" s="308" t="str">
        <f t="shared" si="7"/>
        <v/>
      </c>
      <c r="Q202" s="311" t="str">
        <f t="shared" si="8"/>
        <v/>
      </c>
      <c r="R202" s="309" t="str">
        <f t="shared" si="9"/>
        <v/>
      </c>
      <c r="S202" s="308" t="str">
        <f t="shared" si="10"/>
        <v/>
      </c>
      <c r="T202" s="309" t="str">
        <f t="shared" si="11"/>
        <v/>
      </c>
      <c r="U202" s="309" t="str">
        <f t="shared" si="12"/>
        <v/>
      </c>
      <c r="V202" s="308" t="str">
        <f t="shared" si="13"/>
        <v/>
      </c>
      <c r="W202" s="309" t="str">
        <f t="shared" si="14"/>
        <v/>
      </c>
      <c r="X202" s="309" t="str">
        <f t="shared" si="15"/>
        <v/>
      </c>
      <c r="Y202" s="308" t="str">
        <f t="shared" si="16"/>
        <v/>
      </c>
      <c r="Z202" s="309" t="str">
        <f t="shared" si="17"/>
        <v/>
      </c>
      <c r="AA202" s="312" t="str">
        <f t="shared" si="18"/>
        <v/>
      </c>
      <c r="AB202" s="308" t="str">
        <f t="shared" si="19"/>
        <v/>
      </c>
      <c r="AC202" s="308" t="str">
        <f t="shared" si="20"/>
        <v/>
      </c>
      <c r="AD202" s="312" t="str">
        <f t="shared" si="21"/>
        <v/>
      </c>
      <c r="AE202" s="308" t="str">
        <f t="shared" si="22"/>
        <v/>
      </c>
      <c r="AF202" s="313" t="str">
        <f t="shared" si="23"/>
        <v/>
      </c>
      <c r="AG202" s="304" t="str">
        <f t="shared" si="24"/>
        <v/>
      </c>
      <c r="AH202" s="308" t="str">
        <f t="shared" si="25"/>
        <v/>
      </c>
      <c r="AI202" s="313" t="str">
        <f t="shared" si="26"/>
        <v/>
      </c>
      <c r="AJ202" s="304" t="str">
        <f t="shared" si="27"/>
        <v/>
      </c>
      <c r="AK202" s="308" t="str">
        <f t="shared" si="28"/>
        <v/>
      </c>
      <c r="AL202" s="308" t="str">
        <f t="shared" si="29"/>
        <v/>
      </c>
      <c r="AM202" s="304" t="str">
        <f t="shared" si="30"/>
        <v/>
      </c>
      <c r="AN202" s="308" t="str">
        <f t="shared" si="31"/>
        <v/>
      </c>
      <c r="AO202" s="313" t="str">
        <f t="shared" si="32"/>
        <v/>
      </c>
      <c r="AP202" s="304" t="str">
        <f t="shared" si="33"/>
        <v/>
      </c>
      <c r="AQ202" s="308" t="str">
        <f t="shared" si="34"/>
        <v/>
      </c>
      <c r="AR202" s="313" t="str">
        <f t="shared" si="35"/>
        <v/>
      </c>
      <c r="AS202" s="304" t="str">
        <f t="shared" si="36"/>
        <v/>
      </c>
      <c r="AT202" s="308" t="str">
        <f t="shared" si="37"/>
        <v/>
      </c>
      <c r="AU202" s="308" t="str">
        <f t="shared" si="38"/>
        <v/>
      </c>
      <c r="AV202" s="304" t="str">
        <f t="shared" si="39"/>
        <v/>
      </c>
      <c r="AW202" s="308" t="str">
        <f t="shared" si="40"/>
        <v/>
      </c>
      <c r="AX202" s="308" t="str">
        <f t="shared" si="41"/>
        <v/>
      </c>
      <c r="AY202" s="304" t="str">
        <f t="shared" si="42"/>
        <v/>
      </c>
      <c r="AZ202" s="308" t="str">
        <f t="shared" si="43"/>
        <v/>
      </c>
      <c r="BA202" s="313" t="str">
        <f t="shared" si="44"/>
        <v/>
      </c>
      <c r="BB202" s="304" t="str">
        <f t="shared" si="45"/>
        <v/>
      </c>
      <c r="BC202" s="308" t="str">
        <f t="shared" si="46"/>
        <v/>
      </c>
      <c r="BD202" s="308" t="str">
        <f t="shared" si="47"/>
        <v/>
      </c>
    </row>
    <row r="203">
      <c r="A203" s="298"/>
      <c r="B203" s="299"/>
      <c r="C203" s="300"/>
      <c r="D203" s="301" t="str">
        <f>IFERROR(__xludf.DUMMYFUNCTION("if(ISBLANK(A203),"""",GOOGLEFINANCE(A203,""NAME""))"),"")</f>
        <v/>
      </c>
      <c r="E203" s="302">
        <v>5000.0</v>
      </c>
      <c r="F203" s="303" t="str">
        <f>IFERROR(__xludf.DUMMYFUNCTION("if(ISBLANK(A203),"""",GOOGLEFINANCE(A203,""HIGH52""))"),"")</f>
        <v/>
      </c>
      <c r="G203" s="303" t="str">
        <f>IFERROR(__xludf.DUMMYFUNCTION("if(ISBLANK(A203),"""",GOOGLEFINANCE(A203,""LOW52""))"),"")</f>
        <v/>
      </c>
      <c r="H203" s="304" t="str">
        <f>IFERROR(__xludf.DUMMYFUNCTION("if(ISBLANK(A203),"""",GOOGLEFINANCE(A203,""Price""))"),"")</f>
        <v/>
      </c>
      <c r="I203" s="305" t="str">
        <f t="shared" si="1"/>
        <v/>
      </c>
      <c r="J203" s="306" t="str">
        <f t="shared" si="2"/>
        <v/>
      </c>
      <c r="K203" s="307" t="str">
        <f>IFERROR(__xludf.DUMMYFUNCTION("if(ISBLANK(A203),"""",googlefinance(A203,""Marketcap"")/10000000)"),"")</f>
        <v/>
      </c>
      <c r="L203" s="309" t="str">
        <f t="shared" si="3"/>
        <v/>
      </c>
      <c r="M203" s="308" t="str">
        <f t="shared" si="4"/>
        <v/>
      </c>
      <c r="N203" s="309" t="str">
        <f t="shared" si="5"/>
        <v/>
      </c>
      <c r="O203" s="322" t="str">
        <f t="shared" si="6"/>
        <v/>
      </c>
      <c r="P203" s="308" t="str">
        <f t="shared" si="7"/>
        <v/>
      </c>
      <c r="Q203" s="311" t="str">
        <f t="shared" si="8"/>
        <v/>
      </c>
      <c r="R203" s="309" t="str">
        <f t="shared" si="9"/>
        <v/>
      </c>
      <c r="S203" s="308" t="str">
        <f t="shared" si="10"/>
        <v/>
      </c>
      <c r="T203" s="309" t="str">
        <f t="shared" si="11"/>
        <v/>
      </c>
      <c r="U203" s="309" t="str">
        <f t="shared" si="12"/>
        <v/>
      </c>
      <c r="V203" s="308" t="str">
        <f t="shared" si="13"/>
        <v/>
      </c>
      <c r="W203" s="309" t="str">
        <f t="shared" si="14"/>
        <v/>
      </c>
      <c r="X203" s="309" t="str">
        <f t="shared" si="15"/>
        <v/>
      </c>
      <c r="Y203" s="308" t="str">
        <f t="shared" si="16"/>
        <v/>
      </c>
      <c r="Z203" s="309" t="str">
        <f t="shared" si="17"/>
        <v/>
      </c>
      <c r="AA203" s="312" t="str">
        <f t="shared" si="18"/>
        <v/>
      </c>
      <c r="AB203" s="308" t="str">
        <f t="shared" si="19"/>
        <v/>
      </c>
      <c r="AC203" s="308" t="str">
        <f t="shared" si="20"/>
        <v/>
      </c>
      <c r="AD203" s="312" t="str">
        <f t="shared" si="21"/>
        <v/>
      </c>
      <c r="AE203" s="308" t="str">
        <f t="shared" si="22"/>
        <v/>
      </c>
      <c r="AF203" s="313" t="str">
        <f t="shared" si="23"/>
        <v/>
      </c>
      <c r="AG203" s="304" t="str">
        <f t="shared" si="24"/>
        <v/>
      </c>
      <c r="AH203" s="308" t="str">
        <f t="shared" si="25"/>
        <v/>
      </c>
      <c r="AI203" s="313" t="str">
        <f t="shared" si="26"/>
        <v/>
      </c>
      <c r="AJ203" s="304" t="str">
        <f t="shared" si="27"/>
        <v/>
      </c>
      <c r="AK203" s="308" t="str">
        <f t="shared" si="28"/>
        <v/>
      </c>
      <c r="AL203" s="308" t="str">
        <f t="shared" si="29"/>
        <v/>
      </c>
      <c r="AM203" s="304" t="str">
        <f t="shared" si="30"/>
        <v/>
      </c>
      <c r="AN203" s="308" t="str">
        <f t="shared" si="31"/>
        <v/>
      </c>
      <c r="AO203" s="313" t="str">
        <f t="shared" si="32"/>
        <v/>
      </c>
      <c r="AP203" s="304" t="str">
        <f t="shared" si="33"/>
        <v/>
      </c>
      <c r="AQ203" s="308" t="str">
        <f t="shared" si="34"/>
        <v/>
      </c>
      <c r="AR203" s="313" t="str">
        <f t="shared" si="35"/>
        <v/>
      </c>
      <c r="AS203" s="304" t="str">
        <f t="shared" si="36"/>
        <v/>
      </c>
      <c r="AT203" s="308" t="str">
        <f t="shared" si="37"/>
        <v/>
      </c>
      <c r="AU203" s="308" t="str">
        <f t="shared" si="38"/>
        <v/>
      </c>
      <c r="AV203" s="304" t="str">
        <f t="shared" si="39"/>
        <v/>
      </c>
      <c r="AW203" s="308" t="str">
        <f t="shared" si="40"/>
        <v/>
      </c>
      <c r="AX203" s="308" t="str">
        <f t="shared" si="41"/>
        <v/>
      </c>
      <c r="AY203" s="304" t="str">
        <f t="shared" si="42"/>
        <v/>
      </c>
      <c r="AZ203" s="308" t="str">
        <f t="shared" si="43"/>
        <v/>
      </c>
      <c r="BA203" s="313" t="str">
        <f t="shared" si="44"/>
        <v/>
      </c>
      <c r="BB203" s="304" t="str">
        <f t="shared" si="45"/>
        <v/>
      </c>
      <c r="BC203" s="308" t="str">
        <f t="shared" si="46"/>
        <v/>
      </c>
      <c r="BD203" s="308" t="str">
        <f t="shared" si="47"/>
        <v/>
      </c>
    </row>
    <row r="204">
      <c r="A204" s="298"/>
      <c r="B204" s="299"/>
      <c r="C204" s="300"/>
      <c r="D204" s="301" t="str">
        <f>IFERROR(__xludf.DUMMYFUNCTION("if(ISBLANK(A204),"""",GOOGLEFINANCE(A204,""NAME""))"),"")</f>
        <v/>
      </c>
      <c r="E204" s="302">
        <v>5000.0</v>
      </c>
      <c r="F204" s="303" t="str">
        <f>IFERROR(__xludf.DUMMYFUNCTION("if(ISBLANK(A204),"""",GOOGLEFINANCE(A204,""HIGH52""))"),"")</f>
        <v/>
      </c>
      <c r="G204" s="303" t="str">
        <f>IFERROR(__xludf.DUMMYFUNCTION("if(ISBLANK(A204),"""",GOOGLEFINANCE(A204,""LOW52""))"),"")</f>
        <v/>
      </c>
      <c r="H204" s="304" t="str">
        <f>IFERROR(__xludf.DUMMYFUNCTION("if(ISBLANK(A204),"""",GOOGLEFINANCE(A204,""Price""))"),"")</f>
        <v/>
      </c>
      <c r="I204" s="305" t="str">
        <f t="shared" si="1"/>
        <v/>
      </c>
      <c r="J204" s="306" t="str">
        <f t="shared" si="2"/>
        <v/>
      </c>
      <c r="K204" s="307" t="str">
        <f>IFERROR(__xludf.DUMMYFUNCTION("if(ISBLANK(A204),"""",googlefinance(A204,""Marketcap"")/10000000)"),"")</f>
        <v/>
      </c>
      <c r="L204" s="309" t="str">
        <f t="shared" si="3"/>
        <v/>
      </c>
      <c r="M204" s="308" t="str">
        <f t="shared" si="4"/>
        <v/>
      </c>
      <c r="N204" s="309" t="str">
        <f t="shared" si="5"/>
        <v/>
      </c>
      <c r="O204" s="322" t="str">
        <f t="shared" si="6"/>
        <v/>
      </c>
      <c r="P204" s="308" t="str">
        <f t="shared" si="7"/>
        <v/>
      </c>
      <c r="Q204" s="311" t="str">
        <f t="shared" si="8"/>
        <v/>
      </c>
      <c r="R204" s="309" t="str">
        <f t="shared" si="9"/>
        <v/>
      </c>
      <c r="S204" s="308" t="str">
        <f t="shared" si="10"/>
        <v/>
      </c>
      <c r="T204" s="309" t="str">
        <f t="shared" si="11"/>
        <v/>
      </c>
      <c r="U204" s="309" t="str">
        <f t="shared" si="12"/>
        <v/>
      </c>
      <c r="V204" s="308" t="str">
        <f t="shared" si="13"/>
        <v/>
      </c>
      <c r="W204" s="309" t="str">
        <f t="shared" si="14"/>
        <v/>
      </c>
      <c r="X204" s="309" t="str">
        <f t="shared" si="15"/>
        <v/>
      </c>
      <c r="Y204" s="308" t="str">
        <f t="shared" si="16"/>
        <v/>
      </c>
      <c r="Z204" s="309" t="str">
        <f t="shared" si="17"/>
        <v/>
      </c>
      <c r="AA204" s="312" t="str">
        <f t="shared" si="18"/>
        <v/>
      </c>
      <c r="AB204" s="308" t="str">
        <f t="shared" si="19"/>
        <v/>
      </c>
      <c r="AC204" s="308" t="str">
        <f t="shared" si="20"/>
        <v/>
      </c>
      <c r="AD204" s="312" t="str">
        <f t="shared" si="21"/>
        <v/>
      </c>
      <c r="AE204" s="308" t="str">
        <f t="shared" si="22"/>
        <v/>
      </c>
      <c r="AF204" s="313" t="str">
        <f t="shared" si="23"/>
        <v/>
      </c>
      <c r="AG204" s="304" t="str">
        <f t="shared" si="24"/>
        <v/>
      </c>
      <c r="AH204" s="308" t="str">
        <f t="shared" si="25"/>
        <v/>
      </c>
      <c r="AI204" s="313" t="str">
        <f t="shared" si="26"/>
        <v/>
      </c>
      <c r="AJ204" s="304" t="str">
        <f t="shared" si="27"/>
        <v/>
      </c>
      <c r="AK204" s="308" t="str">
        <f t="shared" si="28"/>
        <v/>
      </c>
      <c r="AL204" s="308" t="str">
        <f t="shared" si="29"/>
        <v/>
      </c>
      <c r="AM204" s="304" t="str">
        <f t="shared" si="30"/>
        <v/>
      </c>
      <c r="AN204" s="308" t="str">
        <f t="shared" si="31"/>
        <v/>
      </c>
      <c r="AO204" s="313" t="str">
        <f t="shared" si="32"/>
        <v/>
      </c>
      <c r="AP204" s="304" t="str">
        <f t="shared" si="33"/>
        <v/>
      </c>
      <c r="AQ204" s="308" t="str">
        <f t="shared" si="34"/>
        <v/>
      </c>
      <c r="AR204" s="313" t="str">
        <f t="shared" si="35"/>
        <v/>
      </c>
      <c r="AS204" s="304" t="str">
        <f t="shared" si="36"/>
        <v/>
      </c>
      <c r="AT204" s="308" t="str">
        <f t="shared" si="37"/>
        <v/>
      </c>
      <c r="AU204" s="308" t="str">
        <f t="shared" si="38"/>
        <v/>
      </c>
      <c r="AV204" s="304" t="str">
        <f t="shared" si="39"/>
        <v/>
      </c>
      <c r="AW204" s="308" t="str">
        <f t="shared" si="40"/>
        <v/>
      </c>
      <c r="AX204" s="308" t="str">
        <f t="shared" si="41"/>
        <v/>
      </c>
      <c r="AY204" s="304" t="str">
        <f t="shared" si="42"/>
        <v/>
      </c>
      <c r="AZ204" s="308" t="str">
        <f t="shared" si="43"/>
        <v/>
      </c>
      <c r="BA204" s="313" t="str">
        <f t="shared" si="44"/>
        <v/>
      </c>
      <c r="BB204" s="304" t="str">
        <f t="shared" si="45"/>
        <v/>
      </c>
      <c r="BC204" s="308" t="str">
        <f t="shared" si="46"/>
        <v/>
      </c>
      <c r="BD204" s="308" t="str">
        <f t="shared" si="47"/>
        <v/>
      </c>
    </row>
    <row r="205">
      <c r="A205" s="298"/>
      <c r="B205" s="299"/>
      <c r="C205" s="300"/>
      <c r="D205" s="301" t="str">
        <f>IFERROR(__xludf.DUMMYFUNCTION("if(ISBLANK(A205),"""",GOOGLEFINANCE(A205,""NAME""))"),"")</f>
        <v/>
      </c>
      <c r="E205" s="302">
        <v>5000.0</v>
      </c>
      <c r="F205" s="303" t="str">
        <f>IFERROR(__xludf.DUMMYFUNCTION("if(ISBLANK(A205),"""",GOOGLEFINANCE(A205,""HIGH52""))"),"")</f>
        <v/>
      </c>
      <c r="G205" s="303" t="str">
        <f>IFERROR(__xludf.DUMMYFUNCTION("if(ISBLANK(A205),"""",GOOGLEFINANCE(A205,""LOW52""))"),"")</f>
        <v/>
      </c>
      <c r="H205" s="304" t="str">
        <f>IFERROR(__xludf.DUMMYFUNCTION("if(ISBLANK(A205),"""",GOOGLEFINANCE(A205,""Price""))"),"")</f>
        <v/>
      </c>
      <c r="I205" s="305" t="str">
        <f t="shared" si="1"/>
        <v/>
      </c>
      <c r="J205" s="306" t="str">
        <f t="shared" si="2"/>
        <v/>
      </c>
      <c r="K205" s="307" t="str">
        <f>IFERROR(__xludf.DUMMYFUNCTION("if(ISBLANK(A205),"""",googlefinance(A205,""Marketcap"")/10000000)"),"")</f>
        <v/>
      </c>
      <c r="L205" s="309" t="str">
        <f t="shared" si="3"/>
        <v/>
      </c>
      <c r="M205" s="308" t="str">
        <f t="shared" si="4"/>
        <v/>
      </c>
      <c r="N205" s="309" t="str">
        <f t="shared" si="5"/>
        <v/>
      </c>
      <c r="O205" s="322" t="str">
        <f t="shared" si="6"/>
        <v/>
      </c>
      <c r="P205" s="308" t="str">
        <f t="shared" si="7"/>
        <v/>
      </c>
      <c r="Q205" s="311" t="str">
        <f t="shared" si="8"/>
        <v/>
      </c>
      <c r="R205" s="309" t="str">
        <f t="shared" si="9"/>
        <v/>
      </c>
      <c r="S205" s="308" t="str">
        <f t="shared" si="10"/>
        <v/>
      </c>
      <c r="T205" s="309" t="str">
        <f t="shared" si="11"/>
        <v/>
      </c>
      <c r="U205" s="309" t="str">
        <f t="shared" si="12"/>
        <v/>
      </c>
      <c r="V205" s="308" t="str">
        <f t="shared" si="13"/>
        <v/>
      </c>
      <c r="W205" s="309" t="str">
        <f t="shared" si="14"/>
        <v/>
      </c>
      <c r="X205" s="309" t="str">
        <f t="shared" si="15"/>
        <v/>
      </c>
      <c r="Y205" s="308" t="str">
        <f t="shared" si="16"/>
        <v/>
      </c>
      <c r="Z205" s="309" t="str">
        <f t="shared" si="17"/>
        <v/>
      </c>
      <c r="AA205" s="312" t="str">
        <f t="shared" si="18"/>
        <v/>
      </c>
      <c r="AB205" s="308" t="str">
        <f t="shared" si="19"/>
        <v/>
      </c>
      <c r="AC205" s="308" t="str">
        <f t="shared" si="20"/>
        <v/>
      </c>
      <c r="AD205" s="312" t="str">
        <f t="shared" si="21"/>
        <v/>
      </c>
      <c r="AE205" s="308" t="str">
        <f t="shared" si="22"/>
        <v/>
      </c>
      <c r="AF205" s="313" t="str">
        <f t="shared" si="23"/>
        <v/>
      </c>
      <c r="AG205" s="304" t="str">
        <f t="shared" si="24"/>
        <v/>
      </c>
      <c r="AH205" s="308" t="str">
        <f t="shared" si="25"/>
        <v/>
      </c>
      <c r="AI205" s="313" t="str">
        <f t="shared" si="26"/>
        <v/>
      </c>
      <c r="AJ205" s="304" t="str">
        <f t="shared" si="27"/>
        <v/>
      </c>
      <c r="AK205" s="308" t="str">
        <f t="shared" si="28"/>
        <v/>
      </c>
      <c r="AL205" s="308" t="str">
        <f t="shared" si="29"/>
        <v/>
      </c>
      <c r="AM205" s="304" t="str">
        <f t="shared" si="30"/>
        <v/>
      </c>
      <c r="AN205" s="308" t="str">
        <f t="shared" si="31"/>
        <v/>
      </c>
      <c r="AO205" s="313" t="str">
        <f t="shared" si="32"/>
        <v/>
      </c>
      <c r="AP205" s="304" t="str">
        <f t="shared" si="33"/>
        <v/>
      </c>
      <c r="AQ205" s="308" t="str">
        <f t="shared" si="34"/>
        <v/>
      </c>
      <c r="AR205" s="313" t="str">
        <f t="shared" si="35"/>
        <v/>
      </c>
      <c r="AS205" s="304" t="str">
        <f t="shared" si="36"/>
        <v/>
      </c>
      <c r="AT205" s="308" t="str">
        <f t="shared" si="37"/>
        <v/>
      </c>
      <c r="AU205" s="308" t="str">
        <f t="shared" si="38"/>
        <v/>
      </c>
      <c r="AV205" s="304" t="str">
        <f t="shared" si="39"/>
        <v/>
      </c>
      <c r="AW205" s="308" t="str">
        <f t="shared" si="40"/>
        <v/>
      </c>
      <c r="AX205" s="308" t="str">
        <f t="shared" si="41"/>
        <v/>
      </c>
      <c r="AY205" s="304" t="str">
        <f t="shared" si="42"/>
        <v/>
      </c>
      <c r="AZ205" s="308" t="str">
        <f t="shared" si="43"/>
        <v/>
      </c>
      <c r="BA205" s="313" t="str">
        <f t="shared" si="44"/>
        <v/>
      </c>
      <c r="BB205" s="304" t="str">
        <f t="shared" si="45"/>
        <v/>
      </c>
      <c r="BC205" s="308" t="str">
        <f t="shared" si="46"/>
        <v/>
      </c>
      <c r="BD205" s="308" t="str">
        <f t="shared" si="47"/>
        <v/>
      </c>
    </row>
    <row r="206">
      <c r="A206" s="298"/>
      <c r="B206" s="299"/>
      <c r="C206" s="300"/>
      <c r="D206" s="301" t="str">
        <f>IFERROR(__xludf.DUMMYFUNCTION("if(ISBLANK(A206),"""",GOOGLEFINANCE(A206,""NAME""))"),"")</f>
        <v/>
      </c>
      <c r="E206" s="302">
        <v>5000.0</v>
      </c>
      <c r="F206" s="303" t="str">
        <f>IFERROR(__xludf.DUMMYFUNCTION("if(ISBLANK(A206),"""",GOOGLEFINANCE(A206,""HIGH52""))"),"")</f>
        <v/>
      </c>
      <c r="G206" s="303" t="str">
        <f>IFERROR(__xludf.DUMMYFUNCTION("if(ISBLANK(A206),"""",GOOGLEFINANCE(A206,""LOW52""))"),"")</f>
        <v/>
      </c>
      <c r="H206" s="304" t="str">
        <f>IFERROR(__xludf.DUMMYFUNCTION("if(ISBLANK(A206),"""",GOOGLEFINANCE(A206,""Price""))"),"")</f>
        <v/>
      </c>
      <c r="I206" s="305" t="str">
        <f t="shared" si="1"/>
        <v/>
      </c>
      <c r="J206" s="306" t="str">
        <f t="shared" si="2"/>
        <v/>
      </c>
      <c r="K206" s="307" t="str">
        <f>IFERROR(__xludf.DUMMYFUNCTION("if(ISBLANK(A206),"""",googlefinance(A206,""Marketcap"")/10000000)"),"")</f>
        <v/>
      </c>
      <c r="L206" s="309" t="str">
        <f t="shared" si="3"/>
        <v/>
      </c>
      <c r="M206" s="308" t="str">
        <f t="shared" si="4"/>
        <v/>
      </c>
      <c r="N206" s="309" t="str">
        <f t="shared" si="5"/>
        <v/>
      </c>
      <c r="O206" s="322" t="str">
        <f t="shared" si="6"/>
        <v/>
      </c>
      <c r="P206" s="308" t="str">
        <f t="shared" si="7"/>
        <v/>
      </c>
      <c r="Q206" s="311" t="str">
        <f t="shared" si="8"/>
        <v/>
      </c>
      <c r="R206" s="309" t="str">
        <f t="shared" si="9"/>
        <v/>
      </c>
      <c r="S206" s="308" t="str">
        <f t="shared" si="10"/>
        <v/>
      </c>
      <c r="T206" s="309" t="str">
        <f t="shared" si="11"/>
        <v/>
      </c>
      <c r="U206" s="309" t="str">
        <f t="shared" si="12"/>
        <v/>
      </c>
      <c r="V206" s="308" t="str">
        <f t="shared" si="13"/>
        <v/>
      </c>
      <c r="W206" s="309" t="str">
        <f t="shared" si="14"/>
        <v/>
      </c>
      <c r="X206" s="309" t="str">
        <f t="shared" si="15"/>
        <v/>
      </c>
      <c r="Y206" s="308" t="str">
        <f t="shared" si="16"/>
        <v/>
      </c>
      <c r="Z206" s="309" t="str">
        <f t="shared" si="17"/>
        <v/>
      </c>
      <c r="AA206" s="312" t="str">
        <f t="shared" si="18"/>
        <v/>
      </c>
      <c r="AB206" s="308" t="str">
        <f t="shared" si="19"/>
        <v/>
      </c>
      <c r="AC206" s="308" t="str">
        <f t="shared" si="20"/>
        <v/>
      </c>
      <c r="AD206" s="312" t="str">
        <f t="shared" si="21"/>
        <v/>
      </c>
      <c r="AE206" s="308" t="str">
        <f t="shared" si="22"/>
        <v/>
      </c>
      <c r="AF206" s="313" t="str">
        <f t="shared" si="23"/>
        <v/>
      </c>
      <c r="AG206" s="304" t="str">
        <f t="shared" si="24"/>
        <v/>
      </c>
      <c r="AH206" s="308" t="str">
        <f t="shared" si="25"/>
        <v/>
      </c>
      <c r="AI206" s="313" t="str">
        <f t="shared" si="26"/>
        <v/>
      </c>
      <c r="AJ206" s="304" t="str">
        <f t="shared" si="27"/>
        <v/>
      </c>
      <c r="AK206" s="308" t="str">
        <f t="shared" si="28"/>
        <v/>
      </c>
      <c r="AL206" s="308" t="str">
        <f t="shared" si="29"/>
        <v/>
      </c>
      <c r="AM206" s="304" t="str">
        <f t="shared" si="30"/>
        <v/>
      </c>
      <c r="AN206" s="308" t="str">
        <f t="shared" si="31"/>
        <v/>
      </c>
      <c r="AO206" s="313" t="str">
        <f t="shared" si="32"/>
        <v/>
      </c>
      <c r="AP206" s="304" t="str">
        <f t="shared" si="33"/>
        <v/>
      </c>
      <c r="AQ206" s="308" t="str">
        <f t="shared" si="34"/>
        <v/>
      </c>
      <c r="AR206" s="313" t="str">
        <f t="shared" si="35"/>
        <v/>
      </c>
      <c r="AS206" s="304" t="str">
        <f t="shared" si="36"/>
        <v/>
      </c>
      <c r="AT206" s="308" t="str">
        <f t="shared" si="37"/>
        <v/>
      </c>
      <c r="AU206" s="308" t="str">
        <f t="shared" si="38"/>
        <v/>
      </c>
      <c r="AV206" s="304" t="str">
        <f t="shared" si="39"/>
        <v/>
      </c>
      <c r="AW206" s="308" t="str">
        <f t="shared" si="40"/>
        <v/>
      </c>
      <c r="AX206" s="308" t="str">
        <f t="shared" si="41"/>
        <v/>
      </c>
      <c r="AY206" s="304" t="str">
        <f t="shared" si="42"/>
        <v/>
      </c>
      <c r="AZ206" s="308" t="str">
        <f t="shared" si="43"/>
        <v/>
      </c>
      <c r="BA206" s="313" t="str">
        <f t="shared" si="44"/>
        <v/>
      </c>
      <c r="BB206" s="304" t="str">
        <f t="shared" si="45"/>
        <v/>
      </c>
      <c r="BC206" s="308" t="str">
        <f t="shared" si="46"/>
        <v/>
      </c>
      <c r="BD206" s="308" t="str">
        <f t="shared" si="47"/>
        <v/>
      </c>
    </row>
    <row r="207">
      <c r="A207" s="298"/>
      <c r="B207" s="299"/>
      <c r="C207" s="300"/>
      <c r="D207" s="301" t="str">
        <f>IFERROR(__xludf.DUMMYFUNCTION("if(ISBLANK(A207),"""",GOOGLEFINANCE(A207,""NAME""))"),"")</f>
        <v/>
      </c>
      <c r="E207" s="302">
        <v>5000.0</v>
      </c>
      <c r="F207" s="303" t="str">
        <f>IFERROR(__xludf.DUMMYFUNCTION("if(ISBLANK(A207),"""",GOOGLEFINANCE(A207,""HIGH52""))"),"")</f>
        <v/>
      </c>
      <c r="G207" s="303" t="str">
        <f>IFERROR(__xludf.DUMMYFUNCTION("if(ISBLANK(A207),"""",GOOGLEFINANCE(A207,""LOW52""))"),"")</f>
        <v/>
      </c>
      <c r="H207" s="304" t="str">
        <f>IFERROR(__xludf.DUMMYFUNCTION("if(ISBLANK(A207),"""",GOOGLEFINANCE(A207,""Price""))"),"")</f>
        <v/>
      </c>
      <c r="I207" s="305" t="str">
        <f t="shared" si="1"/>
        <v/>
      </c>
      <c r="J207" s="306" t="str">
        <f t="shared" si="2"/>
        <v/>
      </c>
      <c r="K207" s="307" t="str">
        <f>IFERROR(__xludf.DUMMYFUNCTION("if(ISBLANK(A207),"""",googlefinance(A207,""Marketcap"")/10000000)"),"")</f>
        <v/>
      </c>
      <c r="L207" s="309" t="str">
        <f t="shared" si="3"/>
        <v/>
      </c>
      <c r="M207" s="308" t="str">
        <f t="shared" si="4"/>
        <v/>
      </c>
      <c r="N207" s="309" t="str">
        <f t="shared" si="5"/>
        <v/>
      </c>
      <c r="O207" s="322" t="str">
        <f t="shared" si="6"/>
        <v/>
      </c>
      <c r="P207" s="308" t="str">
        <f t="shared" si="7"/>
        <v/>
      </c>
      <c r="Q207" s="311" t="str">
        <f t="shared" si="8"/>
        <v/>
      </c>
      <c r="R207" s="309" t="str">
        <f t="shared" si="9"/>
        <v/>
      </c>
      <c r="S207" s="308" t="str">
        <f t="shared" si="10"/>
        <v/>
      </c>
      <c r="T207" s="309" t="str">
        <f t="shared" si="11"/>
        <v/>
      </c>
      <c r="U207" s="309" t="str">
        <f t="shared" si="12"/>
        <v/>
      </c>
      <c r="V207" s="308" t="str">
        <f t="shared" si="13"/>
        <v/>
      </c>
      <c r="W207" s="309" t="str">
        <f t="shared" si="14"/>
        <v/>
      </c>
      <c r="X207" s="309" t="str">
        <f t="shared" si="15"/>
        <v/>
      </c>
      <c r="Y207" s="308" t="str">
        <f t="shared" si="16"/>
        <v/>
      </c>
      <c r="Z207" s="309" t="str">
        <f t="shared" si="17"/>
        <v/>
      </c>
      <c r="AA207" s="312" t="str">
        <f t="shared" si="18"/>
        <v/>
      </c>
      <c r="AB207" s="308" t="str">
        <f t="shared" si="19"/>
        <v/>
      </c>
      <c r="AC207" s="308" t="str">
        <f t="shared" si="20"/>
        <v/>
      </c>
      <c r="AD207" s="312" t="str">
        <f t="shared" si="21"/>
        <v/>
      </c>
      <c r="AE207" s="308" t="str">
        <f t="shared" si="22"/>
        <v/>
      </c>
      <c r="AF207" s="313" t="str">
        <f t="shared" si="23"/>
        <v/>
      </c>
      <c r="AG207" s="304" t="str">
        <f t="shared" si="24"/>
        <v/>
      </c>
      <c r="AH207" s="308" t="str">
        <f t="shared" si="25"/>
        <v/>
      </c>
      <c r="AI207" s="313" t="str">
        <f t="shared" si="26"/>
        <v/>
      </c>
      <c r="AJ207" s="304" t="str">
        <f t="shared" si="27"/>
        <v/>
      </c>
      <c r="AK207" s="308" t="str">
        <f t="shared" si="28"/>
        <v/>
      </c>
      <c r="AL207" s="308" t="str">
        <f t="shared" si="29"/>
        <v/>
      </c>
      <c r="AM207" s="304" t="str">
        <f t="shared" si="30"/>
        <v/>
      </c>
      <c r="AN207" s="308" t="str">
        <f t="shared" si="31"/>
        <v/>
      </c>
      <c r="AO207" s="313" t="str">
        <f t="shared" si="32"/>
        <v/>
      </c>
      <c r="AP207" s="304" t="str">
        <f t="shared" si="33"/>
        <v/>
      </c>
      <c r="AQ207" s="308" t="str">
        <f t="shared" si="34"/>
        <v/>
      </c>
      <c r="AR207" s="313" t="str">
        <f t="shared" si="35"/>
        <v/>
      </c>
      <c r="AS207" s="304" t="str">
        <f t="shared" si="36"/>
        <v/>
      </c>
      <c r="AT207" s="308" t="str">
        <f t="shared" si="37"/>
        <v/>
      </c>
      <c r="AU207" s="308" t="str">
        <f t="shared" si="38"/>
        <v/>
      </c>
      <c r="AV207" s="304" t="str">
        <f t="shared" si="39"/>
        <v/>
      </c>
      <c r="AW207" s="308" t="str">
        <f t="shared" si="40"/>
        <v/>
      </c>
      <c r="AX207" s="308" t="str">
        <f t="shared" si="41"/>
        <v/>
      </c>
      <c r="AY207" s="304" t="str">
        <f t="shared" si="42"/>
        <v/>
      </c>
      <c r="AZ207" s="308" t="str">
        <f t="shared" si="43"/>
        <v/>
      </c>
      <c r="BA207" s="313" t="str">
        <f t="shared" si="44"/>
        <v/>
      </c>
      <c r="BB207" s="304" t="str">
        <f t="shared" si="45"/>
        <v/>
      </c>
      <c r="BC207" s="308" t="str">
        <f t="shared" si="46"/>
        <v/>
      </c>
      <c r="BD207" s="308" t="str">
        <f t="shared" si="47"/>
        <v/>
      </c>
    </row>
    <row r="208">
      <c r="A208" s="298"/>
      <c r="B208" s="299"/>
      <c r="C208" s="300"/>
      <c r="D208" s="301" t="str">
        <f>IFERROR(__xludf.DUMMYFUNCTION("if(ISBLANK(A208),"""",GOOGLEFINANCE(A208,""NAME""))"),"")</f>
        <v/>
      </c>
      <c r="E208" s="302">
        <v>5000.0</v>
      </c>
      <c r="F208" s="303" t="str">
        <f>IFERROR(__xludf.DUMMYFUNCTION("if(ISBLANK(A208),"""",GOOGLEFINANCE(A208,""HIGH52""))"),"")</f>
        <v/>
      </c>
      <c r="G208" s="303" t="str">
        <f>IFERROR(__xludf.DUMMYFUNCTION("if(ISBLANK(A208),"""",GOOGLEFINANCE(A208,""LOW52""))"),"")</f>
        <v/>
      </c>
      <c r="H208" s="304" t="str">
        <f>IFERROR(__xludf.DUMMYFUNCTION("if(ISBLANK(A208),"""",GOOGLEFINANCE(A208,""Price""))"),"")</f>
        <v/>
      </c>
      <c r="I208" s="305" t="str">
        <f t="shared" si="1"/>
        <v/>
      </c>
      <c r="J208" s="306" t="str">
        <f t="shared" si="2"/>
        <v/>
      </c>
      <c r="K208" s="307" t="str">
        <f>IFERROR(__xludf.DUMMYFUNCTION("if(ISBLANK(A208),"""",googlefinance(A208,""Marketcap"")/10000000)"),"")</f>
        <v/>
      </c>
      <c r="L208" s="309" t="str">
        <f t="shared" si="3"/>
        <v/>
      </c>
      <c r="M208" s="308" t="str">
        <f t="shared" si="4"/>
        <v/>
      </c>
      <c r="N208" s="309" t="str">
        <f t="shared" si="5"/>
        <v/>
      </c>
      <c r="O208" s="322" t="str">
        <f t="shared" si="6"/>
        <v/>
      </c>
      <c r="P208" s="308" t="str">
        <f t="shared" si="7"/>
        <v/>
      </c>
      <c r="Q208" s="311" t="str">
        <f t="shared" si="8"/>
        <v/>
      </c>
      <c r="R208" s="309" t="str">
        <f t="shared" si="9"/>
        <v/>
      </c>
      <c r="S208" s="308" t="str">
        <f t="shared" si="10"/>
        <v/>
      </c>
      <c r="T208" s="309" t="str">
        <f t="shared" si="11"/>
        <v/>
      </c>
      <c r="U208" s="309" t="str">
        <f t="shared" si="12"/>
        <v/>
      </c>
      <c r="V208" s="308" t="str">
        <f t="shared" si="13"/>
        <v/>
      </c>
      <c r="W208" s="309" t="str">
        <f t="shared" si="14"/>
        <v/>
      </c>
      <c r="X208" s="309" t="str">
        <f t="shared" si="15"/>
        <v/>
      </c>
      <c r="Y208" s="308" t="str">
        <f t="shared" si="16"/>
        <v/>
      </c>
      <c r="Z208" s="309" t="str">
        <f t="shared" si="17"/>
        <v/>
      </c>
      <c r="AA208" s="312" t="str">
        <f t="shared" si="18"/>
        <v/>
      </c>
      <c r="AB208" s="308" t="str">
        <f t="shared" si="19"/>
        <v/>
      </c>
      <c r="AC208" s="308" t="str">
        <f t="shared" si="20"/>
        <v/>
      </c>
      <c r="AD208" s="312" t="str">
        <f t="shared" si="21"/>
        <v/>
      </c>
      <c r="AE208" s="308" t="str">
        <f t="shared" si="22"/>
        <v/>
      </c>
      <c r="AF208" s="313" t="str">
        <f t="shared" si="23"/>
        <v/>
      </c>
      <c r="AG208" s="304" t="str">
        <f t="shared" si="24"/>
        <v/>
      </c>
      <c r="AH208" s="308" t="str">
        <f t="shared" si="25"/>
        <v/>
      </c>
      <c r="AI208" s="313" t="str">
        <f t="shared" si="26"/>
        <v/>
      </c>
      <c r="AJ208" s="304" t="str">
        <f t="shared" si="27"/>
        <v/>
      </c>
      <c r="AK208" s="308" t="str">
        <f t="shared" si="28"/>
        <v/>
      </c>
      <c r="AL208" s="308" t="str">
        <f t="shared" si="29"/>
        <v/>
      </c>
      <c r="AM208" s="304" t="str">
        <f t="shared" si="30"/>
        <v/>
      </c>
      <c r="AN208" s="308" t="str">
        <f t="shared" si="31"/>
        <v/>
      </c>
      <c r="AO208" s="313" t="str">
        <f t="shared" si="32"/>
        <v/>
      </c>
      <c r="AP208" s="304" t="str">
        <f t="shared" si="33"/>
        <v/>
      </c>
      <c r="AQ208" s="308" t="str">
        <f t="shared" si="34"/>
        <v/>
      </c>
      <c r="AR208" s="313" t="str">
        <f t="shared" si="35"/>
        <v/>
      </c>
      <c r="AS208" s="304" t="str">
        <f t="shared" si="36"/>
        <v/>
      </c>
      <c r="AT208" s="308" t="str">
        <f t="shared" si="37"/>
        <v/>
      </c>
      <c r="AU208" s="308" t="str">
        <f t="shared" si="38"/>
        <v/>
      </c>
      <c r="AV208" s="304" t="str">
        <f t="shared" si="39"/>
        <v/>
      </c>
      <c r="AW208" s="308" t="str">
        <f t="shared" si="40"/>
        <v/>
      </c>
      <c r="AX208" s="308" t="str">
        <f t="shared" si="41"/>
        <v/>
      </c>
      <c r="AY208" s="304" t="str">
        <f t="shared" si="42"/>
        <v/>
      </c>
      <c r="AZ208" s="308" t="str">
        <f t="shared" si="43"/>
        <v/>
      </c>
      <c r="BA208" s="313" t="str">
        <f t="shared" si="44"/>
        <v/>
      </c>
      <c r="BB208" s="304" t="str">
        <f t="shared" si="45"/>
        <v/>
      </c>
      <c r="BC208" s="308" t="str">
        <f t="shared" si="46"/>
        <v/>
      </c>
      <c r="BD208" s="308" t="str">
        <f t="shared" si="47"/>
        <v/>
      </c>
    </row>
    <row r="209">
      <c r="A209" s="298"/>
      <c r="B209" s="299"/>
      <c r="C209" s="300"/>
      <c r="D209" s="301" t="str">
        <f>IFERROR(__xludf.DUMMYFUNCTION("if(ISBLANK(A209),"""",GOOGLEFINANCE(A209,""NAME""))"),"")</f>
        <v/>
      </c>
      <c r="E209" s="302">
        <v>5000.0</v>
      </c>
      <c r="F209" s="303" t="str">
        <f>IFERROR(__xludf.DUMMYFUNCTION("if(ISBLANK(A209),"""",GOOGLEFINANCE(A209,""HIGH52""))"),"")</f>
        <v/>
      </c>
      <c r="G209" s="303" t="str">
        <f>IFERROR(__xludf.DUMMYFUNCTION("if(ISBLANK(A209),"""",GOOGLEFINANCE(A209,""LOW52""))"),"")</f>
        <v/>
      </c>
      <c r="H209" s="304" t="str">
        <f>IFERROR(__xludf.DUMMYFUNCTION("if(ISBLANK(A209),"""",GOOGLEFINANCE(A209,""Price""))"),"")</f>
        <v/>
      </c>
      <c r="I209" s="305" t="str">
        <f t="shared" si="1"/>
        <v/>
      </c>
      <c r="J209" s="306" t="str">
        <f t="shared" si="2"/>
        <v/>
      </c>
      <c r="K209" s="307" t="str">
        <f>IFERROR(__xludf.DUMMYFUNCTION("if(ISBLANK(A209),"""",googlefinance(A209,""Marketcap"")/10000000)"),"")</f>
        <v/>
      </c>
      <c r="L209" s="309" t="str">
        <f t="shared" si="3"/>
        <v/>
      </c>
      <c r="M209" s="308" t="str">
        <f t="shared" si="4"/>
        <v/>
      </c>
      <c r="N209" s="309" t="str">
        <f t="shared" si="5"/>
        <v/>
      </c>
      <c r="O209" s="322" t="str">
        <f t="shared" si="6"/>
        <v/>
      </c>
      <c r="P209" s="308" t="str">
        <f t="shared" si="7"/>
        <v/>
      </c>
      <c r="Q209" s="311" t="str">
        <f t="shared" si="8"/>
        <v/>
      </c>
      <c r="R209" s="309" t="str">
        <f t="shared" si="9"/>
        <v/>
      </c>
      <c r="S209" s="308" t="str">
        <f t="shared" si="10"/>
        <v/>
      </c>
      <c r="T209" s="309" t="str">
        <f t="shared" si="11"/>
        <v/>
      </c>
      <c r="U209" s="309" t="str">
        <f t="shared" si="12"/>
        <v/>
      </c>
      <c r="V209" s="308" t="str">
        <f t="shared" si="13"/>
        <v/>
      </c>
      <c r="W209" s="309" t="str">
        <f t="shared" si="14"/>
        <v/>
      </c>
      <c r="X209" s="309" t="str">
        <f t="shared" si="15"/>
        <v/>
      </c>
      <c r="Y209" s="308" t="str">
        <f t="shared" si="16"/>
        <v/>
      </c>
      <c r="Z209" s="309" t="str">
        <f t="shared" si="17"/>
        <v/>
      </c>
      <c r="AA209" s="312" t="str">
        <f t="shared" si="18"/>
        <v/>
      </c>
      <c r="AB209" s="308" t="str">
        <f t="shared" si="19"/>
        <v/>
      </c>
      <c r="AC209" s="308" t="str">
        <f t="shared" si="20"/>
        <v/>
      </c>
      <c r="AD209" s="312" t="str">
        <f t="shared" si="21"/>
        <v/>
      </c>
      <c r="AE209" s="308" t="str">
        <f t="shared" si="22"/>
        <v/>
      </c>
      <c r="AF209" s="313" t="str">
        <f t="shared" si="23"/>
        <v/>
      </c>
      <c r="AG209" s="304" t="str">
        <f t="shared" si="24"/>
        <v/>
      </c>
      <c r="AH209" s="308" t="str">
        <f t="shared" si="25"/>
        <v/>
      </c>
      <c r="AI209" s="313" t="str">
        <f t="shared" si="26"/>
        <v/>
      </c>
      <c r="AJ209" s="304" t="str">
        <f t="shared" si="27"/>
        <v/>
      </c>
      <c r="AK209" s="308" t="str">
        <f t="shared" si="28"/>
        <v/>
      </c>
      <c r="AL209" s="308" t="str">
        <f t="shared" si="29"/>
        <v/>
      </c>
      <c r="AM209" s="304" t="str">
        <f t="shared" si="30"/>
        <v/>
      </c>
      <c r="AN209" s="308" t="str">
        <f t="shared" si="31"/>
        <v/>
      </c>
      <c r="AO209" s="313" t="str">
        <f t="shared" si="32"/>
        <v/>
      </c>
      <c r="AP209" s="304" t="str">
        <f t="shared" si="33"/>
        <v/>
      </c>
      <c r="AQ209" s="308" t="str">
        <f t="shared" si="34"/>
        <v/>
      </c>
      <c r="AR209" s="313" t="str">
        <f t="shared" si="35"/>
        <v/>
      </c>
      <c r="AS209" s="304" t="str">
        <f t="shared" si="36"/>
        <v/>
      </c>
      <c r="AT209" s="308" t="str">
        <f t="shared" si="37"/>
        <v/>
      </c>
      <c r="AU209" s="308" t="str">
        <f t="shared" si="38"/>
        <v/>
      </c>
      <c r="AV209" s="304" t="str">
        <f t="shared" si="39"/>
        <v/>
      </c>
      <c r="AW209" s="308" t="str">
        <f t="shared" si="40"/>
        <v/>
      </c>
      <c r="AX209" s="308" t="str">
        <f t="shared" si="41"/>
        <v/>
      </c>
      <c r="AY209" s="304" t="str">
        <f t="shared" si="42"/>
        <v/>
      </c>
      <c r="AZ209" s="308" t="str">
        <f t="shared" si="43"/>
        <v/>
      </c>
      <c r="BA209" s="313" t="str">
        <f t="shared" si="44"/>
        <v/>
      </c>
      <c r="BB209" s="304" t="str">
        <f t="shared" si="45"/>
        <v/>
      </c>
      <c r="BC209" s="308" t="str">
        <f t="shared" si="46"/>
        <v/>
      </c>
      <c r="BD209" s="308" t="str">
        <f t="shared" si="47"/>
        <v/>
      </c>
    </row>
    <row r="210">
      <c r="A210" s="298"/>
      <c r="B210" s="299"/>
      <c r="C210" s="300"/>
      <c r="D210" s="301" t="str">
        <f>IFERROR(__xludf.DUMMYFUNCTION("if(ISBLANK(A210),"""",GOOGLEFINANCE(A210,""NAME""))"),"")</f>
        <v/>
      </c>
      <c r="E210" s="302">
        <v>5000.0</v>
      </c>
      <c r="F210" s="303" t="str">
        <f>IFERROR(__xludf.DUMMYFUNCTION("if(ISBLANK(A210),"""",GOOGLEFINANCE(A210,""HIGH52""))"),"")</f>
        <v/>
      </c>
      <c r="G210" s="303" t="str">
        <f>IFERROR(__xludf.DUMMYFUNCTION("if(ISBLANK(A210),"""",GOOGLEFINANCE(A210,""LOW52""))"),"")</f>
        <v/>
      </c>
      <c r="H210" s="304" t="str">
        <f>IFERROR(__xludf.DUMMYFUNCTION("if(ISBLANK(A210),"""",GOOGLEFINANCE(A210,""Price""))"),"")</f>
        <v/>
      </c>
      <c r="I210" s="305" t="str">
        <f t="shared" si="1"/>
        <v/>
      </c>
      <c r="J210" s="306" t="str">
        <f t="shared" si="2"/>
        <v/>
      </c>
      <c r="K210" s="307" t="str">
        <f>IFERROR(__xludf.DUMMYFUNCTION("if(ISBLANK(A210),"""",googlefinance(A210,""Marketcap"")/10000000)"),"")</f>
        <v/>
      </c>
      <c r="L210" s="309" t="str">
        <f t="shared" si="3"/>
        <v/>
      </c>
      <c r="M210" s="308" t="str">
        <f t="shared" si="4"/>
        <v/>
      </c>
      <c r="N210" s="309" t="str">
        <f t="shared" si="5"/>
        <v/>
      </c>
      <c r="O210" s="322" t="str">
        <f t="shared" si="6"/>
        <v/>
      </c>
      <c r="P210" s="308" t="str">
        <f t="shared" si="7"/>
        <v/>
      </c>
      <c r="Q210" s="311" t="str">
        <f t="shared" si="8"/>
        <v/>
      </c>
      <c r="R210" s="309" t="str">
        <f t="shared" si="9"/>
        <v/>
      </c>
      <c r="S210" s="308" t="str">
        <f t="shared" si="10"/>
        <v/>
      </c>
      <c r="T210" s="309" t="str">
        <f t="shared" si="11"/>
        <v/>
      </c>
      <c r="U210" s="309" t="str">
        <f t="shared" si="12"/>
        <v/>
      </c>
      <c r="V210" s="308" t="str">
        <f t="shared" si="13"/>
        <v/>
      </c>
      <c r="W210" s="309" t="str">
        <f t="shared" si="14"/>
        <v/>
      </c>
      <c r="X210" s="309" t="str">
        <f t="shared" si="15"/>
        <v/>
      </c>
      <c r="Y210" s="308" t="str">
        <f t="shared" si="16"/>
        <v/>
      </c>
      <c r="Z210" s="309" t="str">
        <f t="shared" si="17"/>
        <v/>
      </c>
      <c r="AA210" s="312" t="str">
        <f t="shared" si="18"/>
        <v/>
      </c>
      <c r="AB210" s="308" t="str">
        <f t="shared" si="19"/>
        <v/>
      </c>
      <c r="AC210" s="308" t="str">
        <f t="shared" si="20"/>
        <v/>
      </c>
      <c r="AD210" s="312" t="str">
        <f t="shared" si="21"/>
        <v/>
      </c>
      <c r="AE210" s="308" t="str">
        <f t="shared" si="22"/>
        <v/>
      </c>
      <c r="AF210" s="313" t="str">
        <f t="shared" si="23"/>
        <v/>
      </c>
      <c r="AG210" s="304" t="str">
        <f t="shared" si="24"/>
        <v/>
      </c>
      <c r="AH210" s="308" t="str">
        <f t="shared" si="25"/>
        <v/>
      </c>
      <c r="AI210" s="313" t="str">
        <f t="shared" si="26"/>
        <v/>
      </c>
      <c r="AJ210" s="304" t="str">
        <f t="shared" si="27"/>
        <v/>
      </c>
      <c r="AK210" s="308" t="str">
        <f t="shared" si="28"/>
        <v/>
      </c>
      <c r="AL210" s="308" t="str">
        <f t="shared" si="29"/>
        <v/>
      </c>
      <c r="AM210" s="304" t="str">
        <f t="shared" si="30"/>
        <v/>
      </c>
      <c r="AN210" s="308" t="str">
        <f t="shared" si="31"/>
        <v/>
      </c>
      <c r="AO210" s="313" t="str">
        <f t="shared" si="32"/>
        <v/>
      </c>
      <c r="AP210" s="304" t="str">
        <f t="shared" si="33"/>
        <v/>
      </c>
      <c r="AQ210" s="308" t="str">
        <f t="shared" si="34"/>
        <v/>
      </c>
      <c r="AR210" s="313" t="str">
        <f t="shared" si="35"/>
        <v/>
      </c>
      <c r="AS210" s="304" t="str">
        <f t="shared" si="36"/>
        <v/>
      </c>
      <c r="AT210" s="308" t="str">
        <f t="shared" si="37"/>
        <v/>
      </c>
      <c r="AU210" s="308" t="str">
        <f t="shared" si="38"/>
        <v/>
      </c>
      <c r="AV210" s="304" t="str">
        <f t="shared" si="39"/>
        <v/>
      </c>
      <c r="AW210" s="308" t="str">
        <f t="shared" si="40"/>
        <v/>
      </c>
      <c r="AX210" s="308" t="str">
        <f t="shared" si="41"/>
        <v/>
      </c>
      <c r="AY210" s="304" t="str">
        <f t="shared" si="42"/>
        <v/>
      </c>
      <c r="AZ210" s="308" t="str">
        <f t="shared" si="43"/>
        <v/>
      </c>
      <c r="BA210" s="313" t="str">
        <f t="shared" si="44"/>
        <v/>
      </c>
      <c r="BB210" s="304" t="str">
        <f t="shared" si="45"/>
        <v/>
      </c>
      <c r="BC210" s="308" t="str">
        <f t="shared" si="46"/>
        <v/>
      </c>
      <c r="BD210" s="308" t="str">
        <f t="shared" si="47"/>
        <v/>
      </c>
    </row>
    <row r="211">
      <c r="A211" s="298"/>
      <c r="B211" s="299"/>
      <c r="C211" s="300"/>
      <c r="D211" s="301" t="str">
        <f>IFERROR(__xludf.DUMMYFUNCTION("if(ISBLANK(A211),"""",GOOGLEFINANCE(A211,""NAME""))"),"")</f>
        <v/>
      </c>
      <c r="E211" s="302">
        <v>5000.0</v>
      </c>
      <c r="F211" s="303" t="str">
        <f>IFERROR(__xludf.DUMMYFUNCTION("if(ISBLANK(A211),"""",GOOGLEFINANCE(A211,""HIGH52""))"),"")</f>
        <v/>
      </c>
      <c r="G211" s="303" t="str">
        <f>IFERROR(__xludf.DUMMYFUNCTION("if(ISBLANK(A211),"""",GOOGLEFINANCE(A211,""LOW52""))"),"")</f>
        <v/>
      </c>
      <c r="H211" s="304" t="str">
        <f>IFERROR(__xludf.DUMMYFUNCTION("if(ISBLANK(A211),"""",GOOGLEFINANCE(A211,""Price""))"),"")</f>
        <v/>
      </c>
      <c r="I211" s="305" t="str">
        <f t="shared" si="1"/>
        <v/>
      </c>
      <c r="J211" s="306" t="str">
        <f t="shared" si="2"/>
        <v/>
      </c>
      <c r="K211" s="307" t="str">
        <f>IFERROR(__xludf.DUMMYFUNCTION("if(ISBLANK(A211),"""",googlefinance(A211,""Marketcap"")/10000000)"),"")</f>
        <v/>
      </c>
      <c r="L211" s="309" t="str">
        <f t="shared" si="3"/>
        <v/>
      </c>
      <c r="M211" s="308" t="str">
        <f t="shared" si="4"/>
        <v/>
      </c>
      <c r="N211" s="309" t="str">
        <f t="shared" si="5"/>
        <v/>
      </c>
      <c r="O211" s="322" t="str">
        <f t="shared" si="6"/>
        <v/>
      </c>
      <c r="P211" s="308" t="str">
        <f t="shared" si="7"/>
        <v/>
      </c>
      <c r="Q211" s="311" t="str">
        <f t="shared" si="8"/>
        <v/>
      </c>
      <c r="R211" s="309" t="str">
        <f t="shared" si="9"/>
        <v/>
      </c>
      <c r="S211" s="308" t="str">
        <f t="shared" si="10"/>
        <v/>
      </c>
      <c r="T211" s="309" t="str">
        <f t="shared" si="11"/>
        <v/>
      </c>
      <c r="U211" s="309" t="str">
        <f t="shared" si="12"/>
        <v/>
      </c>
      <c r="V211" s="308" t="str">
        <f t="shared" si="13"/>
        <v/>
      </c>
      <c r="W211" s="309" t="str">
        <f t="shared" si="14"/>
        <v/>
      </c>
      <c r="X211" s="309" t="str">
        <f t="shared" si="15"/>
        <v/>
      </c>
      <c r="Y211" s="308" t="str">
        <f t="shared" si="16"/>
        <v/>
      </c>
      <c r="Z211" s="309" t="str">
        <f t="shared" si="17"/>
        <v/>
      </c>
      <c r="AA211" s="312" t="str">
        <f t="shared" si="18"/>
        <v/>
      </c>
      <c r="AB211" s="308" t="str">
        <f t="shared" si="19"/>
        <v/>
      </c>
      <c r="AC211" s="308" t="str">
        <f t="shared" si="20"/>
        <v/>
      </c>
      <c r="AD211" s="312" t="str">
        <f t="shared" si="21"/>
        <v/>
      </c>
      <c r="AE211" s="308" t="str">
        <f t="shared" si="22"/>
        <v/>
      </c>
      <c r="AF211" s="313" t="str">
        <f t="shared" si="23"/>
        <v/>
      </c>
      <c r="AG211" s="304" t="str">
        <f t="shared" si="24"/>
        <v/>
      </c>
      <c r="AH211" s="308" t="str">
        <f t="shared" si="25"/>
        <v/>
      </c>
      <c r="AI211" s="313" t="str">
        <f t="shared" si="26"/>
        <v/>
      </c>
      <c r="AJ211" s="304" t="str">
        <f t="shared" si="27"/>
        <v/>
      </c>
      <c r="AK211" s="308" t="str">
        <f t="shared" si="28"/>
        <v/>
      </c>
      <c r="AL211" s="308" t="str">
        <f t="shared" si="29"/>
        <v/>
      </c>
      <c r="AM211" s="304" t="str">
        <f t="shared" si="30"/>
        <v/>
      </c>
      <c r="AN211" s="308" t="str">
        <f t="shared" si="31"/>
        <v/>
      </c>
      <c r="AO211" s="313" t="str">
        <f t="shared" si="32"/>
        <v/>
      </c>
      <c r="AP211" s="304" t="str">
        <f t="shared" si="33"/>
        <v/>
      </c>
      <c r="AQ211" s="308" t="str">
        <f t="shared" si="34"/>
        <v/>
      </c>
      <c r="AR211" s="313" t="str">
        <f t="shared" si="35"/>
        <v/>
      </c>
      <c r="AS211" s="304" t="str">
        <f t="shared" si="36"/>
        <v/>
      </c>
      <c r="AT211" s="308" t="str">
        <f t="shared" si="37"/>
        <v/>
      </c>
      <c r="AU211" s="308" t="str">
        <f t="shared" si="38"/>
        <v/>
      </c>
      <c r="AV211" s="304" t="str">
        <f t="shared" si="39"/>
        <v/>
      </c>
      <c r="AW211" s="308" t="str">
        <f t="shared" si="40"/>
        <v/>
      </c>
      <c r="AX211" s="308" t="str">
        <f t="shared" si="41"/>
        <v/>
      </c>
      <c r="AY211" s="304" t="str">
        <f t="shared" si="42"/>
        <v/>
      </c>
      <c r="AZ211" s="308" t="str">
        <f t="shared" si="43"/>
        <v/>
      </c>
      <c r="BA211" s="313" t="str">
        <f t="shared" si="44"/>
        <v/>
      </c>
      <c r="BB211" s="304" t="str">
        <f t="shared" si="45"/>
        <v/>
      </c>
      <c r="BC211" s="308" t="str">
        <f t="shared" si="46"/>
        <v/>
      </c>
      <c r="BD211" s="308" t="str">
        <f t="shared" si="47"/>
        <v/>
      </c>
    </row>
    <row r="212">
      <c r="A212" s="298"/>
      <c r="B212" s="299"/>
      <c r="C212" s="300"/>
      <c r="D212" s="301" t="str">
        <f>IFERROR(__xludf.DUMMYFUNCTION("if(ISBLANK(A212),"""",GOOGLEFINANCE(A212,""NAME""))"),"")</f>
        <v/>
      </c>
      <c r="E212" s="302">
        <v>5000.0</v>
      </c>
      <c r="F212" s="303" t="str">
        <f>IFERROR(__xludf.DUMMYFUNCTION("if(ISBLANK(A212),"""",GOOGLEFINANCE(A212,""HIGH52""))"),"")</f>
        <v/>
      </c>
      <c r="G212" s="303" t="str">
        <f>IFERROR(__xludf.DUMMYFUNCTION("if(ISBLANK(A212),"""",GOOGLEFINANCE(A212,""LOW52""))"),"")</f>
        <v/>
      </c>
      <c r="H212" s="304" t="str">
        <f>IFERROR(__xludf.DUMMYFUNCTION("if(ISBLANK(A212),"""",GOOGLEFINANCE(A212,""Price""))"),"")</f>
        <v/>
      </c>
      <c r="I212" s="305" t="str">
        <f t="shared" si="1"/>
        <v/>
      </c>
      <c r="J212" s="306" t="str">
        <f t="shared" si="2"/>
        <v/>
      </c>
      <c r="K212" s="307" t="str">
        <f>IFERROR(__xludf.DUMMYFUNCTION("if(ISBLANK(A212),"""",googlefinance(A212,""Marketcap"")/10000000)"),"")</f>
        <v/>
      </c>
      <c r="L212" s="309" t="str">
        <f t="shared" si="3"/>
        <v/>
      </c>
      <c r="M212" s="308" t="str">
        <f t="shared" si="4"/>
        <v/>
      </c>
      <c r="N212" s="309" t="str">
        <f t="shared" si="5"/>
        <v/>
      </c>
      <c r="O212" s="322" t="str">
        <f t="shared" si="6"/>
        <v/>
      </c>
      <c r="P212" s="308" t="str">
        <f t="shared" si="7"/>
        <v/>
      </c>
      <c r="Q212" s="311" t="str">
        <f t="shared" si="8"/>
        <v/>
      </c>
      <c r="R212" s="309" t="str">
        <f t="shared" si="9"/>
        <v/>
      </c>
      <c r="S212" s="308" t="str">
        <f t="shared" si="10"/>
        <v/>
      </c>
      <c r="T212" s="309" t="str">
        <f t="shared" si="11"/>
        <v/>
      </c>
      <c r="U212" s="309" t="str">
        <f t="shared" si="12"/>
        <v/>
      </c>
      <c r="V212" s="308" t="str">
        <f t="shared" si="13"/>
        <v/>
      </c>
      <c r="W212" s="309" t="str">
        <f t="shared" si="14"/>
        <v/>
      </c>
      <c r="X212" s="309" t="str">
        <f t="shared" si="15"/>
        <v/>
      </c>
      <c r="Y212" s="308" t="str">
        <f t="shared" si="16"/>
        <v/>
      </c>
      <c r="Z212" s="309" t="str">
        <f t="shared" si="17"/>
        <v/>
      </c>
      <c r="AA212" s="312" t="str">
        <f t="shared" si="18"/>
        <v/>
      </c>
      <c r="AB212" s="308" t="str">
        <f t="shared" si="19"/>
        <v/>
      </c>
      <c r="AC212" s="308" t="str">
        <f t="shared" si="20"/>
        <v/>
      </c>
      <c r="AD212" s="312" t="str">
        <f t="shared" si="21"/>
        <v/>
      </c>
      <c r="AE212" s="308" t="str">
        <f t="shared" si="22"/>
        <v/>
      </c>
      <c r="AF212" s="313" t="str">
        <f t="shared" si="23"/>
        <v/>
      </c>
      <c r="AG212" s="304" t="str">
        <f t="shared" si="24"/>
        <v/>
      </c>
      <c r="AH212" s="308" t="str">
        <f t="shared" si="25"/>
        <v/>
      </c>
      <c r="AI212" s="313" t="str">
        <f t="shared" si="26"/>
        <v/>
      </c>
      <c r="AJ212" s="304" t="str">
        <f t="shared" si="27"/>
        <v/>
      </c>
      <c r="AK212" s="308" t="str">
        <f t="shared" si="28"/>
        <v/>
      </c>
      <c r="AL212" s="308" t="str">
        <f t="shared" si="29"/>
        <v/>
      </c>
      <c r="AM212" s="304" t="str">
        <f t="shared" si="30"/>
        <v/>
      </c>
      <c r="AN212" s="308" t="str">
        <f t="shared" si="31"/>
        <v/>
      </c>
      <c r="AO212" s="313" t="str">
        <f t="shared" si="32"/>
        <v/>
      </c>
      <c r="AP212" s="304" t="str">
        <f t="shared" si="33"/>
        <v/>
      </c>
      <c r="AQ212" s="308" t="str">
        <f t="shared" si="34"/>
        <v/>
      </c>
      <c r="AR212" s="313" t="str">
        <f t="shared" si="35"/>
        <v/>
      </c>
      <c r="AS212" s="304" t="str">
        <f t="shared" si="36"/>
        <v/>
      </c>
      <c r="AT212" s="308" t="str">
        <f t="shared" si="37"/>
        <v/>
      </c>
      <c r="AU212" s="308" t="str">
        <f t="shared" si="38"/>
        <v/>
      </c>
      <c r="AV212" s="304" t="str">
        <f t="shared" si="39"/>
        <v/>
      </c>
      <c r="AW212" s="308" t="str">
        <f t="shared" si="40"/>
        <v/>
      </c>
      <c r="AX212" s="308" t="str">
        <f t="shared" si="41"/>
        <v/>
      </c>
      <c r="AY212" s="304" t="str">
        <f t="shared" si="42"/>
        <v/>
      </c>
      <c r="AZ212" s="308" t="str">
        <f t="shared" si="43"/>
        <v/>
      </c>
      <c r="BA212" s="313" t="str">
        <f t="shared" si="44"/>
        <v/>
      </c>
      <c r="BB212" s="304" t="str">
        <f t="shared" si="45"/>
        <v/>
      </c>
      <c r="BC212" s="308" t="str">
        <f t="shared" si="46"/>
        <v/>
      </c>
      <c r="BD212" s="308" t="str">
        <f t="shared" si="47"/>
        <v/>
      </c>
    </row>
    <row r="213">
      <c r="A213" s="298"/>
      <c r="B213" s="299"/>
      <c r="C213" s="300"/>
      <c r="D213" s="301" t="str">
        <f>IFERROR(__xludf.DUMMYFUNCTION("if(ISBLANK(A213),"""",GOOGLEFINANCE(A213,""NAME""))"),"")</f>
        <v/>
      </c>
      <c r="E213" s="302">
        <v>5000.0</v>
      </c>
      <c r="F213" s="303" t="str">
        <f>IFERROR(__xludf.DUMMYFUNCTION("if(ISBLANK(A213),"""",GOOGLEFINANCE(A213,""HIGH52""))"),"")</f>
        <v/>
      </c>
      <c r="G213" s="303" t="str">
        <f>IFERROR(__xludf.DUMMYFUNCTION("if(ISBLANK(A213),"""",GOOGLEFINANCE(A213,""LOW52""))"),"")</f>
        <v/>
      </c>
      <c r="H213" s="304" t="str">
        <f>IFERROR(__xludf.DUMMYFUNCTION("if(ISBLANK(A213),"""",GOOGLEFINANCE(A213,""Price""))"),"")</f>
        <v/>
      </c>
      <c r="I213" s="305" t="str">
        <f t="shared" si="1"/>
        <v/>
      </c>
      <c r="J213" s="306" t="str">
        <f t="shared" si="2"/>
        <v/>
      </c>
      <c r="K213" s="307" t="str">
        <f>IFERROR(__xludf.DUMMYFUNCTION("if(ISBLANK(A213),"""",googlefinance(A213,""Marketcap"")/10000000)"),"")</f>
        <v/>
      </c>
      <c r="L213" s="309" t="str">
        <f t="shared" si="3"/>
        <v/>
      </c>
      <c r="M213" s="308" t="str">
        <f t="shared" si="4"/>
        <v/>
      </c>
      <c r="N213" s="309" t="str">
        <f t="shared" si="5"/>
        <v/>
      </c>
      <c r="O213" s="322" t="str">
        <f t="shared" si="6"/>
        <v/>
      </c>
      <c r="P213" s="308" t="str">
        <f t="shared" si="7"/>
        <v/>
      </c>
      <c r="Q213" s="311" t="str">
        <f t="shared" si="8"/>
        <v/>
      </c>
      <c r="R213" s="309" t="str">
        <f t="shared" si="9"/>
        <v/>
      </c>
      <c r="S213" s="308" t="str">
        <f t="shared" si="10"/>
        <v/>
      </c>
      <c r="T213" s="309" t="str">
        <f t="shared" si="11"/>
        <v/>
      </c>
      <c r="U213" s="309" t="str">
        <f t="shared" si="12"/>
        <v/>
      </c>
      <c r="V213" s="308" t="str">
        <f t="shared" si="13"/>
        <v/>
      </c>
      <c r="W213" s="309" t="str">
        <f t="shared" si="14"/>
        <v/>
      </c>
      <c r="X213" s="309" t="str">
        <f t="shared" si="15"/>
        <v/>
      </c>
      <c r="Y213" s="308" t="str">
        <f t="shared" si="16"/>
        <v/>
      </c>
      <c r="Z213" s="309" t="str">
        <f t="shared" si="17"/>
        <v/>
      </c>
      <c r="AA213" s="312" t="str">
        <f t="shared" si="18"/>
        <v/>
      </c>
      <c r="AB213" s="308" t="str">
        <f t="shared" si="19"/>
        <v/>
      </c>
      <c r="AC213" s="308" t="str">
        <f t="shared" si="20"/>
        <v/>
      </c>
      <c r="AD213" s="312" t="str">
        <f t="shared" si="21"/>
        <v/>
      </c>
      <c r="AE213" s="308" t="str">
        <f t="shared" si="22"/>
        <v/>
      </c>
      <c r="AF213" s="313" t="str">
        <f t="shared" si="23"/>
        <v/>
      </c>
      <c r="AG213" s="304" t="str">
        <f t="shared" si="24"/>
        <v/>
      </c>
      <c r="AH213" s="308" t="str">
        <f t="shared" si="25"/>
        <v/>
      </c>
      <c r="AI213" s="313" t="str">
        <f t="shared" si="26"/>
        <v/>
      </c>
      <c r="AJ213" s="304" t="str">
        <f t="shared" si="27"/>
        <v/>
      </c>
      <c r="AK213" s="308" t="str">
        <f t="shared" si="28"/>
        <v/>
      </c>
      <c r="AL213" s="308" t="str">
        <f t="shared" si="29"/>
        <v/>
      </c>
      <c r="AM213" s="304" t="str">
        <f t="shared" si="30"/>
        <v/>
      </c>
      <c r="AN213" s="308" t="str">
        <f t="shared" si="31"/>
        <v/>
      </c>
      <c r="AO213" s="313" t="str">
        <f t="shared" si="32"/>
        <v/>
      </c>
      <c r="AP213" s="304" t="str">
        <f t="shared" si="33"/>
        <v/>
      </c>
      <c r="AQ213" s="308" t="str">
        <f t="shared" si="34"/>
        <v/>
      </c>
      <c r="AR213" s="313" t="str">
        <f t="shared" si="35"/>
        <v/>
      </c>
      <c r="AS213" s="304" t="str">
        <f t="shared" si="36"/>
        <v/>
      </c>
      <c r="AT213" s="308" t="str">
        <f t="shared" si="37"/>
        <v/>
      </c>
      <c r="AU213" s="308" t="str">
        <f t="shared" si="38"/>
        <v/>
      </c>
      <c r="AV213" s="304" t="str">
        <f t="shared" si="39"/>
        <v/>
      </c>
      <c r="AW213" s="308" t="str">
        <f t="shared" si="40"/>
        <v/>
      </c>
      <c r="AX213" s="308" t="str">
        <f t="shared" si="41"/>
        <v/>
      </c>
      <c r="AY213" s="304" t="str">
        <f t="shared" si="42"/>
        <v/>
      </c>
      <c r="AZ213" s="308" t="str">
        <f t="shared" si="43"/>
        <v/>
      </c>
      <c r="BA213" s="313" t="str">
        <f t="shared" si="44"/>
        <v/>
      </c>
      <c r="BB213" s="304" t="str">
        <f t="shared" si="45"/>
        <v/>
      </c>
      <c r="BC213" s="308" t="str">
        <f t="shared" si="46"/>
        <v/>
      </c>
      <c r="BD213" s="308" t="str">
        <f t="shared" si="47"/>
        <v/>
      </c>
    </row>
    <row r="214">
      <c r="A214" s="298"/>
      <c r="B214" s="299"/>
      <c r="C214" s="300"/>
      <c r="D214" s="301" t="str">
        <f>IFERROR(__xludf.DUMMYFUNCTION("if(ISBLANK(A214),"""",GOOGLEFINANCE(A214,""NAME""))"),"")</f>
        <v/>
      </c>
      <c r="E214" s="302">
        <v>5000.0</v>
      </c>
      <c r="F214" s="303" t="str">
        <f>IFERROR(__xludf.DUMMYFUNCTION("if(ISBLANK(A214),"""",GOOGLEFINANCE(A214,""HIGH52""))"),"")</f>
        <v/>
      </c>
      <c r="G214" s="303" t="str">
        <f>IFERROR(__xludf.DUMMYFUNCTION("if(ISBLANK(A214),"""",GOOGLEFINANCE(A214,""LOW52""))"),"")</f>
        <v/>
      </c>
      <c r="H214" s="304" t="str">
        <f>IFERROR(__xludf.DUMMYFUNCTION("if(ISBLANK(A214),"""",GOOGLEFINANCE(A214,""Price""))"),"")</f>
        <v/>
      </c>
      <c r="I214" s="305" t="str">
        <f t="shared" si="1"/>
        <v/>
      </c>
      <c r="J214" s="306" t="str">
        <f t="shared" si="2"/>
        <v/>
      </c>
      <c r="K214" s="307" t="str">
        <f>IFERROR(__xludf.DUMMYFUNCTION("if(ISBLANK(A214),"""",googlefinance(A214,""Marketcap"")/10000000)"),"")</f>
        <v/>
      </c>
      <c r="L214" s="309" t="str">
        <f t="shared" si="3"/>
        <v/>
      </c>
      <c r="M214" s="308" t="str">
        <f t="shared" si="4"/>
        <v/>
      </c>
      <c r="N214" s="309" t="str">
        <f t="shared" si="5"/>
        <v/>
      </c>
      <c r="O214" s="322" t="str">
        <f t="shared" si="6"/>
        <v/>
      </c>
      <c r="P214" s="308" t="str">
        <f t="shared" si="7"/>
        <v/>
      </c>
      <c r="Q214" s="311" t="str">
        <f t="shared" si="8"/>
        <v/>
      </c>
      <c r="R214" s="309" t="str">
        <f t="shared" si="9"/>
        <v/>
      </c>
      <c r="S214" s="308" t="str">
        <f t="shared" si="10"/>
        <v/>
      </c>
      <c r="T214" s="309" t="str">
        <f t="shared" si="11"/>
        <v/>
      </c>
      <c r="U214" s="309" t="str">
        <f t="shared" si="12"/>
        <v/>
      </c>
      <c r="V214" s="308" t="str">
        <f t="shared" si="13"/>
        <v/>
      </c>
      <c r="W214" s="309" t="str">
        <f t="shared" si="14"/>
        <v/>
      </c>
      <c r="X214" s="309" t="str">
        <f t="shared" si="15"/>
        <v/>
      </c>
      <c r="Y214" s="308" t="str">
        <f t="shared" si="16"/>
        <v/>
      </c>
      <c r="Z214" s="309" t="str">
        <f t="shared" si="17"/>
        <v/>
      </c>
      <c r="AA214" s="312" t="str">
        <f t="shared" si="18"/>
        <v/>
      </c>
      <c r="AB214" s="308" t="str">
        <f t="shared" si="19"/>
        <v/>
      </c>
      <c r="AC214" s="308" t="str">
        <f t="shared" si="20"/>
        <v/>
      </c>
      <c r="AD214" s="312" t="str">
        <f t="shared" si="21"/>
        <v/>
      </c>
      <c r="AE214" s="308" t="str">
        <f t="shared" si="22"/>
        <v/>
      </c>
      <c r="AF214" s="313" t="str">
        <f t="shared" si="23"/>
        <v/>
      </c>
      <c r="AG214" s="304" t="str">
        <f t="shared" si="24"/>
        <v/>
      </c>
      <c r="AH214" s="308" t="str">
        <f t="shared" si="25"/>
        <v/>
      </c>
      <c r="AI214" s="313" t="str">
        <f t="shared" si="26"/>
        <v/>
      </c>
      <c r="AJ214" s="304" t="str">
        <f t="shared" si="27"/>
        <v/>
      </c>
      <c r="AK214" s="308" t="str">
        <f t="shared" si="28"/>
        <v/>
      </c>
      <c r="AL214" s="308" t="str">
        <f t="shared" si="29"/>
        <v/>
      </c>
      <c r="AM214" s="304" t="str">
        <f t="shared" si="30"/>
        <v/>
      </c>
      <c r="AN214" s="308" t="str">
        <f t="shared" si="31"/>
        <v/>
      </c>
      <c r="AO214" s="313" t="str">
        <f t="shared" si="32"/>
        <v/>
      </c>
      <c r="AP214" s="304" t="str">
        <f t="shared" si="33"/>
        <v/>
      </c>
      <c r="AQ214" s="308" t="str">
        <f t="shared" si="34"/>
        <v/>
      </c>
      <c r="AR214" s="313" t="str">
        <f t="shared" si="35"/>
        <v/>
      </c>
      <c r="AS214" s="304" t="str">
        <f t="shared" si="36"/>
        <v/>
      </c>
      <c r="AT214" s="308" t="str">
        <f t="shared" si="37"/>
        <v/>
      </c>
      <c r="AU214" s="308" t="str">
        <f t="shared" si="38"/>
        <v/>
      </c>
      <c r="AV214" s="304" t="str">
        <f t="shared" si="39"/>
        <v/>
      </c>
      <c r="AW214" s="308" t="str">
        <f t="shared" si="40"/>
        <v/>
      </c>
      <c r="AX214" s="308" t="str">
        <f t="shared" si="41"/>
        <v/>
      </c>
      <c r="AY214" s="304" t="str">
        <f t="shared" si="42"/>
        <v/>
      </c>
      <c r="AZ214" s="308" t="str">
        <f t="shared" si="43"/>
        <v/>
      </c>
      <c r="BA214" s="313" t="str">
        <f t="shared" si="44"/>
        <v/>
      </c>
      <c r="BB214" s="304" t="str">
        <f t="shared" si="45"/>
        <v/>
      </c>
      <c r="BC214" s="308" t="str">
        <f t="shared" si="46"/>
        <v/>
      </c>
      <c r="BD214" s="308" t="str">
        <f t="shared" si="47"/>
        <v/>
      </c>
    </row>
    <row r="215">
      <c r="A215" s="298"/>
      <c r="B215" s="299"/>
      <c r="C215" s="300"/>
      <c r="D215" s="301" t="str">
        <f>IFERROR(__xludf.DUMMYFUNCTION("if(ISBLANK(A215),"""",GOOGLEFINANCE(A215,""NAME""))"),"")</f>
        <v/>
      </c>
      <c r="E215" s="302">
        <v>5000.0</v>
      </c>
      <c r="F215" s="303" t="str">
        <f>IFERROR(__xludf.DUMMYFUNCTION("if(ISBLANK(A215),"""",GOOGLEFINANCE(A215,""HIGH52""))"),"")</f>
        <v/>
      </c>
      <c r="G215" s="303" t="str">
        <f>IFERROR(__xludf.DUMMYFUNCTION("if(ISBLANK(A215),"""",GOOGLEFINANCE(A215,""LOW52""))"),"")</f>
        <v/>
      </c>
      <c r="H215" s="304" t="str">
        <f>IFERROR(__xludf.DUMMYFUNCTION("if(ISBLANK(A215),"""",GOOGLEFINANCE(A215,""Price""))"),"")</f>
        <v/>
      </c>
      <c r="I215" s="305" t="str">
        <f t="shared" si="1"/>
        <v/>
      </c>
      <c r="J215" s="306" t="str">
        <f t="shared" si="2"/>
        <v/>
      </c>
      <c r="K215" s="307" t="str">
        <f>IFERROR(__xludf.DUMMYFUNCTION("if(ISBLANK(A215),"""",googlefinance(A215,""Marketcap"")/10000000)"),"")</f>
        <v/>
      </c>
      <c r="L215" s="309" t="str">
        <f t="shared" si="3"/>
        <v/>
      </c>
      <c r="M215" s="308" t="str">
        <f t="shared" si="4"/>
        <v/>
      </c>
      <c r="N215" s="309" t="str">
        <f t="shared" si="5"/>
        <v/>
      </c>
      <c r="O215" s="322" t="str">
        <f t="shared" si="6"/>
        <v/>
      </c>
      <c r="P215" s="308" t="str">
        <f t="shared" si="7"/>
        <v/>
      </c>
      <c r="Q215" s="311" t="str">
        <f t="shared" si="8"/>
        <v/>
      </c>
      <c r="R215" s="309" t="str">
        <f t="shared" si="9"/>
        <v/>
      </c>
      <c r="S215" s="308" t="str">
        <f t="shared" si="10"/>
        <v/>
      </c>
      <c r="T215" s="309" t="str">
        <f t="shared" si="11"/>
        <v/>
      </c>
      <c r="U215" s="309" t="str">
        <f t="shared" si="12"/>
        <v/>
      </c>
      <c r="V215" s="308" t="str">
        <f t="shared" si="13"/>
        <v/>
      </c>
      <c r="W215" s="309" t="str">
        <f t="shared" si="14"/>
        <v/>
      </c>
      <c r="X215" s="309" t="str">
        <f t="shared" si="15"/>
        <v/>
      </c>
      <c r="Y215" s="308" t="str">
        <f t="shared" si="16"/>
        <v/>
      </c>
      <c r="Z215" s="309" t="str">
        <f t="shared" si="17"/>
        <v/>
      </c>
      <c r="AA215" s="312" t="str">
        <f t="shared" si="18"/>
        <v/>
      </c>
      <c r="AB215" s="308" t="str">
        <f t="shared" si="19"/>
        <v/>
      </c>
      <c r="AC215" s="308" t="str">
        <f t="shared" si="20"/>
        <v/>
      </c>
      <c r="AD215" s="312" t="str">
        <f t="shared" si="21"/>
        <v/>
      </c>
      <c r="AE215" s="308" t="str">
        <f t="shared" si="22"/>
        <v/>
      </c>
      <c r="AF215" s="313" t="str">
        <f t="shared" si="23"/>
        <v/>
      </c>
      <c r="AG215" s="304" t="str">
        <f t="shared" si="24"/>
        <v/>
      </c>
      <c r="AH215" s="308" t="str">
        <f t="shared" si="25"/>
        <v/>
      </c>
      <c r="AI215" s="313" t="str">
        <f t="shared" si="26"/>
        <v/>
      </c>
      <c r="AJ215" s="304" t="str">
        <f t="shared" si="27"/>
        <v/>
      </c>
      <c r="AK215" s="308" t="str">
        <f t="shared" si="28"/>
        <v/>
      </c>
      <c r="AL215" s="308" t="str">
        <f t="shared" si="29"/>
        <v/>
      </c>
      <c r="AM215" s="304" t="str">
        <f t="shared" si="30"/>
        <v/>
      </c>
      <c r="AN215" s="308" t="str">
        <f t="shared" si="31"/>
        <v/>
      </c>
      <c r="AO215" s="313" t="str">
        <f t="shared" si="32"/>
        <v/>
      </c>
      <c r="AP215" s="304" t="str">
        <f t="shared" si="33"/>
        <v/>
      </c>
      <c r="AQ215" s="308" t="str">
        <f t="shared" si="34"/>
        <v/>
      </c>
      <c r="AR215" s="313" t="str">
        <f t="shared" si="35"/>
        <v/>
      </c>
      <c r="AS215" s="304" t="str">
        <f t="shared" si="36"/>
        <v/>
      </c>
      <c r="AT215" s="308" t="str">
        <f t="shared" si="37"/>
        <v/>
      </c>
      <c r="AU215" s="308" t="str">
        <f t="shared" si="38"/>
        <v/>
      </c>
      <c r="AV215" s="304" t="str">
        <f t="shared" si="39"/>
        <v/>
      </c>
      <c r="AW215" s="308" t="str">
        <f t="shared" si="40"/>
        <v/>
      </c>
      <c r="AX215" s="308" t="str">
        <f t="shared" si="41"/>
        <v/>
      </c>
      <c r="AY215" s="304" t="str">
        <f t="shared" si="42"/>
        <v/>
      </c>
      <c r="AZ215" s="308" t="str">
        <f t="shared" si="43"/>
        <v/>
      </c>
      <c r="BA215" s="313" t="str">
        <f t="shared" si="44"/>
        <v/>
      </c>
      <c r="BB215" s="304" t="str">
        <f t="shared" si="45"/>
        <v/>
      </c>
      <c r="BC215" s="308" t="str">
        <f t="shared" si="46"/>
        <v/>
      </c>
      <c r="BD215" s="308" t="str">
        <f t="shared" si="47"/>
        <v/>
      </c>
    </row>
    <row r="216">
      <c r="A216" s="298"/>
      <c r="B216" s="299"/>
      <c r="C216" s="300"/>
      <c r="D216" s="301" t="str">
        <f>IFERROR(__xludf.DUMMYFUNCTION("if(ISBLANK(A216),"""",GOOGLEFINANCE(A216,""NAME""))"),"")</f>
        <v/>
      </c>
      <c r="E216" s="302">
        <v>5000.0</v>
      </c>
      <c r="F216" s="303" t="str">
        <f>IFERROR(__xludf.DUMMYFUNCTION("if(ISBLANK(A216),"""",GOOGLEFINANCE(A216,""HIGH52""))"),"")</f>
        <v/>
      </c>
      <c r="G216" s="303" t="str">
        <f>IFERROR(__xludf.DUMMYFUNCTION("if(ISBLANK(A216),"""",GOOGLEFINANCE(A216,""LOW52""))"),"")</f>
        <v/>
      </c>
      <c r="H216" s="304" t="str">
        <f>IFERROR(__xludf.DUMMYFUNCTION("if(ISBLANK(A216),"""",GOOGLEFINANCE(A216,""Price""))"),"")</f>
        <v/>
      </c>
      <c r="I216" s="305" t="str">
        <f t="shared" si="1"/>
        <v/>
      </c>
      <c r="J216" s="306" t="str">
        <f t="shared" si="2"/>
        <v/>
      </c>
      <c r="K216" s="307" t="str">
        <f>IFERROR(__xludf.DUMMYFUNCTION("if(ISBLANK(A216),"""",googlefinance(A216,""Marketcap"")/10000000)"),"")</f>
        <v/>
      </c>
      <c r="L216" s="309" t="str">
        <f t="shared" si="3"/>
        <v/>
      </c>
      <c r="M216" s="308" t="str">
        <f t="shared" si="4"/>
        <v/>
      </c>
      <c r="N216" s="309" t="str">
        <f t="shared" si="5"/>
        <v/>
      </c>
      <c r="O216" s="322" t="str">
        <f t="shared" si="6"/>
        <v/>
      </c>
      <c r="P216" s="308" t="str">
        <f t="shared" si="7"/>
        <v/>
      </c>
      <c r="Q216" s="311" t="str">
        <f t="shared" si="8"/>
        <v/>
      </c>
      <c r="R216" s="309" t="str">
        <f t="shared" si="9"/>
        <v/>
      </c>
      <c r="S216" s="308" t="str">
        <f t="shared" si="10"/>
        <v/>
      </c>
      <c r="T216" s="309" t="str">
        <f t="shared" si="11"/>
        <v/>
      </c>
      <c r="U216" s="309" t="str">
        <f t="shared" si="12"/>
        <v/>
      </c>
      <c r="V216" s="308" t="str">
        <f t="shared" si="13"/>
        <v/>
      </c>
      <c r="W216" s="309" t="str">
        <f t="shared" si="14"/>
        <v/>
      </c>
      <c r="X216" s="309" t="str">
        <f t="shared" si="15"/>
        <v/>
      </c>
      <c r="Y216" s="308" t="str">
        <f t="shared" si="16"/>
        <v/>
      </c>
      <c r="Z216" s="309" t="str">
        <f t="shared" si="17"/>
        <v/>
      </c>
      <c r="AA216" s="312" t="str">
        <f t="shared" si="18"/>
        <v/>
      </c>
      <c r="AB216" s="308" t="str">
        <f t="shared" si="19"/>
        <v/>
      </c>
      <c r="AC216" s="308" t="str">
        <f t="shared" si="20"/>
        <v/>
      </c>
      <c r="AD216" s="312" t="str">
        <f t="shared" si="21"/>
        <v/>
      </c>
      <c r="AE216" s="308" t="str">
        <f t="shared" si="22"/>
        <v/>
      </c>
      <c r="AF216" s="313" t="str">
        <f t="shared" si="23"/>
        <v/>
      </c>
      <c r="AG216" s="304" t="str">
        <f t="shared" si="24"/>
        <v/>
      </c>
      <c r="AH216" s="308" t="str">
        <f t="shared" si="25"/>
        <v/>
      </c>
      <c r="AI216" s="313" t="str">
        <f t="shared" si="26"/>
        <v/>
      </c>
      <c r="AJ216" s="304" t="str">
        <f t="shared" si="27"/>
        <v/>
      </c>
      <c r="AK216" s="308" t="str">
        <f t="shared" si="28"/>
        <v/>
      </c>
      <c r="AL216" s="308" t="str">
        <f t="shared" si="29"/>
        <v/>
      </c>
      <c r="AM216" s="304" t="str">
        <f t="shared" si="30"/>
        <v/>
      </c>
      <c r="AN216" s="308" t="str">
        <f t="shared" si="31"/>
        <v/>
      </c>
      <c r="AO216" s="313" t="str">
        <f t="shared" si="32"/>
        <v/>
      </c>
      <c r="AP216" s="304" t="str">
        <f t="shared" si="33"/>
        <v/>
      </c>
      <c r="AQ216" s="308" t="str">
        <f t="shared" si="34"/>
        <v/>
      </c>
      <c r="AR216" s="313" t="str">
        <f t="shared" si="35"/>
        <v/>
      </c>
      <c r="AS216" s="304" t="str">
        <f t="shared" si="36"/>
        <v/>
      </c>
      <c r="AT216" s="308" t="str">
        <f t="shared" si="37"/>
        <v/>
      </c>
      <c r="AU216" s="308" t="str">
        <f t="shared" si="38"/>
        <v/>
      </c>
      <c r="AV216" s="304" t="str">
        <f t="shared" si="39"/>
        <v/>
      </c>
      <c r="AW216" s="308" t="str">
        <f t="shared" si="40"/>
        <v/>
      </c>
      <c r="AX216" s="308" t="str">
        <f t="shared" si="41"/>
        <v/>
      </c>
      <c r="AY216" s="304" t="str">
        <f t="shared" si="42"/>
        <v/>
      </c>
      <c r="AZ216" s="308" t="str">
        <f t="shared" si="43"/>
        <v/>
      </c>
      <c r="BA216" s="313" t="str">
        <f t="shared" si="44"/>
        <v/>
      </c>
      <c r="BB216" s="304" t="str">
        <f t="shared" si="45"/>
        <v/>
      </c>
      <c r="BC216" s="308" t="str">
        <f t="shared" si="46"/>
        <v/>
      </c>
      <c r="BD216" s="308" t="str">
        <f t="shared" si="47"/>
        <v/>
      </c>
    </row>
    <row r="217">
      <c r="A217" s="298"/>
      <c r="B217" s="299"/>
      <c r="C217" s="300"/>
      <c r="D217" s="301" t="str">
        <f>IFERROR(__xludf.DUMMYFUNCTION("if(ISBLANK(A217),"""",GOOGLEFINANCE(A217,""NAME""))"),"")</f>
        <v/>
      </c>
      <c r="E217" s="302">
        <v>5000.0</v>
      </c>
      <c r="F217" s="303" t="str">
        <f>IFERROR(__xludf.DUMMYFUNCTION("if(ISBLANK(A217),"""",GOOGLEFINANCE(A217,""HIGH52""))"),"")</f>
        <v/>
      </c>
      <c r="G217" s="303" t="str">
        <f>IFERROR(__xludf.DUMMYFUNCTION("if(ISBLANK(A217),"""",GOOGLEFINANCE(A217,""LOW52""))"),"")</f>
        <v/>
      </c>
      <c r="H217" s="304" t="str">
        <f>IFERROR(__xludf.DUMMYFUNCTION("if(ISBLANK(A217),"""",GOOGLEFINANCE(A217,""Price""))"),"")</f>
        <v/>
      </c>
      <c r="I217" s="305" t="str">
        <f t="shared" si="1"/>
        <v/>
      </c>
      <c r="J217" s="306" t="str">
        <f t="shared" si="2"/>
        <v/>
      </c>
      <c r="K217" s="307" t="str">
        <f>IFERROR(__xludf.DUMMYFUNCTION("if(ISBLANK(A217),"""",googlefinance(A217,""Marketcap"")/10000000)"),"")</f>
        <v/>
      </c>
      <c r="L217" s="309" t="str">
        <f t="shared" si="3"/>
        <v/>
      </c>
      <c r="M217" s="308" t="str">
        <f t="shared" si="4"/>
        <v/>
      </c>
      <c r="N217" s="309" t="str">
        <f t="shared" si="5"/>
        <v/>
      </c>
      <c r="O217" s="322" t="str">
        <f t="shared" si="6"/>
        <v/>
      </c>
      <c r="P217" s="308" t="str">
        <f t="shared" si="7"/>
        <v/>
      </c>
      <c r="Q217" s="311" t="str">
        <f t="shared" si="8"/>
        <v/>
      </c>
      <c r="R217" s="309" t="str">
        <f t="shared" si="9"/>
        <v/>
      </c>
      <c r="S217" s="308" t="str">
        <f t="shared" si="10"/>
        <v/>
      </c>
      <c r="T217" s="309" t="str">
        <f t="shared" si="11"/>
        <v/>
      </c>
      <c r="U217" s="309" t="str">
        <f t="shared" si="12"/>
        <v/>
      </c>
      <c r="V217" s="308" t="str">
        <f t="shared" si="13"/>
        <v/>
      </c>
      <c r="W217" s="309" t="str">
        <f t="shared" si="14"/>
        <v/>
      </c>
      <c r="X217" s="309" t="str">
        <f t="shared" si="15"/>
        <v/>
      </c>
      <c r="Y217" s="308" t="str">
        <f t="shared" si="16"/>
        <v/>
      </c>
      <c r="Z217" s="309" t="str">
        <f t="shared" si="17"/>
        <v/>
      </c>
      <c r="AA217" s="312" t="str">
        <f t="shared" si="18"/>
        <v/>
      </c>
      <c r="AB217" s="308" t="str">
        <f t="shared" si="19"/>
        <v/>
      </c>
      <c r="AC217" s="308" t="str">
        <f t="shared" si="20"/>
        <v/>
      </c>
      <c r="AD217" s="312" t="str">
        <f t="shared" si="21"/>
        <v/>
      </c>
      <c r="AE217" s="308" t="str">
        <f t="shared" si="22"/>
        <v/>
      </c>
      <c r="AF217" s="313" t="str">
        <f t="shared" si="23"/>
        <v/>
      </c>
      <c r="AG217" s="304" t="str">
        <f t="shared" si="24"/>
        <v/>
      </c>
      <c r="AH217" s="308" t="str">
        <f t="shared" si="25"/>
        <v/>
      </c>
      <c r="AI217" s="313" t="str">
        <f t="shared" si="26"/>
        <v/>
      </c>
      <c r="AJ217" s="304" t="str">
        <f t="shared" si="27"/>
        <v/>
      </c>
      <c r="AK217" s="308" t="str">
        <f t="shared" si="28"/>
        <v/>
      </c>
      <c r="AL217" s="308" t="str">
        <f t="shared" si="29"/>
        <v/>
      </c>
      <c r="AM217" s="304" t="str">
        <f t="shared" si="30"/>
        <v/>
      </c>
      <c r="AN217" s="308" t="str">
        <f t="shared" si="31"/>
        <v/>
      </c>
      <c r="AO217" s="313" t="str">
        <f t="shared" si="32"/>
        <v/>
      </c>
      <c r="AP217" s="304" t="str">
        <f t="shared" si="33"/>
        <v/>
      </c>
      <c r="AQ217" s="308" t="str">
        <f t="shared" si="34"/>
        <v/>
      </c>
      <c r="AR217" s="313" t="str">
        <f t="shared" si="35"/>
        <v/>
      </c>
      <c r="AS217" s="304" t="str">
        <f t="shared" si="36"/>
        <v/>
      </c>
      <c r="AT217" s="308" t="str">
        <f t="shared" si="37"/>
        <v/>
      </c>
      <c r="AU217" s="308" t="str">
        <f t="shared" si="38"/>
        <v/>
      </c>
      <c r="AV217" s="304" t="str">
        <f t="shared" si="39"/>
        <v/>
      </c>
      <c r="AW217" s="308" t="str">
        <f t="shared" si="40"/>
        <v/>
      </c>
      <c r="AX217" s="308" t="str">
        <f t="shared" si="41"/>
        <v/>
      </c>
      <c r="AY217" s="304" t="str">
        <f t="shared" si="42"/>
        <v/>
      </c>
      <c r="AZ217" s="308" t="str">
        <f t="shared" si="43"/>
        <v/>
      </c>
      <c r="BA217" s="313" t="str">
        <f t="shared" si="44"/>
        <v/>
      </c>
      <c r="BB217" s="304" t="str">
        <f t="shared" si="45"/>
        <v/>
      </c>
      <c r="BC217" s="308" t="str">
        <f t="shared" si="46"/>
        <v/>
      </c>
      <c r="BD217" s="308" t="str">
        <f t="shared" si="47"/>
        <v/>
      </c>
    </row>
    <row r="218">
      <c r="A218" s="298"/>
      <c r="B218" s="299"/>
      <c r="C218" s="300"/>
      <c r="D218" s="301" t="str">
        <f>IFERROR(__xludf.DUMMYFUNCTION("if(ISBLANK(A218),"""",GOOGLEFINANCE(A218,""NAME""))"),"")</f>
        <v/>
      </c>
      <c r="E218" s="302">
        <v>5000.0</v>
      </c>
      <c r="F218" s="303" t="str">
        <f>IFERROR(__xludf.DUMMYFUNCTION("if(ISBLANK(A218),"""",GOOGLEFINANCE(A218,""HIGH52""))"),"")</f>
        <v/>
      </c>
      <c r="G218" s="303" t="str">
        <f>IFERROR(__xludf.DUMMYFUNCTION("if(ISBLANK(A218),"""",GOOGLEFINANCE(A218,""LOW52""))"),"")</f>
        <v/>
      </c>
      <c r="H218" s="304" t="str">
        <f>IFERROR(__xludf.DUMMYFUNCTION("if(ISBLANK(A218),"""",GOOGLEFINANCE(A218,""Price""))"),"")</f>
        <v/>
      </c>
      <c r="I218" s="305" t="str">
        <f t="shared" si="1"/>
        <v/>
      </c>
      <c r="J218" s="306" t="str">
        <f t="shared" si="2"/>
        <v/>
      </c>
      <c r="K218" s="307" t="str">
        <f>IFERROR(__xludf.DUMMYFUNCTION("if(ISBLANK(A218),"""",googlefinance(A218,""Marketcap"")/10000000)"),"")</f>
        <v/>
      </c>
      <c r="L218" s="309" t="str">
        <f t="shared" si="3"/>
        <v/>
      </c>
      <c r="M218" s="308" t="str">
        <f t="shared" si="4"/>
        <v/>
      </c>
      <c r="N218" s="309" t="str">
        <f t="shared" si="5"/>
        <v/>
      </c>
      <c r="O218" s="322" t="str">
        <f t="shared" si="6"/>
        <v/>
      </c>
      <c r="P218" s="308" t="str">
        <f t="shared" si="7"/>
        <v/>
      </c>
      <c r="Q218" s="311" t="str">
        <f t="shared" si="8"/>
        <v/>
      </c>
      <c r="R218" s="309" t="str">
        <f t="shared" si="9"/>
        <v/>
      </c>
      <c r="S218" s="308" t="str">
        <f t="shared" si="10"/>
        <v/>
      </c>
      <c r="T218" s="309" t="str">
        <f t="shared" si="11"/>
        <v/>
      </c>
      <c r="U218" s="309" t="str">
        <f t="shared" si="12"/>
        <v/>
      </c>
      <c r="V218" s="308" t="str">
        <f t="shared" si="13"/>
        <v/>
      </c>
      <c r="W218" s="309" t="str">
        <f t="shared" si="14"/>
        <v/>
      </c>
      <c r="X218" s="309" t="str">
        <f t="shared" si="15"/>
        <v/>
      </c>
      <c r="Y218" s="308" t="str">
        <f t="shared" si="16"/>
        <v/>
      </c>
      <c r="Z218" s="309" t="str">
        <f t="shared" si="17"/>
        <v/>
      </c>
      <c r="AA218" s="312" t="str">
        <f t="shared" si="18"/>
        <v/>
      </c>
      <c r="AB218" s="308" t="str">
        <f t="shared" si="19"/>
        <v/>
      </c>
      <c r="AC218" s="308" t="str">
        <f t="shared" si="20"/>
        <v/>
      </c>
      <c r="AD218" s="312" t="str">
        <f t="shared" si="21"/>
        <v/>
      </c>
      <c r="AE218" s="308" t="str">
        <f t="shared" si="22"/>
        <v/>
      </c>
      <c r="AF218" s="313" t="str">
        <f t="shared" si="23"/>
        <v/>
      </c>
      <c r="AG218" s="304" t="str">
        <f t="shared" si="24"/>
        <v/>
      </c>
      <c r="AH218" s="308" t="str">
        <f t="shared" si="25"/>
        <v/>
      </c>
      <c r="AI218" s="313" t="str">
        <f t="shared" si="26"/>
        <v/>
      </c>
      <c r="AJ218" s="304" t="str">
        <f t="shared" si="27"/>
        <v/>
      </c>
      <c r="AK218" s="308" t="str">
        <f t="shared" si="28"/>
        <v/>
      </c>
      <c r="AL218" s="308" t="str">
        <f t="shared" si="29"/>
        <v/>
      </c>
      <c r="AM218" s="304" t="str">
        <f t="shared" si="30"/>
        <v/>
      </c>
      <c r="AN218" s="308" t="str">
        <f t="shared" si="31"/>
        <v/>
      </c>
      <c r="AO218" s="313" t="str">
        <f t="shared" si="32"/>
        <v/>
      </c>
      <c r="AP218" s="304" t="str">
        <f t="shared" si="33"/>
        <v/>
      </c>
      <c r="AQ218" s="308" t="str">
        <f t="shared" si="34"/>
        <v/>
      </c>
      <c r="AR218" s="313" t="str">
        <f t="shared" si="35"/>
        <v/>
      </c>
      <c r="AS218" s="304" t="str">
        <f t="shared" si="36"/>
        <v/>
      </c>
      <c r="AT218" s="308" t="str">
        <f t="shared" si="37"/>
        <v/>
      </c>
      <c r="AU218" s="308" t="str">
        <f t="shared" si="38"/>
        <v/>
      </c>
      <c r="AV218" s="304" t="str">
        <f t="shared" si="39"/>
        <v/>
      </c>
      <c r="AW218" s="308" t="str">
        <f t="shared" si="40"/>
        <v/>
      </c>
      <c r="AX218" s="308" t="str">
        <f t="shared" si="41"/>
        <v/>
      </c>
      <c r="AY218" s="304" t="str">
        <f t="shared" si="42"/>
        <v/>
      </c>
      <c r="AZ218" s="308" t="str">
        <f t="shared" si="43"/>
        <v/>
      </c>
      <c r="BA218" s="313" t="str">
        <f t="shared" si="44"/>
        <v/>
      </c>
      <c r="BB218" s="304" t="str">
        <f t="shared" si="45"/>
        <v/>
      </c>
      <c r="BC218" s="308" t="str">
        <f t="shared" si="46"/>
        <v/>
      </c>
      <c r="BD218" s="308" t="str">
        <f t="shared" si="47"/>
        <v/>
      </c>
    </row>
    <row r="219">
      <c r="A219" s="298"/>
      <c r="B219" s="299"/>
      <c r="C219" s="300"/>
      <c r="D219" s="301" t="str">
        <f>IFERROR(__xludf.DUMMYFUNCTION("if(ISBLANK(A219),"""",GOOGLEFINANCE(A219,""NAME""))"),"")</f>
        <v/>
      </c>
      <c r="E219" s="302">
        <v>5000.0</v>
      </c>
      <c r="F219" s="303" t="str">
        <f>IFERROR(__xludf.DUMMYFUNCTION("if(ISBLANK(A219),"""",GOOGLEFINANCE(A219,""HIGH52""))"),"")</f>
        <v/>
      </c>
      <c r="G219" s="303" t="str">
        <f>IFERROR(__xludf.DUMMYFUNCTION("if(ISBLANK(A219),"""",GOOGLEFINANCE(A219,""LOW52""))"),"")</f>
        <v/>
      </c>
      <c r="H219" s="304" t="str">
        <f>IFERROR(__xludf.DUMMYFUNCTION("if(ISBLANK(A219),"""",GOOGLEFINANCE(A219,""Price""))"),"")</f>
        <v/>
      </c>
      <c r="I219" s="305" t="str">
        <f t="shared" si="1"/>
        <v/>
      </c>
      <c r="J219" s="306" t="str">
        <f t="shared" si="2"/>
        <v/>
      </c>
      <c r="K219" s="307" t="str">
        <f>IFERROR(__xludf.DUMMYFUNCTION("if(ISBLANK(A219),"""",googlefinance(A219,""Marketcap"")/10000000)"),"")</f>
        <v/>
      </c>
      <c r="L219" s="309" t="str">
        <f t="shared" si="3"/>
        <v/>
      </c>
      <c r="M219" s="308" t="str">
        <f t="shared" si="4"/>
        <v/>
      </c>
      <c r="N219" s="309" t="str">
        <f t="shared" si="5"/>
        <v/>
      </c>
      <c r="O219" s="322" t="str">
        <f t="shared" si="6"/>
        <v/>
      </c>
      <c r="P219" s="308" t="str">
        <f t="shared" si="7"/>
        <v/>
      </c>
      <c r="Q219" s="311" t="str">
        <f t="shared" si="8"/>
        <v/>
      </c>
      <c r="R219" s="309" t="str">
        <f t="shared" si="9"/>
        <v/>
      </c>
      <c r="S219" s="308" t="str">
        <f t="shared" si="10"/>
        <v/>
      </c>
      <c r="T219" s="309" t="str">
        <f t="shared" si="11"/>
        <v/>
      </c>
      <c r="U219" s="309" t="str">
        <f t="shared" si="12"/>
        <v/>
      </c>
      <c r="V219" s="308" t="str">
        <f t="shared" si="13"/>
        <v/>
      </c>
      <c r="W219" s="309" t="str">
        <f t="shared" si="14"/>
        <v/>
      </c>
      <c r="X219" s="309" t="str">
        <f t="shared" si="15"/>
        <v/>
      </c>
      <c r="Y219" s="308" t="str">
        <f t="shared" si="16"/>
        <v/>
      </c>
      <c r="Z219" s="309" t="str">
        <f t="shared" si="17"/>
        <v/>
      </c>
      <c r="AA219" s="312" t="str">
        <f t="shared" si="18"/>
        <v/>
      </c>
      <c r="AB219" s="308" t="str">
        <f t="shared" si="19"/>
        <v/>
      </c>
      <c r="AC219" s="308" t="str">
        <f t="shared" si="20"/>
        <v/>
      </c>
      <c r="AD219" s="312" t="str">
        <f t="shared" si="21"/>
        <v/>
      </c>
      <c r="AE219" s="308" t="str">
        <f t="shared" si="22"/>
        <v/>
      </c>
      <c r="AF219" s="313" t="str">
        <f t="shared" si="23"/>
        <v/>
      </c>
      <c r="AG219" s="304" t="str">
        <f t="shared" si="24"/>
        <v/>
      </c>
      <c r="AH219" s="308" t="str">
        <f t="shared" si="25"/>
        <v/>
      </c>
      <c r="AI219" s="313" t="str">
        <f t="shared" si="26"/>
        <v/>
      </c>
      <c r="AJ219" s="304" t="str">
        <f t="shared" si="27"/>
        <v/>
      </c>
      <c r="AK219" s="308" t="str">
        <f t="shared" si="28"/>
        <v/>
      </c>
      <c r="AL219" s="308" t="str">
        <f t="shared" si="29"/>
        <v/>
      </c>
      <c r="AM219" s="304" t="str">
        <f t="shared" si="30"/>
        <v/>
      </c>
      <c r="AN219" s="308" t="str">
        <f t="shared" si="31"/>
        <v/>
      </c>
      <c r="AO219" s="313" t="str">
        <f t="shared" si="32"/>
        <v/>
      </c>
      <c r="AP219" s="304" t="str">
        <f t="shared" si="33"/>
        <v/>
      </c>
      <c r="AQ219" s="308" t="str">
        <f t="shared" si="34"/>
        <v/>
      </c>
      <c r="AR219" s="313" t="str">
        <f t="shared" si="35"/>
        <v/>
      </c>
      <c r="AS219" s="304" t="str">
        <f t="shared" si="36"/>
        <v/>
      </c>
      <c r="AT219" s="308" t="str">
        <f t="shared" si="37"/>
        <v/>
      </c>
      <c r="AU219" s="308" t="str">
        <f t="shared" si="38"/>
        <v/>
      </c>
      <c r="AV219" s="304" t="str">
        <f t="shared" si="39"/>
        <v/>
      </c>
      <c r="AW219" s="308" t="str">
        <f t="shared" si="40"/>
        <v/>
      </c>
      <c r="AX219" s="308" t="str">
        <f t="shared" si="41"/>
        <v/>
      </c>
      <c r="AY219" s="304" t="str">
        <f t="shared" si="42"/>
        <v/>
      </c>
      <c r="AZ219" s="308" t="str">
        <f t="shared" si="43"/>
        <v/>
      </c>
      <c r="BA219" s="313" t="str">
        <f t="shared" si="44"/>
        <v/>
      </c>
      <c r="BB219" s="304" t="str">
        <f t="shared" si="45"/>
        <v/>
      </c>
      <c r="BC219" s="308" t="str">
        <f t="shared" si="46"/>
        <v/>
      </c>
      <c r="BD219" s="308" t="str">
        <f t="shared" si="47"/>
        <v/>
      </c>
    </row>
    <row r="220">
      <c r="A220" s="298"/>
      <c r="B220" s="299"/>
      <c r="C220" s="300"/>
      <c r="D220" s="301" t="str">
        <f>IFERROR(__xludf.DUMMYFUNCTION("if(ISBLANK(A220),"""",GOOGLEFINANCE(A220,""NAME""))"),"")</f>
        <v/>
      </c>
      <c r="E220" s="302">
        <v>5000.0</v>
      </c>
      <c r="F220" s="303" t="str">
        <f>IFERROR(__xludf.DUMMYFUNCTION("if(ISBLANK(A220),"""",GOOGLEFINANCE(A220,""HIGH52""))"),"")</f>
        <v/>
      </c>
      <c r="G220" s="303" t="str">
        <f>IFERROR(__xludf.DUMMYFUNCTION("if(ISBLANK(A220),"""",GOOGLEFINANCE(A220,""LOW52""))"),"")</f>
        <v/>
      </c>
      <c r="H220" s="304" t="str">
        <f>IFERROR(__xludf.DUMMYFUNCTION("if(ISBLANK(A220),"""",GOOGLEFINANCE(A220,""Price""))"),"")</f>
        <v/>
      </c>
      <c r="I220" s="305" t="str">
        <f t="shared" si="1"/>
        <v/>
      </c>
      <c r="J220" s="306" t="str">
        <f t="shared" si="2"/>
        <v/>
      </c>
      <c r="K220" s="307" t="str">
        <f>IFERROR(__xludf.DUMMYFUNCTION("if(ISBLANK(A220),"""",googlefinance(A220,""Marketcap"")/10000000)"),"")</f>
        <v/>
      </c>
      <c r="L220" s="309" t="str">
        <f t="shared" si="3"/>
        <v/>
      </c>
      <c r="M220" s="308" t="str">
        <f t="shared" si="4"/>
        <v/>
      </c>
      <c r="N220" s="309" t="str">
        <f t="shared" si="5"/>
        <v/>
      </c>
      <c r="O220" s="322" t="str">
        <f t="shared" si="6"/>
        <v/>
      </c>
      <c r="P220" s="308" t="str">
        <f t="shared" si="7"/>
        <v/>
      </c>
      <c r="Q220" s="311" t="str">
        <f t="shared" si="8"/>
        <v/>
      </c>
      <c r="R220" s="309" t="str">
        <f t="shared" si="9"/>
        <v/>
      </c>
      <c r="S220" s="308" t="str">
        <f t="shared" si="10"/>
        <v/>
      </c>
      <c r="T220" s="309" t="str">
        <f t="shared" si="11"/>
        <v/>
      </c>
      <c r="U220" s="309" t="str">
        <f t="shared" si="12"/>
        <v/>
      </c>
      <c r="V220" s="308" t="str">
        <f t="shared" si="13"/>
        <v/>
      </c>
      <c r="W220" s="309" t="str">
        <f t="shared" si="14"/>
        <v/>
      </c>
      <c r="X220" s="309" t="str">
        <f t="shared" si="15"/>
        <v/>
      </c>
      <c r="Y220" s="308" t="str">
        <f t="shared" si="16"/>
        <v/>
      </c>
      <c r="Z220" s="309" t="str">
        <f t="shared" si="17"/>
        <v/>
      </c>
      <c r="AA220" s="312" t="str">
        <f t="shared" si="18"/>
        <v/>
      </c>
      <c r="AB220" s="308" t="str">
        <f t="shared" si="19"/>
        <v/>
      </c>
      <c r="AC220" s="308" t="str">
        <f t="shared" si="20"/>
        <v/>
      </c>
      <c r="AD220" s="312" t="str">
        <f t="shared" si="21"/>
        <v/>
      </c>
      <c r="AE220" s="308" t="str">
        <f t="shared" si="22"/>
        <v/>
      </c>
      <c r="AF220" s="313" t="str">
        <f t="shared" si="23"/>
        <v/>
      </c>
      <c r="AG220" s="304" t="str">
        <f t="shared" si="24"/>
        <v/>
      </c>
      <c r="AH220" s="308" t="str">
        <f t="shared" si="25"/>
        <v/>
      </c>
      <c r="AI220" s="313" t="str">
        <f t="shared" si="26"/>
        <v/>
      </c>
      <c r="AJ220" s="304" t="str">
        <f t="shared" si="27"/>
        <v/>
      </c>
      <c r="AK220" s="308" t="str">
        <f t="shared" si="28"/>
        <v/>
      </c>
      <c r="AL220" s="308" t="str">
        <f t="shared" si="29"/>
        <v/>
      </c>
      <c r="AM220" s="304" t="str">
        <f t="shared" si="30"/>
        <v/>
      </c>
      <c r="AN220" s="308" t="str">
        <f t="shared" si="31"/>
        <v/>
      </c>
      <c r="AO220" s="313" t="str">
        <f t="shared" si="32"/>
        <v/>
      </c>
      <c r="AP220" s="304" t="str">
        <f t="shared" si="33"/>
        <v/>
      </c>
      <c r="AQ220" s="308" t="str">
        <f t="shared" si="34"/>
        <v/>
      </c>
      <c r="AR220" s="313" t="str">
        <f t="shared" si="35"/>
        <v/>
      </c>
      <c r="AS220" s="304" t="str">
        <f t="shared" si="36"/>
        <v/>
      </c>
      <c r="AT220" s="308" t="str">
        <f t="shared" si="37"/>
        <v/>
      </c>
      <c r="AU220" s="308" t="str">
        <f t="shared" si="38"/>
        <v/>
      </c>
      <c r="AV220" s="304" t="str">
        <f t="shared" si="39"/>
        <v/>
      </c>
      <c r="AW220" s="308" t="str">
        <f t="shared" si="40"/>
        <v/>
      </c>
      <c r="AX220" s="308" t="str">
        <f t="shared" si="41"/>
        <v/>
      </c>
      <c r="AY220" s="304" t="str">
        <f t="shared" si="42"/>
        <v/>
      </c>
      <c r="AZ220" s="308" t="str">
        <f t="shared" si="43"/>
        <v/>
      </c>
      <c r="BA220" s="313" t="str">
        <f t="shared" si="44"/>
        <v/>
      </c>
      <c r="BB220" s="304" t="str">
        <f t="shared" si="45"/>
        <v/>
      </c>
      <c r="BC220" s="308" t="str">
        <f t="shared" si="46"/>
        <v/>
      </c>
      <c r="BD220" s="308" t="str">
        <f t="shared" si="47"/>
        <v/>
      </c>
    </row>
    <row r="221">
      <c r="A221" s="298"/>
      <c r="B221" s="299"/>
      <c r="C221" s="300"/>
      <c r="D221" s="301" t="str">
        <f>IFERROR(__xludf.DUMMYFUNCTION("if(ISBLANK(A221),"""",GOOGLEFINANCE(A221,""NAME""))"),"")</f>
        <v/>
      </c>
      <c r="E221" s="302">
        <v>5000.0</v>
      </c>
      <c r="F221" s="303" t="str">
        <f>IFERROR(__xludf.DUMMYFUNCTION("if(ISBLANK(A221),"""",GOOGLEFINANCE(A221,""HIGH52""))"),"")</f>
        <v/>
      </c>
      <c r="G221" s="303" t="str">
        <f>IFERROR(__xludf.DUMMYFUNCTION("if(ISBLANK(A221),"""",GOOGLEFINANCE(A221,""LOW52""))"),"")</f>
        <v/>
      </c>
      <c r="H221" s="304" t="str">
        <f>IFERROR(__xludf.DUMMYFUNCTION("if(ISBLANK(A221),"""",GOOGLEFINANCE(A221,""Price""))"),"")</f>
        <v/>
      </c>
      <c r="I221" s="305" t="str">
        <f t="shared" si="1"/>
        <v/>
      </c>
      <c r="J221" s="306" t="str">
        <f t="shared" si="2"/>
        <v/>
      </c>
      <c r="K221" s="307" t="str">
        <f>IFERROR(__xludf.DUMMYFUNCTION("if(ISBLANK(A221),"""",googlefinance(A221,""Marketcap"")/10000000)"),"")</f>
        <v/>
      </c>
      <c r="L221" s="309" t="str">
        <f t="shared" si="3"/>
        <v/>
      </c>
      <c r="M221" s="308" t="str">
        <f t="shared" si="4"/>
        <v/>
      </c>
      <c r="N221" s="309" t="str">
        <f t="shared" si="5"/>
        <v/>
      </c>
      <c r="O221" s="322" t="str">
        <f t="shared" si="6"/>
        <v/>
      </c>
      <c r="P221" s="308" t="str">
        <f t="shared" si="7"/>
        <v/>
      </c>
      <c r="Q221" s="311" t="str">
        <f t="shared" si="8"/>
        <v/>
      </c>
      <c r="R221" s="309" t="str">
        <f t="shared" si="9"/>
        <v/>
      </c>
      <c r="S221" s="308" t="str">
        <f t="shared" si="10"/>
        <v/>
      </c>
      <c r="T221" s="309" t="str">
        <f t="shared" si="11"/>
        <v/>
      </c>
      <c r="U221" s="309" t="str">
        <f t="shared" si="12"/>
        <v/>
      </c>
      <c r="V221" s="308" t="str">
        <f t="shared" si="13"/>
        <v/>
      </c>
      <c r="W221" s="309" t="str">
        <f t="shared" si="14"/>
        <v/>
      </c>
      <c r="X221" s="309" t="str">
        <f t="shared" si="15"/>
        <v/>
      </c>
      <c r="Y221" s="308" t="str">
        <f t="shared" si="16"/>
        <v/>
      </c>
      <c r="Z221" s="309" t="str">
        <f t="shared" si="17"/>
        <v/>
      </c>
      <c r="AA221" s="312" t="str">
        <f t="shared" si="18"/>
        <v/>
      </c>
      <c r="AB221" s="308" t="str">
        <f t="shared" si="19"/>
        <v/>
      </c>
      <c r="AC221" s="308" t="str">
        <f t="shared" si="20"/>
        <v/>
      </c>
      <c r="AD221" s="312" t="str">
        <f t="shared" si="21"/>
        <v/>
      </c>
      <c r="AE221" s="308" t="str">
        <f t="shared" si="22"/>
        <v/>
      </c>
      <c r="AF221" s="313" t="str">
        <f t="shared" si="23"/>
        <v/>
      </c>
      <c r="AG221" s="304" t="str">
        <f t="shared" si="24"/>
        <v/>
      </c>
      <c r="AH221" s="308" t="str">
        <f t="shared" si="25"/>
        <v/>
      </c>
      <c r="AI221" s="313" t="str">
        <f t="shared" si="26"/>
        <v/>
      </c>
      <c r="AJ221" s="304" t="str">
        <f t="shared" si="27"/>
        <v/>
      </c>
      <c r="AK221" s="308" t="str">
        <f t="shared" si="28"/>
        <v/>
      </c>
      <c r="AL221" s="308" t="str">
        <f t="shared" si="29"/>
        <v/>
      </c>
      <c r="AM221" s="304" t="str">
        <f t="shared" si="30"/>
        <v/>
      </c>
      <c r="AN221" s="308" t="str">
        <f t="shared" si="31"/>
        <v/>
      </c>
      <c r="AO221" s="313" t="str">
        <f t="shared" si="32"/>
        <v/>
      </c>
      <c r="AP221" s="304" t="str">
        <f t="shared" si="33"/>
        <v/>
      </c>
      <c r="AQ221" s="308" t="str">
        <f t="shared" si="34"/>
        <v/>
      </c>
      <c r="AR221" s="313" t="str">
        <f t="shared" si="35"/>
        <v/>
      </c>
      <c r="AS221" s="304" t="str">
        <f t="shared" si="36"/>
        <v/>
      </c>
      <c r="AT221" s="308" t="str">
        <f t="shared" si="37"/>
        <v/>
      </c>
      <c r="AU221" s="308" t="str">
        <f t="shared" si="38"/>
        <v/>
      </c>
      <c r="AV221" s="304" t="str">
        <f t="shared" si="39"/>
        <v/>
      </c>
      <c r="AW221" s="308" t="str">
        <f t="shared" si="40"/>
        <v/>
      </c>
      <c r="AX221" s="308" t="str">
        <f t="shared" si="41"/>
        <v/>
      </c>
      <c r="AY221" s="304" t="str">
        <f t="shared" si="42"/>
        <v/>
      </c>
      <c r="AZ221" s="308" t="str">
        <f t="shared" si="43"/>
        <v/>
      </c>
      <c r="BA221" s="313" t="str">
        <f t="shared" si="44"/>
        <v/>
      </c>
      <c r="BB221" s="304" t="str">
        <f t="shared" si="45"/>
        <v/>
      </c>
      <c r="BC221" s="308" t="str">
        <f t="shared" si="46"/>
        <v/>
      </c>
      <c r="BD221" s="308" t="str">
        <f t="shared" si="47"/>
        <v/>
      </c>
    </row>
    <row r="222">
      <c r="A222" s="298"/>
      <c r="B222" s="299"/>
      <c r="C222" s="300"/>
      <c r="D222" s="301" t="str">
        <f>IFERROR(__xludf.DUMMYFUNCTION("if(ISBLANK(A222),"""",GOOGLEFINANCE(A222,""NAME""))"),"")</f>
        <v/>
      </c>
      <c r="E222" s="302">
        <v>5000.0</v>
      </c>
      <c r="F222" s="303" t="str">
        <f>IFERROR(__xludf.DUMMYFUNCTION("if(ISBLANK(A222),"""",GOOGLEFINANCE(A222,""HIGH52""))"),"")</f>
        <v/>
      </c>
      <c r="G222" s="303" t="str">
        <f>IFERROR(__xludf.DUMMYFUNCTION("if(ISBLANK(A222),"""",GOOGLEFINANCE(A222,""LOW52""))"),"")</f>
        <v/>
      </c>
      <c r="H222" s="304" t="str">
        <f>IFERROR(__xludf.DUMMYFUNCTION("if(ISBLANK(A222),"""",GOOGLEFINANCE(A222,""Price""))"),"")</f>
        <v/>
      </c>
      <c r="I222" s="305" t="str">
        <f t="shared" si="1"/>
        <v/>
      </c>
      <c r="J222" s="306" t="str">
        <f t="shared" si="2"/>
        <v/>
      </c>
      <c r="K222" s="307" t="str">
        <f>IFERROR(__xludf.DUMMYFUNCTION("if(ISBLANK(A222),"""",googlefinance(A222,""Marketcap"")/10000000)"),"")</f>
        <v/>
      </c>
      <c r="L222" s="309" t="str">
        <f t="shared" si="3"/>
        <v/>
      </c>
      <c r="M222" s="308" t="str">
        <f t="shared" si="4"/>
        <v/>
      </c>
      <c r="N222" s="309" t="str">
        <f t="shared" si="5"/>
        <v/>
      </c>
      <c r="O222" s="322" t="str">
        <f t="shared" si="6"/>
        <v/>
      </c>
      <c r="P222" s="308" t="str">
        <f t="shared" si="7"/>
        <v/>
      </c>
      <c r="Q222" s="311" t="str">
        <f t="shared" si="8"/>
        <v/>
      </c>
      <c r="R222" s="309" t="str">
        <f t="shared" si="9"/>
        <v/>
      </c>
      <c r="S222" s="308" t="str">
        <f t="shared" si="10"/>
        <v/>
      </c>
      <c r="T222" s="309" t="str">
        <f t="shared" si="11"/>
        <v/>
      </c>
      <c r="U222" s="309" t="str">
        <f t="shared" si="12"/>
        <v/>
      </c>
      <c r="V222" s="308" t="str">
        <f t="shared" si="13"/>
        <v/>
      </c>
      <c r="W222" s="309" t="str">
        <f t="shared" si="14"/>
        <v/>
      </c>
      <c r="X222" s="309" t="str">
        <f t="shared" si="15"/>
        <v/>
      </c>
      <c r="Y222" s="308" t="str">
        <f t="shared" si="16"/>
        <v/>
      </c>
      <c r="Z222" s="309" t="str">
        <f t="shared" si="17"/>
        <v/>
      </c>
      <c r="AA222" s="312" t="str">
        <f t="shared" si="18"/>
        <v/>
      </c>
      <c r="AB222" s="308" t="str">
        <f t="shared" si="19"/>
        <v/>
      </c>
      <c r="AC222" s="308" t="str">
        <f t="shared" si="20"/>
        <v/>
      </c>
      <c r="AD222" s="312" t="str">
        <f t="shared" si="21"/>
        <v/>
      </c>
      <c r="AE222" s="308" t="str">
        <f t="shared" si="22"/>
        <v/>
      </c>
      <c r="AF222" s="313" t="str">
        <f t="shared" si="23"/>
        <v/>
      </c>
      <c r="AG222" s="304" t="str">
        <f t="shared" si="24"/>
        <v/>
      </c>
      <c r="AH222" s="308" t="str">
        <f t="shared" si="25"/>
        <v/>
      </c>
      <c r="AI222" s="313" t="str">
        <f t="shared" si="26"/>
        <v/>
      </c>
      <c r="AJ222" s="304" t="str">
        <f t="shared" si="27"/>
        <v/>
      </c>
      <c r="AK222" s="308" t="str">
        <f t="shared" si="28"/>
        <v/>
      </c>
      <c r="AL222" s="308" t="str">
        <f t="shared" si="29"/>
        <v/>
      </c>
      <c r="AM222" s="304" t="str">
        <f t="shared" si="30"/>
        <v/>
      </c>
      <c r="AN222" s="308" t="str">
        <f t="shared" si="31"/>
        <v/>
      </c>
      <c r="AO222" s="313" t="str">
        <f t="shared" si="32"/>
        <v/>
      </c>
      <c r="AP222" s="304" t="str">
        <f t="shared" si="33"/>
        <v/>
      </c>
      <c r="AQ222" s="308" t="str">
        <f t="shared" si="34"/>
        <v/>
      </c>
      <c r="AR222" s="313" t="str">
        <f t="shared" si="35"/>
        <v/>
      </c>
      <c r="AS222" s="304" t="str">
        <f t="shared" si="36"/>
        <v/>
      </c>
      <c r="AT222" s="308" t="str">
        <f t="shared" si="37"/>
        <v/>
      </c>
      <c r="AU222" s="308" t="str">
        <f t="shared" si="38"/>
        <v/>
      </c>
      <c r="AV222" s="304" t="str">
        <f t="shared" si="39"/>
        <v/>
      </c>
      <c r="AW222" s="308" t="str">
        <f t="shared" si="40"/>
        <v/>
      </c>
      <c r="AX222" s="308" t="str">
        <f t="shared" si="41"/>
        <v/>
      </c>
      <c r="AY222" s="304" t="str">
        <f t="shared" si="42"/>
        <v/>
      </c>
      <c r="AZ222" s="308" t="str">
        <f t="shared" si="43"/>
        <v/>
      </c>
      <c r="BA222" s="313" t="str">
        <f t="shared" si="44"/>
        <v/>
      </c>
      <c r="BB222" s="304" t="str">
        <f t="shared" si="45"/>
        <v/>
      </c>
      <c r="BC222" s="308" t="str">
        <f t="shared" si="46"/>
        <v/>
      </c>
      <c r="BD222" s="308" t="str">
        <f t="shared" si="47"/>
        <v/>
      </c>
    </row>
    <row r="223">
      <c r="A223" s="298"/>
      <c r="B223" s="299"/>
      <c r="C223" s="300"/>
      <c r="D223" s="301" t="str">
        <f>IFERROR(__xludf.DUMMYFUNCTION("if(ISBLANK(A223),"""",GOOGLEFINANCE(A223,""NAME""))"),"")</f>
        <v/>
      </c>
      <c r="E223" s="302">
        <v>5000.0</v>
      </c>
      <c r="F223" s="303" t="str">
        <f>IFERROR(__xludf.DUMMYFUNCTION("if(ISBLANK(A223),"""",GOOGLEFINANCE(A223,""HIGH52""))"),"")</f>
        <v/>
      </c>
      <c r="G223" s="303" t="str">
        <f>IFERROR(__xludf.DUMMYFUNCTION("if(ISBLANK(A223),"""",GOOGLEFINANCE(A223,""LOW52""))"),"")</f>
        <v/>
      </c>
      <c r="H223" s="304" t="str">
        <f>IFERROR(__xludf.DUMMYFUNCTION("if(ISBLANK(A223),"""",GOOGLEFINANCE(A223,""Price""))"),"")</f>
        <v/>
      </c>
      <c r="I223" s="305" t="str">
        <f t="shared" si="1"/>
        <v/>
      </c>
      <c r="J223" s="306" t="str">
        <f t="shared" si="2"/>
        <v/>
      </c>
      <c r="K223" s="307" t="str">
        <f>IFERROR(__xludf.DUMMYFUNCTION("if(ISBLANK(A223),"""",googlefinance(A223,""Marketcap"")/10000000)"),"")</f>
        <v/>
      </c>
      <c r="L223" s="309" t="str">
        <f t="shared" si="3"/>
        <v/>
      </c>
      <c r="M223" s="308" t="str">
        <f t="shared" si="4"/>
        <v/>
      </c>
      <c r="N223" s="309" t="str">
        <f t="shared" si="5"/>
        <v/>
      </c>
      <c r="O223" s="322" t="str">
        <f t="shared" si="6"/>
        <v/>
      </c>
      <c r="P223" s="308" t="str">
        <f t="shared" si="7"/>
        <v/>
      </c>
      <c r="Q223" s="311" t="str">
        <f t="shared" si="8"/>
        <v/>
      </c>
      <c r="R223" s="309" t="str">
        <f t="shared" si="9"/>
        <v/>
      </c>
      <c r="S223" s="308" t="str">
        <f t="shared" si="10"/>
        <v/>
      </c>
      <c r="T223" s="309" t="str">
        <f t="shared" si="11"/>
        <v/>
      </c>
      <c r="U223" s="309" t="str">
        <f t="shared" si="12"/>
        <v/>
      </c>
      <c r="V223" s="308" t="str">
        <f t="shared" si="13"/>
        <v/>
      </c>
      <c r="W223" s="309" t="str">
        <f t="shared" si="14"/>
        <v/>
      </c>
      <c r="X223" s="309" t="str">
        <f t="shared" si="15"/>
        <v/>
      </c>
      <c r="Y223" s="308" t="str">
        <f t="shared" si="16"/>
        <v/>
      </c>
      <c r="Z223" s="309" t="str">
        <f t="shared" si="17"/>
        <v/>
      </c>
      <c r="AA223" s="312" t="str">
        <f t="shared" si="18"/>
        <v/>
      </c>
      <c r="AB223" s="308" t="str">
        <f t="shared" si="19"/>
        <v/>
      </c>
      <c r="AC223" s="308" t="str">
        <f t="shared" si="20"/>
        <v/>
      </c>
      <c r="AD223" s="312" t="str">
        <f t="shared" si="21"/>
        <v/>
      </c>
      <c r="AE223" s="308" t="str">
        <f t="shared" si="22"/>
        <v/>
      </c>
      <c r="AF223" s="313" t="str">
        <f t="shared" si="23"/>
        <v/>
      </c>
      <c r="AG223" s="304" t="str">
        <f t="shared" si="24"/>
        <v/>
      </c>
      <c r="AH223" s="308" t="str">
        <f t="shared" si="25"/>
        <v/>
      </c>
      <c r="AI223" s="313" t="str">
        <f t="shared" si="26"/>
        <v/>
      </c>
      <c r="AJ223" s="304" t="str">
        <f t="shared" si="27"/>
        <v/>
      </c>
      <c r="AK223" s="308" t="str">
        <f t="shared" si="28"/>
        <v/>
      </c>
      <c r="AL223" s="308" t="str">
        <f t="shared" si="29"/>
        <v/>
      </c>
      <c r="AM223" s="304" t="str">
        <f t="shared" si="30"/>
        <v/>
      </c>
      <c r="AN223" s="308" t="str">
        <f t="shared" si="31"/>
        <v/>
      </c>
      <c r="AO223" s="313" t="str">
        <f t="shared" si="32"/>
        <v/>
      </c>
      <c r="AP223" s="304" t="str">
        <f t="shared" si="33"/>
        <v/>
      </c>
      <c r="AQ223" s="308" t="str">
        <f t="shared" si="34"/>
        <v/>
      </c>
      <c r="AR223" s="313" t="str">
        <f t="shared" si="35"/>
        <v/>
      </c>
      <c r="AS223" s="304" t="str">
        <f t="shared" si="36"/>
        <v/>
      </c>
      <c r="AT223" s="308" t="str">
        <f t="shared" si="37"/>
        <v/>
      </c>
      <c r="AU223" s="308" t="str">
        <f t="shared" si="38"/>
        <v/>
      </c>
      <c r="AV223" s="304" t="str">
        <f t="shared" si="39"/>
        <v/>
      </c>
      <c r="AW223" s="308" t="str">
        <f t="shared" si="40"/>
        <v/>
      </c>
      <c r="AX223" s="308" t="str">
        <f t="shared" si="41"/>
        <v/>
      </c>
      <c r="AY223" s="304" t="str">
        <f t="shared" si="42"/>
        <v/>
      </c>
      <c r="AZ223" s="308" t="str">
        <f t="shared" si="43"/>
        <v/>
      </c>
      <c r="BA223" s="313" t="str">
        <f t="shared" si="44"/>
        <v/>
      </c>
      <c r="BB223" s="304" t="str">
        <f t="shared" si="45"/>
        <v/>
      </c>
      <c r="BC223" s="308" t="str">
        <f t="shared" si="46"/>
        <v/>
      </c>
      <c r="BD223" s="308" t="str">
        <f t="shared" si="47"/>
        <v/>
      </c>
    </row>
    <row r="224">
      <c r="A224" s="298"/>
      <c r="B224" s="299"/>
      <c r="C224" s="300"/>
      <c r="D224" s="301" t="str">
        <f>IFERROR(__xludf.DUMMYFUNCTION("if(ISBLANK(A224),"""",GOOGLEFINANCE(A224,""NAME""))"),"")</f>
        <v/>
      </c>
      <c r="E224" s="302">
        <v>5000.0</v>
      </c>
      <c r="F224" s="303" t="str">
        <f>IFERROR(__xludf.DUMMYFUNCTION("if(ISBLANK(A224),"""",GOOGLEFINANCE(A224,""HIGH52""))"),"")</f>
        <v/>
      </c>
      <c r="G224" s="303" t="str">
        <f>IFERROR(__xludf.DUMMYFUNCTION("if(ISBLANK(A224),"""",GOOGLEFINANCE(A224,""LOW52""))"),"")</f>
        <v/>
      </c>
      <c r="H224" s="304" t="str">
        <f>IFERROR(__xludf.DUMMYFUNCTION("if(ISBLANK(A224),"""",GOOGLEFINANCE(A224,""Price""))"),"")</f>
        <v/>
      </c>
      <c r="I224" s="305" t="str">
        <f t="shared" si="1"/>
        <v/>
      </c>
      <c r="J224" s="306" t="str">
        <f t="shared" si="2"/>
        <v/>
      </c>
      <c r="K224" s="307" t="str">
        <f>IFERROR(__xludf.DUMMYFUNCTION("if(ISBLANK(A224),"""",googlefinance(A224,""Marketcap"")/10000000)"),"")</f>
        <v/>
      </c>
      <c r="L224" s="309" t="str">
        <f t="shared" si="3"/>
        <v/>
      </c>
      <c r="M224" s="308" t="str">
        <f t="shared" si="4"/>
        <v/>
      </c>
      <c r="N224" s="309" t="str">
        <f t="shared" si="5"/>
        <v/>
      </c>
      <c r="O224" s="322" t="str">
        <f t="shared" si="6"/>
        <v/>
      </c>
      <c r="P224" s="308" t="str">
        <f t="shared" si="7"/>
        <v/>
      </c>
      <c r="Q224" s="311" t="str">
        <f t="shared" si="8"/>
        <v/>
      </c>
      <c r="R224" s="309" t="str">
        <f t="shared" si="9"/>
        <v/>
      </c>
      <c r="S224" s="308" t="str">
        <f t="shared" si="10"/>
        <v/>
      </c>
      <c r="T224" s="309" t="str">
        <f t="shared" si="11"/>
        <v/>
      </c>
      <c r="U224" s="309" t="str">
        <f t="shared" si="12"/>
        <v/>
      </c>
      <c r="V224" s="308" t="str">
        <f t="shared" si="13"/>
        <v/>
      </c>
      <c r="W224" s="309" t="str">
        <f t="shared" si="14"/>
        <v/>
      </c>
      <c r="X224" s="309" t="str">
        <f t="shared" si="15"/>
        <v/>
      </c>
      <c r="Y224" s="308" t="str">
        <f t="shared" si="16"/>
        <v/>
      </c>
      <c r="Z224" s="309" t="str">
        <f t="shared" si="17"/>
        <v/>
      </c>
      <c r="AA224" s="312" t="str">
        <f t="shared" si="18"/>
        <v/>
      </c>
      <c r="AB224" s="308" t="str">
        <f t="shared" si="19"/>
        <v/>
      </c>
      <c r="AC224" s="308" t="str">
        <f t="shared" si="20"/>
        <v/>
      </c>
      <c r="AD224" s="312" t="str">
        <f t="shared" si="21"/>
        <v/>
      </c>
      <c r="AE224" s="308" t="str">
        <f t="shared" si="22"/>
        <v/>
      </c>
      <c r="AF224" s="313" t="str">
        <f t="shared" si="23"/>
        <v/>
      </c>
      <c r="AG224" s="304" t="str">
        <f t="shared" si="24"/>
        <v/>
      </c>
      <c r="AH224" s="308" t="str">
        <f t="shared" si="25"/>
        <v/>
      </c>
      <c r="AI224" s="313" t="str">
        <f t="shared" si="26"/>
        <v/>
      </c>
      <c r="AJ224" s="304" t="str">
        <f t="shared" si="27"/>
        <v/>
      </c>
      <c r="AK224" s="308" t="str">
        <f t="shared" si="28"/>
        <v/>
      </c>
      <c r="AL224" s="308" t="str">
        <f t="shared" si="29"/>
        <v/>
      </c>
      <c r="AM224" s="304" t="str">
        <f t="shared" si="30"/>
        <v/>
      </c>
      <c r="AN224" s="308" t="str">
        <f t="shared" si="31"/>
        <v/>
      </c>
      <c r="AO224" s="313" t="str">
        <f t="shared" si="32"/>
        <v/>
      </c>
      <c r="AP224" s="304" t="str">
        <f t="shared" si="33"/>
        <v/>
      </c>
      <c r="AQ224" s="308" t="str">
        <f t="shared" si="34"/>
        <v/>
      </c>
      <c r="AR224" s="313" t="str">
        <f t="shared" si="35"/>
        <v/>
      </c>
      <c r="AS224" s="304" t="str">
        <f t="shared" si="36"/>
        <v/>
      </c>
      <c r="AT224" s="308" t="str">
        <f t="shared" si="37"/>
        <v/>
      </c>
      <c r="AU224" s="308" t="str">
        <f t="shared" si="38"/>
        <v/>
      </c>
      <c r="AV224" s="304" t="str">
        <f t="shared" si="39"/>
        <v/>
      </c>
      <c r="AW224" s="308" t="str">
        <f t="shared" si="40"/>
        <v/>
      </c>
      <c r="AX224" s="308" t="str">
        <f t="shared" si="41"/>
        <v/>
      </c>
      <c r="AY224" s="304" t="str">
        <f t="shared" si="42"/>
        <v/>
      </c>
      <c r="AZ224" s="308" t="str">
        <f t="shared" si="43"/>
        <v/>
      </c>
      <c r="BA224" s="313" t="str">
        <f t="shared" si="44"/>
        <v/>
      </c>
      <c r="BB224" s="304" t="str">
        <f t="shared" si="45"/>
        <v/>
      </c>
      <c r="BC224" s="308" t="str">
        <f t="shared" si="46"/>
        <v/>
      </c>
      <c r="BD224" s="308" t="str">
        <f t="shared" si="47"/>
        <v/>
      </c>
    </row>
    <row r="225">
      <c r="A225" s="298"/>
      <c r="B225" s="299"/>
      <c r="C225" s="300"/>
      <c r="D225" s="301" t="str">
        <f>IFERROR(__xludf.DUMMYFUNCTION("if(ISBLANK(A225),"""",GOOGLEFINANCE(A225,""NAME""))"),"")</f>
        <v/>
      </c>
      <c r="E225" s="302">
        <v>5000.0</v>
      </c>
      <c r="F225" s="303" t="str">
        <f>IFERROR(__xludf.DUMMYFUNCTION("if(ISBLANK(A225),"""",GOOGLEFINANCE(A225,""HIGH52""))"),"")</f>
        <v/>
      </c>
      <c r="G225" s="303" t="str">
        <f>IFERROR(__xludf.DUMMYFUNCTION("if(ISBLANK(A225),"""",GOOGLEFINANCE(A225,""LOW52""))"),"")</f>
        <v/>
      </c>
      <c r="H225" s="304" t="str">
        <f>IFERROR(__xludf.DUMMYFUNCTION("if(ISBLANK(A225),"""",GOOGLEFINANCE(A225,""Price""))"),"")</f>
        <v/>
      </c>
      <c r="I225" s="305" t="str">
        <f t="shared" si="1"/>
        <v/>
      </c>
      <c r="J225" s="306" t="str">
        <f t="shared" si="2"/>
        <v/>
      </c>
      <c r="K225" s="307" t="str">
        <f>IFERROR(__xludf.DUMMYFUNCTION("if(ISBLANK(A225),"""",googlefinance(A225,""Marketcap"")/10000000)"),"")</f>
        <v/>
      </c>
      <c r="L225" s="309" t="str">
        <f t="shared" si="3"/>
        <v/>
      </c>
      <c r="M225" s="308" t="str">
        <f t="shared" si="4"/>
        <v/>
      </c>
      <c r="N225" s="309" t="str">
        <f t="shared" si="5"/>
        <v/>
      </c>
      <c r="O225" s="322" t="str">
        <f t="shared" si="6"/>
        <v/>
      </c>
      <c r="P225" s="308" t="str">
        <f t="shared" si="7"/>
        <v/>
      </c>
      <c r="Q225" s="311" t="str">
        <f t="shared" si="8"/>
        <v/>
      </c>
      <c r="R225" s="309" t="str">
        <f t="shared" si="9"/>
        <v/>
      </c>
      <c r="S225" s="308" t="str">
        <f t="shared" si="10"/>
        <v/>
      </c>
      <c r="T225" s="309" t="str">
        <f t="shared" si="11"/>
        <v/>
      </c>
      <c r="U225" s="309" t="str">
        <f t="shared" si="12"/>
        <v/>
      </c>
      <c r="V225" s="308" t="str">
        <f t="shared" si="13"/>
        <v/>
      </c>
      <c r="W225" s="309" t="str">
        <f t="shared" si="14"/>
        <v/>
      </c>
      <c r="X225" s="309" t="str">
        <f t="shared" si="15"/>
        <v/>
      </c>
      <c r="Y225" s="308" t="str">
        <f t="shared" si="16"/>
        <v/>
      </c>
      <c r="Z225" s="309" t="str">
        <f t="shared" si="17"/>
        <v/>
      </c>
      <c r="AA225" s="312" t="str">
        <f t="shared" si="18"/>
        <v/>
      </c>
      <c r="AB225" s="308" t="str">
        <f t="shared" si="19"/>
        <v/>
      </c>
      <c r="AC225" s="308" t="str">
        <f t="shared" si="20"/>
        <v/>
      </c>
      <c r="AD225" s="312" t="str">
        <f t="shared" si="21"/>
        <v/>
      </c>
      <c r="AE225" s="308" t="str">
        <f t="shared" si="22"/>
        <v/>
      </c>
      <c r="AF225" s="313" t="str">
        <f t="shared" si="23"/>
        <v/>
      </c>
      <c r="AG225" s="304" t="str">
        <f t="shared" si="24"/>
        <v/>
      </c>
      <c r="AH225" s="308" t="str">
        <f t="shared" si="25"/>
        <v/>
      </c>
      <c r="AI225" s="313" t="str">
        <f t="shared" si="26"/>
        <v/>
      </c>
      <c r="AJ225" s="304" t="str">
        <f t="shared" si="27"/>
        <v/>
      </c>
      <c r="AK225" s="308" t="str">
        <f t="shared" si="28"/>
        <v/>
      </c>
      <c r="AL225" s="308" t="str">
        <f t="shared" si="29"/>
        <v/>
      </c>
      <c r="AM225" s="304" t="str">
        <f t="shared" si="30"/>
        <v/>
      </c>
      <c r="AN225" s="308" t="str">
        <f t="shared" si="31"/>
        <v/>
      </c>
      <c r="AO225" s="313" t="str">
        <f t="shared" si="32"/>
        <v/>
      </c>
      <c r="AP225" s="304" t="str">
        <f t="shared" si="33"/>
        <v/>
      </c>
      <c r="AQ225" s="308" t="str">
        <f t="shared" si="34"/>
        <v/>
      </c>
      <c r="AR225" s="313" t="str">
        <f t="shared" si="35"/>
        <v/>
      </c>
      <c r="AS225" s="304" t="str">
        <f t="shared" si="36"/>
        <v/>
      </c>
      <c r="AT225" s="308" t="str">
        <f t="shared" si="37"/>
        <v/>
      </c>
      <c r="AU225" s="308" t="str">
        <f t="shared" si="38"/>
        <v/>
      </c>
      <c r="AV225" s="304" t="str">
        <f t="shared" si="39"/>
        <v/>
      </c>
      <c r="AW225" s="308" t="str">
        <f t="shared" si="40"/>
        <v/>
      </c>
      <c r="AX225" s="308" t="str">
        <f t="shared" si="41"/>
        <v/>
      </c>
      <c r="AY225" s="304" t="str">
        <f t="shared" si="42"/>
        <v/>
      </c>
      <c r="AZ225" s="308" t="str">
        <f t="shared" si="43"/>
        <v/>
      </c>
      <c r="BA225" s="313" t="str">
        <f t="shared" si="44"/>
        <v/>
      </c>
      <c r="BB225" s="304" t="str">
        <f t="shared" si="45"/>
        <v/>
      </c>
      <c r="BC225" s="308" t="str">
        <f t="shared" si="46"/>
        <v/>
      </c>
      <c r="BD225" s="308" t="str">
        <f t="shared" si="47"/>
        <v/>
      </c>
    </row>
    <row r="226">
      <c r="A226" s="298"/>
      <c r="B226" s="299"/>
      <c r="C226" s="300"/>
      <c r="D226" s="301" t="str">
        <f>IFERROR(__xludf.DUMMYFUNCTION("if(ISBLANK(A226),"""",GOOGLEFINANCE(A226,""NAME""))"),"")</f>
        <v/>
      </c>
      <c r="E226" s="302">
        <v>5000.0</v>
      </c>
      <c r="F226" s="303" t="str">
        <f>IFERROR(__xludf.DUMMYFUNCTION("if(ISBLANK(A226),"""",GOOGLEFINANCE(A226,""HIGH52""))"),"")</f>
        <v/>
      </c>
      <c r="G226" s="303" t="str">
        <f>IFERROR(__xludf.DUMMYFUNCTION("if(ISBLANK(A226),"""",GOOGLEFINANCE(A226,""LOW52""))"),"")</f>
        <v/>
      </c>
      <c r="H226" s="304" t="str">
        <f>IFERROR(__xludf.DUMMYFUNCTION("if(ISBLANK(A226),"""",GOOGLEFINANCE(A226,""Price""))"),"")</f>
        <v/>
      </c>
      <c r="I226" s="305" t="str">
        <f t="shared" si="1"/>
        <v/>
      </c>
      <c r="J226" s="306" t="str">
        <f t="shared" si="2"/>
        <v/>
      </c>
      <c r="K226" s="307" t="str">
        <f>IFERROR(__xludf.DUMMYFUNCTION("if(ISBLANK(A226),"""",googlefinance(A226,""Marketcap"")/10000000)"),"")</f>
        <v/>
      </c>
      <c r="L226" s="309" t="str">
        <f t="shared" si="3"/>
        <v/>
      </c>
      <c r="M226" s="308" t="str">
        <f t="shared" si="4"/>
        <v/>
      </c>
      <c r="N226" s="309" t="str">
        <f t="shared" si="5"/>
        <v/>
      </c>
      <c r="O226" s="322" t="str">
        <f t="shared" si="6"/>
        <v/>
      </c>
      <c r="P226" s="308" t="str">
        <f t="shared" si="7"/>
        <v/>
      </c>
      <c r="Q226" s="311" t="str">
        <f t="shared" si="8"/>
        <v/>
      </c>
      <c r="R226" s="309" t="str">
        <f t="shared" si="9"/>
        <v/>
      </c>
      <c r="S226" s="308" t="str">
        <f t="shared" si="10"/>
        <v/>
      </c>
      <c r="T226" s="309" t="str">
        <f t="shared" si="11"/>
        <v/>
      </c>
      <c r="U226" s="309" t="str">
        <f t="shared" si="12"/>
        <v/>
      </c>
      <c r="V226" s="308" t="str">
        <f t="shared" si="13"/>
        <v/>
      </c>
      <c r="W226" s="309" t="str">
        <f t="shared" si="14"/>
        <v/>
      </c>
      <c r="X226" s="309" t="str">
        <f t="shared" si="15"/>
        <v/>
      </c>
      <c r="Y226" s="308" t="str">
        <f t="shared" si="16"/>
        <v/>
      </c>
      <c r="Z226" s="309" t="str">
        <f t="shared" si="17"/>
        <v/>
      </c>
      <c r="AA226" s="312" t="str">
        <f t="shared" si="18"/>
        <v/>
      </c>
      <c r="AB226" s="308" t="str">
        <f t="shared" si="19"/>
        <v/>
      </c>
      <c r="AC226" s="308" t="str">
        <f t="shared" si="20"/>
        <v/>
      </c>
      <c r="AD226" s="312" t="str">
        <f t="shared" si="21"/>
        <v/>
      </c>
      <c r="AE226" s="308" t="str">
        <f t="shared" si="22"/>
        <v/>
      </c>
      <c r="AF226" s="313" t="str">
        <f t="shared" si="23"/>
        <v/>
      </c>
      <c r="AG226" s="304" t="str">
        <f t="shared" si="24"/>
        <v/>
      </c>
      <c r="AH226" s="308" t="str">
        <f t="shared" si="25"/>
        <v/>
      </c>
      <c r="AI226" s="313" t="str">
        <f t="shared" si="26"/>
        <v/>
      </c>
      <c r="AJ226" s="304" t="str">
        <f t="shared" si="27"/>
        <v/>
      </c>
      <c r="AK226" s="308" t="str">
        <f t="shared" si="28"/>
        <v/>
      </c>
      <c r="AL226" s="308" t="str">
        <f t="shared" si="29"/>
        <v/>
      </c>
      <c r="AM226" s="304" t="str">
        <f t="shared" si="30"/>
        <v/>
      </c>
      <c r="AN226" s="308" t="str">
        <f t="shared" si="31"/>
        <v/>
      </c>
      <c r="AO226" s="313" t="str">
        <f t="shared" si="32"/>
        <v/>
      </c>
      <c r="AP226" s="304" t="str">
        <f t="shared" si="33"/>
        <v/>
      </c>
      <c r="AQ226" s="308" t="str">
        <f t="shared" si="34"/>
        <v/>
      </c>
      <c r="AR226" s="313" t="str">
        <f t="shared" si="35"/>
        <v/>
      </c>
      <c r="AS226" s="304" t="str">
        <f t="shared" si="36"/>
        <v/>
      </c>
      <c r="AT226" s="308" t="str">
        <f t="shared" si="37"/>
        <v/>
      </c>
      <c r="AU226" s="308" t="str">
        <f t="shared" si="38"/>
        <v/>
      </c>
      <c r="AV226" s="304" t="str">
        <f t="shared" si="39"/>
        <v/>
      </c>
      <c r="AW226" s="308" t="str">
        <f t="shared" si="40"/>
        <v/>
      </c>
      <c r="AX226" s="308" t="str">
        <f t="shared" si="41"/>
        <v/>
      </c>
      <c r="AY226" s="304" t="str">
        <f t="shared" si="42"/>
        <v/>
      </c>
      <c r="AZ226" s="308" t="str">
        <f t="shared" si="43"/>
        <v/>
      </c>
      <c r="BA226" s="313" t="str">
        <f t="shared" si="44"/>
        <v/>
      </c>
      <c r="BB226" s="304" t="str">
        <f t="shared" si="45"/>
        <v/>
      </c>
      <c r="BC226" s="308" t="str">
        <f t="shared" si="46"/>
        <v/>
      </c>
      <c r="BD226" s="308" t="str">
        <f t="shared" si="47"/>
        <v/>
      </c>
    </row>
    <row r="227">
      <c r="A227" s="298"/>
      <c r="B227" s="299"/>
      <c r="C227" s="300"/>
      <c r="D227" s="301" t="str">
        <f>IFERROR(__xludf.DUMMYFUNCTION("if(ISBLANK(A227),"""",GOOGLEFINANCE(A227,""NAME""))"),"")</f>
        <v/>
      </c>
      <c r="E227" s="302">
        <v>5000.0</v>
      </c>
      <c r="F227" s="303" t="str">
        <f>IFERROR(__xludf.DUMMYFUNCTION("if(ISBLANK(A227),"""",GOOGLEFINANCE(A227,""HIGH52""))"),"")</f>
        <v/>
      </c>
      <c r="G227" s="303" t="str">
        <f>IFERROR(__xludf.DUMMYFUNCTION("if(ISBLANK(A227),"""",GOOGLEFINANCE(A227,""LOW52""))"),"")</f>
        <v/>
      </c>
      <c r="H227" s="304" t="str">
        <f>IFERROR(__xludf.DUMMYFUNCTION("if(ISBLANK(A227),"""",GOOGLEFINANCE(A227,""Price""))"),"")</f>
        <v/>
      </c>
      <c r="I227" s="305" t="str">
        <f t="shared" si="1"/>
        <v/>
      </c>
      <c r="J227" s="306" t="str">
        <f t="shared" si="2"/>
        <v/>
      </c>
      <c r="K227" s="307" t="str">
        <f>IFERROR(__xludf.DUMMYFUNCTION("if(ISBLANK(A227),"""",googlefinance(A227,""Marketcap"")/10000000)"),"")</f>
        <v/>
      </c>
      <c r="L227" s="309" t="str">
        <f t="shared" si="3"/>
        <v/>
      </c>
      <c r="M227" s="308" t="str">
        <f t="shared" si="4"/>
        <v/>
      </c>
      <c r="N227" s="309" t="str">
        <f t="shared" si="5"/>
        <v/>
      </c>
      <c r="O227" s="322" t="str">
        <f t="shared" si="6"/>
        <v/>
      </c>
      <c r="P227" s="308" t="str">
        <f t="shared" si="7"/>
        <v/>
      </c>
      <c r="Q227" s="311" t="str">
        <f t="shared" si="8"/>
        <v/>
      </c>
      <c r="R227" s="309" t="str">
        <f t="shared" si="9"/>
        <v/>
      </c>
      <c r="S227" s="308" t="str">
        <f t="shared" si="10"/>
        <v/>
      </c>
      <c r="T227" s="309" t="str">
        <f t="shared" si="11"/>
        <v/>
      </c>
      <c r="U227" s="309" t="str">
        <f t="shared" si="12"/>
        <v/>
      </c>
      <c r="V227" s="308" t="str">
        <f t="shared" si="13"/>
        <v/>
      </c>
      <c r="W227" s="309" t="str">
        <f t="shared" si="14"/>
        <v/>
      </c>
      <c r="X227" s="309" t="str">
        <f t="shared" si="15"/>
        <v/>
      </c>
      <c r="Y227" s="308" t="str">
        <f t="shared" si="16"/>
        <v/>
      </c>
      <c r="Z227" s="309" t="str">
        <f t="shared" si="17"/>
        <v/>
      </c>
      <c r="AA227" s="312" t="str">
        <f t="shared" si="18"/>
        <v/>
      </c>
      <c r="AB227" s="308" t="str">
        <f t="shared" si="19"/>
        <v/>
      </c>
      <c r="AC227" s="308" t="str">
        <f t="shared" si="20"/>
        <v/>
      </c>
      <c r="AD227" s="312" t="str">
        <f t="shared" si="21"/>
        <v/>
      </c>
      <c r="AE227" s="308" t="str">
        <f t="shared" si="22"/>
        <v/>
      </c>
      <c r="AF227" s="313" t="str">
        <f t="shared" si="23"/>
        <v/>
      </c>
      <c r="AG227" s="304" t="str">
        <f t="shared" si="24"/>
        <v/>
      </c>
      <c r="AH227" s="308" t="str">
        <f t="shared" si="25"/>
        <v/>
      </c>
      <c r="AI227" s="313" t="str">
        <f t="shared" si="26"/>
        <v/>
      </c>
      <c r="AJ227" s="304" t="str">
        <f t="shared" si="27"/>
        <v/>
      </c>
      <c r="AK227" s="308" t="str">
        <f t="shared" si="28"/>
        <v/>
      </c>
      <c r="AL227" s="308" t="str">
        <f t="shared" si="29"/>
        <v/>
      </c>
      <c r="AM227" s="304" t="str">
        <f t="shared" si="30"/>
        <v/>
      </c>
      <c r="AN227" s="308" t="str">
        <f t="shared" si="31"/>
        <v/>
      </c>
      <c r="AO227" s="313" t="str">
        <f t="shared" si="32"/>
        <v/>
      </c>
      <c r="AP227" s="304" t="str">
        <f t="shared" si="33"/>
        <v/>
      </c>
      <c r="AQ227" s="308" t="str">
        <f t="shared" si="34"/>
        <v/>
      </c>
      <c r="AR227" s="313" t="str">
        <f t="shared" si="35"/>
        <v/>
      </c>
      <c r="AS227" s="304" t="str">
        <f t="shared" si="36"/>
        <v/>
      </c>
      <c r="AT227" s="308" t="str">
        <f t="shared" si="37"/>
        <v/>
      </c>
      <c r="AU227" s="308" t="str">
        <f t="shared" si="38"/>
        <v/>
      </c>
      <c r="AV227" s="304" t="str">
        <f t="shared" si="39"/>
        <v/>
      </c>
      <c r="AW227" s="308" t="str">
        <f t="shared" si="40"/>
        <v/>
      </c>
      <c r="AX227" s="308" t="str">
        <f t="shared" si="41"/>
        <v/>
      </c>
      <c r="AY227" s="304" t="str">
        <f t="shared" si="42"/>
        <v/>
      </c>
      <c r="AZ227" s="308" t="str">
        <f t="shared" si="43"/>
        <v/>
      </c>
      <c r="BA227" s="313" t="str">
        <f t="shared" si="44"/>
        <v/>
      </c>
      <c r="BB227" s="304" t="str">
        <f t="shared" si="45"/>
        <v/>
      </c>
      <c r="BC227" s="308" t="str">
        <f t="shared" si="46"/>
        <v/>
      </c>
      <c r="BD227" s="308" t="str">
        <f t="shared" si="47"/>
        <v/>
      </c>
    </row>
    <row r="228">
      <c r="A228" s="298"/>
      <c r="B228" s="299"/>
      <c r="C228" s="300"/>
      <c r="D228" s="301" t="str">
        <f>IFERROR(__xludf.DUMMYFUNCTION("if(ISBLANK(A228),"""",GOOGLEFINANCE(A228,""NAME""))"),"")</f>
        <v/>
      </c>
      <c r="E228" s="302">
        <v>5000.0</v>
      </c>
      <c r="F228" s="303" t="str">
        <f>IFERROR(__xludf.DUMMYFUNCTION("if(ISBLANK(A228),"""",GOOGLEFINANCE(A228,""HIGH52""))"),"")</f>
        <v/>
      </c>
      <c r="G228" s="303" t="str">
        <f>IFERROR(__xludf.DUMMYFUNCTION("if(ISBLANK(A228),"""",GOOGLEFINANCE(A228,""LOW52""))"),"")</f>
        <v/>
      </c>
      <c r="H228" s="304" t="str">
        <f>IFERROR(__xludf.DUMMYFUNCTION("if(ISBLANK(A228),"""",GOOGLEFINANCE(A228,""Price""))"),"")</f>
        <v/>
      </c>
      <c r="I228" s="305" t="str">
        <f t="shared" si="1"/>
        <v/>
      </c>
      <c r="J228" s="306" t="str">
        <f t="shared" si="2"/>
        <v/>
      </c>
      <c r="K228" s="307" t="str">
        <f>IFERROR(__xludf.DUMMYFUNCTION("if(ISBLANK(A228),"""",googlefinance(A228,""Marketcap"")/10000000)"),"")</f>
        <v/>
      </c>
      <c r="L228" s="309" t="str">
        <f t="shared" si="3"/>
        <v/>
      </c>
      <c r="M228" s="308" t="str">
        <f t="shared" si="4"/>
        <v/>
      </c>
      <c r="N228" s="309" t="str">
        <f t="shared" si="5"/>
        <v/>
      </c>
      <c r="O228" s="322" t="str">
        <f t="shared" si="6"/>
        <v/>
      </c>
      <c r="P228" s="308" t="str">
        <f t="shared" si="7"/>
        <v/>
      </c>
      <c r="Q228" s="311" t="str">
        <f t="shared" si="8"/>
        <v/>
      </c>
      <c r="R228" s="309" t="str">
        <f t="shared" si="9"/>
        <v/>
      </c>
      <c r="S228" s="308" t="str">
        <f t="shared" si="10"/>
        <v/>
      </c>
      <c r="T228" s="309" t="str">
        <f t="shared" si="11"/>
        <v/>
      </c>
      <c r="U228" s="309" t="str">
        <f t="shared" si="12"/>
        <v/>
      </c>
      <c r="V228" s="308" t="str">
        <f t="shared" si="13"/>
        <v/>
      </c>
      <c r="W228" s="309" t="str">
        <f t="shared" si="14"/>
        <v/>
      </c>
      <c r="X228" s="309" t="str">
        <f t="shared" si="15"/>
        <v/>
      </c>
      <c r="Y228" s="308" t="str">
        <f t="shared" si="16"/>
        <v/>
      </c>
      <c r="Z228" s="309" t="str">
        <f t="shared" si="17"/>
        <v/>
      </c>
      <c r="AA228" s="312" t="str">
        <f t="shared" si="18"/>
        <v/>
      </c>
      <c r="AB228" s="308" t="str">
        <f t="shared" si="19"/>
        <v/>
      </c>
      <c r="AC228" s="308" t="str">
        <f t="shared" si="20"/>
        <v/>
      </c>
      <c r="AD228" s="312" t="str">
        <f t="shared" si="21"/>
        <v/>
      </c>
      <c r="AE228" s="308" t="str">
        <f t="shared" si="22"/>
        <v/>
      </c>
      <c r="AF228" s="313" t="str">
        <f t="shared" si="23"/>
        <v/>
      </c>
      <c r="AG228" s="304" t="str">
        <f t="shared" si="24"/>
        <v/>
      </c>
      <c r="AH228" s="308" t="str">
        <f t="shared" si="25"/>
        <v/>
      </c>
      <c r="AI228" s="313" t="str">
        <f t="shared" si="26"/>
        <v/>
      </c>
      <c r="AJ228" s="304" t="str">
        <f t="shared" si="27"/>
        <v/>
      </c>
      <c r="AK228" s="308" t="str">
        <f t="shared" si="28"/>
        <v/>
      </c>
      <c r="AL228" s="308" t="str">
        <f t="shared" si="29"/>
        <v/>
      </c>
      <c r="AM228" s="304" t="str">
        <f t="shared" si="30"/>
        <v/>
      </c>
      <c r="AN228" s="308" t="str">
        <f t="shared" si="31"/>
        <v/>
      </c>
      <c r="AO228" s="313" t="str">
        <f t="shared" si="32"/>
        <v/>
      </c>
      <c r="AP228" s="304" t="str">
        <f t="shared" si="33"/>
        <v/>
      </c>
      <c r="AQ228" s="308" t="str">
        <f t="shared" si="34"/>
        <v/>
      </c>
      <c r="AR228" s="313" t="str">
        <f t="shared" si="35"/>
        <v/>
      </c>
      <c r="AS228" s="304" t="str">
        <f t="shared" si="36"/>
        <v/>
      </c>
      <c r="AT228" s="308" t="str">
        <f t="shared" si="37"/>
        <v/>
      </c>
      <c r="AU228" s="308" t="str">
        <f t="shared" si="38"/>
        <v/>
      </c>
      <c r="AV228" s="304" t="str">
        <f t="shared" si="39"/>
        <v/>
      </c>
      <c r="AW228" s="308" t="str">
        <f t="shared" si="40"/>
        <v/>
      </c>
      <c r="AX228" s="308" t="str">
        <f t="shared" si="41"/>
        <v/>
      </c>
      <c r="AY228" s="304" t="str">
        <f t="shared" si="42"/>
        <v/>
      </c>
      <c r="AZ228" s="308" t="str">
        <f t="shared" si="43"/>
        <v/>
      </c>
      <c r="BA228" s="313" t="str">
        <f t="shared" si="44"/>
        <v/>
      </c>
      <c r="BB228" s="304" t="str">
        <f t="shared" si="45"/>
        <v/>
      </c>
      <c r="BC228" s="308" t="str">
        <f t="shared" si="46"/>
        <v/>
      </c>
      <c r="BD228" s="308" t="str">
        <f t="shared" si="47"/>
        <v/>
      </c>
    </row>
    <row r="229">
      <c r="A229" s="298"/>
      <c r="B229" s="299"/>
      <c r="C229" s="300"/>
      <c r="D229" s="301" t="str">
        <f>IFERROR(__xludf.DUMMYFUNCTION("if(ISBLANK(A229),"""",GOOGLEFINANCE(A229,""NAME""))"),"")</f>
        <v/>
      </c>
      <c r="E229" s="302">
        <v>5000.0</v>
      </c>
      <c r="F229" s="303" t="str">
        <f>IFERROR(__xludf.DUMMYFUNCTION("if(ISBLANK(A229),"""",GOOGLEFINANCE(A229,""HIGH52""))"),"")</f>
        <v/>
      </c>
      <c r="G229" s="303" t="str">
        <f>IFERROR(__xludf.DUMMYFUNCTION("if(ISBLANK(A229),"""",GOOGLEFINANCE(A229,""LOW52""))"),"")</f>
        <v/>
      </c>
      <c r="H229" s="304" t="str">
        <f>IFERROR(__xludf.DUMMYFUNCTION("if(ISBLANK(A229),"""",GOOGLEFINANCE(A229,""Price""))"),"")</f>
        <v/>
      </c>
      <c r="I229" s="305" t="str">
        <f t="shared" si="1"/>
        <v/>
      </c>
      <c r="J229" s="306" t="str">
        <f t="shared" si="2"/>
        <v/>
      </c>
      <c r="K229" s="307" t="str">
        <f>IFERROR(__xludf.DUMMYFUNCTION("if(ISBLANK(A229),"""",googlefinance(A229,""Marketcap"")/10000000)"),"")</f>
        <v/>
      </c>
      <c r="L229" s="309" t="str">
        <f t="shared" si="3"/>
        <v/>
      </c>
      <c r="M229" s="308" t="str">
        <f t="shared" si="4"/>
        <v/>
      </c>
      <c r="N229" s="309" t="str">
        <f t="shared" si="5"/>
        <v/>
      </c>
      <c r="O229" s="322" t="str">
        <f t="shared" si="6"/>
        <v/>
      </c>
      <c r="P229" s="308" t="str">
        <f t="shared" si="7"/>
        <v/>
      </c>
      <c r="Q229" s="311" t="str">
        <f t="shared" si="8"/>
        <v/>
      </c>
      <c r="R229" s="309" t="str">
        <f t="shared" si="9"/>
        <v/>
      </c>
      <c r="S229" s="308" t="str">
        <f t="shared" si="10"/>
        <v/>
      </c>
      <c r="T229" s="309" t="str">
        <f t="shared" si="11"/>
        <v/>
      </c>
      <c r="U229" s="309" t="str">
        <f t="shared" si="12"/>
        <v/>
      </c>
      <c r="V229" s="308" t="str">
        <f t="shared" si="13"/>
        <v/>
      </c>
      <c r="W229" s="309" t="str">
        <f t="shared" si="14"/>
        <v/>
      </c>
      <c r="X229" s="309" t="str">
        <f t="shared" si="15"/>
        <v/>
      </c>
      <c r="Y229" s="308" t="str">
        <f t="shared" si="16"/>
        <v/>
      </c>
      <c r="Z229" s="309" t="str">
        <f t="shared" si="17"/>
        <v/>
      </c>
      <c r="AA229" s="312" t="str">
        <f t="shared" si="18"/>
        <v/>
      </c>
      <c r="AB229" s="308" t="str">
        <f t="shared" si="19"/>
        <v/>
      </c>
      <c r="AC229" s="308" t="str">
        <f t="shared" si="20"/>
        <v/>
      </c>
      <c r="AD229" s="312" t="str">
        <f t="shared" si="21"/>
        <v/>
      </c>
      <c r="AE229" s="308" t="str">
        <f t="shared" si="22"/>
        <v/>
      </c>
      <c r="AF229" s="313" t="str">
        <f t="shared" si="23"/>
        <v/>
      </c>
      <c r="AG229" s="304" t="str">
        <f t="shared" si="24"/>
        <v/>
      </c>
      <c r="AH229" s="308" t="str">
        <f t="shared" si="25"/>
        <v/>
      </c>
      <c r="AI229" s="313" t="str">
        <f t="shared" si="26"/>
        <v/>
      </c>
      <c r="AJ229" s="304" t="str">
        <f t="shared" si="27"/>
        <v/>
      </c>
      <c r="AK229" s="308" t="str">
        <f t="shared" si="28"/>
        <v/>
      </c>
      <c r="AL229" s="308" t="str">
        <f t="shared" si="29"/>
        <v/>
      </c>
      <c r="AM229" s="304" t="str">
        <f t="shared" si="30"/>
        <v/>
      </c>
      <c r="AN229" s="308" t="str">
        <f t="shared" si="31"/>
        <v/>
      </c>
      <c r="AO229" s="313" t="str">
        <f t="shared" si="32"/>
        <v/>
      </c>
      <c r="AP229" s="304" t="str">
        <f t="shared" si="33"/>
        <v/>
      </c>
      <c r="AQ229" s="308" t="str">
        <f t="shared" si="34"/>
        <v/>
      </c>
      <c r="AR229" s="313" t="str">
        <f t="shared" si="35"/>
        <v/>
      </c>
      <c r="AS229" s="304" t="str">
        <f t="shared" si="36"/>
        <v/>
      </c>
      <c r="AT229" s="308" t="str">
        <f t="shared" si="37"/>
        <v/>
      </c>
      <c r="AU229" s="308" t="str">
        <f t="shared" si="38"/>
        <v/>
      </c>
      <c r="AV229" s="304" t="str">
        <f t="shared" si="39"/>
        <v/>
      </c>
      <c r="AW229" s="308" t="str">
        <f t="shared" si="40"/>
        <v/>
      </c>
      <c r="AX229" s="308" t="str">
        <f t="shared" si="41"/>
        <v/>
      </c>
      <c r="AY229" s="304" t="str">
        <f t="shared" si="42"/>
        <v/>
      </c>
      <c r="AZ229" s="308" t="str">
        <f t="shared" si="43"/>
        <v/>
      </c>
      <c r="BA229" s="313" t="str">
        <f t="shared" si="44"/>
        <v/>
      </c>
      <c r="BB229" s="304" t="str">
        <f t="shared" si="45"/>
        <v/>
      </c>
      <c r="BC229" s="308" t="str">
        <f t="shared" si="46"/>
        <v/>
      </c>
      <c r="BD229" s="308" t="str">
        <f t="shared" si="47"/>
        <v/>
      </c>
    </row>
    <row r="230">
      <c r="A230" s="298"/>
      <c r="B230" s="299"/>
      <c r="C230" s="300"/>
      <c r="D230" s="301" t="str">
        <f>IFERROR(__xludf.DUMMYFUNCTION("if(ISBLANK(A230),"""",GOOGLEFINANCE(A230,""NAME""))"),"")</f>
        <v/>
      </c>
      <c r="E230" s="302">
        <v>5000.0</v>
      </c>
      <c r="F230" s="303" t="str">
        <f>IFERROR(__xludf.DUMMYFUNCTION("if(ISBLANK(A230),"""",GOOGLEFINANCE(A230,""HIGH52""))"),"")</f>
        <v/>
      </c>
      <c r="G230" s="303" t="str">
        <f>IFERROR(__xludf.DUMMYFUNCTION("if(ISBLANK(A230),"""",GOOGLEFINANCE(A230,""LOW52""))"),"")</f>
        <v/>
      </c>
      <c r="H230" s="304" t="str">
        <f>IFERROR(__xludf.DUMMYFUNCTION("if(ISBLANK(A230),"""",GOOGLEFINANCE(A230,""Price""))"),"")</f>
        <v/>
      </c>
      <c r="I230" s="305" t="str">
        <f t="shared" si="1"/>
        <v/>
      </c>
      <c r="J230" s="306" t="str">
        <f t="shared" si="2"/>
        <v/>
      </c>
      <c r="K230" s="307" t="str">
        <f>IFERROR(__xludf.DUMMYFUNCTION("if(ISBLANK(A230),"""",googlefinance(A230,""Marketcap"")/10000000)"),"")</f>
        <v/>
      </c>
      <c r="L230" s="309" t="str">
        <f t="shared" si="3"/>
        <v/>
      </c>
      <c r="M230" s="308" t="str">
        <f t="shared" si="4"/>
        <v/>
      </c>
      <c r="N230" s="309" t="str">
        <f t="shared" si="5"/>
        <v/>
      </c>
      <c r="O230" s="322" t="str">
        <f t="shared" si="6"/>
        <v/>
      </c>
      <c r="P230" s="308" t="str">
        <f t="shared" si="7"/>
        <v/>
      </c>
      <c r="Q230" s="311" t="str">
        <f t="shared" si="8"/>
        <v/>
      </c>
      <c r="R230" s="309" t="str">
        <f t="shared" si="9"/>
        <v/>
      </c>
      <c r="S230" s="308" t="str">
        <f t="shared" si="10"/>
        <v/>
      </c>
      <c r="T230" s="309" t="str">
        <f t="shared" si="11"/>
        <v/>
      </c>
      <c r="U230" s="309" t="str">
        <f t="shared" si="12"/>
        <v/>
      </c>
      <c r="V230" s="308" t="str">
        <f t="shared" si="13"/>
        <v/>
      </c>
      <c r="W230" s="309" t="str">
        <f t="shared" si="14"/>
        <v/>
      </c>
      <c r="X230" s="309" t="str">
        <f t="shared" si="15"/>
        <v/>
      </c>
      <c r="Y230" s="308" t="str">
        <f t="shared" si="16"/>
        <v/>
      </c>
      <c r="Z230" s="309" t="str">
        <f t="shared" si="17"/>
        <v/>
      </c>
      <c r="AA230" s="312" t="str">
        <f t="shared" si="18"/>
        <v/>
      </c>
      <c r="AB230" s="308" t="str">
        <f t="shared" si="19"/>
        <v/>
      </c>
      <c r="AC230" s="308" t="str">
        <f t="shared" si="20"/>
        <v/>
      </c>
      <c r="AD230" s="312" t="str">
        <f t="shared" si="21"/>
        <v/>
      </c>
      <c r="AE230" s="308" t="str">
        <f t="shared" si="22"/>
        <v/>
      </c>
      <c r="AF230" s="313" t="str">
        <f t="shared" si="23"/>
        <v/>
      </c>
      <c r="AG230" s="304" t="str">
        <f t="shared" si="24"/>
        <v/>
      </c>
      <c r="AH230" s="308" t="str">
        <f t="shared" si="25"/>
        <v/>
      </c>
      <c r="AI230" s="313" t="str">
        <f t="shared" si="26"/>
        <v/>
      </c>
      <c r="AJ230" s="304" t="str">
        <f t="shared" si="27"/>
        <v/>
      </c>
      <c r="AK230" s="308" t="str">
        <f t="shared" si="28"/>
        <v/>
      </c>
      <c r="AL230" s="308" t="str">
        <f t="shared" si="29"/>
        <v/>
      </c>
      <c r="AM230" s="304" t="str">
        <f t="shared" si="30"/>
        <v/>
      </c>
      <c r="AN230" s="308" t="str">
        <f t="shared" si="31"/>
        <v/>
      </c>
      <c r="AO230" s="313" t="str">
        <f t="shared" si="32"/>
        <v/>
      </c>
      <c r="AP230" s="304" t="str">
        <f t="shared" si="33"/>
        <v/>
      </c>
      <c r="AQ230" s="308" t="str">
        <f t="shared" si="34"/>
        <v/>
      </c>
      <c r="AR230" s="313" t="str">
        <f t="shared" si="35"/>
        <v/>
      </c>
      <c r="AS230" s="304" t="str">
        <f t="shared" si="36"/>
        <v/>
      </c>
      <c r="AT230" s="308" t="str">
        <f t="shared" si="37"/>
        <v/>
      </c>
      <c r="AU230" s="308" t="str">
        <f t="shared" si="38"/>
        <v/>
      </c>
      <c r="AV230" s="304" t="str">
        <f t="shared" si="39"/>
        <v/>
      </c>
      <c r="AW230" s="308" t="str">
        <f t="shared" si="40"/>
        <v/>
      </c>
      <c r="AX230" s="308" t="str">
        <f t="shared" si="41"/>
        <v/>
      </c>
      <c r="AY230" s="304" t="str">
        <f t="shared" si="42"/>
        <v/>
      </c>
      <c r="AZ230" s="308" t="str">
        <f t="shared" si="43"/>
        <v/>
      </c>
      <c r="BA230" s="313" t="str">
        <f t="shared" si="44"/>
        <v/>
      </c>
      <c r="BB230" s="304" t="str">
        <f t="shared" si="45"/>
        <v/>
      </c>
      <c r="BC230" s="308" t="str">
        <f t="shared" si="46"/>
        <v/>
      </c>
      <c r="BD230" s="308" t="str">
        <f t="shared" si="47"/>
        <v/>
      </c>
    </row>
    <row r="231">
      <c r="A231" s="298"/>
      <c r="B231" s="299"/>
      <c r="C231" s="300"/>
      <c r="D231" s="301" t="str">
        <f>IFERROR(__xludf.DUMMYFUNCTION("if(ISBLANK(A231),"""",GOOGLEFINANCE(A231,""NAME""))"),"")</f>
        <v/>
      </c>
      <c r="E231" s="302">
        <v>5000.0</v>
      </c>
      <c r="F231" s="303" t="str">
        <f>IFERROR(__xludf.DUMMYFUNCTION("if(ISBLANK(A231),"""",GOOGLEFINANCE(A231,""HIGH52""))"),"")</f>
        <v/>
      </c>
      <c r="G231" s="303" t="str">
        <f>IFERROR(__xludf.DUMMYFUNCTION("if(ISBLANK(A231),"""",GOOGLEFINANCE(A231,""LOW52""))"),"")</f>
        <v/>
      </c>
      <c r="H231" s="304" t="str">
        <f>IFERROR(__xludf.DUMMYFUNCTION("if(ISBLANK(A231),"""",GOOGLEFINANCE(A231,""Price""))"),"")</f>
        <v/>
      </c>
      <c r="I231" s="305" t="str">
        <f t="shared" si="1"/>
        <v/>
      </c>
      <c r="J231" s="306" t="str">
        <f t="shared" si="2"/>
        <v/>
      </c>
      <c r="K231" s="307" t="str">
        <f>IFERROR(__xludf.DUMMYFUNCTION("if(ISBLANK(A231),"""",googlefinance(A231,""Marketcap"")/10000000)"),"")</f>
        <v/>
      </c>
      <c r="L231" s="309" t="str">
        <f t="shared" si="3"/>
        <v/>
      </c>
      <c r="M231" s="308" t="str">
        <f t="shared" si="4"/>
        <v/>
      </c>
      <c r="N231" s="309" t="str">
        <f t="shared" si="5"/>
        <v/>
      </c>
      <c r="O231" s="322" t="str">
        <f t="shared" si="6"/>
        <v/>
      </c>
      <c r="P231" s="308" t="str">
        <f t="shared" si="7"/>
        <v/>
      </c>
      <c r="Q231" s="311" t="str">
        <f t="shared" si="8"/>
        <v/>
      </c>
      <c r="R231" s="309" t="str">
        <f t="shared" si="9"/>
        <v/>
      </c>
      <c r="S231" s="308" t="str">
        <f t="shared" si="10"/>
        <v/>
      </c>
      <c r="T231" s="309" t="str">
        <f t="shared" si="11"/>
        <v/>
      </c>
      <c r="U231" s="309" t="str">
        <f t="shared" si="12"/>
        <v/>
      </c>
      <c r="V231" s="308" t="str">
        <f t="shared" si="13"/>
        <v/>
      </c>
      <c r="W231" s="309" t="str">
        <f t="shared" si="14"/>
        <v/>
      </c>
      <c r="X231" s="309" t="str">
        <f t="shared" si="15"/>
        <v/>
      </c>
      <c r="Y231" s="308" t="str">
        <f t="shared" si="16"/>
        <v/>
      </c>
      <c r="Z231" s="309" t="str">
        <f t="shared" si="17"/>
        <v/>
      </c>
      <c r="AA231" s="312" t="str">
        <f t="shared" si="18"/>
        <v/>
      </c>
      <c r="AB231" s="308" t="str">
        <f t="shared" si="19"/>
        <v/>
      </c>
      <c r="AC231" s="308" t="str">
        <f t="shared" si="20"/>
        <v/>
      </c>
      <c r="AD231" s="312" t="str">
        <f t="shared" si="21"/>
        <v/>
      </c>
      <c r="AE231" s="308" t="str">
        <f t="shared" si="22"/>
        <v/>
      </c>
      <c r="AF231" s="313" t="str">
        <f t="shared" si="23"/>
        <v/>
      </c>
      <c r="AG231" s="304" t="str">
        <f t="shared" si="24"/>
        <v/>
      </c>
      <c r="AH231" s="308" t="str">
        <f t="shared" si="25"/>
        <v/>
      </c>
      <c r="AI231" s="313" t="str">
        <f t="shared" si="26"/>
        <v/>
      </c>
      <c r="AJ231" s="304" t="str">
        <f t="shared" si="27"/>
        <v/>
      </c>
      <c r="AK231" s="308" t="str">
        <f t="shared" si="28"/>
        <v/>
      </c>
      <c r="AL231" s="308" t="str">
        <f t="shared" si="29"/>
        <v/>
      </c>
      <c r="AM231" s="304" t="str">
        <f t="shared" si="30"/>
        <v/>
      </c>
      <c r="AN231" s="308" t="str">
        <f t="shared" si="31"/>
        <v/>
      </c>
      <c r="AO231" s="313" t="str">
        <f t="shared" si="32"/>
        <v/>
      </c>
      <c r="AP231" s="304" t="str">
        <f t="shared" si="33"/>
        <v/>
      </c>
      <c r="AQ231" s="308" t="str">
        <f t="shared" si="34"/>
        <v/>
      </c>
      <c r="AR231" s="313" t="str">
        <f t="shared" si="35"/>
        <v/>
      </c>
      <c r="AS231" s="304" t="str">
        <f t="shared" si="36"/>
        <v/>
      </c>
      <c r="AT231" s="308" t="str">
        <f t="shared" si="37"/>
        <v/>
      </c>
      <c r="AU231" s="308" t="str">
        <f t="shared" si="38"/>
        <v/>
      </c>
      <c r="AV231" s="304" t="str">
        <f t="shared" si="39"/>
        <v/>
      </c>
      <c r="AW231" s="308" t="str">
        <f t="shared" si="40"/>
        <v/>
      </c>
      <c r="AX231" s="308" t="str">
        <f t="shared" si="41"/>
        <v/>
      </c>
      <c r="AY231" s="304" t="str">
        <f t="shared" si="42"/>
        <v/>
      </c>
      <c r="AZ231" s="308" t="str">
        <f t="shared" si="43"/>
        <v/>
      </c>
      <c r="BA231" s="313" t="str">
        <f t="shared" si="44"/>
        <v/>
      </c>
      <c r="BB231" s="304" t="str">
        <f t="shared" si="45"/>
        <v/>
      </c>
      <c r="BC231" s="308" t="str">
        <f t="shared" si="46"/>
        <v/>
      </c>
      <c r="BD231" s="308" t="str">
        <f t="shared" si="47"/>
        <v/>
      </c>
    </row>
    <row r="232">
      <c r="A232" s="298"/>
      <c r="B232" s="299"/>
      <c r="C232" s="300"/>
      <c r="D232" s="301" t="str">
        <f>IFERROR(__xludf.DUMMYFUNCTION("if(ISBLANK(A232),"""",GOOGLEFINANCE(A232,""NAME""))"),"")</f>
        <v/>
      </c>
      <c r="E232" s="302">
        <v>5000.0</v>
      </c>
      <c r="F232" s="303" t="str">
        <f>IFERROR(__xludf.DUMMYFUNCTION("if(ISBLANK(A232),"""",GOOGLEFINANCE(A232,""HIGH52""))"),"")</f>
        <v/>
      </c>
      <c r="G232" s="303" t="str">
        <f>IFERROR(__xludf.DUMMYFUNCTION("if(ISBLANK(A232),"""",GOOGLEFINANCE(A232,""LOW52""))"),"")</f>
        <v/>
      </c>
      <c r="H232" s="304" t="str">
        <f>IFERROR(__xludf.DUMMYFUNCTION("if(ISBLANK(A232),"""",GOOGLEFINANCE(A232,""Price""))"),"")</f>
        <v/>
      </c>
      <c r="I232" s="305" t="str">
        <f t="shared" si="1"/>
        <v/>
      </c>
      <c r="J232" s="306" t="str">
        <f t="shared" si="2"/>
        <v/>
      </c>
      <c r="K232" s="307" t="str">
        <f>IFERROR(__xludf.DUMMYFUNCTION("if(ISBLANK(A232),"""",googlefinance(A232,""Marketcap"")/10000000)"),"")</f>
        <v/>
      </c>
      <c r="L232" s="309" t="str">
        <f t="shared" si="3"/>
        <v/>
      </c>
      <c r="M232" s="308" t="str">
        <f t="shared" si="4"/>
        <v/>
      </c>
      <c r="N232" s="309" t="str">
        <f t="shared" si="5"/>
        <v/>
      </c>
      <c r="O232" s="322" t="str">
        <f t="shared" si="6"/>
        <v/>
      </c>
      <c r="P232" s="308" t="str">
        <f t="shared" si="7"/>
        <v/>
      </c>
      <c r="Q232" s="311" t="str">
        <f t="shared" si="8"/>
        <v/>
      </c>
      <c r="R232" s="309" t="str">
        <f t="shared" si="9"/>
        <v/>
      </c>
      <c r="S232" s="308" t="str">
        <f t="shared" si="10"/>
        <v/>
      </c>
      <c r="T232" s="309" t="str">
        <f t="shared" si="11"/>
        <v/>
      </c>
      <c r="U232" s="309" t="str">
        <f t="shared" si="12"/>
        <v/>
      </c>
      <c r="V232" s="308" t="str">
        <f t="shared" si="13"/>
        <v/>
      </c>
      <c r="W232" s="309" t="str">
        <f t="shared" si="14"/>
        <v/>
      </c>
      <c r="X232" s="309" t="str">
        <f t="shared" si="15"/>
        <v/>
      </c>
      <c r="Y232" s="308" t="str">
        <f t="shared" si="16"/>
        <v/>
      </c>
      <c r="Z232" s="309" t="str">
        <f t="shared" si="17"/>
        <v/>
      </c>
      <c r="AA232" s="312" t="str">
        <f t="shared" si="18"/>
        <v/>
      </c>
      <c r="AB232" s="308" t="str">
        <f t="shared" si="19"/>
        <v/>
      </c>
      <c r="AC232" s="308" t="str">
        <f t="shared" si="20"/>
        <v/>
      </c>
      <c r="AD232" s="312" t="str">
        <f t="shared" si="21"/>
        <v/>
      </c>
      <c r="AE232" s="308" t="str">
        <f t="shared" si="22"/>
        <v/>
      </c>
      <c r="AF232" s="313" t="str">
        <f t="shared" si="23"/>
        <v/>
      </c>
      <c r="AG232" s="304" t="str">
        <f t="shared" si="24"/>
        <v/>
      </c>
      <c r="AH232" s="308" t="str">
        <f t="shared" si="25"/>
        <v/>
      </c>
      <c r="AI232" s="313" t="str">
        <f t="shared" si="26"/>
        <v/>
      </c>
      <c r="AJ232" s="304" t="str">
        <f t="shared" si="27"/>
        <v/>
      </c>
      <c r="AK232" s="308" t="str">
        <f t="shared" si="28"/>
        <v/>
      </c>
      <c r="AL232" s="308" t="str">
        <f t="shared" si="29"/>
        <v/>
      </c>
      <c r="AM232" s="304" t="str">
        <f t="shared" si="30"/>
        <v/>
      </c>
      <c r="AN232" s="308" t="str">
        <f t="shared" si="31"/>
        <v/>
      </c>
      <c r="AO232" s="313" t="str">
        <f t="shared" si="32"/>
        <v/>
      </c>
      <c r="AP232" s="304" t="str">
        <f t="shared" si="33"/>
        <v/>
      </c>
      <c r="AQ232" s="308" t="str">
        <f t="shared" si="34"/>
        <v/>
      </c>
      <c r="AR232" s="313" t="str">
        <f t="shared" si="35"/>
        <v/>
      </c>
      <c r="AS232" s="304" t="str">
        <f t="shared" si="36"/>
        <v/>
      </c>
      <c r="AT232" s="308" t="str">
        <f t="shared" si="37"/>
        <v/>
      </c>
      <c r="AU232" s="308" t="str">
        <f t="shared" si="38"/>
        <v/>
      </c>
      <c r="AV232" s="304" t="str">
        <f t="shared" si="39"/>
        <v/>
      </c>
      <c r="AW232" s="308" t="str">
        <f t="shared" si="40"/>
        <v/>
      </c>
      <c r="AX232" s="308" t="str">
        <f t="shared" si="41"/>
        <v/>
      </c>
      <c r="AY232" s="304" t="str">
        <f t="shared" si="42"/>
        <v/>
      </c>
      <c r="AZ232" s="308" t="str">
        <f t="shared" si="43"/>
        <v/>
      </c>
      <c r="BA232" s="313" t="str">
        <f t="shared" si="44"/>
        <v/>
      </c>
      <c r="BB232" s="304" t="str">
        <f t="shared" si="45"/>
        <v/>
      </c>
      <c r="BC232" s="308" t="str">
        <f t="shared" si="46"/>
        <v/>
      </c>
      <c r="BD232" s="308" t="str">
        <f t="shared" si="47"/>
        <v/>
      </c>
    </row>
    <row r="233">
      <c r="A233" s="298"/>
      <c r="B233" s="299"/>
      <c r="C233" s="300"/>
      <c r="D233" s="301" t="str">
        <f>IFERROR(__xludf.DUMMYFUNCTION("if(ISBLANK(A233),"""",GOOGLEFINANCE(A233,""NAME""))"),"")</f>
        <v/>
      </c>
      <c r="E233" s="302">
        <v>5000.0</v>
      </c>
      <c r="F233" s="303" t="str">
        <f>IFERROR(__xludf.DUMMYFUNCTION("if(ISBLANK(A233),"""",GOOGLEFINANCE(A233,""HIGH52""))"),"")</f>
        <v/>
      </c>
      <c r="G233" s="303" t="str">
        <f>IFERROR(__xludf.DUMMYFUNCTION("if(ISBLANK(A233),"""",GOOGLEFINANCE(A233,""LOW52""))"),"")</f>
        <v/>
      </c>
      <c r="H233" s="304" t="str">
        <f>IFERROR(__xludf.DUMMYFUNCTION("if(ISBLANK(A233),"""",GOOGLEFINANCE(A233,""Price""))"),"")</f>
        <v/>
      </c>
      <c r="I233" s="305" t="str">
        <f t="shared" si="1"/>
        <v/>
      </c>
      <c r="J233" s="306" t="str">
        <f t="shared" si="2"/>
        <v/>
      </c>
      <c r="K233" s="307" t="str">
        <f>IFERROR(__xludf.DUMMYFUNCTION("if(ISBLANK(A233),"""",googlefinance(A233,""Marketcap"")/10000000)"),"")</f>
        <v/>
      </c>
      <c r="L233" s="309" t="str">
        <f t="shared" si="3"/>
        <v/>
      </c>
      <c r="M233" s="308" t="str">
        <f t="shared" si="4"/>
        <v/>
      </c>
      <c r="N233" s="309" t="str">
        <f t="shared" si="5"/>
        <v/>
      </c>
      <c r="O233" s="322" t="str">
        <f t="shared" si="6"/>
        <v/>
      </c>
      <c r="P233" s="308" t="str">
        <f t="shared" si="7"/>
        <v/>
      </c>
      <c r="Q233" s="311" t="str">
        <f t="shared" si="8"/>
        <v/>
      </c>
      <c r="R233" s="309" t="str">
        <f t="shared" si="9"/>
        <v/>
      </c>
      <c r="S233" s="308" t="str">
        <f t="shared" si="10"/>
        <v/>
      </c>
      <c r="T233" s="309" t="str">
        <f t="shared" si="11"/>
        <v/>
      </c>
      <c r="U233" s="309" t="str">
        <f t="shared" si="12"/>
        <v/>
      </c>
      <c r="V233" s="308" t="str">
        <f t="shared" si="13"/>
        <v/>
      </c>
      <c r="W233" s="309" t="str">
        <f t="shared" si="14"/>
        <v/>
      </c>
      <c r="X233" s="309" t="str">
        <f t="shared" si="15"/>
        <v/>
      </c>
      <c r="Y233" s="308" t="str">
        <f t="shared" si="16"/>
        <v/>
      </c>
      <c r="Z233" s="309" t="str">
        <f t="shared" si="17"/>
        <v/>
      </c>
      <c r="AA233" s="312" t="str">
        <f t="shared" si="18"/>
        <v/>
      </c>
      <c r="AB233" s="308" t="str">
        <f t="shared" si="19"/>
        <v/>
      </c>
      <c r="AC233" s="308" t="str">
        <f t="shared" si="20"/>
        <v/>
      </c>
      <c r="AD233" s="312" t="str">
        <f t="shared" si="21"/>
        <v/>
      </c>
      <c r="AE233" s="308" t="str">
        <f t="shared" si="22"/>
        <v/>
      </c>
      <c r="AF233" s="313" t="str">
        <f t="shared" si="23"/>
        <v/>
      </c>
      <c r="AG233" s="304" t="str">
        <f t="shared" si="24"/>
        <v/>
      </c>
      <c r="AH233" s="308" t="str">
        <f t="shared" si="25"/>
        <v/>
      </c>
      <c r="AI233" s="313" t="str">
        <f t="shared" si="26"/>
        <v/>
      </c>
      <c r="AJ233" s="304" t="str">
        <f t="shared" si="27"/>
        <v/>
      </c>
      <c r="AK233" s="308" t="str">
        <f t="shared" si="28"/>
        <v/>
      </c>
      <c r="AL233" s="308" t="str">
        <f t="shared" si="29"/>
        <v/>
      </c>
      <c r="AM233" s="304" t="str">
        <f t="shared" si="30"/>
        <v/>
      </c>
      <c r="AN233" s="308" t="str">
        <f t="shared" si="31"/>
        <v/>
      </c>
      <c r="AO233" s="313" t="str">
        <f t="shared" si="32"/>
        <v/>
      </c>
      <c r="AP233" s="304" t="str">
        <f t="shared" si="33"/>
        <v/>
      </c>
      <c r="AQ233" s="308" t="str">
        <f t="shared" si="34"/>
        <v/>
      </c>
      <c r="AR233" s="313" t="str">
        <f t="shared" si="35"/>
        <v/>
      </c>
      <c r="AS233" s="304" t="str">
        <f t="shared" si="36"/>
        <v/>
      </c>
      <c r="AT233" s="308" t="str">
        <f t="shared" si="37"/>
        <v/>
      </c>
      <c r="AU233" s="308" t="str">
        <f t="shared" si="38"/>
        <v/>
      </c>
      <c r="AV233" s="304" t="str">
        <f t="shared" si="39"/>
        <v/>
      </c>
      <c r="AW233" s="308" t="str">
        <f t="shared" si="40"/>
        <v/>
      </c>
      <c r="AX233" s="308" t="str">
        <f t="shared" si="41"/>
        <v/>
      </c>
      <c r="AY233" s="304" t="str">
        <f t="shared" si="42"/>
        <v/>
      </c>
      <c r="AZ233" s="308" t="str">
        <f t="shared" si="43"/>
        <v/>
      </c>
      <c r="BA233" s="313" t="str">
        <f t="shared" si="44"/>
        <v/>
      </c>
      <c r="BB233" s="304" t="str">
        <f t="shared" si="45"/>
        <v/>
      </c>
      <c r="BC233" s="308" t="str">
        <f t="shared" si="46"/>
        <v/>
      </c>
      <c r="BD233" s="308" t="str">
        <f t="shared" si="47"/>
        <v/>
      </c>
    </row>
    <row r="234">
      <c r="A234" s="298"/>
      <c r="B234" s="299"/>
      <c r="C234" s="300"/>
      <c r="D234" s="301" t="str">
        <f>IFERROR(__xludf.DUMMYFUNCTION("if(ISBLANK(A234),"""",GOOGLEFINANCE(A234,""NAME""))"),"")</f>
        <v/>
      </c>
      <c r="E234" s="302">
        <v>5000.0</v>
      </c>
      <c r="F234" s="303" t="str">
        <f>IFERROR(__xludf.DUMMYFUNCTION("if(ISBLANK(A234),"""",GOOGLEFINANCE(A234,""HIGH52""))"),"")</f>
        <v/>
      </c>
      <c r="G234" s="303" t="str">
        <f>IFERROR(__xludf.DUMMYFUNCTION("if(ISBLANK(A234),"""",GOOGLEFINANCE(A234,""LOW52""))"),"")</f>
        <v/>
      </c>
      <c r="H234" s="304" t="str">
        <f>IFERROR(__xludf.DUMMYFUNCTION("if(ISBLANK(A234),"""",GOOGLEFINANCE(A234,""Price""))"),"")</f>
        <v/>
      </c>
      <c r="I234" s="305" t="str">
        <f t="shared" si="1"/>
        <v/>
      </c>
      <c r="J234" s="306" t="str">
        <f t="shared" si="2"/>
        <v/>
      </c>
      <c r="K234" s="307" t="str">
        <f>IFERROR(__xludf.DUMMYFUNCTION("if(ISBLANK(A234),"""",googlefinance(A234,""Marketcap"")/10000000)"),"")</f>
        <v/>
      </c>
      <c r="L234" s="309" t="str">
        <f t="shared" si="3"/>
        <v/>
      </c>
      <c r="M234" s="308" t="str">
        <f t="shared" si="4"/>
        <v/>
      </c>
      <c r="N234" s="309" t="str">
        <f t="shared" si="5"/>
        <v/>
      </c>
      <c r="O234" s="322" t="str">
        <f t="shared" si="6"/>
        <v/>
      </c>
      <c r="P234" s="308" t="str">
        <f t="shared" si="7"/>
        <v/>
      </c>
      <c r="Q234" s="311" t="str">
        <f t="shared" si="8"/>
        <v/>
      </c>
      <c r="R234" s="309" t="str">
        <f t="shared" si="9"/>
        <v/>
      </c>
      <c r="S234" s="308" t="str">
        <f t="shared" si="10"/>
        <v/>
      </c>
      <c r="T234" s="309" t="str">
        <f t="shared" si="11"/>
        <v/>
      </c>
      <c r="U234" s="309" t="str">
        <f t="shared" si="12"/>
        <v/>
      </c>
      <c r="V234" s="308" t="str">
        <f t="shared" si="13"/>
        <v/>
      </c>
      <c r="W234" s="309" t="str">
        <f t="shared" si="14"/>
        <v/>
      </c>
      <c r="X234" s="309" t="str">
        <f t="shared" si="15"/>
        <v/>
      </c>
      <c r="Y234" s="308" t="str">
        <f t="shared" si="16"/>
        <v/>
      </c>
      <c r="Z234" s="309" t="str">
        <f t="shared" si="17"/>
        <v/>
      </c>
      <c r="AA234" s="312" t="str">
        <f t="shared" si="18"/>
        <v/>
      </c>
      <c r="AB234" s="308" t="str">
        <f t="shared" si="19"/>
        <v/>
      </c>
      <c r="AC234" s="308" t="str">
        <f t="shared" si="20"/>
        <v/>
      </c>
      <c r="AD234" s="312" t="str">
        <f t="shared" si="21"/>
        <v/>
      </c>
      <c r="AE234" s="308" t="str">
        <f t="shared" si="22"/>
        <v/>
      </c>
      <c r="AF234" s="313" t="str">
        <f t="shared" si="23"/>
        <v/>
      </c>
      <c r="AG234" s="304" t="str">
        <f t="shared" si="24"/>
        <v/>
      </c>
      <c r="AH234" s="308" t="str">
        <f t="shared" si="25"/>
        <v/>
      </c>
      <c r="AI234" s="313" t="str">
        <f t="shared" si="26"/>
        <v/>
      </c>
      <c r="AJ234" s="304" t="str">
        <f t="shared" si="27"/>
        <v/>
      </c>
      <c r="AK234" s="308" t="str">
        <f t="shared" si="28"/>
        <v/>
      </c>
      <c r="AL234" s="308" t="str">
        <f t="shared" si="29"/>
        <v/>
      </c>
      <c r="AM234" s="304" t="str">
        <f t="shared" si="30"/>
        <v/>
      </c>
      <c r="AN234" s="308" t="str">
        <f t="shared" si="31"/>
        <v/>
      </c>
      <c r="AO234" s="313" t="str">
        <f t="shared" si="32"/>
        <v/>
      </c>
      <c r="AP234" s="304" t="str">
        <f t="shared" si="33"/>
        <v/>
      </c>
      <c r="AQ234" s="308" t="str">
        <f t="shared" si="34"/>
        <v/>
      </c>
      <c r="AR234" s="313" t="str">
        <f t="shared" si="35"/>
        <v/>
      </c>
      <c r="AS234" s="304" t="str">
        <f t="shared" si="36"/>
        <v/>
      </c>
      <c r="AT234" s="308" t="str">
        <f t="shared" si="37"/>
        <v/>
      </c>
      <c r="AU234" s="308" t="str">
        <f t="shared" si="38"/>
        <v/>
      </c>
      <c r="AV234" s="304" t="str">
        <f t="shared" si="39"/>
        <v/>
      </c>
      <c r="AW234" s="308" t="str">
        <f t="shared" si="40"/>
        <v/>
      </c>
      <c r="AX234" s="308" t="str">
        <f t="shared" si="41"/>
        <v/>
      </c>
      <c r="AY234" s="304" t="str">
        <f t="shared" si="42"/>
        <v/>
      </c>
      <c r="AZ234" s="308" t="str">
        <f t="shared" si="43"/>
        <v/>
      </c>
      <c r="BA234" s="313" t="str">
        <f t="shared" si="44"/>
        <v/>
      </c>
      <c r="BB234" s="304" t="str">
        <f t="shared" si="45"/>
        <v/>
      </c>
      <c r="BC234" s="308" t="str">
        <f t="shared" si="46"/>
        <v/>
      </c>
      <c r="BD234" s="308" t="str">
        <f t="shared" si="47"/>
        <v/>
      </c>
    </row>
    <row r="235">
      <c r="A235" s="298"/>
      <c r="B235" s="299"/>
      <c r="C235" s="300"/>
      <c r="D235" s="301" t="str">
        <f>IFERROR(__xludf.DUMMYFUNCTION("if(ISBLANK(A235),"""",GOOGLEFINANCE(A235,""NAME""))"),"")</f>
        <v/>
      </c>
      <c r="E235" s="302">
        <v>5000.0</v>
      </c>
      <c r="F235" s="303" t="str">
        <f>IFERROR(__xludf.DUMMYFUNCTION("if(ISBLANK(A235),"""",GOOGLEFINANCE(A235,""HIGH52""))"),"")</f>
        <v/>
      </c>
      <c r="G235" s="303" t="str">
        <f>IFERROR(__xludf.DUMMYFUNCTION("if(ISBLANK(A235),"""",GOOGLEFINANCE(A235,""LOW52""))"),"")</f>
        <v/>
      </c>
      <c r="H235" s="304" t="str">
        <f>IFERROR(__xludf.DUMMYFUNCTION("if(ISBLANK(A235),"""",GOOGLEFINANCE(A235,""Price""))"),"")</f>
        <v/>
      </c>
      <c r="I235" s="305" t="str">
        <f t="shared" si="1"/>
        <v/>
      </c>
      <c r="J235" s="306" t="str">
        <f t="shared" si="2"/>
        <v/>
      </c>
      <c r="K235" s="307" t="str">
        <f>IFERROR(__xludf.DUMMYFUNCTION("if(ISBLANK(A235),"""",googlefinance(A235,""Marketcap"")/10000000)"),"")</f>
        <v/>
      </c>
      <c r="L235" s="309" t="str">
        <f t="shared" si="3"/>
        <v/>
      </c>
      <c r="M235" s="308" t="str">
        <f t="shared" si="4"/>
        <v/>
      </c>
      <c r="N235" s="309" t="str">
        <f t="shared" si="5"/>
        <v/>
      </c>
      <c r="O235" s="322" t="str">
        <f t="shared" si="6"/>
        <v/>
      </c>
      <c r="P235" s="308" t="str">
        <f t="shared" si="7"/>
        <v/>
      </c>
      <c r="Q235" s="311" t="str">
        <f t="shared" si="8"/>
        <v/>
      </c>
      <c r="R235" s="309" t="str">
        <f t="shared" si="9"/>
        <v/>
      </c>
      <c r="S235" s="308" t="str">
        <f t="shared" si="10"/>
        <v/>
      </c>
      <c r="T235" s="309" t="str">
        <f t="shared" si="11"/>
        <v/>
      </c>
      <c r="U235" s="309" t="str">
        <f t="shared" si="12"/>
        <v/>
      </c>
      <c r="V235" s="308" t="str">
        <f t="shared" si="13"/>
        <v/>
      </c>
      <c r="W235" s="309" t="str">
        <f t="shared" si="14"/>
        <v/>
      </c>
      <c r="X235" s="309" t="str">
        <f t="shared" si="15"/>
        <v/>
      </c>
      <c r="Y235" s="308" t="str">
        <f t="shared" si="16"/>
        <v/>
      </c>
      <c r="Z235" s="309" t="str">
        <f t="shared" si="17"/>
        <v/>
      </c>
      <c r="AA235" s="312" t="str">
        <f t="shared" si="18"/>
        <v/>
      </c>
      <c r="AB235" s="308" t="str">
        <f t="shared" si="19"/>
        <v/>
      </c>
      <c r="AC235" s="308" t="str">
        <f t="shared" si="20"/>
        <v/>
      </c>
      <c r="AD235" s="312" t="str">
        <f t="shared" si="21"/>
        <v/>
      </c>
      <c r="AE235" s="308" t="str">
        <f t="shared" si="22"/>
        <v/>
      </c>
      <c r="AF235" s="313" t="str">
        <f t="shared" si="23"/>
        <v/>
      </c>
      <c r="AG235" s="304" t="str">
        <f t="shared" si="24"/>
        <v/>
      </c>
      <c r="AH235" s="308" t="str">
        <f t="shared" si="25"/>
        <v/>
      </c>
      <c r="AI235" s="313" t="str">
        <f t="shared" si="26"/>
        <v/>
      </c>
      <c r="AJ235" s="304" t="str">
        <f t="shared" si="27"/>
        <v/>
      </c>
      <c r="AK235" s="308" t="str">
        <f t="shared" si="28"/>
        <v/>
      </c>
      <c r="AL235" s="308" t="str">
        <f t="shared" si="29"/>
        <v/>
      </c>
      <c r="AM235" s="304" t="str">
        <f t="shared" si="30"/>
        <v/>
      </c>
      <c r="AN235" s="308" t="str">
        <f t="shared" si="31"/>
        <v/>
      </c>
      <c r="AO235" s="313" t="str">
        <f t="shared" si="32"/>
        <v/>
      </c>
      <c r="AP235" s="304" t="str">
        <f t="shared" si="33"/>
        <v/>
      </c>
      <c r="AQ235" s="308" t="str">
        <f t="shared" si="34"/>
        <v/>
      </c>
      <c r="AR235" s="313" t="str">
        <f t="shared" si="35"/>
        <v/>
      </c>
      <c r="AS235" s="304" t="str">
        <f t="shared" si="36"/>
        <v/>
      </c>
      <c r="AT235" s="308" t="str">
        <f t="shared" si="37"/>
        <v/>
      </c>
      <c r="AU235" s="308" t="str">
        <f t="shared" si="38"/>
        <v/>
      </c>
      <c r="AV235" s="304" t="str">
        <f t="shared" si="39"/>
        <v/>
      </c>
      <c r="AW235" s="308" t="str">
        <f t="shared" si="40"/>
        <v/>
      </c>
      <c r="AX235" s="308" t="str">
        <f t="shared" si="41"/>
        <v/>
      </c>
      <c r="AY235" s="304" t="str">
        <f t="shared" si="42"/>
        <v/>
      </c>
      <c r="AZ235" s="308" t="str">
        <f t="shared" si="43"/>
        <v/>
      </c>
      <c r="BA235" s="313" t="str">
        <f t="shared" si="44"/>
        <v/>
      </c>
      <c r="BB235" s="304" t="str">
        <f t="shared" si="45"/>
        <v/>
      </c>
      <c r="BC235" s="308" t="str">
        <f t="shared" si="46"/>
        <v/>
      </c>
      <c r="BD235" s="308" t="str">
        <f t="shared" si="47"/>
        <v/>
      </c>
    </row>
    <row r="236">
      <c r="A236" s="298"/>
      <c r="B236" s="299"/>
      <c r="C236" s="300"/>
      <c r="D236" s="301" t="str">
        <f>IFERROR(__xludf.DUMMYFUNCTION("if(ISBLANK(A236),"""",GOOGLEFINANCE(A236,""NAME""))"),"")</f>
        <v/>
      </c>
      <c r="E236" s="302">
        <v>5000.0</v>
      </c>
      <c r="F236" s="303" t="str">
        <f>IFERROR(__xludf.DUMMYFUNCTION("if(ISBLANK(A236),"""",GOOGLEFINANCE(A236,""HIGH52""))"),"")</f>
        <v/>
      </c>
      <c r="G236" s="303" t="str">
        <f>IFERROR(__xludf.DUMMYFUNCTION("if(ISBLANK(A236),"""",GOOGLEFINANCE(A236,""LOW52""))"),"")</f>
        <v/>
      </c>
      <c r="H236" s="304" t="str">
        <f>IFERROR(__xludf.DUMMYFUNCTION("if(ISBLANK(A236),"""",GOOGLEFINANCE(A236,""Price""))"),"")</f>
        <v/>
      </c>
      <c r="I236" s="305" t="str">
        <f t="shared" si="1"/>
        <v/>
      </c>
      <c r="J236" s="306" t="str">
        <f t="shared" si="2"/>
        <v/>
      </c>
      <c r="K236" s="307" t="str">
        <f>IFERROR(__xludf.DUMMYFUNCTION("if(ISBLANK(A236),"""",googlefinance(A236,""Marketcap"")/10000000)"),"")</f>
        <v/>
      </c>
      <c r="L236" s="309" t="str">
        <f t="shared" si="3"/>
        <v/>
      </c>
      <c r="M236" s="308" t="str">
        <f t="shared" si="4"/>
        <v/>
      </c>
      <c r="N236" s="309" t="str">
        <f t="shared" si="5"/>
        <v/>
      </c>
      <c r="O236" s="322" t="str">
        <f t="shared" si="6"/>
        <v/>
      </c>
      <c r="P236" s="308" t="str">
        <f t="shared" si="7"/>
        <v/>
      </c>
      <c r="Q236" s="311" t="str">
        <f t="shared" si="8"/>
        <v/>
      </c>
      <c r="R236" s="309" t="str">
        <f t="shared" si="9"/>
        <v/>
      </c>
      <c r="S236" s="308" t="str">
        <f t="shared" si="10"/>
        <v/>
      </c>
      <c r="T236" s="309" t="str">
        <f t="shared" si="11"/>
        <v/>
      </c>
      <c r="U236" s="309" t="str">
        <f t="shared" si="12"/>
        <v/>
      </c>
      <c r="V236" s="308" t="str">
        <f t="shared" si="13"/>
        <v/>
      </c>
      <c r="W236" s="309" t="str">
        <f t="shared" si="14"/>
        <v/>
      </c>
      <c r="X236" s="309" t="str">
        <f t="shared" si="15"/>
        <v/>
      </c>
      <c r="Y236" s="308" t="str">
        <f t="shared" si="16"/>
        <v/>
      </c>
      <c r="Z236" s="309" t="str">
        <f t="shared" si="17"/>
        <v/>
      </c>
      <c r="AA236" s="312" t="str">
        <f t="shared" si="18"/>
        <v/>
      </c>
      <c r="AB236" s="308" t="str">
        <f t="shared" si="19"/>
        <v/>
      </c>
      <c r="AC236" s="308" t="str">
        <f t="shared" si="20"/>
        <v/>
      </c>
      <c r="AD236" s="312" t="str">
        <f t="shared" si="21"/>
        <v/>
      </c>
      <c r="AE236" s="308" t="str">
        <f t="shared" si="22"/>
        <v/>
      </c>
      <c r="AF236" s="313" t="str">
        <f t="shared" si="23"/>
        <v/>
      </c>
      <c r="AG236" s="304" t="str">
        <f t="shared" si="24"/>
        <v/>
      </c>
      <c r="AH236" s="308" t="str">
        <f t="shared" si="25"/>
        <v/>
      </c>
      <c r="AI236" s="313" t="str">
        <f t="shared" si="26"/>
        <v/>
      </c>
      <c r="AJ236" s="304" t="str">
        <f t="shared" si="27"/>
        <v/>
      </c>
      <c r="AK236" s="308" t="str">
        <f t="shared" si="28"/>
        <v/>
      </c>
      <c r="AL236" s="308" t="str">
        <f t="shared" si="29"/>
        <v/>
      </c>
      <c r="AM236" s="304" t="str">
        <f t="shared" si="30"/>
        <v/>
      </c>
      <c r="AN236" s="308" t="str">
        <f t="shared" si="31"/>
        <v/>
      </c>
      <c r="AO236" s="313" t="str">
        <f t="shared" si="32"/>
        <v/>
      </c>
      <c r="AP236" s="304" t="str">
        <f t="shared" si="33"/>
        <v/>
      </c>
      <c r="AQ236" s="308" t="str">
        <f t="shared" si="34"/>
        <v/>
      </c>
      <c r="AR236" s="313" t="str">
        <f t="shared" si="35"/>
        <v/>
      </c>
      <c r="AS236" s="304" t="str">
        <f t="shared" si="36"/>
        <v/>
      </c>
      <c r="AT236" s="308" t="str">
        <f t="shared" si="37"/>
        <v/>
      </c>
      <c r="AU236" s="308" t="str">
        <f t="shared" si="38"/>
        <v/>
      </c>
      <c r="AV236" s="304" t="str">
        <f t="shared" si="39"/>
        <v/>
      </c>
      <c r="AW236" s="308" t="str">
        <f t="shared" si="40"/>
        <v/>
      </c>
      <c r="AX236" s="308" t="str">
        <f t="shared" si="41"/>
        <v/>
      </c>
      <c r="AY236" s="304" t="str">
        <f t="shared" si="42"/>
        <v/>
      </c>
      <c r="AZ236" s="308" t="str">
        <f t="shared" si="43"/>
        <v/>
      </c>
      <c r="BA236" s="313" t="str">
        <f t="shared" si="44"/>
        <v/>
      </c>
      <c r="BB236" s="304" t="str">
        <f t="shared" si="45"/>
        <v/>
      </c>
      <c r="BC236" s="308" t="str">
        <f t="shared" si="46"/>
        <v/>
      </c>
      <c r="BD236" s="308" t="str">
        <f t="shared" si="47"/>
        <v/>
      </c>
    </row>
    <row r="237">
      <c r="A237" s="298"/>
      <c r="B237" s="299"/>
      <c r="C237" s="300"/>
      <c r="D237" s="301" t="str">
        <f>IFERROR(__xludf.DUMMYFUNCTION("if(ISBLANK(A237),"""",GOOGLEFINANCE(A237,""NAME""))"),"")</f>
        <v/>
      </c>
      <c r="E237" s="302">
        <v>5000.0</v>
      </c>
      <c r="F237" s="303" t="str">
        <f>IFERROR(__xludf.DUMMYFUNCTION("if(ISBLANK(A237),"""",GOOGLEFINANCE(A237,""HIGH52""))"),"")</f>
        <v/>
      </c>
      <c r="G237" s="303" t="str">
        <f>IFERROR(__xludf.DUMMYFUNCTION("if(ISBLANK(A237),"""",GOOGLEFINANCE(A237,""LOW52""))"),"")</f>
        <v/>
      </c>
      <c r="H237" s="304" t="str">
        <f>IFERROR(__xludf.DUMMYFUNCTION("if(ISBLANK(A237),"""",GOOGLEFINANCE(A237,""Price""))"),"")</f>
        <v/>
      </c>
      <c r="I237" s="305" t="str">
        <f t="shared" si="1"/>
        <v/>
      </c>
      <c r="J237" s="306" t="str">
        <f t="shared" si="2"/>
        <v/>
      </c>
      <c r="K237" s="307" t="str">
        <f>IFERROR(__xludf.DUMMYFUNCTION("if(ISBLANK(A237),"""",googlefinance(A237,""Marketcap"")/10000000)"),"")</f>
        <v/>
      </c>
      <c r="L237" s="309" t="str">
        <f t="shared" si="3"/>
        <v/>
      </c>
      <c r="M237" s="308" t="str">
        <f t="shared" si="4"/>
        <v/>
      </c>
      <c r="N237" s="309" t="str">
        <f t="shared" si="5"/>
        <v/>
      </c>
      <c r="O237" s="322" t="str">
        <f t="shared" si="6"/>
        <v/>
      </c>
      <c r="P237" s="308" t="str">
        <f t="shared" si="7"/>
        <v/>
      </c>
      <c r="Q237" s="311" t="str">
        <f t="shared" si="8"/>
        <v/>
      </c>
      <c r="R237" s="309" t="str">
        <f t="shared" si="9"/>
        <v/>
      </c>
      <c r="S237" s="308" t="str">
        <f t="shared" si="10"/>
        <v/>
      </c>
      <c r="T237" s="309" t="str">
        <f t="shared" si="11"/>
        <v/>
      </c>
      <c r="U237" s="309" t="str">
        <f t="shared" si="12"/>
        <v/>
      </c>
      <c r="V237" s="308" t="str">
        <f t="shared" si="13"/>
        <v/>
      </c>
      <c r="W237" s="309" t="str">
        <f t="shared" si="14"/>
        <v/>
      </c>
      <c r="X237" s="309" t="str">
        <f t="shared" si="15"/>
        <v/>
      </c>
      <c r="Y237" s="308" t="str">
        <f t="shared" si="16"/>
        <v/>
      </c>
      <c r="Z237" s="309" t="str">
        <f t="shared" si="17"/>
        <v/>
      </c>
      <c r="AA237" s="312" t="str">
        <f t="shared" si="18"/>
        <v/>
      </c>
      <c r="AB237" s="308" t="str">
        <f t="shared" si="19"/>
        <v/>
      </c>
      <c r="AC237" s="308" t="str">
        <f t="shared" si="20"/>
        <v/>
      </c>
      <c r="AD237" s="312" t="str">
        <f t="shared" si="21"/>
        <v/>
      </c>
      <c r="AE237" s="308" t="str">
        <f t="shared" si="22"/>
        <v/>
      </c>
      <c r="AF237" s="313" t="str">
        <f t="shared" si="23"/>
        <v/>
      </c>
      <c r="AG237" s="304" t="str">
        <f t="shared" si="24"/>
        <v/>
      </c>
      <c r="AH237" s="308" t="str">
        <f t="shared" si="25"/>
        <v/>
      </c>
      <c r="AI237" s="313" t="str">
        <f t="shared" si="26"/>
        <v/>
      </c>
      <c r="AJ237" s="304" t="str">
        <f t="shared" si="27"/>
        <v/>
      </c>
      <c r="AK237" s="308" t="str">
        <f t="shared" si="28"/>
        <v/>
      </c>
      <c r="AL237" s="308" t="str">
        <f t="shared" si="29"/>
        <v/>
      </c>
      <c r="AM237" s="304" t="str">
        <f t="shared" si="30"/>
        <v/>
      </c>
      <c r="AN237" s="308" t="str">
        <f t="shared" si="31"/>
        <v/>
      </c>
      <c r="AO237" s="313" t="str">
        <f t="shared" si="32"/>
        <v/>
      </c>
      <c r="AP237" s="304" t="str">
        <f t="shared" si="33"/>
        <v/>
      </c>
      <c r="AQ237" s="308" t="str">
        <f t="shared" si="34"/>
        <v/>
      </c>
      <c r="AR237" s="313" t="str">
        <f t="shared" si="35"/>
        <v/>
      </c>
      <c r="AS237" s="304" t="str">
        <f t="shared" si="36"/>
        <v/>
      </c>
      <c r="AT237" s="308" t="str">
        <f t="shared" si="37"/>
        <v/>
      </c>
      <c r="AU237" s="308" t="str">
        <f t="shared" si="38"/>
        <v/>
      </c>
      <c r="AV237" s="304" t="str">
        <f t="shared" si="39"/>
        <v/>
      </c>
      <c r="AW237" s="308" t="str">
        <f t="shared" si="40"/>
        <v/>
      </c>
      <c r="AX237" s="308" t="str">
        <f t="shared" si="41"/>
        <v/>
      </c>
      <c r="AY237" s="304" t="str">
        <f t="shared" si="42"/>
        <v/>
      </c>
      <c r="AZ237" s="308" t="str">
        <f t="shared" si="43"/>
        <v/>
      </c>
      <c r="BA237" s="313" t="str">
        <f t="shared" si="44"/>
        <v/>
      </c>
      <c r="BB237" s="304" t="str">
        <f t="shared" si="45"/>
        <v/>
      </c>
      <c r="BC237" s="308" t="str">
        <f t="shared" si="46"/>
        <v/>
      </c>
      <c r="BD237" s="308" t="str">
        <f t="shared" si="47"/>
        <v/>
      </c>
    </row>
    <row r="238">
      <c r="A238" s="298"/>
      <c r="B238" s="299"/>
      <c r="C238" s="300"/>
      <c r="D238" s="301" t="str">
        <f>IFERROR(__xludf.DUMMYFUNCTION("if(ISBLANK(A238),"""",GOOGLEFINANCE(A238,""NAME""))"),"")</f>
        <v/>
      </c>
      <c r="E238" s="302">
        <v>5000.0</v>
      </c>
      <c r="F238" s="303" t="str">
        <f>IFERROR(__xludf.DUMMYFUNCTION("if(ISBLANK(A238),"""",GOOGLEFINANCE(A238,""HIGH52""))"),"")</f>
        <v/>
      </c>
      <c r="G238" s="303" t="str">
        <f>IFERROR(__xludf.DUMMYFUNCTION("if(ISBLANK(A238),"""",GOOGLEFINANCE(A238,""LOW52""))"),"")</f>
        <v/>
      </c>
      <c r="H238" s="304" t="str">
        <f>IFERROR(__xludf.DUMMYFUNCTION("if(ISBLANK(A238),"""",GOOGLEFINANCE(A238,""Price""))"),"")</f>
        <v/>
      </c>
      <c r="I238" s="305" t="str">
        <f t="shared" si="1"/>
        <v/>
      </c>
      <c r="J238" s="306" t="str">
        <f t="shared" si="2"/>
        <v/>
      </c>
      <c r="K238" s="307" t="str">
        <f>IFERROR(__xludf.DUMMYFUNCTION("if(ISBLANK(A238),"""",googlefinance(A238,""Marketcap"")/10000000)"),"")</f>
        <v/>
      </c>
      <c r="L238" s="309" t="str">
        <f t="shared" si="3"/>
        <v/>
      </c>
      <c r="M238" s="308" t="str">
        <f t="shared" si="4"/>
        <v/>
      </c>
      <c r="N238" s="309" t="str">
        <f t="shared" si="5"/>
        <v/>
      </c>
      <c r="O238" s="322" t="str">
        <f t="shared" si="6"/>
        <v/>
      </c>
      <c r="P238" s="308" t="str">
        <f t="shared" si="7"/>
        <v/>
      </c>
      <c r="Q238" s="311" t="str">
        <f t="shared" si="8"/>
        <v/>
      </c>
      <c r="R238" s="309" t="str">
        <f t="shared" si="9"/>
        <v/>
      </c>
      <c r="S238" s="308" t="str">
        <f t="shared" si="10"/>
        <v/>
      </c>
      <c r="T238" s="309" t="str">
        <f t="shared" si="11"/>
        <v/>
      </c>
      <c r="U238" s="309" t="str">
        <f t="shared" si="12"/>
        <v/>
      </c>
      <c r="V238" s="308" t="str">
        <f t="shared" si="13"/>
        <v/>
      </c>
      <c r="W238" s="309" t="str">
        <f t="shared" si="14"/>
        <v/>
      </c>
      <c r="X238" s="309" t="str">
        <f t="shared" si="15"/>
        <v/>
      </c>
      <c r="Y238" s="308" t="str">
        <f t="shared" si="16"/>
        <v/>
      </c>
      <c r="Z238" s="309" t="str">
        <f t="shared" si="17"/>
        <v/>
      </c>
      <c r="AA238" s="312" t="str">
        <f t="shared" si="18"/>
        <v/>
      </c>
      <c r="AB238" s="308" t="str">
        <f t="shared" si="19"/>
        <v/>
      </c>
      <c r="AC238" s="308" t="str">
        <f t="shared" si="20"/>
        <v/>
      </c>
      <c r="AD238" s="312" t="str">
        <f t="shared" si="21"/>
        <v/>
      </c>
      <c r="AE238" s="308" t="str">
        <f t="shared" si="22"/>
        <v/>
      </c>
      <c r="AF238" s="313" t="str">
        <f t="shared" si="23"/>
        <v/>
      </c>
      <c r="AG238" s="304" t="str">
        <f t="shared" si="24"/>
        <v/>
      </c>
      <c r="AH238" s="308" t="str">
        <f t="shared" si="25"/>
        <v/>
      </c>
      <c r="AI238" s="313" t="str">
        <f t="shared" si="26"/>
        <v/>
      </c>
      <c r="AJ238" s="304" t="str">
        <f t="shared" si="27"/>
        <v/>
      </c>
      <c r="AK238" s="308" t="str">
        <f t="shared" si="28"/>
        <v/>
      </c>
      <c r="AL238" s="308" t="str">
        <f t="shared" si="29"/>
        <v/>
      </c>
      <c r="AM238" s="304" t="str">
        <f t="shared" si="30"/>
        <v/>
      </c>
      <c r="AN238" s="308" t="str">
        <f t="shared" si="31"/>
        <v/>
      </c>
      <c r="AO238" s="313" t="str">
        <f t="shared" si="32"/>
        <v/>
      </c>
      <c r="AP238" s="304" t="str">
        <f t="shared" si="33"/>
        <v/>
      </c>
      <c r="AQ238" s="308" t="str">
        <f t="shared" si="34"/>
        <v/>
      </c>
      <c r="AR238" s="313" t="str">
        <f t="shared" si="35"/>
        <v/>
      </c>
      <c r="AS238" s="304" t="str">
        <f t="shared" si="36"/>
        <v/>
      </c>
      <c r="AT238" s="308" t="str">
        <f t="shared" si="37"/>
        <v/>
      </c>
      <c r="AU238" s="308" t="str">
        <f t="shared" si="38"/>
        <v/>
      </c>
      <c r="AV238" s="304" t="str">
        <f t="shared" si="39"/>
        <v/>
      </c>
      <c r="AW238" s="308" t="str">
        <f t="shared" si="40"/>
        <v/>
      </c>
      <c r="AX238" s="308" t="str">
        <f t="shared" si="41"/>
        <v/>
      </c>
      <c r="AY238" s="304" t="str">
        <f t="shared" si="42"/>
        <v/>
      </c>
      <c r="AZ238" s="308" t="str">
        <f t="shared" si="43"/>
        <v/>
      </c>
      <c r="BA238" s="313" t="str">
        <f t="shared" si="44"/>
        <v/>
      </c>
      <c r="BB238" s="304" t="str">
        <f t="shared" si="45"/>
        <v/>
      </c>
      <c r="BC238" s="308" t="str">
        <f t="shared" si="46"/>
        <v/>
      </c>
      <c r="BD238" s="308" t="str">
        <f t="shared" si="47"/>
        <v/>
      </c>
    </row>
    <row r="239">
      <c r="A239" s="298"/>
      <c r="B239" s="299"/>
      <c r="C239" s="300"/>
      <c r="D239" s="301" t="str">
        <f>IFERROR(__xludf.DUMMYFUNCTION("if(ISBLANK(A239),"""",GOOGLEFINANCE(A239,""NAME""))"),"")</f>
        <v/>
      </c>
      <c r="E239" s="302">
        <v>5000.0</v>
      </c>
      <c r="F239" s="303" t="str">
        <f>IFERROR(__xludf.DUMMYFUNCTION("if(ISBLANK(A239),"""",GOOGLEFINANCE(A239,""HIGH52""))"),"")</f>
        <v/>
      </c>
      <c r="G239" s="303" t="str">
        <f>IFERROR(__xludf.DUMMYFUNCTION("if(ISBLANK(A239),"""",GOOGLEFINANCE(A239,""LOW52""))"),"")</f>
        <v/>
      </c>
      <c r="H239" s="304" t="str">
        <f>IFERROR(__xludf.DUMMYFUNCTION("if(ISBLANK(A239),"""",GOOGLEFINANCE(A239,""Price""))"),"")</f>
        <v/>
      </c>
      <c r="I239" s="305" t="str">
        <f t="shared" si="1"/>
        <v/>
      </c>
      <c r="J239" s="306" t="str">
        <f t="shared" si="2"/>
        <v/>
      </c>
      <c r="K239" s="307" t="str">
        <f>IFERROR(__xludf.DUMMYFUNCTION("if(ISBLANK(A239),"""",googlefinance(A239,""Marketcap"")/10000000)"),"")</f>
        <v/>
      </c>
      <c r="L239" s="309" t="str">
        <f t="shared" si="3"/>
        <v/>
      </c>
      <c r="M239" s="308" t="str">
        <f t="shared" si="4"/>
        <v/>
      </c>
      <c r="N239" s="309" t="str">
        <f t="shared" si="5"/>
        <v/>
      </c>
      <c r="O239" s="322" t="str">
        <f t="shared" si="6"/>
        <v/>
      </c>
      <c r="P239" s="308" t="str">
        <f t="shared" si="7"/>
        <v/>
      </c>
      <c r="Q239" s="311" t="str">
        <f t="shared" si="8"/>
        <v/>
      </c>
      <c r="R239" s="309" t="str">
        <f t="shared" si="9"/>
        <v/>
      </c>
      <c r="S239" s="308" t="str">
        <f t="shared" si="10"/>
        <v/>
      </c>
      <c r="T239" s="309" t="str">
        <f t="shared" si="11"/>
        <v/>
      </c>
      <c r="U239" s="309" t="str">
        <f t="shared" si="12"/>
        <v/>
      </c>
      <c r="V239" s="308" t="str">
        <f t="shared" si="13"/>
        <v/>
      </c>
      <c r="W239" s="309" t="str">
        <f t="shared" si="14"/>
        <v/>
      </c>
      <c r="X239" s="309" t="str">
        <f t="shared" si="15"/>
        <v/>
      </c>
      <c r="Y239" s="308" t="str">
        <f t="shared" si="16"/>
        <v/>
      </c>
      <c r="Z239" s="309" t="str">
        <f t="shared" si="17"/>
        <v/>
      </c>
      <c r="AA239" s="312" t="str">
        <f t="shared" si="18"/>
        <v/>
      </c>
      <c r="AB239" s="308" t="str">
        <f t="shared" si="19"/>
        <v/>
      </c>
      <c r="AC239" s="308" t="str">
        <f t="shared" si="20"/>
        <v/>
      </c>
      <c r="AD239" s="312" t="str">
        <f t="shared" si="21"/>
        <v/>
      </c>
      <c r="AE239" s="308" t="str">
        <f t="shared" si="22"/>
        <v/>
      </c>
      <c r="AF239" s="313" t="str">
        <f t="shared" si="23"/>
        <v/>
      </c>
      <c r="AG239" s="304" t="str">
        <f t="shared" si="24"/>
        <v/>
      </c>
      <c r="AH239" s="308" t="str">
        <f t="shared" si="25"/>
        <v/>
      </c>
      <c r="AI239" s="313" t="str">
        <f t="shared" si="26"/>
        <v/>
      </c>
      <c r="AJ239" s="304" t="str">
        <f t="shared" si="27"/>
        <v/>
      </c>
      <c r="AK239" s="308" t="str">
        <f t="shared" si="28"/>
        <v/>
      </c>
      <c r="AL239" s="308" t="str">
        <f t="shared" si="29"/>
        <v/>
      </c>
      <c r="AM239" s="304" t="str">
        <f t="shared" si="30"/>
        <v/>
      </c>
      <c r="AN239" s="308" t="str">
        <f t="shared" si="31"/>
        <v/>
      </c>
      <c r="AO239" s="313" t="str">
        <f t="shared" si="32"/>
        <v/>
      </c>
      <c r="AP239" s="304" t="str">
        <f t="shared" si="33"/>
        <v/>
      </c>
      <c r="AQ239" s="308" t="str">
        <f t="shared" si="34"/>
        <v/>
      </c>
      <c r="AR239" s="313" t="str">
        <f t="shared" si="35"/>
        <v/>
      </c>
      <c r="AS239" s="304" t="str">
        <f t="shared" si="36"/>
        <v/>
      </c>
      <c r="AT239" s="308" t="str">
        <f t="shared" si="37"/>
        <v/>
      </c>
      <c r="AU239" s="308" t="str">
        <f t="shared" si="38"/>
        <v/>
      </c>
      <c r="AV239" s="304" t="str">
        <f t="shared" si="39"/>
        <v/>
      </c>
      <c r="AW239" s="308" t="str">
        <f t="shared" si="40"/>
        <v/>
      </c>
      <c r="AX239" s="308" t="str">
        <f t="shared" si="41"/>
        <v/>
      </c>
      <c r="AY239" s="304" t="str">
        <f t="shared" si="42"/>
        <v/>
      </c>
      <c r="AZ239" s="308" t="str">
        <f t="shared" si="43"/>
        <v/>
      </c>
      <c r="BA239" s="313" t="str">
        <f t="shared" si="44"/>
        <v/>
      </c>
      <c r="BB239" s="304" t="str">
        <f t="shared" si="45"/>
        <v/>
      </c>
      <c r="BC239" s="308" t="str">
        <f t="shared" si="46"/>
        <v/>
      </c>
      <c r="BD239" s="308" t="str">
        <f t="shared" si="47"/>
        <v/>
      </c>
    </row>
    <row r="240">
      <c r="A240" s="298"/>
      <c r="B240" s="299"/>
      <c r="C240" s="300"/>
      <c r="D240" s="301" t="str">
        <f>IFERROR(__xludf.DUMMYFUNCTION("if(ISBLANK(A240),"""",GOOGLEFINANCE(A240,""NAME""))"),"")</f>
        <v/>
      </c>
      <c r="E240" s="302">
        <v>5000.0</v>
      </c>
      <c r="F240" s="303" t="str">
        <f>IFERROR(__xludf.DUMMYFUNCTION("if(ISBLANK(A240),"""",GOOGLEFINANCE(A240,""HIGH52""))"),"")</f>
        <v/>
      </c>
      <c r="G240" s="303" t="str">
        <f>IFERROR(__xludf.DUMMYFUNCTION("if(ISBLANK(A240),"""",GOOGLEFINANCE(A240,""LOW52""))"),"")</f>
        <v/>
      </c>
      <c r="H240" s="304" t="str">
        <f>IFERROR(__xludf.DUMMYFUNCTION("if(ISBLANK(A240),"""",GOOGLEFINANCE(A240,""Price""))"),"")</f>
        <v/>
      </c>
      <c r="I240" s="305" t="str">
        <f t="shared" si="1"/>
        <v/>
      </c>
      <c r="J240" s="306" t="str">
        <f t="shared" si="2"/>
        <v/>
      </c>
      <c r="K240" s="307" t="str">
        <f>IFERROR(__xludf.DUMMYFUNCTION("if(ISBLANK(A240),"""",googlefinance(A240,""Marketcap"")/10000000)"),"")</f>
        <v/>
      </c>
      <c r="L240" s="309" t="str">
        <f t="shared" si="3"/>
        <v/>
      </c>
      <c r="M240" s="308" t="str">
        <f t="shared" si="4"/>
        <v/>
      </c>
      <c r="N240" s="309" t="str">
        <f t="shared" si="5"/>
        <v/>
      </c>
      <c r="O240" s="322" t="str">
        <f t="shared" si="6"/>
        <v/>
      </c>
      <c r="P240" s="308" t="str">
        <f t="shared" si="7"/>
        <v/>
      </c>
      <c r="Q240" s="311" t="str">
        <f t="shared" si="8"/>
        <v/>
      </c>
      <c r="R240" s="309" t="str">
        <f t="shared" si="9"/>
        <v/>
      </c>
      <c r="S240" s="308" t="str">
        <f t="shared" si="10"/>
        <v/>
      </c>
      <c r="T240" s="309" t="str">
        <f t="shared" si="11"/>
        <v/>
      </c>
      <c r="U240" s="309" t="str">
        <f t="shared" si="12"/>
        <v/>
      </c>
      <c r="V240" s="308" t="str">
        <f t="shared" si="13"/>
        <v/>
      </c>
      <c r="W240" s="309" t="str">
        <f t="shared" si="14"/>
        <v/>
      </c>
      <c r="X240" s="309" t="str">
        <f t="shared" si="15"/>
        <v/>
      </c>
      <c r="Y240" s="308" t="str">
        <f t="shared" si="16"/>
        <v/>
      </c>
      <c r="Z240" s="309" t="str">
        <f t="shared" si="17"/>
        <v/>
      </c>
      <c r="AA240" s="312" t="str">
        <f t="shared" si="18"/>
        <v/>
      </c>
      <c r="AB240" s="308" t="str">
        <f t="shared" si="19"/>
        <v/>
      </c>
      <c r="AC240" s="308" t="str">
        <f t="shared" si="20"/>
        <v/>
      </c>
      <c r="AD240" s="312" t="str">
        <f t="shared" si="21"/>
        <v/>
      </c>
      <c r="AE240" s="308" t="str">
        <f t="shared" si="22"/>
        <v/>
      </c>
      <c r="AF240" s="313" t="str">
        <f t="shared" si="23"/>
        <v/>
      </c>
      <c r="AG240" s="304" t="str">
        <f t="shared" si="24"/>
        <v/>
      </c>
      <c r="AH240" s="308" t="str">
        <f t="shared" si="25"/>
        <v/>
      </c>
      <c r="AI240" s="313" t="str">
        <f t="shared" si="26"/>
        <v/>
      </c>
      <c r="AJ240" s="304" t="str">
        <f t="shared" si="27"/>
        <v/>
      </c>
      <c r="AK240" s="308" t="str">
        <f t="shared" si="28"/>
        <v/>
      </c>
      <c r="AL240" s="308" t="str">
        <f t="shared" si="29"/>
        <v/>
      </c>
      <c r="AM240" s="304" t="str">
        <f t="shared" si="30"/>
        <v/>
      </c>
      <c r="AN240" s="308" t="str">
        <f t="shared" si="31"/>
        <v/>
      </c>
      <c r="AO240" s="313" t="str">
        <f t="shared" si="32"/>
        <v/>
      </c>
      <c r="AP240" s="304" t="str">
        <f t="shared" si="33"/>
        <v/>
      </c>
      <c r="AQ240" s="308" t="str">
        <f t="shared" si="34"/>
        <v/>
      </c>
      <c r="AR240" s="313" t="str">
        <f t="shared" si="35"/>
        <v/>
      </c>
      <c r="AS240" s="304" t="str">
        <f t="shared" si="36"/>
        <v/>
      </c>
      <c r="AT240" s="308" t="str">
        <f t="shared" si="37"/>
        <v/>
      </c>
      <c r="AU240" s="308" t="str">
        <f t="shared" si="38"/>
        <v/>
      </c>
      <c r="AV240" s="304" t="str">
        <f t="shared" si="39"/>
        <v/>
      </c>
      <c r="AW240" s="308" t="str">
        <f t="shared" si="40"/>
        <v/>
      </c>
      <c r="AX240" s="308" t="str">
        <f t="shared" si="41"/>
        <v/>
      </c>
      <c r="AY240" s="304" t="str">
        <f t="shared" si="42"/>
        <v/>
      </c>
      <c r="AZ240" s="308" t="str">
        <f t="shared" si="43"/>
        <v/>
      </c>
      <c r="BA240" s="313" t="str">
        <f t="shared" si="44"/>
        <v/>
      </c>
      <c r="BB240" s="304" t="str">
        <f t="shared" si="45"/>
        <v/>
      </c>
      <c r="BC240" s="308" t="str">
        <f t="shared" si="46"/>
        <v/>
      </c>
      <c r="BD240" s="308" t="str">
        <f t="shared" si="47"/>
        <v/>
      </c>
    </row>
    <row r="241">
      <c r="A241" s="298"/>
      <c r="B241" s="299"/>
      <c r="C241" s="300"/>
      <c r="D241" s="301" t="str">
        <f>IFERROR(__xludf.DUMMYFUNCTION("if(ISBLANK(A241),"""",GOOGLEFINANCE(A241,""NAME""))"),"")</f>
        <v/>
      </c>
      <c r="E241" s="302">
        <v>5000.0</v>
      </c>
      <c r="F241" s="303" t="str">
        <f>IFERROR(__xludf.DUMMYFUNCTION("if(ISBLANK(A241),"""",GOOGLEFINANCE(A241,""HIGH52""))"),"")</f>
        <v/>
      </c>
      <c r="G241" s="303" t="str">
        <f>IFERROR(__xludf.DUMMYFUNCTION("if(ISBLANK(A241),"""",GOOGLEFINANCE(A241,""LOW52""))"),"")</f>
        <v/>
      </c>
      <c r="H241" s="304" t="str">
        <f>IFERROR(__xludf.DUMMYFUNCTION("if(ISBLANK(A241),"""",GOOGLEFINANCE(A241,""Price""))"),"")</f>
        <v/>
      </c>
      <c r="I241" s="305" t="str">
        <f t="shared" si="1"/>
        <v/>
      </c>
      <c r="J241" s="306" t="str">
        <f t="shared" si="2"/>
        <v/>
      </c>
      <c r="K241" s="307" t="str">
        <f>IFERROR(__xludf.DUMMYFUNCTION("if(ISBLANK(A241),"""",googlefinance(A241,""Marketcap"")/10000000)"),"")</f>
        <v/>
      </c>
      <c r="L241" s="309" t="str">
        <f t="shared" si="3"/>
        <v/>
      </c>
      <c r="M241" s="308" t="str">
        <f t="shared" si="4"/>
        <v/>
      </c>
      <c r="N241" s="309" t="str">
        <f t="shared" si="5"/>
        <v/>
      </c>
      <c r="O241" s="322" t="str">
        <f t="shared" si="6"/>
        <v/>
      </c>
      <c r="P241" s="308" t="str">
        <f t="shared" si="7"/>
        <v/>
      </c>
      <c r="Q241" s="311" t="str">
        <f t="shared" si="8"/>
        <v/>
      </c>
      <c r="R241" s="309" t="str">
        <f t="shared" si="9"/>
        <v/>
      </c>
      <c r="S241" s="308" t="str">
        <f t="shared" si="10"/>
        <v/>
      </c>
      <c r="T241" s="309" t="str">
        <f t="shared" si="11"/>
        <v/>
      </c>
      <c r="U241" s="309" t="str">
        <f t="shared" si="12"/>
        <v/>
      </c>
      <c r="V241" s="308" t="str">
        <f t="shared" si="13"/>
        <v/>
      </c>
      <c r="W241" s="309" t="str">
        <f t="shared" si="14"/>
        <v/>
      </c>
      <c r="X241" s="309" t="str">
        <f t="shared" si="15"/>
        <v/>
      </c>
      <c r="Y241" s="308" t="str">
        <f t="shared" si="16"/>
        <v/>
      </c>
      <c r="Z241" s="309" t="str">
        <f t="shared" si="17"/>
        <v/>
      </c>
      <c r="AA241" s="312" t="str">
        <f t="shared" si="18"/>
        <v/>
      </c>
      <c r="AB241" s="308" t="str">
        <f t="shared" si="19"/>
        <v/>
      </c>
      <c r="AC241" s="308" t="str">
        <f t="shared" si="20"/>
        <v/>
      </c>
      <c r="AD241" s="312" t="str">
        <f t="shared" si="21"/>
        <v/>
      </c>
      <c r="AE241" s="308" t="str">
        <f t="shared" si="22"/>
        <v/>
      </c>
      <c r="AF241" s="313" t="str">
        <f t="shared" si="23"/>
        <v/>
      </c>
      <c r="AG241" s="304" t="str">
        <f t="shared" si="24"/>
        <v/>
      </c>
      <c r="AH241" s="308" t="str">
        <f t="shared" si="25"/>
        <v/>
      </c>
      <c r="AI241" s="313" t="str">
        <f t="shared" si="26"/>
        <v/>
      </c>
      <c r="AJ241" s="304" t="str">
        <f t="shared" si="27"/>
        <v/>
      </c>
      <c r="AK241" s="308" t="str">
        <f t="shared" si="28"/>
        <v/>
      </c>
      <c r="AL241" s="308" t="str">
        <f t="shared" si="29"/>
        <v/>
      </c>
      <c r="AM241" s="304" t="str">
        <f t="shared" si="30"/>
        <v/>
      </c>
      <c r="AN241" s="308" t="str">
        <f t="shared" si="31"/>
        <v/>
      </c>
      <c r="AO241" s="313" t="str">
        <f t="shared" si="32"/>
        <v/>
      </c>
      <c r="AP241" s="304" t="str">
        <f t="shared" si="33"/>
        <v/>
      </c>
      <c r="AQ241" s="308" t="str">
        <f t="shared" si="34"/>
        <v/>
      </c>
      <c r="AR241" s="313" t="str">
        <f t="shared" si="35"/>
        <v/>
      </c>
      <c r="AS241" s="304" t="str">
        <f t="shared" si="36"/>
        <v/>
      </c>
      <c r="AT241" s="308" t="str">
        <f t="shared" si="37"/>
        <v/>
      </c>
      <c r="AU241" s="308" t="str">
        <f t="shared" si="38"/>
        <v/>
      </c>
      <c r="AV241" s="304" t="str">
        <f t="shared" si="39"/>
        <v/>
      </c>
      <c r="AW241" s="308" t="str">
        <f t="shared" si="40"/>
        <v/>
      </c>
      <c r="AX241" s="308" t="str">
        <f t="shared" si="41"/>
        <v/>
      </c>
      <c r="AY241" s="304" t="str">
        <f t="shared" si="42"/>
        <v/>
      </c>
      <c r="AZ241" s="308" t="str">
        <f t="shared" si="43"/>
        <v/>
      </c>
      <c r="BA241" s="313" t="str">
        <f t="shared" si="44"/>
        <v/>
      </c>
      <c r="BB241" s="304" t="str">
        <f t="shared" si="45"/>
        <v/>
      </c>
      <c r="BC241" s="308" t="str">
        <f t="shared" si="46"/>
        <v/>
      </c>
      <c r="BD241" s="308" t="str">
        <f t="shared" si="47"/>
        <v/>
      </c>
    </row>
    <row r="242">
      <c r="A242" s="298"/>
      <c r="B242" s="299"/>
      <c r="C242" s="300"/>
      <c r="D242" s="301" t="str">
        <f>IFERROR(__xludf.DUMMYFUNCTION("if(ISBLANK(A242),"""",GOOGLEFINANCE(A242,""NAME""))"),"")</f>
        <v/>
      </c>
      <c r="E242" s="302">
        <v>5000.0</v>
      </c>
      <c r="F242" s="303" t="str">
        <f>IFERROR(__xludf.DUMMYFUNCTION("if(ISBLANK(A242),"""",GOOGLEFINANCE(A242,""HIGH52""))"),"")</f>
        <v/>
      </c>
      <c r="G242" s="303" t="str">
        <f>IFERROR(__xludf.DUMMYFUNCTION("if(ISBLANK(A242),"""",GOOGLEFINANCE(A242,""LOW52""))"),"")</f>
        <v/>
      </c>
      <c r="H242" s="304" t="str">
        <f>IFERROR(__xludf.DUMMYFUNCTION("if(ISBLANK(A242),"""",GOOGLEFINANCE(A242,""Price""))"),"")</f>
        <v/>
      </c>
      <c r="I242" s="305" t="str">
        <f t="shared" si="1"/>
        <v/>
      </c>
      <c r="J242" s="306" t="str">
        <f t="shared" si="2"/>
        <v/>
      </c>
      <c r="K242" s="307" t="str">
        <f>IFERROR(__xludf.DUMMYFUNCTION("if(ISBLANK(A242),"""",googlefinance(A242,""Marketcap"")/10000000)"),"")</f>
        <v/>
      </c>
      <c r="L242" s="309" t="str">
        <f t="shared" si="3"/>
        <v/>
      </c>
      <c r="M242" s="308" t="str">
        <f t="shared" si="4"/>
        <v/>
      </c>
      <c r="N242" s="309" t="str">
        <f t="shared" si="5"/>
        <v/>
      </c>
      <c r="O242" s="322" t="str">
        <f t="shared" si="6"/>
        <v/>
      </c>
      <c r="P242" s="308" t="str">
        <f t="shared" si="7"/>
        <v/>
      </c>
      <c r="Q242" s="311" t="str">
        <f t="shared" si="8"/>
        <v/>
      </c>
      <c r="R242" s="309" t="str">
        <f t="shared" si="9"/>
        <v/>
      </c>
      <c r="S242" s="308" t="str">
        <f t="shared" si="10"/>
        <v/>
      </c>
      <c r="T242" s="309" t="str">
        <f t="shared" si="11"/>
        <v/>
      </c>
      <c r="U242" s="309" t="str">
        <f t="shared" si="12"/>
        <v/>
      </c>
      <c r="V242" s="308" t="str">
        <f t="shared" si="13"/>
        <v/>
      </c>
      <c r="W242" s="309" t="str">
        <f t="shared" si="14"/>
        <v/>
      </c>
      <c r="X242" s="309" t="str">
        <f t="shared" si="15"/>
        <v/>
      </c>
      <c r="Y242" s="308" t="str">
        <f t="shared" si="16"/>
        <v/>
      </c>
      <c r="Z242" s="309" t="str">
        <f t="shared" si="17"/>
        <v/>
      </c>
      <c r="AA242" s="312" t="str">
        <f t="shared" si="18"/>
        <v/>
      </c>
      <c r="AB242" s="308" t="str">
        <f t="shared" si="19"/>
        <v/>
      </c>
      <c r="AC242" s="308" t="str">
        <f t="shared" si="20"/>
        <v/>
      </c>
      <c r="AD242" s="312" t="str">
        <f t="shared" si="21"/>
        <v/>
      </c>
      <c r="AE242" s="308" t="str">
        <f t="shared" si="22"/>
        <v/>
      </c>
      <c r="AF242" s="313" t="str">
        <f t="shared" si="23"/>
        <v/>
      </c>
      <c r="AG242" s="304" t="str">
        <f t="shared" si="24"/>
        <v/>
      </c>
      <c r="AH242" s="308" t="str">
        <f t="shared" si="25"/>
        <v/>
      </c>
      <c r="AI242" s="313" t="str">
        <f t="shared" si="26"/>
        <v/>
      </c>
      <c r="AJ242" s="304" t="str">
        <f t="shared" si="27"/>
        <v/>
      </c>
      <c r="AK242" s="308" t="str">
        <f t="shared" si="28"/>
        <v/>
      </c>
      <c r="AL242" s="308" t="str">
        <f t="shared" si="29"/>
        <v/>
      </c>
      <c r="AM242" s="304" t="str">
        <f t="shared" si="30"/>
        <v/>
      </c>
      <c r="AN242" s="308" t="str">
        <f t="shared" si="31"/>
        <v/>
      </c>
      <c r="AO242" s="313" t="str">
        <f t="shared" si="32"/>
        <v/>
      </c>
      <c r="AP242" s="304" t="str">
        <f t="shared" si="33"/>
        <v/>
      </c>
      <c r="AQ242" s="308" t="str">
        <f t="shared" si="34"/>
        <v/>
      </c>
      <c r="AR242" s="313" t="str">
        <f t="shared" si="35"/>
        <v/>
      </c>
      <c r="AS242" s="304" t="str">
        <f t="shared" si="36"/>
        <v/>
      </c>
      <c r="AT242" s="308" t="str">
        <f t="shared" si="37"/>
        <v/>
      </c>
      <c r="AU242" s="308" t="str">
        <f t="shared" si="38"/>
        <v/>
      </c>
      <c r="AV242" s="304" t="str">
        <f t="shared" si="39"/>
        <v/>
      </c>
      <c r="AW242" s="308" t="str">
        <f t="shared" si="40"/>
        <v/>
      </c>
      <c r="AX242" s="308" t="str">
        <f t="shared" si="41"/>
        <v/>
      </c>
      <c r="AY242" s="304" t="str">
        <f t="shared" si="42"/>
        <v/>
      </c>
      <c r="AZ242" s="308" t="str">
        <f t="shared" si="43"/>
        <v/>
      </c>
      <c r="BA242" s="313" t="str">
        <f t="shared" si="44"/>
        <v/>
      </c>
      <c r="BB242" s="304" t="str">
        <f t="shared" si="45"/>
        <v/>
      </c>
      <c r="BC242" s="308" t="str">
        <f t="shared" si="46"/>
        <v/>
      </c>
      <c r="BD242" s="308" t="str">
        <f t="shared" si="47"/>
        <v/>
      </c>
    </row>
    <row r="243">
      <c r="A243" s="298"/>
      <c r="B243" s="299"/>
      <c r="C243" s="300"/>
      <c r="D243" s="301" t="str">
        <f>IFERROR(__xludf.DUMMYFUNCTION("if(ISBLANK(A243),"""",GOOGLEFINANCE(A243,""NAME""))"),"")</f>
        <v/>
      </c>
      <c r="E243" s="302">
        <v>5000.0</v>
      </c>
      <c r="F243" s="303" t="str">
        <f>IFERROR(__xludf.DUMMYFUNCTION("if(ISBLANK(A243),"""",GOOGLEFINANCE(A243,""HIGH52""))"),"")</f>
        <v/>
      </c>
      <c r="G243" s="303" t="str">
        <f>IFERROR(__xludf.DUMMYFUNCTION("if(ISBLANK(A243),"""",GOOGLEFINANCE(A243,""LOW52""))"),"")</f>
        <v/>
      </c>
      <c r="H243" s="304" t="str">
        <f>IFERROR(__xludf.DUMMYFUNCTION("if(ISBLANK(A243),"""",GOOGLEFINANCE(A243,""Price""))"),"")</f>
        <v/>
      </c>
      <c r="I243" s="305" t="str">
        <f t="shared" si="1"/>
        <v/>
      </c>
      <c r="J243" s="306" t="str">
        <f t="shared" si="2"/>
        <v/>
      </c>
      <c r="K243" s="307" t="str">
        <f>IFERROR(__xludf.DUMMYFUNCTION("if(ISBLANK(A243),"""",googlefinance(A243,""Marketcap"")/10000000)"),"")</f>
        <v/>
      </c>
      <c r="L243" s="309" t="str">
        <f t="shared" si="3"/>
        <v/>
      </c>
      <c r="M243" s="308" t="str">
        <f t="shared" si="4"/>
        <v/>
      </c>
      <c r="N243" s="309" t="str">
        <f t="shared" si="5"/>
        <v/>
      </c>
      <c r="O243" s="322" t="str">
        <f t="shared" si="6"/>
        <v/>
      </c>
      <c r="P243" s="308" t="str">
        <f t="shared" si="7"/>
        <v/>
      </c>
      <c r="Q243" s="311" t="str">
        <f t="shared" si="8"/>
        <v/>
      </c>
      <c r="R243" s="309" t="str">
        <f t="shared" si="9"/>
        <v/>
      </c>
      <c r="S243" s="308" t="str">
        <f t="shared" si="10"/>
        <v/>
      </c>
      <c r="T243" s="309" t="str">
        <f t="shared" si="11"/>
        <v/>
      </c>
      <c r="U243" s="309" t="str">
        <f t="shared" si="12"/>
        <v/>
      </c>
      <c r="V243" s="308" t="str">
        <f t="shared" si="13"/>
        <v/>
      </c>
      <c r="W243" s="309" t="str">
        <f t="shared" si="14"/>
        <v/>
      </c>
      <c r="X243" s="309" t="str">
        <f t="shared" si="15"/>
        <v/>
      </c>
      <c r="Y243" s="308" t="str">
        <f t="shared" si="16"/>
        <v/>
      </c>
      <c r="Z243" s="309" t="str">
        <f t="shared" si="17"/>
        <v/>
      </c>
      <c r="AA243" s="312" t="str">
        <f t="shared" si="18"/>
        <v/>
      </c>
      <c r="AB243" s="308" t="str">
        <f t="shared" si="19"/>
        <v/>
      </c>
      <c r="AC243" s="308" t="str">
        <f t="shared" si="20"/>
        <v/>
      </c>
      <c r="AD243" s="312" t="str">
        <f t="shared" si="21"/>
        <v/>
      </c>
      <c r="AE243" s="308" t="str">
        <f t="shared" si="22"/>
        <v/>
      </c>
      <c r="AF243" s="313" t="str">
        <f t="shared" si="23"/>
        <v/>
      </c>
      <c r="AG243" s="304" t="str">
        <f t="shared" si="24"/>
        <v/>
      </c>
      <c r="AH243" s="308" t="str">
        <f t="shared" si="25"/>
        <v/>
      </c>
      <c r="AI243" s="313" t="str">
        <f t="shared" si="26"/>
        <v/>
      </c>
      <c r="AJ243" s="304" t="str">
        <f t="shared" si="27"/>
        <v/>
      </c>
      <c r="AK243" s="308" t="str">
        <f t="shared" si="28"/>
        <v/>
      </c>
      <c r="AL243" s="308" t="str">
        <f t="shared" si="29"/>
        <v/>
      </c>
      <c r="AM243" s="304" t="str">
        <f t="shared" si="30"/>
        <v/>
      </c>
      <c r="AN243" s="308" t="str">
        <f t="shared" si="31"/>
        <v/>
      </c>
      <c r="AO243" s="313" t="str">
        <f t="shared" si="32"/>
        <v/>
      </c>
      <c r="AP243" s="304" t="str">
        <f t="shared" si="33"/>
        <v/>
      </c>
      <c r="AQ243" s="308" t="str">
        <f t="shared" si="34"/>
        <v/>
      </c>
      <c r="AR243" s="313" t="str">
        <f t="shared" si="35"/>
        <v/>
      </c>
      <c r="AS243" s="304" t="str">
        <f t="shared" si="36"/>
        <v/>
      </c>
      <c r="AT243" s="308" t="str">
        <f t="shared" si="37"/>
        <v/>
      </c>
      <c r="AU243" s="308" t="str">
        <f t="shared" si="38"/>
        <v/>
      </c>
      <c r="AV243" s="304" t="str">
        <f t="shared" si="39"/>
        <v/>
      </c>
      <c r="AW243" s="308" t="str">
        <f t="shared" si="40"/>
        <v/>
      </c>
      <c r="AX243" s="308" t="str">
        <f t="shared" si="41"/>
        <v/>
      </c>
      <c r="AY243" s="304" t="str">
        <f t="shared" si="42"/>
        <v/>
      </c>
      <c r="AZ243" s="308" t="str">
        <f t="shared" si="43"/>
        <v/>
      </c>
      <c r="BA243" s="313" t="str">
        <f t="shared" si="44"/>
        <v/>
      </c>
      <c r="BB243" s="304" t="str">
        <f t="shared" si="45"/>
        <v/>
      </c>
      <c r="BC243" s="308" t="str">
        <f t="shared" si="46"/>
        <v/>
      </c>
      <c r="BD243" s="308" t="str">
        <f t="shared" si="47"/>
        <v/>
      </c>
    </row>
    <row r="244">
      <c r="A244" s="298"/>
      <c r="B244" s="299"/>
      <c r="C244" s="300"/>
      <c r="D244" s="301" t="str">
        <f>IFERROR(__xludf.DUMMYFUNCTION("if(ISBLANK(A244),"""",GOOGLEFINANCE(A244,""NAME""))"),"")</f>
        <v/>
      </c>
      <c r="E244" s="302">
        <v>5000.0</v>
      </c>
      <c r="F244" s="303" t="str">
        <f>IFERROR(__xludf.DUMMYFUNCTION("if(ISBLANK(A244),"""",GOOGLEFINANCE(A244,""HIGH52""))"),"")</f>
        <v/>
      </c>
      <c r="G244" s="303" t="str">
        <f>IFERROR(__xludf.DUMMYFUNCTION("if(ISBLANK(A244),"""",GOOGLEFINANCE(A244,""LOW52""))"),"")</f>
        <v/>
      </c>
      <c r="H244" s="304" t="str">
        <f>IFERROR(__xludf.DUMMYFUNCTION("if(ISBLANK(A244),"""",GOOGLEFINANCE(A244,""Price""))"),"")</f>
        <v/>
      </c>
      <c r="I244" s="305" t="str">
        <f t="shared" si="1"/>
        <v/>
      </c>
      <c r="J244" s="306" t="str">
        <f t="shared" si="2"/>
        <v/>
      </c>
      <c r="K244" s="307" t="str">
        <f>IFERROR(__xludf.DUMMYFUNCTION("if(ISBLANK(A244),"""",googlefinance(A244,""Marketcap"")/10000000)"),"")</f>
        <v/>
      </c>
      <c r="L244" s="309" t="str">
        <f t="shared" si="3"/>
        <v/>
      </c>
      <c r="M244" s="308" t="str">
        <f t="shared" si="4"/>
        <v/>
      </c>
      <c r="N244" s="309" t="str">
        <f t="shared" si="5"/>
        <v/>
      </c>
      <c r="O244" s="322" t="str">
        <f t="shared" si="6"/>
        <v/>
      </c>
      <c r="P244" s="308" t="str">
        <f t="shared" si="7"/>
        <v/>
      </c>
      <c r="Q244" s="311" t="str">
        <f t="shared" si="8"/>
        <v/>
      </c>
      <c r="R244" s="309" t="str">
        <f t="shared" si="9"/>
        <v/>
      </c>
      <c r="S244" s="308" t="str">
        <f t="shared" si="10"/>
        <v/>
      </c>
      <c r="T244" s="309" t="str">
        <f t="shared" si="11"/>
        <v/>
      </c>
      <c r="U244" s="309" t="str">
        <f t="shared" si="12"/>
        <v/>
      </c>
      <c r="V244" s="308" t="str">
        <f t="shared" si="13"/>
        <v/>
      </c>
      <c r="W244" s="309" t="str">
        <f t="shared" si="14"/>
        <v/>
      </c>
      <c r="X244" s="309" t="str">
        <f t="shared" si="15"/>
        <v/>
      </c>
      <c r="Y244" s="308" t="str">
        <f t="shared" si="16"/>
        <v/>
      </c>
      <c r="Z244" s="309" t="str">
        <f t="shared" si="17"/>
        <v/>
      </c>
      <c r="AA244" s="312" t="str">
        <f t="shared" si="18"/>
        <v/>
      </c>
      <c r="AB244" s="308" t="str">
        <f t="shared" si="19"/>
        <v/>
      </c>
      <c r="AC244" s="308" t="str">
        <f t="shared" si="20"/>
        <v/>
      </c>
      <c r="AD244" s="312" t="str">
        <f t="shared" si="21"/>
        <v/>
      </c>
      <c r="AE244" s="308" t="str">
        <f t="shared" si="22"/>
        <v/>
      </c>
      <c r="AF244" s="313" t="str">
        <f t="shared" si="23"/>
        <v/>
      </c>
      <c r="AG244" s="304" t="str">
        <f t="shared" si="24"/>
        <v/>
      </c>
      <c r="AH244" s="308" t="str">
        <f t="shared" si="25"/>
        <v/>
      </c>
      <c r="AI244" s="313" t="str">
        <f t="shared" si="26"/>
        <v/>
      </c>
      <c r="AJ244" s="304" t="str">
        <f t="shared" si="27"/>
        <v/>
      </c>
      <c r="AK244" s="308" t="str">
        <f t="shared" si="28"/>
        <v/>
      </c>
      <c r="AL244" s="308" t="str">
        <f t="shared" si="29"/>
        <v/>
      </c>
      <c r="AM244" s="304" t="str">
        <f t="shared" si="30"/>
        <v/>
      </c>
      <c r="AN244" s="308" t="str">
        <f t="shared" si="31"/>
        <v/>
      </c>
      <c r="AO244" s="313" t="str">
        <f t="shared" si="32"/>
        <v/>
      </c>
      <c r="AP244" s="304" t="str">
        <f t="shared" si="33"/>
        <v/>
      </c>
      <c r="AQ244" s="308" t="str">
        <f t="shared" si="34"/>
        <v/>
      </c>
      <c r="AR244" s="313" t="str">
        <f t="shared" si="35"/>
        <v/>
      </c>
      <c r="AS244" s="304" t="str">
        <f t="shared" si="36"/>
        <v/>
      </c>
      <c r="AT244" s="308" t="str">
        <f t="shared" si="37"/>
        <v/>
      </c>
      <c r="AU244" s="308" t="str">
        <f t="shared" si="38"/>
        <v/>
      </c>
      <c r="AV244" s="304" t="str">
        <f t="shared" si="39"/>
        <v/>
      </c>
      <c r="AW244" s="308" t="str">
        <f t="shared" si="40"/>
        <v/>
      </c>
      <c r="AX244" s="308" t="str">
        <f t="shared" si="41"/>
        <v/>
      </c>
      <c r="AY244" s="304" t="str">
        <f t="shared" si="42"/>
        <v/>
      </c>
      <c r="AZ244" s="308" t="str">
        <f t="shared" si="43"/>
        <v/>
      </c>
      <c r="BA244" s="313" t="str">
        <f t="shared" si="44"/>
        <v/>
      </c>
      <c r="BB244" s="304" t="str">
        <f t="shared" si="45"/>
        <v/>
      </c>
      <c r="BC244" s="308" t="str">
        <f t="shared" si="46"/>
        <v/>
      </c>
      <c r="BD244" s="308" t="str">
        <f t="shared" si="47"/>
        <v/>
      </c>
    </row>
    <row r="245">
      <c r="A245" s="298"/>
      <c r="B245" s="299"/>
      <c r="C245" s="300"/>
      <c r="D245" s="301" t="str">
        <f>IFERROR(__xludf.DUMMYFUNCTION("if(ISBLANK(A245),"""",GOOGLEFINANCE(A245,""NAME""))"),"")</f>
        <v/>
      </c>
      <c r="E245" s="302">
        <v>5000.0</v>
      </c>
      <c r="F245" s="303" t="str">
        <f>IFERROR(__xludf.DUMMYFUNCTION("if(ISBLANK(A245),"""",GOOGLEFINANCE(A245,""HIGH52""))"),"")</f>
        <v/>
      </c>
      <c r="G245" s="303" t="str">
        <f>IFERROR(__xludf.DUMMYFUNCTION("if(ISBLANK(A245),"""",GOOGLEFINANCE(A245,""LOW52""))"),"")</f>
        <v/>
      </c>
      <c r="H245" s="304" t="str">
        <f>IFERROR(__xludf.DUMMYFUNCTION("if(ISBLANK(A245),"""",GOOGLEFINANCE(A245,""Price""))"),"")</f>
        <v/>
      </c>
      <c r="I245" s="305" t="str">
        <f t="shared" si="1"/>
        <v/>
      </c>
      <c r="J245" s="306" t="str">
        <f t="shared" si="2"/>
        <v/>
      </c>
      <c r="K245" s="307" t="str">
        <f>IFERROR(__xludf.DUMMYFUNCTION("if(ISBLANK(A245),"""",googlefinance(A245,""Marketcap"")/10000000)"),"")</f>
        <v/>
      </c>
      <c r="L245" s="309" t="str">
        <f t="shared" si="3"/>
        <v/>
      </c>
      <c r="M245" s="308" t="str">
        <f t="shared" si="4"/>
        <v/>
      </c>
      <c r="N245" s="309" t="str">
        <f t="shared" si="5"/>
        <v/>
      </c>
      <c r="O245" s="322" t="str">
        <f t="shared" si="6"/>
        <v/>
      </c>
      <c r="P245" s="308" t="str">
        <f t="shared" si="7"/>
        <v/>
      </c>
      <c r="Q245" s="311" t="str">
        <f t="shared" si="8"/>
        <v/>
      </c>
      <c r="R245" s="309" t="str">
        <f t="shared" si="9"/>
        <v/>
      </c>
      <c r="S245" s="308" t="str">
        <f t="shared" si="10"/>
        <v/>
      </c>
      <c r="T245" s="309" t="str">
        <f t="shared" si="11"/>
        <v/>
      </c>
      <c r="U245" s="309" t="str">
        <f t="shared" si="12"/>
        <v/>
      </c>
      <c r="V245" s="308" t="str">
        <f t="shared" si="13"/>
        <v/>
      </c>
      <c r="W245" s="309" t="str">
        <f t="shared" si="14"/>
        <v/>
      </c>
      <c r="X245" s="309" t="str">
        <f t="shared" si="15"/>
        <v/>
      </c>
      <c r="Y245" s="308" t="str">
        <f t="shared" si="16"/>
        <v/>
      </c>
      <c r="Z245" s="309" t="str">
        <f t="shared" si="17"/>
        <v/>
      </c>
      <c r="AA245" s="312" t="str">
        <f t="shared" si="18"/>
        <v/>
      </c>
      <c r="AB245" s="308" t="str">
        <f t="shared" si="19"/>
        <v/>
      </c>
      <c r="AC245" s="308" t="str">
        <f t="shared" si="20"/>
        <v/>
      </c>
      <c r="AD245" s="312" t="str">
        <f t="shared" si="21"/>
        <v/>
      </c>
      <c r="AE245" s="308" t="str">
        <f t="shared" si="22"/>
        <v/>
      </c>
      <c r="AF245" s="313" t="str">
        <f t="shared" si="23"/>
        <v/>
      </c>
      <c r="AG245" s="304" t="str">
        <f t="shared" si="24"/>
        <v/>
      </c>
      <c r="AH245" s="308" t="str">
        <f t="shared" si="25"/>
        <v/>
      </c>
      <c r="AI245" s="313" t="str">
        <f t="shared" si="26"/>
        <v/>
      </c>
      <c r="AJ245" s="304" t="str">
        <f t="shared" si="27"/>
        <v/>
      </c>
      <c r="AK245" s="308" t="str">
        <f t="shared" si="28"/>
        <v/>
      </c>
      <c r="AL245" s="308" t="str">
        <f t="shared" si="29"/>
        <v/>
      </c>
      <c r="AM245" s="304" t="str">
        <f t="shared" si="30"/>
        <v/>
      </c>
      <c r="AN245" s="308" t="str">
        <f t="shared" si="31"/>
        <v/>
      </c>
      <c r="AO245" s="313" t="str">
        <f t="shared" si="32"/>
        <v/>
      </c>
      <c r="AP245" s="304" t="str">
        <f t="shared" si="33"/>
        <v/>
      </c>
      <c r="AQ245" s="308" t="str">
        <f t="shared" si="34"/>
        <v/>
      </c>
      <c r="AR245" s="313" t="str">
        <f t="shared" si="35"/>
        <v/>
      </c>
      <c r="AS245" s="304" t="str">
        <f t="shared" si="36"/>
        <v/>
      </c>
      <c r="AT245" s="308" t="str">
        <f t="shared" si="37"/>
        <v/>
      </c>
      <c r="AU245" s="308" t="str">
        <f t="shared" si="38"/>
        <v/>
      </c>
      <c r="AV245" s="304" t="str">
        <f t="shared" si="39"/>
        <v/>
      </c>
      <c r="AW245" s="308" t="str">
        <f t="shared" si="40"/>
        <v/>
      </c>
      <c r="AX245" s="308" t="str">
        <f t="shared" si="41"/>
        <v/>
      </c>
      <c r="AY245" s="304" t="str">
        <f t="shared" si="42"/>
        <v/>
      </c>
      <c r="AZ245" s="308" t="str">
        <f t="shared" si="43"/>
        <v/>
      </c>
      <c r="BA245" s="313" t="str">
        <f t="shared" si="44"/>
        <v/>
      </c>
      <c r="BB245" s="304" t="str">
        <f t="shared" si="45"/>
        <v/>
      </c>
      <c r="BC245" s="308" t="str">
        <f t="shared" si="46"/>
        <v/>
      </c>
      <c r="BD245" s="308" t="str">
        <f t="shared" si="47"/>
        <v/>
      </c>
    </row>
    <row r="246">
      <c r="A246" s="298"/>
      <c r="B246" s="299"/>
      <c r="C246" s="300"/>
      <c r="D246" s="301" t="str">
        <f>IFERROR(__xludf.DUMMYFUNCTION("if(ISBLANK(A246),"""",GOOGLEFINANCE(A246,""NAME""))"),"")</f>
        <v/>
      </c>
      <c r="E246" s="302">
        <v>5000.0</v>
      </c>
      <c r="F246" s="303" t="str">
        <f>IFERROR(__xludf.DUMMYFUNCTION("if(ISBLANK(A246),"""",GOOGLEFINANCE(A246,""HIGH52""))"),"")</f>
        <v/>
      </c>
      <c r="G246" s="303" t="str">
        <f>IFERROR(__xludf.DUMMYFUNCTION("if(ISBLANK(A246),"""",GOOGLEFINANCE(A246,""LOW52""))"),"")</f>
        <v/>
      </c>
      <c r="H246" s="304" t="str">
        <f>IFERROR(__xludf.DUMMYFUNCTION("if(ISBLANK(A246),"""",GOOGLEFINANCE(A246,""Price""))"),"")</f>
        <v/>
      </c>
      <c r="I246" s="305" t="str">
        <f t="shared" si="1"/>
        <v/>
      </c>
      <c r="J246" s="306" t="str">
        <f t="shared" si="2"/>
        <v/>
      </c>
      <c r="K246" s="307" t="str">
        <f>IFERROR(__xludf.DUMMYFUNCTION("if(ISBLANK(A246),"""",googlefinance(A246,""Marketcap"")/10000000)"),"")</f>
        <v/>
      </c>
      <c r="L246" s="309" t="str">
        <f t="shared" si="3"/>
        <v/>
      </c>
      <c r="M246" s="308" t="str">
        <f t="shared" si="4"/>
        <v/>
      </c>
      <c r="N246" s="309" t="str">
        <f t="shared" si="5"/>
        <v/>
      </c>
      <c r="O246" s="322" t="str">
        <f t="shared" si="6"/>
        <v/>
      </c>
      <c r="P246" s="308" t="str">
        <f t="shared" si="7"/>
        <v/>
      </c>
      <c r="Q246" s="311" t="str">
        <f t="shared" si="8"/>
        <v/>
      </c>
      <c r="R246" s="309" t="str">
        <f t="shared" si="9"/>
        <v/>
      </c>
      <c r="S246" s="308" t="str">
        <f t="shared" si="10"/>
        <v/>
      </c>
      <c r="T246" s="309" t="str">
        <f t="shared" si="11"/>
        <v/>
      </c>
      <c r="U246" s="309" t="str">
        <f t="shared" si="12"/>
        <v/>
      </c>
      <c r="V246" s="308" t="str">
        <f t="shared" si="13"/>
        <v/>
      </c>
      <c r="W246" s="309" t="str">
        <f t="shared" si="14"/>
        <v/>
      </c>
      <c r="X246" s="309" t="str">
        <f t="shared" si="15"/>
        <v/>
      </c>
      <c r="Y246" s="308" t="str">
        <f t="shared" si="16"/>
        <v/>
      </c>
      <c r="Z246" s="309" t="str">
        <f t="shared" si="17"/>
        <v/>
      </c>
      <c r="AA246" s="312" t="str">
        <f t="shared" si="18"/>
        <v/>
      </c>
      <c r="AB246" s="308" t="str">
        <f t="shared" si="19"/>
        <v/>
      </c>
      <c r="AC246" s="308" t="str">
        <f t="shared" si="20"/>
        <v/>
      </c>
      <c r="AD246" s="312" t="str">
        <f t="shared" si="21"/>
        <v/>
      </c>
      <c r="AE246" s="308" t="str">
        <f t="shared" si="22"/>
        <v/>
      </c>
      <c r="AF246" s="313" t="str">
        <f t="shared" si="23"/>
        <v/>
      </c>
      <c r="AG246" s="304" t="str">
        <f t="shared" si="24"/>
        <v/>
      </c>
      <c r="AH246" s="308" t="str">
        <f t="shared" si="25"/>
        <v/>
      </c>
      <c r="AI246" s="313" t="str">
        <f t="shared" si="26"/>
        <v/>
      </c>
      <c r="AJ246" s="304" t="str">
        <f t="shared" si="27"/>
        <v/>
      </c>
      <c r="AK246" s="308" t="str">
        <f t="shared" si="28"/>
        <v/>
      </c>
      <c r="AL246" s="308" t="str">
        <f t="shared" si="29"/>
        <v/>
      </c>
      <c r="AM246" s="304" t="str">
        <f t="shared" si="30"/>
        <v/>
      </c>
      <c r="AN246" s="308" t="str">
        <f t="shared" si="31"/>
        <v/>
      </c>
      <c r="AO246" s="313" t="str">
        <f t="shared" si="32"/>
        <v/>
      </c>
      <c r="AP246" s="304" t="str">
        <f t="shared" si="33"/>
        <v/>
      </c>
      <c r="AQ246" s="308" t="str">
        <f t="shared" si="34"/>
        <v/>
      </c>
      <c r="AR246" s="313" t="str">
        <f t="shared" si="35"/>
        <v/>
      </c>
      <c r="AS246" s="304" t="str">
        <f t="shared" si="36"/>
        <v/>
      </c>
      <c r="AT246" s="308" t="str">
        <f t="shared" si="37"/>
        <v/>
      </c>
      <c r="AU246" s="308" t="str">
        <f t="shared" si="38"/>
        <v/>
      </c>
      <c r="AV246" s="304" t="str">
        <f t="shared" si="39"/>
        <v/>
      </c>
      <c r="AW246" s="308" t="str">
        <f t="shared" si="40"/>
        <v/>
      </c>
      <c r="AX246" s="308" t="str">
        <f t="shared" si="41"/>
        <v/>
      </c>
      <c r="AY246" s="304" t="str">
        <f t="shared" si="42"/>
        <v/>
      </c>
      <c r="AZ246" s="308" t="str">
        <f t="shared" si="43"/>
        <v/>
      </c>
      <c r="BA246" s="313" t="str">
        <f t="shared" si="44"/>
        <v/>
      </c>
      <c r="BB246" s="304" t="str">
        <f t="shared" si="45"/>
        <v/>
      </c>
      <c r="BC246" s="308" t="str">
        <f t="shared" si="46"/>
        <v/>
      </c>
      <c r="BD246" s="308" t="str">
        <f t="shared" si="47"/>
        <v/>
      </c>
    </row>
    <row r="247">
      <c r="A247" s="298"/>
      <c r="B247" s="299"/>
      <c r="C247" s="300"/>
      <c r="D247" s="301" t="str">
        <f>IFERROR(__xludf.DUMMYFUNCTION("if(ISBLANK(A247),"""",GOOGLEFINANCE(A247,""NAME""))"),"")</f>
        <v/>
      </c>
      <c r="E247" s="302">
        <v>5000.0</v>
      </c>
      <c r="F247" s="303" t="str">
        <f>IFERROR(__xludf.DUMMYFUNCTION("if(ISBLANK(A247),"""",GOOGLEFINANCE(A247,""HIGH52""))"),"")</f>
        <v/>
      </c>
      <c r="G247" s="303" t="str">
        <f>IFERROR(__xludf.DUMMYFUNCTION("if(ISBLANK(A247),"""",GOOGLEFINANCE(A247,""LOW52""))"),"")</f>
        <v/>
      </c>
      <c r="H247" s="304" t="str">
        <f>IFERROR(__xludf.DUMMYFUNCTION("if(ISBLANK(A247),"""",GOOGLEFINANCE(A247,""Price""))"),"")</f>
        <v/>
      </c>
      <c r="I247" s="305" t="str">
        <f t="shared" si="1"/>
        <v/>
      </c>
      <c r="J247" s="306" t="str">
        <f t="shared" si="2"/>
        <v/>
      </c>
      <c r="K247" s="307" t="str">
        <f>IFERROR(__xludf.DUMMYFUNCTION("if(ISBLANK(A247),"""",googlefinance(A247,""Marketcap"")/10000000)"),"")</f>
        <v/>
      </c>
      <c r="L247" s="309" t="str">
        <f t="shared" si="3"/>
        <v/>
      </c>
      <c r="M247" s="308" t="str">
        <f t="shared" si="4"/>
        <v/>
      </c>
      <c r="N247" s="309" t="str">
        <f t="shared" si="5"/>
        <v/>
      </c>
      <c r="O247" s="322" t="str">
        <f t="shared" si="6"/>
        <v/>
      </c>
      <c r="P247" s="308" t="str">
        <f t="shared" si="7"/>
        <v/>
      </c>
      <c r="Q247" s="311" t="str">
        <f t="shared" si="8"/>
        <v/>
      </c>
      <c r="R247" s="309" t="str">
        <f t="shared" si="9"/>
        <v/>
      </c>
      <c r="S247" s="308" t="str">
        <f t="shared" si="10"/>
        <v/>
      </c>
      <c r="T247" s="309" t="str">
        <f t="shared" si="11"/>
        <v/>
      </c>
      <c r="U247" s="309" t="str">
        <f t="shared" si="12"/>
        <v/>
      </c>
      <c r="V247" s="308" t="str">
        <f t="shared" si="13"/>
        <v/>
      </c>
      <c r="W247" s="309" t="str">
        <f t="shared" si="14"/>
        <v/>
      </c>
      <c r="X247" s="309" t="str">
        <f t="shared" si="15"/>
        <v/>
      </c>
      <c r="Y247" s="308" t="str">
        <f t="shared" si="16"/>
        <v/>
      </c>
      <c r="Z247" s="309" t="str">
        <f t="shared" si="17"/>
        <v/>
      </c>
      <c r="AA247" s="312" t="str">
        <f t="shared" si="18"/>
        <v/>
      </c>
      <c r="AB247" s="308" t="str">
        <f t="shared" si="19"/>
        <v/>
      </c>
      <c r="AC247" s="308" t="str">
        <f t="shared" si="20"/>
        <v/>
      </c>
      <c r="AD247" s="312" t="str">
        <f t="shared" si="21"/>
        <v/>
      </c>
      <c r="AE247" s="308" t="str">
        <f t="shared" si="22"/>
        <v/>
      </c>
      <c r="AF247" s="313" t="str">
        <f t="shared" si="23"/>
        <v/>
      </c>
      <c r="AG247" s="304" t="str">
        <f t="shared" si="24"/>
        <v/>
      </c>
      <c r="AH247" s="308" t="str">
        <f t="shared" si="25"/>
        <v/>
      </c>
      <c r="AI247" s="313" t="str">
        <f t="shared" si="26"/>
        <v/>
      </c>
      <c r="AJ247" s="304" t="str">
        <f t="shared" si="27"/>
        <v/>
      </c>
      <c r="AK247" s="308" t="str">
        <f t="shared" si="28"/>
        <v/>
      </c>
      <c r="AL247" s="308" t="str">
        <f t="shared" si="29"/>
        <v/>
      </c>
      <c r="AM247" s="304" t="str">
        <f t="shared" si="30"/>
        <v/>
      </c>
      <c r="AN247" s="308" t="str">
        <f t="shared" si="31"/>
        <v/>
      </c>
      <c r="AO247" s="313" t="str">
        <f t="shared" si="32"/>
        <v/>
      </c>
      <c r="AP247" s="304" t="str">
        <f t="shared" si="33"/>
        <v/>
      </c>
      <c r="AQ247" s="308" t="str">
        <f t="shared" si="34"/>
        <v/>
      </c>
      <c r="AR247" s="313" t="str">
        <f t="shared" si="35"/>
        <v/>
      </c>
      <c r="AS247" s="304" t="str">
        <f t="shared" si="36"/>
        <v/>
      </c>
      <c r="AT247" s="308" t="str">
        <f t="shared" si="37"/>
        <v/>
      </c>
      <c r="AU247" s="308" t="str">
        <f t="shared" si="38"/>
        <v/>
      </c>
      <c r="AV247" s="304" t="str">
        <f t="shared" si="39"/>
        <v/>
      </c>
      <c r="AW247" s="308" t="str">
        <f t="shared" si="40"/>
        <v/>
      </c>
      <c r="AX247" s="308" t="str">
        <f t="shared" si="41"/>
        <v/>
      </c>
      <c r="AY247" s="304" t="str">
        <f t="shared" si="42"/>
        <v/>
      </c>
      <c r="AZ247" s="308" t="str">
        <f t="shared" si="43"/>
        <v/>
      </c>
      <c r="BA247" s="313" t="str">
        <f t="shared" si="44"/>
        <v/>
      </c>
      <c r="BB247" s="304" t="str">
        <f t="shared" si="45"/>
        <v/>
      </c>
      <c r="BC247" s="308" t="str">
        <f t="shared" si="46"/>
        <v/>
      </c>
      <c r="BD247" s="308" t="str">
        <f t="shared" si="47"/>
        <v/>
      </c>
    </row>
    <row r="248">
      <c r="A248" s="298"/>
      <c r="B248" s="299"/>
      <c r="C248" s="300"/>
      <c r="D248" s="301" t="str">
        <f>IFERROR(__xludf.DUMMYFUNCTION("if(ISBLANK(A248),"""",GOOGLEFINANCE(A248,""NAME""))"),"")</f>
        <v/>
      </c>
      <c r="E248" s="302">
        <v>5000.0</v>
      </c>
      <c r="F248" s="303" t="str">
        <f>IFERROR(__xludf.DUMMYFUNCTION("if(ISBLANK(A248),"""",GOOGLEFINANCE(A248,""HIGH52""))"),"")</f>
        <v/>
      </c>
      <c r="G248" s="303" t="str">
        <f>IFERROR(__xludf.DUMMYFUNCTION("if(ISBLANK(A248),"""",GOOGLEFINANCE(A248,""LOW52""))"),"")</f>
        <v/>
      </c>
      <c r="H248" s="304" t="str">
        <f>IFERROR(__xludf.DUMMYFUNCTION("if(ISBLANK(A248),"""",GOOGLEFINANCE(A248,""Price""))"),"")</f>
        <v/>
      </c>
      <c r="I248" s="305" t="str">
        <f t="shared" si="1"/>
        <v/>
      </c>
      <c r="J248" s="306" t="str">
        <f t="shared" si="2"/>
        <v/>
      </c>
      <c r="K248" s="307" t="str">
        <f>IFERROR(__xludf.DUMMYFUNCTION("if(ISBLANK(A248),"""",googlefinance(A248,""Marketcap"")/10000000)"),"")</f>
        <v/>
      </c>
      <c r="L248" s="309" t="str">
        <f t="shared" si="3"/>
        <v/>
      </c>
      <c r="M248" s="308" t="str">
        <f t="shared" si="4"/>
        <v/>
      </c>
      <c r="N248" s="309" t="str">
        <f t="shared" si="5"/>
        <v/>
      </c>
      <c r="O248" s="322" t="str">
        <f t="shared" si="6"/>
        <v/>
      </c>
      <c r="P248" s="308" t="str">
        <f t="shared" si="7"/>
        <v/>
      </c>
      <c r="Q248" s="311" t="str">
        <f t="shared" si="8"/>
        <v/>
      </c>
      <c r="R248" s="309" t="str">
        <f t="shared" si="9"/>
        <v/>
      </c>
      <c r="S248" s="308" t="str">
        <f t="shared" si="10"/>
        <v/>
      </c>
      <c r="T248" s="309" t="str">
        <f t="shared" si="11"/>
        <v/>
      </c>
      <c r="U248" s="309" t="str">
        <f t="shared" si="12"/>
        <v/>
      </c>
      <c r="V248" s="308" t="str">
        <f t="shared" si="13"/>
        <v/>
      </c>
      <c r="W248" s="309" t="str">
        <f t="shared" si="14"/>
        <v/>
      </c>
      <c r="X248" s="309" t="str">
        <f t="shared" si="15"/>
        <v/>
      </c>
      <c r="Y248" s="308" t="str">
        <f t="shared" si="16"/>
        <v/>
      </c>
      <c r="Z248" s="309" t="str">
        <f t="shared" si="17"/>
        <v/>
      </c>
      <c r="AA248" s="312" t="str">
        <f t="shared" si="18"/>
        <v/>
      </c>
      <c r="AB248" s="308" t="str">
        <f t="shared" si="19"/>
        <v/>
      </c>
      <c r="AC248" s="308" t="str">
        <f t="shared" si="20"/>
        <v/>
      </c>
      <c r="AD248" s="312" t="str">
        <f t="shared" si="21"/>
        <v/>
      </c>
      <c r="AE248" s="308" t="str">
        <f t="shared" si="22"/>
        <v/>
      </c>
      <c r="AF248" s="313" t="str">
        <f t="shared" si="23"/>
        <v/>
      </c>
      <c r="AG248" s="304" t="str">
        <f t="shared" si="24"/>
        <v/>
      </c>
      <c r="AH248" s="308" t="str">
        <f t="shared" si="25"/>
        <v/>
      </c>
      <c r="AI248" s="313" t="str">
        <f t="shared" si="26"/>
        <v/>
      </c>
      <c r="AJ248" s="304" t="str">
        <f t="shared" si="27"/>
        <v/>
      </c>
      <c r="AK248" s="308" t="str">
        <f t="shared" si="28"/>
        <v/>
      </c>
      <c r="AL248" s="308" t="str">
        <f t="shared" si="29"/>
        <v/>
      </c>
      <c r="AM248" s="304" t="str">
        <f t="shared" si="30"/>
        <v/>
      </c>
      <c r="AN248" s="308" t="str">
        <f t="shared" si="31"/>
        <v/>
      </c>
      <c r="AO248" s="313" t="str">
        <f t="shared" si="32"/>
        <v/>
      </c>
      <c r="AP248" s="304" t="str">
        <f t="shared" si="33"/>
        <v/>
      </c>
      <c r="AQ248" s="308" t="str">
        <f t="shared" si="34"/>
        <v/>
      </c>
      <c r="AR248" s="313" t="str">
        <f t="shared" si="35"/>
        <v/>
      </c>
      <c r="AS248" s="304" t="str">
        <f t="shared" si="36"/>
        <v/>
      </c>
      <c r="AT248" s="308" t="str">
        <f t="shared" si="37"/>
        <v/>
      </c>
      <c r="AU248" s="308" t="str">
        <f t="shared" si="38"/>
        <v/>
      </c>
      <c r="AV248" s="304" t="str">
        <f t="shared" si="39"/>
        <v/>
      </c>
      <c r="AW248" s="308" t="str">
        <f t="shared" si="40"/>
        <v/>
      </c>
      <c r="AX248" s="308" t="str">
        <f t="shared" si="41"/>
        <v/>
      </c>
      <c r="AY248" s="304" t="str">
        <f t="shared" si="42"/>
        <v/>
      </c>
      <c r="AZ248" s="308" t="str">
        <f t="shared" si="43"/>
        <v/>
      </c>
      <c r="BA248" s="313" t="str">
        <f t="shared" si="44"/>
        <v/>
      </c>
      <c r="BB248" s="304" t="str">
        <f t="shared" si="45"/>
        <v/>
      </c>
      <c r="BC248" s="308" t="str">
        <f t="shared" si="46"/>
        <v/>
      </c>
      <c r="BD248" s="308" t="str">
        <f t="shared" si="47"/>
        <v/>
      </c>
    </row>
    <row r="249">
      <c r="A249" s="298"/>
      <c r="B249" s="299"/>
      <c r="C249" s="300"/>
      <c r="D249" s="301" t="str">
        <f>IFERROR(__xludf.DUMMYFUNCTION("if(ISBLANK(A249),"""",GOOGLEFINANCE(A249,""NAME""))"),"")</f>
        <v/>
      </c>
      <c r="E249" s="302">
        <v>5000.0</v>
      </c>
      <c r="F249" s="303" t="str">
        <f>IFERROR(__xludf.DUMMYFUNCTION("if(ISBLANK(A249),"""",GOOGLEFINANCE(A249,""HIGH52""))"),"")</f>
        <v/>
      </c>
      <c r="G249" s="303" t="str">
        <f>IFERROR(__xludf.DUMMYFUNCTION("if(ISBLANK(A249),"""",GOOGLEFINANCE(A249,""LOW52""))"),"")</f>
        <v/>
      </c>
      <c r="H249" s="304" t="str">
        <f>IFERROR(__xludf.DUMMYFUNCTION("if(ISBLANK(A249),"""",GOOGLEFINANCE(A249,""Price""))"),"")</f>
        <v/>
      </c>
      <c r="I249" s="305" t="str">
        <f t="shared" si="1"/>
        <v/>
      </c>
      <c r="J249" s="306" t="str">
        <f t="shared" si="2"/>
        <v/>
      </c>
      <c r="K249" s="307" t="str">
        <f>IFERROR(__xludf.DUMMYFUNCTION("if(ISBLANK(A249),"""",googlefinance(A249,""Marketcap"")/10000000)"),"")</f>
        <v/>
      </c>
      <c r="L249" s="309" t="str">
        <f t="shared" si="3"/>
        <v/>
      </c>
      <c r="M249" s="308" t="str">
        <f t="shared" si="4"/>
        <v/>
      </c>
      <c r="N249" s="309" t="str">
        <f t="shared" si="5"/>
        <v/>
      </c>
      <c r="O249" s="322" t="str">
        <f t="shared" si="6"/>
        <v/>
      </c>
      <c r="P249" s="308" t="str">
        <f t="shared" si="7"/>
        <v/>
      </c>
      <c r="Q249" s="311" t="str">
        <f t="shared" si="8"/>
        <v/>
      </c>
      <c r="R249" s="309" t="str">
        <f t="shared" si="9"/>
        <v/>
      </c>
      <c r="S249" s="308" t="str">
        <f t="shared" si="10"/>
        <v/>
      </c>
      <c r="T249" s="309" t="str">
        <f t="shared" si="11"/>
        <v/>
      </c>
      <c r="U249" s="309" t="str">
        <f t="shared" si="12"/>
        <v/>
      </c>
      <c r="V249" s="308" t="str">
        <f t="shared" si="13"/>
        <v/>
      </c>
      <c r="W249" s="309" t="str">
        <f t="shared" si="14"/>
        <v/>
      </c>
      <c r="X249" s="309" t="str">
        <f t="shared" si="15"/>
        <v/>
      </c>
      <c r="Y249" s="308" t="str">
        <f t="shared" si="16"/>
        <v/>
      </c>
      <c r="Z249" s="309" t="str">
        <f t="shared" si="17"/>
        <v/>
      </c>
      <c r="AA249" s="312" t="str">
        <f t="shared" si="18"/>
        <v/>
      </c>
      <c r="AB249" s="308" t="str">
        <f t="shared" si="19"/>
        <v/>
      </c>
      <c r="AC249" s="308" t="str">
        <f t="shared" si="20"/>
        <v/>
      </c>
      <c r="AD249" s="312" t="str">
        <f t="shared" si="21"/>
        <v/>
      </c>
      <c r="AE249" s="308" t="str">
        <f t="shared" si="22"/>
        <v/>
      </c>
      <c r="AF249" s="313" t="str">
        <f t="shared" si="23"/>
        <v/>
      </c>
      <c r="AG249" s="304" t="str">
        <f t="shared" si="24"/>
        <v/>
      </c>
      <c r="AH249" s="308" t="str">
        <f t="shared" si="25"/>
        <v/>
      </c>
      <c r="AI249" s="313" t="str">
        <f t="shared" si="26"/>
        <v/>
      </c>
      <c r="AJ249" s="304" t="str">
        <f t="shared" si="27"/>
        <v/>
      </c>
      <c r="AK249" s="308" t="str">
        <f t="shared" si="28"/>
        <v/>
      </c>
      <c r="AL249" s="308" t="str">
        <f t="shared" si="29"/>
        <v/>
      </c>
      <c r="AM249" s="304" t="str">
        <f t="shared" si="30"/>
        <v/>
      </c>
      <c r="AN249" s="308" t="str">
        <f t="shared" si="31"/>
        <v/>
      </c>
      <c r="AO249" s="313" t="str">
        <f t="shared" si="32"/>
        <v/>
      </c>
      <c r="AP249" s="304" t="str">
        <f t="shared" si="33"/>
        <v/>
      </c>
      <c r="AQ249" s="308" t="str">
        <f t="shared" si="34"/>
        <v/>
      </c>
      <c r="AR249" s="313" t="str">
        <f t="shared" si="35"/>
        <v/>
      </c>
      <c r="AS249" s="304" t="str">
        <f t="shared" si="36"/>
        <v/>
      </c>
      <c r="AT249" s="308" t="str">
        <f t="shared" si="37"/>
        <v/>
      </c>
      <c r="AU249" s="308" t="str">
        <f t="shared" si="38"/>
        <v/>
      </c>
      <c r="AV249" s="304" t="str">
        <f t="shared" si="39"/>
        <v/>
      </c>
      <c r="AW249" s="308" t="str">
        <f t="shared" si="40"/>
        <v/>
      </c>
      <c r="AX249" s="308" t="str">
        <f t="shared" si="41"/>
        <v/>
      </c>
      <c r="AY249" s="304" t="str">
        <f t="shared" si="42"/>
        <v/>
      </c>
      <c r="AZ249" s="308" t="str">
        <f t="shared" si="43"/>
        <v/>
      </c>
      <c r="BA249" s="313" t="str">
        <f t="shared" si="44"/>
        <v/>
      </c>
      <c r="BB249" s="304" t="str">
        <f t="shared" si="45"/>
        <v/>
      </c>
      <c r="BC249" s="308" t="str">
        <f t="shared" si="46"/>
        <v/>
      </c>
      <c r="BD249" s="308" t="str">
        <f t="shared" si="47"/>
        <v/>
      </c>
    </row>
    <row r="250">
      <c r="A250" s="298"/>
      <c r="B250" s="299"/>
      <c r="C250" s="300"/>
      <c r="D250" s="301" t="str">
        <f>IFERROR(__xludf.DUMMYFUNCTION("if(ISBLANK(A250),"""",GOOGLEFINANCE(A250,""NAME""))"),"")</f>
        <v/>
      </c>
      <c r="E250" s="302">
        <v>5000.0</v>
      </c>
      <c r="F250" s="303" t="str">
        <f>IFERROR(__xludf.DUMMYFUNCTION("if(ISBLANK(A250),"""",GOOGLEFINANCE(A250,""HIGH52""))"),"")</f>
        <v/>
      </c>
      <c r="G250" s="303" t="str">
        <f>IFERROR(__xludf.DUMMYFUNCTION("if(ISBLANK(A250),"""",GOOGLEFINANCE(A250,""LOW52""))"),"")</f>
        <v/>
      </c>
      <c r="H250" s="304" t="str">
        <f>IFERROR(__xludf.DUMMYFUNCTION("if(ISBLANK(A250),"""",GOOGLEFINANCE(A250,""Price""))"),"")</f>
        <v/>
      </c>
      <c r="I250" s="305" t="str">
        <f t="shared" si="1"/>
        <v/>
      </c>
      <c r="J250" s="306" t="str">
        <f t="shared" si="2"/>
        <v/>
      </c>
      <c r="K250" s="307" t="str">
        <f>IFERROR(__xludf.DUMMYFUNCTION("if(ISBLANK(A250),"""",googlefinance(A250,""Marketcap"")/10000000)"),"")</f>
        <v/>
      </c>
      <c r="L250" s="309" t="str">
        <f t="shared" si="3"/>
        <v/>
      </c>
      <c r="M250" s="308" t="str">
        <f t="shared" si="4"/>
        <v/>
      </c>
      <c r="N250" s="309" t="str">
        <f t="shared" si="5"/>
        <v/>
      </c>
      <c r="O250" s="322" t="str">
        <f t="shared" si="6"/>
        <v/>
      </c>
      <c r="P250" s="308" t="str">
        <f t="shared" si="7"/>
        <v/>
      </c>
      <c r="Q250" s="311" t="str">
        <f t="shared" si="8"/>
        <v/>
      </c>
      <c r="R250" s="309" t="str">
        <f t="shared" si="9"/>
        <v/>
      </c>
      <c r="S250" s="308" t="str">
        <f t="shared" si="10"/>
        <v/>
      </c>
      <c r="T250" s="309" t="str">
        <f t="shared" si="11"/>
        <v/>
      </c>
      <c r="U250" s="309" t="str">
        <f t="shared" si="12"/>
        <v/>
      </c>
      <c r="V250" s="308" t="str">
        <f t="shared" si="13"/>
        <v/>
      </c>
      <c r="W250" s="309" t="str">
        <f t="shared" si="14"/>
        <v/>
      </c>
      <c r="X250" s="309" t="str">
        <f t="shared" si="15"/>
        <v/>
      </c>
      <c r="Y250" s="308" t="str">
        <f t="shared" si="16"/>
        <v/>
      </c>
      <c r="Z250" s="309" t="str">
        <f t="shared" si="17"/>
        <v/>
      </c>
      <c r="AA250" s="312" t="str">
        <f t="shared" si="18"/>
        <v/>
      </c>
      <c r="AB250" s="308" t="str">
        <f t="shared" si="19"/>
        <v/>
      </c>
      <c r="AC250" s="308" t="str">
        <f t="shared" si="20"/>
        <v/>
      </c>
      <c r="AD250" s="312" t="str">
        <f t="shared" si="21"/>
        <v/>
      </c>
      <c r="AE250" s="308" t="str">
        <f t="shared" si="22"/>
        <v/>
      </c>
      <c r="AF250" s="313" t="str">
        <f t="shared" si="23"/>
        <v/>
      </c>
      <c r="AG250" s="304" t="str">
        <f t="shared" si="24"/>
        <v/>
      </c>
      <c r="AH250" s="308" t="str">
        <f t="shared" si="25"/>
        <v/>
      </c>
      <c r="AI250" s="313" t="str">
        <f t="shared" si="26"/>
        <v/>
      </c>
      <c r="AJ250" s="304" t="str">
        <f t="shared" si="27"/>
        <v/>
      </c>
      <c r="AK250" s="308" t="str">
        <f t="shared" si="28"/>
        <v/>
      </c>
      <c r="AL250" s="308" t="str">
        <f t="shared" si="29"/>
        <v/>
      </c>
      <c r="AM250" s="304" t="str">
        <f t="shared" si="30"/>
        <v/>
      </c>
      <c r="AN250" s="308" t="str">
        <f t="shared" si="31"/>
        <v/>
      </c>
      <c r="AO250" s="313" t="str">
        <f t="shared" si="32"/>
        <v/>
      </c>
      <c r="AP250" s="304" t="str">
        <f t="shared" si="33"/>
        <v/>
      </c>
      <c r="AQ250" s="308" t="str">
        <f t="shared" si="34"/>
        <v/>
      </c>
      <c r="AR250" s="313" t="str">
        <f t="shared" si="35"/>
        <v/>
      </c>
      <c r="AS250" s="304" t="str">
        <f t="shared" si="36"/>
        <v/>
      </c>
      <c r="AT250" s="308" t="str">
        <f t="shared" si="37"/>
        <v/>
      </c>
      <c r="AU250" s="308" t="str">
        <f t="shared" si="38"/>
        <v/>
      </c>
      <c r="AV250" s="304" t="str">
        <f t="shared" si="39"/>
        <v/>
      </c>
      <c r="AW250" s="308" t="str">
        <f t="shared" si="40"/>
        <v/>
      </c>
      <c r="AX250" s="308" t="str">
        <f t="shared" si="41"/>
        <v/>
      </c>
      <c r="AY250" s="304" t="str">
        <f t="shared" si="42"/>
        <v/>
      </c>
      <c r="AZ250" s="308" t="str">
        <f t="shared" si="43"/>
        <v/>
      </c>
      <c r="BA250" s="313" t="str">
        <f t="shared" si="44"/>
        <v/>
      </c>
      <c r="BB250" s="304" t="str">
        <f t="shared" si="45"/>
        <v/>
      </c>
      <c r="BC250" s="308" t="str">
        <f t="shared" si="46"/>
        <v/>
      </c>
      <c r="BD250" s="308" t="str">
        <f t="shared" si="47"/>
        <v/>
      </c>
    </row>
    <row r="251">
      <c r="A251" s="298"/>
      <c r="B251" s="299"/>
      <c r="C251" s="300"/>
      <c r="D251" s="301" t="str">
        <f>IFERROR(__xludf.DUMMYFUNCTION("if(ISBLANK(A251),"""",GOOGLEFINANCE(A251,""NAME""))"),"")</f>
        <v/>
      </c>
      <c r="E251" s="302">
        <v>5000.0</v>
      </c>
      <c r="F251" s="303" t="str">
        <f>IFERROR(__xludf.DUMMYFUNCTION("if(ISBLANK(A251),"""",GOOGLEFINANCE(A251,""HIGH52""))"),"")</f>
        <v/>
      </c>
      <c r="G251" s="303" t="str">
        <f>IFERROR(__xludf.DUMMYFUNCTION("if(ISBLANK(A251),"""",GOOGLEFINANCE(A251,""LOW52""))"),"")</f>
        <v/>
      </c>
      <c r="H251" s="304" t="str">
        <f>IFERROR(__xludf.DUMMYFUNCTION("if(ISBLANK(A251),"""",GOOGLEFINANCE(A251,""Price""))"),"")</f>
        <v/>
      </c>
      <c r="I251" s="305" t="str">
        <f t="shared" si="1"/>
        <v/>
      </c>
      <c r="J251" s="306" t="str">
        <f t="shared" si="2"/>
        <v/>
      </c>
      <c r="K251" s="307" t="str">
        <f>IFERROR(__xludf.DUMMYFUNCTION("if(ISBLANK(A251),"""",googlefinance(A251,""Marketcap"")/10000000)"),"")</f>
        <v/>
      </c>
      <c r="L251" s="309" t="str">
        <f t="shared" si="3"/>
        <v/>
      </c>
      <c r="M251" s="308" t="str">
        <f t="shared" si="4"/>
        <v/>
      </c>
      <c r="N251" s="309" t="str">
        <f t="shared" si="5"/>
        <v/>
      </c>
      <c r="O251" s="322" t="str">
        <f t="shared" si="6"/>
        <v/>
      </c>
      <c r="P251" s="308" t="str">
        <f t="shared" si="7"/>
        <v/>
      </c>
      <c r="Q251" s="311" t="str">
        <f t="shared" si="8"/>
        <v/>
      </c>
      <c r="R251" s="309" t="str">
        <f t="shared" si="9"/>
        <v/>
      </c>
      <c r="S251" s="308" t="str">
        <f t="shared" si="10"/>
        <v/>
      </c>
      <c r="T251" s="309" t="str">
        <f t="shared" si="11"/>
        <v/>
      </c>
      <c r="U251" s="309" t="str">
        <f t="shared" si="12"/>
        <v/>
      </c>
      <c r="V251" s="308" t="str">
        <f t="shared" si="13"/>
        <v/>
      </c>
      <c r="W251" s="309" t="str">
        <f t="shared" si="14"/>
        <v/>
      </c>
      <c r="X251" s="309" t="str">
        <f t="shared" si="15"/>
        <v/>
      </c>
      <c r="Y251" s="308" t="str">
        <f t="shared" si="16"/>
        <v/>
      </c>
      <c r="Z251" s="309" t="str">
        <f t="shared" si="17"/>
        <v/>
      </c>
      <c r="AA251" s="312" t="str">
        <f t="shared" si="18"/>
        <v/>
      </c>
      <c r="AB251" s="308" t="str">
        <f t="shared" si="19"/>
        <v/>
      </c>
      <c r="AC251" s="308" t="str">
        <f t="shared" si="20"/>
        <v/>
      </c>
      <c r="AD251" s="312" t="str">
        <f t="shared" si="21"/>
        <v/>
      </c>
      <c r="AE251" s="308" t="str">
        <f t="shared" si="22"/>
        <v/>
      </c>
      <c r="AF251" s="313" t="str">
        <f t="shared" si="23"/>
        <v/>
      </c>
      <c r="AG251" s="304" t="str">
        <f t="shared" si="24"/>
        <v/>
      </c>
      <c r="AH251" s="308" t="str">
        <f t="shared" si="25"/>
        <v/>
      </c>
      <c r="AI251" s="313" t="str">
        <f t="shared" si="26"/>
        <v/>
      </c>
      <c r="AJ251" s="304" t="str">
        <f t="shared" si="27"/>
        <v/>
      </c>
      <c r="AK251" s="308" t="str">
        <f t="shared" si="28"/>
        <v/>
      </c>
      <c r="AL251" s="308" t="str">
        <f t="shared" si="29"/>
        <v/>
      </c>
      <c r="AM251" s="304" t="str">
        <f t="shared" si="30"/>
        <v/>
      </c>
      <c r="AN251" s="308" t="str">
        <f t="shared" si="31"/>
        <v/>
      </c>
      <c r="AO251" s="313" t="str">
        <f t="shared" si="32"/>
        <v/>
      </c>
      <c r="AP251" s="304" t="str">
        <f t="shared" si="33"/>
        <v/>
      </c>
      <c r="AQ251" s="308" t="str">
        <f t="shared" si="34"/>
        <v/>
      </c>
      <c r="AR251" s="313" t="str">
        <f t="shared" si="35"/>
        <v/>
      </c>
      <c r="AS251" s="304" t="str">
        <f t="shared" si="36"/>
        <v/>
      </c>
      <c r="AT251" s="308" t="str">
        <f t="shared" si="37"/>
        <v/>
      </c>
      <c r="AU251" s="308" t="str">
        <f t="shared" si="38"/>
        <v/>
      </c>
      <c r="AV251" s="304" t="str">
        <f t="shared" si="39"/>
        <v/>
      </c>
      <c r="AW251" s="308" t="str">
        <f t="shared" si="40"/>
        <v/>
      </c>
      <c r="AX251" s="308" t="str">
        <f t="shared" si="41"/>
        <v/>
      </c>
      <c r="AY251" s="304" t="str">
        <f t="shared" si="42"/>
        <v/>
      </c>
      <c r="AZ251" s="308" t="str">
        <f t="shared" si="43"/>
        <v/>
      </c>
      <c r="BA251" s="313" t="str">
        <f t="shared" si="44"/>
        <v/>
      </c>
      <c r="BB251" s="304" t="str">
        <f t="shared" si="45"/>
        <v/>
      </c>
      <c r="BC251" s="308" t="str">
        <f t="shared" si="46"/>
        <v/>
      </c>
      <c r="BD251" s="308" t="str">
        <f t="shared" si="47"/>
        <v/>
      </c>
    </row>
    <row r="252">
      <c r="A252" s="298"/>
      <c r="B252" s="299"/>
      <c r="C252" s="300"/>
      <c r="D252" s="301" t="str">
        <f>IFERROR(__xludf.DUMMYFUNCTION("if(ISBLANK(A252),"""",GOOGLEFINANCE(A252,""NAME""))"),"")</f>
        <v/>
      </c>
      <c r="E252" s="302">
        <v>5000.0</v>
      </c>
      <c r="F252" s="303" t="str">
        <f>IFERROR(__xludf.DUMMYFUNCTION("if(ISBLANK(A252),"""",GOOGLEFINANCE(A252,""HIGH52""))"),"")</f>
        <v/>
      </c>
      <c r="G252" s="303" t="str">
        <f>IFERROR(__xludf.DUMMYFUNCTION("if(ISBLANK(A252),"""",GOOGLEFINANCE(A252,""LOW52""))"),"")</f>
        <v/>
      </c>
      <c r="H252" s="304" t="str">
        <f>IFERROR(__xludf.DUMMYFUNCTION("if(ISBLANK(A252),"""",GOOGLEFINANCE(A252,""Price""))"),"")</f>
        <v/>
      </c>
      <c r="I252" s="305" t="str">
        <f t="shared" si="1"/>
        <v/>
      </c>
      <c r="J252" s="306" t="str">
        <f t="shared" si="2"/>
        <v/>
      </c>
      <c r="K252" s="307" t="str">
        <f>IFERROR(__xludf.DUMMYFUNCTION("if(ISBLANK(A252),"""",googlefinance(A252,""Marketcap"")/10000000)"),"")</f>
        <v/>
      </c>
      <c r="L252" s="309" t="str">
        <f t="shared" si="3"/>
        <v/>
      </c>
      <c r="M252" s="308" t="str">
        <f t="shared" si="4"/>
        <v/>
      </c>
      <c r="N252" s="309" t="str">
        <f t="shared" si="5"/>
        <v/>
      </c>
      <c r="O252" s="322" t="str">
        <f t="shared" si="6"/>
        <v/>
      </c>
      <c r="P252" s="308" t="str">
        <f t="shared" si="7"/>
        <v/>
      </c>
      <c r="Q252" s="311" t="str">
        <f t="shared" si="8"/>
        <v/>
      </c>
      <c r="R252" s="309" t="str">
        <f t="shared" si="9"/>
        <v/>
      </c>
      <c r="S252" s="308" t="str">
        <f t="shared" si="10"/>
        <v/>
      </c>
      <c r="T252" s="309" t="str">
        <f t="shared" si="11"/>
        <v/>
      </c>
      <c r="U252" s="309" t="str">
        <f t="shared" si="12"/>
        <v/>
      </c>
      <c r="V252" s="308" t="str">
        <f t="shared" si="13"/>
        <v/>
      </c>
      <c r="W252" s="309" t="str">
        <f t="shared" si="14"/>
        <v/>
      </c>
      <c r="X252" s="309" t="str">
        <f t="shared" si="15"/>
        <v/>
      </c>
      <c r="Y252" s="308" t="str">
        <f t="shared" si="16"/>
        <v/>
      </c>
      <c r="Z252" s="309" t="str">
        <f t="shared" si="17"/>
        <v/>
      </c>
      <c r="AA252" s="312" t="str">
        <f t="shared" si="18"/>
        <v/>
      </c>
      <c r="AB252" s="308" t="str">
        <f t="shared" si="19"/>
        <v/>
      </c>
      <c r="AC252" s="308" t="str">
        <f t="shared" si="20"/>
        <v/>
      </c>
      <c r="AD252" s="312" t="str">
        <f t="shared" si="21"/>
        <v/>
      </c>
      <c r="AE252" s="308" t="str">
        <f t="shared" si="22"/>
        <v/>
      </c>
      <c r="AF252" s="313" t="str">
        <f t="shared" si="23"/>
        <v/>
      </c>
      <c r="AG252" s="304" t="str">
        <f t="shared" si="24"/>
        <v/>
      </c>
      <c r="AH252" s="308" t="str">
        <f t="shared" si="25"/>
        <v/>
      </c>
      <c r="AI252" s="313" t="str">
        <f t="shared" si="26"/>
        <v/>
      </c>
      <c r="AJ252" s="304" t="str">
        <f t="shared" si="27"/>
        <v/>
      </c>
      <c r="AK252" s="308" t="str">
        <f t="shared" si="28"/>
        <v/>
      </c>
      <c r="AL252" s="308" t="str">
        <f t="shared" si="29"/>
        <v/>
      </c>
      <c r="AM252" s="304" t="str">
        <f t="shared" si="30"/>
        <v/>
      </c>
      <c r="AN252" s="308" t="str">
        <f t="shared" si="31"/>
        <v/>
      </c>
      <c r="AO252" s="313" t="str">
        <f t="shared" si="32"/>
        <v/>
      </c>
      <c r="AP252" s="304" t="str">
        <f t="shared" si="33"/>
        <v/>
      </c>
      <c r="AQ252" s="308" t="str">
        <f t="shared" si="34"/>
        <v/>
      </c>
      <c r="AR252" s="313" t="str">
        <f t="shared" si="35"/>
        <v/>
      </c>
      <c r="AS252" s="304" t="str">
        <f t="shared" si="36"/>
        <v/>
      </c>
      <c r="AT252" s="308" t="str">
        <f t="shared" si="37"/>
        <v/>
      </c>
      <c r="AU252" s="308" t="str">
        <f t="shared" si="38"/>
        <v/>
      </c>
      <c r="AV252" s="304" t="str">
        <f t="shared" si="39"/>
        <v/>
      </c>
      <c r="AW252" s="308" t="str">
        <f t="shared" si="40"/>
        <v/>
      </c>
      <c r="AX252" s="308" t="str">
        <f t="shared" si="41"/>
        <v/>
      </c>
      <c r="AY252" s="304" t="str">
        <f t="shared" si="42"/>
        <v/>
      </c>
      <c r="AZ252" s="308" t="str">
        <f t="shared" si="43"/>
        <v/>
      </c>
      <c r="BA252" s="313" t="str">
        <f t="shared" si="44"/>
        <v/>
      </c>
      <c r="BB252" s="304" t="str">
        <f t="shared" si="45"/>
        <v/>
      </c>
      <c r="BC252" s="308" t="str">
        <f t="shared" si="46"/>
        <v/>
      </c>
      <c r="BD252" s="308" t="str">
        <f t="shared" si="47"/>
        <v/>
      </c>
    </row>
    <row r="253">
      <c r="A253" s="298"/>
      <c r="B253" s="299"/>
      <c r="C253" s="300"/>
      <c r="D253" s="301" t="str">
        <f>IFERROR(__xludf.DUMMYFUNCTION("if(ISBLANK(A253),"""",GOOGLEFINANCE(A253,""NAME""))"),"")</f>
        <v/>
      </c>
      <c r="E253" s="302">
        <v>5000.0</v>
      </c>
      <c r="F253" s="303" t="str">
        <f>IFERROR(__xludf.DUMMYFUNCTION("if(ISBLANK(A253),"""",GOOGLEFINANCE(A253,""HIGH52""))"),"")</f>
        <v/>
      </c>
      <c r="G253" s="303" t="str">
        <f>IFERROR(__xludf.DUMMYFUNCTION("if(ISBLANK(A253),"""",GOOGLEFINANCE(A253,""LOW52""))"),"")</f>
        <v/>
      </c>
      <c r="H253" s="304" t="str">
        <f>IFERROR(__xludf.DUMMYFUNCTION("if(ISBLANK(A253),"""",GOOGLEFINANCE(A253,""Price""))"),"")</f>
        <v/>
      </c>
      <c r="I253" s="305" t="str">
        <f t="shared" si="1"/>
        <v/>
      </c>
      <c r="J253" s="306" t="str">
        <f t="shared" si="2"/>
        <v/>
      </c>
      <c r="K253" s="307" t="str">
        <f>IFERROR(__xludf.DUMMYFUNCTION("if(ISBLANK(A253),"""",googlefinance(A253,""Marketcap"")/10000000)"),"")</f>
        <v/>
      </c>
      <c r="L253" s="309" t="str">
        <f t="shared" si="3"/>
        <v/>
      </c>
      <c r="M253" s="308" t="str">
        <f t="shared" si="4"/>
        <v/>
      </c>
      <c r="N253" s="309" t="str">
        <f t="shared" si="5"/>
        <v/>
      </c>
      <c r="O253" s="322" t="str">
        <f t="shared" si="6"/>
        <v/>
      </c>
      <c r="P253" s="308" t="str">
        <f t="shared" si="7"/>
        <v/>
      </c>
      <c r="Q253" s="311" t="str">
        <f t="shared" si="8"/>
        <v/>
      </c>
      <c r="R253" s="309" t="str">
        <f t="shared" si="9"/>
        <v/>
      </c>
      <c r="S253" s="308" t="str">
        <f t="shared" si="10"/>
        <v/>
      </c>
      <c r="T253" s="309" t="str">
        <f t="shared" si="11"/>
        <v/>
      </c>
      <c r="U253" s="309" t="str">
        <f t="shared" si="12"/>
        <v/>
      </c>
      <c r="V253" s="308" t="str">
        <f t="shared" si="13"/>
        <v/>
      </c>
      <c r="W253" s="309" t="str">
        <f t="shared" si="14"/>
        <v/>
      </c>
      <c r="X253" s="309" t="str">
        <f t="shared" si="15"/>
        <v/>
      </c>
      <c r="Y253" s="308" t="str">
        <f t="shared" si="16"/>
        <v/>
      </c>
      <c r="Z253" s="309" t="str">
        <f t="shared" si="17"/>
        <v/>
      </c>
      <c r="AA253" s="312" t="str">
        <f t="shared" si="18"/>
        <v/>
      </c>
      <c r="AB253" s="308" t="str">
        <f t="shared" si="19"/>
        <v/>
      </c>
      <c r="AC253" s="308" t="str">
        <f t="shared" si="20"/>
        <v/>
      </c>
      <c r="AD253" s="312" t="str">
        <f t="shared" si="21"/>
        <v/>
      </c>
      <c r="AE253" s="308" t="str">
        <f t="shared" si="22"/>
        <v/>
      </c>
      <c r="AF253" s="313" t="str">
        <f t="shared" si="23"/>
        <v/>
      </c>
      <c r="AG253" s="304" t="str">
        <f t="shared" si="24"/>
        <v/>
      </c>
      <c r="AH253" s="308" t="str">
        <f t="shared" si="25"/>
        <v/>
      </c>
      <c r="AI253" s="313" t="str">
        <f t="shared" si="26"/>
        <v/>
      </c>
      <c r="AJ253" s="304" t="str">
        <f t="shared" si="27"/>
        <v/>
      </c>
      <c r="AK253" s="308" t="str">
        <f t="shared" si="28"/>
        <v/>
      </c>
      <c r="AL253" s="308" t="str">
        <f t="shared" si="29"/>
        <v/>
      </c>
      <c r="AM253" s="304" t="str">
        <f t="shared" si="30"/>
        <v/>
      </c>
      <c r="AN253" s="308" t="str">
        <f t="shared" si="31"/>
        <v/>
      </c>
      <c r="AO253" s="313" t="str">
        <f t="shared" si="32"/>
        <v/>
      </c>
      <c r="AP253" s="304" t="str">
        <f t="shared" si="33"/>
        <v/>
      </c>
      <c r="AQ253" s="308" t="str">
        <f t="shared" si="34"/>
        <v/>
      </c>
      <c r="AR253" s="313" t="str">
        <f t="shared" si="35"/>
        <v/>
      </c>
      <c r="AS253" s="304" t="str">
        <f t="shared" si="36"/>
        <v/>
      </c>
      <c r="AT253" s="308" t="str">
        <f t="shared" si="37"/>
        <v/>
      </c>
      <c r="AU253" s="308" t="str">
        <f t="shared" si="38"/>
        <v/>
      </c>
      <c r="AV253" s="304" t="str">
        <f t="shared" si="39"/>
        <v/>
      </c>
      <c r="AW253" s="308" t="str">
        <f t="shared" si="40"/>
        <v/>
      </c>
      <c r="AX253" s="308" t="str">
        <f t="shared" si="41"/>
        <v/>
      </c>
      <c r="AY253" s="304" t="str">
        <f t="shared" si="42"/>
        <v/>
      </c>
      <c r="AZ253" s="308" t="str">
        <f t="shared" si="43"/>
        <v/>
      </c>
      <c r="BA253" s="313" t="str">
        <f t="shared" si="44"/>
        <v/>
      </c>
      <c r="BB253" s="304" t="str">
        <f t="shared" si="45"/>
        <v/>
      </c>
      <c r="BC253" s="308" t="str">
        <f t="shared" si="46"/>
        <v/>
      </c>
      <c r="BD253" s="308" t="str">
        <f t="shared" si="47"/>
        <v/>
      </c>
    </row>
    <row r="254">
      <c r="A254" s="298"/>
      <c r="B254" s="299"/>
      <c r="C254" s="300"/>
      <c r="D254" s="301" t="str">
        <f>IFERROR(__xludf.DUMMYFUNCTION("if(ISBLANK(A254),"""",GOOGLEFINANCE(A254,""NAME""))"),"")</f>
        <v/>
      </c>
      <c r="E254" s="302">
        <v>5000.0</v>
      </c>
      <c r="F254" s="303" t="str">
        <f>IFERROR(__xludf.DUMMYFUNCTION("if(ISBLANK(A254),"""",GOOGLEFINANCE(A254,""HIGH52""))"),"")</f>
        <v/>
      </c>
      <c r="G254" s="303" t="str">
        <f>IFERROR(__xludf.DUMMYFUNCTION("if(ISBLANK(A254),"""",GOOGLEFINANCE(A254,""LOW52""))"),"")</f>
        <v/>
      </c>
      <c r="H254" s="304" t="str">
        <f>IFERROR(__xludf.DUMMYFUNCTION("if(ISBLANK(A254),"""",GOOGLEFINANCE(A254,""Price""))"),"")</f>
        <v/>
      </c>
      <c r="I254" s="305" t="str">
        <f t="shared" si="1"/>
        <v/>
      </c>
      <c r="J254" s="306" t="str">
        <f t="shared" si="2"/>
        <v/>
      </c>
      <c r="K254" s="307" t="str">
        <f>IFERROR(__xludf.DUMMYFUNCTION("if(ISBLANK(A254),"""",googlefinance(A254,""Marketcap"")/10000000)"),"")</f>
        <v/>
      </c>
      <c r="L254" s="309" t="str">
        <f t="shared" si="3"/>
        <v/>
      </c>
      <c r="M254" s="308" t="str">
        <f t="shared" si="4"/>
        <v/>
      </c>
      <c r="N254" s="309" t="str">
        <f t="shared" si="5"/>
        <v/>
      </c>
      <c r="O254" s="322" t="str">
        <f t="shared" si="6"/>
        <v/>
      </c>
      <c r="P254" s="308" t="str">
        <f t="shared" si="7"/>
        <v/>
      </c>
      <c r="Q254" s="311" t="str">
        <f t="shared" si="8"/>
        <v/>
      </c>
      <c r="R254" s="309" t="str">
        <f t="shared" si="9"/>
        <v/>
      </c>
      <c r="S254" s="308" t="str">
        <f t="shared" si="10"/>
        <v/>
      </c>
      <c r="T254" s="309" t="str">
        <f t="shared" si="11"/>
        <v/>
      </c>
      <c r="U254" s="309" t="str">
        <f t="shared" si="12"/>
        <v/>
      </c>
      <c r="V254" s="308" t="str">
        <f t="shared" si="13"/>
        <v/>
      </c>
      <c r="W254" s="309" t="str">
        <f t="shared" si="14"/>
        <v/>
      </c>
      <c r="X254" s="309" t="str">
        <f t="shared" si="15"/>
        <v/>
      </c>
      <c r="Y254" s="308" t="str">
        <f t="shared" si="16"/>
        <v/>
      </c>
      <c r="Z254" s="309" t="str">
        <f t="shared" si="17"/>
        <v/>
      </c>
      <c r="AA254" s="312" t="str">
        <f t="shared" si="18"/>
        <v/>
      </c>
      <c r="AB254" s="308" t="str">
        <f t="shared" si="19"/>
        <v/>
      </c>
      <c r="AC254" s="308" t="str">
        <f t="shared" si="20"/>
        <v/>
      </c>
      <c r="AD254" s="312" t="str">
        <f t="shared" si="21"/>
        <v/>
      </c>
      <c r="AE254" s="308" t="str">
        <f t="shared" si="22"/>
        <v/>
      </c>
      <c r="AF254" s="313" t="str">
        <f t="shared" si="23"/>
        <v/>
      </c>
      <c r="AG254" s="304" t="str">
        <f t="shared" si="24"/>
        <v/>
      </c>
      <c r="AH254" s="308" t="str">
        <f t="shared" si="25"/>
        <v/>
      </c>
      <c r="AI254" s="313" t="str">
        <f t="shared" si="26"/>
        <v/>
      </c>
      <c r="AJ254" s="304" t="str">
        <f t="shared" si="27"/>
        <v/>
      </c>
      <c r="AK254" s="308" t="str">
        <f t="shared" si="28"/>
        <v/>
      </c>
      <c r="AL254" s="308" t="str">
        <f t="shared" si="29"/>
        <v/>
      </c>
      <c r="AM254" s="304" t="str">
        <f t="shared" si="30"/>
        <v/>
      </c>
      <c r="AN254" s="308" t="str">
        <f t="shared" si="31"/>
        <v/>
      </c>
      <c r="AO254" s="313" t="str">
        <f t="shared" si="32"/>
        <v/>
      </c>
      <c r="AP254" s="304" t="str">
        <f t="shared" si="33"/>
        <v/>
      </c>
      <c r="AQ254" s="308" t="str">
        <f t="shared" si="34"/>
        <v/>
      </c>
      <c r="AR254" s="313" t="str">
        <f t="shared" si="35"/>
        <v/>
      </c>
      <c r="AS254" s="304" t="str">
        <f t="shared" si="36"/>
        <v/>
      </c>
      <c r="AT254" s="308" t="str">
        <f t="shared" si="37"/>
        <v/>
      </c>
      <c r="AU254" s="308" t="str">
        <f t="shared" si="38"/>
        <v/>
      </c>
      <c r="AV254" s="304" t="str">
        <f t="shared" si="39"/>
        <v/>
      </c>
      <c r="AW254" s="308" t="str">
        <f t="shared" si="40"/>
        <v/>
      </c>
      <c r="AX254" s="308" t="str">
        <f t="shared" si="41"/>
        <v/>
      </c>
      <c r="AY254" s="304" t="str">
        <f t="shared" si="42"/>
        <v/>
      </c>
      <c r="AZ254" s="308" t="str">
        <f t="shared" si="43"/>
        <v/>
      </c>
      <c r="BA254" s="313" t="str">
        <f t="shared" si="44"/>
        <v/>
      </c>
      <c r="BB254" s="304" t="str">
        <f t="shared" si="45"/>
        <v/>
      </c>
      <c r="BC254" s="308" t="str">
        <f t="shared" si="46"/>
        <v/>
      </c>
      <c r="BD254" s="308" t="str">
        <f t="shared" si="47"/>
        <v/>
      </c>
    </row>
    <row r="255">
      <c r="A255" s="298"/>
      <c r="B255" s="299"/>
      <c r="C255" s="300"/>
      <c r="D255" s="301" t="str">
        <f>IFERROR(__xludf.DUMMYFUNCTION("if(ISBLANK(A255),"""",GOOGLEFINANCE(A255,""NAME""))"),"")</f>
        <v/>
      </c>
      <c r="E255" s="302">
        <v>5000.0</v>
      </c>
      <c r="F255" s="303" t="str">
        <f>IFERROR(__xludf.DUMMYFUNCTION("if(ISBLANK(A255),"""",GOOGLEFINANCE(A255,""HIGH52""))"),"")</f>
        <v/>
      </c>
      <c r="G255" s="303" t="str">
        <f>IFERROR(__xludf.DUMMYFUNCTION("if(ISBLANK(A255),"""",GOOGLEFINANCE(A255,""LOW52""))"),"")</f>
        <v/>
      </c>
      <c r="H255" s="304" t="str">
        <f>IFERROR(__xludf.DUMMYFUNCTION("if(ISBLANK(A255),"""",GOOGLEFINANCE(A255,""Price""))"),"")</f>
        <v/>
      </c>
      <c r="I255" s="305" t="str">
        <f t="shared" si="1"/>
        <v/>
      </c>
      <c r="J255" s="306" t="str">
        <f t="shared" si="2"/>
        <v/>
      </c>
      <c r="K255" s="307" t="str">
        <f>IFERROR(__xludf.DUMMYFUNCTION("if(ISBLANK(A255),"""",googlefinance(A255,""Marketcap"")/10000000)"),"")</f>
        <v/>
      </c>
      <c r="L255" s="309" t="str">
        <f t="shared" si="3"/>
        <v/>
      </c>
      <c r="M255" s="308" t="str">
        <f t="shared" si="4"/>
        <v/>
      </c>
      <c r="N255" s="309" t="str">
        <f t="shared" si="5"/>
        <v/>
      </c>
      <c r="O255" s="322" t="str">
        <f t="shared" si="6"/>
        <v/>
      </c>
      <c r="P255" s="308" t="str">
        <f t="shared" si="7"/>
        <v/>
      </c>
      <c r="Q255" s="311" t="str">
        <f t="shared" si="8"/>
        <v/>
      </c>
      <c r="R255" s="309" t="str">
        <f t="shared" si="9"/>
        <v/>
      </c>
      <c r="S255" s="308" t="str">
        <f t="shared" si="10"/>
        <v/>
      </c>
      <c r="T255" s="309" t="str">
        <f t="shared" si="11"/>
        <v/>
      </c>
      <c r="U255" s="309" t="str">
        <f t="shared" si="12"/>
        <v/>
      </c>
      <c r="V255" s="308" t="str">
        <f t="shared" si="13"/>
        <v/>
      </c>
      <c r="W255" s="309" t="str">
        <f t="shared" si="14"/>
        <v/>
      </c>
      <c r="X255" s="309" t="str">
        <f t="shared" si="15"/>
        <v/>
      </c>
      <c r="Y255" s="308" t="str">
        <f t="shared" si="16"/>
        <v/>
      </c>
      <c r="Z255" s="309" t="str">
        <f t="shared" si="17"/>
        <v/>
      </c>
      <c r="AA255" s="312" t="str">
        <f t="shared" si="18"/>
        <v/>
      </c>
      <c r="AB255" s="308" t="str">
        <f t="shared" si="19"/>
        <v/>
      </c>
      <c r="AC255" s="308" t="str">
        <f t="shared" si="20"/>
        <v/>
      </c>
      <c r="AD255" s="312" t="str">
        <f t="shared" si="21"/>
        <v/>
      </c>
      <c r="AE255" s="308" t="str">
        <f t="shared" si="22"/>
        <v/>
      </c>
      <c r="AF255" s="313" t="str">
        <f t="shared" si="23"/>
        <v/>
      </c>
      <c r="AG255" s="304" t="str">
        <f t="shared" si="24"/>
        <v/>
      </c>
      <c r="AH255" s="308" t="str">
        <f t="shared" si="25"/>
        <v/>
      </c>
      <c r="AI255" s="313" t="str">
        <f t="shared" si="26"/>
        <v/>
      </c>
      <c r="AJ255" s="304" t="str">
        <f t="shared" si="27"/>
        <v/>
      </c>
      <c r="AK255" s="308" t="str">
        <f t="shared" si="28"/>
        <v/>
      </c>
      <c r="AL255" s="308" t="str">
        <f t="shared" si="29"/>
        <v/>
      </c>
      <c r="AM255" s="304" t="str">
        <f t="shared" si="30"/>
        <v/>
      </c>
      <c r="AN255" s="308" t="str">
        <f t="shared" si="31"/>
        <v/>
      </c>
      <c r="AO255" s="313" t="str">
        <f t="shared" si="32"/>
        <v/>
      </c>
      <c r="AP255" s="304" t="str">
        <f t="shared" si="33"/>
        <v/>
      </c>
      <c r="AQ255" s="308" t="str">
        <f t="shared" si="34"/>
        <v/>
      </c>
      <c r="AR255" s="313" t="str">
        <f t="shared" si="35"/>
        <v/>
      </c>
      <c r="AS255" s="304" t="str">
        <f t="shared" si="36"/>
        <v/>
      </c>
      <c r="AT255" s="308" t="str">
        <f t="shared" si="37"/>
        <v/>
      </c>
      <c r="AU255" s="308" t="str">
        <f t="shared" si="38"/>
        <v/>
      </c>
      <c r="AV255" s="304" t="str">
        <f t="shared" si="39"/>
        <v/>
      </c>
      <c r="AW255" s="308" t="str">
        <f t="shared" si="40"/>
        <v/>
      </c>
      <c r="AX255" s="308" t="str">
        <f t="shared" si="41"/>
        <v/>
      </c>
      <c r="AY255" s="304" t="str">
        <f t="shared" si="42"/>
        <v/>
      </c>
      <c r="AZ255" s="308" t="str">
        <f t="shared" si="43"/>
        <v/>
      </c>
      <c r="BA255" s="313" t="str">
        <f t="shared" si="44"/>
        <v/>
      </c>
      <c r="BB255" s="304" t="str">
        <f t="shared" si="45"/>
        <v/>
      </c>
      <c r="BC255" s="308" t="str">
        <f t="shared" si="46"/>
        <v/>
      </c>
      <c r="BD255" s="308" t="str">
        <f t="shared" si="47"/>
        <v/>
      </c>
    </row>
    <row r="256">
      <c r="A256" s="298"/>
      <c r="B256" s="299"/>
      <c r="C256" s="300"/>
      <c r="D256" s="301" t="str">
        <f>IFERROR(__xludf.DUMMYFUNCTION("if(ISBLANK(A256),"""",GOOGLEFINANCE(A256,""NAME""))"),"")</f>
        <v/>
      </c>
      <c r="E256" s="302">
        <v>5000.0</v>
      </c>
      <c r="F256" s="303" t="str">
        <f>IFERROR(__xludf.DUMMYFUNCTION("if(ISBLANK(A256),"""",GOOGLEFINANCE(A256,""HIGH52""))"),"")</f>
        <v/>
      </c>
      <c r="G256" s="303" t="str">
        <f>IFERROR(__xludf.DUMMYFUNCTION("if(ISBLANK(A256),"""",GOOGLEFINANCE(A256,""LOW52""))"),"")</f>
        <v/>
      </c>
      <c r="H256" s="304" t="str">
        <f>IFERROR(__xludf.DUMMYFUNCTION("if(ISBLANK(A256),"""",GOOGLEFINANCE(A256,""Price""))"),"")</f>
        <v/>
      </c>
      <c r="I256" s="305" t="str">
        <f t="shared" si="1"/>
        <v/>
      </c>
      <c r="J256" s="306" t="str">
        <f t="shared" si="2"/>
        <v/>
      </c>
      <c r="K256" s="307" t="str">
        <f>IFERROR(__xludf.DUMMYFUNCTION("if(ISBLANK(A256),"""",googlefinance(A256,""Marketcap"")/10000000)"),"")</f>
        <v/>
      </c>
      <c r="L256" s="309" t="str">
        <f t="shared" si="3"/>
        <v/>
      </c>
      <c r="M256" s="308" t="str">
        <f t="shared" si="4"/>
        <v/>
      </c>
      <c r="N256" s="309" t="str">
        <f t="shared" si="5"/>
        <v/>
      </c>
      <c r="O256" s="322" t="str">
        <f t="shared" si="6"/>
        <v/>
      </c>
      <c r="P256" s="308" t="str">
        <f t="shared" si="7"/>
        <v/>
      </c>
      <c r="Q256" s="311" t="str">
        <f t="shared" si="8"/>
        <v/>
      </c>
      <c r="R256" s="309" t="str">
        <f t="shared" si="9"/>
        <v/>
      </c>
      <c r="S256" s="308" t="str">
        <f t="shared" si="10"/>
        <v/>
      </c>
      <c r="T256" s="309" t="str">
        <f t="shared" si="11"/>
        <v/>
      </c>
      <c r="U256" s="309" t="str">
        <f t="shared" si="12"/>
        <v/>
      </c>
      <c r="V256" s="308" t="str">
        <f t="shared" si="13"/>
        <v/>
      </c>
      <c r="W256" s="309" t="str">
        <f t="shared" si="14"/>
        <v/>
      </c>
      <c r="X256" s="309" t="str">
        <f t="shared" si="15"/>
        <v/>
      </c>
      <c r="Y256" s="308" t="str">
        <f t="shared" si="16"/>
        <v/>
      </c>
      <c r="Z256" s="309" t="str">
        <f t="shared" si="17"/>
        <v/>
      </c>
      <c r="AA256" s="312" t="str">
        <f t="shared" si="18"/>
        <v/>
      </c>
      <c r="AB256" s="308" t="str">
        <f t="shared" si="19"/>
        <v/>
      </c>
      <c r="AC256" s="308" t="str">
        <f t="shared" si="20"/>
        <v/>
      </c>
      <c r="AD256" s="312" t="str">
        <f t="shared" si="21"/>
        <v/>
      </c>
      <c r="AE256" s="308" t="str">
        <f t="shared" si="22"/>
        <v/>
      </c>
      <c r="AF256" s="313" t="str">
        <f t="shared" si="23"/>
        <v/>
      </c>
      <c r="AG256" s="304" t="str">
        <f t="shared" si="24"/>
        <v/>
      </c>
      <c r="AH256" s="308" t="str">
        <f t="shared" si="25"/>
        <v/>
      </c>
      <c r="AI256" s="313" t="str">
        <f t="shared" si="26"/>
        <v/>
      </c>
      <c r="AJ256" s="304" t="str">
        <f t="shared" si="27"/>
        <v/>
      </c>
      <c r="AK256" s="308" t="str">
        <f t="shared" si="28"/>
        <v/>
      </c>
      <c r="AL256" s="308" t="str">
        <f t="shared" si="29"/>
        <v/>
      </c>
      <c r="AM256" s="304" t="str">
        <f t="shared" si="30"/>
        <v/>
      </c>
      <c r="AN256" s="308" t="str">
        <f t="shared" si="31"/>
        <v/>
      </c>
      <c r="AO256" s="313" t="str">
        <f t="shared" si="32"/>
        <v/>
      </c>
      <c r="AP256" s="304" t="str">
        <f t="shared" si="33"/>
        <v/>
      </c>
      <c r="AQ256" s="308" t="str">
        <f t="shared" si="34"/>
        <v/>
      </c>
      <c r="AR256" s="313" t="str">
        <f t="shared" si="35"/>
        <v/>
      </c>
      <c r="AS256" s="304" t="str">
        <f t="shared" si="36"/>
        <v/>
      </c>
      <c r="AT256" s="308" t="str">
        <f t="shared" si="37"/>
        <v/>
      </c>
      <c r="AU256" s="308" t="str">
        <f t="shared" si="38"/>
        <v/>
      </c>
      <c r="AV256" s="304" t="str">
        <f t="shared" si="39"/>
        <v/>
      </c>
      <c r="AW256" s="308" t="str">
        <f t="shared" si="40"/>
        <v/>
      </c>
      <c r="AX256" s="308" t="str">
        <f t="shared" si="41"/>
        <v/>
      </c>
      <c r="AY256" s="304" t="str">
        <f t="shared" si="42"/>
        <v/>
      </c>
      <c r="AZ256" s="308" t="str">
        <f t="shared" si="43"/>
        <v/>
      </c>
      <c r="BA256" s="313" t="str">
        <f t="shared" si="44"/>
        <v/>
      </c>
      <c r="BB256" s="304" t="str">
        <f t="shared" si="45"/>
        <v/>
      </c>
      <c r="BC256" s="308" t="str">
        <f t="shared" si="46"/>
        <v/>
      </c>
      <c r="BD256" s="308" t="str">
        <f t="shared" si="47"/>
        <v/>
      </c>
    </row>
    <row r="257">
      <c r="A257" s="298"/>
      <c r="B257" s="299"/>
      <c r="C257" s="300"/>
      <c r="D257" s="301" t="str">
        <f>IFERROR(__xludf.DUMMYFUNCTION("if(ISBLANK(A257),"""",GOOGLEFINANCE(A257,""NAME""))"),"")</f>
        <v/>
      </c>
      <c r="E257" s="302">
        <v>5000.0</v>
      </c>
      <c r="F257" s="303" t="str">
        <f>IFERROR(__xludf.DUMMYFUNCTION("if(ISBLANK(A257),"""",GOOGLEFINANCE(A257,""HIGH52""))"),"")</f>
        <v/>
      </c>
      <c r="G257" s="303" t="str">
        <f>IFERROR(__xludf.DUMMYFUNCTION("if(ISBLANK(A257),"""",GOOGLEFINANCE(A257,""LOW52""))"),"")</f>
        <v/>
      </c>
      <c r="H257" s="304" t="str">
        <f>IFERROR(__xludf.DUMMYFUNCTION("if(ISBLANK(A257),"""",GOOGLEFINANCE(A257,""Price""))"),"")</f>
        <v/>
      </c>
      <c r="I257" s="305" t="str">
        <f t="shared" si="1"/>
        <v/>
      </c>
      <c r="J257" s="306" t="str">
        <f t="shared" si="2"/>
        <v/>
      </c>
      <c r="K257" s="307" t="str">
        <f>IFERROR(__xludf.DUMMYFUNCTION("if(ISBLANK(A257),"""",googlefinance(A257,""Marketcap"")/10000000)"),"")</f>
        <v/>
      </c>
      <c r="L257" s="309" t="str">
        <f t="shared" si="3"/>
        <v/>
      </c>
      <c r="M257" s="308" t="str">
        <f t="shared" si="4"/>
        <v/>
      </c>
      <c r="N257" s="309" t="str">
        <f t="shared" si="5"/>
        <v/>
      </c>
      <c r="O257" s="322" t="str">
        <f t="shared" si="6"/>
        <v/>
      </c>
      <c r="P257" s="308" t="str">
        <f t="shared" si="7"/>
        <v/>
      </c>
      <c r="Q257" s="311" t="str">
        <f t="shared" si="8"/>
        <v/>
      </c>
      <c r="R257" s="309" t="str">
        <f t="shared" si="9"/>
        <v/>
      </c>
      <c r="S257" s="308" t="str">
        <f t="shared" si="10"/>
        <v/>
      </c>
      <c r="T257" s="309" t="str">
        <f t="shared" si="11"/>
        <v/>
      </c>
      <c r="U257" s="309" t="str">
        <f t="shared" si="12"/>
        <v/>
      </c>
      <c r="V257" s="308" t="str">
        <f t="shared" si="13"/>
        <v/>
      </c>
      <c r="W257" s="309" t="str">
        <f t="shared" si="14"/>
        <v/>
      </c>
      <c r="X257" s="309" t="str">
        <f t="shared" si="15"/>
        <v/>
      </c>
      <c r="Y257" s="308" t="str">
        <f t="shared" si="16"/>
        <v/>
      </c>
      <c r="Z257" s="309" t="str">
        <f t="shared" si="17"/>
        <v/>
      </c>
      <c r="AA257" s="312" t="str">
        <f t="shared" si="18"/>
        <v/>
      </c>
      <c r="AB257" s="308" t="str">
        <f t="shared" si="19"/>
        <v/>
      </c>
      <c r="AC257" s="308" t="str">
        <f t="shared" si="20"/>
        <v/>
      </c>
      <c r="AD257" s="312" t="str">
        <f t="shared" si="21"/>
        <v/>
      </c>
      <c r="AE257" s="308" t="str">
        <f t="shared" si="22"/>
        <v/>
      </c>
      <c r="AF257" s="313" t="str">
        <f t="shared" si="23"/>
        <v/>
      </c>
      <c r="AG257" s="304" t="str">
        <f t="shared" si="24"/>
        <v/>
      </c>
      <c r="AH257" s="308" t="str">
        <f t="shared" si="25"/>
        <v/>
      </c>
      <c r="AI257" s="313" t="str">
        <f t="shared" si="26"/>
        <v/>
      </c>
      <c r="AJ257" s="304" t="str">
        <f t="shared" si="27"/>
        <v/>
      </c>
      <c r="AK257" s="308" t="str">
        <f t="shared" si="28"/>
        <v/>
      </c>
      <c r="AL257" s="308" t="str">
        <f t="shared" si="29"/>
        <v/>
      </c>
      <c r="AM257" s="304" t="str">
        <f t="shared" si="30"/>
        <v/>
      </c>
      <c r="AN257" s="308" t="str">
        <f t="shared" si="31"/>
        <v/>
      </c>
      <c r="AO257" s="313" t="str">
        <f t="shared" si="32"/>
        <v/>
      </c>
      <c r="AP257" s="304" t="str">
        <f t="shared" si="33"/>
        <v/>
      </c>
      <c r="AQ257" s="308" t="str">
        <f t="shared" si="34"/>
        <v/>
      </c>
      <c r="AR257" s="313" t="str">
        <f t="shared" si="35"/>
        <v/>
      </c>
      <c r="AS257" s="304" t="str">
        <f t="shared" si="36"/>
        <v/>
      </c>
      <c r="AT257" s="308" t="str">
        <f t="shared" si="37"/>
        <v/>
      </c>
      <c r="AU257" s="308" t="str">
        <f t="shared" si="38"/>
        <v/>
      </c>
      <c r="AV257" s="304" t="str">
        <f t="shared" si="39"/>
        <v/>
      </c>
      <c r="AW257" s="308" t="str">
        <f t="shared" si="40"/>
        <v/>
      </c>
      <c r="AX257" s="308" t="str">
        <f t="shared" si="41"/>
        <v/>
      </c>
      <c r="AY257" s="304" t="str">
        <f t="shared" si="42"/>
        <v/>
      </c>
      <c r="AZ257" s="308" t="str">
        <f t="shared" si="43"/>
        <v/>
      </c>
      <c r="BA257" s="313" t="str">
        <f t="shared" si="44"/>
        <v/>
      </c>
      <c r="BB257" s="304" t="str">
        <f t="shared" si="45"/>
        <v/>
      </c>
      <c r="BC257" s="308" t="str">
        <f t="shared" si="46"/>
        <v/>
      </c>
      <c r="BD257" s="308" t="str">
        <f t="shared" si="47"/>
        <v/>
      </c>
    </row>
    <row r="258">
      <c r="A258" s="298"/>
      <c r="B258" s="299"/>
      <c r="C258" s="300"/>
      <c r="D258" s="301" t="str">
        <f>IFERROR(__xludf.DUMMYFUNCTION("if(ISBLANK(A258),"""",GOOGLEFINANCE(A258,""NAME""))"),"")</f>
        <v/>
      </c>
      <c r="E258" s="302">
        <v>5000.0</v>
      </c>
      <c r="F258" s="303" t="str">
        <f>IFERROR(__xludf.DUMMYFUNCTION("if(ISBLANK(A258),"""",GOOGLEFINANCE(A258,""HIGH52""))"),"")</f>
        <v/>
      </c>
      <c r="G258" s="303" t="str">
        <f>IFERROR(__xludf.DUMMYFUNCTION("if(ISBLANK(A258),"""",GOOGLEFINANCE(A258,""LOW52""))"),"")</f>
        <v/>
      </c>
      <c r="H258" s="304" t="str">
        <f>IFERROR(__xludf.DUMMYFUNCTION("if(ISBLANK(A258),"""",GOOGLEFINANCE(A258,""Price""))"),"")</f>
        <v/>
      </c>
      <c r="I258" s="305" t="str">
        <f t="shared" si="1"/>
        <v/>
      </c>
      <c r="J258" s="306" t="str">
        <f t="shared" si="2"/>
        <v/>
      </c>
      <c r="K258" s="307" t="str">
        <f>IFERROR(__xludf.DUMMYFUNCTION("if(ISBLANK(A258),"""",googlefinance(A258,""Marketcap"")/10000000)"),"")</f>
        <v/>
      </c>
      <c r="L258" s="309" t="str">
        <f t="shared" si="3"/>
        <v/>
      </c>
      <c r="M258" s="308" t="str">
        <f t="shared" si="4"/>
        <v/>
      </c>
      <c r="N258" s="309" t="str">
        <f t="shared" si="5"/>
        <v/>
      </c>
      <c r="O258" s="322" t="str">
        <f t="shared" si="6"/>
        <v/>
      </c>
      <c r="P258" s="308" t="str">
        <f t="shared" si="7"/>
        <v/>
      </c>
      <c r="Q258" s="311" t="str">
        <f t="shared" si="8"/>
        <v/>
      </c>
      <c r="R258" s="309" t="str">
        <f t="shared" si="9"/>
        <v/>
      </c>
      <c r="S258" s="308" t="str">
        <f t="shared" si="10"/>
        <v/>
      </c>
      <c r="T258" s="309" t="str">
        <f t="shared" si="11"/>
        <v/>
      </c>
      <c r="U258" s="309" t="str">
        <f t="shared" si="12"/>
        <v/>
      </c>
      <c r="V258" s="308" t="str">
        <f t="shared" si="13"/>
        <v/>
      </c>
      <c r="W258" s="309" t="str">
        <f t="shared" si="14"/>
        <v/>
      </c>
      <c r="X258" s="309" t="str">
        <f t="shared" si="15"/>
        <v/>
      </c>
      <c r="Y258" s="308" t="str">
        <f t="shared" si="16"/>
        <v/>
      </c>
      <c r="Z258" s="309" t="str">
        <f t="shared" si="17"/>
        <v/>
      </c>
      <c r="AA258" s="312" t="str">
        <f t="shared" si="18"/>
        <v/>
      </c>
      <c r="AB258" s="308" t="str">
        <f t="shared" si="19"/>
        <v/>
      </c>
      <c r="AC258" s="308" t="str">
        <f t="shared" si="20"/>
        <v/>
      </c>
      <c r="AD258" s="312" t="str">
        <f t="shared" si="21"/>
        <v/>
      </c>
      <c r="AE258" s="308" t="str">
        <f t="shared" si="22"/>
        <v/>
      </c>
      <c r="AF258" s="313" t="str">
        <f t="shared" si="23"/>
        <v/>
      </c>
      <c r="AG258" s="304" t="str">
        <f t="shared" si="24"/>
        <v/>
      </c>
      <c r="AH258" s="308" t="str">
        <f t="shared" si="25"/>
        <v/>
      </c>
      <c r="AI258" s="313" t="str">
        <f t="shared" si="26"/>
        <v/>
      </c>
      <c r="AJ258" s="304" t="str">
        <f t="shared" si="27"/>
        <v/>
      </c>
      <c r="AK258" s="308" t="str">
        <f t="shared" si="28"/>
        <v/>
      </c>
      <c r="AL258" s="308" t="str">
        <f t="shared" si="29"/>
        <v/>
      </c>
      <c r="AM258" s="304" t="str">
        <f t="shared" si="30"/>
        <v/>
      </c>
      <c r="AN258" s="308" t="str">
        <f t="shared" si="31"/>
        <v/>
      </c>
      <c r="AO258" s="313" t="str">
        <f t="shared" si="32"/>
        <v/>
      </c>
      <c r="AP258" s="304" t="str">
        <f t="shared" si="33"/>
        <v/>
      </c>
      <c r="AQ258" s="308" t="str">
        <f t="shared" si="34"/>
        <v/>
      </c>
      <c r="AR258" s="313" t="str">
        <f t="shared" si="35"/>
        <v/>
      </c>
      <c r="AS258" s="304" t="str">
        <f t="shared" si="36"/>
        <v/>
      </c>
      <c r="AT258" s="308" t="str">
        <f t="shared" si="37"/>
        <v/>
      </c>
      <c r="AU258" s="308" t="str">
        <f t="shared" si="38"/>
        <v/>
      </c>
      <c r="AV258" s="304" t="str">
        <f t="shared" si="39"/>
        <v/>
      </c>
      <c r="AW258" s="308" t="str">
        <f t="shared" si="40"/>
        <v/>
      </c>
      <c r="AX258" s="308" t="str">
        <f t="shared" si="41"/>
        <v/>
      </c>
      <c r="AY258" s="304" t="str">
        <f t="shared" si="42"/>
        <v/>
      </c>
      <c r="AZ258" s="308" t="str">
        <f t="shared" si="43"/>
        <v/>
      </c>
      <c r="BA258" s="313" t="str">
        <f t="shared" si="44"/>
        <v/>
      </c>
      <c r="BB258" s="304" t="str">
        <f t="shared" si="45"/>
        <v/>
      </c>
      <c r="BC258" s="308" t="str">
        <f t="shared" si="46"/>
        <v/>
      </c>
      <c r="BD258" s="308" t="str">
        <f t="shared" si="47"/>
        <v/>
      </c>
    </row>
    <row r="259">
      <c r="A259" s="298"/>
      <c r="B259" s="299"/>
      <c r="C259" s="300"/>
      <c r="D259" s="301" t="str">
        <f>IFERROR(__xludf.DUMMYFUNCTION("if(ISBLANK(A259),"""",GOOGLEFINANCE(A259,""NAME""))"),"")</f>
        <v/>
      </c>
      <c r="E259" s="302">
        <v>5000.0</v>
      </c>
      <c r="F259" s="303" t="str">
        <f>IFERROR(__xludf.DUMMYFUNCTION("if(ISBLANK(A259),"""",GOOGLEFINANCE(A259,""HIGH52""))"),"")</f>
        <v/>
      </c>
      <c r="G259" s="303" t="str">
        <f>IFERROR(__xludf.DUMMYFUNCTION("if(ISBLANK(A259),"""",GOOGLEFINANCE(A259,""LOW52""))"),"")</f>
        <v/>
      </c>
      <c r="H259" s="304" t="str">
        <f>IFERROR(__xludf.DUMMYFUNCTION("if(ISBLANK(A259),"""",GOOGLEFINANCE(A259,""Price""))"),"")</f>
        <v/>
      </c>
      <c r="I259" s="305" t="str">
        <f t="shared" si="1"/>
        <v/>
      </c>
      <c r="J259" s="306" t="str">
        <f t="shared" si="2"/>
        <v/>
      </c>
      <c r="K259" s="307" t="str">
        <f>IFERROR(__xludf.DUMMYFUNCTION("if(ISBLANK(A259),"""",googlefinance(A259,""Marketcap"")/10000000)"),"")</f>
        <v/>
      </c>
      <c r="L259" s="309" t="str">
        <f t="shared" si="3"/>
        <v/>
      </c>
      <c r="M259" s="308" t="str">
        <f t="shared" si="4"/>
        <v/>
      </c>
      <c r="N259" s="309" t="str">
        <f t="shared" si="5"/>
        <v/>
      </c>
      <c r="O259" s="322" t="str">
        <f t="shared" si="6"/>
        <v/>
      </c>
      <c r="P259" s="308" t="str">
        <f t="shared" si="7"/>
        <v/>
      </c>
      <c r="Q259" s="311" t="str">
        <f t="shared" si="8"/>
        <v/>
      </c>
      <c r="R259" s="309" t="str">
        <f t="shared" si="9"/>
        <v/>
      </c>
      <c r="S259" s="308" t="str">
        <f t="shared" si="10"/>
        <v/>
      </c>
      <c r="T259" s="309" t="str">
        <f t="shared" si="11"/>
        <v/>
      </c>
      <c r="U259" s="309" t="str">
        <f t="shared" si="12"/>
        <v/>
      </c>
      <c r="V259" s="308" t="str">
        <f t="shared" si="13"/>
        <v/>
      </c>
      <c r="W259" s="309" t="str">
        <f t="shared" si="14"/>
        <v/>
      </c>
      <c r="X259" s="309" t="str">
        <f t="shared" si="15"/>
        <v/>
      </c>
      <c r="Y259" s="308" t="str">
        <f t="shared" si="16"/>
        <v/>
      </c>
      <c r="Z259" s="309" t="str">
        <f t="shared" si="17"/>
        <v/>
      </c>
      <c r="AA259" s="312" t="str">
        <f t="shared" si="18"/>
        <v/>
      </c>
      <c r="AB259" s="308" t="str">
        <f t="shared" si="19"/>
        <v/>
      </c>
      <c r="AC259" s="308" t="str">
        <f t="shared" si="20"/>
        <v/>
      </c>
      <c r="AD259" s="312" t="str">
        <f t="shared" si="21"/>
        <v/>
      </c>
      <c r="AE259" s="308" t="str">
        <f t="shared" si="22"/>
        <v/>
      </c>
      <c r="AF259" s="313" t="str">
        <f t="shared" si="23"/>
        <v/>
      </c>
      <c r="AG259" s="304" t="str">
        <f t="shared" si="24"/>
        <v/>
      </c>
      <c r="AH259" s="308" t="str">
        <f t="shared" si="25"/>
        <v/>
      </c>
      <c r="AI259" s="313" t="str">
        <f t="shared" si="26"/>
        <v/>
      </c>
      <c r="AJ259" s="304" t="str">
        <f t="shared" si="27"/>
        <v/>
      </c>
      <c r="AK259" s="308" t="str">
        <f t="shared" si="28"/>
        <v/>
      </c>
      <c r="AL259" s="308" t="str">
        <f t="shared" si="29"/>
        <v/>
      </c>
      <c r="AM259" s="304" t="str">
        <f t="shared" si="30"/>
        <v/>
      </c>
      <c r="AN259" s="308" t="str">
        <f t="shared" si="31"/>
        <v/>
      </c>
      <c r="AO259" s="313" t="str">
        <f t="shared" si="32"/>
        <v/>
      </c>
      <c r="AP259" s="304" t="str">
        <f t="shared" si="33"/>
        <v/>
      </c>
      <c r="AQ259" s="308" t="str">
        <f t="shared" si="34"/>
        <v/>
      </c>
      <c r="AR259" s="313" t="str">
        <f t="shared" si="35"/>
        <v/>
      </c>
      <c r="AS259" s="304" t="str">
        <f t="shared" si="36"/>
        <v/>
      </c>
      <c r="AT259" s="308" t="str">
        <f t="shared" si="37"/>
        <v/>
      </c>
      <c r="AU259" s="308" t="str">
        <f t="shared" si="38"/>
        <v/>
      </c>
      <c r="AV259" s="304" t="str">
        <f t="shared" si="39"/>
        <v/>
      </c>
      <c r="AW259" s="308" t="str">
        <f t="shared" si="40"/>
        <v/>
      </c>
      <c r="AX259" s="308" t="str">
        <f t="shared" si="41"/>
        <v/>
      </c>
      <c r="AY259" s="304" t="str">
        <f t="shared" si="42"/>
        <v/>
      </c>
      <c r="AZ259" s="308" t="str">
        <f t="shared" si="43"/>
        <v/>
      </c>
      <c r="BA259" s="313" t="str">
        <f t="shared" si="44"/>
        <v/>
      </c>
      <c r="BB259" s="304" t="str">
        <f t="shared" si="45"/>
        <v/>
      </c>
      <c r="BC259" s="308" t="str">
        <f t="shared" si="46"/>
        <v/>
      </c>
      <c r="BD259" s="308" t="str">
        <f t="shared" si="47"/>
        <v/>
      </c>
    </row>
    <row r="260">
      <c r="A260" s="298"/>
      <c r="B260" s="299"/>
      <c r="C260" s="300"/>
      <c r="D260" s="301" t="str">
        <f>IFERROR(__xludf.DUMMYFUNCTION("if(ISBLANK(A260),"""",GOOGLEFINANCE(A260,""NAME""))"),"")</f>
        <v/>
      </c>
      <c r="E260" s="302">
        <v>5000.0</v>
      </c>
      <c r="F260" s="303" t="str">
        <f>IFERROR(__xludf.DUMMYFUNCTION("if(ISBLANK(A260),"""",GOOGLEFINANCE(A260,""HIGH52""))"),"")</f>
        <v/>
      </c>
      <c r="G260" s="303" t="str">
        <f>IFERROR(__xludf.DUMMYFUNCTION("if(ISBLANK(A260),"""",GOOGLEFINANCE(A260,""LOW52""))"),"")</f>
        <v/>
      </c>
      <c r="H260" s="304" t="str">
        <f>IFERROR(__xludf.DUMMYFUNCTION("if(ISBLANK(A260),"""",GOOGLEFINANCE(A260,""Price""))"),"")</f>
        <v/>
      </c>
      <c r="I260" s="305" t="str">
        <f t="shared" si="1"/>
        <v/>
      </c>
      <c r="J260" s="306" t="str">
        <f t="shared" si="2"/>
        <v/>
      </c>
      <c r="K260" s="307" t="str">
        <f>IFERROR(__xludf.DUMMYFUNCTION("if(ISBLANK(A260),"""",googlefinance(A260,""Marketcap"")/10000000)"),"")</f>
        <v/>
      </c>
      <c r="L260" s="309" t="str">
        <f t="shared" si="3"/>
        <v/>
      </c>
      <c r="M260" s="308" t="str">
        <f t="shared" si="4"/>
        <v/>
      </c>
      <c r="N260" s="309" t="str">
        <f t="shared" si="5"/>
        <v/>
      </c>
      <c r="O260" s="322" t="str">
        <f t="shared" si="6"/>
        <v/>
      </c>
      <c r="P260" s="308" t="str">
        <f t="shared" si="7"/>
        <v/>
      </c>
      <c r="Q260" s="311" t="str">
        <f t="shared" si="8"/>
        <v/>
      </c>
      <c r="R260" s="309" t="str">
        <f t="shared" si="9"/>
        <v/>
      </c>
      <c r="S260" s="308" t="str">
        <f t="shared" si="10"/>
        <v/>
      </c>
      <c r="T260" s="309" t="str">
        <f t="shared" si="11"/>
        <v/>
      </c>
      <c r="U260" s="309" t="str">
        <f t="shared" si="12"/>
        <v/>
      </c>
      <c r="V260" s="308" t="str">
        <f t="shared" si="13"/>
        <v/>
      </c>
      <c r="W260" s="309" t="str">
        <f t="shared" si="14"/>
        <v/>
      </c>
      <c r="X260" s="309" t="str">
        <f t="shared" si="15"/>
        <v/>
      </c>
      <c r="Y260" s="308" t="str">
        <f t="shared" si="16"/>
        <v/>
      </c>
      <c r="Z260" s="309" t="str">
        <f t="shared" si="17"/>
        <v/>
      </c>
      <c r="AA260" s="312" t="str">
        <f t="shared" si="18"/>
        <v/>
      </c>
      <c r="AB260" s="308" t="str">
        <f t="shared" si="19"/>
        <v/>
      </c>
      <c r="AC260" s="308" t="str">
        <f t="shared" si="20"/>
        <v/>
      </c>
      <c r="AD260" s="312" t="str">
        <f t="shared" si="21"/>
        <v/>
      </c>
      <c r="AE260" s="308" t="str">
        <f t="shared" si="22"/>
        <v/>
      </c>
      <c r="AF260" s="313" t="str">
        <f t="shared" si="23"/>
        <v/>
      </c>
      <c r="AG260" s="304" t="str">
        <f t="shared" si="24"/>
        <v/>
      </c>
      <c r="AH260" s="308" t="str">
        <f t="shared" si="25"/>
        <v/>
      </c>
      <c r="AI260" s="313" t="str">
        <f t="shared" si="26"/>
        <v/>
      </c>
      <c r="AJ260" s="304" t="str">
        <f t="shared" si="27"/>
        <v/>
      </c>
      <c r="AK260" s="308" t="str">
        <f t="shared" si="28"/>
        <v/>
      </c>
      <c r="AL260" s="308" t="str">
        <f t="shared" si="29"/>
        <v/>
      </c>
      <c r="AM260" s="304" t="str">
        <f t="shared" si="30"/>
        <v/>
      </c>
      <c r="AN260" s="308" t="str">
        <f t="shared" si="31"/>
        <v/>
      </c>
      <c r="AO260" s="313" t="str">
        <f t="shared" si="32"/>
        <v/>
      </c>
      <c r="AP260" s="304" t="str">
        <f t="shared" si="33"/>
        <v/>
      </c>
      <c r="AQ260" s="308" t="str">
        <f t="shared" si="34"/>
        <v/>
      </c>
      <c r="AR260" s="313" t="str">
        <f t="shared" si="35"/>
        <v/>
      </c>
      <c r="AS260" s="304" t="str">
        <f t="shared" si="36"/>
        <v/>
      </c>
      <c r="AT260" s="308" t="str">
        <f t="shared" si="37"/>
        <v/>
      </c>
      <c r="AU260" s="308" t="str">
        <f t="shared" si="38"/>
        <v/>
      </c>
      <c r="AV260" s="304" t="str">
        <f t="shared" si="39"/>
        <v/>
      </c>
      <c r="AW260" s="308" t="str">
        <f t="shared" si="40"/>
        <v/>
      </c>
      <c r="AX260" s="308" t="str">
        <f t="shared" si="41"/>
        <v/>
      </c>
      <c r="AY260" s="304" t="str">
        <f t="shared" si="42"/>
        <v/>
      </c>
      <c r="AZ260" s="308" t="str">
        <f t="shared" si="43"/>
        <v/>
      </c>
      <c r="BA260" s="313" t="str">
        <f t="shared" si="44"/>
        <v/>
      </c>
      <c r="BB260" s="304" t="str">
        <f t="shared" si="45"/>
        <v/>
      </c>
      <c r="BC260" s="308" t="str">
        <f t="shared" si="46"/>
        <v/>
      </c>
      <c r="BD260" s="308" t="str">
        <f t="shared" si="47"/>
        <v/>
      </c>
    </row>
    <row r="261">
      <c r="A261" s="298"/>
      <c r="B261" s="299"/>
      <c r="C261" s="300"/>
      <c r="D261" s="301" t="str">
        <f>IFERROR(__xludf.DUMMYFUNCTION("if(ISBLANK(A261),"""",GOOGLEFINANCE(A261,""NAME""))"),"")</f>
        <v/>
      </c>
      <c r="E261" s="302">
        <v>5000.0</v>
      </c>
      <c r="F261" s="303" t="str">
        <f>IFERROR(__xludf.DUMMYFUNCTION("if(ISBLANK(A261),"""",GOOGLEFINANCE(A261,""HIGH52""))"),"")</f>
        <v/>
      </c>
      <c r="G261" s="303" t="str">
        <f>IFERROR(__xludf.DUMMYFUNCTION("if(ISBLANK(A261),"""",GOOGLEFINANCE(A261,""LOW52""))"),"")</f>
        <v/>
      </c>
      <c r="H261" s="304" t="str">
        <f>IFERROR(__xludf.DUMMYFUNCTION("if(ISBLANK(A261),"""",GOOGLEFINANCE(A261,""Price""))"),"")</f>
        <v/>
      </c>
      <c r="I261" s="305" t="str">
        <f t="shared" si="1"/>
        <v/>
      </c>
      <c r="J261" s="306" t="str">
        <f t="shared" si="2"/>
        <v/>
      </c>
      <c r="K261" s="307" t="str">
        <f>IFERROR(__xludf.DUMMYFUNCTION("if(ISBLANK(A261),"""",googlefinance(A261,""Marketcap"")/10000000)"),"")</f>
        <v/>
      </c>
      <c r="L261" s="309" t="str">
        <f t="shared" si="3"/>
        <v/>
      </c>
      <c r="M261" s="308" t="str">
        <f t="shared" si="4"/>
        <v/>
      </c>
      <c r="N261" s="309" t="str">
        <f t="shared" si="5"/>
        <v/>
      </c>
      <c r="O261" s="322" t="str">
        <f t="shared" si="6"/>
        <v/>
      </c>
      <c r="P261" s="308" t="str">
        <f t="shared" si="7"/>
        <v/>
      </c>
      <c r="Q261" s="311" t="str">
        <f t="shared" si="8"/>
        <v/>
      </c>
      <c r="R261" s="309" t="str">
        <f t="shared" si="9"/>
        <v/>
      </c>
      <c r="S261" s="308" t="str">
        <f t="shared" si="10"/>
        <v/>
      </c>
      <c r="T261" s="309" t="str">
        <f t="shared" si="11"/>
        <v/>
      </c>
      <c r="U261" s="309" t="str">
        <f t="shared" si="12"/>
        <v/>
      </c>
      <c r="V261" s="308" t="str">
        <f t="shared" si="13"/>
        <v/>
      </c>
      <c r="W261" s="309" t="str">
        <f t="shared" si="14"/>
        <v/>
      </c>
      <c r="X261" s="309" t="str">
        <f t="shared" si="15"/>
        <v/>
      </c>
      <c r="Y261" s="308" t="str">
        <f t="shared" si="16"/>
        <v/>
      </c>
      <c r="Z261" s="309" t="str">
        <f t="shared" si="17"/>
        <v/>
      </c>
      <c r="AA261" s="312" t="str">
        <f t="shared" si="18"/>
        <v/>
      </c>
      <c r="AB261" s="308" t="str">
        <f t="shared" si="19"/>
        <v/>
      </c>
      <c r="AC261" s="308" t="str">
        <f t="shared" si="20"/>
        <v/>
      </c>
      <c r="AD261" s="312" t="str">
        <f t="shared" si="21"/>
        <v/>
      </c>
      <c r="AE261" s="308" t="str">
        <f t="shared" si="22"/>
        <v/>
      </c>
      <c r="AF261" s="313" t="str">
        <f t="shared" si="23"/>
        <v/>
      </c>
      <c r="AG261" s="304" t="str">
        <f t="shared" si="24"/>
        <v/>
      </c>
      <c r="AH261" s="308" t="str">
        <f t="shared" si="25"/>
        <v/>
      </c>
      <c r="AI261" s="313" t="str">
        <f t="shared" si="26"/>
        <v/>
      </c>
      <c r="AJ261" s="304" t="str">
        <f t="shared" si="27"/>
        <v/>
      </c>
      <c r="AK261" s="308" t="str">
        <f t="shared" si="28"/>
        <v/>
      </c>
      <c r="AL261" s="308" t="str">
        <f t="shared" si="29"/>
        <v/>
      </c>
      <c r="AM261" s="304" t="str">
        <f t="shared" si="30"/>
        <v/>
      </c>
      <c r="AN261" s="308" t="str">
        <f t="shared" si="31"/>
        <v/>
      </c>
      <c r="AO261" s="313" t="str">
        <f t="shared" si="32"/>
        <v/>
      </c>
      <c r="AP261" s="304" t="str">
        <f t="shared" si="33"/>
        <v/>
      </c>
      <c r="AQ261" s="308" t="str">
        <f t="shared" si="34"/>
        <v/>
      </c>
      <c r="AR261" s="313" t="str">
        <f t="shared" si="35"/>
        <v/>
      </c>
      <c r="AS261" s="304" t="str">
        <f t="shared" si="36"/>
        <v/>
      </c>
      <c r="AT261" s="308" t="str">
        <f t="shared" si="37"/>
        <v/>
      </c>
      <c r="AU261" s="308" t="str">
        <f t="shared" si="38"/>
        <v/>
      </c>
      <c r="AV261" s="304" t="str">
        <f t="shared" si="39"/>
        <v/>
      </c>
      <c r="AW261" s="308" t="str">
        <f t="shared" si="40"/>
        <v/>
      </c>
      <c r="AX261" s="308" t="str">
        <f t="shared" si="41"/>
        <v/>
      </c>
      <c r="AY261" s="304" t="str">
        <f t="shared" si="42"/>
        <v/>
      </c>
      <c r="AZ261" s="308" t="str">
        <f t="shared" si="43"/>
        <v/>
      </c>
      <c r="BA261" s="313" t="str">
        <f t="shared" si="44"/>
        <v/>
      </c>
      <c r="BB261" s="304" t="str">
        <f t="shared" si="45"/>
        <v/>
      </c>
      <c r="BC261" s="308" t="str">
        <f t="shared" si="46"/>
        <v/>
      </c>
      <c r="BD261" s="308" t="str">
        <f t="shared" si="47"/>
        <v/>
      </c>
    </row>
    <row r="262">
      <c r="A262" s="298"/>
      <c r="B262" s="299"/>
      <c r="C262" s="300"/>
      <c r="D262" s="301" t="str">
        <f>IFERROR(__xludf.DUMMYFUNCTION("if(ISBLANK(A262),"""",GOOGLEFINANCE(A262,""NAME""))"),"")</f>
        <v/>
      </c>
      <c r="E262" s="302">
        <v>5000.0</v>
      </c>
      <c r="F262" s="303" t="str">
        <f>IFERROR(__xludf.DUMMYFUNCTION("if(ISBLANK(A262),"""",GOOGLEFINANCE(A262,""HIGH52""))"),"")</f>
        <v/>
      </c>
      <c r="G262" s="303" t="str">
        <f>IFERROR(__xludf.DUMMYFUNCTION("if(ISBLANK(A262),"""",GOOGLEFINANCE(A262,""LOW52""))"),"")</f>
        <v/>
      </c>
      <c r="H262" s="304" t="str">
        <f>IFERROR(__xludf.DUMMYFUNCTION("if(ISBLANK(A262),"""",GOOGLEFINANCE(A262,""Price""))"),"")</f>
        <v/>
      </c>
      <c r="I262" s="305" t="str">
        <f t="shared" si="1"/>
        <v/>
      </c>
      <c r="J262" s="306" t="str">
        <f t="shared" si="2"/>
        <v/>
      </c>
      <c r="K262" s="307" t="str">
        <f>IFERROR(__xludf.DUMMYFUNCTION("if(ISBLANK(A262),"""",googlefinance(A262,""Marketcap"")/10000000)"),"")</f>
        <v/>
      </c>
      <c r="L262" s="309" t="str">
        <f t="shared" si="3"/>
        <v/>
      </c>
      <c r="M262" s="308" t="str">
        <f t="shared" si="4"/>
        <v/>
      </c>
      <c r="N262" s="309" t="str">
        <f t="shared" si="5"/>
        <v/>
      </c>
      <c r="O262" s="322" t="str">
        <f t="shared" si="6"/>
        <v/>
      </c>
      <c r="P262" s="308" t="str">
        <f t="shared" si="7"/>
        <v/>
      </c>
      <c r="Q262" s="311" t="str">
        <f t="shared" si="8"/>
        <v/>
      </c>
      <c r="R262" s="309" t="str">
        <f t="shared" si="9"/>
        <v/>
      </c>
      <c r="S262" s="308" t="str">
        <f t="shared" si="10"/>
        <v/>
      </c>
      <c r="T262" s="309" t="str">
        <f t="shared" si="11"/>
        <v/>
      </c>
      <c r="U262" s="309" t="str">
        <f t="shared" si="12"/>
        <v/>
      </c>
      <c r="V262" s="308" t="str">
        <f t="shared" si="13"/>
        <v/>
      </c>
      <c r="W262" s="309" t="str">
        <f t="shared" si="14"/>
        <v/>
      </c>
      <c r="X262" s="309" t="str">
        <f t="shared" si="15"/>
        <v/>
      </c>
      <c r="Y262" s="308" t="str">
        <f t="shared" si="16"/>
        <v/>
      </c>
      <c r="Z262" s="309" t="str">
        <f t="shared" si="17"/>
        <v/>
      </c>
      <c r="AA262" s="312" t="str">
        <f t="shared" si="18"/>
        <v/>
      </c>
      <c r="AB262" s="308" t="str">
        <f t="shared" si="19"/>
        <v/>
      </c>
      <c r="AC262" s="308" t="str">
        <f t="shared" si="20"/>
        <v/>
      </c>
      <c r="AD262" s="312" t="str">
        <f t="shared" si="21"/>
        <v/>
      </c>
      <c r="AE262" s="308" t="str">
        <f t="shared" si="22"/>
        <v/>
      </c>
      <c r="AF262" s="313" t="str">
        <f t="shared" si="23"/>
        <v/>
      </c>
      <c r="AG262" s="304" t="str">
        <f t="shared" si="24"/>
        <v/>
      </c>
      <c r="AH262" s="308" t="str">
        <f t="shared" si="25"/>
        <v/>
      </c>
      <c r="AI262" s="313" t="str">
        <f t="shared" si="26"/>
        <v/>
      </c>
      <c r="AJ262" s="304" t="str">
        <f t="shared" si="27"/>
        <v/>
      </c>
      <c r="AK262" s="308" t="str">
        <f t="shared" si="28"/>
        <v/>
      </c>
      <c r="AL262" s="308" t="str">
        <f t="shared" si="29"/>
        <v/>
      </c>
      <c r="AM262" s="304" t="str">
        <f t="shared" si="30"/>
        <v/>
      </c>
      <c r="AN262" s="308" t="str">
        <f t="shared" si="31"/>
        <v/>
      </c>
      <c r="AO262" s="313" t="str">
        <f t="shared" si="32"/>
        <v/>
      </c>
      <c r="AP262" s="304" t="str">
        <f t="shared" si="33"/>
        <v/>
      </c>
      <c r="AQ262" s="308" t="str">
        <f t="shared" si="34"/>
        <v/>
      </c>
      <c r="AR262" s="313" t="str">
        <f t="shared" si="35"/>
        <v/>
      </c>
      <c r="AS262" s="304" t="str">
        <f t="shared" si="36"/>
        <v/>
      </c>
      <c r="AT262" s="308" t="str">
        <f t="shared" si="37"/>
        <v/>
      </c>
      <c r="AU262" s="308" t="str">
        <f t="shared" si="38"/>
        <v/>
      </c>
      <c r="AV262" s="304" t="str">
        <f t="shared" si="39"/>
        <v/>
      </c>
      <c r="AW262" s="308" t="str">
        <f t="shared" si="40"/>
        <v/>
      </c>
      <c r="AX262" s="308" t="str">
        <f t="shared" si="41"/>
        <v/>
      </c>
      <c r="AY262" s="304" t="str">
        <f t="shared" si="42"/>
        <v/>
      </c>
      <c r="AZ262" s="308" t="str">
        <f t="shared" si="43"/>
        <v/>
      </c>
      <c r="BA262" s="313" t="str">
        <f t="shared" si="44"/>
        <v/>
      </c>
      <c r="BB262" s="304" t="str">
        <f t="shared" si="45"/>
        <v/>
      </c>
      <c r="BC262" s="308" t="str">
        <f t="shared" si="46"/>
        <v/>
      </c>
      <c r="BD262" s="308" t="str">
        <f t="shared" si="47"/>
        <v/>
      </c>
    </row>
    <row r="263">
      <c r="A263" s="298"/>
      <c r="B263" s="299"/>
      <c r="C263" s="300"/>
      <c r="D263" s="301" t="str">
        <f>IFERROR(__xludf.DUMMYFUNCTION("if(ISBLANK(A263),"""",GOOGLEFINANCE(A263,""NAME""))"),"")</f>
        <v/>
      </c>
      <c r="E263" s="302">
        <v>5000.0</v>
      </c>
      <c r="F263" s="303" t="str">
        <f>IFERROR(__xludf.DUMMYFUNCTION("if(ISBLANK(A263),"""",GOOGLEFINANCE(A263,""HIGH52""))"),"")</f>
        <v/>
      </c>
      <c r="G263" s="303" t="str">
        <f>IFERROR(__xludf.DUMMYFUNCTION("if(ISBLANK(A263),"""",GOOGLEFINANCE(A263,""LOW52""))"),"")</f>
        <v/>
      </c>
      <c r="H263" s="304" t="str">
        <f>IFERROR(__xludf.DUMMYFUNCTION("if(ISBLANK(A263),"""",GOOGLEFINANCE(A263,""Price""))"),"")</f>
        <v/>
      </c>
      <c r="I263" s="305" t="str">
        <f t="shared" si="1"/>
        <v/>
      </c>
      <c r="J263" s="306" t="str">
        <f t="shared" si="2"/>
        <v/>
      </c>
      <c r="K263" s="307" t="str">
        <f>IFERROR(__xludf.DUMMYFUNCTION("if(ISBLANK(A263),"""",googlefinance(A263,""Marketcap"")/10000000)"),"")</f>
        <v/>
      </c>
      <c r="L263" s="309" t="str">
        <f t="shared" si="3"/>
        <v/>
      </c>
      <c r="M263" s="308" t="str">
        <f t="shared" si="4"/>
        <v/>
      </c>
      <c r="N263" s="309" t="str">
        <f t="shared" si="5"/>
        <v/>
      </c>
      <c r="O263" s="322" t="str">
        <f t="shared" si="6"/>
        <v/>
      </c>
      <c r="P263" s="308" t="str">
        <f t="shared" si="7"/>
        <v/>
      </c>
      <c r="Q263" s="311" t="str">
        <f t="shared" si="8"/>
        <v/>
      </c>
      <c r="R263" s="309" t="str">
        <f t="shared" si="9"/>
        <v/>
      </c>
      <c r="S263" s="308" t="str">
        <f t="shared" si="10"/>
        <v/>
      </c>
      <c r="T263" s="309" t="str">
        <f t="shared" si="11"/>
        <v/>
      </c>
      <c r="U263" s="309" t="str">
        <f t="shared" si="12"/>
        <v/>
      </c>
      <c r="V263" s="308" t="str">
        <f t="shared" si="13"/>
        <v/>
      </c>
      <c r="W263" s="309" t="str">
        <f t="shared" si="14"/>
        <v/>
      </c>
      <c r="X263" s="309" t="str">
        <f t="shared" si="15"/>
        <v/>
      </c>
      <c r="Y263" s="308" t="str">
        <f t="shared" si="16"/>
        <v/>
      </c>
      <c r="Z263" s="309" t="str">
        <f t="shared" si="17"/>
        <v/>
      </c>
      <c r="AA263" s="312" t="str">
        <f t="shared" si="18"/>
        <v/>
      </c>
      <c r="AB263" s="308" t="str">
        <f t="shared" si="19"/>
        <v/>
      </c>
      <c r="AC263" s="308" t="str">
        <f t="shared" si="20"/>
        <v/>
      </c>
      <c r="AD263" s="312" t="str">
        <f t="shared" si="21"/>
        <v/>
      </c>
      <c r="AE263" s="308" t="str">
        <f t="shared" si="22"/>
        <v/>
      </c>
      <c r="AF263" s="313" t="str">
        <f t="shared" si="23"/>
        <v/>
      </c>
      <c r="AG263" s="304" t="str">
        <f t="shared" si="24"/>
        <v/>
      </c>
      <c r="AH263" s="308" t="str">
        <f t="shared" si="25"/>
        <v/>
      </c>
      <c r="AI263" s="313" t="str">
        <f t="shared" si="26"/>
        <v/>
      </c>
      <c r="AJ263" s="304" t="str">
        <f t="shared" si="27"/>
        <v/>
      </c>
      <c r="AK263" s="308" t="str">
        <f t="shared" si="28"/>
        <v/>
      </c>
      <c r="AL263" s="308" t="str">
        <f t="shared" si="29"/>
        <v/>
      </c>
      <c r="AM263" s="304" t="str">
        <f t="shared" si="30"/>
        <v/>
      </c>
      <c r="AN263" s="308" t="str">
        <f t="shared" si="31"/>
        <v/>
      </c>
      <c r="AO263" s="313" t="str">
        <f t="shared" si="32"/>
        <v/>
      </c>
      <c r="AP263" s="304" t="str">
        <f t="shared" si="33"/>
        <v/>
      </c>
      <c r="AQ263" s="308" t="str">
        <f t="shared" si="34"/>
        <v/>
      </c>
      <c r="AR263" s="313" t="str">
        <f t="shared" si="35"/>
        <v/>
      </c>
      <c r="AS263" s="304" t="str">
        <f t="shared" si="36"/>
        <v/>
      </c>
      <c r="AT263" s="308" t="str">
        <f t="shared" si="37"/>
        <v/>
      </c>
      <c r="AU263" s="308" t="str">
        <f t="shared" si="38"/>
        <v/>
      </c>
      <c r="AV263" s="304" t="str">
        <f t="shared" si="39"/>
        <v/>
      </c>
      <c r="AW263" s="308" t="str">
        <f t="shared" si="40"/>
        <v/>
      </c>
      <c r="AX263" s="308" t="str">
        <f t="shared" si="41"/>
        <v/>
      </c>
      <c r="AY263" s="304" t="str">
        <f t="shared" si="42"/>
        <v/>
      </c>
      <c r="AZ263" s="308" t="str">
        <f t="shared" si="43"/>
        <v/>
      </c>
      <c r="BA263" s="313" t="str">
        <f t="shared" si="44"/>
        <v/>
      </c>
      <c r="BB263" s="304" t="str">
        <f t="shared" si="45"/>
        <v/>
      </c>
      <c r="BC263" s="308" t="str">
        <f t="shared" si="46"/>
        <v/>
      </c>
      <c r="BD263" s="308" t="str">
        <f t="shared" si="47"/>
        <v/>
      </c>
    </row>
    <row r="264">
      <c r="A264" s="298"/>
      <c r="B264" s="299"/>
      <c r="C264" s="300"/>
      <c r="D264" s="301" t="str">
        <f>IFERROR(__xludf.DUMMYFUNCTION("if(ISBLANK(A264),"""",GOOGLEFINANCE(A264,""NAME""))"),"")</f>
        <v/>
      </c>
      <c r="E264" s="302">
        <v>5000.0</v>
      </c>
      <c r="F264" s="303" t="str">
        <f>IFERROR(__xludf.DUMMYFUNCTION("if(ISBLANK(A264),"""",GOOGLEFINANCE(A264,""HIGH52""))"),"")</f>
        <v/>
      </c>
      <c r="G264" s="303" t="str">
        <f>IFERROR(__xludf.DUMMYFUNCTION("if(ISBLANK(A264),"""",GOOGLEFINANCE(A264,""LOW52""))"),"")</f>
        <v/>
      </c>
      <c r="H264" s="304" t="str">
        <f>IFERROR(__xludf.DUMMYFUNCTION("if(ISBLANK(A264),"""",GOOGLEFINANCE(A264,""Price""))"),"")</f>
        <v/>
      </c>
      <c r="I264" s="305" t="str">
        <f t="shared" si="1"/>
        <v/>
      </c>
      <c r="J264" s="306" t="str">
        <f t="shared" si="2"/>
        <v/>
      </c>
      <c r="K264" s="307" t="str">
        <f>IFERROR(__xludf.DUMMYFUNCTION("if(ISBLANK(A264),"""",googlefinance(A264,""Marketcap"")/10000000)"),"")</f>
        <v/>
      </c>
      <c r="L264" s="309" t="str">
        <f t="shared" si="3"/>
        <v/>
      </c>
      <c r="M264" s="308" t="str">
        <f t="shared" si="4"/>
        <v/>
      </c>
      <c r="N264" s="309" t="str">
        <f t="shared" si="5"/>
        <v/>
      </c>
      <c r="O264" s="322" t="str">
        <f t="shared" si="6"/>
        <v/>
      </c>
      <c r="P264" s="308" t="str">
        <f t="shared" si="7"/>
        <v/>
      </c>
      <c r="Q264" s="311" t="str">
        <f t="shared" si="8"/>
        <v/>
      </c>
      <c r="R264" s="309" t="str">
        <f t="shared" si="9"/>
        <v/>
      </c>
      <c r="S264" s="308" t="str">
        <f t="shared" si="10"/>
        <v/>
      </c>
      <c r="T264" s="309" t="str">
        <f t="shared" si="11"/>
        <v/>
      </c>
      <c r="U264" s="309" t="str">
        <f t="shared" si="12"/>
        <v/>
      </c>
      <c r="V264" s="308" t="str">
        <f t="shared" si="13"/>
        <v/>
      </c>
      <c r="W264" s="309" t="str">
        <f t="shared" si="14"/>
        <v/>
      </c>
      <c r="X264" s="309" t="str">
        <f t="shared" si="15"/>
        <v/>
      </c>
      <c r="Y264" s="308" t="str">
        <f t="shared" si="16"/>
        <v/>
      </c>
      <c r="Z264" s="309" t="str">
        <f t="shared" si="17"/>
        <v/>
      </c>
      <c r="AA264" s="312" t="str">
        <f t="shared" si="18"/>
        <v/>
      </c>
      <c r="AB264" s="308" t="str">
        <f t="shared" si="19"/>
        <v/>
      </c>
      <c r="AC264" s="308" t="str">
        <f t="shared" si="20"/>
        <v/>
      </c>
      <c r="AD264" s="312" t="str">
        <f t="shared" si="21"/>
        <v/>
      </c>
      <c r="AE264" s="308" t="str">
        <f t="shared" si="22"/>
        <v/>
      </c>
      <c r="AF264" s="313" t="str">
        <f t="shared" si="23"/>
        <v/>
      </c>
      <c r="AG264" s="304" t="str">
        <f t="shared" si="24"/>
        <v/>
      </c>
      <c r="AH264" s="308" t="str">
        <f t="shared" si="25"/>
        <v/>
      </c>
      <c r="AI264" s="313" t="str">
        <f t="shared" si="26"/>
        <v/>
      </c>
      <c r="AJ264" s="304" t="str">
        <f t="shared" si="27"/>
        <v/>
      </c>
      <c r="AK264" s="308" t="str">
        <f t="shared" si="28"/>
        <v/>
      </c>
      <c r="AL264" s="308" t="str">
        <f t="shared" si="29"/>
        <v/>
      </c>
      <c r="AM264" s="304" t="str">
        <f t="shared" si="30"/>
        <v/>
      </c>
      <c r="AN264" s="308" t="str">
        <f t="shared" si="31"/>
        <v/>
      </c>
      <c r="AO264" s="313" t="str">
        <f t="shared" si="32"/>
        <v/>
      </c>
      <c r="AP264" s="304" t="str">
        <f t="shared" si="33"/>
        <v/>
      </c>
      <c r="AQ264" s="308" t="str">
        <f t="shared" si="34"/>
        <v/>
      </c>
      <c r="AR264" s="313" t="str">
        <f t="shared" si="35"/>
        <v/>
      </c>
      <c r="AS264" s="304" t="str">
        <f t="shared" si="36"/>
        <v/>
      </c>
      <c r="AT264" s="308" t="str">
        <f t="shared" si="37"/>
        <v/>
      </c>
      <c r="AU264" s="308" t="str">
        <f t="shared" si="38"/>
        <v/>
      </c>
      <c r="AV264" s="304" t="str">
        <f t="shared" si="39"/>
        <v/>
      </c>
      <c r="AW264" s="308" t="str">
        <f t="shared" si="40"/>
        <v/>
      </c>
      <c r="AX264" s="308" t="str">
        <f t="shared" si="41"/>
        <v/>
      </c>
      <c r="AY264" s="304" t="str">
        <f t="shared" si="42"/>
        <v/>
      </c>
      <c r="AZ264" s="308" t="str">
        <f t="shared" si="43"/>
        <v/>
      </c>
      <c r="BA264" s="313" t="str">
        <f t="shared" si="44"/>
        <v/>
      </c>
      <c r="BB264" s="304" t="str">
        <f t="shared" si="45"/>
        <v/>
      </c>
      <c r="BC264" s="308" t="str">
        <f t="shared" si="46"/>
        <v/>
      </c>
      <c r="BD264" s="308" t="str">
        <f t="shared" si="47"/>
        <v/>
      </c>
    </row>
    <row r="265">
      <c r="A265" s="298"/>
      <c r="B265" s="299"/>
      <c r="C265" s="300"/>
      <c r="D265" s="301" t="str">
        <f>IFERROR(__xludf.DUMMYFUNCTION("if(ISBLANK(A265),"""",GOOGLEFINANCE(A265,""NAME""))"),"")</f>
        <v/>
      </c>
      <c r="E265" s="302">
        <v>5000.0</v>
      </c>
      <c r="F265" s="303" t="str">
        <f>IFERROR(__xludf.DUMMYFUNCTION("if(ISBLANK(A265),"""",GOOGLEFINANCE(A265,""HIGH52""))"),"")</f>
        <v/>
      </c>
      <c r="G265" s="303" t="str">
        <f>IFERROR(__xludf.DUMMYFUNCTION("if(ISBLANK(A265),"""",GOOGLEFINANCE(A265,""LOW52""))"),"")</f>
        <v/>
      </c>
      <c r="H265" s="304" t="str">
        <f>IFERROR(__xludf.DUMMYFUNCTION("if(ISBLANK(A265),"""",GOOGLEFINANCE(A265,""Price""))"),"")</f>
        <v/>
      </c>
      <c r="I265" s="305" t="str">
        <f t="shared" si="1"/>
        <v/>
      </c>
      <c r="J265" s="306" t="str">
        <f t="shared" si="2"/>
        <v/>
      </c>
      <c r="K265" s="307" t="str">
        <f>IFERROR(__xludf.DUMMYFUNCTION("if(ISBLANK(A265),"""",googlefinance(A265,""Marketcap"")/10000000)"),"")</f>
        <v/>
      </c>
      <c r="L265" s="309" t="str">
        <f t="shared" si="3"/>
        <v/>
      </c>
      <c r="M265" s="308" t="str">
        <f t="shared" si="4"/>
        <v/>
      </c>
      <c r="N265" s="309" t="str">
        <f t="shared" si="5"/>
        <v/>
      </c>
      <c r="O265" s="322" t="str">
        <f t="shared" si="6"/>
        <v/>
      </c>
      <c r="P265" s="308" t="str">
        <f t="shared" si="7"/>
        <v/>
      </c>
      <c r="Q265" s="311" t="str">
        <f t="shared" si="8"/>
        <v/>
      </c>
      <c r="R265" s="309" t="str">
        <f t="shared" si="9"/>
        <v/>
      </c>
      <c r="S265" s="308" t="str">
        <f t="shared" si="10"/>
        <v/>
      </c>
      <c r="T265" s="309" t="str">
        <f t="shared" si="11"/>
        <v/>
      </c>
      <c r="U265" s="309" t="str">
        <f t="shared" si="12"/>
        <v/>
      </c>
      <c r="V265" s="308" t="str">
        <f t="shared" si="13"/>
        <v/>
      </c>
      <c r="W265" s="309" t="str">
        <f t="shared" si="14"/>
        <v/>
      </c>
      <c r="X265" s="309" t="str">
        <f t="shared" si="15"/>
        <v/>
      </c>
      <c r="Y265" s="308" t="str">
        <f t="shared" si="16"/>
        <v/>
      </c>
      <c r="Z265" s="309" t="str">
        <f t="shared" si="17"/>
        <v/>
      </c>
      <c r="AA265" s="312" t="str">
        <f t="shared" si="18"/>
        <v/>
      </c>
      <c r="AB265" s="308" t="str">
        <f t="shared" si="19"/>
        <v/>
      </c>
      <c r="AC265" s="308" t="str">
        <f t="shared" si="20"/>
        <v/>
      </c>
      <c r="AD265" s="312" t="str">
        <f t="shared" si="21"/>
        <v/>
      </c>
      <c r="AE265" s="308" t="str">
        <f t="shared" si="22"/>
        <v/>
      </c>
      <c r="AF265" s="313" t="str">
        <f t="shared" si="23"/>
        <v/>
      </c>
      <c r="AG265" s="304" t="str">
        <f t="shared" si="24"/>
        <v/>
      </c>
      <c r="AH265" s="308" t="str">
        <f t="shared" si="25"/>
        <v/>
      </c>
      <c r="AI265" s="313" t="str">
        <f t="shared" si="26"/>
        <v/>
      </c>
      <c r="AJ265" s="304" t="str">
        <f t="shared" si="27"/>
        <v/>
      </c>
      <c r="AK265" s="308" t="str">
        <f t="shared" si="28"/>
        <v/>
      </c>
      <c r="AL265" s="308" t="str">
        <f t="shared" si="29"/>
        <v/>
      </c>
      <c r="AM265" s="304" t="str">
        <f t="shared" si="30"/>
        <v/>
      </c>
      <c r="AN265" s="308" t="str">
        <f t="shared" si="31"/>
        <v/>
      </c>
      <c r="AO265" s="313" t="str">
        <f t="shared" si="32"/>
        <v/>
      </c>
      <c r="AP265" s="304" t="str">
        <f t="shared" si="33"/>
        <v/>
      </c>
      <c r="AQ265" s="308" t="str">
        <f t="shared" si="34"/>
        <v/>
      </c>
      <c r="AR265" s="313" t="str">
        <f t="shared" si="35"/>
        <v/>
      </c>
      <c r="AS265" s="304" t="str">
        <f t="shared" si="36"/>
        <v/>
      </c>
      <c r="AT265" s="308" t="str">
        <f t="shared" si="37"/>
        <v/>
      </c>
      <c r="AU265" s="308" t="str">
        <f t="shared" si="38"/>
        <v/>
      </c>
      <c r="AV265" s="304" t="str">
        <f t="shared" si="39"/>
        <v/>
      </c>
      <c r="AW265" s="308" t="str">
        <f t="shared" si="40"/>
        <v/>
      </c>
      <c r="AX265" s="308" t="str">
        <f t="shared" si="41"/>
        <v/>
      </c>
      <c r="AY265" s="304" t="str">
        <f t="shared" si="42"/>
        <v/>
      </c>
      <c r="AZ265" s="308" t="str">
        <f t="shared" si="43"/>
        <v/>
      </c>
      <c r="BA265" s="313" t="str">
        <f t="shared" si="44"/>
        <v/>
      </c>
      <c r="BB265" s="304" t="str">
        <f t="shared" si="45"/>
        <v/>
      </c>
      <c r="BC265" s="308" t="str">
        <f t="shared" si="46"/>
        <v/>
      </c>
      <c r="BD265" s="308" t="str">
        <f t="shared" si="47"/>
        <v/>
      </c>
    </row>
    <row r="266">
      <c r="A266" s="298"/>
      <c r="B266" s="299"/>
      <c r="C266" s="300"/>
      <c r="D266" s="301" t="str">
        <f>IFERROR(__xludf.DUMMYFUNCTION("if(ISBLANK(A266),"""",GOOGLEFINANCE(A266,""NAME""))"),"")</f>
        <v/>
      </c>
      <c r="E266" s="302">
        <v>5000.0</v>
      </c>
      <c r="F266" s="303" t="str">
        <f>IFERROR(__xludf.DUMMYFUNCTION("if(ISBLANK(A266),"""",GOOGLEFINANCE(A266,""HIGH52""))"),"")</f>
        <v/>
      </c>
      <c r="G266" s="303" t="str">
        <f>IFERROR(__xludf.DUMMYFUNCTION("if(ISBLANK(A266),"""",GOOGLEFINANCE(A266,""LOW52""))"),"")</f>
        <v/>
      </c>
      <c r="H266" s="304" t="str">
        <f>IFERROR(__xludf.DUMMYFUNCTION("if(ISBLANK(A266),"""",GOOGLEFINANCE(A266,""Price""))"),"")</f>
        <v/>
      </c>
      <c r="I266" s="305" t="str">
        <f t="shared" si="1"/>
        <v/>
      </c>
      <c r="J266" s="306" t="str">
        <f t="shared" si="2"/>
        <v/>
      </c>
      <c r="K266" s="307" t="str">
        <f>IFERROR(__xludf.DUMMYFUNCTION("if(ISBLANK(A266),"""",googlefinance(A266,""Marketcap"")/10000000)"),"")</f>
        <v/>
      </c>
      <c r="L266" s="309" t="str">
        <f t="shared" si="3"/>
        <v/>
      </c>
      <c r="M266" s="308" t="str">
        <f t="shared" si="4"/>
        <v/>
      </c>
      <c r="N266" s="309" t="str">
        <f t="shared" si="5"/>
        <v/>
      </c>
      <c r="O266" s="322" t="str">
        <f t="shared" si="6"/>
        <v/>
      </c>
      <c r="P266" s="308" t="str">
        <f t="shared" si="7"/>
        <v/>
      </c>
      <c r="Q266" s="311" t="str">
        <f t="shared" si="8"/>
        <v/>
      </c>
      <c r="R266" s="309" t="str">
        <f t="shared" si="9"/>
        <v/>
      </c>
      <c r="S266" s="308" t="str">
        <f t="shared" si="10"/>
        <v/>
      </c>
      <c r="T266" s="309" t="str">
        <f t="shared" si="11"/>
        <v/>
      </c>
      <c r="U266" s="309" t="str">
        <f t="shared" si="12"/>
        <v/>
      </c>
      <c r="V266" s="308" t="str">
        <f t="shared" si="13"/>
        <v/>
      </c>
      <c r="W266" s="309" t="str">
        <f t="shared" si="14"/>
        <v/>
      </c>
      <c r="X266" s="309" t="str">
        <f t="shared" si="15"/>
        <v/>
      </c>
      <c r="Y266" s="308" t="str">
        <f t="shared" si="16"/>
        <v/>
      </c>
      <c r="Z266" s="309" t="str">
        <f t="shared" si="17"/>
        <v/>
      </c>
      <c r="AA266" s="312" t="str">
        <f t="shared" si="18"/>
        <v/>
      </c>
      <c r="AB266" s="308" t="str">
        <f t="shared" si="19"/>
        <v/>
      </c>
      <c r="AC266" s="308" t="str">
        <f t="shared" si="20"/>
        <v/>
      </c>
      <c r="AD266" s="312" t="str">
        <f t="shared" si="21"/>
        <v/>
      </c>
      <c r="AE266" s="308" t="str">
        <f t="shared" si="22"/>
        <v/>
      </c>
      <c r="AF266" s="313" t="str">
        <f t="shared" si="23"/>
        <v/>
      </c>
      <c r="AG266" s="304" t="str">
        <f t="shared" si="24"/>
        <v/>
      </c>
      <c r="AH266" s="308" t="str">
        <f t="shared" si="25"/>
        <v/>
      </c>
      <c r="AI266" s="313" t="str">
        <f t="shared" si="26"/>
        <v/>
      </c>
      <c r="AJ266" s="304" t="str">
        <f t="shared" si="27"/>
        <v/>
      </c>
      <c r="AK266" s="308" t="str">
        <f t="shared" si="28"/>
        <v/>
      </c>
      <c r="AL266" s="308" t="str">
        <f t="shared" si="29"/>
        <v/>
      </c>
      <c r="AM266" s="304" t="str">
        <f t="shared" si="30"/>
        <v/>
      </c>
      <c r="AN266" s="308" t="str">
        <f t="shared" si="31"/>
        <v/>
      </c>
      <c r="AO266" s="313" t="str">
        <f t="shared" si="32"/>
        <v/>
      </c>
      <c r="AP266" s="304" t="str">
        <f t="shared" si="33"/>
        <v/>
      </c>
      <c r="AQ266" s="308" t="str">
        <f t="shared" si="34"/>
        <v/>
      </c>
      <c r="AR266" s="313" t="str">
        <f t="shared" si="35"/>
        <v/>
      </c>
      <c r="AS266" s="304" t="str">
        <f t="shared" si="36"/>
        <v/>
      </c>
      <c r="AT266" s="308" t="str">
        <f t="shared" si="37"/>
        <v/>
      </c>
      <c r="AU266" s="308" t="str">
        <f t="shared" si="38"/>
        <v/>
      </c>
      <c r="AV266" s="304" t="str">
        <f t="shared" si="39"/>
        <v/>
      </c>
      <c r="AW266" s="308" t="str">
        <f t="shared" si="40"/>
        <v/>
      </c>
      <c r="AX266" s="308" t="str">
        <f t="shared" si="41"/>
        <v/>
      </c>
      <c r="AY266" s="304" t="str">
        <f t="shared" si="42"/>
        <v/>
      </c>
      <c r="AZ266" s="308" t="str">
        <f t="shared" si="43"/>
        <v/>
      </c>
      <c r="BA266" s="313" t="str">
        <f t="shared" si="44"/>
        <v/>
      </c>
      <c r="BB266" s="304" t="str">
        <f t="shared" si="45"/>
        <v/>
      </c>
      <c r="BC266" s="308" t="str">
        <f t="shared" si="46"/>
        <v/>
      </c>
      <c r="BD266" s="308" t="str">
        <f t="shared" si="47"/>
        <v/>
      </c>
    </row>
    <row r="267">
      <c r="A267" s="298"/>
      <c r="B267" s="299"/>
      <c r="C267" s="300"/>
      <c r="D267" s="301" t="str">
        <f>IFERROR(__xludf.DUMMYFUNCTION("if(ISBLANK(A267),"""",GOOGLEFINANCE(A267,""NAME""))"),"")</f>
        <v/>
      </c>
      <c r="E267" s="302">
        <v>5000.0</v>
      </c>
      <c r="F267" s="303" t="str">
        <f>IFERROR(__xludf.DUMMYFUNCTION("if(ISBLANK(A267),"""",GOOGLEFINANCE(A267,""HIGH52""))"),"")</f>
        <v/>
      </c>
      <c r="G267" s="303" t="str">
        <f>IFERROR(__xludf.DUMMYFUNCTION("if(ISBLANK(A267),"""",GOOGLEFINANCE(A267,""LOW52""))"),"")</f>
        <v/>
      </c>
      <c r="H267" s="304" t="str">
        <f>IFERROR(__xludf.DUMMYFUNCTION("if(ISBLANK(A267),"""",GOOGLEFINANCE(A267,""Price""))"),"")</f>
        <v/>
      </c>
      <c r="I267" s="305" t="str">
        <f t="shared" si="1"/>
        <v/>
      </c>
      <c r="J267" s="306" t="str">
        <f t="shared" si="2"/>
        <v/>
      </c>
      <c r="K267" s="307" t="str">
        <f>IFERROR(__xludf.DUMMYFUNCTION("if(ISBLANK(A267),"""",googlefinance(A267,""Marketcap"")/10000000)"),"")</f>
        <v/>
      </c>
      <c r="L267" s="309" t="str">
        <f t="shared" si="3"/>
        <v/>
      </c>
      <c r="M267" s="308" t="str">
        <f t="shared" si="4"/>
        <v/>
      </c>
      <c r="N267" s="309" t="str">
        <f t="shared" si="5"/>
        <v/>
      </c>
      <c r="O267" s="322" t="str">
        <f t="shared" si="6"/>
        <v/>
      </c>
      <c r="P267" s="308" t="str">
        <f t="shared" si="7"/>
        <v/>
      </c>
      <c r="Q267" s="311" t="str">
        <f t="shared" si="8"/>
        <v/>
      </c>
      <c r="R267" s="309" t="str">
        <f t="shared" si="9"/>
        <v/>
      </c>
      <c r="S267" s="308" t="str">
        <f t="shared" si="10"/>
        <v/>
      </c>
      <c r="T267" s="309" t="str">
        <f t="shared" si="11"/>
        <v/>
      </c>
      <c r="U267" s="309" t="str">
        <f t="shared" si="12"/>
        <v/>
      </c>
      <c r="V267" s="308" t="str">
        <f t="shared" si="13"/>
        <v/>
      </c>
      <c r="W267" s="309" t="str">
        <f t="shared" si="14"/>
        <v/>
      </c>
      <c r="X267" s="309" t="str">
        <f t="shared" si="15"/>
        <v/>
      </c>
      <c r="Y267" s="308" t="str">
        <f t="shared" si="16"/>
        <v/>
      </c>
      <c r="Z267" s="309" t="str">
        <f t="shared" si="17"/>
        <v/>
      </c>
      <c r="AA267" s="312" t="str">
        <f t="shared" si="18"/>
        <v/>
      </c>
      <c r="AB267" s="308" t="str">
        <f t="shared" si="19"/>
        <v/>
      </c>
      <c r="AC267" s="308" t="str">
        <f t="shared" si="20"/>
        <v/>
      </c>
      <c r="AD267" s="312" t="str">
        <f t="shared" si="21"/>
        <v/>
      </c>
      <c r="AE267" s="308" t="str">
        <f t="shared" si="22"/>
        <v/>
      </c>
      <c r="AF267" s="313" t="str">
        <f t="shared" si="23"/>
        <v/>
      </c>
      <c r="AG267" s="304" t="str">
        <f t="shared" si="24"/>
        <v/>
      </c>
      <c r="AH267" s="308" t="str">
        <f t="shared" si="25"/>
        <v/>
      </c>
      <c r="AI267" s="313" t="str">
        <f t="shared" si="26"/>
        <v/>
      </c>
      <c r="AJ267" s="304" t="str">
        <f t="shared" si="27"/>
        <v/>
      </c>
      <c r="AK267" s="308" t="str">
        <f t="shared" si="28"/>
        <v/>
      </c>
      <c r="AL267" s="308" t="str">
        <f t="shared" si="29"/>
        <v/>
      </c>
      <c r="AM267" s="304" t="str">
        <f t="shared" si="30"/>
        <v/>
      </c>
      <c r="AN267" s="308" t="str">
        <f t="shared" si="31"/>
        <v/>
      </c>
      <c r="AO267" s="313" t="str">
        <f t="shared" si="32"/>
        <v/>
      </c>
      <c r="AP267" s="304" t="str">
        <f t="shared" si="33"/>
        <v/>
      </c>
      <c r="AQ267" s="308" t="str">
        <f t="shared" si="34"/>
        <v/>
      </c>
      <c r="AR267" s="313" t="str">
        <f t="shared" si="35"/>
        <v/>
      </c>
      <c r="AS267" s="304" t="str">
        <f t="shared" si="36"/>
        <v/>
      </c>
      <c r="AT267" s="308" t="str">
        <f t="shared" si="37"/>
        <v/>
      </c>
      <c r="AU267" s="308" t="str">
        <f t="shared" si="38"/>
        <v/>
      </c>
      <c r="AV267" s="304" t="str">
        <f t="shared" si="39"/>
        <v/>
      </c>
      <c r="AW267" s="308" t="str">
        <f t="shared" si="40"/>
        <v/>
      </c>
      <c r="AX267" s="308" t="str">
        <f t="shared" si="41"/>
        <v/>
      </c>
      <c r="AY267" s="304" t="str">
        <f t="shared" si="42"/>
        <v/>
      </c>
      <c r="AZ267" s="308" t="str">
        <f t="shared" si="43"/>
        <v/>
      </c>
      <c r="BA267" s="313" t="str">
        <f t="shared" si="44"/>
        <v/>
      </c>
      <c r="BB267" s="304" t="str">
        <f t="shared" si="45"/>
        <v/>
      </c>
      <c r="BC267" s="308" t="str">
        <f t="shared" si="46"/>
        <v/>
      </c>
      <c r="BD267" s="308" t="str">
        <f t="shared" si="47"/>
        <v/>
      </c>
    </row>
    <row r="268">
      <c r="A268" s="298"/>
      <c r="B268" s="299"/>
      <c r="C268" s="300"/>
      <c r="D268" s="301" t="str">
        <f>IFERROR(__xludf.DUMMYFUNCTION("if(ISBLANK(A268),"""",GOOGLEFINANCE(A268,""NAME""))"),"")</f>
        <v/>
      </c>
      <c r="E268" s="302">
        <v>5000.0</v>
      </c>
      <c r="F268" s="303" t="str">
        <f>IFERROR(__xludf.DUMMYFUNCTION("if(ISBLANK(A268),"""",GOOGLEFINANCE(A268,""HIGH52""))"),"")</f>
        <v/>
      </c>
      <c r="G268" s="303" t="str">
        <f>IFERROR(__xludf.DUMMYFUNCTION("if(ISBLANK(A268),"""",GOOGLEFINANCE(A268,""LOW52""))"),"")</f>
        <v/>
      </c>
      <c r="H268" s="304" t="str">
        <f>IFERROR(__xludf.DUMMYFUNCTION("if(ISBLANK(A268),"""",GOOGLEFINANCE(A268,""Price""))"),"")</f>
        <v/>
      </c>
      <c r="I268" s="305" t="str">
        <f t="shared" si="1"/>
        <v/>
      </c>
      <c r="J268" s="306" t="str">
        <f t="shared" si="2"/>
        <v/>
      </c>
      <c r="K268" s="307" t="str">
        <f>IFERROR(__xludf.DUMMYFUNCTION("if(ISBLANK(A268),"""",googlefinance(A268,""Marketcap"")/10000000)"),"")</f>
        <v/>
      </c>
      <c r="L268" s="309" t="str">
        <f t="shared" si="3"/>
        <v/>
      </c>
      <c r="M268" s="308" t="str">
        <f t="shared" si="4"/>
        <v/>
      </c>
      <c r="N268" s="309" t="str">
        <f t="shared" si="5"/>
        <v/>
      </c>
      <c r="O268" s="322" t="str">
        <f t="shared" si="6"/>
        <v/>
      </c>
      <c r="P268" s="308" t="str">
        <f t="shared" si="7"/>
        <v/>
      </c>
      <c r="Q268" s="311" t="str">
        <f t="shared" si="8"/>
        <v/>
      </c>
      <c r="R268" s="309" t="str">
        <f t="shared" si="9"/>
        <v/>
      </c>
      <c r="S268" s="308" t="str">
        <f t="shared" si="10"/>
        <v/>
      </c>
      <c r="T268" s="309" t="str">
        <f t="shared" si="11"/>
        <v/>
      </c>
      <c r="U268" s="309" t="str">
        <f t="shared" si="12"/>
        <v/>
      </c>
      <c r="V268" s="308" t="str">
        <f t="shared" si="13"/>
        <v/>
      </c>
      <c r="W268" s="309" t="str">
        <f t="shared" si="14"/>
        <v/>
      </c>
      <c r="X268" s="309" t="str">
        <f t="shared" si="15"/>
        <v/>
      </c>
      <c r="Y268" s="308" t="str">
        <f t="shared" si="16"/>
        <v/>
      </c>
      <c r="Z268" s="309" t="str">
        <f t="shared" si="17"/>
        <v/>
      </c>
      <c r="AA268" s="312" t="str">
        <f t="shared" si="18"/>
        <v/>
      </c>
      <c r="AB268" s="308" t="str">
        <f t="shared" si="19"/>
        <v/>
      </c>
      <c r="AC268" s="308" t="str">
        <f t="shared" si="20"/>
        <v/>
      </c>
      <c r="AD268" s="312" t="str">
        <f t="shared" si="21"/>
        <v/>
      </c>
      <c r="AE268" s="308" t="str">
        <f t="shared" si="22"/>
        <v/>
      </c>
      <c r="AF268" s="313" t="str">
        <f t="shared" si="23"/>
        <v/>
      </c>
      <c r="AG268" s="304" t="str">
        <f t="shared" si="24"/>
        <v/>
      </c>
      <c r="AH268" s="308" t="str">
        <f t="shared" si="25"/>
        <v/>
      </c>
      <c r="AI268" s="313" t="str">
        <f t="shared" si="26"/>
        <v/>
      </c>
      <c r="AJ268" s="304" t="str">
        <f t="shared" si="27"/>
        <v/>
      </c>
      <c r="AK268" s="308" t="str">
        <f t="shared" si="28"/>
        <v/>
      </c>
      <c r="AL268" s="308" t="str">
        <f t="shared" si="29"/>
        <v/>
      </c>
      <c r="AM268" s="304" t="str">
        <f t="shared" si="30"/>
        <v/>
      </c>
      <c r="AN268" s="308" t="str">
        <f t="shared" si="31"/>
        <v/>
      </c>
      <c r="AO268" s="313" t="str">
        <f t="shared" si="32"/>
        <v/>
      </c>
      <c r="AP268" s="304" t="str">
        <f t="shared" si="33"/>
        <v/>
      </c>
      <c r="AQ268" s="308" t="str">
        <f t="shared" si="34"/>
        <v/>
      </c>
      <c r="AR268" s="313" t="str">
        <f t="shared" si="35"/>
        <v/>
      </c>
      <c r="AS268" s="304" t="str">
        <f t="shared" si="36"/>
        <v/>
      </c>
      <c r="AT268" s="308" t="str">
        <f t="shared" si="37"/>
        <v/>
      </c>
      <c r="AU268" s="308" t="str">
        <f t="shared" si="38"/>
        <v/>
      </c>
      <c r="AV268" s="304" t="str">
        <f t="shared" si="39"/>
        <v/>
      </c>
      <c r="AW268" s="308" t="str">
        <f t="shared" si="40"/>
        <v/>
      </c>
      <c r="AX268" s="308" t="str">
        <f t="shared" si="41"/>
        <v/>
      </c>
      <c r="AY268" s="304" t="str">
        <f t="shared" si="42"/>
        <v/>
      </c>
      <c r="AZ268" s="308" t="str">
        <f t="shared" si="43"/>
        <v/>
      </c>
      <c r="BA268" s="313" t="str">
        <f t="shared" si="44"/>
        <v/>
      </c>
      <c r="BB268" s="304" t="str">
        <f t="shared" si="45"/>
        <v/>
      </c>
      <c r="BC268" s="308" t="str">
        <f t="shared" si="46"/>
        <v/>
      </c>
      <c r="BD268" s="308" t="str">
        <f t="shared" si="47"/>
        <v/>
      </c>
    </row>
    <row r="269">
      <c r="A269" s="298"/>
      <c r="B269" s="299"/>
      <c r="C269" s="300"/>
      <c r="D269" s="301" t="str">
        <f>IFERROR(__xludf.DUMMYFUNCTION("if(ISBLANK(A269),"""",GOOGLEFINANCE(A269,""NAME""))"),"")</f>
        <v/>
      </c>
      <c r="E269" s="302">
        <v>5000.0</v>
      </c>
      <c r="F269" s="303" t="str">
        <f>IFERROR(__xludf.DUMMYFUNCTION("if(ISBLANK(A269),"""",GOOGLEFINANCE(A269,""HIGH52""))"),"")</f>
        <v/>
      </c>
      <c r="G269" s="303" t="str">
        <f>IFERROR(__xludf.DUMMYFUNCTION("if(ISBLANK(A269),"""",GOOGLEFINANCE(A269,""LOW52""))"),"")</f>
        <v/>
      </c>
      <c r="H269" s="304" t="str">
        <f>IFERROR(__xludf.DUMMYFUNCTION("if(ISBLANK(A269),"""",GOOGLEFINANCE(A269,""Price""))"),"")</f>
        <v/>
      </c>
      <c r="I269" s="305" t="str">
        <f t="shared" si="1"/>
        <v/>
      </c>
      <c r="J269" s="306" t="str">
        <f t="shared" si="2"/>
        <v/>
      </c>
      <c r="K269" s="307" t="str">
        <f>IFERROR(__xludf.DUMMYFUNCTION("if(ISBLANK(A269),"""",googlefinance(A269,""Marketcap"")/10000000)"),"")</f>
        <v/>
      </c>
      <c r="L269" s="309" t="str">
        <f t="shared" si="3"/>
        <v/>
      </c>
      <c r="M269" s="308" t="str">
        <f t="shared" si="4"/>
        <v/>
      </c>
      <c r="N269" s="309" t="str">
        <f t="shared" si="5"/>
        <v/>
      </c>
      <c r="O269" s="322" t="str">
        <f t="shared" si="6"/>
        <v/>
      </c>
      <c r="P269" s="308" t="str">
        <f t="shared" si="7"/>
        <v/>
      </c>
      <c r="Q269" s="311" t="str">
        <f t="shared" si="8"/>
        <v/>
      </c>
      <c r="R269" s="309" t="str">
        <f t="shared" si="9"/>
        <v/>
      </c>
      <c r="S269" s="308" t="str">
        <f t="shared" si="10"/>
        <v/>
      </c>
      <c r="T269" s="309" t="str">
        <f t="shared" si="11"/>
        <v/>
      </c>
      <c r="U269" s="309" t="str">
        <f t="shared" si="12"/>
        <v/>
      </c>
      <c r="V269" s="308" t="str">
        <f t="shared" si="13"/>
        <v/>
      </c>
      <c r="W269" s="309" t="str">
        <f t="shared" si="14"/>
        <v/>
      </c>
      <c r="X269" s="309" t="str">
        <f t="shared" si="15"/>
        <v/>
      </c>
      <c r="Y269" s="308" t="str">
        <f t="shared" si="16"/>
        <v/>
      </c>
      <c r="Z269" s="309" t="str">
        <f t="shared" si="17"/>
        <v/>
      </c>
      <c r="AA269" s="312" t="str">
        <f t="shared" si="18"/>
        <v/>
      </c>
      <c r="AB269" s="308" t="str">
        <f t="shared" si="19"/>
        <v/>
      </c>
      <c r="AC269" s="308" t="str">
        <f t="shared" si="20"/>
        <v/>
      </c>
      <c r="AD269" s="312" t="str">
        <f t="shared" si="21"/>
        <v/>
      </c>
      <c r="AE269" s="308" t="str">
        <f t="shared" si="22"/>
        <v/>
      </c>
      <c r="AF269" s="313" t="str">
        <f t="shared" si="23"/>
        <v/>
      </c>
      <c r="AG269" s="304" t="str">
        <f t="shared" si="24"/>
        <v/>
      </c>
      <c r="AH269" s="308" t="str">
        <f t="shared" si="25"/>
        <v/>
      </c>
      <c r="AI269" s="313" t="str">
        <f t="shared" si="26"/>
        <v/>
      </c>
      <c r="AJ269" s="304" t="str">
        <f t="shared" si="27"/>
        <v/>
      </c>
      <c r="AK269" s="308" t="str">
        <f t="shared" si="28"/>
        <v/>
      </c>
      <c r="AL269" s="308" t="str">
        <f t="shared" si="29"/>
        <v/>
      </c>
      <c r="AM269" s="304" t="str">
        <f t="shared" si="30"/>
        <v/>
      </c>
      <c r="AN269" s="308" t="str">
        <f t="shared" si="31"/>
        <v/>
      </c>
      <c r="AO269" s="313" t="str">
        <f t="shared" si="32"/>
        <v/>
      </c>
      <c r="AP269" s="304" t="str">
        <f t="shared" si="33"/>
        <v/>
      </c>
      <c r="AQ269" s="308" t="str">
        <f t="shared" si="34"/>
        <v/>
      </c>
      <c r="AR269" s="313" t="str">
        <f t="shared" si="35"/>
        <v/>
      </c>
      <c r="AS269" s="304" t="str">
        <f t="shared" si="36"/>
        <v/>
      </c>
      <c r="AT269" s="308" t="str">
        <f t="shared" si="37"/>
        <v/>
      </c>
      <c r="AU269" s="308" t="str">
        <f t="shared" si="38"/>
        <v/>
      </c>
      <c r="AV269" s="304" t="str">
        <f t="shared" si="39"/>
        <v/>
      </c>
      <c r="AW269" s="308" t="str">
        <f t="shared" si="40"/>
        <v/>
      </c>
      <c r="AX269" s="308" t="str">
        <f t="shared" si="41"/>
        <v/>
      </c>
      <c r="AY269" s="304" t="str">
        <f t="shared" si="42"/>
        <v/>
      </c>
      <c r="AZ269" s="308" t="str">
        <f t="shared" si="43"/>
        <v/>
      </c>
      <c r="BA269" s="313" t="str">
        <f t="shared" si="44"/>
        <v/>
      </c>
      <c r="BB269" s="304" t="str">
        <f t="shared" si="45"/>
        <v/>
      </c>
      <c r="BC269" s="308" t="str">
        <f t="shared" si="46"/>
        <v/>
      </c>
      <c r="BD269" s="308" t="str">
        <f t="shared" si="47"/>
        <v/>
      </c>
    </row>
    <row r="270">
      <c r="A270" s="298"/>
      <c r="B270" s="299"/>
      <c r="C270" s="300"/>
      <c r="D270" s="301" t="str">
        <f>IFERROR(__xludf.DUMMYFUNCTION("if(ISBLANK(A270),"""",GOOGLEFINANCE(A270,""NAME""))"),"")</f>
        <v/>
      </c>
      <c r="E270" s="302">
        <v>5000.0</v>
      </c>
      <c r="F270" s="303" t="str">
        <f>IFERROR(__xludf.DUMMYFUNCTION("if(ISBLANK(A270),"""",GOOGLEFINANCE(A270,""HIGH52""))"),"")</f>
        <v/>
      </c>
      <c r="G270" s="303" t="str">
        <f>IFERROR(__xludf.DUMMYFUNCTION("if(ISBLANK(A270),"""",GOOGLEFINANCE(A270,""LOW52""))"),"")</f>
        <v/>
      </c>
      <c r="H270" s="304" t="str">
        <f>IFERROR(__xludf.DUMMYFUNCTION("if(ISBLANK(A270),"""",GOOGLEFINANCE(A270,""Price""))"),"")</f>
        <v/>
      </c>
      <c r="I270" s="305" t="str">
        <f t="shared" si="1"/>
        <v/>
      </c>
      <c r="J270" s="306" t="str">
        <f t="shared" si="2"/>
        <v/>
      </c>
      <c r="K270" s="307" t="str">
        <f>IFERROR(__xludf.DUMMYFUNCTION("if(ISBLANK(A270),"""",googlefinance(A270,""Marketcap"")/10000000)"),"")</f>
        <v/>
      </c>
      <c r="L270" s="309" t="str">
        <f t="shared" si="3"/>
        <v/>
      </c>
      <c r="M270" s="308" t="str">
        <f t="shared" si="4"/>
        <v/>
      </c>
      <c r="N270" s="309" t="str">
        <f t="shared" si="5"/>
        <v/>
      </c>
      <c r="O270" s="322" t="str">
        <f t="shared" si="6"/>
        <v/>
      </c>
      <c r="P270" s="308" t="str">
        <f t="shared" si="7"/>
        <v/>
      </c>
      <c r="Q270" s="311" t="str">
        <f t="shared" si="8"/>
        <v/>
      </c>
      <c r="R270" s="309" t="str">
        <f t="shared" si="9"/>
        <v/>
      </c>
      <c r="S270" s="308" t="str">
        <f t="shared" si="10"/>
        <v/>
      </c>
      <c r="T270" s="309" t="str">
        <f t="shared" si="11"/>
        <v/>
      </c>
      <c r="U270" s="309" t="str">
        <f t="shared" si="12"/>
        <v/>
      </c>
      <c r="V270" s="308" t="str">
        <f t="shared" si="13"/>
        <v/>
      </c>
      <c r="W270" s="309" t="str">
        <f t="shared" si="14"/>
        <v/>
      </c>
      <c r="X270" s="309" t="str">
        <f t="shared" si="15"/>
        <v/>
      </c>
      <c r="Y270" s="308" t="str">
        <f t="shared" si="16"/>
        <v/>
      </c>
      <c r="Z270" s="309" t="str">
        <f t="shared" si="17"/>
        <v/>
      </c>
      <c r="AA270" s="312" t="str">
        <f t="shared" si="18"/>
        <v/>
      </c>
      <c r="AB270" s="308" t="str">
        <f t="shared" si="19"/>
        <v/>
      </c>
      <c r="AC270" s="308" t="str">
        <f t="shared" si="20"/>
        <v/>
      </c>
      <c r="AD270" s="312" t="str">
        <f t="shared" si="21"/>
        <v/>
      </c>
      <c r="AE270" s="308" t="str">
        <f t="shared" si="22"/>
        <v/>
      </c>
      <c r="AF270" s="313" t="str">
        <f t="shared" si="23"/>
        <v/>
      </c>
      <c r="AG270" s="304" t="str">
        <f t="shared" si="24"/>
        <v/>
      </c>
      <c r="AH270" s="308" t="str">
        <f t="shared" si="25"/>
        <v/>
      </c>
      <c r="AI270" s="313" t="str">
        <f t="shared" si="26"/>
        <v/>
      </c>
      <c r="AJ270" s="304" t="str">
        <f t="shared" si="27"/>
        <v/>
      </c>
      <c r="AK270" s="308" t="str">
        <f t="shared" si="28"/>
        <v/>
      </c>
      <c r="AL270" s="308" t="str">
        <f t="shared" si="29"/>
        <v/>
      </c>
      <c r="AM270" s="304" t="str">
        <f t="shared" si="30"/>
        <v/>
      </c>
      <c r="AN270" s="308" t="str">
        <f t="shared" si="31"/>
        <v/>
      </c>
      <c r="AO270" s="313" t="str">
        <f t="shared" si="32"/>
        <v/>
      </c>
      <c r="AP270" s="304" t="str">
        <f t="shared" si="33"/>
        <v/>
      </c>
      <c r="AQ270" s="308" t="str">
        <f t="shared" si="34"/>
        <v/>
      </c>
      <c r="AR270" s="313" t="str">
        <f t="shared" si="35"/>
        <v/>
      </c>
      <c r="AS270" s="304" t="str">
        <f t="shared" si="36"/>
        <v/>
      </c>
      <c r="AT270" s="308" t="str">
        <f t="shared" si="37"/>
        <v/>
      </c>
      <c r="AU270" s="308" t="str">
        <f t="shared" si="38"/>
        <v/>
      </c>
      <c r="AV270" s="304" t="str">
        <f t="shared" si="39"/>
        <v/>
      </c>
      <c r="AW270" s="308" t="str">
        <f t="shared" si="40"/>
        <v/>
      </c>
      <c r="AX270" s="308" t="str">
        <f t="shared" si="41"/>
        <v/>
      </c>
      <c r="AY270" s="304" t="str">
        <f t="shared" si="42"/>
        <v/>
      </c>
      <c r="AZ270" s="308" t="str">
        <f t="shared" si="43"/>
        <v/>
      </c>
      <c r="BA270" s="313" t="str">
        <f t="shared" si="44"/>
        <v/>
      </c>
      <c r="BB270" s="304" t="str">
        <f t="shared" si="45"/>
        <v/>
      </c>
      <c r="BC270" s="308" t="str">
        <f t="shared" si="46"/>
        <v/>
      </c>
      <c r="BD270" s="308" t="str">
        <f t="shared" si="47"/>
        <v/>
      </c>
    </row>
    <row r="271">
      <c r="A271" s="298"/>
      <c r="B271" s="299"/>
      <c r="C271" s="300"/>
      <c r="D271" s="301" t="str">
        <f>IFERROR(__xludf.DUMMYFUNCTION("if(ISBLANK(A271),"""",GOOGLEFINANCE(A271,""NAME""))"),"")</f>
        <v/>
      </c>
      <c r="E271" s="302">
        <v>5000.0</v>
      </c>
      <c r="F271" s="303" t="str">
        <f>IFERROR(__xludf.DUMMYFUNCTION("if(ISBLANK(A271),"""",GOOGLEFINANCE(A271,""HIGH52""))"),"")</f>
        <v/>
      </c>
      <c r="G271" s="303" t="str">
        <f>IFERROR(__xludf.DUMMYFUNCTION("if(ISBLANK(A271),"""",GOOGLEFINANCE(A271,""LOW52""))"),"")</f>
        <v/>
      </c>
      <c r="H271" s="304" t="str">
        <f>IFERROR(__xludf.DUMMYFUNCTION("if(ISBLANK(A271),"""",GOOGLEFINANCE(A271,""Price""))"),"")</f>
        <v/>
      </c>
      <c r="I271" s="305" t="str">
        <f t="shared" si="1"/>
        <v/>
      </c>
      <c r="J271" s="306" t="str">
        <f t="shared" si="2"/>
        <v/>
      </c>
      <c r="K271" s="307" t="str">
        <f>IFERROR(__xludf.DUMMYFUNCTION("if(ISBLANK(A271),"""",googlefinance(A271,""Marketcap"")/10000000)"),"")</f>
        <v/>
      </c>
      <c r="L271" s="309" t="str">
        <f t="shared" si="3"/>
        <v/>
      </c>
      <c r="M271" s="308" t="str">
        <f t="shared" si="4"/>
        <v/>
      </c>
      <c r="N271" s="309" t="str">
        <f t="shared" si="5"/>
        <v/>
      </c>
      <c r="O271" s="322" t="str">
        <f t="shared" si="6"/>
        <v/>
      </c>
      <c r="P271" s="308" t="str">
        <f t="shared" si="7"/>
        <v/>
      </c>
      <c r="Q271" s="311" t="str">
        <f t="shared" si="8"/>
        <v/>
      </c>
      <c r="R271" s="309" t="str">
        <f t="shared" si="9"/>
        <v/>
      </c>
      <c r="S271" s="308" t="str">
        <f t="shared" si="10"/>
        <v/>
      </c>
      <c r="T271" s="309" t="str">
        <f t="shared" si="11"/>
        <v/>
      </c>
      <c r="U271" s="309" t="str">
        <f t="shared" si="12"/>
        <v/>
      </c>
      <c r="V271" s="308" t="str">
        <f t="shared" si="13"/>
        <v/>
      </c>
      <c r="W271" s="309" t="str">
        <f t="shared" si="14"/>
        <v/>
      </c>
      <c r="X271" s="309" t="str">
        <f t="shared" si="15"/>
        <v/>
      </c>
      <c r="Y271" s="308" t="str">
        <f t="shared" si="16"/>
        <v/>
      </c>
      <c r="Z271" s="309" t="str">
        <f t="shared" si="17"/>
        <v/>
      </c>
      <c r="AA271" s="312" t="str">
        <f t="shared" si="18"/>
        <v/>
      </c>
      <c r="AB271" s="308" t="str">
        <f t="shared" si="19"/>
        <v/>
      </c>
      <c r="AC271" s="308" t="str">
        <f t="shared" si="20"/>
        <v/>
      </c>
      <c r="AD271" s="312" t="str">
        <f t="shared" si="21"/>
        <v/>
      </c>
      <c r="AE271" s="308" t="str">
        <f t="shared" si="22"/>
        <v/>
      </c>
      <c r="AF271" s="313" t="str">
        <f t="shared" si="23"/>
        <v/>
      </c>
      <c r="AG271" s="304" t="str">
        <f t="shared" si="24"/>
        <v/>
      </c>
      <c r="AH271" s="308" t="str">
        <f t="shared" si="25"/>
        <v/>
      </c>
      <c r="AI271" s="313" t="str">
        <f t="shared" si="26"/>
        <v/>
      </c>
      <c r="AJ271" s="304" t="str">
        <f t="shared" si="27"/>
        <v/>
      </c>
      <c r="AK271" s="308" t="str">
        <f t="shared" si="28"/>
        <v/>
      </c>
      <c r="AL271" s="308" t="str">
        <f t="shared" si="29"/>
        <v/>
      </c>
      <c r="AM271" s="304" t="str">
        <f t="shared" si="30"/>
        <v/>
      </c>
      <c r="AN271" s="308" t="str">
        <f t="shared" si="31"/>
        <v/>
      </c>
      <c r="AO271" s="313" t="str">
        <f t="shared" si="32"/>
        <v/>
      </c>
      <c r="AP271" s="304" t="str">
        <f t="shared" si="33"/>
        <v/>
      </c>
      <c r="AQ271" s="308" t="str">
        <f t="shared" si="34"/>
        <v/>
      </c>
      <c r="AR271" s="313" t="str">
        <f t="shared" si="35"/>
        <v/>
      </c>
      <c r="AS271" s="304" t="str">
        <f t="shared" si="36"/>
        <v/>
      </c>
      <c r="AT271" s="308" t="str">
        <f t="shared" si="37"/>
        <v/>
      </c>
      <c r="AU271" s="308" t="str">
        <f t="shared" si="38"/>
        <v/>
      </c>
      <c r="AV271" s="304" t="str">
        <f t="shared" si="39"/>
        <v/>
      </c>
      <c r="AW271" s="308" t="str">
        <f t="shared" si="40"/>
        <v/>
      </c>
      <c r="AX271" s="308" t="str">
        <f t="shared" si="41"/>
        <v/>
      </c>
      <c r="AY271" s="304" t="str">
        <f t="shared" si="42"/>
        <v/>
      </c>
      <c r="AZ271" s="308" t="str">
        <f t="shared" si="43"/>
        <v/>
      </c>
      <c r="BA271" s="313" t="str">
        <f t="shared" si="44"/>
        <v/>
      </c>
      <c r="BB271" s="304" t="str">
        <f t="shared" si="45"/>
        <v/>
      </c>
      <c r="BC271" s="308" t="str">
        <f t="shared" si="46"/>
        <v/>
      </c>
      <c r="BD271" s="308" t="str">
        <f t="shared" si="47"/>
        <v/>
      </c>
    </row>
    <row r="272">
      <c r="A272" s="298"/>
      <c r="B272" s="299"/>
      <c r="C272" s="300"/>
      <c r="D272" s="301" t="str">
        <f>IFERROR(__xludf.DUMMYFUNCTION("if(ISBLANK(A272),"""",GOOGLEFINANCE(A272,""NAME""))"),"")</f>
        <v/>
      </c>
      <c r="E272" s="302">
        <v>5000.0</v>
      </c>
      <c r="F272" s="303" t="str">
        <f>IFERROR(__xludf.DUMMYFUNCTION("if(ISBLANK(A272),"""",GOOGLEFINANCE(A272,""HIGH52""))"),"")</f>
        <v/>
      </c>
      <c r="G272" s="303" t="str">
        <f>IFERROR(__xludf.DUMMYFUNCTION("if(ISBLANK(A272),"""",GOOGLEFINANCE(A272,""LOW52""))"),"")</f>
        <v/>
      </c>
      <c r="H272" s="304" t="str">
        <f>IFERROR(__xludf.DUMMYFUNCTION("if(ISBLANK(A272),"""",GOOGLEFINANCE(A272,""Price""))"),"")</f>
        <v/>
      </c>
      <c r="I272" s="305" t="str">
        <f t="shared" si="1"/>
        <v/>
      </c>
      <c r="J272" s="306" t="str">
        <f t="shared" si="2"/>
        <v/>
      </c>
      <c r="K272" s="307" t="str">
        <f>IFERROR(__xludf.DUMMYFUNCTION("if(ISBLANK(A272),"""",googlefinance(A272,""Marketcap"")/10000000)"),"")</f>
        <v/>
      </c>
      <c r="L272" s="309" t="str">
        <f t="shared" si="3"/>
        <v/>
      </c>
      <c r="M272" s="308" t="str">
        <f t="shared" si="4"/>
        <v/>
      </c>
      <c r="N272" s="309" t="str">
        <f t="shared" si="5"/>
        <v/>
      </c>
      <c r="O272" s="322" t="str">
        <f t="shared" si="6"/>
        <v/>
      </c>
      <c r="P272" s="308" t="str">
        <f t="shared" si="7"/>
        <v/>
      </c>
      <c r="Q272" s="311" t="str">
        <f t="shared" si="8"/>
        <v/>
      </c>
      <c r="R272" s="309" t="str">
        <f t="shared" si="9"/>
        <v/>
      </c>
      <c r="S272" s="308" t="str">
        <f t="shared" si="10"/>
        <v/>
      </c>
      <c r="T272" s="309" t="str">
        <f t="shared" si="11"/>
        <v/>
      </c>
      <c r="U272" s="309" t="str">
        <f t="shared" si="12"/>
        <v/>
      </c>
      <c r="V272" s="308" t="str">
        <f t="shared" si="13"/>
        <v/>
      </c>
      <c r="W272" s="309" t="str">
        <f t="shared" si="14"/>
        <v/>
      </c>
      <c r="X272" s="309" t="str">
        <f t="shared" si="15"/>
        <v/>
      </c>
      <c r="Y272" s="308" t="str">
        <f t="shared" si="16"/>
        <v/>
      </c>
      <c r="Z272" s="309" t="str">
        <f t="shared" si="17"/>
        <v/>
      </c>
      <c r="AA272" s="312" t="str">
        <f t="shared" si="18"/>
        <v/>
      </c>
      <c r="AB272" s="308" t="str">
        <f t="shared" si="19"/>
        <v/>
      </c>
      <c r="AC272" s="308" t="str">
        <f t="shared" si="20"/>
        <v/>
      </c>
      <c r="AD272" s="312" t="str">
        <f t="shared" si="21"/>
        <v/>
      </c>
      <c r="AE272" s="308" t="str">
        <f t="shared" si="22"/>
        <v/>
      </c>
      <c r="AF272" s="313" t="str">
        <f t="shared" si="23"/>
        <v/>
      </c>
      <c r="AG272" s="304" t="str">
        <f t="shared" si="24"/>
        <v/>
      </c>
      <c r="AH272" s="308" t="str">
        <f t="shared" si="25"/>
        <v/>
      </c>
      <c r="AI272" s="313" t="str">
        <f t="shared" si="26"/>
        <v/>
      </c>
      <c r="AJ272" s="304" t="str">
        <f t="shared" si="27"/>
        <v/>
      </c>
      <c r="AK272" s="308" t="str">
        <f t="shared" si="28"/>
        <v/>
      </c>
      <c r="AL272" s="308" t="str">
        <f t="shared" si="29"/>
        <v/>
      </c>
      <c r="AM272" s="304" t="str">
        <f t="shared" si="30"/>
        <v/>
      </c>
      <c r="AN272" s="308" t="str">
        <f t="shared" si="31"/>
        <v/>
      </c>
      <c r="AO272" s="313" t="str">
        <f t="shared" si="32"/>
        <v/>
      </c>
      <c r="AP272" s="304" t="str">
        <f t="shared" si="33"/>
        <v/>
      </c>
      <c r="AQ272" s="308" t="str">
        <f t="shared" si="34"/>
        <v/>
      </c>
      <c r="AR272" s="313" t="str">
        <f t="shared" si="35"/>
        <v/>
      </c>
      <c r="AS272" s="304" t="str">
        <f t="shared" si="36"/>
        <v/>
      </c>
      <c r="AT272" s="308" t="str">
        <f t="shared" si="37"/>
        <v/>
      </c>
      <c r="AU272" s="308" t="str">
        <f t="shared" si="38"/>
        <v/>
      </c>
      <c r="AV272" s="304" t="str">
        <f t="shared" si="39"/>
        <v/>
      </c>
      <c r="AW272" s="308" t="str">
        <f t="shared" si="40"/>
        <v/>
      </c>
      <c r="AX272" s="308" t="str">
        <f t="shared" si="41"/>
        <v/>
      </c>
      <c r="AY272" s="304" t="str">
        <f t="shared" si="42"/>
        <v/>
      </c>
      <c r="AZ272" s="308" t="str">
        <f t="shared" si="43"/>
        <v/>
      </c>
      <c r="BA272" s="313" t="str">
        <f t="shared" si="44"/>
        <v/>
      </c>
      <c r="BB272" s="304" t="str">
        <f t="shared" si="45"/>
        <v/>
      </c>
      <c r="BC272" s="308" t="str">
        <f t="shared" si="46"/>
        <v/>
      </c>
      <c r="BD272" s="308" t="str">
        <f t="shared" si="47"/>
        <v/>
      </c>
    </row>
    <row r="273">
      <c r="A273" s="298"/>
      <c r="B273" s="299"/>
      <c r="C273" s="300"/>
      <c r="D273" s="301" t="str">
        <f>IFERROR(__xludf.DUMMYFUNCTION("if(ISBLANK(A273),"""",GOOGLEFINANCE(A273,""NAME""))"),"")</f>
        <v/>
      </c>
      <c r="E273" s="302">
        <v>5000.0</v>
      </c>
      <c r="F273" s="303" t="str">
        <f>IFERROR(__xludf.DUMMYFUNCTION("if(ISBLANK(A273),"""",GOOGLEFINANCE(A273,""HIGH52""))"),"")</f>
        <v/>
      </c>
      <c r="G273" s="303" t="str">
        <f>IFERROR(__xludf.DUMMYFUNCTION("if(ISBLANK(A273),"""",GOOGLEFINANCE(A273,""LOW52""))"),"")</f>
        <v/>
      </c>
      <c r="H273" s="304" t="str">
        <f>IFERROR(__xludf.DUMMYFUNCTION("if(ISBLANK(A273),"""",GOOGLEFINANCE(A273,""Price""))"),"")</f>
        <v/>
      </c>
      <c r="I273" s="305" t="str">
        <f t="shared" si="1"/>
        <v/>
      </c>
      <c r="J273" s="306" t="str">
        <f t="shared" si="2"/>
        <v/>
      </c>
      <c r="K273" s="307" t="str">
        <f>IFERROR(__xludf.DUMMYFUNCTION("if(ISBLANK(A273),"""",googlefinance(A273,""Marketcap"")/10000000)"),"")</f>
        <v/>
      </c>
      <c r="L273" s="309" t="str">
        <f t="shared" si="3"/>
        <v/>
      </c>
      <c r="M273" s="308" t="str">
        <f t="shared" si="4"/>
        <v/>
      </c>
      <c r="N273" s="309" t="str">
        <f t="shared" si="5"/>
        <v/>
      </c>
      <c r="O273" s="322" t="str">
        <f t="shared" si="6"/>
        <v/>
      </c>
      <c r="P273" s="308" t="str">
        <f t="shared" si="7"/>
        <v/>
      </c>
      <c r="Q273" s="311" t="str">
        <f t="shared" si="8"/>
        <v/>
      </c>
      <c r="R273" s="309" t="str">
        <f t="shared" si="9"/>
        <v/>
      </c>
      <c r="S273" s="308" t="str">
        <f t="shared" si="10"/>
        <v/>
      </c>
      <c r="T273" s="309" t="str">
        <f t="shared" si="11"/>
        <v/>
      </c>
      <c r="U273" s="309" t="str">
        <f t="shared" si="12"/>
        <v/>
      </c>
      <c r="V273" s="308" t="str">
        <f t="shared" si="13"/>
        <v/>
      </c>
      <c r="W273" s="309" t="str">
        <f t="shared" si="14"/>
        <v/>
      </c>
      <c r="X273" s="309" t="str">
        <f t="shared" si="15"/>
        <v/>
      </c>
      <c r="Y273" s="308" t="str">
        <f t="shared" si="16"/>
        <v/>
      </c>
      <c r="Z273" s="309" t="str">
        <f t="shared" si="17"/>
        <v/>
      </c>
      <c r="AA273" s="312" t="str">
        <f t="shared" si="18"/>
        <v/>
      </c>
      <c r="AB273" s="308" t="str">
        <f t="shared" si="19"/>
        <v/>
      </c>
      <c r="AC273" s="308" t="str">
        <f t="shared" si="20"/>
        <v/>
      </c>
      <c r="AD273" s="312" t="str">
        <f t="shared" si="21"/>
        <v/>
      </c>
      <c r="AE273" s="308" t="str">
        <f t="shared" si="22"/>
        <v/>
      </c>
      <c r="AF273" s="313" t="str">
        <f t="shared" si="23"/>
        <v/>
      </c>
      <c r="AG273" s="304" t="str">
        <f t="shared" si="24"/>
        <v/>
      </c>
      <c r="AH273" s="308" t="str">
        <f t="shared" si="25"/>
        <v/>
      </c>
      <c r="AI273" s="313" t="str">
        <f t="shared" si="26"/>
        <v/>
      </c>
      <c r="AJ273" s="304" t="str">
        <f t="shared" si="27"/>
        <v/>
      </c>
      <c r="AK273" s="308" t="str">
        <f t="shared" si="28"/>
        <v/>
      </c>
      <c r="AL273" s="308" t="str">
        <f t="shared" si="29"/>
        <v/>
      </c>
      <c r="AM273" s="304" t="str">
        <f t="shared" si="30"/>
        <v/>
      </c>
      <c r="AN273" s="308" t="str">
        <f t="shared" si="31"/>
        <v/>
      </c>
      <c r="AO273" s="313" t="str">
        <f t="shared" si="32"/>
        <v/>
      </c>
      <c r="AP273" s="304" t="str">
        <f t="shared" si="33"/>
        <v/>
      </c>
      <c r="AQ273" s="308" t="str">
        <f t="shared" si="34"/>
        <v/>
      </c>
      <c r="AR273" s="313" t="str">
        <f t="shared" si="35"/>
        <v/>
      </c>
      <c r="AS273" s="304" t="str">
        <f t="shared" si="36"/>
        <v/>
      </c>
      <c r="AT273" s="308" t="str">
        <f t="shared" si="37"/>
        <v/>
      </c>
      <c r="AU273" s="308" t="str">
        <f t="shared" si="38"/>
        <v/>
      </c>
      <c r="AV273" s="304" t="str">
        <f t="shared" si="39"/>
        <v/>
      </c>
      <c r="AW273" s="308" t="str">
        <f t="shared" si="40"/>
        <v/>
      </c>
      <c r="AX273" s="308" t="str">
        <f t="shared" si="41"/>
        <v/>
      </c>
      <c r="AY273" s="304" t="str">
        <f t="shared" si="42"/>
        <v/>
      </c>
      <c r="AZ273" s="308" t="str">
        <f t="shared" si="43"/>
        <v/>
      </c>
      <c r="BA273" s="313" t="str">
        <f t="shared" si="44"/>
        <v/>
      </c>
      <c r="BB273" s="304" t="str">
        <f t="shared" si="45"/>
        <v/>
      </c>
      <c r="BC273" s="308" t="str">
        <f t="shared" si="46"/>
        <v/>
      </c>
      <c r="BD273" s="308" t="str">
        <f t="shared" si="47"/>
        <v/>
      </c>
    </row>
    <row r="274">
      <c r="A274" s="298"/>
      <c r="B274" s="299"/>
      <c r="C274" s="300"/>
      <c r="D274" s="301" t="str">
        <f>IFERROR(__xludf.DUMMYFUNCTION("if(ISBLANK(A274),"""",GOOGLEFINANCE(A274,""NAME""))"),"")</f>
        <v/>
      </c>
      <c r="E274" s="302">
        <v>5000.0</v>
      </c>
      <c r="F274" s="303" t="str">
        <f>IFERROR(__xludf.DUMMYFUNCTION("if(ISBLANK(A274),"""",GOOGLEFINANCE(A274,""HIGH52""))"),"")</f>
        <v/>
      </c>
      <c r="G274" s="303" t="str">
        <f>IFERROR(__xludf.DUMMYFUNCTION("if(ISBLANK(A274),"""",GOOGLEFINANCE(A274,""LOW52""))"),"")</f>
        <v/>
      </c>
      <c r="H274" s="304" t="str">
        <f>IFERROR(__xludf.DUMMYFUNCTION("if(ISBLANK(A274),"""",GOOGLEFINANCE(A274,""Price""))"),"")</f>
        <v/>
      </c>
      <c r="I274" s="305" t="str">
        <f t="shared" si="1"/>
        <v/>
      </c>
      <c r="J274" s="306" t="str">
        <f t="shared" si="2"/>
        <v/>
      </c>
      <c r="K274" s="307" t="str">
        <f>IFERROR(__xludf.DUMMYFUNCTION("if(ISBLANK(A274),"""",googlefinance(A274,""Marketcap"")/10000000)"),"")</f>
        <v/>
      </c>
      <c r="L274" s="309" t="str">
        <f t="shared" si="3"/>
        <v/>
      </c>
      <c r="M274" s="308" t="str">
        <f t="shared" si="4"/>
        <v/>
      </c>
      <c r="N274" s="309" t="str">
        <f t="shared" si="5"/>
        <v/>
      </c>
      <c r="O274" s="322" t="str">
        <f t="shared" si="6"/>
        <v/>
      </c>
      <c r="P274" s="308" t="str">
        <f t="shared" si="7"/>
        <v/>
      </c>
      <c r="Q274" s="311" t="str">
        <f t="shared" si="8"/>
        <v/>
      </c>
      <c r="R274" s="309" t="str">
        <f t="shared" si="9"/>
        <v/>
      </c>
      <c r="S274" s="308" t="str">
        <f t="shared" si="10"/>
        <v/>
      </c>
      <c r="T274" s="309" t="str">
        <f t="shared" si="11"/>
        <v/>
      </c>
      <c r="U274" s="309" t="str">
        <f t="shared" si="12"/>
        <v/>
      </c>
      <c r="V274" s="308" t="str">
        <f t="shared" si="13"/>
        <v/>
      </c>
      <c r="W274" s="309" t="str">
        <f t="shared" si="14"/>
        <v/>
      </c>
      <c r="X274" s="309" t="str">
        <f t="shared" si="15"/>
        <v/>
      </c>
      <c r="Y274" s="308" t="str">
        <f t="shared" si="16"/>
        <v/>
      </c>
      <c r="Z274" s="309" t="str">
        <f t="shared" si="17"/>
        <v/>
      </c>
      <c r="AA274" s="312" t="str">
        <f t="shared" si="18"/>
        <v/>
      </c>
      <c r="AB274" s="308" t="str">
        <f t="shared" si="19"/>
        <v/>
      </c>
      <c r="AC274" s="308" t="str">
        <f t="shared" si="20"/>
        <v/>
      </c>
      <c r="AD274" s="312" t="str">
        <f t="shared" si="21"/>
        <v/>
      </c>
      <c r="AE274" s="308" t="str">
        <f t="shared" si="22"/>
        <v/>
      </c>
      <c r="AF274" s="313" t="str">
        <f t="shared" si="23"/>
        <v/>
      </c>
      <c r="AG274" s="304" t="str">
        <f t="shared" si="24"/>
        <v/>
      </c>
      <c r="AH274" s="308" t="str">
        <f t="shared" si="25"/>
        <v/>
      </c>
      <c r="AI274" s="313" t="str">
        <f t="shared" si="26"/>
        <v/>
      </c>
      <c r="AJ274" s="304" t="str">
        <f t="shared" si="27"/>
        <v/>
      </c>
      <c r="AK274" s="308" t="str">
        <f t="shared" si="28"/>
        <v/>
      </c>
      <c r="AL274" s="308" t="str">
        <f t="shared" si="29"/>
        <v/>
      </c>
      <c r="AM274" s="304" t="str">
        <f t="shared" si="30"/>
        <v/>
      </c>
      <c r="AN274" s="308" t="str">
        <f t="shared" si="31"/>
        <v/>
      </c>
      <c r="AO274" s="313" t="str">
        <f t="shared" si="32"/>
        <v/>
      </c>
      <c r="AP274" s="304" t="str">
        <f t="shared" si="33"/>
        <v/>
      </c>
      <c r="AQ274" s="308" t="str">
        <f t="shared" si="34"/>
        <v/>
      </c>
      <c r="AR274" s="313" t="str">
        <f t="shared" si="35"/>
        <v/>
      </c>
      <c r="AS274" s="304" t="str">
        <f t="shared" si="36"/>
        <v/>
      </c>
      <c r="AT274" s="308" t="str">
        <f t="shared" si="37"/>
        <v/>
      </c>
      <c r="AU274" s="308" t="str">
        <f t="shared" si="38"/>
        <v/>
      </c>
      <c r="AV274" s="304" t="str">
        <f t="shared" si="39"/>
        <v/>
      </c>
      <c r="AW274" s="308" t="str">
        <f t="shared" si="40"/>
        <v/>
      </c>
      <c r="AX274" s="308" t="str">
        <f t="shared" si="41"/>
        <v/>
      </c>
      <c r="AY274" s="304" t="str">
        <f t="shared" si="42"/>
        <v/>
      </c>
      <c r="AZ274" s="308" t="str">
        <f t="shared" si="43"/>
        <v/>
      </c>
      <c r="BA274" s="313" t="str">
        <f t="shared" si="44"/>
        <v/>
      </c>
      <c r="BB274" s="304" t="str">
        <f t="shared" si="45"/>
        <v/>
      </c>
      <c r="BC274" s="308" t="str">
        <f t="shared" si="46"/>
        <v/>
      </c>
      <c r="BD274" s="308" t="str">
        <f t="shared" si="47"/>
        <v/>
      </c>
    </row>
    <row r="275">
      <c r="A275" s="298"/>
      <c r="B275" s="299"/>
      <c r="C275" s="300"/>
      <c r="D275" s="301" t="str">
        <f>IFERROR(__xludf.DUMMYFUNCTION("if(ISBLANK(A275),"""",GOOGLEFINANCE(A275,""NAME""))"),"")</f>
        <v/>
      </c>
      <c r="E275" s="302">
        <v>5000.0</v>
      </c>
      <c r="F275" s="303" t="str">
        <f>IFERROR(__xludf.DUMMYFUNCTION("if(ISBLANK(A275),"""",GOOGLEFINANCE(A275,""HIGH52""))"),"")</f>
        <v/>
      </c>
      <c r="G275" s="303" t="str">
        <f>IFERROR(__xludf.DUMMYFUNCTION("if(ISBLANK(A275),"""",GOOGLEFINANCE(A275,""LOW52""))"),"")</f>
        <v/>
      </c>
      <c r="H275" s="304" t="str">
        <f>IFERROR(__xludf.DUMMYFUNCTION("if(ISBLANK(A275),"""",GOOGLEFINANCE(A275,""Price""))"),"")</f>
        <v/>
      </c>
      <c r="I275" s="305" t="str">
        <f t="shared" si="1"/>
        <v/>
      </c>
      <c r="J275" s="306" t="str">
        <f t="shared" si="2"/>
        <v/>
      </c>
      <c r="K275" s="307" t="str">
        <f>IFERROR(__xludf.DUMMYFUNCTION("if(ISBLANK(A275),"""",googlefinance(A275,""Marketcap"")/10000000)"),"")</f>
        <v/>
      </c>
      <c r="L275" s="309" t="str">
        <f t="shared" si="3"/>
        <v/>
      </c>
      <c r="M275" s="308" t="str">
        <f t="shared" si="4"/>
        <v/>
      </c>
      <c r="N275" s="309" t="str">
        <f t="shared" si="5"/>
        <v/>
      </c>
      <c r="O275" s="322" t="str">
        <f t="shared" si="6"/>
        <v/>
      </c>
      <c r="P275" s="308" t="str">
        <f t="shared" si="7"/>
        <v/>
      </c>
      <c r="Q275" s="311" t="str">
        <f t="shared" si="8"/>
        <v/>
      </c>
      <c r="R275" s="309" t="str">
        <f t="shared" si="9"/>
        <v/>
      </c>
      <c r="S275" s="308" t="str">
        <f t="shared" si="10"/>
        <v/>
      </c>
      <c r="T275" s="309" t="str">
        <f t="shared" si="11"/>
        <v/>
      </c>
      <c r="U275" s="309" t="str">
        <f t="shared" si="12"/>
        <v/>
      </c>
      <c r="V275" s="308" t="str">
        <f t="shared" si="13"/>
        <v/>
      </c>
      <c r="W275" s="309" t="str">
        <f t="shared" si="14"/>
        <v/>
      </c>
      <c r="X275" s="309" t="str">
        <f t="shared" si="15"/>
        <v/>
      </c>
      <c r="Y275" s="308" t="str">
        <f t="shared" si="16"/>
        <v/>
      </c>
      <c r="Z275" s="309" t="str">
        <f t="shared" si="17"/>
        <v/>
      </c>
      <c r="AA275" s="312" t="str">
        <f t="shared" si="18"/>
        <v/>
      </c>
      <c r="AB275" s="308" t="str">
        <f t="shared" si="19"/>
        <v/>
      </c>
      <c r="AC275" s="308" t="str">
        <f t="shared" si="20"/>
        <v/>
      </c>
      <c r="AD275" s="312" t="str">
        <f t="shared" si="21"/>
        <v/>
      </c>
      <c r="AE275" s="308" t="str">
        <f t="shared" si="22"/>
        <v/>
      </c>
      <c r="AF275" s="313" t="str">
        <f t="shared" si="23"/>
        <v/>
      </c>
      <c r="AG275" s="304" t="str">
        <f t="shared" si="24"/>
        <v/>
      </c>
      <c r="AH275" s="308" t="str">
        <f t="shared" si="25"/>
        <v/>
      </c>
      <c r="AI275" s="313" t="str">
        <f t="shared" si="26"/>
        <v/>
      </c>
      <c r="AJ275" s="304" t="str">
        <f t="shared" si="27"/>
        <v/>
      </c>
      <c r="AK275" s="308" t="str">
        <f t="shared" si="28"/>
        <v/>
      </c>
      <c r="AL275" s="308" t="str">
        <f t="shared" si="29"/>
        <v/>
      </c>
      <c r="AM275" s="304" t="str">
        <f t="shared" si="30"/>
        <v/>
      </c>
      <c r="AN275" s="308" t="str">
        <f t="shared" si="31"/>
        <v/>
      </c>
      <c r="AO275" s="313" t="str">
        <f t="shared" si="32"/>
        <v/>
      </c>
      <c r="AP275" s="304" t="str">
        <f t="shared" si="33"/>
        <v/>
      </c>
      <c r="AQ275" s="308" t="str">
        <f t="shared" si="34"/>
        <v/>
      </c>
      <c r="AR275" s="313" t="str">
        <f t="shared" si="35"/>
        <v/>
      </c>
      <c r="AS275" s="304" t="str">
        <f t="shared" si="36"/>
        <v/>
      </c>
      <c r="AT275" s="308" t="str">
        <f t="shared" si="37"/>
        <v/>
      </c>
      <c r="AU275" s="308" t="str">
        <f t="shared" si="38"/>
        <v/>
      </c>
      <c r="AV275" s="304" t="str">
        <f t="shared" si="39"/>
        <v/>
      </c>
      <c r="AW275" s="308" t="str">
        <f t="shared" si="40"/>
        <v/>
      </c>
      <c r="AX275" s="308" t="str">
        <f t="shared" si="41"/>
        <v/>
      </c>
      <c r="AY275" s="304" t="str">
        <f t="shared" si="42"/>
        <v/>
      </c>
      <c r="AZ275" s="308" t="str">
        <f t="shared" si="43"/>
        <v/>
      </c>
      <c r="BA275" s="313" t="str">
        <f t="shared" si="44"/>
        <v/>
      </c>
      <c r="BB275" s="304" t="str">
        <f t="shared" si="45"/>
        <v/>
      </c>
      <c r="BC275" s="308" t="str">
        <f t="shared" si="46"/>
        <v/>
      </c>
      <c r="BD275" s="308" t="str">
        <f t="shared" si="47"/>
        <v/>
      </c>
    </row>
    <row r="276">
      <c r="A276" s="298"/>
      <c r="B276" s="299"/>
      <c r="C276" s="300"/>
      <c r="D276" s="301" t="str">
        <f>IFERROR(__xludf.DUMMYFUNCTION("if(ISBLANK(A276),"""",GOOGLEFINANCE(A276,""NAME""))"),"")</f>
        <v/>
      </c>
      <c r="E276" s="302">
        <v>5000.0</v>
      </c>
      <c r="F276" s="303" t="str">
        <f>IFERROR(__xludf.DUMMYFUNCTION("if(ISBLANK(A276),"""",GOOGLEFINANCE(A276,""HIGH52""))"),"")</f>
        <v/>
      </c>
      <c r="G276" s="303" t="str">
        <f>IFERROR(__xludf.DUMMYFUNCTION("if(ISBLANK(A276),"""",GOOGLEFINANCE(A276,""LOW52""))"),"")</f>
        <v/>
      </c>
      <c r="H276" s="304" t="str">
        <f>IFERROR(__xludf.DUMMYFUNCTION("if(ISBLANK(A276),"""",GOOGLEFINANCE(A276,""Price""))"),"")</f>
        <v/>
      </c>
      <c r="I276" s="305" t="str">
        <f t="shared" si="1"/>
        <v/>
      </c>
      <c r="J276" s="306" t="str">
        <f t="shared" si="2"/>
        <v/>
      </c>
      <c r="K276" s="307" t="str">
        <f>IFERROR(__xludf.DUMMYFUNCTION("if(ISBLANK(A276),"""",googlefinance(A276,""Marketcap"")/10000000)"),"")</f>
        <v/>
      </c>
      <c r="L276" s="309" t="str">
        <f t="shared" si="3"/>
        <v/>
      </c>
      <c r="M276" s="308" t="str">
        <f t="shared" si="4"/>
        <v/>
      </c>
      <c r="N276" s="309" t="str">
        <f t="shared" si="5"/>
        <v/>
      </c>
      <c r="O276" s="322" t="str">
        <f t="shared" si="6"/>
        <v/>
      </c>
      <c r="P276" s="308" t="str">
        <f t="shared" si="7"/>
        <v/>
      </c>
      <c r="Q276" s="311" t="str">
        <f t="shared" si="8"/>
        <v/>
      </c>
      <c r="R276" s="309" t="str">
        <f t="shared" si="9"/>
        <v/>
      </c>
      <c r="S276" s="308" t="str">
        <f t="shared" si="10"/>
        <v/>
      </c>
      <c r="T276" s="309" t="str">
        <f t="shared" si="11"/>
        <v/>
      </c>
      <c r="U276" s="309" t="str">
        <f t="shared" si="12"/>
        <v/>
      </c>
      <c r="V276" s="308" t="str">
        <f t="shared" si="13"/>
        <v/>
      </c>
      <c r="W276" s="309" t="str">
        <f t="shared" si="14"/>
        <v/>
      </c>
      <c r="X276" s="309" t="str">
        <f t="shared" si="15"/>
        <v/>
      </c>
      <c r="Y276" s="308" t="str">
        <f t="shared" si="16"/>
        <v/>
      </c>
      <c r="Z276" s="309" t="str">
        <f t="shared" si="17"/>
        <v/>
      </c>
      <c r="AA276" s="312" t="str">
        <f t="shared" si="18"/>
        <v/>
      </c>
      <c r="AB276" s="308" t="str">
        <f t="shared" si="19"/>
        <v/>
      </c>
      <c r="AC276" s="308" t="str">
        <f t="shared" si="20"/>
        <v/>
      </c>
      <c r="AD276" s="312" t="str">
        <f t="shared" si="21"/>
        <v/>
      </c>
      <c r="AE276" s="308" t="str">
        <f t="shared" si="22"/>
        <v/>
      </c>
      <c r="AF276" s="313" t="str">
        <f t="shared" si="23"/>
        <v/>
      </c>
      <c r="AG276" s="304" t="str">
        <f t="shared" si="24"/>
        <v/>
      </c>
      <c r="AH276" s="308" t="str">
        <f t="shared" si="25"/>
        <v/>
      </c>
      <c r="AI276" s="313" t="str">
        <f t="shared" si="26"/>
        <v/>
      </c>
      <c r="AJ276" s="304" t="str">
        <f t="shared" si="27"/>
        <v/>
      </c>
      <c r="AK276" s="308" t="str">
        <f t="shared" si="28"/>
        <v/>
      </c>
      <c r="AL276" s="308" t="str">
        <f t="shared" si="29"/>
        <v/>
      </c>
      <c r="AM276" s="304" t="str">
        <f t="shared" si="30"/>
        <v/>
      </c>
      <c r="AN276" s="308" t="str">
        <f t="shared" si="31"/>
        <v/>
      </c>
      <c r="AO276" s="313" t="str">
        <f t="shared" si="32"/>
        <v/>
      </c>
      <c r="AP276" s="304" t="str">
        <f t="shared" si="33"/>
        <v/>
      </c>
      <c r="AQ276" s="308" t="str">
        <f t="shared" si="34"/>
        <v/>
      </c>
      <c r="AR276" s="313" t="str">
        <f t="shared" si="35"/>
        <v/>
      </c>
      <c r="AS276" s="304" t="str">
        <f t="shared" si="36"/>
        <v/>
      </c>
      <c r="AT276" s="308" t="str">
        <f t="shared" si="37"/>
        <v/>
      </c>
      <c r="AU276" s="308" t="str">
        <f t="shared" si="38"/>
        <v/>
      </c>
      <c r="AV276" s="304" t="str">
        <f t="shared" si="39"/>
        <v/>
      </c>
      <c r="AW276" s="308" t="str">
        <f t="shared" si="40"/>
        <v/>
      </c>
      <c r="AX276" s="308" t="str">
        <f t="shared" si="41"/>
        <v/>
      </c>
      <c r="AY276" s="304" t="str">
        <f t="shared" si="42"/>
        <v/>
      </c>
      <c r="AZ276" s="308" t="str">
        <f t="shared" si="43"/>
        <v/>
      </c>
      <c r="BA276" s="313" t="str">
        <f t="shared" si="44"/>
        <v/>
      </c>
      <c r="BB276" s="304" t="str">
        <f t="shared" si="45"/>
        <v/>
      </c>
      <c r="BC276" s="308" t="str">
        <f t="shared" si="46"/>
        <v/>
      </c>
      <c r="BD276" s="308" t="str">
        <f t="shared" si="47"/>
        <v/>
      </c>
    </row>
    <row r="277">
      <c r="A277" s="298"/>
      <c r="B277" s="299"/>
      <c r="C277" s="300"/>
      <c r="D277" s="301" t="str">
        <f>IFERROR(__xludf.DUMMYFUNCTION("if(ISBLANK(A277),"""",GOOGLEFINANCE(A277,""NAME""))"),"")</f>
        <v/>
      </c>
      <c r="E277" s="302">
        <v>5000.0</v>
      </c>
      <c r="F277" s="303" t="str">
        <f>IFERROR(__xludf.DUMMYFUNCTION("if(ISBLANK(A277),"""",GOOGLEFINANCE(A277,""HIGH52""))"),"")</f>
        <v/>
      </c>
      <c r="G277" s="303" t="str">
        <f>IFERROR(__xludf.DUMMYFUNCTION("if(ISBLANK(A277),"""",GOOGLEFINANCE(A277,""LOW52""))"),"")</f>
        <v/>
      </c>
      <c r="H277" s="304" t="str">
        <f>IFERROR(__xludf.DUMMYFUNCTION("if(ISBLANK(A277),"""",GOOGLEFINANCE(A277,""Price""))"),"")</f>
        <v/>
      </c>
      <c r="I277" s="305" t="str">
        <f t="shared" si="1"/>
        <v/>
      </c>
      <c r="J277" s="306" t="str">
        <f t="shared" si="2"/>
        <v/>
      </c>
      <c r="K277" s="307" t="str">
        <f>IFERROR(__xludf.DUMMYFUNCTION("if(ISBLANK(A277),"""",googlefinance(A277,""Marketcap"")/10000000)"),"")</f>
        <v/>
      </c>
      <c r="L277" s="309" t="str">
        <f t="shared" si="3"/>
        <v/>
      </c>
      <c r="M277" s="308" t="str">
        <f t="shared" si="4"/>
        <v/>
      </c>
      <c r="N277" s="309" t="str">
        <f t="shared" si="5"/>
        <v/>
      </c>
      <c r="O277" s="322" t="str">
        <f t="shared" si="6"/>
        <v/>
      </c>
      <c r="P277" s="308" t="str">
        <f t="shared" si="7"/>
        <v/>
      </c>
      <c r="Q277" s="311" t="str">
        <f t="shared" si="8"/>
        <v/>
      </c>
      <c r="R277" s="309" t="str">
        <f t="shared" si="9"/>
        <v/>
      </c>
      <c r="S277" s="308" t="str">
        <f t="shared" si="10"/>
        <v/>
      </c>
      <c r="T277" s="309" t="str">
        <f t="shared" si="11"/>
        <v/>
      </c>
      <c r="U277" s="309" t="str">
        <f t="shared" si="12"/>
        <v/>
      </c>
      <c r="V277" s="308" t="str">
        <f t="shared" si="13"/>
        <v/>
      </c>
      <c r="W277" s="309" t="str">
        <f t="shared" si="14"/>
        <v/>
      </c>
      <c r="X277" s="309" t="str">
        <f t="shared" si="15"/>
        <v/>
      </c>
      <c r="Y277" s="308" t="str">
        <f t="shared" si="16"/>
        <v/>
      </c>
      <c r="Z277" s="309" t="str">
        <f t="shared" si="17"/>
        <v/>
      </c>
      <c r="AA277" s="312" t="str">
        <f t="shared" si="18"/>
        <v/>
      </c>
      <c r="AB277" s="308" t="str">
        <f t="shared" si="19"/>
        <v/>
      </c>
      <c r="AC277" s="308" t="str">
        <f t="shared" si="20"/>
        <v/>
      </c>
      <c r="AD277" s="312" t="str">
        <f t="shared" si="21"/>
        <v/>
      </c>
      <c r="AE277" s="308" t="str">
        <f t="shared" si="22"/>
        <v/>
      </c>
      <c r="AF277" s="313" t="str">
        <f t="shared" si="23"/>
        <v/>
      </c>
      <c r="AG277" s="304" t="str">
        <f t="shared" si="24"/>
        <v/>
      </c>
      <c r="AH277" s="308" t="str">
        <f t="shared" si="25"/>
        <v/>
      </c>
      <c r="AI277" s="313" t="str">
        <f t="shared" si="26"/>
        <v/>
      </c>
      <c r="AJ277" s="304" t="str">
        <f t="shared" si="27"/>
        <v/>
      </c>
      <c r="AK277" s="308" t="str">
        <f t="shared" si="28"/>
        <v/>
      </c>
      <c r="AL277" s="308" t="str">
        <f t="shared" si="29"/>
        <v/>
      </c>
      <c r="AM277" s="304" t="str">
        <f t="shared" si="30"/>
        <v/>
      </c>
      <c r="AN277" s="308" t="str">
        <f t="shared" si="31"/>
        <v/>
      </c>
      <c r="AO277" s="313" t="str">
        <f t="shared" si="32"/>
        <v/>
      </c>
      <c r="AP277" s="304" t="str">
        <f t="shared" si="33"/>
        <v/>
      </c>
      <c r="AQ277" s="308" t="str">
        <f t="shared" si="34"/>
        <v/>
      </c>
      <c r="AR277" s="313" t="str">
        <f t="shared" si="35"/>
        <v/>
      </c>
      <c r="AS277" s="304" t="str">
        <f t="shared" si="36"/>
        <v/>
      </c>
      <c r="AT277" s="308" t="str">
        <f t="shared" si="37"/>
        <v/>
      </c>
      <c r="AU277" s="308" t="str">
        <f t="shared" si="38"/>
        <v/>
      </c>
      <c r="AV277" s="304" t="str">
        <f t="shared" si="39"/>
        <v/>
      </c>
      <c r="AW277" s="308" t="str">
        <f t="shared" si="40"/>
        <v/>
      </c>
      <c r="AX277" s="308" t="str">
        <f t="shared" si="41"/>
        <v/>
      </c>
      <c r="AY277" s="304" t="str">
        <f t="shared" si="42"/>
        <v/>
      </c>
      <c r="AZ277" s="308" t="str">
        <f t="shared" si="43"/>
        <v/>
      </c>
      <c r="BA277" s="313" t="str">
        <f t="shared" si="44"/>
        <v/>
      </c>
      <c r="BB277" s="304" t="str">
        <f t="shared" si="45"/>
        <v/>
      </c>
      <c r="BC277" s="308" t="str">
        <f t="shared" si="46"/>
        <v/>
      </c>
      <c r="BD277" s="308" t="str">
        <f t="shared" si="47"/>
        <v/>
      </c>
    </row>
    <row r="278">
      <c r="A278" s="298"/>
      <c r="B278" s="299"/>
      <c r="C278" s="300"/>
      <c r="D278" s="301" t="str">
        <f>IFERROR(__xludf.DUMMYFUNCTION("if(ISBLANK(A278),"""",GOOGLEFINANCE(A278,""NAME""))"),"")</f>
        <v/>
      </c>
      <c r="E278" s="302">
        <v>5000.0</v>
      </c>
      <c r="F278" s="303" t="str">
        <f>IFERROR(__xludf.DUMMYFUNCTION("if(ISBLANK(A278),"""",GOOGLEFINANCE(A278,""HIGH52""))"),"")</f>
        <v/>
      </c>
      <c r="G278" s="303" t="str">
        <f>IFERROR(__xludf.DUMMYFUNCTION("if(ISBLANK(A278),"""",GOOGLEFINANCE(A278,""LOW52""))"),"")</f>
        <v/>
      </c>
      <c r="H278" s="304" t="str">
        <f>IFERROR(__xludf.DUMMYFUNCTION("if(ISBLANK(A278),"""",GOOGLEFINANCE(A278,""Price""))"),"")</f>
        <v/>
      </c>
      <c r="I278" s="305" t="str">
        <f t="shared" si="1"/>
        <v/>
      </c>
      <c r="J278" s="306" t="str">
        <f t="shared" si="2"/>
        <v/>
      </c>
      <c r="K278" s="307" t="str">
        <f>IFERROR(__xludf.DUMMYFUNCTION("if(ISBLANK(A278),"""",googlefinance(A278,""Marketcap"")/10000000)"),"")</f>
        <v/>
      </c>
      <c r="L278" s="309" t="str">
        <f t="shared" si="3"/>
        <v/>
      </c>
      <c r="M278" s="308" t="str">
        <f t="shared" si="4"/>
        <v/>
      </c>
      <c r="N278" s="309" t="str">
        <f t="shared" si="5"/>
        <v/>
      </c>
      <c r="O278" s="322" t="str">
        <f t="shared" si="6"/>
        <v/>
      </c>
      <c r="P278" s="308" t="str">
        <f t="shared" si="7"/>
        <v/>
      </c>
      <c r="Q278" s="311" t="str">
        <f t="shared" si="8"/>
        <v/>
      </c>
      <c r="R278" s="309" t="str">
        <f t="shared" si="9"/>
        <v/>
      </c>
      <c r="S278" s="308" t="str">
        <f t="shared" si="10"/>
        <v/>
      </c>
      <c r="T278" s="309" t="str">
        <f t="shared" si="11"/>
        <v/>
      </c>
      <c r="U278" s="309" t="str">
        <f t="shared" si="12"/>
        <v/>
      </c>
      <c r="V278" s="308" t="str">
        <f t="shared" si="13"/>
        <v/>
      </c>
      <c r="W278" s="309" t="str">
        <f t="shared" si="14"/>
        <v/>
      </c>
      <c r="X278" s="309" t="str">
        <f t="shared" si="15"/>
        <v/>
      </c>
      <c r="Y278" s="308" t="str">
        <f t="shared" si="16"/>
        <v/>
      </c>
      <c r="Z278" s="309" t="str">
        <f t="shared" si="17"/>
        <v/>
      </c>
      <c r="AA278" s="312" t="str">
        <f t="shared" si="18"/>
        <v/>
      </c>
      <c r="AB278" s="308" t="str">
        <f t="shared" si="19"/>
        <v/>
      </c>
      <c r="AC278" s="308" t="str">
        <f t="shared" si="20"/>
        <v/>
      </c>
      <c r="AD278" s="312" t="str">
        <f t="shared" si="21"/>
        <v/>
      </c>
      <c r="AE278" s="308" t="str">
        <f t="shared" si="22"/>
        <v/>
      </c>
      <c r="AF278" s="313" t="str">
        <f t="shared" si="23"/>
        <v/>
      </c>
      <c r="AG278" s="304" t="str">
        <f t="shared" si="24"/>
        <v/>
      </c>
      <c r="AH278" s="308" t="str">
        <f t="shared" si="25"/>
        <v/>
      </c>
      <c r="AI278" s="313" t="str">
        <f t="shared" si="26"/>
        <v/>
      </c>
      <c r="AJ278" s="304" t="str">
        <f t="shared" si="27"/>
        <v/>
      </c>
      <c r="AK278" s="308" t="str">
        <f t="shared" si="28"/>
        <v/>
      </c>
      <c r="AL278" s="308" t="str">
        <f t="shared" si="29"/>
        <v/>
      </c>
      <c r="AM278" s="304" t="str">
        <f t="shared" si="30"/>
        <v/>
      </c>
      <c r="AN278" s="308" t="str">
        <f t="shared" si="31"/>
        <v/>
      </c>
      <c r="AO278" s="313" t="str">
        <f t="shared" si="32"/>
        <v/>
      </c>
      <c r="AP278" s="304" t="str">
        <f t="shared" si="33"/>
        <v/>
      </c>
      <c r="AQ278" s="308" t="str">
        <f t="shared" si="34"/>
        <v/>
      </c>
      <c r="AR278" s="313" t="str">
        <f t="shared" si="35"/>
        <v/>
      </c>
      <c r="AS278" s="304" t="str">
        <f t="shared" si="36"/>
        <v/>
      </c>
      <c r="AT278" s="308" t="str">
        <f t="shared" si="37"/>
        <v/>
      </c>
      <c r="AU278" s="308" t="str">
        <f t="shared" si="38"/>
        <v/>
      </c>
      <c r="AV278" s="304" t="str">
        <f t="shared" si="39"/>
        <v/>
      </c>
      <c r="AW278" s="308" t="str">
        <f t="shared" si="40"/>
        <v/>
      </c>
      <c r="AX278" s="308" t="str">
        <f t="shared" si="41"/>
        <v/>
      </c>
      <c r="AY278" s="304" t="str">
        <f t="shared" si="42"/>
        <v/>
      </c>
      <c r="AZ278" s="308" t="str">
        <f t="shared" si="43"/>
        <v/>
      </c>
      <c r="BA278" s="313" t="str">
        <f t="shared" si="44"/>
        <v/>
      </c>
      <c r="BB278" s="304" t="str">
        <f t="shared" si="45"/>
        <v/>
      </c>
      <c r="BC278" s="308" t="str">
        <f t="shared" si="46"/>
        <v/>
      </c>
      <c r="BD278" s="308" t="str">
        <f t="shared" si="47"/>
        <v/>
      </c>
    </row>
    <row r="279">
      <c r="A279" s="298"/>
      <c r="B279" s="299"/>
      <c r="C279" s="300"/>
      <c r="D279" s="301" t="str">
        <f>IFERROR(__xludf.DUMMYFUNCTION("if(ISBLANK(A279),"""",GOOGLEFINANCE(A279,""NAME""))"),"")</f>
        <v/>
      </c>
      <c r="E279" s="302">
        <v>5000.0</v>
      </c>
      <c r="F279" s="303" t="str">
        <f>IFERROR(__xludf.DUMMYFUNCTION("if(ISBLANK(A279),"""",GOOGLEFINANCE(A279,""HIGH52""))"),"")</f>
        <v/>
      </c>
      <c r="G279" s="303" t="str">
        <f>IFERROR(__xludf.DUMMYFUNCTION("if(ISBLANK(A279),"""",GOOGLEFINANCE(A279,""LOW52""))"),"")</f>
        <v/>
      </c>
      <c r="H279" s="304" t="str">
        <f>IFERROR(__xludf.DUMMYFUNCTION("if(ISBLANK(A279),"""",GOOGLEFINANCE(A279,""Price""))"),"")</f>
        <v/>
      </c>
      <c r="I279" s="305" t="str">
        <f t="shared" si="1"/>
        <v/>
      </c>
      <c r="J279" s="306" t="str">
        <f t="shared" si="2"/>
        <v/>
      </c>
      <c r="K279" s="307" t="str">
        <f>IFERROR(__xludf.DUMMYFUNCTION("if(ISBLANK(A279),"""",googlefinance(A279,""Marketcap"")/10000000)"),"")</f>
        <v/>
      </c>
      <c r="L279" s="309" t="str">
        <f t="shared" si="3"/>
        <v/>
      </c>
      <c r="M279" s="308" t="str">
        <f t="shared" si="4"/>
        <v/>
      </c>
      <c r="N279" s="309" t="str">
        <f t="shared" si="5"/>
        <v/>
      </c>
      <c r="O279" s="322" t="str">
        <f t="shared" si="6"/>
        <v/>
      </c>
      <c r="P279" s="308" t="str">
        <f t="shared" si="7"/>
        <v/>
      </c>
      <c r="Q279" s="311" t="str">
        <f t="shared" si="8"/>
        <v/>
      </c>
      <c r="R279" s="309" t="str">
        <f t="shared" si="9"/>
        <v/>
      </c>
      <c r="S279" s="308" t="str">
        <f t="shared" si="10"/>
        <v/>
      </c>
      <c r="T279" s="309" t="str">
        <f t="shared" si="11"/>
        <v/>
      </c>
      <c r="U279" s="309" t="str">
        <f t="shared" si="12"/>
        <v/>
      </c>
      <c r="V279" s="308" t="str">
        <f t="shared" si="13"/>
        <v/>
      </c>
      <c r="W279" s="309" t="str">
        <f t="shared" si="14"/>
        <v/>
      </c>
      <c r="X279" s="309" t="str">
        <f t="shared" si="15"/>
        <v/>
      </c>
      <c r="Y279" s="308" t="str">
        <f t="shared" si="16"/>
        <v/>
      </c>
      <c r="Z279" s="309" t="str">
        <f t="shared" si="17"/>
        <v/>
      </c>
      <c r="AA279" s="312" t="str">
        <f t="shared" si="18"/>
        <v/>
      </c>
      <c r="AB279" s="308" t="str">
        <f t="shared" si="19"/>
        <v/>
      </c>
      <c r="AC279" s="308" t="str">
        <f t="shared" si="20"/>
        <v/>
      </c>
      <c r="AD279" s="312" t="str">
        <f t="shared" si="21"/>
        <v/>
      </c>
      <c r="AE279" s="308" t="str">
        <f t="shared" si="22"/>
        <v/>
      </c>
      <c r="AF279" s="313" t="str">
        <f t="shared" si="23"/>
        <v/>
      </c>
      <c r="AG279" s="304" t="str">
        <f t="shared" si="24"/>
        <v/>
      </c>
      <c r="AH279" s="308" t="str">
        <f t="shared" si="25"/>
        <v/>
      </c>
      <c r="AI279" s="313" t="str">
        <f t="shared" si="26"/>
        <v/>
      </c>
      <c r="AJ279" s="304" t="str">
        <f t="shared" si="27"/>
        <v/>
      </c>
      <c r="AK279" s="308" t="str">
        <f t="shared" si="28"/>
        <v/>
      </c>
      <c r="AL279" s="308" t="str">
        <f t="shared" si="29"/>
        <v/>
      </c>
      <c r="AM279" s="304" t="str">
        <f t="shared" si="30"/>
        <v/>
      </c>
      <c r="AN279" s="308" t="str">
        <f t="shared" si="31"/>
        <v/>
      </c>
      <c r="AO279" s="313" t="str">
        <f t="shared" si="32"/>
        <v/>
      </c>
      <c r="AP279" s="304" t="str">
        <f t="shared" si="33"/>
        <v/>
      </c>
      <c r="AQ279" s="308" t="str">
        <f t="shared" si="34"/>
        <v/>
      </c>
      <c r="AR279" s="313" t="str">
        <f t="shared" si="35"/>
        <v/>
      </c>
      <c r="AS279" s="304" t="str">
        <f t="shared" si="36"/>
        <v/>
      </c>
      <c r="AT279" s="308" t="str">
        <f t="shared" si="37"/>
        <v/>
      </c>
      <c r="AU279" s="308" t="str">
        <f t="shared" si="38"/>
        <v/>
      </c>
      <c r="AV279" s="304" t="str">
        <f t="shared" si="39"/>
        <v/>
      </c>
      <c r="AW279" s="308" t="str">
        <f t="shared" si="40"/>
        <v/>
      </c>
      <c r="AX279" s="308" t="str">
        <f t="shared" si="41"/>
        <v/>
      </c>
      <c r="AY279" s="304" t="str">
        <f t="shared" si="42"/>
        <v/>
      </c>
      <c r="AZ279" s="308" t="str">
        <f t="shared" si="43"/>
        <v/>
      </c>
      <c r="BA279" s="313" t="str">
        <f t="shared" si="44"/>
        <v/>
      </c>
      <c r="BB279" s="304" t="str">
        <f t="shared" si="45"/>
        <v/>
      </c>
      <c r="BC279" s="308" t="str">
        <f t="shared" si="46"/>
        <v/>
      </c>
      <c r="BD279" s="308" t="str">
        <f t="shared" si="47"/>
        <v/>
      </c>
    </row>
    <row r="280">
      <c r="A280" s="298"/>
      <c r="B280" s="299"/>
      <c r="C280" s="300"/>
      <c r="D280" s="301" t="str">
        <f>IFERROR(__xludf.DUMMYFUNCTION("if(ISBLANK(A280),"""",GOOGLEFINANCE(A280,""NAME""))"),"")</f>
        <v/>
      </c>
      <c r="E280" s="302">
        <v>5000.0</v>
      </c>
      <c r="F280" s="303" t="str">
        <f>IFERROR(__xludf.DUMMYFUNCTION("if(ISBLANK(A280),"""",GOOGLEFINANCE(A280,""HIGH52""))"),"")</f>
        <v/>
      </c>
      <c r="G280" s="303" t="str">
        <f>IFERROR(__xludf.DUMMYFUNCTION("if(ISBLANK(A280),"""",GOOGLEFINANCE(A280,""LOW52""))"),"")</f>
        <v/>
      </c>
      <c r="H280" s="304" t="str">
        <f>IFERROR(__xludf.DUMMYFUNCTION("if(ISBLANK(A280),"""",GOOGLEFINANCE(A280,""Price""))"),"")</f>
        <v/>
      </c>
      <c r="I280" s="305" t="str">
        <f t="shared" si="1"/>
        <v/>
      </c>
      <c r="J280" s="306" t="str">
        <f t="shared" si="2"/>
        <v/>
      </c>
      <c r="K280" s="307" t="str">
        <f>IFERROR(__xludf.DUMMYFUNCTION("if(ISBLANK(A280),"""",googlefinance(A280,""Marketcap"")/10000000)"),"")</f>
        <v/>
      </c>
      <c r="L280" s="309" t="str">
        <f t="shared" si="3"/>
        <v/>
      </c>
      <c r="M280" s="308" t="str">
        <f t="shared" si="4"/>
        <v/>
      </c>
      <c r="N280" s="309" t="str">
        <f t="shared" si="5"/>
        <v/>
      </c>
      <c r="O280" s="322" t="str">
        <f t="shared" si="6"/>
        <v/>
      </c>
      <c r="P280" s="308" t="str">
        <f t="shared" si="7"/>
        <v/>
      </c>
      <c r="Q280" s="311" t="str">
        <f t="shared" si="8"/>
        <v/>
      </c>
      <c r="R280" s="309" t="str">
        <f t="shared" si="9"/>
        <v/>
      </c>
      <c r="S280" s="308" t="str">
        <f t="shared" si="10"/>
        <v/>
      </c>
      <c r="T280" s="309" t="str">
        <f t="shared" si="11"/>
        <v/>
      </c>
      <c r="U280" s="309" t="str">
        <f t="shared" si="12"/>
        <v/>
      </c>
      <c r="V280" s="308" t="str">
        <f t="shared" si="13"/>
        <v/>
      </c>
      <c r="W280" s="309" t="str">
        <f t="shared" si="14"/>
        <v/>
      </c>
      <c r="X280" s="309" t="str">
        <f t="shared" si="15"/>
        <v/>
      </c>
      <c r="Y280" s="308" t="str">
        <f t="shared" si="16"/>
        <v/>
      </c>
      <c r="Z280" s="309" t="str">
        <f t="shared" si="17"/>
        <v/>
      </c>
      <c r="AA280" s="312" t="str">
        <f t="shared" si="18"/>
        <v/>
      </c>
      <c r="AB280" s="308" t="str">
        <f t="shared" si="19"/>
        <v/>
      </c>
      <c r="AC280" s="308" t="str">
        <f t="shared" si="20"/>
        <v/>
      </c>
      <c r="AD280" s="312" t="str">
        <f t="shared" si="21"/>
        <v/>
      </c>
      <c r="AE280" s="308" t="str">
        <f t="shared" si="22"/>
        <v/>
      </c>
      <c r="AF280" s="313" t="str">
        <f t="shared" si="23"/>
        <v/>
      </c>
      <c r="AG280" s="304" t="str">
        <f t="shared" si="24"/>
        <v/>
      </c>
      <c r="AH280" s="308" t="str">
        <f t="shared" si="25"/>
        <v/>
      </c>
      <c r="AI280" s="313" t="str">
        <f t="shared" si="26"/>
        <v/>
      </c>
      <c r="AJ280" s="304" t="str">
        <f t="shared" si="27"/>
        <v/>
      </c>
      <c r="AK280" s="308" t="str">
        <f t="shared" si="28"/>
        <v/>
      </c>
      <c r="AL280" s="308" t="str">
        <f t="shared" si="29"/>
        <v/>
      </c>
      <c r="AM280" s="304" t="str">
        <f t="shared" si="30"/>
        <v/>
      </c>
      <c r="AN280" s="308" t="str">
        <f t="shared" si="31"/>
        <v/>
      </c>
      <c r="AO280" s="313" t="str">
        <f t="shared" si="32"/>
        <v/>
      </c>
      <c r="AP280" s="304" t="str">
        <f t="shared" si="33"/>
        <v/>
      </c>
      <c r="AQ280" s="308" t="str">
        <f t="shared" si="34"/>
        <v/>
      </c>
      <c r="AR280" s="313" t="str">
        <f t="shared" si="35"/>
        <v/>
      </c>
      <c r="AS280" s="304" t="str">
        <f t="shared" si="36"/>
        <v/>
      </c>
      <c r="AT280" s="308" t="str">
        <f t="shared" si="37"/>
        <v/>
      </c>
      <c r="AU280" s="308" t="str">
        <f t="shared" si="38"/>
        <v/>
      </c>
      <c r="AV280" s="304" t="str">
        <f t="shared" si="39"/>
        <v/>
      </c>
      <c r="AW280" s="308" t="str">
        <f t="shared" si="40"/>
        <v/>
      </c>
      <c r="AX280" s="308" t="str">
        <f t="shared" si="41"/>
        <v/>
      </c>
      <c r="AY280" s="304" t="str">
        <f t="shared" si="42"/>
        <v/>
      </c>
      <c r="AZ280" s="308" t="str">
        <f t="shared" si="43"/>
        <v/>
      </c>
      <c r="BA280" s="313" t="str">
        <f t="shared" si="44"/>
        <v/>
      </c>
      <c r="BB280" s="304" t="str">
        <f t="shared" si="45"/>
        <v/>
      </c>
      <c r="BC280" s="308" t="str">
        <f t="shared" si="46"/>
        <v/>
      </c>
      <c r="BD280" s="308" t="str">
        <f t="shared" si="47"/>
        <v/>
      </c>
    </row>
    <row r="281">
      <c r="A281" s="298"/>
      <c r="B281" s="299"/>
      <c r="C281" s="300"/>
      <c r="D281" s="301" t="str">
        <f>IFERROR(__xludf.DUMMYFUNCTION("if(ISBLANK(A281),"""",GOOGLEFINANCE(A281,""NAME""))"),"")</f>
        <v/>
      </c>
      <c r="E281" s="302">
        <v>5000.0</v>
      </c>
      <c r="F281" s="303" t="str">
        <f>IFERROR(__xludf.DUMMYFUNCTION("if(ISBLANK(A281),"""",GOOGLEFINANCE(A281,""HIGH52""))"),"")</f>
        <v/>
      </c>
      <c r="G281" s="303" t="str">
        <f>IFERROR(__xludf.DUMMYFUNCTION("if(ISBLANK(A281),"""",GOOGLEFINANCE(A281,""LOW52""))"),"")</f>
        <v/>
      </c>
      <c r="H281" s="304" t="str">
        <f>IFERROR(__xludf.DUMMYFUNCTION("if(ISBLANK(A281),"""",GOOGLEFINANCE(A281,""Price""))"),"")</f>
        <v/>
      </c>
      <c r="I281" s="305" t="str">
        <f t="shared" si="1"/>
        <v/>
      </c>
      <c r="J281" s="306" t="str">
        <f t="shared" si="2"/>
        <v/>
      </c>
      <c r="K281" s="307" t="str">
        <f>IFERROR(__xludf.DUMMYFUNCTION("if(ISBLANK(A281),"""",googlefinance(A281,""Marketcap"")/10000000)"),"")</f>
        <v/>
      </c>
      <c r="L281" s="309" t="str">
        <f t="shared" si="3"/>
        <v/>
      </c>
      <c r="M281" s="308" t="str">
        <f t="shared" si="4"/>
        <v/>
      </c>
      <c r="N281" s="309" t="str">
        <f t="shared" si="5"/>
        <v/>
      </c>
      <c r="O281" s="322" t="str">
        <f t="shared" si="6"/>
        <v/>
      </c>
      <c r="P281" s="308" t="str">
        <f t="shared" si="7"/>
        <v/>
      </c>
      <c r="Q281" s="311" t="str">
        <f t="shared" si="8"/>
        <v/>
      </c>
      <c r="R281" s="309" t="str">
        <f t="shared" si="9"/>
        <v/>
      </c>
      <c r="S281" s="308" t="str">
        <f t="shared" si="10"/>
        <v/>
      </c>
      <c r="T281" s="309" t="str">
        <f t="shared" si="11"/>
        <v/>
      </c>
      <c r="U281" s="309" t="str">
        <f t="shared" si="12"/>
        <v/>
      </c>
      <c r="V281" s="308" t="str">
        <f t="shared" si="13"/>
        <v/>
      </c>
      <c r="W281" s="309" t="str">
        <f t="shared" si="14"/>
        <v/>
      </c>
      <c r="X281" s="309" t="str">
        <f t="shared" si="15"/>
        <v/>
      </c>
      <c r="Y281" s="308" t="str">
        <f t="shared" si="16"/>
        <v/>
      </c>
      <c r="Z281" s="309" t="str">
        <f t="shared" si="17"/>
        <v/>
      </c>
      <c r="AA281" s="312" t="str">
        <f t="shared" si="18"/>
        <v/>
      </c>
      <c r="AB281" s="308" t="str">
        <f t="shared" si="19"/>
        <v/>
      </c>
      <c r="AC281" s="308" t="str">
        <f t="shared" si="20"/>
        <v/>
      </c>
      <c r="AD281" s="312" t="str">
        <f t="shared" si="21"/>
        <v/>
      </c>
      <c r="AE281" s="308" t="str">
        <f t="shared" si="22"/>
        <v/>
      </c>
      <c r="AF281" s="313" t="str">
        <f t="shared" si="23"/>
        <v/>
      </c>
      <c r="AG281" s="304" t="str">
        <f t="shared" si="24"/>
        <v/>
      </c>
      <c r="AH281" s="308" t="str">
        <f t="shared" si="25"/>
        <v/>
      </c>
      <c r="AI281" s="313" t="str">
        <f t="shared" si="26"/>
        <v/>
      </c>
      <c r="AJ281" s="304" t="str">
        <f t="shared" si="27"/>
        <v/>
      </c>
      <c r="AK281" s="308" t="str">
        <f t="shared" si="28"/>
        <v/>
      </c>
      <c r="AL281" s="308" t="str">
        <f t="shared" si="29"/>
        <v/>
      </c>
      <c r="AM281" s="304" t="str">
        <f t="shared" si="30"/>
        <v/>
      </c>
      <c r="AN281" s="308" t="str">
        <f t="shared" si="31"/>
        <v/>
      </c>
      <c r="AO281" s="313" t="str">
        <f t="shared" si="32"/>
        <v/>
      </c>
      <c r="AP281" s="304" t="str">
        <f t="shared" si="33"/>
        <v/>
      </c>
      <c r="AQ281" s="308" t="str">
        <f t="shared" si="34"/>
        <v/>
      </c>
      <c r="AR281" s="313" t="str">
        <f t="shared" si="35"/>
        <v/>
      </c>
      <c r="AS281" s="304" t="str">
        <f t="shared" si="36"/>
        <v/>
      </c>
      <c r="AT281" s="308" t="str">
        <f t="shared" si="37"/>
        <v/>
      </c>
      <c r="AU281" s="308" t="str">
        <f t="shared" si="38"/>
        <v/>
      </c>
      <c r="AV281" s="304" t="str">
        <f t="shared" si="39"/>
        <v/>
      </c>
      <c r="AW281" s="308" t="str">
        <f t="shared" si="40"/>
        <v/>
      </c>
      <c r="AX281" s="308" t="str">
        <f t="shared" si="41"/>
        <v/>
      </c>
      <c r="AY281" s="304" t="str">
        <f t="shared" si="42"/>
        <v/>
      </c>
      <c r="AZ281" s="308" t="str">
        <f t="shared" si="43"/>
        <v/>
      </c>
      <c r="BA281" s="313" t="str">
        <f t="shared" si="44"/>
        <v/>
      </c>
      <c r="BB281" s="304" t="str">
        <f t="shared" si="45"/>
        <v/>
      </c>
      <c r="BC281" s="308" t="str">
        <f t="shared" si="46"/>
        <v/>
      </c>
      <c r="BD281" s="308" t="str">
        <f t="shared" si="47"/>
        <v/>
      </c>
    </row>
    <row r="282">
      <c r="A282" s="298"/>
      <c r="B282" s="299"/>
      <c r="C282" s="300"/>
      <c r="D282" s="301" t="str">
        <f>IFERROR(__xludf.DUMMYFUNCTION("if(ISBLANK(A282),"""",GOOGLEFINANCE(A282,""NAME""))"),"")</f>
        <v/>
      </c>
      <c r="E282" s="302">
        <v>5000.0</v>
      </c>
      <c r="F282" s="303" t="str">
        <f>IFERROR(__xludf.DUMMYFUNCTION("if(ISBLANK(A282),"""",GOOGLEFINANCE(A282,""HIGH52""))"),"")</f>
        <v/>
      </c>
      <c r="G282" s="303" t="str">
        <f>IFERROR(__xludf.DUMMYFUNCTION("if(ISBLANK(A282),"""",GOOGLEFINANCE(A282,""LOW52""))"),"")</f>
        <v/>
      </c>
      <c r="H282" s="304" t="str">
        <f>IFERROR(__xludf.DUMMYFUNCTION("if(ISBLANK(A282),"""",GOOGLEFINANCE(A282,""Price""))"),"")</f>
        <v/>
      </c>
      <c r="I282" s="305" t="str">
        <f t="shared" si="1"/>
        <v/>
      </c>
      <c r="J282" s="306" t="str">
        <f t="shared" si="2"/>
        <v/>
      </c>
      <c r="K282" s="307" t="str">
        <f>IFERROR(__xludf.DUMMYFUNCTION("if(ISBLANK(A282),"""",googlefinance(A282,""Marketcap"")/10000000)"),"")</f>
        <v/>
      </c>
      <c r="L282" s="309" t="str">
        <f t="shared" si="3"/>
        <v/>
      </c>
      <c r="M282" s="308" t="str">
        <f t="shared" si="4"/>
        <v/>
      </c>
      <c r="N282" s="309" t="str">
        <f t="shared" si="5"/>
        <v/>
      </c>
      <c r="O282" s="322" t="str">
        <f t="shared" si="6"/>
        <v/>
      </c>
      <c r="P282" s="308" t="str">
        <f t="shared" si="7"/>
        <v/>
      </c>
      <c r="Q282" s="311" t="str">
        <f t="shared" si="8"/>
        <v/>
      </c>
      <c r="R282" s="309" t="str">
        <f t="shared" si="9"/>
        <v/>
      </c>
      <c r="S282" s="308" t="str">
        <f t="shared" si="10"/>
        <v/>
      </c>
      <c r="T282" s="309" t="str">
        <f t="shared" si="11"/>
        <v/>
      </c>
      <c r="U282" s="309" t="str">
        <f t="shared" si="12"/>
        <v/>
      </c>
      <c r="V282" s="308" t="str">
        <f t="shared" si="13"/>
        <v/>
      </c>
      <c r="W282" s="309" t="str">
        <f t="shared" si="14"/>
        <v/>
      </c>
      <c r="X282" s="309" t="str">
        <f t="shared" si="15"/>
        <v/>
      </c>
      <c r="Y282" s="308" t="str">
        <f t="shared" si="16"/>
        <v/>
      </c>
      <c r="Z282" s="309" t="str">
        <f t="shared" si="17"/>
        <v/>
      </c>
      <c r="AA282" s="312" t="str">
        <f t="shared" si="18"/>
        <v/>
      </c>
      <c r="AB282" s="308" t="str">
        <f t="shared" si="19"/>
        <v/>
      </c>
      <c r="AC282" s="308" t="str">
        <f t="shared" si="20"/>
        <v/>
      </c>
      <c r="AD282" s="312" t="str">
        <f t="shared" si="21"/>
        <v/>
      </c>
      <c r="AE282" s="308" t="str">
        <f t="shared" si="22"/>
        <v/>
      </c>
      <c r="AF282" s="313" t="str">
        <f t="shared" si="23"/>
        <v/>
      </c>
      <c r="AG282" s="304" t="str">
        <f t="shared" si="24"/>
        <v/>
      </c>
      <c r="AH282" s="308" t="str">
        <f t="shared" si="25"/>
        <v/>
      </c>
      <c r="AI282" s="313" t="str">
        <f t="shared" si="26"/>
        <v/>
      </c>
      <c r="AJ282" s="304" t="str">
        <f t="shared" si="27"/>
        <v/>
      </c>
      <c r="AK282" s="308" t="str">
        <f t="shared" si="28"/>
        <v/>
      </c>
      <c r="AL282" s="308" t="str">
        <f t="shared" si="29"/>
        <v/>
      </c>
      <c r="AM282" s="304" t="str">
        <f t="shared" si="30"/>
        <v/>
      </c>
      <c r="AN282" s="308" t="str">
        <f t="shared" si="31"/>
        <v/>
      </c>
      <c r="AO282" s="313" t="str">
        <f t="shared" si="32"/>
        <v/>
      </c>
      <c r="AP282" s="304" t="str">
        <f t="shared" si="33"/>
        <v/>
      </c>
      <c r="AQ282" s="308" t="str">
        <f t="shared" si="34"/>
        <v/>
      </c>
      <c r="AR282" s="313" t="str">
        <f t="shared" si="35"/>
        <v/>
      </c>
      <c r="AS282" s="304" t="str">
        <f t="shared" si="36"/>
        <v/>
      </c>
      <c r="AT282" s="308" t="str">
        <f t="shared" si="37"/>
        <v/>
      </c>
      <c r="AU282" s="308" t="str">
        <f t="shared" si="38"/>
        <v/>
      </c>
      <c r="AV282" s="304" t="str">
        <f t="shared" si="39"/>
        <v/>
      </c>
      <c r="AW282" s="308" t="str">
        <f t="shared" si="40"/>
        <v/>
      </c>
      <c r="AX282" s="308" t="str">
        <f t="shared" si="41"/>
        <v/>
      </c>
      <c r="AY282" s="304" t="str">
        <f t="shared" si="42"/>
        <v/>
      </c>
      <c r="AZ282" s="308" t="str">
        <f t="shared" si="43"/>
        <v/>
      </c>
      <c r="BA282" s="313" t="str">
        <f t="shared" si="44"/>
        <v/>
      </c>
      <c r="BB282" s="304" t="str">
        <f t="shared" si="45"/>
        <v/>
      </c>
      <c r="BC282" s="308" t="str">
        <f t="shared" si="46"/>
        <v/>
      </c>
      <c r="BD282" s="308" t="str">
        <f t="shared" si="47"/>
        <v/>
      </c>
    </row>
    <row r="283">
      <c r="A283" s="298"/>
      <c r="B283" s="299"/>
      <c r="C283" s="300"/>
      <c r="D283" s="301" t="str">
        <f>IFERROR(__xludf.DUMMYFUNCTION("if(ISBLANK(A283),"""",GOOGLEFINANCE(A283,""NAME""))"),"")</f>
        <v/>
      </c>
      <c r="E283" s="302">
        <v>5000.0</v>
      </c>
      <c r="F283" s="303" t="str">
        <f>IFERROR(__xludf.DUMMYFUNCTION("if(ISBLANK(A283),"""",GOOGLEFINANCE(A283,""HIGH52""))"),"")</f>
        <v/>
      </c>
      <c r="G283" s="303" t="str">
        <f>IFERROR(__xludf.DUMMYFUNCTION("if(ISBLANK(A283),"""",GOOGLEFINANCE(A283,""LOW52""))"),"")</f>
        <v/>
      </c>
      <c r="H283" s="304" t="str">
        <f>IFERROR(__xludf.DUMMYFUNCTION("if(ISBLANK(A283),"""",GOOGLEFINANCE(A283,""Price""))"),"")</f>
        <v/>
      </c>
      <c r="I283" s="305" t="str">
        <f t="shared" si="1"/>
        <v/>
      </c>
      <c r="J283" s="306" t="str">
        <f t="shared" si="2"/>
        <v/>
      </c>
      <c r="K283" s="307" t="str">
        <f>IFERROR(__xludf.DUMMYFUNCTION("if(ISBLANK(A283),"""",googlefinance(A283,""Marketcap"")/10000000)"),"")</f>
        <v/>
      </c>
      <c r="L283" s="309" t="str">
        <f t="shared" si="3"/>
        <v/>
      </c>
      <c r="M283" s="308" t="str">
        <f t="shared" si="4"/>
        <v/>
      </c>
      <c r="N283" s="309" t="str">
        <f t="shared" si="5"/>
        <v/>
      </c>
      <c r="O283" s="322" t="str">
        <f t="shared" si="6"/>
        <v/>
      </c>
      <c r="P283" s="308" t="str">
        <f t="shared" si="7"/>
        <v/>
      </c>
      <c r="Q283" s="311" t="str">
        <f t="shared" si="8"/>
        <v/>
      </c>
      <c r="R283" s="309" t="str">
        <f t="shared" si="9"/>
        <v/>
      </c>
      <c r="S283" s="308" t="str">
        <f t="shared" si="10"/>
        <v/>
      </c>
      <c r="T283" s="309" t="str">
        <f t="shared" si="11"/>
        <v/>
      </c>
      <c r="U283" s="309" t="str">
        <f t="shared" si="12"/>
        <v/>
      </c>
      <c r="V283" s="308" t="str">
        <f t="shared" si="13"/>
        <v/>
      </c>
      <c r="W283" s="309" t="str">
        <f t="shared" si="14"/>
        <v/>
      </c>
      <c r="X283" s="309" t="str">
        <f t="shared" si="15"/>
        <v/>
      </c>
      <c r="Y283" s="308" t="str">
        <f t="shared" si="16"/>
        <v/>
      </c>
      <c r="Z283" s="309" t="str">
        <f t="shared" si="17"/>
        <v/>
      </c>
      <c r="AA283" s="312" t="str">
        <f t="shared" si="18"/>
        <v/>
      </c>
      <c r="AB283" s="308" t="str">
        <f t="shared" si="19"/>
        <v/>
      </c>
      <c r="AC283" s="308" t="str">
        <f t="shared" si="20"/>
        <v/>
      </c>
      <c r="AD283" s="312" t="str">
        <f t="shared" si="21"/>
        <v/>
      </c>
      <c r="AE283" s="308" t="str">
        <f t="shared" si="22"/>
        <v/>
      </c>
      <c r="AF283" s="313" t="str">
        <f t="shared" si="23"/>
        <v/>
      </c>
      <c r="AG283" s="304" t="str">
        <f t="shared" si="24"/>
        <v/>
      </c>
      <c r="AH283" s="308" t="str">
        <f t="shared" si="25"/>
        <v/>
      </c>
      <c r="AI283" s="313" t="str">
        <f t="shared" si="26"/>
        <v/>
      </c>
      <c r="AJ283" s="304" t="str">
        <f t="shared" si="27"/>
        <v/>
      </c>
      <c r="AK283" s="308" t="str">
        <f t="shared" si="28"/>
        <v/>
      </c>
      <c r="AL283" s="308" t="str">
        <f t="shared" si="29"/>
        <v/>
      </c>
      <c r="AM283" s="304" t="str">
        <f t="shared" si="30"/>
        <v/>
      </c>
      <c r="AN283" s="308" t="str">
        <f t="shared" si="31"/>
        <v/>
      </c>
      <c r="AO283" s="313" t="str">
        <f t="shared" si="32"/>
        <v/>
      </c>
      <c r="AP283" s="304" t="str">
        <f t="shared" si="33"/>
        <v/>
      </c>
      <c r="AQ283" s="308" t="str">
        <f t="shared" si="34"/>
        <v/>
      </c>
      <c r="AR283" s="313" t="str">
        <f t="shared" si="35"/>
        <v/>
      </c>
      <c r="AS283" s="304" t="str">
        <f t="shared" si="36"/>
        <v/>
      </c>
      <c r="AT283" s="308" t="str">
        <f t="shared" si="37"/>
        <v/>
      </c>
      <c r="AU283" s="308" t="str">
        <f t="shared" si="38"/>
        <v/>
      </c>
      <c r="AV283" s="304" t="str">
        <f t="shared" si="39"/>
        <v/>
      </c>
      <c r="AW283" s="308" t="str">
        <f t="shared" si="40"/>
        <v/>
      </c>
      <c r="AX283" s="308" t="str">
        <f t="shared" si="41"/>
        <v/>
      </c>
      <c r="AY283" s="304" t="str">
        <f t="shared" si="42"/>
        <v/>
      </c>
      <c r="AZ283" s="308" t="str">
        <f t="shared" si="43"/>
        <v/>
      </c>
      <c r="BA283" s="313" t="str">
        <f t="shared" si="44"/>
        <v/>
      </c>
      <c r="BB283" s="304" t="str">
        <f t="shared" si="45"/>
        <v/>
      </c>
      <c r="BC283" s="308" t="str">
        <f t="shared" si="46"/>
        <v/>
      </c>
      <c r="BD283" s="308" t="str">
        <f t="shared" si="47"/>
        <v/>
      </c>
    </row>
    <row r="284">
      <c r="A284" s="298"/>
      <c r="B284" s="299"/>
      <c r="C284" s="300"/>
      <c r="D284" s="301" t="str">
        <f>IFERROR(__xludf.DUMMYFUNCTION("if(ISBLANK(A284),"""",GOOGLEFINANCE(A284,""NAME""))"),"")</f>
        <v/>
      </c>
      <c r="E284" s="302">
        <v>5000.0</v>
      </c>
      <c r="F284" s="303" t="str">
        <f>IFERROR(__xludf.DUMMYFUNCTION("if(ISBLANK(A284),"""",GOOGLEFINANCE(A284,""HIGH52""))"),"")</f>
        <v/>
      </c>
      <c r="G284" s="303" t="str">
        <f>IFERROR(__xludf.DUMMYFUNCTION("if(ISBLANK(A284),"""",GOOGLEFINANCE(A284,""LOW52""))"),"")</f>
        <v/>
      </c>
      <c r="H284" s="304" t="str">
        <f>IFERROR(__xludf.DUMMYFUNCTION("if(ISBLANK(A284),"""",GOOGLEFINANCE(A284,""Price""))"),"")</f>
        <v/>
      </c>
      <c r="I284" s="305" t="str">
        <f t="shared" si="1"/>
        <v/>
      </c>
      <c r="J284" s="306" t="str">
        <f t="shared" si="2"/>
        <v/>
      </c>
      <c r="K284" s="307" t="str">
        <f>IFERROR(__xludf.DUMMYFUNCTION("if(ISBLANK(A284),"""",googlefinance(A284,""Marketcap"")/10000000)"),"")</f>
        <v/>
      </c>
      <c r="L284" s="309" t="str">
        <f t="shared" si="3"/>
        <v/>
      </c>
      <c r="M284" s="308" t="str">
        <f t="shared" si="4"/>
        <v/>
      </c>
      <c r="N284" s="309" t="str">
        <f t="shared" si="5"/>
        <v/>
      </c>
      <c r="O284" s="322" t="str">
        <f t="shared" si="6"/>
        <v/>
      </c>
      <c r="P284" s="308" t="str">
        <f t="shared" si="7"/>
        <v/>
      </c>
      <c r="Q284" s="311" t="str">
        <f t="shared" si="8"/>
        <v/>
      </c>
      <c r="R284" s="309" t="str">
        <f t="shared" si="9"/>
        <v/>
      </c>
      <c r="S284" s="308" t="str">
        <f t="shared" si="10"/>
        <v/>
      </c>
      <c r="T284" s="309" t="str">
        <f t="shared" si="11"/>
        <v/>
      </c>
      <c r="U284" s="309" t="str">
        <f t="shared" si="12"/>
        <v/>
      </c>
      <c r="V284" s="308" t="str">
        <f t="shared" si="13"/>
        <v/>
      </c>
      <c r="W284" s="309" t="str">
        <f t="shared" si="14"/>
        <v/>
      </c>
      <c r="X284" s="309" t="str">
        <f t="shared" si="15"/>
        <v/>
      </c>
      <c r="Y284" s="308" t="str">
        <f t="shared" si="16"/>
        <v/>
      </c>
      <c r="Z284" s="309" t="str">
        <f t="shared" si="17"/>
        <v/>
      </c>
      <c r="AA284" s="312" t="str">
        <f t="shared" si="18"/>
        <v/>
      </c>
      <c r="AB284" s="308" t="str">
        <f t="shared" si="19"/>
        <v/>
      </c>
      <c r="AC284" s="308" t="str">
        <f t="shared" si="20"/>
        <v/>
      </c>
      <c r="AD284" s="312" t="str">
        <f t="shared" si="21"/>
        <v/>
      </c>
      <c r="AE284" s="308" t="str">
        <f t="shared" si="22"/>
        <v/>
      </c>
      <c r="AF284" s="313" t="str">
        <f t="shared" si="23"/>
        <v/>
      </c>
      <c r="AG284" s="304" t="str">
        <f t="shared" si="24"/>
        <v/>
      </c>
      <c r="AH284" s="308" t="str">
        <f t="shared" si="25"/>
        <v/>
      </c>
      <c r="AI284" s="313" t="str">
        <f t="shared" si="26"/>
        <v/>
      </c>
      <c r="AJ284" s="304" t="str">
        <f t="shared" si="27"/>
        <v/>
      </c>
      <c r="AK284" s="308" t="str">
        <f t="shared" si="28"/>
        <v/>
      </c>
      <c r="AL284" s="308" t="str">
        <f t="shared" si="29"/>
        <v/>
      </c>
      <c r="AM284" s="304" t="str">
        <f t="shared" si="30"/>
        <v/>
      </c>
      <c r="AN284" s="308" t="str">
        <f t="shared" si="31"/>
        <v/>
      </c>
      <c r="AO284" s="313" t="str">
        <f t="shared" si="32"/>
        <v/>
      </c>
      <c r="AP284" s="304" t="str">
        <f t="shared" si="33"/>
        <v/>
      </c>
      <c r="AQ284" s="308" t="str">
        <f t="shared" si="34"/>
        <v/>
      </c>
      <c r="AR284" s="313" t="str">
        <f t="shared" si="35"/>
        <v/>
      </c>
      <c r="AS284" s="304" t="str">
        <f t="shared" si="36"/>
        <v/>
      </c>
      <c r="AT284" s="308" t="str">
        <f t="shared" si="37"/>
        <v/>
      </c>
      <c r="AU284" s="308" t="str">
        <f t="shared" si="38"/>
        <v/>
      </c>
      <c r="AV284" s="304" t="str">
        <f t="shared" si="39"/>
        <v/>
      </c>
      <c r="AW284" s="308" t="str">
        <f t="shared" si="40"/>
        <v/>
      </c>
      <c r="AX284" s="308" t="str">
        <f t="shared" si="41"/>
        <v/>
      </c>
      <c r="AY284" s="304" t="str">
        <f t="shared" si="42"/>
        <v/>
      </c>
      <c r="AZ284" s="308" t="str">
        <f t="shared" si="43"/>
        <v/>
      </c>
      <c r="BA284" s="313" t="str">
        <f t="shared" si="44"/>
        <v/>
      </c>
      <c r="BB284" s="304" t="str">
        <f t="shared" si="45"/>
        <v/>
      </c>
      <c r="BC284" s="308" t="str">
        <f t="shared" si="46"/>
        <v/>
      </c>
      <c r="BD284" s="308" t="str">
        <f t="shared" si="47"/>
        <v/>
      </c>
    </row>
    <row r="285">
      <c r="A285" s="298"/>
      <c r="B285" s="299"/>
      <c r="C285" s="300"/>
      <c r="D285" s="301" t="str">
        <f>IFERROR(__xludf.DUMMYFUNCTION("if(ISBLANK(A285),"""",GOOGLEFINANCE(A285,""NAME""))"),"")</f>
        <v/>
      </c>
      <c r="E285" s="302">
        <v>5000.0</v>
      </c>
      <c r="F285" s="303" t="str">
        <f>IFERROR(__xludf.DUMMYFUNCTION("if(ISBLANK(A285),"""",GOOGLEFINANCE(A285,""HIGH52""))"),"")</f>
        <v/>
      </c>
      <c r="G285" s="303" t="str">
        <f>IFERROR(__xludf.DUMMYFUNCTION("if(ISBLANK(A285),"""",GOOGLEFINANCE(A285,""LOW52""))"),"")</f>
        <v/>
      </c>
      <c r="H285" s="304" t="str">
        <f>IFERROR(__xludf.DUMMYFUNCTION("if(ISBLANK(A285),"""",GOOGLEFINANCE(A285,""Price""))"),"")</f>
        <v/>
      </c>
      <c r="I285" s="305" t="str">
        <f t="shared" si="1"/>
        <v/>
      </c>
      <c r="J285" s="306" t="str">
        <f t="shared" si="2"/>
        <v/>
      </c>
      <c r="K285" s="307" t="str">
        <f>IFERROR(__xludf.DUMMYFUNCTION("if(ISBLANK(A285),"""",googlefinance(A285,""Marketcap"")/10000000)"),"")</f>
        <v/>
      </c>
      <c r="L285" s="309" t="str">
        <f t="shared" si="3"/>
        <v/>
      </c>
      <c r="M285" s="308" t="str">
        <f t="shared" si="4"/>
        <v/>
      </c>
      <c r="N285" s="309" t="str">
        <f t="shared" si="5"/>
        <v/>
      </c>
      <c r="O285" s="322" t="str">
        <f t="shared" si="6"/>
        <v/>
      </c>
      <c r="P285" s="308" t="str">
        <f t="shared" si="7"/>
        <v/>
      </c>
      <c r="Q285" s="311" t="str">
        <f t="shared" si="8"/>
        <v/>
      </c>
      <c r="R285" s="309" t="str">
        <f t="shared" si="9"/>
        <v/>
      </c>
      <c r="S285" s="308" t="str">
        <f t="shared" si="10"/>
        <v/>
      </c>
      <c r="T285" s="309" t="str">
        <f t="shared" si="11"/>
        <v/>
      </c>
      <c r="U285" s="309" t="str">
        <f t="shared" si="12"/>
        <v/>
      </c>
      <c r="V285" s="308" t="str">
        <f t="shared" si="13"/>
        <v/>
      </c>
      <c r="W285" s="309" t="str">
        <f t="shared" si="14"/>
        <v/>
      </c>
      <c r="X285" s="309" t="str">
        <f t="shared" si="15"/>
        <v/>
      </c>
      <c r="Y285" s="308" t="str">
        <f t="shared" si="16"/>
        <v/>
      </c>
      <c r="Z285" s="309" t="str">
        <f t="shared" si="17"/>
        <v/>
      </c>
      <c r="AA285" s="312" t="str">
        <f t="shared" si="18"/>
        <v/>
      </c>
      <c r="AB285" s="308" t="str">
        <f t="shared" si="19"/>
        <v/>
      </c>
      <c r="AC285" s="308" t="str">
        <f t="shared" si="20"/>
        <v/>
      </c>
      <c r="AD285" s="312" t="str">
        <f t="shared" si="21"/>
        <v/>
      </c>
      <c r="AE285" s="308" t="str">
        <f t="shared" si="22"/>
        <v/>
      </c>
      <c r="AF285" s="313" t="str">
        <f t="shared" si="23"/>
        <v/>
      </c>
      <c r="AG285" s="304" t="str">
        <f t="shared" si="24"/>
        <v/>
      </c>
      <c r="AH285" s="308" t="str">
        <f t="shared" si="25"/>
        <v/>
      </c>
      <c r="AI285" s="313" t="str">
        <f t="shared" si="26"/>
        <v/>
      </c>
      <c r="AJ285" s="304" t="str">
        <f t="shared" si="27"/>
        <v/>
      </c>
      <c r="AK285" s="308" t="str">
        <f t="shared" si="28"/>
        <v/>
      </c>
      <c r="AL285" s="308" t="str">
        <f t="shared" si="29"/>
        <v/>
      </c>
      <c r="AM285" s="304" t="str">
        <f t="shared" si="30"/>
        <v/>
      </c>
      <c r="AN285" s="308" t="str">
        <f t="shared" si="31"/>
        <v/>
      </c>
      <c r="AO285" s="313" t="str">
        <f t="shared" si="32"/>
        <v/>
      </c>
      <c r="AP285" s="304" t="str">
        <f t="shared" si="33"/>
        <v/>
      </c>
      <c r="AQ285" s="308" t="str">
        <f t="shared" si="34"/>
        <v/>
      </c>
      <c r="AR285" s="313" t="str">
        <f t="shared" si="35"/>
        <v/>
      </c>
      <c r="AS285" s="304" t="str">
        <f t="shared" si="36"/>
        <v/>
      </c>
      <c r="AT285" s="308" t="str">
        <f t="shared" si="37"/>
        <v/>
      </c>
      <c r="AU285" s="308" t="str">
        <f t="shared" si="38"/>
        <v/>
      </c>
      <c r="AV285" s="304" t="str">
        <f t="shared" si="39"/>
        <v/>
      </c>
      <c r="AW285" s="308" t="str">
        <f t="shared" si="40"/>
        <v/>
      </c>
      <c r="AX285" s="308" t="str">
        <f t="shared" si="41"/>
        <v/>
      </c>
      <c r="AY285" s="304" t="str">
        <f t="shared" si="42"/>
        <v/>
      </c>
      <c r="AZ285" s="308" t="str">
        <f t="shared" si="43"/>
        <v/>
      </c>
      <c r="BA285" s="313" t="str">
        <f t="shared" si="44"/>
        <v/>
      </c>
      <c r="BB285" s="304" t="str">
        <f t="shared" si="45"/>
        <v/>
      </c>
      <c r="BC285" s="308" t="str">
        <f t="shared" si="46"/>
        <v/>
      </c>
      <c r="BD285" s="308" t="str">
        <f t="shared" si="47"/>
        <v/>
      </c>
    </row>
    <row r="286">
      <c r="A286" s="298"/>
      <c r="B286" s="299"/>
      <c r="C286" s="300"/>
      <c r="D286" s="301" t="str">
        <f>IFERROR(__xludf.DUMMYFUNCTION("if(ISBLANK(A286),"""",GOOGLEFINANCE(A286,""NAME""))"),"")</f>
        <v/>
      </c>
      <c r="E286" s="302">
        <v>5000.0</v>
      </c>
      <c r="F286" s="303" t="str">
        <f>IFERROR(__xludf.DUMMYFUNCTION("if(ISBLANK(A286),"""",GOOGLEFINANCE(A286,""HIGH52""))"),"")</f>
        <v/>
      </c>
      <c r="G286" s="303" t="str">
        <f>IFERROR(__xludf.DUMMYFUNCTION("if(ISBLANK(A286),"""",GOOGLEFINANCE(A286,""LOW52""))"),"")</f>
        <v/>
      </c>
      <c r="H286" s="304" t="str">
        <f>IFERROR(__xludf.DUMMYFUNCTION("if(ISBLANK(A286),"""",GOOGLEFINANCE(A286,""Price""))"),"")</f>
        <v/>
      </c>
      <c r="I286" s="305" t="str">
        <f t="shared" si="1"/>
        <v/>
      </c>
      <c r="J286" s="306" t="str">
        <f t="shared" si="2"/>
        <v/>
      </c>
      <c r="K286" s="307" t="str">
        <f>IFERROR(__xludf.DUMMYFUNCTION("if(ISBLANK(A286),"""",googlefinance(A286,""Marketcap"")/10000000)"),"")</f>
        <v/>
      </c>
      <c r="L286" s="309" t="str">
        <f t="shared" si="3"/>
        <v/>
      </c>
      <c r="M286" s="308" t="str">
        <f t="shared" si="4"/>
        <v/>
      </c>
      <c r="N286" s="309" t="str">
        <f t="shared" si="5"/>
        <v/>
      </c>
      <c r="O286" s="322" t="str">
        <f t="shared" si="6"/>
        <v/>
      </c>
      <c r="P286" s="308" t="str">
        <f t="shared" si="7"/>
        <v/>
      </c>
      <c r="Q286" s="311" t="str">
        <f t="shared" si="8"/>
        <v/>
      </c>
      <c r="R286" s="309" t="str">
        <f t="shared" si="9"/>
        <v/>
      </c>
      <c r="S286" s="308" t="str">
        <f t="shared" si="10"/>
        <v/>
      </c>
      <c r="T286" s="309" t="str">
        <f t="shared" si="11"/>
        <v/>
      </c>
      <c r="U286" s="309" t="str">
        <f t="shared" si="12"/>
        <v/>
      </c>
      <c r="V286" s="308" t="str">
        <f t="shared" si="13"/>
        <v/>
      </c>
      <c r="W286" s="309" t="str">
        <f t="shared" si="14"/>
        <v/>
      </c>
      <c r="X286" s="309" t="str">
        <f t="shared" si="15"/>
        <v/>
      </c>
      <c r="Y286" s="308" t="str">
        <f t="shared" si="16"/>
        <v/>
      </c>
      <c r="Z286" s="309" t="str">
        <f t="shared" si="17"/>
        <v/>
      </c>
      <c r="AA286" s="312" t="str">
        <f t="shared" si="18"/>
        <v/>
      </c>
      <c r="AB286" s="308" t="str">
        <f t="shared" si="19"/>
        <v/>
      </c>
      <c r="AC286" s="308" t="str">
        <f t="shared" si="20"/>
        <v/>
      </c>
      <c r="AD286" s="312" t="str">
        <f t="shared" si="21"/>
        <v/>
      </c>
      <c r="AE286" s="308" t="str">
        <f t="shared" si="22"/>
        <v/>
      </c>
      <c r="AF286" s="313" t="str">
        <f t="shared" si="23"/>
        <v/>
      </c>
      <c r="AG286" s="304" t="str">
        <f t="shared" si="24"/>
        <v/>
      </c>
      <c r="AH286" s="308" t="str">
        <f t="shared" si="25"/>
        <v/>
      </c>
      <c r="AI286" s="313" t="str">
        <f t="shared" si="26"/>
        <v/>
      </c>
      <c r="AJ286" s="304" t="str">
        <f t="shared" si="27"/>
        <v/>
      </c>
      <c r="AK286" s="308" t="str">
        <f t="shared" si="28"/>
        <v/>
      </c>
      <c r="AL286" s="308" t="str">
        <f t="shared" si="29"/>
        <v/>
      </c>
      <c r="AM286" s="304" t="str">
        <f t="shared" si="30"/>
        <v/>
      </c>
      <c r="AN286" s="308" t="str">
        <f t="shared" si="31"/>
        <v/>
      </c>
      <c r="AO286" s="313" t="str">
        <f t="shared" si="32"/>
        <v/>
      </c>
      <c r="AP286" s="304" t="str">
        <f t="shared" si="33"/>
        <v/>
      </c>
      <c r="AQ286" s="308" t="str">
        <f t="shared" si="34"/>
        <v/>
      </c>
      <c r="AR286" s="313" t="str">
        <f t="shared" si="35"/>
        <v/>
      </c>
      <c r="AS286" s="304" t="str">
        <f t="shared" si="36"/>
        <v/>
      </c>
      <c r="AT286" s="308" t="str">
        <f t="shared" si="37"/>
        <v/>
      </c>
      <c r="AU286" s="308" t="str">
        <f t="shared" si="38"/>
        <v/>
      </c>
      <c r="AV286" s="304" t="str">
        <f t="shared" si="39"/>
        <v/>
      </c>
      <c r="AW286" s="308" t="str">
        <f t="shared" si="40"/>
        <v/>
      </c>
      <c r="AX286" s="308" t="str">
        <f t="shared" si="41"/>
        <v/>
      </c>
      <c r="AY286" s="304" t="str">
        <f t="shared" si="42"/>
        <v/>
      </c>
      <c r="AZ286" s="308" t="str">
        <f t="shared" si="43"/>
        <v/>
      </c>
      <c r="BA286" s="313" t="str">
        <f t="shared" si="44"/>
        <v/>
      </c>
      <c r="BB286" s="304" t="str">
        <f t="shared" si="45"/>
        <v/>
      </c>
      <c r="BC286" s="308" t="str">
        <f t="shared" si="46"/>
        <v/>
      </c>
      <c r="BD286" s="308" t="str">
        <f t="shared" si="47"/>
        <v/>
      </c>
    </row>
    <row r="287">
      <c r="A287" s="298"/>
      <c r="B287" s="299"/>
      <c r="C287" s="300"/>
      <c r="D287" s="301" t="str">
        <f>IFERROR(__xludf.DUMMYFUNCTION("if(ISBLANK(A287),"""",GOOGLEFINANCE(A287,""NAME""))"),"")</f>
        <v/>
      </c>
      <c r="E287" s="302">
        <v>5000.0</v>
      </c>
      <c r="F287" s="303" t="str">
        <f>IFERROR(__xludf.DUMMYFUNCTION("if(ISBLANK(A287),"""",GOOGLEFINANCE(A287,""HIGH52""))"),"")</f>
        <v/>
      </c>
      <c r="G287" s="303" t="str">
        <f>IFERROR(__xludf.DUMMYFUNCTION("if(ISBLANK(A287),"""",GOOGLEFINANCE(A287,""LOW52""))"),"")</f>
        <v/>
      </c>
      <c r="H287" s="304" t="str">
        <f>IFERROR(__xludf.DUMMYFUNCTION("if(ISBLANK(A287),"""",GOOGLEFINANCE(A287,""Price""))"),"")</f>
        <v/>
      </c>
      <c r="I287" s="305" t="str">
        <f t="shared" si="1"/>
        <v/>
      </c>
      <c r="J287" s="306" t="str">
        <f t="shared" si="2"/>
        <v/>
      </c>
      <c r="K287" s="307" t="str">
        <f>IFERROR(__xludf.DUMMYFUNCTION("if(ISBLANK(A287),"""",googlefinance(A287,""Marketcap"")/10000000)"),"")</f>
        <v/>
      </c>
      <c r="L287" s="309" t="str">
        <f t="shared" si="3"/>
        <v/>
      </c>
      <c r="M287" s="308" t="str">
        <f t="shared" si="4"/>
        <v/>
      </c>
      <c r="N287" s="309" t="str">
        <f t="shared" si="5"/>
        <v/>
      </c>
      <c r="O287" s="322" t="str">
        <f t="shared" si="6"/>
        <v/>
      </c>
      <c r="P287" s="308" t="str">
        <f t="shared" si="7"/>
        <v/>
      </c>
      <c r="Q287" s="311" t="str">
        <f t="shared" si="8"/>
        <v/>
      </c>
      <c r="R287" s="309" t="str">
        <f t="shared" si="9"/>
        <v/>
      </c>
      <c r="S287" s="308" t="str">
        <f t="shared" si="10"/>
        <v/>
      </c>
      <c r="T287" s="309" t="str">
        <f t="shared" si="11"/>
        <v/>
      </c>
      <c r="U287" s="309" t="str">
        <f t="shared" si="12"/>
        <v/>
      </c>
      <c r="V287" s="308" t="str">
        <f t="shared" si="13"/>
        <v/>
      </c>
      <c r="W287" s="309" t="str">
        <f t="shared" si="14"/>
        <v/>
      </c>
      <c r="X287" s="309" t="str">
        <f t="shared" si="15"/>
        <v/>
      </c>
      <c r="Y287" s="308" t="str">
        <f t="shared" si="16"/>
        <v/>
      </c>
      <c r="Z287" s="309" t="str">
        <f t="shared" si="17"/>
        <v/>
      </c>
      <c r="AA287" s="312" t="str">
        <f t="shared" si="18"/>
        <v/>
      </c>
      <c r="AB287" s="308" t="str">
        <f t="shared" si="19"/>
        <v/>
      </c>
      <c r="AC287" s="308" t="str">
        <f t="shared" si="20"/>
        <v/>
      </c>
      <c r="AD287" s="312" t="str">
        <f t="shared" si="21"/>
        <v/>
      </c>
      <c r="AE287" s="308" t="str">
        <f t="shared" si="22"/>
        <v/>
      </c>
      <c r="AF287" s="313" t="str">
        <f t="shared" si="23"/>
        <v/>
      </c>
      <c r="AG287" s="304" t="str">
        <f t="shared" si="24"/>
        <v/>
      </c>
      <c r="AH287" s="308" t="str">
        <f t="shared" si="25"/>
        <v/>
      </c>
      <c r="AI287" s="313" t="str">
        <f t="shared" si="26"/>
        <v/>
      </c>
      <c r="AJ287" s="304" t="str">
        <f t="shared" si="27"/>
        <v/>
      </c>
      <c r="AK287" s="308" t="str">
        <f t="shared" si="28"/>
        <v/>
      </c>
      <c r="AL287" s="308" t="str">
        <f t="shared" si="29"/>
        <v/>
      </c>
      <c r="AM287" s="304" t="str">
        <f t="shared" si="30"/>
        <v/>
      </c>
      <c r="AN287" s="308" t="str">
        <f t="shared" si="31"/>
        <v/>
      </c>
      <c r="AO287" s="313" t="str">
        <f t="shared" si="32"/>
        <v/>
      </c>
      <c r="AP287" s="304" t="str">
        <f t="shared" si="33"/>
        <v/>
      </c>
      <c r="AQ287" s="308" t="str">
        <f t="shared" si="34"/>
        <v/>
      </c>
      <c r="AR287" s="313" t="str">
        <f t="shared" si="35"/>
        <v/>
      </c>
      <c r="AS287" s="304" t="str">
        <f t="shared" si="36"/>
        <v/>
      </c>
      <c r="AT287" s="308" t="str">
        <f t="shared" si="37"/>
        <v/>
      </c>
      <c r="AU287" s="308" t="str">
        <f t="shared" si="38"/>
        <v/>
      </c>
      <c r="AV287" s="304" t="str">
        <f t="shared" si="39"/>
        <v/>
      </c>
      <c r="AW287" s="308" t="str">
        <f t="shared" si="40"/>
        <v/>
      </c>
      <c r="AX287" s="308" t="str">
        <f t="shared" si="41"/>
        <v/>
      </c>
      <c r="AY287" s="304" t="str">
        <f t="shared" si="42"/>
        <v/>
      </c>
      <c r="AZ287" s="308" t="str">
        <f t="shared" si="43"/>
        <v/>
      </c>
      <c r="BA287" s="313" t="str">
        <f t="shared" si="44"/>
        <v/>
      </c>
      <c r="BB287" s="304" t="str">
        <f t="shared" si="45"/>
        <v/>
      </c>
      <c r="BC287" s="308" t="str">
        <f t="shared" si="46"/>
        <v/>
      </c>
      <c r="BD287" s="308" t="str">
        <f t="shared" si="47"/>
        <v/>
      </c>
    </row>
    <row r="288">
      <c r="A288" s="298"/>
      <c r="B288" s="299"/>
      <c r="C288" s="300"/>
      <c r="D288" s="301" t="str">
        <f>IFERROR(__xludf.DUMMYFUNCTION("if(ISBLANK(A288),"""",GOOGLEFINANCE(A288,""NAME""))"),"")</f>
        <v/>
      </c>
      <c r="E288" s="302">
        <v>5000.0</v>
      </c>
      <c r="F288" s="303" t="str">
        <f>IFERROR(__xludf.DUMMYFUNCTION("if(ISBLANK(A288),"""",GOOGLEFINANCE(A288,""HIGH52""))"),"")</f>
        <v/>
      </c>
      <c r="G288" s="303" t="str">
        <f>IFERROR(__xludf.DUMMYFUNCTION("if(ISBLANK(A288),"""",GOOGLEFINANCE(A288,""LOW52""))"),"")</f>
        <v/>
      </c>
      <c r="H288" s="304" t="str">
        <f>IFERROR(__xludf.DUMMYFUNCTION("if(ISBLANK(A288),"""",GOOGLEFINANCE(A288,""Price""))"),"")</f>
        <v/>
      </c>
      <c r="I288" s="305" t="str">
        <f t="shared" si="1"/>
        <v/>
      </c>
      <c r="J288" s="306" t="str">
        <f t="shared" si="2"/>
        <v/>
      </c>
      <c r="K288" s="307" t="str">
        <f>IFERROR(__xludf.DUMMYFUNCTION("if(ISBLANK(A288),"""",googlefinance(A288,""Marketcap"")/10000000)"),"")</f>
        <v/>
      </c>
      <c r="L288" s="309" t="str">
        <f t="shared" si="3"/>
        <v/>
      </c>
      <c r="M288" s="308" t="str">
        <f t="shared" si="4"/>
        <v/>
      </c>
      <c r="N288" s="309" t="str">
        <f t="shared" si="5"/>
        <v/>
      </c>
      <c r="O288" s="322" t="str">
        <f t="shared" si="6"/>
        <v/>
      </c>
      <c r="P288" s="308" t="str">
        <f t="shared" si="7"/>
        <v/>
      </c>
      <c r="Q288" s="311" t="str">
        <f t="shared" si="8"/>
        <v/>
      </c>
      <c r="R288" s="309" t="str">
        <f t="shared" si="9"/>
        <v/>
      </c>
      <c r="S288" s="308" t="str">
        <f t="shared" si="10"/>
        <v/>
      </c>
      <c r="T288" s="309" t="str">
        <f t="shared" si="11"/>
        <v/>
      </c>
      <c r="U288" s="309" t="str">
        <f t="shared" si="12"/>
        <v/>
      </c>
      <c r="V288" s="308" t="str">
        <f t="shared" si="13"/>
        <v/>
      </c>
      <c r="W288" s="309" t="str">
        <f t="shared" si="14"/>
        <v/>
      </c>
      <c r="X288" s="309" t="str">
        <f t="shared" si="15"/>
        <v/>
      </c>
      <c r="Y288" s="308" t="str">
        <f t="shared" si="16"/>
        <v/>
      </c>
      <c r="Z288" s="309" t="str">
        <f t="shared" si="17"/>
        <v/>
      </c>
      <c r="AA288" s="312" t="str">
        <f t="shared" si="18"/>
        <v/>
      </c>
      <c r="AB288" s="308" t="str">
        <f t="shared" si="19"/>
        <v/>
      </c>
      <c r="AC288" s="308" t="str">
        <f t="shared" si="20"/>
        <v/>
      </c>
      <c r="AD288" s="312" t="str">
        <f t="shared" si="21"/>
        <v/>
      </c>
      <c r="AE288" s="308" t="str">
        <f t="shared" si="22"/>
        <v/>
      </c>
      <c r="AF288" s="313" t="str">
        <f t="shared" si="23"/>
        <v/>
      </c>
      <c r="AG288" s="304" t="str">
        <f t="shared" si="24"/>
        <v/>
      </c>
      <c r="AH288" s="308" t="str">
        <f t="shared" si="25"/>
        <v/>
      </c>
      <c r="AI288" s="313" t="str">
        <f t="shared" si="26"/>
        <v/>
      </c>
      <c r="AJ288" s="304" t="str">
        <f t="shared" si="27"/>
        <v/>
      </c>
      <c r="AK288" s="308" t="str">
        <f t="shared" si="28"/>
        <v/>
      </c>
      <c r="AL288" s="308" t="str">
        <f t="shared" si="29"/>
        <v/>
      </c>
      <c r="AM288" s="304" t="str">
        <f t="shared" si="30"/>
        <v/>
      </c>
      <c r="AN288" s="308" t="str">
        <f t="shared" si="31"/>
        <v/>
      </c>
      <c r="AO288" s="313" t="str">
        <f t="shared" si="32"/>
        <v/>
      </c>
      <c r="AP288" s="304" t="str">
        <f t="shared" si="33"/>
        <v/>
      </c>
      <c r="AQ288" s="308" t="str">
        <f t="shared" si="34"/>
        <v/>
      </c>
      <c r="AR288" s="313" t="str">
        <f t="shared" si="35"/>
        <v/>
      </c>
      <c r="AS288" s="304" t="str">
        <f t="shared" si="36"/>
        <v/>
      </c>
      <c r="AT288" s="308" t="str">
        <f t="shared" si="37"/>
        <v/>
      </c>
      <c r="AU288" s="308" t="str">
        <f t="shared" si="38"/>
        <v/>
      </c>
      <c r="AV288" s="304" t="str">
        <f t="shared" si="39"/>
        <v/>
      </c>
      <c r="AW288" s="308" t="str">
        <f t="shared" si="40"/>
        <v/>
      </c>
      <c r="AX288" s="308" t="str">
        <f t="shared" si="41"/>
        <v/>
      </c>
      <c r="AY288" s="304" t="str">
        <f t="shared" si="42"/>
        <v/>
      </c>
      <c r="AZ288" s="308" t="str">
        <f t="shared" si="43"/>
        <v/>
      </c>
      <c r="BA288" s="313" t="str">
        <f t="shared" si="44"/>
        <v/>
      </c>
      <c r="BB288" s="304" t="str">
        <f t="shared" si="45"/>
        <v/>
      </c>
      <c r="BC288" s="308" t="str">
        <f t="shared" si="46"/>
        <v/>
      </c>
      <c r="BD288" s="308" t="str">
        <f t="shared" si="47"/>
        <v/>
      </c>
    </row>
    <row r="289">
      <c r="A289" s="298"/>
      <c r="B289" s="299"/>
      <c r="C289" s="300"/>
      <c r="D289" s="301" t="str">
        <f>IFERROR(__xludf.DUMMYFUNCTION("if(ISBLANK(A289),"""",GOOGLEFINANCE(A289,""NAME""))"),"")</f>
        <v/>
      </c>
      <c r="E289" s="302">
        <v>5000.0</v>
      </c>
      <c r="F289" s="303" t="str">
        <f>IFERROR(__xludf.DUMMYFUNCTION("if(ISBLANK(A289),"""",GOOGLEFINANCE(A289,""HIGH52""))"),"")</f>
        <v/>
      </c>
      <c r="G289" s="303" t="str">
        <f>IFERROR(__xludf.DUMMYFUNCTION("if(ISBLANK(A289),"""",GOOGLEFINANCE(A289,""LOW52""))"),"")</f>
        <v/>
      </c>
      <c r="H289" s="304" t="str">
        <f>IFERROR(__xludf.DUMMYFUNCTION("if(ISBLANK(A289),"""",GOOGLEFINANCE(A289,""Price""))"),"")</f>
        <v/>
      </c>
      <c r="I289" s="305" t="str">
        <f t="shared" si="1"/>
        <v/>
      </c>
      <c r="J289" s="306" t="str">
        <f t="shared" si="2"/>
        <v/>
      </c>
      <c r="K289" s="307" t="str">
        <f>IFERROR(__xludf.DUMMYFUNCTION("if(ISBLANK(A289),"""",googlefinance(A289,""Marketcap"")/10000000)"),"")</f>
        <v/>
      </c>
      <c r="L289" s="309" t="str">
        <f t="shared" si="3"/>
        <v/>
      </c>
      <c r="M289" s="308" t="str">
        <f t="shared" si="4"/>
        <v/>
      </c>
      <c r="N289" s="309" t="str">
        <f t="shared" si="5"/>
        <v/>
      </c>
      <c r="O289" s="322" t="str">
        <f t="shared" si="6"/>
        <v/>
      </c>
      <c r="P289" s="308" t="str">
        <f t="shared" si="7"/>
        <v/>
      </c>
      <c r="Q289" s="311" t="str">
        <f t="shared" si="8"/>
        <v/>
      </c>
      <c r="R289" s="309" t="str">
        <f t="shared" si="9"/>
        <v/>
      </c>
      <c r="S289" s="308" t="str">
        <f t="shared" si="10"/>
        <v/>
      </c>
      <c r="T289" s="309" t="str">
        <f t="shared" si="11"/>
        <v/>
      </c>
      <c r="U289" s="309" t="str">
        <f t="shared" si="12"/>
        <v/>
      </c>
      <c r="V289" s="308" t="str">
        <f t="shared" si="13"/>
        <v/>
      </c>
      <c r="W289" s="309" t="str">
        <f t="shared" si="14"/>
        <v/>
      </c>
      <c r="X289" s="309" t="str">
        <f t="shared" si="15"/>
        <v/>
      </c>
      <c r="Y289" s="308" t="str">
        <f t="shared" si="16"/>
        <v/>
      </c>
      <c r="Z289" s="309" t="str">
        <f t="shared" si="17"/>
        <v/>
      </c>
      <c r="AA289" s="312" t="str">
        <f t="shared" si="18"/>
        <v/>
      </c>
      <c r="AB289" s="308" t="str">
        <f t="shared" si="19"/>
        <v/>
      </c>
      <c r="AC289" s="308" t="str">
        <f t="shared" si="20"/>
        <v/>
      </c>
      <c r="AD289" s="312" t="str">
        <f t="shared" si="21"/>
        <v/>
      </c>
      <c r="AE289" s="308" t="str">
        <f t="shared" si="22"/>
        <v/>
      </c>
      <c r="AF289" s="313" t="str">
        <f t="shared" si="23"/>
        <v/>
      </c>
      <c r="AG289" s="304" t="str">
        <f t="shared" si="24"/>
        <v/>
      </c>
      <c r="AH289" s="308" t="str">
        <f t="shared" si="25"/>
        <v/>
      </c>
      <c r="AI289" s="313" t="str">
        <f t="shared" si="26"/>
        <v/>
      </c>
      <c r="AJ289" s="304" t="str">
        <f t="shared" si="27"/>
        <v/>
      </c>
      <c r="AK289" s="308" t="str">
        <f t="shared" si="28"/>
        <v/>
      </c>
      <c r="AL289" s="308" t="str">
        <f t="shared" si="29"/>
        <v/>
      </c>
      <c r="AM289" s="304" t="str">
        <f t="shared" si="30"/>
        <v/>
      </c>
      <c r="AN289" s="308" t="str">
        <f t="shared" si="31"/>
        <v/>
      </c>
      <c r="AO289" s="313" t="str">
        <f t="shared" si="32"/>
        <v/>
      </c>
      <c r="AP289" s="304" t="str">
        <f t="shared" si="33"/>
        <v/>
      </c>
      <c r="AQ289" s="308" t="str">
        <f t="shared" si="34"/>
        <v/>
      </c>
      <c r="AR289" s="313" t="str">
        <f t="shared" si="35"/>
        <v/>
      </c>
      <c r="AS289" s="304" t="str">
        <f t="shared" si="36"/>
        <v/>
      </c>
      <c r="AT289" s="308" t="str">
        <f t="shared" si="37"/>
        <v/>
      </c>
      <c r="AU289" s="308" t="str">
        <f t="shared" si="38"/>
        <v/>
      </c>
      <c r="AV289" s="304" t="str">
        <f t="shared" si="39"/>
        <v/>
      </c>
      <c r="AW289" s="308" t="str">
        <f t="shared" si="40"/>
        <v/>
      </c>
      <c r="AX289" s="308" t="str">
        <f t="shared" si="41"/>
        <v/>
      </c>
      <c r="AY289" s="304" t="str">
        <f t="shared" si="42"/>
        <v/>
      </c>
      <c r="AZ289" s="308" t="str">
        <f t="shared" si="43"/>
        <v/>
      </c>
      <c r="BA289" s="313" t="str">
        <f t="shared" si="44"/>
        <v/>
      </c>
      <c r="BB289" s="304" t="str">
        <f t="shared" si="45"/>
        <v/>
      </c>
      <c r="BC289" s="308" t="str">
        <f t="shared" si="46"/>
        <v/>
      </c>
      <c r="BD289" s="308" t="str">
        <f t="shared" si="47"/>
        <v/>
      </c>
    </row>
    <row r="290">
      <c r="A290" s="298"/>
      <c r="B290" s="299"/>
      <c r="C290" s="300"/>
      <c r="D290" s="301" t="str">
        <f>IFERROR(__xludf.DUMMYFUNCTION("if(ISBLANK(A290),"""",GOOGLEFINANCE(A290,""NAME""))"),"")</f>
        <v/>
      </c>
      <c r="E290" s="302">
        <v>5000.0</v>
      </c>
      <c r="F290" s="303" t="str">
        <f>IFERROR(__xludf.DUMMYFUNCTION("if(ISBLANK(A290),"""",GOOGLEFINANCE(A290,""HIGH52""))"),"")</f>
        <v/>
      </c>
      <c r="G290" s="303" t="str">
        <f>IFERROR(__xludf.DUMMYFUNCTION("if(ISBLANK(A290),"""",GOOGLEFINANCE(A290,""LOW52""))"),"")</f>
        <v/>
      </c>
      <c r="H290" s="304" t="str">
        <f>IFERROR(__xludf.DUMMYFUNCTION("if(ISBLANK(A290),"""",GOOGLEFINANCE(A290,""Price""))"),"")</f>
        <v/>
      </c>
      <c r="I290" s="305" t="str">
        <f t="shared" si="1"/>
        <v/>
      </c>
      <c r="J290" s="306" t="str">
        <f t="shared" si="2"/>
        <v/>
      </c>
      <c r="K290" s="307" t="str">
        <f>IFERROR(__xludf.DUMMYFUNCTION("if(ISBLANK(A290),"""",googlefinance(A290,""Marketcap"")/10000000)"),"")</f>
        <v/>
      </c>
      <c r="L290" s="309" t="str">
        <f t="shared" si="3"/>
        <v/>
      </c>
      <c r="M290" s="308" t="str">
        <f t="shared" si="4"/>
        <v/>
      </c>
      <c r="N290" s="309" t="str">
        <f t="shared" si="5"/>
        <v/>
      </c>
      <c r="O290" s="322" t="str">
        <f t="shared" si="6"/>
        <v/>
      </c>
      <c r="P290" s="308" t="str">
        <f t="shared" si="7"/>
        <v/>
      </c>
      <c r="Q290" s="311" t="str">
        <f t="shared" si="8"/>
        <v/>
      </c>
      <c r="R290" s="309" t="str">
        <f t="shared" si="9"/>
        <v/>
      </c>
      <c r="S290" s="308" t="str">
        <f t="shared" si="10"/>
        <v/>
      </c>
      <c r="T290" s="309" t="str">
        <f t="shared" si="11"/>
        <v/>
      </c>
      <c r="U290" s="309" t="str">
        <f t="shared" si="12"/>
        <v/>
      </c>
      <c r="V290" s="308" t="str">
        <f t="shared" si="13"/>
        <v/>
      </c>
      <c r="W290" s="309" t="str">
        <f t="shared" si="14"/>
        <v/>
      </c>
      <c r="X290" s="309" t="str">
        <f t="shared" si="15"/>
        <v/>
      </c>
      <c r="Y290" s="308" t="str">
        <f t="shared" si="16"/>
        <v/>
      </c>
      <c r="Z290" s="309" t="str">
        <f t="shared" si="17"/>
        <v/>
      </c>
      <c r="AA290" s="312" t="str">
        <f t="shared" si="18"/>
        <v/>
      </c>
      <c r="AB290" s="308" t="str">
        <f t="shared" si="19"/>
        <v/>
      </c>
      <c r="AC290" s="308" t="str">
        <f t="shared" si="20"/>
        <v/>
      </c>
      <c r="AD290" s="312" t="str">
        <f t="shared" si="21"/>
        <v/>
      </c>
      <c r="AE290" s="308" t="str">
        <f t="shared" si="22"/>
        <v/>
      </c>
      <c r="AF290" s="313" t="str">
        <f t="shared" si="23"/>
        <v/>
      </c>
      <c r="AG290" s="304" t="str">
        <f t="shared" si="24"/>
        <v/>
      </c>
      <c r="AH290" s="308" t="str">
        <f t="shared" si="25"/>
        <v/>
      </c>
      <c r="AI290" s="313" t="str">
        <f t="shared" si="26"/>
        <v/>
      </c>
      <c r="AJ290" s="304" t="str">
        <f t="shared" si="27"/>
        <v/>
      </c>
      <c r="AK290" s="308" t="str">
        <f t="shared" si="28"/>
        <v/>
      </c>
      <c r="AL290" s="308" t="str">
        <f t="shared" si="29"/>
        <v/>
      </c>
      <c r="AM290" s="304" t="str">
        <f t="shared" si="30"/>
        <v/>
      </c>
      <c r="AN290" s="308" t="str">
        <f t="shared" si="31"/>
        <v/>
      </c>
      <c r="AO290" s="313" t="str">
        <f t="shared" si="32"/>
        <v/>
      </c>
      <c r="AP290" s="304" t="str">
        <f t="shared" si="33"/>
        <v/>
      </c>
      <c r="AQ290" s="308" t="str">
        <f t="shared" si="34"/>
        <v/>
      </c>
      <c r="AR290" s="313" t="str">
        <f t="shared" si="35"/>
        <v/>
      </c>
      <c r="AS290" s="304" t="str">
        <f t="shared" si="36"/>
        <v/>
      </c>
      <c r="AT290" s="308" t="str">
        <f t="shared" si="37"/>
        <v/>
      </c>
      <c r="AU290" s="308" t="str">
        <f t="shared" si="38"/>
        <v/>
      </c>
      <c r="AV290" s="304" t="str">
        <f t="shared" si="39"/>
        <v/>
      </c>
      <c r="AW290" s="308" t="str">
        <f t="shared" si="40"/>
        <v/>
      </c>
      <c r="AX290" s="308" t="str">
        <f t="shared" si="41"/>
        <v/>
      </c>
      <c r="AY290" s="304" t="str">
        <f t="shared" si="42"/>
        <v/>
      </c>
      <c r="AZ290" s="308" t="str">
        <f t="shared" si="43"/>
        <v/>
      </c>
      <c r="BA290" s="313" t="str">
        <f t="shared" si="44"/>
        <v/>
      </c>
      <c r="BB290" s="304" t="str">
        <f t="shared" si="45"/>
        <v/>
      </c>
      <c r="BC290" s="308" t="str">
        <f t="shared" si="46"/>
        <v/>
      </c>
      <c r="BD290" s="308" t="str">
        <f t="shared" si="47"/>
        <v/>
      </c>
    </row>
    <row r="291">
      <c r="A291" s="298"/>
      <c r="B291" s="299"/>
      <c r="C291" s="300"/>
      <c r="D291" s="301" t="str">
        <f>IFERROR(__xludf.DUMMYFUNCTION("if(ISBLANK(A291),"""",GOOGLEFINANCE(A291,""NAME""))"),"")</f>
        <v/>
      </c>
      <c r="E291" s="302">
        <v>5000.0</v>
      </c>
      <c r="F291" s="303" t="str">
        <f>IFERROR(__xludf.DUMMYFUNCTION("if(ISBLANK(A291),"""",GOOGLEFINANCE(A291,""HIGH52""))"),"")</f>
        <v/>
      </c>
      <c r="G291" s="303" t="str">
        <f>IFERROR(__xludf.DUMMYFUNCTION("if(ISBLANK(A291),"""",GOOGLEFINANCE(A291,""LOW52""))"),"")</f>
        <v/>
      </c>
      <c r="H291" s="304" t="str">
        <f>IFERROR(__xludf.DUMMYFUNCTION("if(ISBLANK(A291),"""",GOOGLEFINANCE(A291,""Price""))"),"")</f>
        <v/>
      </c>
      <c r="I291" s="305" t="str">
        <f t="shared" si="1"/>
        <v/>
      </c>
      <c r="J291" s="306" t="str">
        <f t="shared" si="2"/>
        <v/>
      </c>
      <c r="K291" s="307" t="str">
        <f>IFERROR(__xludf.DUMMYFUNCTION("if(ISBLANK(A291),"""",googlefinance(A291,""Marketcap"")/10000000)"),"")</f>
        <v/>
      </c>
      <c r="L291" s="309" t="str">
        <f t="shared" si="3"/>
        <v/>
      </c>
      <c r="M291" s="308" t="str">
        <f t="shared" si="4"/>
        <v/>
      </c>
      <c r="N291" s="309" t="str">
        <f t="shared" si="5"/>
        <v/>
      </c>
      <c r="O291" s="322" t="str">
        <f t="shared" si="6"/>
        <v/>
      </c>
      <c r="P291" s="308" t="str">
        <f t="shared" si="7"/>
        <v/>
      </c>
      <c r="Q291" s="311" t="str">
        <f t="shared" si="8"/>
        <v/>
      </c>
      <c r="R291" s="309" t="str">
        <f t="shared" si="9"/>
        <v/>
      </c>
      <c r="S291" s="308" t="str">
        <f t="shared" si="10"/>
        <v/>
      </c>
      <c r="T291" s="309" t="str">
        <f t="shared" si="11"/>
        <v/>
      </c>
      <c r="U291" s="309" t="str">
        <f t="shared" si="12"/>
        <v/>
      </c>
      <c r="V291" s="308" t="str">
        <f t="shared" si="13"/>
        <v/>
      </c>
      <c r="W291" s="309" t="str">
        <f t="shared" si="14"/>
        <v/>
      </c>
      <c r="X291" s="309" t="str">
        <f t="shared" si="15"/>
        <v/>
      </c>
      <c r="Y291" s="308" t="str">
        <f t="shared" si="16"/>
        <v/>
      </c>
      <c r="Z291" s="309" t="str">
        <f t="shared" si="17"/>
        <v/>
      </c>
      <c r="AA291" s="312" t="str">
        <f t="shared" si="18"/>
        <v/>
      </c>
      <c r="AB291" s="308" t="str">
        <f t="shared" si="19"/>
        <v/>
      </c>
      <c r="AC291" s="308" t="str">
        <f t="shared" si="20"/>
        <v/>
      </c>
      <c r="AD291" s="312" t="str">
        <f t="shared" si="21"/>
        <v/>
      </c>
      <c r="AE291" s="308" t="str">
        <f t="shared" si="22"/>
        <v/>
      </c>
      <c r="AF291" s="313" t="str">
        <f t="shared" si="23"/>
        <v/>
      </c>
      <c r="AG291" s="304" t="str">
        <f t="shared" si="24"/>
        <v/>
      </c>
      <c r="AH291" s="308" t="str">
        <f t="shared" si="25"/>
        <v/>
      </c>
      <c r="AI291" s="313" t="str">
        <f t="shared" si="26"/>
        <v/>
      </c>
      <c r="AJ291" s="304" t="str">
        <f t="shared" si="27"/>
        <v/>
      </c>
      <c r="AK291" s="308" t="str">
        <f t="shared" si="28"/>
        <v/>
      </c>
      <c r="AL291" s="308" t="str">
        <f t="shared" si="29"/>
        <v/>
      </c>
      <c r="AM291" s="304" t="str">
        <f t="shared" si="30"/>
        <v/>
      </c>
      <c r="AN291" s="308" t="str">
        <f t="shared" si="31"/>
        <v/>
      </c>
      <c r="AO291" s="313" t="str">
        <f t="shared" si="32"/>
        <v/>
      </c>
      <c r="AP291" s="304" t="str">
        <f t="shared" si="33"/>
        <v/>
      </c>
      <c r="AQ291" s="308" t="str">
        <f t="shared" si="34"/>
        <v/>
      </c>
      <c r="AR291" s="313" t="str">
        <f t="shared" si="35"/>
        <v/>
      </c>
      <c r="AS291" s="304" t="str">
        <f t="shared" si="36"/>
        <v/>
      </c>
      <c r="AT291" s="308" t="str">
        <f t="shared" si="37"/>
        <v/>
      </c>
      <c r="AU291" s="308" t="str">
        <f t="shared" si="38"/>
        <v/>
      </c>
      <c r="AV291" s="304" t="str">
        <f t="shared" si="39"/>
        <v/>
      </c>
      <c r="AW291" s="308" t="str">
        <f t="shared" si="40"/>
        <v/>
      </c>
      <c r="AX291" s="308" t="str">
        <f t="shared" si="41"/>
        <v/>
      </c>
      <c r="AY291" s="304" t="str">
        <f t="shared" si="42"/>
        <v/>
      </c>
      <c r="AZ291" s="308" t="str">
        <f t="shared" si="43"/>
        <v/>
      </c>
      <c r="BA291" s="313" t="str">
        <f t="shared" si="44"/>
        <v/>
      </c>
      <c r="BB291" s="304" t="str">
        <f t="shared" si="45"/>
        <v/>
      </c>
      <c r="BC291" s="308" t="str">
        <f t="shared" si="46"/>
        <v/>
      </c>
      <c r="BD291" s="308" t="str">
        <f t="shared" si="47"/>
        <v/>
      </c>
    </row>
    <row r="292">
      <c r="A292" s="298"/>
      <c r="B292" s="299"/>
      <c r="C292" s="300"/>
      <c r="D292" s="301" t="str">
        <f>IFERROR(__xludf.DUMMYFUNCTION("if(ISBLANK(A292),"""",GOOGLEFINANCE(A292,""NAME""))"),"")</f>
        <v/>
      </c>
      <c r="E292" s="302">
        <v>5000.0</v>
      </c>
      <c r="F292" s="303" t="str">
        <f>IFERROR(__xludf.DUMMYFUNCTION("if(ISBLANK(A292),"""",GOOGLEFINANCE(A292,""HIGH52""))"),"")</f>
        <v/>
      </c>
      <c r="G292" s="303" t="str">
        <f>IFERROR(__xludf.DUMMYFUNCTION("if(ISBLANK(A292),"""",GOOGLEFINANCE(A292,""LOW52""))"),"")</f>
        <v/>
      </c>
      <c r="H292" s="304" t="str">
        <f>IFERROR(__xludf.DUMMYFUNCTION("if(ISBLANK(A292),"""",GOOGLEFINANCE(A292,""Price""))"),"")</f>
        <v/>
      </c>
      <c r="I292" s="305" t="str">
        <f t="shared" si="1"/>
        <v/>
      </c>
      <c r="J292" s="306" t="str">
        <f t="shared" si="2"/>
        <v/>
      </c>
      <c r="K292" s="307" t="str">
        <f>IFERROR(__xludf.DUMMYFUNCTION("if(ISBLANK(A292),"""",googlefinance(A292,""Marketcap"")/10000000)"),"")</f>
        <v/>
      </c>
      <c r="L292" s="309" t="str">
        <f t="shared" si="3"/>
        <v/>
      </c>
      <c r="M292" s="308" t="str">
        <f t="shared" si="4"/>
        <v/>
      </c>
      <c r="N292" s="309" t="str">
        <f t="shared" si="5"/>
        <v/>
      </c>
      <c r="O292" s="322" t="str">
        <f t="shared" si="6"/>
        <v/>
      </c>
      <c r="P292" s="308" t="str">
        <f t="shared" si="7"/>
        <v/>
      </c>
      <c r="Q292" s="311" t="str">
        <f t="shared" si="8"/>
        <v/>
      </c>
      <c r="R292" s="309" t="str">
        <f t="shared" si="9"/>
        <v/>
      </c>
      <c r="S292" s="308" t="str">
        <f t="shared" si="10"/>
        <v/>
      </c>
      <c r="T292" s="309" t="str">
        <f t="shared" si="11"/>
        <v/>
      </c>
      <c r="U292" s="309" t="str">
        <f t="shared" si="12"/>
        <v/>
      </c>
      <c r="V292" s="308" t="str">
        <f t="shared" si="13"/>
        <v/>
      </c>
      <c r="W292" s="309" t="str">
        <f t="shared" si="14"/>
        <v/>
      </c>
      <c r="X292" s="309" t="str">
        <f t="shared" si="15"/>
        <v/>
      </c>
      <c r="Y292" s="308" t="str">
        <f t="shared" si="16"/>
        <v/>
      </c>
      <c r="Z292" s="309" t="str">
        <f t="shared" si="17"/>
        <v/>
      </c>
      <c r="AA292" s="312" t="str">
        <f t="shared" si="18"/>
        <v/>
      </c>
      <c r="AB292" s="308" t="str">
        <f t="shared" si="19"/>
        <v/>
      </c>
      <c r="AC292" s="308" t="str">
        <f t="shared" si="20"/>
        <v/>
      </c>
      <c r="AD292" s="312" t="str">
        <f t="shared" si="21"/>
        <v/>
      </c>
      <c r="AE292" s="308" t="str">
        <f t="shared" si="22"/>
        <v/>
      </c>
      <c r="AF292" s="313" t="str">
        <f t="shared" si="23"/>
        <v/>
      </c>
      <c r="AG292" s="304" t="str">
        <f t="shared" si="24"/>
        <v/>
      </c>
      <c r="AH292" s="308" t="str">
        <f t="shared" si="25"/>
        <v/>
      </c>
      <c r="AI292" s="313" t="str">
        <f t="shared" si="26"/>
        <v/>
      </c>
      <c r="AJ292" s="304" t="str">
        <f t="shared" si="27"/>
        <v/>
      </c>
      <c r="AK292" s="308" t="str">
        <f t="shared" si="28"/>
        <v/>
      </c>
      <c r="AL292" s="308" t="str">
        <f t="shared" si="29"/>
        <v/>
      </c>
      <c r="AM292" s="304" t="str">
        <f t="shared" si="30"/>
        <v/>
      </c>
      <c r="AN292" s="308" t="str">
        <f t="shared" si="31"/>
        <v/>
      </c>
      <c r="AO292" s="313" t="str">
        <f t="shared" si="32"/>
        <v/>
      </c>
      <c r="AP292" s="304" t="str">
        <f t="shared" si="33"/>
        <v/>
      </c>
      <c r="AQ292" s="308" t="str">
        <f t="shared" si="34"/>
        <v/>
      </c>
      <c r="AR292" s="313" t="str">
        <f t="shared" si="35"/>
        <v/>
      </c>
      <c r="AS292" s="304" t="str">
        <f t="shared" si="36"/>
        <v/>
      </c>
      <c r="AT292" s="308" t="str">
        <f t="shared" si="37"/>
        <v/>
      </c>
      <c r="AU292" s="308" t="str">
        <f t="shared" si="38"/>
        <v/>
      </c>
      <c r="AV292" s="304" t="str">
        <f t="shared" si="39"/>
        <v/>
      </c>
      <c r="AW292" s="308" t="str">
        <f t="shared" si="40"/>
        <v/>
      </c>
      <c r="AX292" s="308" t="str">
        <f t="shared" si="41"/>
        <v/>
      </c>
      <c r="AY292" s="304" t="str">
        <f t="shared" si="42"/>
        <v/>
      </c>
      <c r="AZ292" s="308" t="str">
        <f t="shared" si="43"/>
        <v/>
      </c>
      <c r="BA292" s="313" t="str">
        <f t="shared" si="44"/>
        <v/>
      </c>
      <c r="BB292" s="304" t="str">
        <f t="shared" si="45"/>
        <v/>
      </c>
      <c r="BC292" s="308" t="str">
        <f t="shared" si="46"/>
        <v/>
      </c>
      <c r="BD292" s="308" t="str">
        <f t="shared" si="47"/>
        <v/>
      </c>
    </row>
    <row r="293">
      <c r="A293" s="298"/>
      <c r="B293" s="299"/>
      <c r="C293" s="300"/>
      <c r="D293" s="301" t="str">
        <f>IFERROR(__xludf.DUMMYFUNCTION("if(ISBLANK(A293),"""",GOOGLEFINANCE(A293,""NAME""))"),"")</f>
        <v/>
      </c>
      <c r="E293" s="302">
        <v>5000.0</v>
      </c>
      <c r="F293" s="303" t="str">
        <f>IFERROR(__xludf.DUMMYFUNCTION("if(ISBLANK(A293),"""",GOOGLEFINANCE(A293,""HIGH52""))"),"")</f>
        <v/>
      </c>
      <c r="G293" s="303" t="str">
        <f>IFERROR(__xludf.DUMMYFUNCTION("if(ISBLANK(A293),"""",GOOGLEFINANCE(A293,""LOW52""))"),"")</f>
        <v/>
      </c>
      <c r="H293" s="304" t="str">
        <f>IFERROR(__xludf.DUMMYFUNCTION("if(ISBLANK(A293),"""",GOOGLEFINANCE(A293,""Price""))"),"")</f>
        <v/>
      </c>
      <c r="I293" s="305" t="str">
        <f t="shared" si="1"/>
        <v/>
      </c>
      <c r="J293" s="306" t="str">
        <f t="shared" si="2"/>
        <v/>
      </c>
      <c r="K293" s="307" t="str">
        <f>IFERROR(__xludf.DUMMYFUNCTION("if(ISBLANK(A293),"""",googlefinance(A293,""Marketcap"")/10000000)"),"")</f>
        <v/>
      </c>
      <c r="L293" s="309" t="str">
        <f t="shared" si="3"/>
        <v/>
      </c>
      <c r="M293" s="308" t="str">
        <f t="shared" si="4"/>
        <v/>
      </c>
      <c r="N293" s="309" t="str">
        <f t="shared" si="5"/>
        <v/>
      </c>
      <c r="O293" s="322" t="str">
        <f t="shared" si="6"/>
        <v/>
      </c>
      <c r="P293" s="308" t="str">
        <f t="shared" si="7"/>
        <v/>
      </c>
      <c r="Q293" s="311" t="str">
        <f t="shared" si="8"/>
        <v/>
      </c>
      <c r="R293" s="309" t="str">
        <f t="shared" si="9"/>
        <v/>
      </c>
      <c r="S293" s="308" t="str">
        <f t="shared" si="10"/>
        <v/>
      </c>
      <c r="T293" s="309" t="str">
        <f t="shared" si="11"/>
        <v/>
      </c>
      <c r="U293" s="309" t="str">
        <f t="shared" si="12"/>
        <v/>
      </c>
      <c r="V293" s="308" t="str">
        <f t="shared" si="13"/>
        <v/>
      </c>
      <c r="W293" s="309" t="str">
        <f t="shared" si="14"/>
        <v/>
      </c>
      <c r="X293" s="309" t="str">
        <f t="shared" si="15"/>
        <v/>
      </c>
      <c r="Y293" s="308" t="str">
        <f t="shared" si="16"/>
        <v/>
      </c>
      <c r="Z293" s="309" t="str">
        <f t="shared" si="17"/>
        <v/>
      </c>
      <c r="AA293" s="312" t="str">
        <f t="shared" si="18"/>
        <v/>
      </c>
      <c r="AB293" s="308" t="str">
        <f t="shared" si="19"/>
        <v/>
      </c>
      <c r="AC293" s="308" t="str">
        <f t="shared" si="20"/>
        <v/>
      </c>
      <c r="AD293" s="312" t="str">
        <f t="shared" si="21"/>
        <v/>
      </c>
      <c r="AE293" s="308" t="str">
        <f t="shared" si="22"/>
        <v/>
      </c>
      <c r="AF293" s="313" t="str">
        <f t="shared" si="23"/>
        <v/>
      </c>
      <c r="AG293" s="304" t="str">
        <f t="shared" si="24"/>
        <v/>
      </c>
      <c r="AH293" s="308" t="str">
        <f t="shared" si="25"/>
        <v/>
      </c>
      <c r="AI293" s="313" t="str">
        <f t="shared" si="26"/>
        <v/>
      </c>
      <c r="AJ293" s="304" t="str">
        <f t="shared" si="27"/>
        <v/>
      </c>
      <c r="AK293" s="308" t="str">
        <f t="shared" si="28"/>
        <v/>
      </c>
      <c r="AL293" s="308" t="str">
        <f t="shared" si="29"/>
        <v/>
      </c>
      <c r="AM293" s="304" t="str">
        <f t="shared" si="30"/>
        <v/>
      </c>
      <c r="AN293" s="308" t="str">
        <f t="shared" si="31"/>
        <v/>
      </c>
      <c r="AO293" s="313" t="str">
        <f t="shared" si="32"/>
        <v/>
      </c>
      <c r="AP293" s="304" t="str">
        <f t="shared" si="33"/>
        <v/>
      </c>
      <c r="AQ293" s="308" t="str">
        <f t="shared" si="34"/>
        <v/>
      </c>
      <c r="AR293" s="313" t="str">
        <f t="shared" si="35"/>
        <v/>
      </c>
      <c r="AS293" s="304" t="str">
        <f t="shared" si="36"/>
        <v/>
      </c>
      <c r="AT293" s="308" t="str">
        <f t="shared" si="37"/>
        <v/>
      </c>
      <c r="AU293" s="308" t="str">
        <f t="shared" si="38"/>
        <v/>
      </c>
      <c r="AV293" s="304" t="str">
        <f t="shared" si="39"/>
        <v/>
      </c>
      <c r="AW293" s="308" t="str">
        <f t="shared" si="40"/>
        <v/>
      </c>
      <c r="AX293" s="308" t="str">
        <f t="shared" si="41"/>
        <v/>
      </c>
      <c r="AY293" s="304" t="str">
        <f t="shared" si="42"/>
        <v/>
      </c>
      <c r="AZ293" s="308" t="str">
        <f t="shared" si="43"/>
        <v/>
      </c>
      <c r="BA293" s="313" t="str">
        <f t="shared" si="44"/>
        <v/>
      </c>
      <c r="BB293" s="304" t="str">
        <f t="shared" si="45"/>
        <v/>
      </c>
      <c r="BC293" s="308" t="str">
        <f t="shared" si="46"/>
        <v/>
      </c>
      <c r="BD293" s="308" t="str">
        <f t="shared" si="47"/>
        <v/>
      </c>
    </row>
    <row r="294">
      <c r="A294" s="298"/>
      <c r="B294" s="299"/>
      <c r="C294" s="300"/>
      <c r="D294" s="301" t="str">
        <f>IFERROR(__xludf.DUMMYFUNCTION("if(ISBLANK(A294),"""",GOOGLEFINANCE(A294,""NAME""))"),"")</f>
        <v/>
      </c>
      <c r="E294" s="302">
        <v>5000.0</v>
      </c>
      <c r="F294" s="303" t="str">
        <f>IFERROR(__xludf.DUMMYFUNCTION("if(ISBLANK(A294),"""",GOOGLEFINANCE(A294,""HIGH52""))"),"")</f>
        <v/>
      </c>
      <c r="G294" s="303" t="str">
        <f>IFERROR(__xludf.DUMMYFUNCTION("if(ISBLANK(A294),"""",GOOGLEFINANCE(A294,""LOW52""))"),"")</f>
        <v/>
      </c>
      <c r="H294" s="304" t="str">
        <f>IFERROR(__xludf.DUMMYFUNCTION("if(ISBLANK(A294),"""",GOOGLEFINANCE(A294,""Price""))"),"")</f>
        <v/>
      </c>
      <c r="I294" s="305" t="str">
        <f t="shared" si="1"/>
        <v/>
      </c>
      <c r="J294" s="306" t="str">
        <f t="shared" si="2"/>
        <v/>
      </c>
      <c r="K294" s="307" t="str">
        <f>IFERROR(__xludf.DUMMYFUNCTION("if(ISBLANK(A294),"""",googlefinance(A294,""Marketcap"")/10000000)"),"")</f>
        <v/>
      </c>
      <c r="L294" s="309" t="str">
        <f t="shared" si="3"/>
        <v/>
      </c>
      <c r="M294" s="308" t="str">
        <f t="shared" si="4"/>
        <v/>
      </c>
      <c r="N294" s="309" t="str">
        <f t="shared" si="5"/>
        <v/>
      </c>
      <c r="O294" s="322" t="str">
        <f t="shared" si="6"/>
        <v/>
      </c>
      <c r="P294" s="308" t="str">
        <f t="shared" si="7"/>
        <v/>
      </c>
      <c r="Q294" s="311" t="str">
        <f t="shared" si="8"/>
        <v/>
      </c>
      <c r="R294" s="309" t="str">
        <f t="shared" si="9"/>
        <v/>
      </c>
      <c r="S294" s="308" t="str">
        <f t="shared" si="10"/>
        <v/>
      </c>
      <c r="T294" s="309" t="str">
        <f t="shared" si="11"/>
        <v/>
      </c>
      <c r="U294" s="309" t="str">
        <f t="shared" si="12"/>
        <v/>
      </c>
      <c r="V294" s="308" t="str">
        <f t="shared" si="13"/>
        <v/>
      </c>
      <c r="W294" s="309" t="str">
        <f t="shared" si="14"/>
        <v/>
      </c>
      <c r="X294" s="309" t="str">
        <f t="shared" si="15"/>
        <v/>
      </c>
      <c r="Y294" s="308" t="str">
        <f t="shared" si="16"/>
        <v/>
      </c>
      <c r="Z294" s="309" t="str">
        <f t="shared" si="17"/>
        <v/>
      </c>
      <c r="AA294" s="312" t="str">
        <f t="shared" si="18"/>
        <v/>
      </c>
      <c r="AB294" s="308" t="str">
        <f t="shared" si="19"/>
        <v/>
      </c>
      <c r="AC294" s="308" t="str">
        <f t="shared" si="20"/>
        <v/>
      </c>
      <c r="AD294" s="312" t="str">
        <f t="shared" si="21"/>
        <v/>
      </c>
      <c r="AE294" s="308" t="str">
        <f t="shared" si="22"/>
        <v/>
      </c>
      <c r="AF294" s="313" t="str">
        <f t="shared" si="23"/>
        <v/>
      </c>
      <c r="AG294" s="304" t="str">
        <f t="shared" si="24"/>
        <v/>
      </c>
      <c r="AH294" s="308" t="str">
        <f t="shared" si="25"/>
        <v/>
      </c>
      <c r="AI294" s="313" t="str">
        <f t="shared" si="26"/>
        <v/>
      </c>
      <c r="AJ294" s="304" t="str">
        <f t="shared" si="27"/>
        <v/>
      </c>
      <c r="AK294" s="308" t="str">
        <f t="shared" si="28"/>
        <v/>
      </c>
      <c r="AL294" s="308" t="str">
        <f t="shared" si="29"/>
        <v/>
      </c>
      <c r="AM294" s="304" t="str">
        <f t="shared" si="30"/>
        <v/>
      </c>
      <c r="AN294" s="308" t="str">
        <f t="shared" si="31"/>
        <v/>
      </c>
      <c r="AO294" s="313" t="str">
        <f t="shared" si="32"/>
        <v/>
      </c>
      <c r="AP294" s="304" t="str">
        <f t="shared" si="33"/>
        <v/>
      </c>
      <c r="AQ294" s="308" t="str">
        <f t="shared" si="34"/>
        <v/>
      </c>
      <c r="AR294" s="313" t="str">
        <f t="shared" si="35"/>
        <v/>
      </c>
      <c r="AS294" s="304" t="str">
        <f t="shared" si="36"/>
        <v/>
      </c>
      <c r="AT294" s="308" t="str">
        <f t="shared" si="37"/>
        <v/>
      </c>
      <c r="AU294" s="308" t="str">
        <f t="shared" si="38"/>
        <v/>
      </c>
      <c r="AV294" s="304" t="str">
        <f t="shared" si="39"/>
        <v/>
      </c>
      <c r="AW294" s="308" t="str">
        <f t="shared" si="40"/>
        <v/>
      </c>
      <c r="AX294" s="308" t="str">
        <f t="shared" si="41"/>
        <v/>
      </c>
      <c r="AY294" s="304" t="str">
        <f t="shared" si="42"/>
        <v/>
      </c>
      <c r="AZ294" s="308" t="str">
        <f t="shared" si="43"/>
        <v/>
      </c>
      <c r="BA294" s="313" t="str">
        <f t="shared" si="44"/>
        <v/>
      </c>
      <c r="BB294" s="304" t="str">
        <f t="shared" si="45"/>
        <v/>
      </c>
      <c r="BC294" s="308" t="str">
        <f t="shared" si="46"/>
        <v/>
      </c>
      <c r="BD294" s="308" t="str">
        <f t="shared" si="47"/>
        <v/>
      </c>
    </row>
    <row r="295">
      <c r="A295" s="298"/>
      <c r="B295" s="299"/>
      <c r="C295" s="300"/>
      <c r="D295" s="301" t="str">
        <f>IFERROR(__xludf.DUMMYFUNCTION("if(ISBLANK(A295),"""",GOOGLEFINANCE(A295,""NAME""))"),"")</f>
        <v/>
      </c>
      <c r="E295" s="302">
        <v>5000.0</v>
      </c>
      <c r="F295" s="303" t="str">
        <f>IFERROR(__xludf.DUMMYFUNCTION("if(ISBLANK(A295),"""",GOOGLEFINANCE(A295,""HIGH52""))"),"")</f>
        <v/>
      </c>
      <c r="G295" s="303" t="str">
        <f>IFERROR(__xludf.DUMMYFUNCTION("if(ISBLANK(A295),"""",GOOGLEFINANCE(A295,""LOW52""))"),"")</f>
        <v/>
      </c>
      <c r="H295" s="304" t="str">
        <f>IFERROR(__xludf.DUMMYFUNCTION("if(ISBLANK(A295),"""",GOOGLEFINANCE(A295,""Price""))"),"")</f>
        <v/>
      </c>
      <c r="I295" s="305" t="str">
        <f t="shared" si="1"/>
        <v/>
      </c>
      <c r="J295" s="306" t="str">
        <f t="shared" si="2"/>
        <v/>
      </c>
      <c r="K295" s="307" t="str">
        <f>IFERROR(__xludf.DUMMYFUNCTION("if(ISBLANK(A295),"""",googlefinance(A295,""Marketcap"")/10000000)"),"")</f>
        <v/>
      </c>
      <c r="L295" s="309" t="str">
        <f t="shared" si="3"/>
        <v/>
      </c>
      <c r="M295" s="308" t="str">
        <f t="shared" si="4"/>
        <v/>
      </c>
      <c r="N295" s="309" t="str">
        <f t="shared" si="5"/>
        <v/>
      </c>
      <c r="O295" s="322" t="str">
        <f t="shared" si="6"/>
        <v/>
      </c>
      <c r="P295" s="308" t="str">
        <f t="shared" si="7"/>
        <v/>
      </c>
      <c r="Q295" s="311" t="str">
        <f t="shared" si="8"/>
        <v/>
      </c>
      <c r="R295" s="309" t="str">
        <f t="shared" si="9"/>
        <v/>
      </c>
      <c r="S295" s="308" t="str">
        <f t="shared" si="10"/>
        <v/>
      </c>
      <c r="T295" s="309" t="str">
        <f t="shared" si="11"/>
        <v/>
      </c>
      <c r="U295" s="309" t="str">
        <f t="shared" si="12"/>
        <v/>
      </c>
      <c r="V295" s="308" t="str">
        <f t="shared" si="13"/>
        <v/>
      </c>
      <c r="W295" s="309" t="str">
        <f t="shared" si="14"/>
        <v/>
      </c>
      <c r="X295" s="309" t="str">
        <f t="shared" si="15"/>
        <v/>
      </c>
      <c r="Y295" s="308" t="str">
        <f t="shared" si="16"/>
        <v/>
      </c>
      <c r="Z295" s="309" t="str">
        <f t="shared" si="17"/>
        <v/>
      </c>
      <c r="AA295" s="312" t="str">
        <f t="shared" si="18"/>
        <v/>
      </c>
      <c r="AB295" s="308" t="str">
        <f t="shared" si="19"/>
        <v/>
      </c>
      <c r="AC295" s="308" t="str">
        <f t="shared" si="20"/>
        <v/>
      </c>
      <c r="AD295" s="312" t="str">
        <f t="shared" si="21"/>
        <v/>
      </c>
      <c r="AE295" s="308" t="str">
        <f t="shared" si="22"/>
        <v/>
      </c>
      <c r="AF295" s="313" t="str">
        <f t="shared" si="23"/>
        <v/>
      </c>
      <c r="AG295" s="304" t="str">
        <f t="shared" si="24"/>
        <v/>
      </c>
      <c r="AH295" s="308" t="str">
        <f t="shared" si="25"/>
        <v/>
      </c>
      <c r="AI295" s="313" t="str">
        <f t="shared" si="26"/>
        <v/>
      </c>
      <c r="AJ295" s="304" t="str">
        <f t="shared" si="27"/>
        <v/>
      </c>
      <c r="AK295" s="308" t="str">
        <f t="shared" si="28"/>
        <v/>
      </c>
      <c r="AL295" s="308" t="str">
        <f t="shared" si="29"/>
        <v/>
      </c>
      <c r="AM295" s="304" t="str">
        <f t="shared" si="30"/>
        <v/>
      </c>
      <c r="AN295" s="308" t="str">
        <f t="shared" si="31"/>
        <v/>
      </c>
      <c r="AO295" s="313" t="str">
        <f t="shared" si="32"/>
        <v/>
      </c>
      <c r="AP295" s="304" t="str">
        <f t="shared" si="33"/>
        <v/>
      </c>
      <c r="AQ295" s="308" t="str">
        <f t="shared" si="34"/>
        <v/>
      </c>
      <c r="AR295" s="313" t="str">
        <f t="shared" si="35"/>
        <v/>
      </c>
      <c r="AS295" s="304" t="str">
        <f t="shared" si="36"/>
        <v/>
      </c>
      <c r="AT295" s="308" t="str">
        <f t="shared" si="37"/>
        <v/>
      </c>
      <c r="AU295" s="308" t="str">
        <f t="shared" si="38"/>
        <v/>
      </c>
      <c r="AV295" s="304" t="str">
        <f t="shared" si="39"/>
        <v/>
      </c>
      <c r="AW295" s="308" t="str">
        <f t="shared" si="40"/>
        <v/>
      </c>
      <c r="AX295" s="308" t="str">
        <f t="shared" si="41"/>
        <v/>
      </c>
      <c r="AY295" s="304" t="str">
        <f t="shared" si="42"/>
        <v/>
      </c>
      <c r="AZ295" s="308" t="str">
        <f t="shared" si="43"/>
        <v/>
      </c>
      <c r="BA295" s="313" t="str">
        <f t="shared" si="44"/>
        <v/>
      </c>
      <c r="BB295" s="304" t="str">
        <f t="shared" si="45"/>
        <v/>
      </c>
      <c r="BC295" s="308" t="str">
        <f t="shared" si="46"/>
        <v/>
      </c>
      <c r="BD295" s="308" t="str">
        <f t="shared" si="47"/>
        <v/>
      </c>
    </row>
    <row r="296">
      <c r="A296" s="298"/>
      <c r="B296" s="299"/>
      <c r="C296" s="300"/>
      <c r="D296" s="301" t="str">
        <f>IFERROR(__xludf.DUMMYFUNCTION("if(ISBLANK(A296),"""",GOOGLEFINANCE(A296,""NAME""))"),"")</f>
        <v/>
      </c>
      <c r="E296" s="302">
        <v>5000.0</v>
      </c>
      <c r="F296" s="303" t="str">
        <f>IFERROR(__xludf.DUMMYFUNCTION("if(ISBLANK(A296),"""",GOOGLEFINANCE(A296,""HIGH52""))"),"")</f>
        <v/>
      </c>
      <c r="G296" s="303" t="str">
        <f>IFERROR(__xludf.DUMMYFUNCTION("if(ISBLANK(A296),"""",GOOGLEFINANCE(A296,""LOW52""))"),"")</f>
        <v/>
      </c>
      <c r="H296" s="304" t="str">
        <f>IFERROR(__xludf.DUMMYFUNCTION("if(ISBLANK(A296),"""",GOOGLEFINANCE(A296,""Price""))"),"")</f>
        <v/>
      </c>
      <c r="I296" s="305" t="str">
        <f t="shared" si="1"/>
        <v/>
      </c>
      <c r="J296" s="306" t="str">
        <f t="shared" si="2"/>
        <v/>
      </c>
      <c r="K296" s="307" t="str">
        <f>IFERROR(__xludf.DUMMYFUNCTION("if(ISBLANK(A296),"""",googlefinance(A296,""Marketcap"")/10000000)"),"")</f>
        <v/>
      </c>
      <c r="L296" s="309" t="str">
        <f t="shared" si="3"/>
        <v/>
      </c>
      <c r="M296" s="308" t="str">
        <f t="shared" si="4"/>
        <v/>
      </c>
      <c r="N296" s="309" t="str">
        <f t="shared" si="5"/>
        <v/>
      </c>
      <c r="O296" s="322" t="str">
        <f t="shared" si="6"/>
        <v/>
      </c>
      <c r="P296" s="308" t="str">
        <f t="shared" si="7"/>
        <v/>
      </c>
      <c r="Q296" s="311" t="str">
        <f t="shared" si="8"/>
        <v/>
      </c>
      <c r="R296" s="309" t="str">
        <f t="shared" si="9"/>
        <v/>
      </c>
      <c r="S296" s="308" t="str">
        <f t="shared" si="10"/>
        <v/>
      </c>
      <c r="T296" s="309" t="str">
        <f t="shared" si="11"/>
        <v/>
      </c>
      <c r="U296" s="309" t="str">
        <f t="shared" si="12"/>
        <v/>
      </c>
      <c r="V296" s="308" t="str">
        <f t="shared" si="13"/>
        <v/>
      </c>
      <c r="W296" s="309" t="str">
        <f t="shared" si="14"/>
        <v/>
      </c>
      <c r="X296" s="309" t="str">
        <f t="shared" si="15"/>
        <v/>
      </c>
      <c r="Y296" s="308" t="str">
        <f t="shared" si="16"/>
        <v/>
      </c>
      <c r="Z296" s="309" t="str">
        <f t="shared" si="17"/>
        <v/>
      </c>
      <c r="AA296" s="312" t="str">
        <f t="shared" si="18"/>
        <v/>
      </c>
      <c r="AB296" s="308" t="str">
        <f t="shared" si="19"/>
        <v/>
      </c>
      <c r="AC296" s="308" t="str">
        <f t="shared" si="20"/>
        <v/>
      </c>
      <c r="AD296" s="312" t="str">
        <f t="shared" si="21"/>
        <v/>
      </c>
      <c r="AE296" s="308" t="str">
        <f t="shared" si="22"/>
        <v/>
      </c>
      <c r="AF296" s="313" t="str">
        <f t="shared" si="23"/>
        <v/>
      </c>
      <c r="AG296" s="304" t="str">
        <f t="shared" si="24"/>
        <v/>
      </c>
      <c r="AH296" s="308" t="str">
        <f t="shared" si="25"/>
        <v/>
      </c>
      <c r="AI296" s="313" t="str">
        <f t="shared" si="26"/>
        <v/>
      </c>
      <c r="AJ296" s="304" t="str">
        <f t="shared" si="27"/>
        <v/>
      </c>
      <c r="AK296" s="308" t="str">
        <f t="shared" si="28"/>
        <v/>
      </c>
      <c r="AL296" s="308" t="str">
        <f t="shared" si="29"/>
        <v/>
      </c>
      <c r="AM296" s="304" t="str">
        <f t="shared" si="30"/>
        <v/>
      </c>
      <c r="AN296" s="308" t="str">
        <f t="shared" si="31"/>
        <v/>
      </c>
      <c r="AO296" s="313" t="str">
        <f t="shared" si="32"/>
        <v/>
      </c>
      <c r="AP296" s="304" t="str">
        <f t="shared" si="33"/>
        <v/>
      </c>
      <c r="AQ296" s="308" t="str">
        <f t="shared" si="34"/>
        <v/>
      </c>
      <c r="AR296" s="313" t="str">
        <f t="shared" si="35"/>
        <v/>
      </c>
      <c r="AS296" s="304" t="str">
        <f t="shared" si="36"/>
        <v/>
      </c>
      <c r="AT296" s="308" t="str">
        <f t="shared" si="37"/>
        <v/>
      </c>
      <c r="AU296" s="308" t="str">
        <f t="shared" si="38"/>
        <v/>
      </c>
      <c r="AV296" s="304" t="str">
        <f t="shared" si="39"/>
        <v/>
      </c>
      <c r="AW296" s="308" t="str">
        <f t="shared" si="40"/>
        <v/>
      </c>
      <c r="AX296" s="308" t="str">
        <f t="shared" si="41"/>
        <v/>
      </c>
      <c r="AY296" s="304" t="str">
        <f t="shared" si="42"/>
        <v/>
      </c>
      <c r="AZ296" s="308" t="str">
        <f t="shared" si="43"/>
        <v/>
      </c>
      <c r="BA296" s="313" t="str">
        <f t="shared" si="44"/>
        <v/>
      </c>
      <c r="BB296" s="304" t="str">
        <f t="shared" si="45"/>
        <v/>
      </c>
      <c r="BC296" s="308" t="str">
        <f t="shared" si="46"/>
        <v/>
      </c>
      <c r="BD296" s="308" t="str">
        <f t="shared" si="47"/>
        <v/>
      </c>
    </row>
    <row r="297">
      <c r="A297" s="298"/>
      <c r="B297" s="299"/>
      <c r="C297" s="300"/>
      <c r="D297" s="301" t="str">
        <f>IFERROR(__xludf.DUMMYFUNCTION("if(ISBLANK(A297),"""",GOOGLEFINANCE(A297,""NAME""))"),"")</f>
        <v/>
      </c>
      <c r="E297" s="302">
        <v>5000.0</v>
      </c>
      <c r="F297" s="303" t="str">
        <f>IFERROR(__xludf.DUMMYFUNCTION("if(ISBLANK(A297),"""",GOOGLEFINANCE(A297,""HIGH52""))"),"")</f>
        <v/>
      </c>
      <c r="G297" s="303" t="str">
        <f>IFERROR(__xludf.DUMMYFUNCTION("if(ISBLANK(A297),"""",GOOGLEFINANCE(A297,""LOW52""))"),"")</f>
        <v/>
      </c>
      <c r="H297" s="304" t="str">
        <f>IFERROR(__xludf.DUMMYFUNCTION("if(ISBLANK(A297),"""",GOOGLEFINANCE(A297,""Price""))"),"")</f>
        <v/>
      </c>
      <c r="I297" s="305" t="str">
        <f t="shared" si="1"/>
        <v/>
      </c>
      <c r="J297" s="306" t="str">
        <f t="shared" si="2"/>
        <v/>
      </c>
      <c r="K297" s="307" t="str">
        <f>IFERROR(__xludf.DUMMYFUNCTION("if(ISBLANK(A297),"""",googlefinance(A297,""Marketcap"")/10000000)"),"")</f>
        <v/>
      </c>
      <c r="L297" s="309" t="str">
        <f t="shared" si="3"/>
        <v/>
      </c>
      <c r="M297" s="308" t="str">
        <f t="shared" si="4"/>
        <v/>
      </c>
      <c r="N297" s="309" t="str">
        <f t="shared" si="5"/>
        <v/>
      </c>
      <c r="O297" s="322" t="str">
        <f t="shared" si="6"/>
        <v/>
      </c>
      <c r="P297" s="308" t="str">
        <f t="shared" si="7"/>
        <v/>
      </c>
      <c r="Q297" s="311" t="str">
        <f t="shared" si="8"/>
        <v/>
      </c>
      <c r="R297" s="309" t="str">
        <f t="shared" si="9"/>
        <v/>
      </c>
      <c r="S297" s="308" t="str">
        <f t="shared" si="10"/>
        <v/>
      </c>
      <c r="T297" s="309" t="str">
        <f t="shared" si="11"/>
        <v/>
      </c>
      <c r="U297" s="309" t="str">
        <f t="shared" si="12"/>
        <v/>
      </c>
      <c r="V297" s="308" t="str">
        <f t="shared" si="13"/>
        <v/>
      </c>
      <c r="W297" s="309" t="str">
        <f t="shared" si="14"/>
        <v/>
      </c>
      <c r="X297" s="309" t="str">
        <f t="shared" si="15"/>
        <v/>
      </c>
      <c r="Y297" s="308" t="str">
        <f t="shared" si="16"/>
        <v/>
      </c>
      <c r="Z297" s="309" t="str">
        <f t="shared" si="17"/>
        <v/>
      </c>
      <c r="AA297" s="312" t="str">
        <f t="shared" si="18"/>
        <v/>
      </c>
      <c r="AB297" s="308" t="str">
        <f t="shared" si="19"/>
        <v/>
      </c>
      <c r="AC297" s="308" t="str">
        <f t="shared" si="20"/>
        <v/>
      </c>
      <c r="AD297" s="312" t="str">
        <f t="shared" si="21"/>
        <v/>
      </c>
      <c r="AE297" s="308" t="str">
        <f t="shared" si="22"/>
        <v/>
      </c>
      <c r="AF297" s="313" t="str">
        <f t="shared" si="23"/>
        <v/>
      </c>
      <c r="AG297" s="304" t="str">
        <f t="shared" si="24"/>
        <v/>
      </c>
      <c r="AH297" s="308" t="str">
        <f t="shared" si="25"/>
        <v/>
      </c>
      <c r="AI297" s="313" t="str">
        <f t="shared" si="26"/>
        <v/>
      </c>
      <c r="AJ297" s="304" t="str">
        <f t="shared" si="27"/>
        <v/>
      </c>
      <c r="AK297" s="308" t="str">
        <f t="shared" si="28"/>
        <v/>
      </c>
      <c r="AL297" s="308" t="str">
        <f t="shared" si="29"/>
        <v/>
      </c>
      <c r="AM297" s="304" t="str">
        <f t="shared" si="30"/>
        <v/>
      </c>
      <c r="AN297" s="308" t="str">
        <f t="shared" si="31"/>
        <v/>
      </c>
      <c r="AO297" s="313" t="str">
        <f t="shared" si="32"/>
        <v/>
      </c>
      <c r="AP297" s="304" t="str">
        <f t="shared" si="33"/>
        <v/>
      </c>
      <c r="AQ297" s="308" t="str">
        <f t="shared" si="34"/>
        <v/>
      </c>
      <c r="AR297" s="313" t="str">
        <f t="shared" si="35"/>
        <v/>
      </c>
      <c r="AS297" s="304" t="str">
        <f t="shared" si="36"/>
        <v/>
      </c>
      <c r="AT297" s="308" t="str">
        <f t="shared" si="37"/>
        <v/>
      </c>
      <c r="AU297" s="308" t="str">
        <f t="shared" si="38"/>
        <v/>
      </c>
      <c r="AV297" s="304" t="str">
        <f t="shared" si="39"/>
        <v/>
      </c>
      <c r="AW297" s="308" t="str">
        <f t="shared" si="40"/>
        <v/>
      </c>
      <c r="AX297" s="308" t="str">
        <f t="shared" si="41"/>
        <v/>
      </c>
      <c r="AY297" s="304" t="str">
        <f t="shared" si="42"/>
        <v/>
      </c>
      <c r="AZ297" s="308" t="str">
        <f t="shared" si="43"/>
        <v/>
      </c>
      <c r="BA297" s="313" t="str">
        <f t="shared" si="44"/>
        <v/>
      </c>
      <c r="BB297" s="304" t="str">
        <f t="shared" si="45"/>
        <v/>
      </c>
      <c r="BC297" s="308" t="str">
        <f t="shared" si="46"/>
        <v/>
      </c>
      <c r="BD297" s="308" t="str">
        <f t="shared" si="47"/>
        <v/>
      </c>
    </row>
    <row r="298">
      <c r="A298" s="298"/>
      <c r="B298" s="299"/>
      <c r="C298" s="300"/>
      <c r="D298" s="301" t="str">
        <f>IFERROR(__xludf.DUMMYFUNCTION("if(ISBLANK(A298),"""",GOOGLEFINANCE(A298,""NAME""))"),"")</f>
        <v/>
      </c>
      <c r="E298" s="302">
        <v>5000.0</v>
      </c>
      <c r="F298" s="303" t="str">
        <f>IFERROR(__xludf.DUMMYFUNCTION("if(ISBLANK(A298),"""",GOOGLEFINANCE(A298,""HIGH52""))"),"")</f>
        <v/>
      </c>
      <c r="G298" s="303" t="str">
        <f>IFERROR(__xludf.DUMMYFUNCTION("if(ISBLANK(A298),"""",GOOGLEFINANCE(A298,""LOW52""))"),"")</f>
        <v/>
      </c>
      <c r="H298" s="304" t="str">
        <f>IFERROR(__xludf.DUMMYFUNCTION("if(ISBLANK(A298),"""",GOOGLEFINANCE(A298,""Price""))"),"")</f>
        <v/>
      </c>
      <c r="I298" s="305" t="str">
        <f t="shared" si="1"/>
        <v/>
      </c>
      <c r="J298" s="306" t="str">
        <f t="shared" si="2"/>
        <v/>
      </c>
      <c r="K298" s="307" t="str">
        <f>IFERROR(__xludf.DUMMYFUNCTION("if(ISBLANK(A298),"""",googlefinance(A298,""Marketcap"")/10000000)"),"")</f>
        <v/>
      </c>
      <c r="L298" s="309" t="str">
        <f t="shared" si="3"/>
        <v/>
      </c>
      <c r="M298" s="308" t="str">
        <f t="shared" si="4"/>
        <v/>
      </c>
      <c r="N298" s="309" t="str">
        <f t="shared" si="5"/>
        <v/>
      </c>
      <c r="O298" s="322" t="str">
        <f t="shared" si="6"/>
        <v/>
      </c>
      <c r="P298" s="308" t="str">
        <f t="shared" si="7"/>
        <v/>
      </c>
      <c r="Q298" s="311" t="str">
        <f t="shared" si="8"/>
        <v/>
      </c>
      <c r="R298" s="309" t="str">
        <f t="shared" si="9"/>
        <v/>
      </c>
      <c r="S298" s="308" t="str">
        <f t="shared" si="10"/>
        <v/>
      </c>
      <c r="T298" s="309" t="str">
        <f t="shared" si="11"/>
        <v/>
      </c>
      <c r="U298" s="309" t="str">
        <f t="shared" si="12"/>
        <v/>
      </c>
      <c r="V298" s="308" t="str">
        <f t="shared" si="13"/>
        <v/>
      </c>
      <c r="W298" s="309" t="str">
        <f t="shared" si="14"/>
        <v/>
      </c>
      <c r="X298" s="309" t="str">
        <f t="shared" si="15"/>
        <v/>
      </c>
      <c r="Y298" s="308" t="str">
        <f t="shared" si="16"/>
        <v/>
      </c>
      <c r="Z298" s="309" t="str">
        <f t="shared" si="17"/>
        <v/>
      </c>
      <c r="AA298" s="312" t="str">
        <f t="shared" si="18"/>
        <v/>
      </c>
      <c r="AB298" s="308" t="str">
        <f t="shared" si="19"/>
        <v/>
      </c>
      <c r="AC298" s="308" t="str">
        <f t="shared" si="20"/>
        <v/>
      </c>
      <c r="AD298" s="312" t="str">
        <f t="shared" si="21"/>
        <v/>
      </c>
      <c r="AE298" s="308" t="str">
        <f t="shared" si="22"/>
        <v/>
      </c>
      <c r="AF298" s="313" t="str">
        <f t="shared" si="23"/>
        <v/>
      </c>
      <c r="AG298" s="304" t="str">
        <f t="shared" si="24"/>
        <v/>
      </c>
      <c r="AH298" s="308" t="str">
        <f t="shared" si="25"/>
        <v/>
      </c>
      <c r="AI298" s="313" t="str">
        <f t="shared" si="26"/>
        <v/>
      </c>
      <c r="AJ298" s="304" t="str">
        <f t="shared" si="27"/>
        <v/>
      </c>
      <c r="AK298" s="308" t="str">
        <f t="shared" si="28"/>
        <v/>
      </c>
      <c r="AL298" s="308" t="str">
        <f t="shared" si="29"/>
        <v/>
      </c>
      <c r="AM298" s="304" t="str">
        <f t="shared" si="30"/>
        <v/>
      </c>
      <c r="AN298" s="308" t="str">
        <f t="shared" si="31"/>
        <v/>
      </c>
      <c r="AO298" s="313" t="str">
        <f t="shared" si="32"/>
        <v/>
      </c>
      <c r="AP298" s="304" t="str">
        <f t="shared" si="33"/>
        <v/>
      </c>
      <c r="AQ298" s="308" t="str">
        <f t="shared" si="34"/>
        <v/>
      </c>
      <c r="AR298" s="313" t="str">
        <f t="shared" si="35"/>
        <v/>
      </c>
      <c r="AS298" s="304" t="str">
        <f t="shared" si="36"/>
        <v/>
      </c>
      <c r="AT298" s="308" t="str">
        <f t="shared" si="37"/>
        <v/>
      </c>
      <c r="AU298" s="308" t="str">
        <f t="shared" si="38"/>
        <v/>
      </c>
      <c r="AV298" s="304" t="str">
        <f t="shared" si="39"/>
        <v/>
      </c>
      <c r="AW298" s="308" t="str">
        <f t="shared" si="40"/>
        <v/>
      </c>
      <c r="AX298" s="308" t="str">
        <f t="shared" si="41"/>
        <v/>
      </c>
      <c r="AY298" s="304" t="str">
        <f t="shared" si="42"/>
        <v/>
      </c>
      <c r="AZ298" s="308" t="str">
        <f t="shared" si="43"/>
        <v/>
      </c>
      <c r="BA298" s="313" t="str">
        <f t="shared" si="44"/>
        <v/>
      </c>
      <c r="BB298" s="304" t="str">
        <f t="shared" si="45"/>
        <v/>
      </c>
      <c r="BC298" s="308" t="str">
        <f t="shared" si="46"/>
        <v/>
      </c>
      <c r="BD298" s="308" t="str">
        <f t="shared" si="47"/>
        <v/>
      </c>
    </row>
    <row r="299">
      <c r="A299" s="298"/>
      <c r="B299" s="299"/>
      <c r="C299" s="300"/>
      <c r="D299" s="301" t="str">
        <f>IFERROR(__xludf.DUMMYFUNCTION("if(ISBLANK(A299),"""",GOOGLEFINANCE(A299,""NAME""))"),"")</f>
        <v/>
      </c>
      <c r="E299" s="302">
        <v>5000.0</v>
      </c>
      <c r="F299" s="303" t="str">
        <f>IFERROR(__xludf.DUMMYFUNCTION("if(ISBLANK(A299),"""",GOOGLEFINANCE(A299,""HIGH52""))"),"")</f>
        <v/>
      </c>
      <c r="G299" s="303" t="str">
        <f>IFERROR(__xludf.DUMMYFUNCTION("if(ISBLANK(A299),"""",GOOGLEFINANCE(A299,""LOW52""))"),"")</f>
        <v/>
      </c>
      <c r="H299" s="304" t="str">
        <f>IFERROR(__xludf.DUMMYFUNCTION("if(ISBLANK(A299),"""",GOOGLEFINANCE(A299,""Price""))"),"")</f>
        <v/>
      </c>
      <c r="I299" s="305" t="str">
        <f t="shared" si="1"/>
        <v/>
      </c>
      <c r="J299" s="306" t="str">
        <f t="shared" si="2"/>
        <v/>
      </c>
      <c r="K299" s="307" t="str">
        <f>IFERROR(__xludf.DUMMYFUNCTION("if(ISBLANK(A299),"""",googlefinance(A299,""Marketcap"")/10000000)"),"")</f>
        <v/>
      </c>
      <c r="L299" s="309" t="str">
        <f t="shared" si="3"/>
        <v/>
      </c>
      <c r="M299" s="308" t="str">
        <f t="shared" si="4"/>
        <v/>
      </c>
      <c r="N299" s="309" t="str">
        <f t="shared" si="5"/>
        <v/>
      </c>
      <c r="O299" s="322" t="str">
        <f t="shared" si="6"/>
        <v/>
      </c>
      <c r="P299" s="308" t="str">
        <f t="shared" si="7"/>
        <v/>
      </c>
      <c r="Q299" s="311" t="str">
        <f t="shared" si="8"/>
        <v/>
      </c>
      <c r="R299" s="309" t="str">
        <f t="shared" si="9"/>
        <v/>
      </c>
      <c r="S299" s="308" t="str">
        <f t="shared" si="10"/>
        <v/>
      </c>
      <c r="T299" s="309" t="str">
        <f t="shared" si="11"/>
        <v/>
      </c>
      <c r="U299" s="309" t="str">
        <f t="shared" si="12"/>
        <v/>
      </c>
      <c r="V299" s="308" t="str">
        <f t="shared" si="13"/>
        <v/>
      </c>
      <c r="W299" s="309" t="str">
        <f t="shared" si="14"/>
        <v/>
      </c>
      <c r="X299" s="309" t="str">
        <f t="shared" si="15"/>
        <v/>
      </c>
      <c r="Y299" s="308" t="str">
        <f t="shared" si="16"/>
        <v/>
      </c>
      <c r="Z299" s="309" t="str">
        <f t="shared" si="17"/>
        <v/>
      </c>
      <c r="AA299" s="312" t="str">
        <f t="shared" si="18"/>
        <v/>
      </c>
      <c r="AB299" s="308" t="str">
        <f t="shared" si="19"/>
        <v/>
      </c>
      <c r="AC299" s="308" t="str">
        <f t="shared" si="20"/>
        <v/>
      </c>
      <c r="AD299" s="312" t="str">
        <f t="shared" si="21"/>
        <v/>
      </c>
      <c r="AE299" s="308" t="str">
        <f t="shared" si="22"/>
        <v/>
      </c>
      <c r="AF299" s="313" t="str">
        <f t="shared" si="23"/>
        <v/>
      </c>
      <c r="AG299" s="304" t="str">
        <f t="shared" si="24"/>
        <v/>
      </c>
      <c r="AH299" s="308" t="str">
        <f t="shared" si="25"/>
        <v/>
      </c>
      <c r="AI299" s="313" t="str">
        <f t="shared" si="26"/>
        <v/>
      </c>
      <c r="AJ299" s="304" t="str">
        <f t="shared" si="27"/>
        <v/>
      </c>
      <c r="AK299" s="308" t="str">
        <f t="shared" si="28"/>
        <v/>
      </c>
      <c r="AL299" s="308" t="str">
        <f t="shared" si="29"/>
        <v/>
      </c>
      <c r="AM299" s="304" t="str">
        <f t="shared" si="30"/>
        <v/>
      </c>
      <c r="AN299" s="308" t="str">
        <f t="shared" si="31"/>
        <v/>
      </c>
      <c r="AO299" s="313" t="str">
        <f t="shared" si="32"/>
        <v/>
      </c>
      <c r="AP299" s="304" t="str">
        <f t="shared" si="33"/>
        <v/>
      </c>
      <c r="AQ299" s="308" t="str">
        <f t="shared" si="34"/>
        <v/>
      </c>
      <c r="AR299" s="313" t="str">
        <f t="shared" si="35"/>
        <v/>
      </c>
      <c r="AS299" s="304" t="str">
        <f t="shared" si="36"/>
        <v/>
      </c>
      <c r="AT299" s="308" t="str">
        <f t="shared" si="37"/>
        <v/>
      </c>
      <c r="AU299" s="308" t="str">
        <f t="shared" si="38"/>
        <v/>
      </c>
      <c r="AV299" s="304" t="str">
        <f t="shared" si="39"/>
        <v/>
      </c>
      <c r="AW299" s="308" t="str">
        <f t="shared" si="40"/>
        <v/>
      </c>
      <c r="AX299" s="308" t="str">
        <f t="shared" si="41"/>
        <v/>
      </c>
      <c r="AY299" s="304" t="str">
        <f t="shared" si="42"/>
        <v/>
      </c>
      <c r="AZ299" s="308" t="str">
        <f t="shared" si="43"/>
        <v/>
      </c>
      <c r="BA299" s="313" t="str">
        <f t="shared" si="44"/>
        <v/>
      </c>
      <c r="BB299" s="304" t="str">
        <f t="shared" si="45"/>
        <v/>
      </c>
      <c r="BC299" s="308" t="str">
        <f t="shared" si="46"/>
        <v/>
      </c>
      <c r="BD299" s="308" t="str">
        <f t="shared" si="47"/>
        <v/>
      </c>
    </row>
    <row r="300">
      <c r="A300" s="298"/>
      <c r="B300" s="299"/>
      <c r="C300" s="300"/>
      <c r="D300" s="301" t="str">
        <f>IFERROR(__xludf.DUMMYFUNCTION("if(ISBLANK(A300),"""",GOOGLEFINANCE(A300,""NAME""))"),"")</f>
        <v/>
      </c>
      <c r="E300" s="302">
        <v>5000.0</v>
      </c>
      <c r="F300" s="303" t="str">
        <f>IFERROR(__xludf.DUMMYFUNCTION("if(ISBLANK(A300),"""",GOOGLEFINANCE(A300,""HIGH52""))"),"")</f>
        <v/>
      </c>
      <c r="G300" s="303" t="str">
        <f>IFERROR(__xludf.DUMMYFUNCTION("if(ISBLANK(A300),"""",GOOGLEFINANCE(A300,""LOW52""))"),"")</f>
        <v/>
      </c>
      <c r="H300" s="304" t="str">
        <f>IFERROR(__xludf.DUMMYFUNCTION("if(ISBLANK(A300),"""",GOOGLEFINANCE(A300,""Price""))"),"")</f>
        <v/>
      </c>
      <c r="I300" s="305" t="str">
        <f t="shared" si="1"/>
        <v/>
      </c>
      <c r="J300" s="306" t="str">
        <f t="shared" si="2"/>
        <v/>
      </c>
      <c r="K300" s="307" t="str">
        <f>IFERROR(__xludf.DUMMYFUNCTION("if(ISBLANK(A300),"""",googlefinance(A300,""Marketcap"")/10000000)"),"")</f>
        <v/>
      </c>
      <c r="L300" s="309" t="str">
        <f t="shared" si="3"/>
        <v/>
      </c>
      <c r="M300" s="308" t="str">
        <f t="shared" si="4"/>
        <v/>
      </c>
      <c r="N300" s="309" t="str">
        <f t="shared" si="5"/>
        <v/>
      </c>
      <c r="O300" s="322" t="str">
        <f t="shared" si="6"/>
        <v/>
      </c>
      <c r="P300" s="308" t="str">
        <f t="shared" si="7"/>
        <v/>
      </c>
      <c r="Q300" s="311" t="str">
        <f t="shared" si="8"/>
        <v/>
      </c>
      <c r="R300" s="309" t="str">
        <f t="shared" si="9"/>
        <v/>
      </c>
      <c r="S300" s="308" t="str">
        <f t="shared" si="10"/>
        <v/>
      </c>
      <c r="T300" s="309" t="str">
        <f t="shared" si="11"/>
        <v/>
      </c>
      <c r="U300" s="309" t="str">
        <f t="shared" si="12"/>
        <v/>
      </c>
      <c r="V300" s="308" t="str">
        <f t="shared" si="13"/>
        <v/>
      </c>
      <c r="W300" s="309" t="str">
        <f t="shared" si="14"/>
        <v/>
      </c>
      <c r="X300" s="309" t="str">
        <f t="shared" si="15"/>
        <v/>
      </c>
      <c r="Y300" s="308" t="str">
        <f t="shared" si="16"/>
        <v/>
      </c>
      <c r="Z300" s="309" t="str">
        <f t="shared" si="17"/>
        <v/>
      </c>
      <c r="AA300" s="312" t="str">
        <f t="shared" si="18"/>
        <v/>
      </c>
      <c r="AB300" s="308" t="str">
        <f t="shared" si="19"/>
        <v/>
      </c>
      <c r="AC300" s="308" t="str">
        <f t="shared" si="20"/>
        <v/>
      </c>
      <c r="AD300" s="312" t="str">
        <f t="shared" si="21"/>
        <v/>
      </c>
      <c r="AE300" s="308" t="str">
        <f t="shared" si="22"/>
        <v/>
      </c>
      <c r="AF300" s="313" t="str">
        <f t="shared" si="23"/>
        <v/>
      </c>
      <c r="AG300" s="304" t="str">
        <f t="shared" si="24"/>
        <v/>
      </c>
      <c r="AH300" s="308" t="str">
        <f t="shared" si="25"/>
        <v/>
      </c>
      <c r="AI300" s="313" t="str">
        <f t="shared" si="26"/>
        <v/>
      </c>
      <c r="AJ300" s="304" t="str">
        <f t="shared" si="27"/>
        <v/>
      </c>
      <c r="AK300" s="308" t="str">
        <f t="shared" si="28"/>
        <v/>
      </c>
      <c r="AL300" s="308" t="str">
        <f t="shared" si="29"/>
        <v/>
      </c>
      <c r="AM300" s="304" t="str">
        <f t="shared" si="30"/>
        <v/>
      </c>
      <c r="AN300" s="308" t="str">
        <f t="shared" si="31"/>
        <v/>
      </c>
      <c r="AO300" s="313" t="str">
        <f t="shared" si="32"/>
        <v/>
      </c>
      <c r="AP300" s="304" t="str">
        <f t="shared" si="33"/>
        <v/>
      </c>
      <c r="AQ300" s="308" t="str">
        <f t="shared" si="34"/>
        <v/>
      </c>
      <c r="AR300" s="313" t="str">
        <f t="shared" si="35"/>
        <v/>
      </c>
      <c r="AS300" s="304" t="str">
        <f t="shared" si="36"/>
        <v/>
      </c>
      <c r="AT300" s="308" t="str">
        <f t="shared" si="37"/>
        <v/>
      </c>
      <c r="AU300" s="308" t="str">
        <f t="shared" si="38"/>
        <v/>
      </c>
      <c r="AV300" s="304" t="str">
        <f t="shared" si="39"/>
        <v/>
      </c>
      <c r="AW300" s="308" t="str">
        <f t="shared" si="40"/>
        <v/>
      </c>
      <c r="AX300" s="308" t="str">
        <f t="shared" si="41"/>
        <v/>
      </c>
      <c r="AY300" s="304" t="str">
        <f t="shared" si="42"/>
        <v/>
      </c>
      <c r="AZ300" s="308" t="str">
        <f t="shared" si="43"/>
        <v/>
      </c>
      <c r="BA300" s="313" t="str">
        <f t="shared" si="44"/>
        <v/>
      </c>
      <c r="BB300" s="304" t="str">
        <f t="shared" si="45"/>
        <v/>
      </c>
      <c r="BC300" s="308" t="str">
        <f t="shared" si="46"/>
        <v/>
      </c>
      <c r="BD300" s="308" t="str">
        <f t="shared" si="47"/>
        <v/>
      </c>
    </row>
    <row r="301">
      <c r="A301" s="298"/>
      <c r="B301" s="299"/>
      <c r="C301" s="300"/>
      <c r="D301" s="301" t="str">
        <f>IFERROR(__xludf.DUMMYFUNCTION("if(ISBLANK(A301),"""",GOOGLEFINANCE(A301,""NAME""))"),"")</f>
        <v/>
      </c>
      <c r="E301" s="302">
        <v>5000.0</v>
      </c>
      <c r="F301" s="303" t="str">
        <f>IFERROR(__xludf.DUMMYFUNCTION("if(ISBLANK(A301),"""",GOOGLEFINANCE(A301,""HIGH52""))"),"")</f>
        <v/>
      </c>
      <c r="G301" s="303" t="str">
        <f>IFERROR(__xludf.DUMMYFUNCTION("if(ISBLANK(A301),"""",GOOGLEFINANCE(A301,""LOW52""))"),"")</f>
        <v/>
      </c>
      <c r="H301" s="304" t="str">
        <f>IFERROR(__xludf.DUMMYFUNCTION("if(ISBLANK(A301),"""",GOOGLEFINANCE(A301,""Price""))"),"")</f>
        <v/>
      </c>
      <c r="I301" s="305" t="str">
        <f t="shared" si="1"/>
        <v/>
      </c>
      <c r="J301" s="306" t="str">
        <f t="shared" si="2"/>
        <v/>
      </c>
      <c r="K301" s="307" t="str">
        <f>IFERROR(__xludf.DUMMYFUNCTION("if(ISBLANK(A301),"""",googlefinance(A301,""Marketcap"")/10000000)"),"")</f>
        <v/>
      </c>
      <c r="L301" s="309" t="str">
        <f t="shared" si="3"/>
        <v/>
      </c>
      <c r="M301" s="308" t="str">
        <f t="shared" si="4"/>
        <v/>
      </c>
      <c r="N301" s="309" t="str">
        <f t="shared" si="5"/>
        <v/>
      </c>
      <c r="O301" s="322" t="str">
        <f t="shared" si="6"/>
        <v/>
      </c>
      <c r="P301" s="308" t="str">
        <f t="shared" si="7"/>
        <v/>
      </c>
      <c r="Q301" s="311" t="str">
        <f t="shared" si="8"/>
        <v/>
      </c>
      <c r="R301" s="309" t="str">
        <f t="shared" si="9"/>
        <v/>
      </c>
      <c r="S301" s="308" t="str">
        <f t="shared" si="10"/>
        <v/>
      </c>
      <c r="T301" s="309" t="str">
        <f t="shared" si="11"/>
        <v/>
      </c>
      <c r="U301" s="309" t="str">
        <f t="shared" si="12"/>
        <v/>
      </c>
      <c r="V301" s="308" t="str">
        <f t="shared" si="13"/>
        <v/>
      </c>
      <c r="W301" s="309" t="str">
        <f t="shared" si="14"/>
        <v/>
      </c>
      <c r="X301" s="309" t="str">
        <f t="shared" si="15"/>
        <v/>
      </c>
      <c r="Y301" s="308" t="str">
        <f t="shared" si="16"/>
        <v/>
      </c>
      <c r="Z301" s="309" t="str">
        <f t="shared" si="17"/>
        <v/>
      </c>
      <c r="AA301" s="312" t="str">
        <f t="shared" si="18"/>
        <v/>
      </c>
      <c r="AB301" s="308" t="str">
        <f t="shared" si="19"/>
        <v/>
      </c>
      <c r="AC301" s="308" t="str">
        <f t="shared" si="20"/>
        <v/>
      </c>
      <c r="AD301" s="312" t="str">
        <f t="shared" si="21"/>
        <v/>
      </c>
      <c r="AE301" s="308" t="str">
        <f t="shared" si="22"/>
        <v/>
      </c>
      <c r="AF301" s="313" t="str">
        <f t="shared" si="23"/>
        <v/>
      </c>
      <c r="AG301" s="304" t="str">
        <f t="shared" si="24"/>
        <v/>
      </c>
      <c r="AH301" s="308" t="str">
        <f t="shared" si="25"/>
        <v/>
      </c>
      <c r="AI301" s="313" t="str">
        <f t="shared" si="26"/>
        <v/>
      </c>
      <c r="AJ301" s="304" t="str">
        <f t="shared" si="27"/>
        <v/>
      </c>
      <c r="AK301" s="308" t="str">
        <f t="shared" si="28"/>
        <v/>
      </c>
      <c r="AL301" s="308" t="str">
        <f t="shared" si="29"/>
        <v/>
      </c>
      <c r="AM301" s="304" t="str">
        <f t="shared" si="30"/>
        <v/>
      </c>
      <c r="AN301" s="308" t="str">
        <f t="shared" si="31"/>
        <v/>
      </c>
      <c r="AO301" s="313" t="str">
        <f t="shared" si="32"/>
        <v/>
      </c>
      <c r="AP301" s="304" t="str">
        <f t="shared" si="33"/>
        <v/>
      </c>
      <c r="AQ301" s="308" t="str">
        <f t="shared" si="34"/>
        <v/>
      </c>
      <c r="AR301" s="313" t="str">
        <f t="shared" si="35"/>
        <v/>
      </c>
      <c r="AS301" s="304" t="str">
        <f t="shared" si="36"/>
        <v/>
      </c>
      <c r="AT301" s="308" t="str">
        <f t="shared" si="37"/>
        <v/>
      </c>
      <c r="AU301" s="308" t="str">
        <f t="shared" si="38"/>
        <v/>
      </c>
      <c r="AV301" s="304" t="str">
        <f t="shared" si="39"/>
        <v/>
      </c>
      <c r="AW301" s="308" t="str">
        <f t="shared" si="40"/>
        <v/>
      </c>
      <c r="AX301" s="308" t="str">
        <f t="shared" si="41"/>
        <v/>
      </c>
      <c r="AY301" s="304" t="str">
        <f t="shared" si="42"/>
        <v/>
      </c>
      <c r="AZ301" s="308" t="str">
        <f t="shared" si="43"/>
        <v/>
      </c>
      <c r="BA301" s="313" t="str">
        <f t="shared" si="44"/>
        <v/>
      </c>
      <c r="BB301" s="304" t="str">
        <f t="shared" si="45"/>
        <v/>
      </c>
      <c r="BC301" s="308" t="str">
        <f t="shared" si="46"/>
        <v/>
      </c>
      <c r="BD301" s="308" t="str">
        <f t="shared" si="47"/>
        <v/>
      </c>
    </row>
    <row r="302">
      <c r="A302" s="298"/>
      <c r="B302" s="299"/>
      <c r="C302" s="300"/>
      <c r="D302" s="301" t="str">
        <f>IFERROR(__xludf.DUMMYFUNCTION("if(ISBLANK(A302),"""",GOOGLEFINANCE(A302,""NAME""))"),"")</f>
        <v/>
      </c>
      <c r="E302" s="302">
        <v>5000.0</v>
      </c>
      <c r="F302" s="303" t="str">
        <f>IFERROR(__xludf.DUMMYFUNCTION("if(ISBLANK(A302),"""",GOOGLEFINANCE(A302,""HIGH52""))"),"")</f>
        <v/>
      </c>
      <c r="G302" s="303" t="str">
        <f>IFERROR(__xludf.DUMMYFUNCTION("if(ISBLANK(A302),"""",GOOGLEFINANCE(A302,""LOW52""))"),"")</f>
        <v/>
      </c>
      <c r="H302" s="304" t="str">
        <f>IFERROR(__xludf.DUMMYFUNCTION("if(ISBLANK(A302),"""",GOOGLEFINANCE(A302,""Price""))"),"")</f>
        <v/>
      </c>
      <c r="I302" s="305" t="str">
        <f t="shared" si="1"/>
        <v/>
      </c>
      <c r="J302" s="306" t="str">
        <f t="shared" si="2"/>
        <v/>
      </c>
      <c r="K302" s="307" t="str">
        <f>IFERROR(__xludf.DUMMYFUNCTION("if(ISBLANK(A302),"""",googlefinance(A302,""Marketcap"")/10000000)"),"")</f>
        <v/>
      </c>
      <c r="L302" s="309" t="str">
        <f t="shared" si="3"/>
        <v/>
      </c>
      <c r="M302" s="308" t="str">
        <f t="shared" si="4"/>
        <v/>
      </c>
      <c r="N302" s="309" t="str">
        <f t="shared" si="5"/>
        <v/>
      </c>
      <c r="O302" s="322" t="str">
        <f t="shared" si="6"/>
        <v/>
      </c>
      <c r="P302" s="308" t="str">
        <f t="shared" si="7"/>
        <v/>
      </c>
      <c r="Q302" s="311" t="str">
        <f t="shared" si="8"/>
        <v/>
      </c>
      <c r="R302" s="309" t="str">
        <f t="shared" si="9"/>
        <v/>
      </c>
      <c r="S302" s="308" t="str">
        <f t="shared" si="10"/>
        <v/>
      </c>
      <c r="T302" s="309" t="str">
        <f t="shared" si="11"/>
        <v/>
      </c>
      <c r="U302" s="309" t="str">
        <f t="shared" si="12"/>
        <v/>
      </c>
      <c r="V302" s="308" t="str">
        <f t="shared" si="13"/>
        <v/>
      </c>
      <c r="W302" s="309" t="str">
        <f t="shared" si="14"/>
        <v/>
      </c>
      <c r="X302" s="309" t="str">
        <f t="shared" si="15"/>
        <v/>
      </c>
      <c r="Y302" s="308" t="str">
        <f t="shared" si="16"/>
        <v/>
      </c>
      <c r="Z302" s="309" t="str">
        <f t="shared" si="17"/>
        <v/>
      </c>
      <c r="AA302" s="312" t="str">
        <f t="shared" si="18"/>
        <v/>
      </c>
      <c r="AB302" s="308" t="str">
        <f t="shared" si="19"/>
        <v/>
      </c>
      <c r="AC302" s="308" t="str">
        <f t="shared" si="20"/>
        <v/>
      </c>
      <c r="AD302" s="312" t="str">
        <f t="shared" si="21"/>
        <v/>
      </c>
      <c r="AE302" s="308" t="str">
        <f t="shared" si="22"/>
        <v/>
      </c>
      <c r="AF302" s="313" t="str">
        <f t="shared" si="23"/>
        <v/>
      </c>
      <c r="AG302" s="304" t="str">
        <f t="shared" si="24"/>
        <v/>
      </c>
      <c r="AH302" s="308" t="str">
        <f t="shared" si="25"/>
        <v/>
      </c>
      <c r="AI302" s="313" t="str">
        <f t="shared" si="26"/>
        <v/>
      </c>
      <c r="AJ302" s="304" t="str">
        <f t="shared" si="27"/>
        <v/>
      </c>
      <c r="AK302" s="308" t="str">
        <f t="shared" si="28"/>
        <v/>
      </c>
      <c r="AL302" s="308" t="str">
        <f t="shared" si="29"/>
        <v/>
      </c>
      <c r="AM302" s="304" t="str">
        <f t="shared" si="30"/>
        <v/>
      </c>
      <c r="AN302" s="308" t="str">
        <f t="shared" si="31"/>
        <v/>
      </c>
      <c r="AO302" s="313" t="str">
        <f t="shared" si="32"/>
        <v/>
      </c>
      <c r="AP302" s="304" t="str">
        <f t="shared" si="33"/>
        <v/>
      </c>
      <c r="AQ302" s="308" t="str">
        <f t="shared" si="34"/>
        <v/>
      </c>
      <c r="AR302" s="313" t="str">
        <f t="shared" si="35"/>
        <v/>
      </c>
      <c r="AS302" s="304" t="str">
        <f t="shared" si="36"/>
        <v/>
      </c>
      <c r="AT302" s="308" t="str">
        <f t="shared" si="37"/>
        <v/>
      </c>
      <c r="AU302" s="308" t="str">
        <f t="shared" si="38"/>
        <v/>
      </c>
      <c r="AV302" s="304" t="str">
        <f t="shared" si="39"/>
        <v/>
      </c>
      <c r="AW302" s="308" t="str">
        <f t="shared" si="40"/>
        <v/>
      </c>
      <c r="AX302" s="308" t="str">
        <f t="shared" si="41"/>
        <v/>
      </c>
      <c r="AY302" s="304" t="str">
        <f t="shared" si="42"/>
        <v/>
      </c>
      <c r="AZ302" s="308" t="str">
        <f t="shared" si="43"/>
        <v/>
      </c>
      <c r="BA302" s="313" t="str">
        <f t="shared" si="44"/>
        <v/>
      </c>
      <c r="BB302" s="304" t="str">
        <f t="shared" si="45"/>
        <v/>
      </c>
      <c r="BC302" s="308" t="str">
        <f t="shared" si="46"/>
        <v/>
      </c>
      <c r="BD302" s="308" t="str">
        <f t="shared" si="47"/>
        <v/>
      </c>
    </row>
    <row r="303">
      <c r="A303" s="298"/>
      <c r="B303" s="299"/>
      <c r="C303" s="300"/>
      <c r="D303" s="301" t="str">
        <f>IFERROR(__xludf.DUMMYFUNCTION("if(ISBLANK(A303),"""",GOOGLEFINANCE(A303,""NAME""))"),"")</f>
        <v/>
      </c>
      <c r="E303" s="302">
        <v>5000.0</v>
      </c>
      <c r="F303" s="303" t="str">
        <f>IFERROR(__xludf.DUMMYFUNCTION("if(ISBLANK(A303),"""",GOOGLEFINANCE(A303,""HIGH52""))"),"")</f>
        <v/>
      </c>
      <c r="G303" s="303" t="str">
        <f>IFERROR(__xludf.DUMMYFUNCTION("if(ISBLANK(A303),"""",GOOGLEFINANCE(A303,""LOW52""))"),"")</f>
        <v/>
      </c>
      <c r="H303" s="304" t="str">
        <f>IFERROR(__xludf.DUMMYFUNCTION("if(ISBLANK(A303),"""",GOOGLEFINANCE(A303,""Price""))"),"")</f>
        <v/>
      </c>
      <c r="I303" s="305" t="str">
        <f t="shared" si="1"/>
        <v/>
      </c>
      <c r="J303" s="306" t="str">
        <f t="shared" si="2"/>
        <v/>
      </c>
      <c r="K303" s="307" t="str">
        <f>IFERROR(__xludf.DUMMYFUNCTION("if(ISBLANK(A303),"""",googlefinance(A303,""Marketcap"")/10000000)"),"")</f>
        <v/>
      </c>
      <c r="L303" s="309" t="str">
        <f t="shared" si="3"/>
        <v/>
      </c>
      <c r="M303" s="308" t="str">
        <f t="shared" si="4"/>
        <v/>
      </c>
      <c r="N303" s="309" t="str">
        <f t="shared" si="5"/>
        <v/>
      </c>
      <c r="O303" s="322" t="str">
        <f t="shared" si="6"/>
        <v/>
      </c>
      <c r="P303" s="308" t="str">
        <f t="shared" si="7"/>
        <v/>
      </c>
      <c r="Q303" s="311" t="str">
        <f t="shared" si="8"/>
        <v/>
      </c>
      <c r="R303" s="309" t="str">
        <f t="shared" si="9"/>
        <v/>
      </c>
      <c r="S303" s="308" t="str">
        <f t="shared" si="10"/>
        <v/>
      </c>
      <c r="T303" s="309" t="str">
        <f t="shared" si="11"/>
        <v/>
      </c>
      <c r="U303" s="309" t="str">
        <f t="shared" si="12"/>
        <v/>
      </c>
      <c r="V303" s="308" t="str">
        <f t="shared" si="13"/>
        <v/>
      </c>
      <c r="W303" s="309" t="str">
        <f t="shared" si="14"/>
        <v/>
      </c>
      <c r="X303" s="309" t="str">
        <f t="shared" si="15"/>
        <v/>
      </c>
      <c r="Y303" s="308" t="str">
        <f t="shared" si="16"/>
        <v/>
      </c>
      <c r="Z303" s="309" t="str">
        <f t="shared" si="17"/>
        <v/>
      </c>
      <c r="AA303" s="312" t="str">
        <f t="shared" si="18"/>
        <v/>
      </c>
      <c r="AB303" s="308" t="str">
        <f t="shared" si="19"/>
        <v/>
      </c>
      <c r="AC303" s="308" t="str">
        <f t="shared" si="20"/>
        <v/>
      </c>
      <c r="AD303" s="312" t="str">
        <f t="shared" si="21"/>
        <v/>
      </c>
      <c r="AE303" s="308" t="str">
        <f t="shared" si="22"/>
        <v/>
      </c>
      <c r="AF303" s="313" t="str">
        <f t="shared" si="23"/>
        <v/>
      </c>
      <c r="AG303" s="304" t="str">
        <f t="shared" si="24"/>
        <v/>
      </c>
      <c r="AH303" s="308" t="str">
        <f t="shared" si="25"/>
        <v/>
      </c>
      <c r="AI303" s="313" t="str">
        <f t="shared" si="26"/>
        <v/>
      </c>
      <c r="AJ303" s="304" t="str">
        <f t="shared" si="27"/>
        <v/>
      </c>
      <c r="AK303" s="308" t="str">
        <f t="shared" si="28"/>
        <v/>
      </c>
      <c r="AL303" s="308" t="str">
        <f t="shared" si="29"/>
        <v/>
      </c>
      <c r="AM303" s="304" t="str">
        <f t="shared" si="30"/>
        <v/>
      </c>
      <c r="AN303" s="308" t="str">
        <f t="shared" si="31"/>
        <v/>
      </c>
      <c r="AO303" s="313" t="str">
        <f t="shared" si="32"/>
        <v/>
      </c>
      <c r="AP303" s="304" t="str">
        <f t="shared" si="33"/>
        <v/>
      </c>
      <c r="AQ303" s="308" t="str">
        <f t="shared" si="34"/>
        <v/>
      </c>
      <c r="AR303" s="313" t="str">
        <f t="shared" si="35"/>
        <v/>
      </c>
      <c r="AS303" s="304" t="str">
        <f t="shared" si="36"/>
        <v/>
      </c>
      <c r="AT303" s="308" t="str">
        <f t="shared" si="37"/>
        <v/>
      </c>
      <c r="AU303" s="308" t="str">
        <f t="shared" si="38"/>
        <v/>
      </c>
      <c r="AV303" s="304" t="str">
        <f t="shared" si="39"/>
        <v/>
      </c>
      <c r="AW303" s="308" t="str">
        <f t="shared" si="40"/>
        <v/>
      </c>
      <c r="AX303" s="308" t="str">
        <f t="shared" si="41"/>
        <v/>
      </c>
      <c r="AY303" s="304" t="str">
        <f t="shared" si="42"/>
        <v/>
      </c>
      <c r="AZ303" s="308" t="str">
        <f t="shared" si="43"/>
        <v/>
      </c>
      <c r="BA303" s="313" t="str">
        <f t="shared" si="44"/>
        <v/>
      </c>
      <c r="BB303" s="304" t="str">
        <f t="shared" si="45"/>
        <v/>
      </c>
      <c r="BC303" s="308" t="str">
        <f t="shared" si="46"/>
        <v/>
      </c>
      <c r="BD303" s="308" t="str">
        <f t="shared" si="47"/>
        <v/>
      </c>
    </row>
    <row r="304">
      <c r="A304" s="298"/>
      <c r="B304" s="299"/>
      <c r="C304" s="300"/>
      <c r="D304" s="301" t="str">
        <f>IFERROR(__xludf.DUMMYFUNCTION("if(ISBLANK(A304),"""",GOOGLEFINANCE(A304,""NAME""))"),"")</f>
        <v/>
      </c>
      <c r="E304" s="302">
        <v>5000.0</v>
      </c>
      <c r="F304" s="303" t="str">
        <f>IFERROR(__xludf.DUMMYFUNCTION("if(ISBLANK(A304),"""",GOOGLEFINANCE(A304,""HIGH52""))"),"")</f>
        <v/>
      </c>
      <c r="G304" s="303" t="str">
        <f>IFERROR(__xludf.DUMMYFUNCTION("if(ISBLANK(A304),"""",GOOGLEFINANCE(A304,""LOW52""))"),"")</f>
        <v/>
      </c>
      <c r="H304" s="304" t="str">
        <f>IFERROR(__xludf.DUMMYFUNCTION("if(ISBLANK(A304),"""",GOOGLEFINANCE(A304,""Price""))"),"")</f>
        <v/>
      </c>
      <c r="I304" s="305" t="str">
        <f t="shared" si="1"/>
        <v/>
      </c>
      <c r="J304" s="306" t="str">
        <f t="shared" si="2"/>
        <v/>
      </c>
      <c r="K304" s="307" t="str">
        <f>IFERROR(__xludf.DUMMYFUNCTION("if(ISBLANK(A304),"""",googlefinance(A304,""Marketcap"")/10000000)"),"")</f>
        <v/>
      </c>
      <c r="L304" s="309" t="str">
        <f t="shared" si="3"/>
        <v/>
      </c>
      <c r="M304" s="308" t="str">
        <f t="shared" si="4"/>
        <v/>
      </c>
      <c r="N304" s="309" t="str">
        <f t="shared" si="5"/>
        <v/>
      </c>
      <c r="O304" s="322" t="str">
        <f t="shared" si="6"/>
        <v/>
      </c>
      <c r="P304" s="308" t="str">
        <f t="shared" si="7"/>
        <v/>
      </c>
      <c r="Q304" s="311" t="str">
        <f t="shared" si="8"/>
        <v/>
      </c>
      <c r="R304" s="309" t="str">
        <f t="shared" si="9"/>
        <v/>
      </c>
      <c r="S304" s="308" t="str">
        <f t="shared" si="10"/>
        <v/>
      </c>
      <c r="T304" s="309" t="str">
        <f t="shared" si="11"/>
        <v/>
      </c>
      <c r="U304" s="309" t="str">
        <f t="shared" si="12"/>
        <v/>
      </c>
      <c r="V304" s="308" t="str">
        <f t="shared" si="13"/>
        <v/>
      </c>
      <c r="W304" s="309" t="str">
        <f t="shared" si="14"/>
        <v/>
      </c>
      <c r="X304" s="309" t="str">
        <f t="shared" si="15"/>
        <v/>
      </c>
      <c r="Y304" s="308" t="str">
        <f t="shared" si="16"/>
        <v/>
      </c>
      <c r="Z304" s="309" t="str">
        <f t="shared" si="17"/>
        <v/>
      </c>
      <c r="AA304" s="312" t="str">
        <f t="shared" si="18"/>
        <v/>
      </c>
      <c r="AB304" s="308" t="str">
        <f t="shared" si="19"/>
        <v/>
      </c>
      <c r="AC304" s="308" t="str">
        <f t="shared" si="20"/>
        <v/>
      </c>
      <c r="AD304" s="312" t="str">
        <f t="shared" si="21"/>
        <v/>
      </c>
      <c r="AE304" s="308" t="str">
        <f t="shared" si="22"/>
        <v/>
      </c>
      <c r="AF304" s="313" t="str">
        <f t="shared" si="23"/>
        <v/>
      </c>
      <c r="AG304" s="304" t="str">
        <f t="shared" si="24"/>
        <v/>
      </c>
      <c r="AH304" s="308" t="str">
        <f t="shared" si="25"/>
        <v/>
      </c>
      <c r="AI304" s="313" t="str">
        <f t="shared" si="26"/>
        <v/>
      </c>
      <c r="AJ304" s="304" t="str">
        <f t="shared" si="27"/>
        <v/>
      </c>
      <c r="AK304" s="308" t="str">
        <f t="shared" si="28"/>
        <v/>
      </c>
      <c r="AL304" s="308" t="str">
        <f t="shared" si="29"/>
        <v/>
      </c>
      <c r="AM304" s="304" t="str">
        <f t="shared" si="30"/>
        <v/>
      </c>
      <c r="AN304" s="308" t="str">
        <f t="shared" si="31"/>
        <v/>
      </c>
      <c r="AO304" s="313" t="str">
        <f t="shared" si="32"/>
        <v/>
      </c>
      <c r="AP304" s="304" t="str">
        <f t="shared" si="33"/>
        <v/>
      </c>
      <c r="AQ304" s="308" t="str">
        <f t="shared" si="34"/>
        <v/>
      </c>
      <c r="AR304" s="313" t="str">
        <f t="shared" si="35"/>
        <v/>
      </c>
      <c r="AS304" s="304" t="str">
        <f t="shared" si="36"/>
        <v/>
      </c>
      <c r="AT304" s="308" t="str">
        <f t="shared" si="37"/>
        <v/>
      </c>
      <c r="AU304" s="308" t="str">
        <f t="shared" si="38"/>
        <v/>
      </c>
      <c r="AV304" s="304" t="str">
        <f t="shared" si="39"/>
        <v/>
      </c>
      <c r="AW304" s="308" t="str">
        <f t="shared" si="40"/>
        <v/>
      </c>
      <c r="AX304" s="308" t="str">
        <f t="shared" si="41"/>
        <v/>
      </c>
      <c r="AY304" s="304" t="str">
        <f t="shared" si="42"/>
        <v/>
      </c>
      <c r="AZ304" s="308" t="str">
        <f t="shared" si="43"/>
        <v/>
      </c>
      <c r="BA304" s="313" t="str">
        <f t="shared" si="44"/>
        <v/>
      </c>
      <c r="BB304" s="304" t="str">
        <f t="shared" si="45"/>
        <v/>
      </c>
      <c r="BC304" s="308" t="str">
        <f t="shared" si="46"/>
        <v/>
      </c>
      <c r="BD304" s="308" t="str">
        <f t="shared" si="47"/>
        <v/>
      </c>
    </row>
    <row r="305">
      <c r="A305" s="298"/>
      <c r="B305" s="299"/>
      <c r="C305" s="300"/>
      <c r="D305" s="301" t="str">
        <f>IFERROR(__xludf.DUMMYFUNCTION("if(ISBLANK(A305),"""",GOOGLEFINANCE(A305,""NAME""))"),"")</f>
        <v/>
      </c>
      <c r="E305" s="302">
        <v>5000.0</v>
      </c>
      <c r="F305" s="303" t="str">
        <f>IFERROR(__xludf.DUMMYFUNCTION("if(ISBLANK(A305),"""",GOOGLEFINANCE(A305,""HIGH52""))"),"")</f>
        <v/>
      </c>
      <c r="G305" s="303" t="str">
        <f>IFERROR(__xludf.DUMMYFUNCTION("if(ISBLANK(A305),"""",GOOGLEFINANCE(A305,""LOW52""))"),"")</f>
        <v/>
      </c>
      <c r="H305" s="304" t="str">
        <f>IFERROR(__xludf.DUMMYFUNCTION("if(ISBLANK(A305),"""",GOOGLEFINANCE(A305,""Price""))"),"")</f>
        <v/>
      </c>
      <c r="I305" s="305" t="str">
        <f t="shared" si="1"/>
        <v/>
      </c>
      <c r="J305" s="306" t="str">
        <f t="shared" si="2"/>
        <v/>
      </c>
      <c r="K305" s="307" t="str">
        <f>IFERROR(__xludf.DUMMYFUNCTION("if(ISBLANK(A305),"""",googlefinance(A305,""Marketcap"")/10000000)"),"")</f>
        <v/>
      </c>
      <c r="L305" s="309" t="str">
        <f t="shared" si="3"/>
        <v/>
      </c>
      <c r="M305" s="308" t="str">
        <f t="shared" si="4"/>
        <v/>
      </c>
      <c r="N305" s="309" t="str">
        <f t="shared" si="5"/>
        <v/>
      </c>
      <c r="O305" s="322" t="str">
        <f t="shared" si="6"/>
        <v/>
      </c>
      <c r="P305" s="308" t="str">
        <f t="shared" si="7"/>
        <v/>
      </c>
      <c r="Q305" s="311" t="str">
        <f t="shared" si="8"/>
        <v/>
      </c>
      <c r="R305" s="309" t="str">
        <f t="shared" si="9"/>
        <v/>
      </c>
      <c r="S305" s="308" t="str">
        <f t="shared" si="10"/>
        <v/>
      </c>
      <c r="T305" s="309" t="str">
        <f t="shared" si="11"/>
        <v/>
      </c>
      <c r="U305" s="309" t="str">
        <f t="shared" si="12"/>
        <v/>
      </c>
      <c r="V305" s="308" t="str">
        <f t="shared" si="13"/>
        <v/>
      </c>
      <c r="W305" s="309" t="str">
        <f t="shared" si="14"/>
        <v/>
      </c>
      <c r="X305" s="309" t="str">
        <f t="shared" si="15"/>
        <v/>
      </c>
      <c r="Y305" s="308" t="str">
        <f t="shared" si="16"/>
        <v/>
      </c>
      <c r="Z305" s="309" t="str">
        <f t="shared" si="17"/>
        <v/>
      </c>
      <c r="AA305" s="312" t="str">
        <f t="shared" si="18"/>
        <v/>
      </c>
      <c r="AB305" s="308" t="str">
        <f t="shared" si="19"/>
        <v/>
      </c>
      <c r="AC305" s="308" t="str">
        <f t="shared" si="20"/>
        <v/>
      </c>
      <c r="AD305" s="312" t="str">
        <f t="shared" si="21"/>
        <v/>
      </c>
      <c r="AE305" s="308" t="str">
        <f t="shared" si="22"/>
        <v/>
      </c>
      <c r="AF305" s="313" t="str">
        <f t="shared" si="23"/>
        <v/>
      </c>
      <c r="AG305" s="304" t="str">
        <f t="shared" si="24"/>
        <v/>
      </c>
      <c r="AH305" s="308" t="str">
        <f t="shared" si="25"/>
        <v/>
      </c>
      <c r="AI305" s="313" t="str">
        <f t="shared" si="26"/>
        <v/>
      </c>
      <c r="AJ305" s="304" t="str">
        <f t="shared" si="27"/>
        <v/>
      </c>
      <c r="AK305" s="308" t="str">
        <f t="shared" si="28"/>
        <v/>
      </c>
      <c r="AL305" s="308" t="str">
        <f t="shared" si="29"/>
        <v/>
      </c>
      <c r="AM305" s="304" t="str">
        <f t="shared" si="30"/>
        <v/>
      </c>
      <c r="AN305" s="308" t="str">
        <f t="shared" si="31"/>
        <v/>
      </c>
      <c r="AO305" s="313" t="str">
        <f t="shared" si="32"/>
        <v/>
      </c>
      <c r="AP305" s="304" t="str">
        <f t="shared" si="33"/>
        <v/>
      </c>
      <c r="AQ305" s="308" t="str">
        <f t="shared" si="34"/>
        <v/>
      </c>
      <c r="AR305" s="313" t="str">
        <f t="shared" si="35"/>
        <v/>
      </c>
      <c r="AS305" s="304" t="str">
        <f t="shared" si="36"/>
        <v/>
      </c>
      <c r="AT305" s="308" t="str">
        <f t="shared" si="37"/>
        <v/>
      </c>
      <c r="AU305" s="308" t="str">
        <f t="shared" si="38"/>
        <v/>
      </c>
      <c r="AV305" s="304" t="str">
        <f t="shared" si="39"/>
        <v/>
      </c>
      <c r="AW305" s="308" t="str">
        <f t="shared" si="40"/>
        <v/>
      </c>
      <c r="AX305" s="308" t="str">
        <f t="shared" si="41"/>
        <v/>
      </c>
      <c r="AY305" s="304" t="str">
        <f t="shared" si="42"/>
        <v/>
      </c>
      <c r="AZ305" s="308" t="str">
        <f t="shared" si="43"/>
        <v/>
      </c>
      <c r="BA305" s="313" t="str">
        <f t="shared" si="44"/>
        <v/>
      </c>
      <c r="BB305" s="304" t="str">
        <f t="shared" si="45"/>
        <v/>
      </c>
      <c r="BC305" s="308" t="str">
        <f t="shared" si="46"/>
        <v/>
      </c>
      <c r="BD305" s="308" t="str">
        <f t="shared" si="47"/>
        <v/>
      </c>
    </row>
    <row r="306">
      <c r="A306" s="298"/>
      <c r="B306" s="299"/>
      <c r="C306" s="300"/>
      <c r="D306" s="301" t="str">
        <f>IFERROR(__xludf.DUMMYFUNCTION("if(ISBLANK(A306),"""",GOOGLEFINANCE(A306,""NAME""))"),"")</f>
        <v/>
      </c>
      <c r="E306" s="302">
        <v>5000.0</v>
      </c>
      <c r="F306" s="303" t="str">
        <f>IFERROR(__xludf.DUMMYFUNCTION("if(ISBLANK(A306),"""",GOOGLEFINANCE(A306,""HIGH52""))"),"")</f>
        <v/>
      </c>
      <c r="G306" s="303" t="str">
        <f>IFERROR(__xludf.DUMMYFUNCTION("if(ISBLANK(A306),"""",GOOGLEFINANCE(A306,""LOW52""))"),"")</f>
        <v/>
      </c>
      <c r="H306" s="304" t="str">
        <f>IFERROR(__xludf.DUMMYFUNCTION("if(ISBLANK(A306),"""",GOOGLEFINANCE(A306,""Price""))"),"")</f>
        <v/>
      </c>
      <c r="I306" s="305" t="str">
        <f t="shared" si="1"/>
        <v/>
      </c>
      <c r="J306" s="306" t="str">
        <f t="shared" si="2"/>
        <v/>
      </c>
      <c r="K306" s="307" t="str">
        <f>IFERROR(__xludf.DUMMYFUNCTION("if(ISBLANK(A306),"""",googlefinance(A306,""Marketcap"")/10000000)"),"")</f>
        <v/>
      </c>
      <c r="L306" s="309" t="str">
        <f t="shared" si="3"/>
        <v/>
      </c>
      <c r="M306" s="308" t="str">
        <f t="shared" si="4"/>
        <v/>
      </c>
      <c r="N306" s="309" t="str">
        <f t="shared" si="5"/>
        <v/>
      </c>
      <c r="O306" s="322" t="str">
        <f t="shared" si="6"/>
        <v/>
      </c>
      <c r="P306" s="308" t="str">
        <f t="shared" si="7"/>
        <v/>
      </c>
      <c r="Q306" s="311" t="str">
        <f t="shared" si="8"/>
        <v/>
      </c>
      <c r="R306" s="309" t="str">
        <f t="shared" si="9"/>
        <v/>
      </c>
      <c r="S306" s="308" t="str">
        <f t="shared" si="10"/>
        <v/>
      </c>
      <c r="T306" s="309" t="str">
        <f t="shared" si="11"/>
        <v/>
      </c>
      <c r="U306" s="309" t="str">
        <f t="shared" si="12"/>
        <v/>
      </c>
      <c r="V306" s="308" t="str">
        <f t="shared" si="13"/>
        <v/>
      </c>
      <c r="W306" s="309" t="str">
        <f t="shared" si="14"/>
        <v/>
      </c>
      <c r="X306" s="309" t="str">
        <f t="shared" si="15"/>
        <v/>
      </c>
      <c r="Y306" s="308" t="str">
        <f t="shared" si="16"/>
        <v/>
      </c>
      <c r="Z306" s="309" t="str">
        <f t="shared" si="17"/>
        <v/>
      </c>
      <c r="AA306" s="312" t="str">
        <f t="shared" si="18"/>
        <v/>
      </c>
      <c r="AB306" s="308" t="str">
        <f t="shared" si="19"/>
        <v/>
      </c>
      <c r="AC306" s="308" t="str">
        <f t="shared" si="20"/>
        <v/>
      </c>
      <c r="AD306" s="312" t="str">
        <f t="shared" si="21"/>
        <v/>
      </c>
      <c r="AE306" s="308" t="str">
        <f t="shared" si="22"/>
        <v/>
      </c>
      <c r="AF306" s="313" t="str">
        <f t="shared" si="23"/>
        <v/>
      </c>
      <c r="AG306" s="304" t="str">
        <f t="shared" si="24"/>
        <v/>
      </c>
      <c r="AH306" s="308" t="str">
        <f t="shared" si="25"/>
        <v/>
      </c>
      <c r="AI306" s="313" t="str">
        <f t="shared" si="26"/>
        <v/>
      </c>
      <c r="AJ306" s="304" t="str">
        <f t="shared" si="27"/>
        <v/>
      </c>
      <c r="AK306" s="308" t="str">
        <f t="shared" si="28"/>
        <v/>
      </c>
      <c r="AL306" s="308" t="str">
        <f t="shared" si="29"/>
        <v/>
      </c>
      <c r="AM306" s="304" t="str">
        <f t="shared" si="30"/>
        <v/>
      </c>
      <c r="AN306" s="308" t="str">
        <f t="shared" si="31"/>
        <v/>
      </c>
      <c r="AO306" s="313" t="str">
        <f t="shared" si="32"/>
        <v/>
      </c>
      <c r="AP306" s="304" t="str">
        <f t="shared" si="33"/>
        <v/>
      </c>
      <c r="AQ306" s="308" t="str">
        <f t="shared" si="34"/>
        <v/>
      </c>
      <c r="AR306" s="313" t="str">
        <f t="shared" si="35"/>
        <v/>
      </c>
      <c r="AS306" s="304" t="str">
        <f t="shared" si="36"/>
        <v/>
      </c>
      <c r="AT306" s="308" t="str">
        <f t="shared" si="37"/>
        <v/>
      </c>
      <c r="AU306" s="308" t="str">
        <f t="shared" si="38"/>
        <v/>
      </c>
      <c r="AV306" s="304" t="str">
        <f t="shared" si="39"/>
        <v/>
      </c>
      <c r="AW306" s="308" t="str">
        <f t="shared" si="40"/>
        <v/>
      </c>
      <c r="AX306" s="308" t="str">
        <f t="shared" si="41"/>
        <v/>
      </c>
      <c r="AY306" s="304" t="str">
        <f t="shared" si="42"/>
        <v/>
      </c>
      <c r="AZ306" s="308" t="str">
        <f t="shared" si="43"/>
        <v/>
      </c>
      <c r="BA306" s="313" t="str">
        <f t="shared" si="44"/>
        <v/>
      </c>
      <c r="BB306" s="304" t="str">
        <f t="shared" si="45"/>
        <v/>
      </c>
      <c r="BC306" s="308" t="str">
        <f t="shared" si="46"/>
        <v/>
      </c>
      <c r="BD306" s="308" t="str">
        <f t="shared" si="47"/>
        <v/>
      </c>
    </row>
    <row r="307">
      <c r="A307" s="298"/>
      <c r="B307" s="299"/>
      <c r="C307" s="300"/>
      <c r="D307" s="301" t="str">
        <f>IFERROR(__xludf.DUMMYFUNCTION("if(ISBLANK(A307),"""",GOOGLEFINANCE(A307,""NAME""))"),"")</f>
        <v/>
      </c>
      <c r="E307" s="302">
        <v>5000.0</v>
      </c>
      <c r="F307" s="303" t="str">
        <f>IFERROR(__xludf.DUMMYFUNCTION("if(ISBLANK(A307),"""",GOOGLEFINANCE(A307,""HIGH52""))"),"")</f>
        <v/>
      </c>
      <c r="G307" s="303" t="str">
        <f>IFERROR(__xludf.DUMMYFUNCTION("if(ISBLANK(A307),"""",GOOGLEFINANCE(A307,""LOW52""))"),"")</f>
        <v/>
      </c>
      <c r="H307" s="304" t="str">
        <f>IFERROR(__xludf.DUMMYFUNCTION("if(ISBLANK(A307),"""",GOOGLEFINANCE(A307,""Price""))"),"")</f>
        <v/>
      </c>
      <c r="I307" s="305" t="str">
        <f t="shared" si="1"/>
        <v/>
      </c>
      <c r="J307" s="306" t="str">
        <f t="shared" si="2"/>
        <v/>
      </c>
      <c r="K307" s="307" t="str">
        <f>IFERROR(__xludf.DUMMYFUNCTION("if(ISBLANK(A307),"""",googlefinance(A307,""Marketcap"")/10000000)"),"")</f>
        <v/>
      </c>
      <c r="L307" s="309" t="str">
        <f t="shared" si="3"/>
        <v/>
      </c>
      <c r="M307" s="308" t="str">
        <f t="shared" si="4"/>
        <v/>
      </c>
      <c r="N307" s="309" t="str">
        <f t="shared" si="5"/>
        <v/>
      </c>
      <c r="O307" s="322" t="str">
        <f t="shared" si="6"/>
        <v/>
      </c>
      <c r="P307" s="308" t="str">
        <f t="shared" si="7"/>
        <v/>
      </c>
      <c r="Q307" s="311" t="str">
        <f t="shared" si="8"/>
        <v/>
      </c>
      <c r="R307" s="309" t="str">
        <f t="shared" si="9"/>
        <v/>
      </c>
      <c r="S307" s="308" t="str">
        <f t="shared" si="10"/>
        <v/>
      </c>
      <c r="T307" s="309" t="str">
        <f t="shared" si="11"/>
        <v/>
      </c>
      <c r="U307" s="309" t="str">
        <f t="shared" si="12"/>
        <v/>
      </c>
      <c r="V307" s="308" t="str">
        <f t="shared" si="13"/>
        <v/>
      </c>
      <c r="W307" s="309" t="str">
        <f t="shared" si="14"/>
        <v/>
      </c>
      <c r="X307" s="309" t="str">
        <f t="shared" si="15"/>
        <v/>
      </c>
      <c r="Y307" s="308" t="str">
        <f t="shared" si="16"/>
        <v/>
      </c>
      <c r="Z307" s="309" t="str">
        <f t="shared" si="17"/>
        <v/>
      </c>
      <c r="AA307" s="312" t="str">
        <f t="shared" si="18"/>
        <v/>
      </c>
      <c r="AB307" s="308" t="str">
        <f t="shared" si="19"/>
        <v/>
      </c>
      <c r="AC307" s="308" t="str">
        <f t="shared" si="20"/>
        <v/>
      </c>
      <c r="AD307" s="312" t="str">
        <f t="shared" si="21"/>
        <v/>
      </c>
      <c r="AE307" s="308" t="str">
        <f t="shared" si="22"/>
        <v/>
      </c>
      <c r="AF307" s="313" t="str">
        <f t="shared" si="23"/>
        <v/>
      </c>
      <c r="AG307" s="304" t="str">
        <f t="shared" si="24"/>
        <v/>
      </c>
      <c r="AH307" s="308" t="str">
        <f t="shared" si="25"/>
        <v/>
      </c>
      <c r="AI307" s="313" t="str">
        <f t="shared" si="26"/>
        <v/>
      </c>
      <c r="AJ307" s="304" t="str">
        <f t="shared" si="27"/>
        <v/>
      </c>
      <c r="AK307" s="308" t="str">
        <f t="shared" si="28"/>
        <v/>
      </c>
      <c r="AL307" s="308" t="str">
        <f t="shared" si="29"/>
        <v/>
      </c>
      <c r="AM307" s="304" t="str">
        <f t="shared" si="30"/>
        <v/>
      </c>
      <c r="AN307" s="308" t="str">
        <f t="shared" si="31"/>
        <v/>
      </c>
      <c r="AO307" s="313" t="str">
        <f t="shared" si="32"/>
        <v/>
      </c>
      <c r="AP307" s="304" t="str">
        <f t="shared" si="33"/>
        <v/>
      </c>
      <c r="AQ307" s="308" t="str">
        <f t="shared" si="34"/>
        <v/>
      </c>
      <c r="AR307" s="313" t="str">
        <f t="shared" si="35"/>
        <v/>
      </c>
      <c r="AS307" s="304" t="str">
        <f t="shared" si="36"/>
        <v/>
      </c>
      <c r="AT307" s="308" t="str">
        <f t="shared" si="37"/>
        <v/>
      </c>
      <c r="AU307" s="308" t="str">
        <f t="shared" si="38"/>
        <v/>
      </c>
      <c r="AV307" s="304" t="str">
        <f t="shared" si="39"/>
        <v/>
      </c>
      <c r="AW307" s="308" t="str">
        <f t="shared" si="40"/>
        <v/>
      </c>
      <c r="AX307" s="308" t="str">
        <f t="shared" si="41"/>
        <v/>
      </c>
      <c r="AY307" s="304" t="str">
        <f t="shared" si="42"/>
        <v/>
      </c>
      <c r="AZ307" s="308" t="str">
        <f t="shared" si="43"/>
        <v/>
      </c>
      <c r="BA307" s="313" t="str">
        <f t="shared" si="44"/>
        <v/>
      </c>
      <c r="BB307" s="304" t="str">
        <f t="shared" si="45"/>
        <v/>
      </c>
      <c r="BC307" s="308" t="str">
        <f t="shared" si="46"/>
        <v/>
      </c>
      <c r="BD307" s="308" t="str">
        <f t="shared" si="47"/>
        <v/>
      </c>
    </row>
    <row r="308">
      <c r="A308" s="298"/>
      <c r="B308" s="299"/>
      <c r="C308" s="300"/>
      <c r="D308" s="301" t="str">
        <f>IFERROR(__xludf.DUMMYFUNCTION("if(ISBLANK(A308),"""",GOOGLEFINANCE(A308,""NAME""))"),"")</f>
        <v/>
      </c>
      <c r="E308" s="302">
        <v>5000.0</v>
      </c>
      <c r="F308" s="303" t="str">
        <f>IFERROR(__xludf.DUMMYFUNCTION("if(ISBLANK(A308),"""",GOOGLEFINANCE(A308,""HIGH52""))"),"")</f>
        <v/>
      </c>
      <c r="G308" s="303" t="str">
        <f>IFERROR(__xludf.DUMMYFUNCTION("if(ISBLANK(A308),"""",GOOGLEFINANCE(A308,""LOW52""))"),"")</f>
        <v/>
      </c>
      <c r="H308" s="304" t="str">
        <f>IFERROR(__xludf.DUMMYFUNCTION("if(ISBLANK(A308),"""",GOOGLEFINANCE(A308,""Price""))"),"")</f>
        <v/>
      </c>
      <c r="I308" s="305" t="str">
        <f t="shared" si="1"/>
        <v/>
      </c>
      <c r="J308" s="306" t="str">
        <f t="shared" si="2"/>
        <v/>
      </c>
      <c r="K308" s="307" t="str">
        <f>IFERROR(__xludf.DUMMYFUNCTION("if(ISBLANK(A308),"""",googlefinance(A308,""Marketcap"")/10000000)"),"")</f>
        <v/>
      </c>
      <c r="L308" s="309" t="str">
        <f t="shared" si="3"/>
        <v/>
      </c>
      <c r="M308" s="308" t="str">
        <f t="shared" si="4"/>
        <v/>
      </c>
      <c r="N308" s="309" t="str">
        <f t="shared" si="5"/>
        <v/>
      </c>
      <c r="O308" s="322" t="str">
        <f t="shared" si="6"/>
        <v/>
      </c>
      <c r="P308" s="308" t="str">
        <f t="shared" si="7"/>
        <v/>
      </c>
      <c r="Q308" s="311" t="str">
        <f t="shared" si="8"/>
        <v/>
      </c>
      <c r="R308" s="309" t="str">
        <f t="shared" si="9"/>
        <v/>
      </c>
      <c r="S308" s="308" t="str">
        <f t="shared" si="10"/>
        <v/>
      </c>
      <c r="T308" s="309" t="str">
        <f t="shared" si="11"/>
        <v/>
      </c>
      <c r="U308" s="309" t="str">
        <f t="shared" si="12"/>
        <v/>
      </c>
      <c r="V308" s="308" t="str">
        <f t="shared" si="13"/>
        <v/>
      </c>
      <c r="W308" s="309" t="str">
        <f t="shared" si="14"/>
        <v/>
      </c>
      <c r="X308" s="309" t="str">
        <f t="shared" si="15"/>
        <v/>
      </c>
      <c r="Y308" s="308" t="str">
        <f t="shared" si="16"/>
        <v/>
      </c>
      <c r="Z308" s="309" t="str">
        <f t="shared" si="17"/>
        <v/>
      </c>
      <c r="AA308" s="312" t="str">
        <f t="shared" si="18"/>
        <v/>
      </c>
      <c r="AB308" s="308" t="str">
        <f t="shared" si="19"/>
        <v/>
      </c>
      <c r="AC308" s="308" t="str">
        <f t="shared" si="20"/>
        <v/>
      </c>
      <c r="AD308" s="312" t="str">
        <f t="shared" si="21"/>
        <v/>
      </c>
      <c r="AE308" s="308" t="str">
        <f t="shared" si="22"/>
        <v/>
      </c>
      <c r="AF308" s="313" t="str">
        <f t="shared" si="23"/>
        <v/>
      </c>
      <c r="AG308" s="304" t="str">
        <f t="shared" si="24"/>
        <v/>
      </c>
      <c r="AH308" s="308" t="str">
        <f t="shared" si="25"/>
        <v/>
      </c>
      <c r="AI308" s="313" t="str">
        <f t="shared" si="26"/>
        <v/>
      </c>
      <c r="AJ308" s="304" t="str">
        <f t="shared" si="27"/>
        <v/>
      </c>
      <c r="AK308" s="308" t="str">
        <f t="shared" si="28"/>
        <v/>
      </c>
      <c r="AL308" s="308" t="str">
        <f t="shared" si="29"/>
        <v/>
      </c>
      <c r="AM308" s="304" t="str">
        <f t="shared" si="30"/>
        <v/>
      </c>
      <c r="AN308" s="308" t="str">
        <f t="shared" si="31"/>
        <v/>
      </c>
      <c r="AO308" s="313" t="str">
        <f t="shared" si="32"/>
        <v/>
      </c>
      <c r="AP308" s="304" t="str">
        <f t="shared" si="33"/>
        <v/>
      </c>
      <c r="AQ308" s="308" t="str">
        <f t="shared" si="34"/>
        <v/>
      </c>
      <c r="AR308" s="313" t="str">
        <f t="shared" si="35"/>
        <v/>
      </c>
      <c r="AS308" s="304" t="str">
        <f t="shared" si="36"/>
        <v/>
      </c>
      <c r="AT308" s="308" t="str">
        <f t="shared" si="37"/>
        <v/>
      </c>
      <c r="AU308" s="308" t="str">
        <f t="shared" si="38"/>
        <v/>
      </c>
      <c r="AV308" s="304" t="str">
        <f t="shared" si="39"/>
        <v/>
      </c>
      <c r="AW308" s="308" t="str">
        <f t="shared" si="40"/>
        <v/>
      </c>
      <c r="AX308" s="308" t="str">
        <f t="shared" si="41"/>
        <v/>
      </c>
      <c r="AY308" s="304" t="str">
        <f t="shared" si="42"/>
        <v/>
      </c>
      <c r="AZ308" s="308" t="str">
        <f t="shared" si="43"/>
        <v/>
      </c>
      <c r="BA308" s="313" t="str">
        <f t="shared" si="44"/>
        <v/>
      </c>
      <c r="BB308" s="304" t="str">
        <f t="shared" si="45"/>
        <v/>
      </c>
      <c r="BC308" s="308" t="str">
        <f t="shared" si="46"/>
        <v/>
      </c>
      <c r="BD308" s="308" t="str">
        <f t="shared" si="47"/>
        <v/>
      </c>
    </row>
    <row r="309">
      <c r="A309" s="298"/>
      <c r="B309" s="299"/>
      <c r="C309" s="300"/>
      <c r="D309" s="301" t="str">
        <f>IFERROR(__xludf.DUMMYFUNCTION("if(ISBLANK(A309),"""",GOOGLEFINANCE(A309,""NAME""))"),"")</f>
        <v/>
      </c>
      <c r="E309" s="302">
        <v>5000.0</v>
      </c>
      <c r="F309" s="303" t="str">
        <f>IFERROR(__xludf.DUMMYFUNCTION("if(ISBLANK(A309),"""",GOOGLEFINANCE(A309,""HIGH52""))"),"")</f>
        <v/>
      </c>
      <c r="G309" s="303" t="str">
        <f>IFERROR(__xludf.DUMMYFUNCTION("if(ISBLANK(A309),"""",GOOGLEFINANCE(A309,""LOW52""))"),"")</f>
        <v/>
      </c>
      <c r="H309" s="304" t="str">
        <f>IFERROR(__xludf.DUMMYFUNCTION("if(ISBLANK(A309),"""",GOOGLEFINANCE(A309,""Price""))"),"")</f>
        <v/>
      </c>
      <c r="I309" s="305" t="str">
        <f t="shared" si="1"/>
        <v/>
      </c>
      <c r="J309" s="306" t="str">
        <f t="shared" si="2"/>
        <v/>
      </c>
      <c r="K309" s="307" t="str">
        <f>IFERROR(__xludf.DUMMYFUNCTION("if(ISBLANK(A309),"""",googlefinance(A309,""Marketcap"")/10000000)"),"")</f>
        <v/>
      </c>
      <c r="L309" s="309" t="str">
        <f t="shared" si="3"/>
        <v/>
      </c>
      <c r="M309" s="308" t="str">
        <f t="shared" si="4"/>
        <v/>
      </c>
      <c r="N309" s="309" t="str">
        <f t="shared" si="5"/>
        <v/>
      </c>
      <c r="O309" s="322" t="str">
        <f t="shared" si="6"/>
        <v/>
      </c>
      <c r="P309" s="308" t="str">
        <f t="shared" si="7"/>
        <v/>
      </c>
      <c r="Q309" s="311" t="str">
        <f t="shared" si="8"/>
        <v/>
      </c>
      <c r="R309" s="309" t="str">
        <f t="shared" si="9"/>
        <v/>
      </c>
      <c r="S309" s="308" t="str">
        <f t="shared" si="10"/>
        <v/>
      </c>
      <c r="T309" s="309" t="str">
        <f t="shared" si="11"/>
        <v/>
      </c>
      <c r="U309" s="309" t="str">
        <f t="shared" si="12"/>
        <v/>
      </c>
      <c r="V309" s="308" t="str">
        <f t="shared" si="13"/>
        <v/>
      </c>
      <c r="W309" s="309" t="str">
        <f t="shared" si="14"/>
        <v/>
      </c>
      <c r="X309" s="309" t="str">
        <f t="shared" si="15"/>
        <v/>
      </c>
      <c r="Y309" s="308" t="str">
        <f t="shared" si="16"/>
        <v/>
      </c>
      <c r="Z309" s="309" t="str">
        <f t="shared" si="17"/>
        <v/>
      </c>
      <c r="AA309" s="312" t="str">
        <f t="shared" si="18"/>
        <v/>
      </c>
      <c r="AB309" s="308" t="str">
        <f t="shared" si="19"/>
        <v/>
      </c>
      <c r="AC309" s="308" t="str">
        <f t="shared" si="20"/>
        <v/>
      </c>
      <c r="AD309" s="312" t="str">
        <f t="shared" si="21"/>
        <v/>
      </c>
      <c r="AE309" s="308" t="str">
        <f t="shared" si="22"/>
        <v/>
      </c>
      <c r="AF309" s="313" t="str">
        <f t="shared" si="23"/>
        <v/>
      </c>
      <c r="AG309" s="304" t="str">
        <f t="shared" si="24"/>
        <v/>
      </c>
      <c r="AH309" s="308" t="str">
        <f t="shared" si="25"/>
        <v/>
      </c>
      <c r="AI309" s="313" t="str">
        <f t="shared" si="26"/>
        <v/>
      </c>
      <c r="AJ309" s="304" t="str">
        <f t="shared" si="27"/>
        <v/>
      </c>
      <c r="AK309" s="308" t="str">
        <f t="shared" si="28"/>
        <v/>
      </c>
      <c r="AL309" s="308" t="str">
        <f t="shared" si="29"/>
        <v/>
      </c>
      <c r="AM309" s="304" t="str">
        <f t="shared" si="30"/>
        <v/>
      </c>
      <c r="AN309" s="308" t="str">
        <f t="shared" si="31"/>
        <v/>
      </c>
      <c r="AO309" s="313" t="str">
        <f t="shared" si="32"/>
        <v/>
      </c>
      <c r="AP309" s="304" t="str">
        <f t="shared" si="33"/>
        <v/>
      </c>
      <c r="AQ309" s="308" t="str">
        <f t="shared" si="34"/>
        <v/>
      </c>
      <c r="AR309" s="313" t="str">
        <f t="shared" si="35"/>
        <v/>
      </c>
      <c r="AS309" s="304" t="str">
        <f t="shared" si="36"/>
        <v/>
      </c>
      <c r="AT309" s="308" t="str">
        <f t="shared" si="37"/>
        <v/>
      </c>
      <c r="AU309" s="308" t="str">
        <f t="shared" si="38"/>
        <v/>
      </c>
      <c r="AV309" s="304" t="str">
        <f t="shared" si="39"/>
        <v/>
      </c>
      <c r="AW309" s="308" t="str">
        <f t="shared" si="40"/>
        <v/>
      </c>
      <c r="AX309" s="308" t="str">
        <f t="shared" si="41"/>
        <v/>
      </c>
      <c r="AY309" s="304" t="str">
        <f t="shared" si="42"/>
        <v/>
      </c>
      <c r="AZ309" s="308" t="str">
        <f t="shared" si="43"/>
        <v/>
      </c>
      <c r="BA309" s="313" t="str">
        <f t="shared" si="44"/>
        <v/>
      </c>
      <c r="BB309" s="304" t="str">
        <f t="shared" si="45"/>
        <v/>
      </c>
      <c r="BC309" s="308" t="str">
        <f t="shared" si="46"/>
        <v/>
      </c>
      <c r="BD309" s="308" t="str">
        <f t="shared" si="47"/>
        <v/>
      </c>
    </row>
    <row r="310">
      <c r="A310" s="298"/>
      <c r="B310" s="299"/>
      <c r="C310" s="300"/>
      <c r="D310" s="301" t="str">
        <f>IFERROR(__xludf.DUMMYFUNCTION("if(ISBLANK(A310),"""",GOOGLEFINANCE(A310,""NAME""))"),"")</f>
        <v/>
      </c>
      <c r="E310" s="302">
        <v>5000.0</v>
      </c>
      <c r="F310" s="303" t="str">
        <f>IFERROR(__xludf.DUMMYFUNCTION("if(ISBLANK(A310),"""",GOOGLEFINANCE(A310,""HIGH52""))"),"")</f>
        <v/>
      </c>
      <c r="G310" s="303" t="str">
        <f>IFERROR(__xludf.DUMMYFUNCTION("if(ISBLANK(A310),"""",GOOGLEFINANCE(A310,""LOW52""))"),"")</f>
        <v/>
      </c>
      <c r="H310" s="304" t="str">
        <f>IFERROR(__xludf.DUMMYFUNCTION("if(ISBLANK(A310),"""",GOOGLEFINANCE(A310,""Price""))"),"")</f>
        <v/>
      </c>
      <c r="I310" s="305" t="str">
        <f t="shared" si="1"/>
        <v/>
      </c>
      <c r="J310" s="306" t="str">
        <f t="shared" si="2"/>
        <v/>
      </c>
      <c r="K310" s="307" t="str">
        <f>IFERROR(__xludf.DUMMYFUNCTION("if(ISBLANK(A310),"""",googlefinance(A310,""Marketcap"")/10000000)"),"")</f>
        <v/>
      </c>
      <c r="L310" s="309" t="str">
        <f t="shared" si="3"/>
        <v/>
      </c>
      <c r="M310" s="308" t="str">
        <f t="shared" si="4"/>
        <v/>
      </c>
      <c r="N310" s="309" t="str">
        <f t="shared" si="5"/>
        <v/>
      </c>
      <c r="O310" s="322" t="str">
        <f t="shared" si="6"/>
        <v/>
      </c>
      <c r="P310" s="308" t="str">
        <f t="shared" si="7"/>
        <v/>
      </c>
      <c r="Q310" s="311" t="str">
        <f t="shared" si="8"/>
        <v/>
      </c>
      <c r="R310" s="309" t="str">
        <f t="shared" si="9"/>
        <v/>
      </c>
      <c r="S310" s="308" t="str">
        <f t="shared" si="10"/>
        <v/>
      </c>
      <c r="T310" s="309" t="str">
        <f t="shared" si="11"/>
        <v/>
      </c>
      <c r="U310" s="309" t="str">
        <f t="shared" si="12"/>
        <v/>
      </c>
      <c r="V310" s="308" t="str">
        <f t="shared" si="13"/>
        <v/>
      </c>
      <c r="W310" s="309" t="str">
        <f t="shared" si="14"/>
        <v/>
      </c>
      <c r="X310" s="309" t="str">
        <f t="shared" si="15"/>
        <v/>
      </c>
      <c r="Y310" s="308" t="str">
        <f t="shared" si="16"/>
        <v/>
      </c>
      <c r="Z310" s="309" t="str">
        <f t="shared" si="17"/>
        <v/>
      </c>
      <c r="AA310" s="312" t="str">
        <f t="shared" si="18"/>
        <v/>
      </c>
      <c r="AB310" s="308" t="str">
        <f t="shared" si="19"/>
        <v/>
      </c>
      <c r="AC310" s="308" t="str">
        <f t="shared" si="20"/>
        <v/>
      </c>
      <c r="AD310" s="312" t="str">
        <f t="shared" si="21"/>
        <v/>
      </c>
      <c r="AE310" s="308" t="str">
        <f t="shared" si="22"/>
        <v/>
      </c>
      <c r="AF310" s="313" t="str">
        <f t="shared" si="23"/>
        <v/>
      </c>
      <c r="AG310" s="304" t="str">
        <f t="shared" si="24"/>
        <v/>
      </c>
      <c r="AH310" s="308" t="str">
        <f t="shared" si="25"/>
        <v/>
      </c>
      <c r="AI310" s="313" t="str">
        <f t="shared" si="26"/>
        <v/>
      </c>
      <c r="AJ310" s="304" t="str">
        <f t="shared" si="27"/>
        <v/>
      </c>
      <c r="AK310" s="308" t="str">
        <f t="shared" si="28"/>
        <v/>
      </c>
      <c r="AL310" s="308" t="str">
        <f t="shared" si="29"/>
        <v/>
      </c>
      <c r="AM310" s="304" t="str">
        <f t="shared" si="30"/>
        <v/>
      </c>
      <c r="AN310" s="308" t="str">
        <f t="shared" si="31"/>
        <v/>
      </c>
      <c r="AO310" s="313" t="str">
        <f t="shared" si="32"/>
        <v/>
      </c>
      <c r="AP310" s="304" t="str">
        <f t="shared" si="33"/>
        <v/>
      </c>
      <c r="AQ310" s="308" t="str">
        <f t="shared" si="34"/>
        <v/>
      </c>
      <c r="AR310" s="313" t="str">
        <f t="shared" si="35"/>
        <v/>
      </c>
      <c r="AS310" s="304" t="str">
        <f t="shared" si="36"/>
        <v/>
      </c>
      <c r="AT310" s="308" t="str">
        <f t="shared" si="37"/>
        <v/>
      </c>
      <c r="AU310" s="308" t="str">
        <f t="shared" si="38"/>
        <v/>
      </c>
      <c r="AV310" s="304" t="str">
        <f t="shared" si="39"/>
        <v/>
      </c>
      <c r="AW310" s="308" t="str">
        <f t="shared" si="40"/>
        <v/>
      </c>
      <c r="AX310" s="308" t="str">
        <f t="shared" si="41"/>
        <v/>
      </c>
      <c r="AY310" s="304" t="str">
        <f t="shared" si="42"/>
        <v/>
      </c>
      <c r="AZ310" s="308" t="str">
        <f t="shared" si="43"/>
        <v/>
      </c>
      <c r="BA310" s="313" t="str">
        <f t="shared" si="44"/>
        <v/>
      </c>
      <c r="BB310" s="304" t="str">
        <f t="shared" si="45"/>
        <v/>
      </c>
      <c r="BC310" s="308" t="str">
        <f t="shared" si="46"/>
        <v/>
      </c>
      <c r="BD310" s="308" t="str">
        <f t="shared" si="47"/>
        <v/>
      </c>
    </row>
    <row r="311">
      <c r="A311" s="298"/>
      <c r="B311" s="299"/>
      <c r="C311" s="300"/>
      <c r="D311" s="301" t="str">
        <f>IFERROR(__xludf.DUMMYFUNCTION("if(ISBLANK(A311),"""",GOOGLEFINANCE(A311,""NAME""))"),"")</f>
        <v/>
      </c>
      <c r="E311" s="302">
        <v>5000.0</v>
      </c>
      <c r="F311" s="303" t="str">
        <f>IFERROR(__xludf.DUMMYFUNCTION("if(ISBLANK(A311),"""",GOOGLEFINANCE(A311,""HIGH52""))"),"")</f>
        <v/>
      </c>
      <c r="G311" s="303" t="str">
        <f>IFERROR(__xludf.DUMMYFUNCTION("if(ISBLANK(A311),"""",GOOGLEFINANCE(A311,""LOW52""))"),"")</f>
        <v/>
      </c>
      <c r="H311" s="304" t="str">
        <f>IFERROR(__xludf.DUMMYFUNCTION("if(ISBLANK(A311),"""",GOOGLEFINANCE(A311,""Price""))"),"")</f>
        <v/>
      </c>
      <c r="I311" s="305" t="str">
        <f t="shared" si="1"/>
        <v/>
      </c>
      <c r="J311" s="306" t="str">
        <f t="shared" si="2"/>
        <v/>
      </c>
      <c r="K311" s="307" t="str">
        <f>IFERROR(__xludf.DUMMYFUNCTION("if(ISBLANK(A311),"""",googlefinance(A311,""Marketcap"")/10000000)"),"")</f>
        <v/>
      </c>
      <c r="L311" s="309" t="str">
        <f t="shared" si="3"/>
        <v/>
      </c>
      <c r="M311" s="308" t="str">
        <f t="shared" si="4"/>
        <v/>
      </c>
      <c r="N311" s="309" t="str">
        <f t="shared" si="5"/>
        <v/>
      </c>
      <c r="O311" s="322" t="str">
        <f t="shared" si="6"/>
        <v/>
      </c>
      <c r="P311" s="308" t="str">
        <f t="shared" si="7"/>
        <v/>
      </c>
      <c r="Q311" s="311" t="str">
        <f t="shared" si="8"/>
        <v/>
      </c>
      <c r="R311" s="309" t="str">
        <f t="shared" si="9"/>
        <v/>
      </c>
      <c r="S311" s="308" t="str">
        <f t="shared" si="10"/>
        <v/>
      </c>
      <c r="T311" s="309" t="str">
        <f t="shared" si="11"/>
        <v/>
      </c>
      <c r="U311" s="309" t="str">
        <f t="shared" si="12"/>
        <v/>
      </c>
      <c r="V311" s="308" t="str">
        <f t="shared" si="13"/>
        <v/>
      </c>
      <c r="W311" s="309" t="str">
        <f t="shared" si="14"/>
        <v/>
      </c>
      <c r="X311" s="309" t="str">
        <f t="shared" si="15"/>
        <v/>
      </c>
      <c r="Y311" s="308" t="str">
        <f t="shared" si="16"/>
        <v/>
      </c>
      <c r="Z311" s="309" t="str">
        <f t="shared" si="17"/>
        <v/>
      </c>
      <c r="AA311" s="312" t="str">
        <f t="shared" si="18"/>
        <v/>
      </c>
      <c r="AB311" s="308" t="str">
        <f t="shared" si="19"/>
        <v/>
      </c>
      <c r="AC311" s="308" t="str">
        <f t="shared" si="20"/>
        <v/>
      </c>
      <c r="AD311" s="312" t="str">
        <f t="shared" si="21"/>
        <v/>
      </c>
      <c r="AE311" s="308" t="str">
        <f t="shared" si="22"/>
        <v/>
      </c>
      <c r="AF311" s="313" t="str">
        <f t="shared" si="23"/>
        <v/>
      </c>
      <c r="AG311" s="304" t="str">
        <f t="shared" si="24"/>
        <v/>
      </c>
      <c r="AH311" s="308" t="str">
        <f t="shared" si="25"/>
        <v/>
      </c>
      <c r="AI311" s="313" t="str">
        <f t="shared" si="26"/>
        <v/>
      </c>
      <c r="AJ311" s="304" t="str">
        <f t="shared" si="27"/>
        <v/>
      </c>
      <c r="AK311" s="308" t="str">
        <f t="shared" si="28"/>
        <v/>
      </c>
      <c r="AL311" s="308" t="str">
        <f t="shared" si="29"/>
        <v/>
      </c>
      <c r="AM311" s="304" t="str">
        <f t="shared" si="30"/>
        <v/>
      </c>
      <c r="AN311" s="308" t="str">
        <f t="shared" si="31"/>
        <v/>
      </c>
      <c r="AO311" s="313" t="str">
        <f t="shared" si="32"/>
        <v/>
      </c>
      <c r="AP311" s="304" t="str">
        <f t="shared" si="33"/>
        <v/>
      </c>
      <c r="AQ311" s="308" t="str">
        <f t="shared" si="34"/>
        <v/>
      </c>
      <c r="AR311" s="313" t="str">
        <f t="shared" si="35"/>
        <v/>
      </c>
      <c r="AS311" s="304" t="str">
        <f t="shared" si="36"/>
        <v/>
      </c>
      <c r="AT311" s="308" t="str">
        <f t="shared" si="37"/>
        <v/>
      </c>
      <c r="AU311" s="308" t="str">
        <f t="shared" si="38"/>
        <v/>
      </c>
      <c r="AV311" s="304" t="str">
        <f t="shared" si="39"/>
        <v/>
      </c>
      <c r="AW311" s="308" t="str">
        <f t="shared" si="40"/>
        <v/>
      </c>
      <c r="AX311" s="308" t="str">
        <f t="shared" si="41"/>
        <v/>
      </c>
      <c r="AY311" s="304" t="str">
        <f t="shared" si="42"/>
        <v/>
      </c>
      <c r="AZ311" s="308" t="str">
        <f t="shared" si="43"/>
        <v/>
      </c>
      <c r="BA311" s="313" t="str">
        <f t="shared" si="44"/>
        <v/>
      </c>
      <c r="BB311" s="304" t="str">
        <f t="shared" si="45"/>
        <v/>
      </c>
      <c r="BC311" s="308" t="str">
        <f t="shared" si="46"/>
        <v/>
      </c>
      <c r="BD311" s="308" t="str">
        <f t="shared" si="47"/>
        <v/>
      </c>
    </row>
    <row r="312">
      <c r="A312" s="298"/>
      <c r="B312" s="299"/>
      <c r="C312" s="300"/>
      <c r="D312" s="301" t="str">
        <f>IFERROR(__xludf.DUMMYFUNCTION("if(ISBLANK(A312),"""",GOOGLEFINANCE(A312,""NAME""))"),"")</f>
        <v/>
      </c>
      <c r="E312" s="302">
        <v>5000.0</v>
      </c>
      <c r="F312" s="303" t="str">
        <f>IFERROR(__xludf.DUMMYFUNCTION("if(ISBLANK(A312),"""",GOOGLEFINANCE(A312,""HIGH52""))"),"")</f>
        <v/>
      </c>
      <c r="G312" s="303" t="str">
        <f>IFERROR(__xludf.DUMMYFUNCTION("if(ISBLANK(A312),"""",GOOGLEFINANCE(A312,""LOW52""))"),"")</f>
        <v/>
      </c>
      <c r="H312" s="304" t="str">
        <f>IFERROR(__xludf.DUMMYFUNCTION("if(ISBLANK(A312),"""",GOOGLEFINANCE(A312,""Price""))"),"")</f>
        <v/>
      </c>
      <c r="I312" s="305" t="str">
        <f t="shared" si="1"/>
        <v/>
      </c>
      <c r="J312" s="306" t="str">
        <f t="shared" si="2"/>
        <v/>
      </c>
      <c r="K312" s="307" t="str">
        <f>IFERROR(__xludf.DUMMYFUNCTION("if(ISBLANK(A312),"""",googlefinance(A312,""Marketcap"")/10000000)"),"")</f>
        <v/>
      </c>
      <c r="L312" s="309" t="str">
        <f t="shared" si="3"/>
        <v/>
      </c>
      <c r="M312" s="308" t="str">
        <f t="shared" si="4"/>
        <v/>
      </c>
      <c r="N312" s="309" t="str">
        <f t="shared" si="5"/>
        <v/>
      </c>
      <c r="O312" s="322" t="str">
        <f t="shared" si="6"/>
        <v/>
      </c>
      <c r="P312" s="308" t="str">
        <f t="shared" si="7"/>
        <v/>
      </c>
      <c r="Q312" s="311" t="str">
        <f t="shared" si="8"/>
        <v/>
      </c>
      <c r="R312" s="309" t="str">
        <f t="shared" si="9"/>
        <v/>
      </c>
      <c r="S312" s="308" t="str">
        <f t="shared" si="10"/>
        <v/>
      </c>
      <c r="T312" s="309" t="str">
        <f t="shared" si="11"/>
        <v/>
      </c>
      <c r="U312" s="309" t="str">
        <f t="shared" si="12"/>
        <v/>
      </c>
      <c r="V312" s="308" t="str">
        <f t="shared" si="13"/>
        <v/>
      </c>
      <c r="W312" s="309" t="str">
        <f t="shared" si="14"/>
        <v/>
      </c>
      <c r="X312" s="309" t="str">
        <f t="shared" si="15"/>
        <v/>
      </c>
      <c r="Y312" s="308" t="str">
        <f t="shared" si="16"/>
        <v/>
      </c>
      <c r="Z312" s="309" t="str">
        <f t="shared" si="17"/>
        <v/>
      </c>
      <c r="AA312" s="312" t="str">
        <f t="shared" si="18"/>
        <v/>
      </c>
      <c r="AB312" s="308" t="str">
        <f t="shared" si="19"/>
        <v/>
      </c>
      <c r="AC312" s="308" t="str">
        <f t="shared" si="20"/>
        <v/>
      </c>
      <c r="AD312" s="312" t="str">
        <f t="shared" si="21"/>
        <v/>
      </c>
      <c r="AE312" s="308" t="str">
        <f t="shared" si="22"/>
        <v/>
      </c>
      <c r="AF312" s="313" t="str">
        <f t="shared" si="23"/>
        <v/>
      </c>
      <c r="AG312" s="304" t="str">
        <f t="shared" si="24"/>
        <v/>
      </c>
      <c r="AH312" s="308" t="str">
        <f t="shared" si="25"/>
        <v/>
      </c>
      <c r="AI312" s="313" t="str">
        <f t="shared" si="26"/>
        <v/>
      </c>
      <c r="AJ312" s="304" t="str">
        <f t="shared" si="27"/>
        <v/>
      </c>
      <c r="AK312" s="308" t="str">
        <f t="shared" si="28"/>
        <v/>
      </c>
      <c r="AL312" s="308" t="str">
        <f t="shared" si="29"/>
        <v/>
      </c>
      <c r="AM312" s="304" t="str">
        <f t="shared" si="30"/>
        <v/>
      </c>
      <c r="AN312" s="308" t="str">
        <f t="shared" si="31"/>
        <v/>
      </c>
      <c r="AO312" s="313" t="str">
        <f t="shared" si="32"/>
        <v/>
      </c>
      <c r="AP312" s="304" t="str">
        <f t="shared" si="33"/>
        <v/>
      </c>
      <c r="AQ312" s="308" t="str">
        <f t="shared" si="34"/>
        <v/>
      </c>
      <c r="AR312" s="313" t="str">
        <f t="shared" si="35"/>
        <v/>
      </c>
      <c r="AS312" s="304" t="str">
        <f t="shared" si="36"/>
        <v/>
      </c>
      <c r="AT312" s="308" t="str">
        <f t="shared" si="37"/>
        <v/>
      </c>
      <c r="AU312" s="308" t="str">
        <f t="shared" si="38"/>
        <v/>
      </c>
      <c r="AV312" s="304" t="str">
        <f t="shared" si="39"/>
        <v/>
      </c>
      <c r="AW312" s="308" t="str">
        <f t="shared" si="40"/>
        <v/>
      </c>
      <c r="AX312" s="308" t="str">
        <f t="shared" si="41"/>
        <v/>
      </c>
      <c r="AY312" s="304" t="str">
        <f t="shared" si="42"/>
        <v/>
      </c>
      <c r="AZ312" s="308" t="str">
        <f t="shared" si="43"/>
        <v/>
      </c>
      <c r="BA312" s="313" t="str">
        <f t="shared" si="44"/>
        <v/>
      </c>
      <c r="BB312" s="304" t="str">
        <f t="shared" si="45"/>
        <v/>
      </c>
      <c r="BC312" s="308" t="str">
        <f t="shared" si="46"/>
        <v/>
      </c>
      <c r="BD312" s="308" t="str">
        <f t="shared" si="47"/>
        <v/>
      </c>
    </row>
    <row r="313">
      <c r="A313" s="298"/>
      <c r="B313" s="299"/>
      <c r="C313" s="300"/>
      <c r="D313" s="301" t="str">
        <f>IFERROR(__xludf.DUMMYFUNCTION("if(ISBLANK(A313),"""",GOOGLEFINANCE(A313,""NAME""))"),"")</f>
        <v/>
      </c>
      <c r="E313" s="302">
        <v>5000.0</v>
      </c>
      <c r="F313" s="303" t="str">
        <f>IFERROR(__xludf.DUMMYFUNCTION("if(ISBLANK(A313),"""",GOOGLEFINANCE(A313,""HIGH52""))"),"")</f>
        <v/>
      </c>
      <c r="G313" s="303" t="str">
        <f>IFERROR(__xludf.DUMMYFUNCTION("if(ISBLANK(A313),"""",GOOGLEFINANCE(A313,""LOW52""))"),"")</f>
        <v/>
      </c>
      <c r="H313" s="304" t="str">
        <f>IFERROR(__xludf.DUMMYFUNCTION("if(ISBLANK(A313),"""",GOOGLEFINANCE(A313,""Price""))"),"")</f>
        <v/>
      </c>
      <c r="I313" s="305" t="str">
        <f t="shared" si="1"/>
        <v/>
      </c>
      <c r="J313" s="306" t="str">
        <f t="shared" si="2"/>
        <v/>
      </c>
      <c r="K313" s="307" t="str">
        <f>IFERROR(__xludf.DUMMYFUNCTION("if(ISBLANK(A313),"""",googlefinance(A313,""Marketcap"")/10000000)"),"")</f>
        <v/>
      </c>
      <c r="L313" s="309" t="str">
        <f t="shared" si="3"/>
        <v/>
      </c>
      <c r="M313" s="308" t="str">
        <f t="shared" si="4"/>
        <v/>
      </c>
      <c r="N313" s="309" t="str">
        <f t="shared" si="5"/>
        <v/>
      </c>
      <c r="O313" s="322" t="str">
        <f t="shared" si="6"/>
        <v/>
      </c>
      <c r="P313" s="308" t="str">
        <f t="shared" si="7"/>
        <v/>
      </c>
      <c r="Q313" s="311" t="str">
        <f t="shared" si="8"/>
        <v/>
      </c>
      <c r="R313" s="309" t="str">
        <f t="shared" si="9"/>
        <v/>
      </c>
      <c r="S313" s="308" t="str">
        <f t="shared" si="10"/>
        <v/>
      </c>
      <c r="T313" s="309" t="str">
        <f t="shared" si="11"/>
        <v/>
      </c>
      <c r="U313" s="309" t="str">
        <f t="shared" si="12"/>
        <v/>
      </c>
      <c r="V313" s="308" t="str">
        <f t="shared" si="13"/>
        <v/>
      </c>
      <c r="W313" s="309" t="str">
        <f t="shared" si="14"/>
        <v/>
      </c>
      <c r="X313" s="309" t="str">
        <f t="shared" si="15"/>
        <v/>
      </c>
      <c r="Y313" s="308" t="str">
        <f t="shared" si="16"/>
        <v/>
      </c>
      <c r="Z313" s="309" t="str">
        <f t="shared" si="17"/>
        <v/>
      </c>
      <c r="AA313" s="312" t="str">
        <f t="shared" si="18"/>
        <v/>
      </c>
      <c r="AB313" s="308" t="str">
        <f t="shared" si="19"/>
        <v/>
      </c>
      <c r="AC313" s="308" t="str">
        <f t="shared" si="20"/>
        <v/>
      </c>
      <c r="AD313" s="312" t="str">
        <f t="shared" si="21"/>
        <v/>
      </c>
      <c r="AE313" s="308" t="str">
        <f t="shared" si="22"/>
        <v/>
      </c>
      <c r="AF313" s="313" t="str">
        <f t="shared" si="23"/>
        <v/>
      </c>
      <c r="AG313" s="304" t="str">
        <f t="shared" si="24"/>
        <v/>
      </c>
      <c r="AH313" s="308" t="str">
        <f t="shared" si="25"/>
        <v/>
      </c>
      <c r="AI313" s="313" t="str">
        <f t="shared" si="26"/>
        <v/>
      </c>
      <c r="AJ313" s="304" t="str">
        <f t="shared" si="27"/>
        <v/>
      </c>
      <c r="AK313" s="308" t="str">
        <f t="shared" si="28"/>
        <v/>
      </c>
      <c r="AL313" s="308" t="str">
        <f t="shared" si="29"/>
        <v/>
      </c>
      <c r="AM313" s="304" t="str">
        <f t="shared" si="30"/>
        <v/>
      </c>
      <c r="AN313" s="308" t="str">
        <f t="shared" si="31"/>
        <v/>
      </c>
      <c r="AO313" s="313" t="str">
        <f t="shared" si="32"/>
        <v/>
      </c>
      <c r="AP313" s="304" t="str">
        <f t="shared" si="33"/>
        <v/>
      </c>
      <c r="AQ313" s="308" t="str">
        <f t="shared" si="34"/>
        <v/>
      </c>
      <c r="AR313" s="313" t="str">
        <f t="shared" si="35"/>
        <v/>
      </c>
      <c r="AS313" s="304" t="str">
        <f t="shared" si="36"/>
        <v/>
      </c>
      <c r="AT313" s="308" t="str">
        <f t="shared" si="37"/>
        <v/>
      </c>
      <c r="AU313" s="308" t="str">
        <f t="shared" si="38"/>
        <v/>
      </c>
      <c r="AV313" s="304" t="str">
        <f t="shared" si="39"/>
        <v/>
      </c>
      <c r="AW313" s="308" t="str">
        <f t="shared" si="40"/>
        <v/>
      </c>
      <c r="AX313" s="308" t="str">
        <f t="shared" si="41"/>
        <v/>
      </c>
      <c r="AY313" s="304" t="str">
        <f t="shared" si="42"/>
        <v/>
      </c>
      <c r="AZ313" s="308" t="str">
        <f t="shared" si="43"/>
        <v/>
      </c>
      <c r="BA313" s="313" t="str">
        <f t="shared" si="44"/>
        <v/>
      </c>
      <c r="BB313" s="304" t="str">
        <f t="shared" si="45"/>
        <v/>
      </c>
      <c r="BC313" s="308" t="str">
        <f t="shared" si="46"/>
        <v/>
      </c>
      <c r="BD313" s="308" t="str">
        <f t="shared" si="47"/>
        <v/>
      </c>
    </row>
    <row r="314">
      <c r="A314" s="298"/>
      <c r="B314" s="299"/>
      <c r="C314" s="300"/>
      <c r="D314" s="301" t="str">
        <f>IFERROR(__xludf.DUMMYFUNCTION("if(ISBLANK(A314),"""",GOOGLEFINANCE(A314,""NAME""))"),"")</f>
        <v/>
      </c>
      <c r="E314" s="302">
        <v>5000.0</v>
      </c>
      <c r="F314" s="303" t="str">
        <f>IFERROR(__xludf.DUMMYFUNCTION("if(ISBLANK(A314),"""",GOOGLEFINANCE(A314,""HIGH52""))"),"")</f>
        <v/>
      </c>
      <c r="G314" s="303" t="str">
        <f>IFERROR(__xludf.DUMMYFUNCTION("if(ISBLANK(A314),"""",GOOGLEFINANCE(A314,""LOW52""))"),"")</f>
        <v/>
      </c>
      <c r="H314" s="304" t="str">
        <f>IFERROR(__xludf.DUMMYFUNCTION("if(ISBLANK(A314),"""",GOOGLEFINANCE(A314,""Price""))"),"")</f>
        <v/>
      </c>
      <c r="I314" s="305" t="str">
        <f t="shared" si="1"/>
        <v/>
      </c>
      <c r="J314" s="306" t="str">
        <f t="shared" si="2"/>
        <v/>
      </c>
      <c r="K314" s="307" t="str">
        <f>IFERROR(__xludf.DUMMYFUNCTION("if(ISBLANK(A314),"""",googlefinance(A314,""Marketcap"")/10000000)"),"")</f>
        <v/>
      </c>
      <c r="L314" s="309" t="str">
        <f t="shared" si="3"/>
        <v/>
      </c>
      <c r="M314" s="308" t="str">
        <f t="shared" si="4"/>
        <v/>
      </c>
      <c r="N314" s="309" t="str">
        <f t="shared" si="5"/>
        <v/>
      </c>
      <c r="O314" s="322" t="str">
        <f t="shared" si="6"/>
        <v/>
      </c>
      <c r="P314" s="308" t="str">
        <f t="shared" si="7"/>
        <v/>
      </c>
      <c r="Q314" s="311" t="str">
        <f t="shared" si="8"/>
        <v/>
      </c>
      <c r="R314" s="309" t="str">
        <f t="shared" si="9"/>
        <v/>
      </c>
      <c r="S314" s="308" t="str">
        <f t="shared" si="10"/>
        <v/>
      </c>
      <c r="T314" s="309" t="str">
        <f t="shared" si="11"/>
        <v/>
      </c>
      <c r="U314" s="309" t="str">
        <f t="shared" si="12"/>
        <v/>
      </c>
      <c r="V314" s="308" t="str">
        <f t="shared" si="13"/>
        <v/>
      </c>
      <c r="W314" s="309" t="str">
        <f t="shared" si="14"/>
        <v/>
      </c>
      <c r="X314" s="309" t="str">
        <f t="shared" si="15"/>
        <v/>
      </c>
      <c r="Y314" s="308" t="str">
        <f t="shared" si="16"/>
        <v/>
      </c>
      <c r="Z314" s="309" t="str">
        <f t="shared" si="17"/>
        <v/>
      </c>
      <c r="AA314" s="312" t="str">
        <f t="shared" si="18"/>
        <v/>
      </c>
      <c r="AB314" s="308" t="str">
        <f t="shared" si="19"/>
        <v/>
      </c>
      <c r="AC314" s="308" t="str">
        <f t="shared" si="20"/>
        <v/>
      </c>
      <c r="AD314" s="312" t="str">
        <f t="shared" si="21"/>
        <v/>
      </c>
      <c r="AE314" s="308" t="str">
        <f t="shared" si="22"/>
        <v/>
      </c>
      <c r="AF314" s="313" t="str">
        <f t="shared" si="23"/>
        <v/>
      </c>
      <c r="AG314" s="304" t="str">
        <f t="shared" si="24"/>
        <v/>
      </c>
      <c r="AH314" s="308" t="str">
        <f t="shared" si="25"/>
        <v/>
      </c>
      <c r="AI314" s="313" t="str">
        <f t="shared" si="26"/>
        <v/>
      </c>
      <c r="AJ314" s="304" t="str">
        <f t="shared" si="27"/>
        <v/>
      </c>
      <c r="AK314" s="308" t="str">
        <f t="shared" si="28"/>
        <v/>
      </c>
      <c r="AL314" s="308" t="str">
        <f t="shared" si="29"/>
        <v/>
      </c>
      <c r="AM314" s="304" t="str">
        <f t="shared" si="30"/>
        <v/>
      </c>
      <c r="AN314" s="308" t="str">
        <f t="shared" si="31"/>
        <v/>
      </c>
      <c r="AO314" s="313" t="str">
        <f t="shared" si="32"/>
        <v/>
      </c>
      <c r="AP314" s="304" t="str">
        <f t="shared" si="33"/>
        <v/>
      </c>
      <c r="AQ314" s="308" t="str">
        <f t="shared" si="34"/>
        <v/>
      </c>
      <c r="AR314" s="313" t="str">
        <f t="shared" si="35"/>
        <v/>
      </c>
      <c r="AS314" s="304" t="str">
        <f t="shared" si="36"/>
        <v/>
      </c>
      <c r="AT314" s="308" t="str">
        <f t="shared" si="37"/>
        <v/>
      </c>
      <c r="AU314" s="308" t="str">
        <f t="shared" si="38"/>
        <v/>
      </c>
      <c r="AV314" s="304" t="str">
        <f t="shared" si="39"/>
        <v/>
      </c>
      <c r="AW314" s="308" t="str">
        <f t="shared" si="40"/>
        <v/>
      </c>
      <c r="AX314" s="308" t="str">
        <f t="shared" si="41"/>
        <v/>
      </c>
      <c r="AY314" s="304" t="str">
        <f t="shared" si="42"/>
        <v/>
      </c>
      <c r="AZ314" s="308" t="str">
        <f t="shared" si="43"/>
        <v/>
      </c>
      <c r="BA314" s="313" t="str">
        <f t="shared" si="44"/>
        <v/>
      </c>
      <c r="BB314" s="304" t="str">
        <f t="shared" si="45"/>
        <v/>
      </c>
      <c r="BC314" s="308" t="str">
        <f t="shared" si="46"/>
        <v/>
      </c>
      <c r="BD314" s="308" t="str">
        <f t="shared" si="47"/>
        <v/>
      </c>
    </row>
    <row r="315">
      <c r="A315" s="298"/>
      <c r="B315" s="299"/>
      <c r="C315" s="300"/>
      <c r="D315" s="301" t="str">
        <f>IFERROR(__xludf.DUMMYFUNCTION("if(ISBLANK(A315),"""",GOOGLEFINANCE(A315,""NAME""))"),"")</f>
        <v/>
      </c>
      <c r="E315" s="302">
        <v>5000.0</v>
      </c>
      <c r="F315" s="303" t="str">
        <f>IFERROR(__xludf.DUMMYFUNCTION("if(ISBLANK(A315),"""",GOOGLEFINANCE(A315,""HIGH52""))"),"")</f>
        <v/>
      </c>
      <c r="G315" s="303" t="str">
        <f>IFERROR(__xludf.DUMMYFUNCTION("if(ISBLANK(A315),"""",GOOGLEFINANCE(A315,""LOW52""))"),"")</f>
        <v/>
      </c>
      <c r="H315" s="304" t="str">
        <f>IFERROR(__xludf.DUMMYFUNCTION("if(ISBLANK(A315),"""",GOOGLEFINANCE(A315,""Price""))"),"")</f>
        <v/>
      </c>
      <c r="I315" s="305" t="str">
        <f t="shared" si="1"/>
        <v/>
      </c>
      <c r="J315" s="306" t="str">
        <f t="shared" si="2"/>
        <v/>
      </c>
      <c r="K315" s="307" t="str">
        <f>IFERROR(__xludf.DUMMYFUNCTION("if(ISBLANK(A315),"""",googlefinance(A315,""Marketcap"")/10000000)"),"")</f>
        <v/>
      </c>
      <c r="L315" s="309" t="str">
        <f t="shared" si="3"/>
        <v/>
      </c>
      <c r="M315" s="308" t="str">
        <f t="shared" si="4"/>
        <v/>
      </c>
      <c r="N315" s="309" t="str">
        <f t="shared" si="5"/>
        <v/>
      </c>
      <c r="O315" s="322" t="str">
        <f t="shared" si="6"/>
        <v/>
      </c>
      <c r="P315" s="308" t="str">
        <f t="shared" si="7"/>
        <v/>
      </c>
      <c r="Q315" s="311" t="str">
        <f t="shared" si="8"/>
        <v/>
      </c>
      <c r="R315" s="309" t="str">
        <f t="shared" si="9"/>
        <v/>
      </c>
      <c r="S315" s="308" t="str">
        <f t="shared" si="10"/>
        <v/>
      </c>
      <c r="T315" s="309" t="str">
        <f t="shared" si="11"/>
        <v/>
      </c>
      <c r="U315" s="309" t="str">
        <f t="shared" si="12"/>
        <v/>
      </c>
      <c r="V315" s="308" t="str">
        <f t="shared" si="13"/>
        <v/>
      </c>
      <c r="W315" s="309" t="str">
        <f t="shared" si="14"/>
        <v/>
      </c>
      <c r="X315" s="309" t="str">
        <f t="shared" si="15"/>
        <v/>
      </c>
      <c r="Y315" s="308" t="str">
        <f t="shared" si="16"/>
        <v/>
      </c>
      <c r="Z315" s="309" t="str">
        <f t="shared" si="17"/>
        <v/>
      </c>
      <c r="AA315" s="312" t="str">
        <f t="shared" si="18"/>
        <v/>
      </c>
      <c r="AB315" s="308" t="str">
        <f t="shared" si="19"/>
        <v/>
      </c>
      <c r="AC315" s="308" t="str">
        <f t="shared" si="20"/>
        <v/>
      </c>
      <c r="AD315" s="312" t="str">
        <f t="shared" si="21"/>
        <v/>
      </c>
      <c r="AE315" s="308" t="str">
        <f t="shared" si="22"/>
        <v/>
      </c>
      <c r="AF315" s="313" t="str">
        <f t="shared" si="23"/>
        <v/>
      </c>
      <c r="AG315" s="304" t="str">
        <f t="shared" si="24"/>
        <v/>
      </c>
      <c r="AH315" s="308" t="str">
        <f t="shared" si="25"/>
        <v/>
      </c>
      <c r="AI315" s="313" t="str">
        <f t="shared" si="26"/>
        <v/>
      </c>
      <c r="AJ315" s="304" t="str">
        <f t="shared" si="27"/>
        <v/>
      </c>
      <c r="AK315" s="308" t="str">
        <f t="shared" si="28"/>
        <v/>
      </c>
      <c r="AL315" s="308" t="str">
        <f t="shared" si="29"/>
        <v/>
      </c>
      <c r="AM315" s="304" t="str">
        <f t="shared" si="30"/>
        <v/>
      </c>
      <c r="AN315" s="308" t="str">
        <f t="shared" si="31"/>
        <v/>
      </c>
      <c r="AO315" s="313" t="str">
        <f t="shared" si="32"/>
        <v/>
      </c>
      <c r="AP315" s="304" t="str">
        <f t="shared" si="33"/>
        <v/>
      </c>
      <c r="AQ315" s="308" t="str">
        <f t="shared" si="34"/>
        <v/>
      </c>
      <c r="AR315" s="313" t="str">
        <f t="shared" si="35"/>
        <v/>
      </c>
      <c r="AS315" s="304" t="str">
        <f t="shared" si="36"/>
        <v/>
      </c>
      <c r="AT315" s="308" t="str">
        <f t="shared" si="37"/>
        <v/>
      </c>
      <c r="AU315" s="308" t="str">
        <f t="shared" si="38"/>
        <v/>
      </c>
      <c r="AV315" s="304" t="str">
        <f t="shared" si="39"/>
        <v/>
      </c>
      <c r="AW315" s="308" t="str">
        <f t="shared" si="40"/>
        <v/>
      </c>
      <c r="AX315" s="308" t="str">
        <f t="shared" si="41"/>
        <v/>
      </c>
      <c r="AY315" s="304" t="str">
        <f t="shared" si="42"/>
        <v/>
      </c>
      <c r="AZ315" s="308" t="str">
        <f t="shared" si="43"/>
        <v/>
      </c>
      <c r="BA315" s="313" t="str">
        <f t="shared" si="44"/>
        <v/>
      </c>
      <c r="BB315" s="304" t="str">
        <f t="shared" si="45"/>
        <v/>
      </c>
      <c r="BC315" s="308" t="str">
        <f t="shared" si="46"/>
        <v/>
      </c>
      <c r="BD315" s="308" t="str">
        <f t="shared" si="47"/>
        <v/>
      </c>
    </row>
    <row r="316">
      <c r="A316" s="298"/>
      <c r="B316" s="299"/>
      <c r="C316" s="300"/>
      <c r="D316" s="301" t="str">
        <f>IFERROR(__xludf.DUMMYFUNCTION("if(ISBLANK(A316),"""",GOOGLEFINANCE(A316,""NAME""))"),"")</f>
        <v/>
      </c>
      <c r="E316" s="302">
        <v>5000.0</v>
      </c>
      <c r="F316" s="303" t="str">
        <f>IFERROR(__xludf.DUMMYFUNCTION("if(ISBLANK(A316),"""",GOOGLEFINANCE(A316,""HIGH52""))"),"")</f>
        <v/>
      </c>
      <c r="G316" s="303" t="str">
        <f>IFERROR(__xludf.DUMMYFUNCTION("if(ISBLANK(A316),"""",GOOGLEFINANCE(A316,""LOW52""))"),"")</f>
        <v/>
      </c>
      <c r="H316" s="304" t="str">
        <f>IFERROR(__xludf.DUMMYFUNCTION("if(ISBLANK(A316),"""",GOOGLEFINANCE(A316,""Price""))"),"")</f>
        <v/>
      </c>
      <c r="I316" s="305" t="str">
        <f t="shared" si="1"/>
        <v/>
      </c>
      <c r="J316" s="306" t="str">
        <f t="shared" si="2"/>
        <v/>
      </c>
      <c r="K316" s="307" t="str">
        <f>IFERROR(__xludf.DUMMYFUNCTION("if(ISBLANK(A316),"""",googlefinance(A316,""Marketcap"")/10000000)"),"")</f>
        <v/>
      </c>
      <c r="L316" s="309" t="str">
        <f t="shared" si="3"/>
        <v/>
      </c>
      <c r="M316" s="308" t="str">
        <f t="shared" si="4"/>
        <v/>
      </c>
      <c r="N316" s="309" t="str">
        <f t="shared" si="5"/>
        <v/>
      </c>
      <c r="O316" s="322" t="str">
        <f t="shared" si="6"/>
        <v/>
      </c>
      <c r="P316" s="308" t="str">
        <f t="shared" si="7"/>
        <v/>
      </c>
      <c r="Q316" s="311" t="str">
        <f t="shared" si="8"/>
        <v/>
      </c>
      <c r="R316" s="309" t="str">
        <f t="shared" si="9"/>
        <v/>
      </c>
      <c r="S316" s="308" t="str">
        <f t="shared" si="10"/>
        <v/>
      </c>
      <c r="T316" s="309" t="str">
        <f t="shared" si="11"/>
        <v/>
      </c>
      <c r="U316" s="309" t="str">
        <f t="shared" si="12"/>
        <v/>
      </c>
      <c r="V316" s="308" t="str">
        <f t="shared" si="13"/>
        <v/>
      </c>
      <c r="W316" s="309" t="str">
        <f t="shared" si="14"/>
        <v/>
      </c>
      <c r="X316" s="309" t="str">
        <f t="shared" si="15"/>
        <v/>
      </c>
      <c r="Y316" s="308" t="str">
        <f t="shared" si="16"/>
        <v/>
      </c>
      <c r="Z316" s="309" t="str">
        <f t="shared" si="17"/>
        <v/>
      </c>
      <c r="AA316" s="312" t="str">
        <f t="shared" si="18"/>
        <v/>
      </c>
      <c r="AB316" s="308" t="str">
        <f t="shared" si="19"/>
        <v/>
      </c>
      <c r="AC316" s="308" t="str">
        <f t="shared" si="20"/>
        <v/>
      </c>
      <c r="AD316" s="312" t="str">
        <f t="shared" si="21"/>
        <v/>
      </c>
      <c r="AE316" s="308" t="str">
        <f t="shared" si="22"/>
        <v/>
      </c>
      <c r="AF316" s="313" t="str">
        <f t="shared" si="23"/>
        <v/>
      </c>
      <c r="AG316" s="304" t="str">
        <f t="shared" si="24"/>
        <v/>
      </c>
      <c r="AH316" s="308" t="str">
        <f t="shared" si="25"/>
        <v/>
      </c>
      <c r="AI316" s="313" t="str">
        <f t="shared" si="26"/>
        <v/>
      </c>
      <c r="AJ316" s="304" t="str">
        <f t="shared" si="27"/>
        <v/>
      </c>
      <c r="AK316" s="308" t="str">
        <f t="shared" si="28"/>
        <v/>
      </c>
      <c r="AL316" s="308" t="str">
        <f t="shared" si="29"/>
        <v/>
      </c>
      <c r="AM316" s="304" t="str">
        <f t="shared" si="30"/>
        <v/>
      </c>
      <c r="AN316" s="308" t="str">
        <f t="shared" si="31"/>
        <v/>
      </c>
      <c r="AO316" s="313" t="str">
        <f t="shared" si="32"/>
        <v/>
      </c>
      <c r="AP316" s="304" t="str">
        <f t="shared" si="33"/>
        <v/>
      </c>
      <c r="AQ316" s="308" t="str">
        <f t="shared" si="34"/>
        <v/>
      </c>
      <c r="AR316" s="313" t="str">
        <f t="shared" si="35"/>
        <v/>
      </c>
      <c r="AS316" s="304" t="str">
        <f t="shared" si="36"/>
        <v/>
      </c>
      <c r="AT316" s="308" t="str">
        <f t="shared" si="37"/>
        <v/>
      </c>
      <c r="AU316" s="308" t="str">
        <f t="shared" si="38"/>
        <v/>
      </c>
      <c r="AV316" s="304" t="str">
        <f t="shared" si="39"/>
        <v/>
      </c>
      <c r="AW316" s="308" t="str">
        <f t="shared" si="40"/>
        <v/>
      </c>
      <c r="AX316" s="308" t="str">
        <f t="shared" si="41"/>
        <v/>
      </c>
      <c r="AY316" s="304" t="str">
        <f t="shared" si="42"/>
        <v/>
      </c>
      <c r="AZ316" s="308" t="str">
        <f t="shared" si="43"/>
        <v/>
      </c>
      <c r="BA316" s="313" t="str">
        <f t="shared" si="44"/>
        <v/>
      </c>
      <c r="BB316" s="304" t="str">
        <f t="shared" si="45"/>
        <v/>
      </c>
      <c r="BC316" s="308" t="str">
        <f t="shared" si="46"/>
        <v/>
      </c>
      <c r="BD316" s="308" t="str">
        <f t="shared" si="47"/>
        <v/>
      </c>
    </row>
    <row r="317">
      <c r="A317" s="298"/>
      <c r="B317" s="299"/>
      <c r="C317" s="300"/>
      <c r="D317" s="301" t="str">
        <f>IFERROR(__xludf.DUMMYFUNCTION("if(ISBLANK(A317),"""",GOOGLEFINANCE(A317,""NAME""))"),"")</f>
        <v/>
      </c>
      <c r="E317" s="302">
        <v>5000.0</v>
      </c>
      <c r="F317" s="303" t="str">
        <f>IFERROR(__xludf.DUMMYFUNCTION("if(ISBLANK(A317),"""",GOOGLEFINANCE(A317,""HIGH52""))"),"")</f>
        <v/>
      </c>
      <c r="G317" s="303" t="str">
        <f>IFERROR(__xludf.DUMMYFUNCTION("if(ISBLANK(A317),"""",GOOGLEFINANCE(A317,""LOW52""))"),"")</f>
        <v/>
      </c>
      <c r="H317" s="304" t="str">
        <f>IFERROR(__xludf.DUMMYFUNCTION("if(ISBLANK(A317),"""",GOOGLEFINANCE(A317,""Price""))"),"")</f>
        <v/>
      </c>
      <c r="I317" s="305" t="str">
        <f t="shared" si="1"/>
        <v/>
      </c>
      <c r="J317" s="306" t="str">
        <f t="shared" si="2"/>
        <v/>
      </c>
      <c r="K317" s="307" t="str">
        <f>IFERROR(__xludf.DUMMYFUNCTION("if(ISBLANK(A317),"""",googlefinance(A317,""Marketcap"")/10000000)"),"")</f>
        <v/>
      </c>
      <c r="L317" s="309" t="str">
        <f t="shared" si="3"/>
        <v/>
      </c>
      <c r="M317" s="308" t="str">
        <f t="shared" si="4"/>
        <v/>
      </c>
      <c r="N317" s="309" t="str">
        <f t="shared" si="5"/>
        <v/>
      </c>
      <c r="O317" s="322" t="str">
        <f t="shared" si="6"/>
        <v/>
      </c>
      <c r="P317" s="308" t="str">
        <f t="shared" si="7"/>
        <v/>
      </c>
      <c r="Q317" s="311" t="str">
        <f t="shared" si="8"/>
        <v/>
      </c>
      <c r="R317" s="309" t="str">
        <f t="shared" si="9"/>
        <v/>
      </c>
      <c r="S317" s="308" t="str">
        <f t="shared" si="10"/>
        <v/>
      </c>
      <c r="T317" s="309" t="str">
        <f t="shared" si="11"/>
        <v/>
      </c>
      <c r="U317" s="309" t="str">
        <f t="shared" si="12"/>
        <v/>
      </c>
      <c r="V317" s="308" t="str">
        <f t="shared" si="13"/>
        <v/>
      </c>
      <c r="W317" s="309" t="str">
        <f t="shared" si="14"/>
        <v/>
      </c>
      <c r="X317" s="309" t="str">
        <f t="shared" si="15"/>
        <v/>
      </c>
      <c r="Y317" s="308" t="str">
        <f t="shared" si="16"/>
        <v/>
      </c>
      <c r="Z317" s="309" t="str">
        <f t="shared" si="17"/>
        <v/>
      </c>
      <c r="AA317" s="312" t="str">
        <f t="shared" si="18"/>
        <v/>
      </c>
      <c r="AB317" s="308" t="str">
        <f t="shared" si="19"/>
        <v/>
      </c>
      <c r="AC317" s="308" t="str">
        <f t="shared" si="20"/>
        <v/>
      </c>
      <c r="AD317" s="312" t="str">
        <f t="shared" si="21"/>
        <v/>
      </c>
      <c r="AE317" s="308" t="str">
        <f t="shared" si="22"/>
        <v/>
      </c>
      <c r="AF317" s="313" t="str">
        <f t="shared" si="23"/>
        <v/>
      </c>
      <c r="AG317" s="304" t="str">
        <f t="shared" si="24"/>
        <v/>
      </c>
      <c r="AH317" s="308" t="str">
        <f t="shared" si="25"/>
        <v/>
      </c>
      <c r="AI317" s="313" t="str">
        <f t="shared" si="26"/>
        <v/>
      </c>
      <c r="AJ317" s="304" t="str">
        <f t="shared" si="27"/>
        <v/>
      </c>
      <c r="AK317" s="308" t="str">
        <f t="shared" si="28"/>
        <v/>
      </c>
      <c r="AL317" s="308" t="str">
        <f t="shared" si="29"/>
        <v/>
      </c>
      <c r="AM317" s="304" t="str">
        <f t="shared" si="30"/>
        <v/>
      </c>
      <c r="AN317" s="308" t="str">
        <f t="shared" si="31"/>
        <v/>
      </c>
      <c r="AO317" s="313" t="str">
        <f t="shared" si="32"/>
        <v/>
      </c>
      <c r="AP317" s="304" t="str">
        <f t="shared" si="33"/>
        <v/>
      </c>
      <c r="AQ317" s="308" t="str">
        <f t="shared" si="34"/>
        <v/>
      </c>
      <c r="AR317" s="313" t="str">
        <f t="shared" si="35"/>
        <v/>
      </c>
      <c r="AS317" s="304" t="str">
        <f t="shared" si="36"/>
        <v/>
      </c>
      <c r="AT317" s="308" t="str">
        <f t="shared" si="37"/>
        <v/>
      </c>
      <c r="AU317" s="308" t="str">
        <f t="shared" si="38"/>
        <v/>
      </c>
      <c r="AV317" s="304" t="str">
        <f t="shared" si="39"/>
        <v/>
      </c>
      <c r="AW317" s="308" t="str">
        <f t="shared" si="40"/>
        <v/>
      </c>
      <c r="AX317" s="308" t="str">
        <f t="shared" si="41"/>
        <v/>
      </c>
      <c r="AY317" s="304" t="str">
        <f t="shared" si="42"/>
        <v/>
      </c>
      <c r="AZ317" s="308" t="str">
        <f t="shared" si="43"/>
        <v/>
      </c>
      <c r="BA317" s="313" t="str">
        <f t="shared" si="44"/>
        <v/>
      </c>
      <c r="BB317" s="304" t="str">
        <f t="shared" si="45"/>
        <v/>
      </c>
      <c r="BC317" s="308" t="str">
        <f t="shared" si="46"/>
        <v/>
      </c>
      <c r="BD317" s="308" t="str">
        <f t="shared" si="47"/>
        <v/>
      </c>
    </row>
    <row r="318">
      <c r="A318" s="298"/>
      <c r="B318" s="299"/>
      <c r="C318" s="300"/>
      <c r="D318" s="301" t="str">
        <f>IFERROR(__xludf.DUMMYFUNCTION("if(ISBLANK(A318),"""",GOOGLEFINANCE(A318,""NAME""))"),"")</f>
        <v/>
      </c>
      <c r="E318" s="302">
        <v>5000.0</v>
      </c>
      <c r="F318" s="303" t="str">
        <f>IFERROR(__xludf.DUMMYFUNCTION("if(ISBLANK(A318),"""",GOOGLEFINANCE(A318,""HIGH52""))"),"")</f>
        <v/>
      </c>
      <c r="G318" s="303" t="str">
        <f>IFERROR(__xludf.DUMMYFUNCTION("if(ISBLANK(A318),"""",GOOGLEFINANCE(A318,""LOW52""))"),"")</f>
        <v/>
      </c>
      <c r="H318" s="304" t="str">
        <f>IFERROR(__xludf.DUMMYFUNCTION("if(ISBLANK(A318),"""",GOOGLEFINANCE(A318,""Price""))"),"")</f>
        <v/>
      </c>
      <c r="I318" s="305" t="str">
        <f t="shared" si="1"/>
        <v/>
      </c>
      <c r="J318" s="306" t="str">
        <f t="shared" si="2"/>
        <v/>
      </c>
      <c r="K318" s="307" t="str">
        <f>IFERROR(__xludf.DUMMYFUNCTION("if(ISBLANK(A318),"""",googlefinance(A318,""Marketcap"")/10000000)"),"")</f>
        <v/>
      </c>
      <c r="L318" s="309" t="str">
        <f t="shared" si="3"/>
        <v/>
      </c>
      <c r="M318" s="308" t="str">
        <f t="shared" si="4"/>
        <v/>
      </c>
      <c r="N318" s="309" t="str">
        <f t="shared" si="5"/>
        <v/>
      </c>
      <c r="O318" s="322" t="str">
        <f t="shared" si="6"/>
        <v/>
      </c>
      <c r="P318" s="308" t="str">
        <f t="shared" si="7"/>
        <v/>
      </c>
      <c r="Q318" s="311" t="str">
        <f t="shared" si="8"/>
        <v/>
      </c>
      <c r="R318" s="309" t="str">
        <f t="shared" si="9"/>
        <v/>
      </c>
      <c r="S318" s="308" t="str">
        <f t="shared" si="10"/>
        <v/>
      </c>
      <c r="T318" s="309" t="str">
        <f t="shared" si="11"/>
        <v/>
      </c>
      <c r="U318" s="309" t="str">
        <f t="shared" si="12"/>
        <v/>
      </c>
      <c r="V318" s="308" t="str">
        <f t="shared" si="13"/>
        <v/>
      </c>
      <c r="W318" s="309" t="str">
        <f t="shared" si="14"/>
        <v/>
      </c>
      <c r="X318" s="309" t="str">
        <f t="shared" si="15"/>
        <v/>
      </c>
      <c r="Y318" s="308" t="str">
        <f t="shared" si="16"/>
        <v/>
      </c>
      <c r="Z318" s="309" t="str">
        <f t="shared" si="17"/>
        <v/>
      </c>
      <c r="AA318" s="312" t="str">
        <f t="shared" si="18"/>
        <v/>
      </c>
      <c r="AB318" s="308" t="str">
        <f t="shared" si="19"/>
        <v/>
      </c>
      <c r="AC318" s="308" t="str">
        <f t="shared" si="20"/>
        <v/>
      </c>
      <c r="AD318" s="312" t="str">
        <f t="shared" si="21"/>
        <v/>
      </c>
      <c r="AE318" s="308" t="str">
        <f t="shared" si="22"/>
        <v/>
      </c>
      <c r="AF318" s="313" t="str">
        <f t="shared" si="23"/>
        <v/>
      </c>
      <c r="AG318" s="304" t="str">
        <f t="shared" si="24"/>
        <v/>
      </c>
      <c r="AH318" s="308" t="str">
        <f t="shared" si="25"/>
        <v/>
      </c>
      <c r="AI318" s="313" t="str">
        <f t="shared" si="26"/>
        <v/>
      </c>
      <c r="AJ318" s="304" t="str">
        <f t="shared" si="27"/>
        <v/>
      </c>
      <c r="AK318" s="308" t="str">
        <f t="shared" si="28"/>
        <v/>
      </c>
      <c r="AL318" s="308" t="str">
        <f t="shared" si="29"/>
        <v/>
      </c>
      <c r="AM318" s="304" t="str">
        <f t="shared" si="30"/>
        <v/>
      </c>
      <c r="AN318" s="308" t="str">
        <f t="shared" si="31"/>
        <v/>
      </c>
      <c r="AO318" s="313" t="str">
        <f t="shared" si="32"/>
        <v/>
      </c>
      <c r="AP318" s="304" t="str">
        <f t="shared" si="33"/>
        <v/>
      </c>
      <c r="AQ318" s="308" t="str">
        <f t="shared" si="34"/>
        <v/>
      </c>
      <c r="AR318" s="313" t="str">
        <f t="shared" si="35"/>
        <v/>
      </c>
      <c r="AS318" s="304" t="str">
        <f t="shared" si="36"/>
        <v/>
      </c>
      <c r="AT318" s="308" t="str">
        <f t="shared" si="37"/>
        <v/>
      </c>
      <c r="AU318" s="308" t="str">
        <f t="shared" si="38"/>
        <v/>
      </c>
      <c r="AV318" s="304" t="str">
        <f t="shared" si="39"/>
        <v/>
      </c>
      <c r="AW318" s="308" t="str">
        <f t="shared" si="40"/>
        <v/>
      </c>
      <c r="AX318" s="308" t="str">
        <f t="shared" si="41"/>
        <v/>
      </c>
      <c r="AY318" s="304" t="str">
        <f t="shared" si="42"/>
        <v/>
      </c>
      <c r="AZ318" s="308" t="str">
        <f t="shared" si="43"/>
        <v/>
      </c>
      <c r="BA318" s="313" t="str">
        <f t="shared" si="44"/>
        <v/>
      </c>
      <c r="BB318" s="304" t="str">
        <f t="shared" si="45"/>
        <v/>
      </c>
      <c r="BC318" s="308" t="str">
        <f t="shared" si="46"/>
        <v/>
      </c>
      <c r="BD318" s="308" t="str">
        <f t="shared" si="47"/>
        <v/>
      </c>
    </row>
    <row r="319">
      <c r="A319" s="298"/>
      <c r="B319" s="299"/>
      <c r="C319" s="300"/>
      <c r="D319" s="301" t="str">
        <f>IFERROR(__xludf.DUMMYFUNCTION("if(ISBLANK(A319),"""",GOOGLEFINANCE(A319,""NAME""))"),"")</f>
        <v/>
      </c>
      <c r="E319" s="302">
        <v>5000.0</v>
      </c>
      <c r="F319" s="303" t="str">
        <f>IFERROR(__xludf.DUMMYFUNCTION("if(ISBLANK(A319),"""",GOOGLEFINANCE(A319,""HIGH52""))"),"")</f>
        <v/>
      </c>
      <c r="G319" s="303" t="str">
        <f>IFERROR(__xludf.DUMMYFUNCTION("if(ISBLANK(A319),"""",GOOGLEFINANCE(A319,""LOW52""))"),"")</f>
        <v/>
      </c>
      <c r="H319" s="304" t="str">
        <f>IFERROR(__xludf.DUMMYFUNCTION("if(ISBLANK(A319),"""",GOOGLEFINANCE(A319,""Price""))"),"")</f>
        <v/>
      </c>
      <c r="I319" s="305" t="str">
        <f t="shared" si="1"/>
        <v/>
      </c>
      <c r="J319" s="306" t="str">
        <f t="shared" si="2"/>
        <v/>
      </c>
      <c r="K319" s="307" t="str">
        <f>IFERROR(__xludf.DUMMYFUNCTION("if(ISBLANK(A319),"""",googlefinance(A319,""Marketcap"")/10000000)"),"")</f>
        <v/>
      </c>
      <c r="L319" s="309" t="str">
        <f t="shared" si="3"/>
        <v/>
      </c>
      <c r="M319" s="308" t="str">
        <f t="shared" si="4"/>
        <v/>
      </c>
      <c r="N319" s="309" t="str">
        <f t="shared" si="5"/>
        <v/>
      </c>
      <c r="O319" s="322" t="str">
        <f t="shared" si="6"/>
        <v/>
      </c>
      <c r="P319" s="308" t="str">
        <f t="shared" si="7"/>
        <v/>
      </c>
      <c r="Q319" s="311" t="str">
        <f t="shared" si="8"/>
        <v/>
      </c>
      <c r="R319" s="309" t="str">
        <f t="shared" si="9"/>
        <v/>
      </c>
      <c r="S319" s="308" t="str">
        <f t="shared" si="10"/>
        <v/>
      </c>
      <c r="T319" s="309" t="str">
        <f t="shared" si="11"/>
        <v/>
      </c>
      <c r="U319" s="309" t="str">
        <f t="shared" si="12"/>
        <v/>
      </c>
      <c r="V319" s="308" t="str">
        <f t="shared" si="13"/>
        <v/>
      </c>
      <c r="W319" s="309" t="str">
        <f t="shared" si="14"/>
        <v/>
      </c>
      <c r="X319" s="309" t="str">
        <f t="shared" si="15"/>
        <v/>
      </c>
      <c r="Y319" s="308" t="str">
        <f t="shared" si="16"/>
        <v/>
      </c>
      <c r="Z319" s="309" t="str">
        <f t="shared" si="17"/>
        <v/>
      </c>
      <c r="AA319" s="312" t="str">
        <f t="shared" si="18"/>
        <v/>
      </c>
      <c r="AB319" s="308" t="str">
        <f t="shared" si="19"/>
        <v/>
      </c>
      <c r="AC319" s="308" t="str">
        <f t="shared" si="20"/>
        <v/>
      </c>
      <c r="AD319" s="312" t="str">
        <f t="shared" si="21"/>
        <v/>
      </c>
      <c r="AE319" s="308" t="str">
        <f t="shared" si="22"/>
        <v/>
      </c>
      <c r="AF319" s="313" t="str">
        <f t="shared" si="23"/>
        <v/>
      </c>
      <c r="AG319" s="304" t="str">
        <f t="shared" si="24"/>
        <v/>
      </c>
      <c r="AH319" s="308" t="str">
        <f t="shared" si="25"/>
        <v/>
      </c>
      <c r="AI319" s="313" t="str">
        <f t="shared" si="26"/>
        <v/>
      </c>
      <c r="AJ319" s="304" t="str">
        <f t="shared" si="27"/>
        <v/>
      </c>
      <c r="AK319" s="308" t="str">
        <f t="shared" si="28"/>
        <v/>
      </c>
      <c r="AL319" s="308" t="str">
        <f t="shared" si="29"/>
        <v/>
      </c>
      <c r="AM319" s="304" t="str">
        <f t="shared" si="30"/>
        <v/>
      </c>
      <c r="AN319" s="308" t="str">
        <f t="shared" si="31"/>
        <v/>
      </c>
      <c r="AO319" s="313" t="str">
        <f t="shared" si="32"/>
        <v/>
      </c>
      <c r="AP319" s="304" t="str">
        <f t="shared" si="33"/>
        <v/>
      </c>
      <c r="AQ319" s="308" t="str">
        <f t="shared" si="34"/>
        <v/>
      </c>
      <c r="AR319" s="313" t="str">
        <f t="shared" si="35"/>
        <v/>
      </c>
      <c r="AS319" s="304" t="str">
        <f t="shared" si="36"/>
        <v/>
      </c>
      <c r="AT319" s="308" t="str">
        <f t="shared" si="37"/>
        <v/>
      </c>
      <c r="AU319" s="308" t="str">
        <f t="shared" si="38"/>
        <v/>
      </c>
      <c r="AV319" s="304" t="str">
        <f t="shared" si="39"/>
        <v/>
      </c>
      <c r="AW319" s="308" t="str">
        <f t="shared" si="40"/>
        <v/>
      </c>
      <c r="AX319" s="308" t="str">
        <f t="shared" si="41"/>
        <v/>
      </c>
      <c r="AY319" s="304" t="str">
        <f t="shared" si="42"/>
        <v/>
      </c>
      <c r="AZ319" s="308" t="str">
        <f t="shared" si="43"/>
        <v/>
      </c>
      <c r="BA319" s="313" t="str">
        <f t="shared" si="44"/>
        <v/>
      </c>
      <c r="BB319" s="304" t="str">
        <f t="shared" si="45"/>
        <v/>
      </c>
      <c r="BC319" s="308" t="str">
        <f t="shared" si="46"/>
        <v/>
      </c>
      <c r="BD319" s="308" t="str">
        <f t="shared" si="47"/>
        <v/>
      </c>
    </row>
    <row r="320">
      <c r="A320" s="298"/>
      <c r="B320" s="299"/>
      <c r="C320" s="300"/>
      <c r="D320" s="301" t="str">
        <f>IFERROR(__xludf.DUMMYFUNCTION("if(ISBLANK(A320),"""",GOOGLEFINANCE(A320,""NAME""))"),"")</f>
        <v/>
      </c>
      <c r="E320" s="302">
        <v>5000.0</v>
      </c>
      <c r="F320" s="303" t="str">
        <f>IFERROR(__xludf.DUMMYFUNCTION("if(ISBLANK(A320),"""",GOOGLEFINANCE(A320,""HIGH52""))"),"")</f>
        <v/>
      </c>
      <c r="G320" s="303" t="str">
        <f>IFERROR(__xludf.DUMMYFUNCTION("if(ISBLANK(A320),"""",GOOGLEFINANCE(A320,""LOW52""))"),"")</f>
        <v/>
      </c>
      <c r="H320" s="304" t="str">
        <f>IFERROR(__xludf.DUMMYFUNCTION("if(ISBLANK(A320),"""",GOOGLEFINANCE(A320,""Price""))"),"")</f>
        <v/>
      </c>
      <c r="I320" s="305" t="str">
        <f t="shared" si="1"/>
        <v/>
      </c>
      <c r="J320" s="306" t="str">
        <f t="shared" si="2"/>
        <v/>
      </c>
      <c r="K320" s="307" t="str">
        <f>IFERROR(__xludf.DUMMYFUNCTION("if(ISBLANK(A320),"""",googlefinance(A320,""Marketcap"")/10000000)"),"")</f>
        <v/>
      </c>
      <c r="L320" s="309" t="str">
        <f t="shared" si="3"/>
        <v/>
      </c>
      <c r="M320" s="308" t="str">
        <f t="shared" si="4"/>
        <v/>
      </c>
      <c r="N320" s="309" t="str">
        <f t="shared" si="5"/>
        <v/>
      </c>
      <c r="O320" s="322" t="str">
        <f t="shared" si="6"/>
        <v/>
      </c>
      <c r="P320" s="308" t="str">
        <f t="shared" si="7"/>
        <v/>
      </c>
      <c r="Q320" s="311" t="str">
        <f t="shared" si="8"/>
        <v/>
      </c>
      <c r="R320" s="309" t="str">
        <f t="shared" si="9"/>
        <v/>
      </c>
      <c r="S320" s="308" t="str">
        <f t="shared" si="10"/>
        <v/>
      </c>
      <c r="T320" s="309" t="str">
        <f t="shared" si="11"/>
        <v/>
      </c>
      <c r="U320" s="309" t="str">
        <f t="shared" si="12"/>
        <v/>
      </c>
      <c r="V320" s="308" t="str">
        <f t="shared" si="13"/>
        <v/>
      </c>
      <c r="W320" s="309" t="str">
        <f t="shared" si="14"/>
        <v/>
      </c>
      <c r="X320" s="309" t="str">
        <f t="shared" si="15"/>
        <v/>
      </c>
      <c r="Y320" s="308" t="str">
        <f t="shared" si="16"/>
        <v/>
      </c>
      <c r="Z320" s="309" t="str">
        <f t="shared" si="17"/>
        <v/>
      </c>
      <c r="AA320" s="312" t="str">
        <f t="shared" si="18"/>
        <v/>
      </c>
      <c r="AB320" s="308" t="str">
        <f t="shared" si="19"/>
        <v/>
      </c>
      <c r="AC320" s="308" t="str">
        <f t="shared" si="20"/>
        <v/>
      </c>
      <c r="AD320" s="312" t="str">
        <f t="shared" si="21"/>
        <v/>
      </c>
      <c r="AE320" s="308" t="str">
        <f t="shared" si="22"/>
        <v/>
      </c>
      <c r="AF320" s="313" t="str">
        <f t="shared" si="23"/>
        <v/>
      </c>
      <c r="AG320" s="304" t="str">
        <f t="shared" si="24"/>
        <v/>
      </c>
      <c r="AH320" s="308" t="str">
        <f t="shared" si="25"/>
        <v/>
      </c>
      <c r="AI320" s="313" t="str">
        <f t="shared" si="26"/>
        <v/>
      </c>
      <c r="AJ320" s="304" t="str">
        <f t="shared" si="27"/>
        <v/>
      </c>
      <c r="AK320" s="308" t="str">
        <f t="shared" si="28"/>
        <v/>
      </c>
      <c r="AL320" s="308" t="str">
        <f t="shared" si="29"/>
        <v/>
      </c>
      <c r="AM320" s="304" t="str">
        <f t="shared" si="30"/>
        <v/>
      </c>
      <c r="AN320" s="308" t="str">
        <f t="shared" si="31"/>
        <v/>
      </c>
      <c r="AO320" s="313" t="str">
        <f t="shared" si="32"/>
        <v/>
      </c>
      <c r="AP320" s="304" t="str">
        <f t="shared" si="33"/>
        <v/>
      </c>
      <c r="AQ320" s="308" t="str">
        <f t="shared" si="34"/>
        <v/>
      </c>
      <c r="AR320" s="313" t="str">
        <f t="shared" si="35"/>
        <v/>
      </c>
      <c r="AS320" s="304" t="str">
        <f t="shared" si="36"/>
        <v/>
      </c>
      <c r="AT320" s="308" t="str">
        <f t="shared" si="37"/>
        <v/>
      </c>
      <c r="AU320" s="308" t="str">
        <f t="shared" si="38"/>
        <v/>
      </c>
      <c r="AV320" s="304" t="str">
        <f t="shared" si="39"/>
        <v/>
      </c>
      <c r="AW320" s="308" t="str">
        <f t="shared" si="40"/>
        <v/>
      </c>
      <c r="AX320" s="308" t="str">
        <f t="shared" si="41"/>
        <v/>
      </c>
      <c r="AY320" s="304" t="str">
        <f t="shared" si="42"/>
        <v/>
      </c>
      <c r="AZ320" s="308" t="str">
        <f t="shared" si="43"/>
        <v/>
      </c>
      <c r="BA320" s="313" t="str">
        <f t="shared" si="44"/>
        <v/>
      </c>
      <c r="BB320" s="304" t="str">
        <f t="shared" si="45"/>
        <v/>
      </c>
      <c r="BC320" s="308" t="str">
        <f t="shared" si="46"/>
        <v/>
      </c>
      <c r="BD320" s="308" t="str">
        <f t="shared" si="47"/>
        <v/>
      </c>
    </row>
    <row r="321">
      <c r="A321" s="298"/>
      <c r="B321" s="299"/>
      <c r="C321" s="300"/>
      <c r="D321" s="301" t="str">
        <f>IFERROR(__xludf.DUMMYFUNCTION("if(ISBLANK(A321),"""",GOOGLEFINANCE(A321,""NAME""))"),"")</f>
        <v/>
      </c>
      <c r="E321" s="302">
        <v>5000.0</v>
      </c>
      <c r="F321" s="303" t="str">
        <f>IFERROR(__xludf.DUMMYFUNCTION("if(ISBLANK(A321),"""",GOOGLEFINANCE(A321,""HIGH52""))"),"")</f>
        <v/>
      </c>
      <c r="G321" s="303" t="str">
        <f>IFERROR(__xludf.DUMMYFUNCTION("if(ISBLANK(A321),"""",GOOGLEFINANCE(A321,""LOW52""))"),"")</f>
        <v/>
      </c>
      <c r="H321" s="304" t="str">
        <f>IFERROR(__xludf.DUMMYFUNCTION("if(ISBLANK(A321),"""",GOOGLEFINANCE(A321,""Price""))"),"")</f>
        <v/>
      </c>
      <c r="I321" s="305" t="str">
        <f t="shared" si="1"/>
        <v/>
      </c>
      <c r="J321" s="306" t="str">
        <f t="shared" si="2"/>
        <v/>
      </c>
      <c r="K321" s="307" t="str">
        <f>IFERROR(__xludf.DUMMYFUNCTION("if(ISBLANK(A321),"""",googlefinance(A321,""Marketcap"")/10000000)"),"")</f>
        <v/>
      </c>
      <c r="L321" s="309" t="str">
        <f t="shared" si="3"/>
        <v/>
      </c>
      <c r="M321" s="308" t="str">
        <f t="shared" si="4"/>
        <v/>
      </c>
      <c r="N321" s="309" t="str">
        <f t="shared" si="5"/>
        <v/>
      </c>
      <c r="O321" s="322" t="str">
        <f t="shared" si="6"/>
        <v/>
      </c>
      <c r="P321" s="308" t="str">
        <f t="shared" si="7"/>
        <v/>
      </c>
      <c r="Q321" s="311" t="str">
        <f t="shared" si="8"/>
        <v/>
      </c>
      <c r="R321" s="309" t="str">
        <f t="shared" si="9"/>
        <v/>
      </c>
      <c r="S321" s="308" t="str">
        <f t="shared" si="10"/>
        <v/>
      </c>
      <c r="T321" s="309" t="str">
        <f t="shared" si="11"/>
        <v/>
      </c>
      <c r="U321" s="309" t="str">
        <f t="shared" si="12"/>
        <v/>
      </c>
      <c r="V321" s="308" t="str">
        <f t="shared" si="13"/>
        <v/>
      </c>
      <c r="W321" s="309" t="str">
        <f t="shared" si="14"/>
        <v/>
      </c>
      <c r="X321" s="309" t="str">
        <f t="shared" si="15"/>
        <v/>
      </c>
      <c r="Y321" s="308" t="str">
        <f t="shared" si="16"/>
        <v/>
      </c>
      <c r="Z321" s="309" t="str">
        <f t="shared" si="17"/>
        <v/>
      </c>
      <c r="AA321" s="312" t="str">
        <f t="shared" si="18"/>
        <v/>
      </c>
      <c r="AB321" s="308" t="str">
        <f t="shared" si="19"/>
        <v/>
      </c>
      <c r="AC321" s="308" t="str">
        <f t="shared" si="20"/>
        <v/>
      </c>
      <c r="AD321" s="312" t="str">
        <f t="shared" si="21"/>
        <v/>
      </c>
      <c r="AE321" s="308" t="str">
        <f t="shared" si="22"/>
        <v/>
      </c>
      <c r="AF321" s="313" t="str">
        <f t="shared" si="23"/>
        <v/>
      </c>
      <c r="AG321" s="304" t="str">
        <f t="shared" si="24"/>
        <v/>
      </c>
      <c r="AH321" s="308" t="str">
        <f t="shared" si="25"/>
        <v/>
      </c>
      <c r="AI321" s="313" t="str">
        <f t="shared" si="26"/>
        <v/>
      </c>
      <c r="AJ321" s="304" t="str">
        <f t="shared" si="27"/>
        <v/>
      </c>
      <c r="AK321" s="308" t="str">
        <f t="shared" si="28"/>
        <v/>
      </c>
      <c r="AL321" s="308" t="str">
        <f t="shared" si="29"/>
        <v/>
      </c>
      <c r="AM321" s="304" t="str">
        <f t="shared" si="30"/>
        <v/>
      </c>
      <c r="AN321" s="308" t="str">
        <f t="shared" si="31"/>
        <v/>
      </c>
      <c r="AO321" s="313" t="str">
        <f t="shared" si="32"/>
        <v/>
      </c>
      <c r="AP321" s="304" t="str">
        <f t="shared" si="33"/>
        <v/>
      </c>
      <c r="AQ321" s="308" t="str">
        <f t="shared" si="34"/>
        <v/>
      </c>
      <c r="AR321" s="313" t="str">
        <f t="shared" si="35"/>
        <v/>
      </c>
      <c r="AS321" s="304" t="str">
        <f t="shared" si="36"/>
        <v/>
      </c>
      <c r="AT321" s="308" t="str">
        <f t="shared" si="37"/>
        <v/>
      </c>
      <c r="AU321" s="308" t="str">
        <f t="shared" si="38"/>
        <v/>
      </c>
      <c r="AV321" s="304" t="str">
        <f t="shared" si="39"/>
        <v/>
      </c>
      <c r="AW321" s="308" t="str">
        <f t="shared" si="40"/>
        <v/>
      </c>
      <c r="AX321" s="308" t="str">
        <f t="shared" si="41"/>
        <v/>
      </c>
      <c r="AY321" s="304" t="str">
        <f t="shared" si="42"/>
        <v/>
      </c>
      <c r="AZ321" s="308" t="str">
        <f t="shared" si="43"/>
        <v/>
      </c>
      <c r="BA321" s="313" t="str">
        <f t="shared" si="44"/>
        <v/>
      </c>
      <c r="BB321" s="304" t="str">
        <f t="shared" si="45"/>
        <v/>
      </c>
      <c r="BC321" s="308" t="str">
        <f t="shared" si="46"/>
        <v/>
      </c>
      <c r="BD321" s="308" t="str">
        <f t="shared" si="47"/>
        <v/>
      </c>
    </row>
    <row r="322">
      <c r="A322" s="298"/>
      <c r="B322" s="299"/>
      <c r="C322" s="300"/>
      <c r="D322" s="301" t="str">
        <f>IFERROR(__xludf.DUMMYFUNCTION("if(ISBLANK(A322),"""",GOOGLEFINANCE(A322,""NAME""))"),"")</f>
        <v/>
      </c>
      <c r="E322" s="302">
        <v>5000.0</v>
      </c>
      <c r="F322" s="303" t="str">
        <f>IFERROR(__xludf.DUMMYFUNCTION("if(ISBLANK(A322),"""",GOOGLEFINANCE(A322,""HIGH52""))"),"")</f>
        <v/>
      </c>
      <c r="G322" s="303" t="str">
        <f>IFERROR(__xludf.DUMMYFUNCTION("if(ISBLANK(A322),"""",GOOGLEFINANCE(A322,""LOW52""))"),"")</f>
        <v/>
      </c>
      <c r="H322" s="304" t="str">
        <f>IFERROR(__xludf.DUMMYFUNCTION("if(ISBLANK(A322),"""",GOOGLEFINANCE(A322,""Price""))"),"")</f>
        <v/>
      </c>
      <c r="I322" s="305" t="str">
        <f t="shared" si="1"/>
        <v/>
      </c>
      <c r="J322" s="306" t="str">
        <f t="shared" si="2"/>
        <v/>
      </c>
      <c r="K322" s="307" t="str">
        <f>IFERROR(__xludf.DUMMYFUNCTION("if(ISBLANK(A322),"""",googlefinance(A322,""Marketcap"")/10000000)"),"")</f>
        <v/>
      </c>
      <c r="L322" s="309" t="str">
        <f t="shared" si="3"/>
        <v/>
      </c>
      <c r="M322" s="308" t="str">
        <f t="shared" si="4"/>
        <v/>
      </c>
      <c r="N322" s="309" t="str">
        <f t="shared" si="5"/>
        <v/>
      </c>
      <c r="O322" s="322" t="str">
        <f t="shared" si="6"/>
        <v/>
      </c>
      <c r="P322" s="308" t="str">
        <f t="shared" si="7"/>
        <v/>
      </c>
      <c r="Q322" s="311" t="str">
        <f t="shared" si="8"/>
        <v/>
      </c>
      <c r="R322" s="309" t="str">
        <f t="shared" si="9"/>
        <v/>
      </c>
      <c r="S322" s="308" t="str">
        <f t="shared" si="10"/>
        <v/>
      </c>
      <c r="T322" s="309" t="str">
        <f t="shared" si="11"/>
        <v/>
      </c>
      <c r="U322" s="309" t="str">
        <f t="shared" si="12"/>
        <v/>
      </c>
      <c r="V322" s="308" t="str">
        <f t="shared" si="13"/>
        <v/>
      </c>
      <c r="W322" s="309" t="str">
        <f t="shared" si="14"/>
        <v/>
      </c>
      <c r="X322" s="309" t="str">
        <f t="shared" si="15"/>
        <v/>
      </c>
      <c r="Y322" s="308" t="str">
        <f t="shared" si="16"/>
        <v/>
      </c>
      <c r="Z322" s="309" t="str">
        <f t="shared" si="17"/>
        <v/>
      </c>
      <c r="AA322" s="312" t="str">
        <f t="shared" si="18"/>
        <v/>
      </c>
      <c r="AB322" s="308" t="str">
        <f t="shared" si="19"/>
        <v/>
      </c>
      <c r="AC322" s="308" t="str">
        <f t="shared" si="20"/>
        <v/>
      </c>
      <c r="AD322" s="312" t="str">
        <f t="shared" si="21"/>
        <v/>
      </c>
      <c r="AE322" s="308" t="str">
        <f t="shared" si="22"/>
        <v/>
      </c>
      <c r="AF322" s="313" t="str">
        <f t="shared" si="23"/>
        <v/>
      </c>
      <c r="AG322" s="304" t="str">
        <f t="shared" si="24"/>
        <v/>
      </c>
      <c r="AH322" s="308" t="str">
        <f t="shared" si="25"/>
        <v/>
      </c>
      <c r="AI322" s="313" t="str">
        <f t="shared" si="26"/>
        <v/>
      </c>
      <c r="AJ322" s="304" t="str">
        <f t="shared" si="27"/>
        <v/>
      </c>
      <c r="AK322" s="308" t="str">
        <f t="shared" si="28"/>
        <v/>
      </c>
      <c r="AL322" s="308" t="str">
        <f t="shared" si="29"/>
        <v/>
      </c>
      <c r="AM322" s="304" t="str">
        <f t="shared" si="30"/>
        <v/>
      </c>
      <c r="AN322" s="308" t="str">
        <f t="shared" si="31"/>
        <v/>
      </c>
      <c r="AO322" s="313" t="str">
        <f t="shared" si="32"/>
        <v/>
      </c>
      <c r="AP322" s="304" t="str">
        <f t="shared" si="33"/>
        <v/>
      </c>
      <c r="AQ322" s="308" t="str">
        <f t="shared" si="34"/>
        <v/>
      </c>
      <c r="AR322" s="313" t="str">
        <f t="shared" si="35"/>
        <v/>
      </c>
      <c r="AS322" s="304" t="str">
        <f t="shared" si="36"/>
        <v/>
      </c>
      <c r="AT322" s="308" t="str">
        <f t="shared" si="37"/>
        <v/>
      </c>
      <c r="AU322" s="308" t="str">
        <f t="shared" si="38"/>
        <v/>
      </c>
      <c r="AV322" s="304" t="str">
        <f t="shared" si="39"/>
        <v/>
      </c>
      <c r="AW322" s="308" t="str">
        <f t="shared" si="40"/>
        <v/>
      </c>
      <c r="AX322" s="308" t="str">
        <f t="shared" si="41"/>
        <v/>
      </c>
      <c r="AY322" s="304" t="str">
        <f t="shared" si="42"/>
        <v/>
      </c>
      <c r="AZ322" s="308" t="str">
        <f t="shared" si="43"/>
        <v/>
      </c>
      <c r="BA322" s="313" t="str">
        <f t="shared" si="44"/>
        <v/>
      </c>
      <c r="BB322" s="304" t="str">
        <f t="shared" si="45"/>
        <v/>
      </c>
      <c r="BC322" s="308" t="str">
        <f t="shared" si="46"/>
        <v/>
      </c>
      <c r="BD322" s="308" t="str">
        <f t="shared" si="47"/>
        <v/>
      </c>
    </row>
    <row r="323">
      <c r="A323" s="298"/>
      <c r="B323" s="299"/>
      <c r="C323" s="300"/>
      <c r="D323" s="301" t="str">
        <f>IFERROR(__xludf.DUMMYFUNCTION("if(ISBLANK(A323),"""",GOOGLEFINANCE(A323,""NAME""))"),"")</f>
        <v/>
      </c>
      <c r="E323" s="302">
        <v>5000.0</v>
      </c>
      <c r="F323" s="303" t="str">
        <f>IFERROR(__xludf.DUMMYFUNCTION("if(ISBLANK(A323),"""",GOOGLEFINANCE(A323,""HIGH52""))"),"")</f>
        <v/>
      </c>
      <c r="G323" s="303" t="str">
        <f>IFERROR(__xludf.DUMMYFUNCTION("if(ISBLANK(A323),"""",GOOGLEFINANCE(A323,""LOW52""))"),"")</f>
        <v/>
      </c>
      <c r="H323" s="304" t="str">
        <f>IFERROR(__xludf.DUMMYFUNCTION("if(ISBLANK(A323),"""",GOOGLEFINANCE(A323,""Price""))"),"")</f>
        <v/>
      </c>
      <c r="I323" s="305" t="str">
        <f t="shared" si="1"/>
        <v/>
      </c>
      <c r="J323" s="306" t="str">
        <f t="shared" si="2"/>
        <v/>
      </c>
      <c r="K323" s="307" t="str">
        <f>IFERROR(__xludf.DUMMYFUNCTION("if(ISBLANK(A323),"""",googlefinance(A323,""Marketcap"")/10000000)"),"")</f>
        <v/>
      </c>
      <c r="L323" s="309" t="str">
        <f t="shared" si="3"/>
        <v/>
      </c>
      <c r="M323" s="308" t="str">
        <f t="shared" si="4"/>
        <v/>
      </c>
      <c r="N323" s="309" t="str">
        <f t="shared" si="5"/>
        <v/>
      </c>
      <c r="O323" s="322" t="str">
        <f t="shared" si="6"/>
        <v/>
      </c>
      <c r="P323" s="308" t="str">
        <f t="shared" si="7"/>
        <v/>
      </c>
      <c r="Q323" s="311" t="str">
        <f t="shared" si="8"/>
        <v/>
      </c>
      <c r="R323" s="309" t="str">
        <f t="shared" si="9"/>
        <v/>
      </c>
      <c r="S323" s="308" t="str">
        <f t="shared" si="10"/>
        <v/>
      </c>
      <c r="T323" s="309" t="str">
        <f t="shared" si="11"/>
        <v/>
      </c>
      <c r="U323" s="309" t="str">
        <f t="shared" si="12"/>
        <v/>
      </c>
      <c r="V323" s="308" t="str">
        <f t="shared" si="13"/>
        <v/>
      </c>
      <c r="W323" s="309" t="str">
        <f t="shared" si="14"/>
        <v/>
      </c>
      <c r="X323" s="309" t="str">
        <f t="shared" si="15"/>
        <v/>
      </c>
      <c r="Y323" s="308" t="str">
        <f t="shared" si="16"/>
        <v/>
      </c>
      <c r="Z323" s="309" t="str">
        <f t="shared" si="17"/>
        <v/>
      </c>
      <c r="AA323" s="312" t="str">
        <f t="shared" si="18"/>
        <v/>
      </c>
      <c r="AB323" s="308" t="str">
        <f t="shared" si="19"/>
        <v/>
      </c>
      <c r="AC323" s="308" t="str">
        <f t="shared" si="20"/>
        <v/>
      </c>
      <c r="AD323" s="312" t="str">
        <f t="shared" si="21"/>
        <v/>
      </c>
      <c r="AE323" s="308" t="str">
        <f t="shared" si="22"/>
        <v/>
      </c>
      <c r="AF323" s="313" t="str">
        <f t="shared" si="23"/>
        <v/>
      </c>
      <c r="AG323" s="304" t="str">
        <f t="shared" si="24"/>
        <v/>
      </c>
      <c r="AH323" s="308" t="str">
        <f t="shared" si="25"/>
        <v/>
      </c>
      <c r="AI323" s="313" t="str">
        <f t="shared" si="26"/>
        <v/>
      </c>
      <c r="AJ323" s="304" t="str">
        <f t="shared" si="27"/>
        <v/>
      </c>
      <c r="AK323" s="308" t="str">
        <f t="shared" si="28"/>
        <v/>
      </c>
      <c r="AL323" s="308" t="str">
        <f t="shared" si="29"/>
        <v/>
      </c>
      <c r="AM323" s="304" t="str">
        <f t="shared" si="30"/>
        <v/>
      </c>
      <c r="AN323" s="308" t="str">
        <f t="shared" si="31"/>
        <v/>
      </c>
      <c r="AO323" s="313" t="str">
        <f t="shared" si="32"/>
        <v/>
      </c>
      <c r="AP323" s="304" t="str">
        <f t="shared" si="33"/>
        <v/>
      </c>
      <c r="AQ323" s="308" t="str">
        <f t="shared" si="34"/>
        <v/>
      </c>
      <c r="AR323" s="313" t="str">
        <f t="shared" si="35"/>
        <v/>
      </c>
      <c r="AS323" s="304" t="str">
        <f t="shared" si="36"/>
        <v/>
      </c>
      <c r="AT323" s="308" t="str">
        <f t="shared" si="37"/>
        <v/>
      </c>
      <c r="AU323" s="308" t="str">
        <f t="shared" si="38"/>
        <v/>
      </c>
      <c r="AV323" s="304" t="str">
        <f t="shared" si="39"/>
        <v/>
      </c>
      <c r="AW323" s="308" t="str">
        <f t="shared" si="40"/>
        <v/>
      </c>
      <c r="AX323" s="308" t="str">
        <f t="shared" si="41"/>
        <v/>
      </c>
      <c r="AY323" s="304" t="str">
        <f t="shared" si="42"/>
        <v/>
      </c>
      <c r="AZ323" s="308" t="str">
        <f t="shared" si="43"/>
        <v/>
      </c>
      <c r="BA323" s="313" t="str">
        <f t="shared" si="44"/>
        <v/>
      </c>
      <c r="BB323" s="304" t="str">
        <f t="shared" si="45"/>
        <v/>
      </c>
      <c r="BC323" s="308" t="str">
        <f t="shared" si="46"/>
        <v/>
      </c>
      <c r="BD323" s="308" t="str">
        <f t="shared" si="47"/>
        <v/>
      </c>
    </row>
    <row r="324">
      <c r="A324" s="298"/>
      <c r="B324" s="299"/>
      <c r="C324" s="300"/>
      <c r="D324" s="301" t="str">
        <f>IFERROR(__xludf.DUMMYFUNCTION("if(ISBLANK(A324),"""",GOOGLEFINANCE(A324,""NAME""))"),"")</f>
        <v/>
      </c>
      <c r="E324" s="302">
        <v>5000.0</v>
      </c>
      <c r="F324" s="303" t="str">
        <f>IFERROR(__xludf.DUMMYFUNCTION("if(ISBLANK(A324),"""",GOOGLEFINANCE(A324,""HIGH52""))"),"")</f>
        <v/>
      </c>
      <c r="G324" s="303" t="str">
        <f>IFERROR(__xludf.DUMMYFUNCTION("if(ISBLANK(A324),"""",GOOGLEFINANCE(A324,""LOW52""))"),"")</f>
        <v/>
      </c>
      <c r="H324" s="304" t="str">
        <f>IFERROR(__xludf.DUMMYFUNCTION("if(ISBLANK(A324),"""",GOOGLEFINANCE(A324,""Price""))"),"")</f>
        <v/>
      </c>
      <c r="I324" s="305" t="str">
        <f t="shared" si="1"/>
        <v/>
      </c>
      <c r="J324" s="306" t="str">
        <f t="shared" si="2"/>
        <v/>
      </c>
      <c r="K324" s="307" t="str">
        <f>IFERROR(__xludf.DUMMYFUNCTION("if(ISBLANK(A324),"""",googlefinance(A324,""Marketcap"")/10000000)"),"")</f>
        <v/>
      </c>
      <c r="L324" s="309" t="str">
        <f t="shared" si="3"/>
        <v/>
      </c>
      <c r="M324" s="308" t="str">
        <f t="shared" si="4"/>
        <v/>
      </c>
      <c r="N324" s="309" t="str">
        <f t="shared" si="5"/>
        <v/>
      </c>
      <c r="O324" s="322" t="str">
        <f t="shared" si="6"/>
        <v/>
      </c>
      <c r="P324" s="308" t="str">
        <f t="shared" si="7"/>
        <v/>
      </c>
      <c r="Q324" s="311" t="str">
        <f t="shared" si="8"/>
        <v/>
      </c>
      <c r="R324" s="309" t="str">
        <f t="shared" si="9"/>
        <v/>
      </c>
      <c r="S324" s="308" t="str">
        <f t="shared" si="10"/>
        <v/>
      </c>
      <c r="T324" s="309" t="str">
        <f t="shared" si="11"/>
        <v/>
      </c>
      <c r="U324" s="309" t="str">
        <f t="shared" si="12"/>
        <v/>
      </c>
      <c r="V324" s="308" t="str">
        <f t="shared" si="13"/>
        <v/>
      </c>
      <c r="W324" s="309" t="str">
        <f t="shared" si="14"/>
        <v/>
      </c>
      <c r="X324" s="309" t="str">
        <f t="shared" si="15"/>
        <v/>
      </c>
      <c r="Y324" s="308" t="str">
        <f t="shared" si="16"/>
        <v/>
      </c>
      <c r="Z324" s="309" t="str">
        <f t="shared" si="17"/>
        <v/>
      </c>
      <c r="AA324" s="312" t="str">
        <f t="shared" si="18"/>
        <v/>
      </c>
      <c r="AB324" s="308" t="str">
        <f t="shared" si="19"/>
        <v/>
      </c>
      <c r="AC324" s="308" t="str">
        <f t="shared" si="20"/>
        <v/>
      </c>
      <c r="AD324" s="312" t="str">
        <f t="shared" si="21"/>
        <v/>
      </c>
      <c r="AE324" s="308" t="str">
        <f t="shared" si="22"/>
        <v/>
      </c>
      <c r="AF324" s="313" t="str">
        <f t="shared" si="23"/>
        <v/>
      </c>
      <c r="AG324" s="304" t="str">
        <f t="shared" si="24"/>
        <v/>
      </c>
      <c r="AH324" s="308" t="str">
        <f t="shared" si="25"/>
        <v/>
      </c>
      <c r="AI324" s="313" t="str">
        <f t="shared" si="26"/>
        <v/>
      </c>
      <c r="AJ324" s="304" t="str">
        <f t="shared" si="27"/>
        <v/>
      </c>
      <c r="AK324" s="308" t="str">
        <f t="shared" si="28"/>
        <v/>
      </c>
      <c r="AL324" s="308" t="str">
        <f t="shared" si="29"/>
        <v/>
      </c>
      <c r="AM324" s="304" t="str">
        <f t="shared" si="30"/>
        <v/>
      </c>
      <c r="AN324" s="308" t="str">
        <f t="shared" si="31"/>
        <v/>
      </c>
      <c r="AO324" s="313" t="str">
        <f t="shared" si="32"/>
        <v/>
      </c>
      <c r="AP324" s="304" t="str">
        <f t="shared" si="33"/>
        <v/>
      </c>
      <c r="AQ324" s="308" t="str">
        <f t="shared" si="34"/>
        <v/>
      </c>
      <c r="AR324" s="313" t="str">
        <f t="shared" si="35"/>
        <v/>
      </c>
      <c r="AS324" s="304" t="str">
        <f t="shared" si="36"/>
        <v/>
      </c>
      <c r="AT324" s="308" t="str">
        <f t="shared" si="37"/>
        <v/>
      </c>
      <c r="AU324" s="308" t="str">
        <f t="shared" si="38"/>
        <v/>
      </c>
      <c r="AV324" s="304" t="str">
        <f t="shared" si="39"/>
        <v/>
      </c>
      <c r="AW324" s="308" t="str">
        <f t="shared" si="40"/>
        <v/>
      </c>
      <c r="AX324" s="308" t="str">
        <f t="shared" si="41"/>
        <v/>
      </c>
      <c r="AY324" s="304" t="str">
        <f t="shared" si="42"/>
        <v/>
      </c>
      <c r="AZ324" s="308" t="str">
        <f t="shared" si="43"/>
        <v/>
      </c>
      <c r="BA324" s="313" t="str">
        <f t="shared" si="44"/>
        <v/>
      </c>
      <c r="BB324" s="304" t="str">
        <f t="shared" si="45"/>
        <v/>
      </c>
      <c r="BC324" s="308" t="str">
        <f t="shared" si="46"/>
        <v/>
      </c>
      <c r="BD324" s="308" t="str">
        <f t="shared" si="47"/>
        <v/>
      </c>
    </row>
    <row r="325">
      <c r="A325" s="298"/>
      <c r="B325" s="299"/>
      <c r="C325" s="300"/>
      <c r="D325" s="301" t="str">
        <f>IFERROR(__xludf.DUMMYFUNCTION("if(ISBLANK(A325),"""",GOOGLEFINANCE(A325,""NAME""))"),"")</f>
        <v/>
      </c>
      <c r="E325" s="302">
        <v>5000.0</v>
      </c>
      <c r="F325" s="303" t="str">
        <f>IFERROR(__xludf.DUMMYFUNCTION("if(ISBLANK(A325),"""",GOOGLEFINANCE(A325,""HIGH52""))"),"")</f>
        <v/>
      </c>
      <c r="G325" s="303" t="str">
        <f>IFERROR(__xludf.DUMMYFUNCTION("if(ISBLANK(A325),"""",GOOGLEFINANCE(A325,""LOW52""))"),"")</f>
        <v/>
      </c>
      <c r="H325" s="304" t="str">
        <f>IFERROR(__xludf.DUMMYFUNCTION("if(ISBLANK(A325),"""",GOOGLEFINANCE(A325,""Price""))"),"")</f>
        <v/>
      </c>
      <c r="I325" s="305" t="str">
        <f t="shared" si="1"/>
        <v/>
      </c>
      <c r="J325" s="306" t="str">
        <f t="shared" si="2"/>
        <v/>
      </c>
      <c r="K325" s="307" t="str">
        <f>IFERROR(__xludf.DUMMYFUNCTION("if(ISBLANK(A325),"""",googlefinance(A325,""Marketcap"")/10000000)"),"")</f>
        <v/>
      </c>
      <c r="L325" s="309" t="str">
        <f t="shared" si="3"/>
        <v/>
      </c>
      <c r="M325" s="308" t="str">
        <f t="shared" si="4"/>
        <v/>
      </c>
      <c r="N325" s="309" t="str">
        <f t="shared" si="5"/>
        <v/>
      </c>
      <c r="O325" s="322" t="str">
        <f t="shared" si="6"/>
        <v/>
      </c>
      <c r="P325" s="308" t="str">
        <f t="shared" si="7"/>
        <v/>
      </c>
      <c r="Q325" s="311" t="str">
        <f t="shared" si="8"/>
        <v/>
      </c>
      <c r="R325" s="309" t="str">
        <f t="shared" si="9"/>
        <v/>
      </c>
      <c r="S325" s="308" t="str">
        <f t="shared" si="10"/>
        <v/>
      </c>
      <c r="T325" s="309" t="str">
        <f t="shared" si="11"/>
        <v/>
      </c>
      <c r="U325" s="309" t="str">
        <f t="shared" si="12"/>
        <v/>
      </c>
      <c r="V325" s="308" t="str">
        <f t="shared" si="13"/>
        <v/>
      </c>
      <c r="W325" s="309" t="str">
        <f t="shared" si="14"/>
        <v/>
      </c>
      <c r="X325" s="309" t="str">
        <f t="shared" si="15"/>
        <v/>
      </c>
      <c r="Y325" s="308" t="str">
        <f t="shared" si="16"/>
        <v/>
      </c>
      <c r="Z325" s="309" t="str">
        <f t="shared" si="17"/>
        <v/>
      </c>
      <c r="AA325" s="312" t="str">
        <f t="shared" si="18"/>
        <v/>
      </c>
      <c r="AB325" s="308" t="str">
        <f t="shared" si="19"/>
        <v/>
      </c>
      <c r="AC325" s="308" t="str">
        <f t="shared" si="20"/>
        <v/>
      </c>
      <c r="AD325" s="312" t="str">
        <f t="shared" si="21"/>
        <v/>
      </c>
      <c r="AE325" s="308" t="str">
        <f t="shared" si="22"/>
        <v/>
      </c>
      <c r="AF325" s="313" t="str">
        <f t="shared" si="23"/>
        <v/>
      </c>
      <c r="AG325" s="304" t="str">
        <f t="shared" si="24"/>
        <v/>
      </c>
      <c r="AH325" s="308" t="str">
        <f t="shared" si="25"/>
        <v/>
      </c>
      <c r="AI325" s="313" t="str">
        <f t="shared" si="26"/>
        <v/>
      </c>
      <c r="AJ325" s="304" t="str">
        <f t="shared" si="27"/>
        <v/>
      </c>
      <c r="AK325" s="308" t="str">
        <f t="shared" si="28"/>
        <v/>
      </c>
      <c r="AL325" s="308" t="str">
        <f t="shared" si="29"/>
        <v/>
      </c>
      <c r="AM325" s="304" t="str">
        <f t="shared" si="30"/>
        <v/>
      </c>
      <c r="AN325" s="308" t="str">
        <f t="shared" si="31"/>
        <v/>
      </c>
      <c r="AO325" s="313" t="str">
        <f t="shared" si="32"/>
        <v/>
      </c>
      <c r="AP325" s="304" t="str">
        <f t="shared" si="33"/>
        <v/>
      </c>
      <c r="AQ325" s="308" t="str">
        <f t="shared" si="34"/>
        <v/>
      </c>
      <c r="AR325" s="313" t="str">
        <f t="shared" si="35"/>
        <v/>
      </c>
      <c r="AS325" s="304" t="str">
        <f t="shared" si="36"/>
        <v/>
      </c>
      <c r="AT325" s="308" t="str">
        <f t="shared" si="37"/>
        <v/>
      </c>
      <c r="AU325" s="308" t="str">
        <f t="shared" si="38"/>
        <v/>
      </c>
      <c r="AV325" s="304" t="str">
        <f t="shared" si="39"/>
        <v/>
      </c>
      <c r="AW325" s="308" t="str">
        <f t="shared" si="40"/>
        <v/>
      </c>
      <c r="AX325" s="308" t="str">
        <f t="shared" si="41"/>
        <v/>
      </c>
      <c r="AY325" s="304" t="str">
        <f t="shared" si="42"/>
        <v/>
      </c>
      <c r="AZ325" s="308" t="str">
        <f t="shared" si="43"/>
        <v/>
      </c>
      <c r="BA325" s="313" t="str">
        <f t="shared" si="44"/>
        <v/>
      </c>
      <c r="BB325" s="304" t="str">
        <f t="shared" si="45"/>
        <v/>
      </c>
      <c r="BC325" s="308" t="str">
        <f t="shared" si="46"/>
        <v/>
      </c>
      <c r="BD325" s="308" t="str">
        <f t="shared" si="47"/>
        <v/>
      </c>
    </row>
    <row r="326">
      <c r="A326" s="298"/>
      <c r="B326" s="299"/>
      <c r="C326" s="300"/>
      <c r="D326" s="301" t="str">
        <f>IFERROR(__xludf.DUMMYFUNCTION("if(ISBLANK(A326),"""",GOOGLEFINANCE(A326,""NAME""))"),"")</f>
        <v/>
      </c>
      <c r="E326" s="302">
        <v>5000.0</v>
      </c>
      <c r="F326" s="303" t="str">
        <f>IFERROR(__xludf.DUMMYFUNCTION("if(ISBLANK(A326),"""",GOOGLEFINANCE(A326,""HIGH52""))"),"")</f>
        <v/>
      </c>
      <c r="G326" s="303" t="str">
        <f>IFERROR(__xludf.DUMMYFUNCTION("if(ISBLANK(A326),"""",GOOGLEFINANCE(A326,""LOW52""))"),"")</f>
        <v/>
      </c>
      <c r="H326" s="304" t="str">
        <f>IFERROR(__xludf.DUMMYFUNCTION("if(ISBLANK(A326),"""",GOOGLEFINANCE(A326,""Price""))"),"")</f>
        <v/>
      </c>
      <c r="I326" s="305" t="str">
        <f t="shared" si="1"/>
        <v/>
      </c>
      <c r="J326" s="306" t="str">
        <f t="shared" si="2"/>
        <v/>
      </c>
      <c r="K326" s="307" t="str">
        <f>IFERROR(__xludf.DUMMYFUNCTION("if(ISBLANK(A326),"""",googlefinance(A326,""Marketcap"")/10000000)"),"")</f>
        <v/>
      </c>
      <c r="L326" s="309" t="str">
        <f t="shared" si="3"/>
        <v/>
      </c>
      <c r="M326" s="308" t="str">
        <f t="shared" si="4"/>
        <v/>
      </c>
      <c r="N326" s="309" t="str">
        <f t="shared" si="5"/>
        <v/>
      </c>
      <c r="O326" s="322" t="str">
        <f t="shared" si="6"/>
        <v/>
      </c>
      <c r="P326" s="308" t="str">
        <f t="shared" si="7"/>
        <v/>
      </c>
      <c r="Q326" s="311" t="str">
        <f t="shared" si="8"/>
        <v/>
      </c>
      <c r="R326" s="309" t="str">
        <f t="shared" si="9"/>
        <v/>
      </c>
      <c r="S326" s="308" t="str">
        <f t="shared" si="10"/>
        <v/>
      </c>
      <c r="T326" s="309" t="str">
        <f t="shared" si="11"/>
        <v/>
      </c>
      <c r="U326" s="309" t="str">
        <f t="shared" si="12"/>
        <v/>
      </c>
      <c r="V326" s="308" t="str">
        <f t="shared" si="13"/>
        <v/>
      </c>
      <c r="W326" s="309" t="str">
        <f t="shared" si="14"/>
        <v/>
      </c>
      <c r="X326" s="309" t="str">
        <f t="shared" si="15"/>
        <v/>
      </c>
      <c r="Y326" s="308" t="str">
        <f t="shared" si="16"/>
        <v/>
      </c>
      <c r="Z326" s="309" t="str">
        <f t="shared" si="17"/>
        <v/>
      </c>
      <c r="AA326" s="312" t="str">
        <f t="shared" si="18"/>
        <v/>
      </c>
      <c r="AB326" s="308" t="str">
        <f t="shared" si="19"/>
        <v/>
      </c>
      <c r="AC326" s="308" t="str">
        <f t="shared" si="20"/>
        <v/>
      </c>
      <c r="AD326" s="312" t="str">
        <f t="shared" si="21"/>
        <v/>
      </c>
      <c r="AE326" s="308" t="str">
        <f t="shared" si="22"/>
        <v/>
      </c>
      <c r="AF326" s="313" t="str">
        <f t="shared" si="23"/>
        <v/>
      </c>
      <c r="AG326" s="304" t="str">
        <f t="shared" si="24"/>
        <v/>
      </c>
      <c r="AH326" s="308" t="str">
        <f t="shared" si="25"/>
        <v/>
      </c>
      <c r="AI326" s="313" t="str">
        <f t="shared" si="26"/>
        <v/>
      </c>
      <c r="AJ326" s="304" t="str">
        <f t="shared" si="27"/>
        <v/>
      </c>
      <c r="AK326" s="308" t="str">
        <f t="shared" si="28"/>
        <v/>
      </c>
      <c r="AL326" s="308" t="str">
        <f t="shared" si="29"/>
        <v/>
      </c>
      <c r="AM326" s="304" t="str">
        <f t="shared" si="30"/>
        <v/>
      </c>
      <c r="AN326" s="308" t="str">
        <f t="shared" si="31"/>
        <v/>
      </c>
      <c r="AO326" s="313" t="str">
        <f t="shared" si="32"/>
        <v/>
      </c>
      <c r="AP326" s="304" t="str">
        <f t="shared" si="33"/>
        <v/>
      </c>
      <c r="AQ326" s="308" t="str">
        <f t="shared" si="34"/>
        <v/>
      </c>
      <c r="AR326" s="313" t="str">
        <f t="shared" si="35"/>
        <v/>
      </c>
      <c r="AS326" s="304" t="str">
        <f t="shared" si="36"/>
        <v/>
      </c>
      <c r="AT326" s="308" t="str">
        <f t="shared" si="37"/>
        <v/>
      </c>
      <c r="AU326" s="308" t="str">
        <f t="shared" si="38"/>
        <v/>
      </c>
      <c r="AV326" s="304" t="str">
        <f t="shared" si="39"/>
        <v/>
      </c>
      <c r="AW326" s="308" t="str">
        <f t="shared" si="40"/>
        <v/>
      </c>
      <c r="AX326" s="308" t="str">
        <f t="shared" si="41"/>
        <v/>
      </c>
      <c r="AY326" s="304" t="str">
        <f t="shared" si="42"/>
        <v/>
      </c>
      <c r="AZ326" s="308" t="str">
        <f t="shared" si="43"/>
        <v/>
      </c>
      <c r="BA326" s="313" t="str">
        <f t="shared" si="44"/>
        <v/>
      </c>
      <c r="BB326" s="304" t="str">
        <f t="shared" si="45"/>
        <v/>
      </c>
      <c r="BC326" s="308" t="str">
        <f t="shared" si="46"/>
        <v/>
      </c>
      <c r="BD326" s="308" t="str">
        <f t="shared" si="47"/>
        <v/>
      </c>
    </row>
    <row r="327">
      <c r="A327" s="298"/>
      <c r="B327" s="299"/>
      <c r="C327" s="300"/>
      <c r="D327" s="301" t="str">
        <f>IFERROR(__xludf.DUMMYFUNCTION("if(ISBLANK(A327),"""",GOOGLEFINANCE(A327,""NAME""))"),"")</f>
        <v/>
      </c>
      <c r="E327" s="302">
        <v>5000.0</v>
      </c>
      <c r="F327" s="303" t="str">
        <f>IFERROR(__xludf.DUMMYFUNCTION("if(ISBLANK(A327),"""",GOOGLEFINANCE(A327,""HIGH52""))"),"")</f>
        <v/>
      </c>
      <c r="G327" s="303" t="str">
        <f>IFERROR(__xludf.DUMMYFUNCTION("if(ISBLANK(A327),"""",GOOGLEFINANCE(A327,""LOW52""))"),"")</f>
        <v/>
      </c>
      <c r="H327" s="304" t="str">
        <f>IFERROR(__xludf.DUMMYFUNCTION("if(ISBLANK(A327),"""",GOOGLEFINANCE(A327,""Price""))"),"")</f>
        <v/>
      </c>
      <c r="I327" s="305" t="str">
        <f t="shared" si="1"/>
        <v/>
      </c>
      <c r="J327" s="306" t="str">
        <f t="shared" si="2"/>
        <v/>
      </c>
      <c r="K327" s="307" t="str">
        <f>IFERROR(__xludf.DUMMYFUNCTION("if(ISBLANK(A327),"""",googlefinance(A327,""Marketcap"")/10000000)"),"")</f>
        <v/>
      </c>
      <c r="L327" s="309" t="str">
        <f t="shared" si="3"/>
        <v/>
      </c>
      <c r="M327" s="308" t="str">
        <f t="shared" si="4"/>
        <v/>
      </c>
      <c r="N327" s="309" t="str">
        <f t="shared" si="5"/>
        <v/>
      </c>
      <c r="O327" s="322" t="str">
        <f t="shared" si="6"/>
        <v/>
      </c>
      <c r="P327" s="308" t="str">
        <f t="shared" si="7"/>
        <v/>
      </c>
      <c r="Q327" s="311" t="str">
        <f t="shared" si="8"/>
        <v/>
      </c>
      <c r="R327" s="309" t="str">
        <f t="shared" si="9"/>
        <v/>
      </c>
      <c r="S327" s="308" t="str">
        <f t="shared" si="10"/>
        <v/>
      </c>
      <c r="T327" s="309" t="str">
        <f t="shared" si="11"/>
        <v/>
      </c>
      <c r="U327" s="309" t="str">
        <f t="shared" si="12"/>
        <v/>
      </c>
      <c r="V327" s="308" t="str">
        <f t="shared" si="13"/>
        <v/>
      </c>
      <c r="W327" s="309" t="str">
        <f t="shared" si="14"/>
        <v/>
      </c>
      <c r="X327" s="309" t="str">
        <f t="shared" si="15"/>
        <v/>
      </c>
      <c r="Y327" s="308" t="str">
        <f t="shared" si="16"/>
        <v/>
      </c>
      <c r="Z327" s="309" t="str">
        <f t="shared" si="17"/>
        <v/>
      </c>
      <c r="AA327" s="312" t="str">
        <f t="shared" si="18"/>
        <v/>
      </c>
      <c r="AB327" s="308" t="str">
        <f t="shared" si="19"/>
        <v/>
      </c>
      <c r="AC327" s="308" t="str">
        <f t="shared" si="20"/>
        <v/>
      </c>
      <c r="AD327" s="312" t="str">
        <f t="shared" si="21"/>
        <v/>
      </c>
      <c r="AE327" s="308" t="str">
        <f t="shared" si="22"/>
        <v/>
      </c>
      <c r="AF327" s="313" t="str">
        <f t="shared" si="23"/>
        <v/>
      </c>
      <c r="AG327" s="304" t="str">
        <f t="shared" si="24"/>
        <v/>
      </c>
      <c r="AH327" s="308" t="str">
        <f t="shared" si="25"/>
        <v/>
      </c>
      <c r="AI327" s="313" t="str">
        <f t="shared" si="26"/>
        <v/>
      </c>
      <c r="AJ327" s="304" t="str">
        <f t="shared" si="27"/>
        <v/>
      </c>
      <c r="AK327" s="308" t="str">
        <f t="shared" si="28"/>
        <v/>
      </c>
      <c r="AL327" s="308" t="str">
        <f t="shared" si="29"/>
        <v/>
      </c>
      <c r="AM327" s="304" t="str">
        <f t="shared" si="30"/>
        <v/>
      </c>
      <c r="AN327" s="308" t="str">
        <f t="shared" si="31"/>
        <v/>
      </c>
      <c r="AO327" s="313" t="str">
        <f t="shared" si="32"/>
        <v/>
      </c>
      <c r="AP327" s="304" t="str">
        <f t="shared" si="33"/>
        <v/>
      </c>
      <c r="AQ327" s="308" t="str">
        <f t="shared" si="34"/>
        <v/>
      </c>
      <c r="AR327" s="313" t="str">
        <f t="shared" si="35"/>
        <v/>
      </c>
      <c r="AS327" s="304" t="str">
        <f t="shared" si="36"/>
        <v/>
      </c>
      <c r="AT327" s="308" t="str">
        <f t="shared" si="37"/>
        <v/>
      </c>
      <c r="AU327" s="308" t="str">
        <f t="shared" si="38"/>
        <v/>
      </c>
      <c r="AV327" s="304" t="str">
        <f t="shared" si="39"/>
        <v/>
      </c>
      <c r="AW327" s="308" t="str">
        <f t="shared" si="40"/>
        <v/>
      </c>
      <c r="AX327" s="308" t="str">
        <f t="shared" si="41"/>
        <v/>
      </c>
      <c r="AY327" s="304" t="str">
        <f t="shared" si="42"/>
        <v/>
      </c>
      <c r="AZ327" s="308" t="str">
        <f t="shared" si="43"/>
        <v/>
      </c>
      <c r="BA327" s="313" t="str">
        <f t="shared" si="44"/>
        <v/>
      </c>
      <c r="BB327" s="304" t="str">
        <f t="shared" si="45"/>
        <v/>
      </c>
      <c r="BC327" s="308" t="str">
        <f t="shared" si="46"/>
        <v/>
      </c>
      <c r="BD327" s="308" t="str">
        <f t="shared" si="47"/>
        <v/>
      </c>
    </row>
    <row r="328">
      <c r="A328" s="298"/>
      <c r="B328" s="299"/>
      <c r="C328" s="300"/>
      <c r="D328" s="301" t="str">
        <f>IFERROR(__xludf.DUMMYFUNCTION("if(ISBLANK(A328),"""",GOOGLEFINANCE(A328,""NAME""))"),"")</f>
        <v/>
      </c>
      <c r="E328" s="302">
        <v>5000.0</v>
      </c>
      <c r="F328" s="303" t="str">
        <f>IFERROR(__xludf.DUMMYFUNCTION("if(ISBLANK(A328),"""",GOOGLEFINANCE(A328,""HIGH52""))"),"")</f>
        <v/>
      </c>
      <c r="G328" s="303" t="str">
        <f>IFERROR(__xludf.DUMMYFUNCTION("if(ISBLANK(A328),"""",GOOGLEFINANCE(A328,""LOW52""))"),"")</f>
        <v/>
      </c>
      <c r="H328" s="304" t="str">
        <f>IFERROR(__xludf.DUMMYFUNCTION("if(ISBLANK(A328),"""",GOOGLEFINANCE(A328,""Price""))"),"")</f>
        <v/>
      </c>
      <c r="I328" s="305" t="str">
        <f t="shared" si="1"/>
        <v/>
      </c>
      <c r="J328" s="306" t="str">
        <f t="shared" si="2"/>
        <v/>
      </c>
      <c r="K328" s="307" t="str">
        <f>IFERROR(__xludf.DUMMYFUNCTION("if(ISBLANK(A328),"""",googlefinance(A328,""Marketcap"")/10000000)"),"")</f>
        <v/>
      </c>
      <c r="L328" s="309" t="str">
        <f t="shared" si="3"/>
        <v/>
      </c>
      <c r="M328" s="308" t="str">
        <f t="shared" si="4"/>
        <v/>
      </c>
      <c r="N328" s="309" t="str">
        <f t="shared" si="5"/>
        <v/>
      </c>
      <c r="O328" s="322" t="str">
        <f t="shared" si="6"/>
        <v/>
      </c>
      <c r="P328" s="308" t="str">
        <f t="shared" si="7"/>
        <v/>
      </c>
      <c r="Q328" s="311" t="str">
        <f t="shared" si="8"/>
        <v/>
      </c>
      <c r="R328" s="309" t="str">
        <f t="shared" si="9"/>
        <v/>
      </c>
      <c r="S328" s="308" t="str">
        <f t="shared" si="10"/>
        <v/>
      </c>
      <c r="T328" s="309" t="str">
        <f t="shared" si="11"/>
        <v/>
      </c>
      <c r="U328" s="309" t="str">
        <f t="shared" si="12"/>
        <v/>
      </c>
      <c r="V328" s="308" t="str">
        <f t="shared" si="13"/>
        <v/>
      </c>
      <c r="W328" s="309" t="str">
        <f t="shared" si="14"/>
        <v/>
      </c>
      <c r="X328" s="309" t="str">
        <f t="shared" si="15"/>
        <v/>
      </c>
      <c r="Y328" s="308" t="str">
        <f t="shared" si="16"/>
        <v/>
      </c>
      <c r="Z328" s="309" t="str">
        <f t="shared" si="17"/>
        <v/>
      </c>
      <c r="AA328" s="312" t="str">
        <f t="shared" si="18"/>
        <v/>
      </c>
      <c r="AB328" s="308" t="str">
        <f t="shared" si="19"/>
        <v/>
      </c>
      <c r="AC328" s="308" t="str">
        <f t="shared" si="20"/>
        <v/>
      </c>
      <c r="AD328" s="312" t="str">
        <f t="shared" si="21"/>
        <v/>
      </c>
      <c r="AE328" s="308" t="str">
        <f t="shared" si="22"/>
        <v/>
      </c>
      <c r="AF328" s="313" t="str">
        <f t="shared" si="23"/>
        <v/>
      </c>
      <c r="AG328" s="304" t="str">
        <f t="shared" si="24"/>
        <v/>
      </c>
      <c r="AH328" s="308" t="str">
        <f t="shared" si="25"/>
        <v/>
      </c>
      <c r="AI328" s="313" t="str">
        <f t="shared" si="26"/>
        <v/>
      </c>
      <c r="AJ328" s="304" t="str">
        <f t="shared" si="27"/>
        <v/>
      </c>
      <c r="AK328" s="308" t="str">
        <f t="shared" si="28"/>
        <v/>
      </c>
      <c r="AL328" s="308" t="str">
        <f t="shared" si="29"/>
        <v/>
      </c>
      <c r="AM328" s="304" t="str">
        <f t="shared" si="30"/>
        <v/>
      </c>
      <c r="AN328" s="308" t="str">
        <f t="shared" si="31"/>
        <v/>
      </c>
      <c r="AO328" s="313" t="str">
        <f t="shared" si="32"/>
        <v/>
      </c>
      <c r="AP328" s="304" t="str">
        <f t="shared" si="33"/>
        <v/>
      </c>
      <c r="AQ328" s="308" t="str">
        <f t="shared" si="34"/>
        <v/>
      </c>
      <c r="AR328" s="313" t="str">
        <f t="shared" si="35"/>
        <v/>
      </c>
      <c r="AS328" s="304" t="str">
        <f t="shared" si="36"/>
        <v/>
      </c>
      <c r="AT328" s="308" t="str">
        <f t="shared" si="37"/>
        <v/>
      </c>
      <c r="AU328" s="308" t="str">
        <f t="shared" si="38"/>
        <v/>
      </c>
      <c r="AV328" s="304" t="str">
        <f t="shared" si="39"/>
        <v/>
      </c>
      <c r="AW328" s="308" t="str">
        <f t="shared" si="40"/>
        <v/>
      </c>
      <c r="AX328" s="308" t="str">
        <f t="shared" si="41"/>
        <v/>
      </c>
      <c r="AY328" s="304" t="str">
        <f t="shared" si="42"/>
        <v/>
      </c>
      <c r="AZ328" s="308" t="str">
        <f t="shared" si="43"/>
        <v/>
      </c>
      <c r="BA328" s="313" t="str">
        <f t="shared" si="44"/>
        <v/>
      </c>
      <c r="BB328" s="304" t="str">
        <f t="shared" si="45"/>
        <v/>
      </c>
      <c r="BC328" s="308" t="str">
        <f t="shared" si="46"/>
        <v/>
      </c>
      <c r="BD328" s="308" t="str">
        <f t="shared" si="47"/>
        <v/>
      </c>
    </row>
    <row r="329">
      <c r="A329" s="298"/>
      <c r="B329" s="299"/>
      <c r="C329" s="300"/>
      <c r="D329" s="301" t="str">
        <f>IFERROR(__xludf.DUMMYFUNCTION("if(ISBLANK(A329),"""",GOOGLEFINANCE(A329,""NAME""))"),"")</f>
        <v/>
      </c>
      <c r="E329" s="302">
        <v>5000.0</v>
      </c>
      <c r="F329" s="303" t="str">
        <f>IFERROR(__xludf.DUMMYFUNCTION("if(ISBLANK(A329),"""",GOOGLEFINANCE(A329,""HIGH52""))"),"")</f>
        <v/>
      </c>
      <c r="G329" s="303" t="str">
        <f>IFERROR(__xludf.DUMMYFUNCTION("if(ISBLANK(A329),"""",GOOGLEFINANCE(A329,""LOW52""))"),"")</f>
        <v/>
      </c>
      <c r="H329" s="304" t="str">
        <f>IFERROR(__xludf.DUMMYFUNCTION("if(ISBLANK(A329),"""",GOOGLEFINANCE(A329,""Price""))"),"")</f>
        <v/>
      </c>
      <c r="I329" s="305" t="str">
        <f t="shared" si="1"/>
        <v/>
      </c>
      <c r="J329" s="306" t="str">
        <f t="shared" si="2"/>
        <v/>
      </c>
      <c r="K329" s="307" t="str">
        <f>IFERROR(__xludf.DUMMYFUNCTION("if(ISBLANK(A329),"""",googlefinance(A329,""Marketcap"")/10000000)"),"")</f>
        <v/>
      </c>
      <c r="L329" s="309" t="str">
        <f t="shared" si="3"/>
        <v/>
      </c>
      <c r="M329" s="308" t="str">
        <f t="shared" si="4"/>
        <v/>
      </c>
      <c r="N329" s="309" t="str">
        <f t="shared" si="5"/>
        <v/>
      </c>
      <c r="O329" s="322" t="str">
        <f t="shared" si="6"/>
        <v/>
      </c>
      <c r="P329" s="308" t="str">
        <f t="shared" si="7"/>
        <v/>
      </c>
      <c r="Q329" s="311" t="str">
        <f t="shared" si="8"/>
        <v/>
      </c>
      <c r="R329" s="309" t="str">
        <f t="shared" si="9"/>
        <v/>
      </c>
      <c r="S329" s="308" t="str">
        <f t="shared" si="10"/>
        <v/>
      </c>
      <c r="T329" s="309" t="str">
        <f t="shared" si="11"/>
        <v/>
      </c>
      <c r="U329" s="309" t="str">
        <f t="shared" si="12"/>
        <v/>
      </c>
      <c r="V329" s="308" t="str">
        <f t="shared" si="13"/>
        <v/>
      </c>
      <c r="W329" s="309" t="str">
        <f t="shared" si="14"/>
        <v/>
      </c>
      <c r="X329" s="309" t="str">
        <f t="shared" si="15"/>
        <v/>
      </c>
      <c r="Y329" s="308" t="str">
        <f t="shared" si="16"/>
        <v/>
      </c>
      <c r="Z329" s="309" t="str">
        <f t="shared" si="17"/>
        <v/>
      </c>
      <c r="AA329" s="312" t="str">
        <f t="shared" si="18"/>
        <v/>
      </c>
      <c r="AB329" s="308" t="str">
        <f t="shared" si="19"/>
        <v/>
      </c>
      <c r="AC329" s="308" t="str">
        <f t="shared" si="20"/>
        <v/>
      </c>
      <c r="AD329" s="312" t="str">
        <f t="shared" si="21"/>
        <v/>
      </c>
      <c r="AE329" s="308" t="str">
        <f t="shared" si="22"/>
        <v/>
      </c>
      <c r="AF329" s="313" t="str">
        <f t="shared" si="23"/>
        <v/>
      </c>
      <c r="AG329" s="304" t="str">
        <f t="shared" si="24"/>
        <v/>
      </c>
      <c r="AH329" s="308" t="str">
        <f t="shared" si="25"/>
        <v/>
      </c>
      <c r="AI329" s="313" t="str">
        <f t="shared" si="26"/>
        <v/>
      </c>
      <c r="AJ329" s="304" t="str">
        <f t="shared" si="27"/>
        <v/>
      </c>
      <c r="AK329" s="308" t="str">
        <f t="shared" si="28"/>
        <v/>
      </c>
      <c r="AL329" s="308" t="str">
        <f t="shared" si="29"/>
        <v/>
      </c>
      <c r="AM329" s="304" t="str">
        <f t="shared" si="30"/>
        <v/>
      </c>
      <c r="AN329" s="308" t="str">
        <f t="shared" si="31"/>
        <v/>
      </c>
      <c r="AO329" s="313" t="str">
        <f t="shared" si="32"/>
        <v/>
      </c>
      <c r="AP329" s="304" t="str">
        <f t="shared" si="33"/>
        <v/>
      </c>
      <c r="AQ329" s="308" t="str">
        <f t="shared" si="34"/>
        <v/>
      </c>
      <c r="AR329" s="313" t="str">
        <f t="shared" si="35"/>
        <v/>
      </c>
      <c r="AS329" s="304" t="str">
        <f t="shared" si="36"/>
        <v/>
      </c>
      <c r="AT329" s="308" t="str">
        <f t="shared" si="37"/>
        <v/>
      </c>
      <c r="AU329" s="308" t="str">
        <f t="shared" si="38"/>
        <v/>
      </c>
      <c r="AV329" s="304" t="str">
        <f t="shared" si="39"/>
        <v/>
      </c>
      <c r="AW329" s="308" t="str">
        <f t="shared" si="40"/>
        <v/>
      </c>
      <c r="AX329" s="308" t="str">
        <f t="shared" si="41"/>
        <v/>
      </c>
      <c r="AY329" s="304" t="str">
        <f t="shared" si="42"/>
        <v/>
      </c>
      <c r="AZ329" s="308" t="str">
        <f t="shared" si="43"/>
        <v/>
      </c>
      <c r="BA329" s="313" t="str">
        <f t="shared" si="44"/>
        <v/>
      </c>
      <c r="BB329" s="304" t="str">
        <f t="shared" si="45"/>
        <v/>
      </c>
      <c r="BC329" s="308" t="str">
        <f t="shared" si="46"/>
        <v/>
      </c>
      <c r="BD329" s="308" t="str">
        <f t="shared" si="47"/>
        <v/>
      </c>
    </row>
    <row r="330">
      <c r="A330" s="298"/>
      <c r="B330" s="299"/>
      <c r="C330" s="300"/>
      <c r="D330" s="301" t="str">
        <f>IFERROR(__xludf.DUMMYFUNCTION("if(ISBLANK(A330),"""",GOOGLEFINANCE(A330,""NAME""))"),"")</f>
        <v/>
      </c>
      <c r="E330" s="302">
        <v>5000.0</v>
      </c>
      <c r="F330" s="303" t="str">
        <f>IFERROR(__xludf.DUMMYFUNCTION("if(ISBLANK(A330),"""",GOOGLEFINANCE(A330,""HIGH52""))"),"")</f>
        <v/>
      </c>
      <c r="G330" s="303" t="str">
        <f>IFERROR(__xludf.DUMMYFUNCTION("if(ISBLANK(A330),"""",GOOGLEFINANCE(A330,""LOW52""))"),"")</f>
        <v/>
      </c>
      <c r="H330" s="304" t="str">
        <f>IFERROR(__xludf.DUMMYFUNCTION("if(ISBLANK(A330),"""",GOOGLEFINANCE(A330,""Price""))"),"")</f>
        <v/>
      </c>
      <c r="I330" s="305" t="str">
        <f t="shared" si="1"/>
        <v/>
      </c>
      <c r="J330" s="306" t="str">
        <f t="shared" si="2"/>
        <v/>
      </c>
      <c r="K330" s="307" t="str">
        <f>IFERROR(__xludf.DUMMYFUNCTION("if(ISBLANK(A330),"""",googlefinance(A330,""Marketcap"")/10000000)"),"")</f>
        <v/>
      </c>
      <c r="L330" s="309" t="str">
        <f t="shared" si="3"/>
        <v/>
      </c>
      <c r="M330" s="308" t="str">
        <f t="shared" si="4"/>
        <v/>
      </c>
      <c r="N330" s="309" t="str">
        <f t="shared" si="5"/>
        <v/>
      </c>
      <c r="O330" s="322" t="str">
        <f t="shared" si="6"/>
        <v/>
      </c>
      <c r="P330" s="308" t="str">
        <f t="shared" si="7"/>
        <v/>
      </c>
      <c r="Q330" s="311" t="str">
        <f t="shared" si="8"/>
        <v/>
      </c>
      <c r="R330" s="309" t="str">
        <f t="shared" si="9"/>
        <v/>
      </c>
      <c r="S330" s="308" t="str">
        <f t="shared" si="10"/>
        <v/>
      </c>
      <c r="T330" s="309" t="str">
        <f t="shared" si="11"/>
        <v/>
      </c>
      <c r="U330" s="309" t="str">
        <f t="shared" si="12"/>
        <v/>
      </c>
      <c r="V330" s="308" t="str">
        <f t="shared" si="13"/>
        <v/>
      </c>
      <c r="W330" s="309" t="str">
        <f t="shared" si="14"/>
        <v/>
      </c>
      <c r="X330" s="309" t="str">
        <f t="shared" si="15"/>
        <v/>
      </c>
      <c r="Y330" s="308" t="str">
        <f t="shared" si="16"/>
        <v/>
      </c>
      <c r="Z330" s="309" t="str">
        <f t="shared" si="17"/>
        <v/>
      </c>
      <c r="AA330" s="312" t="str">
        <f t="shared" si="18"/>
        <v/>
      </c>
      <c r="AB330" s="308" t="str">
        <f t="shared" si="19"/>
        <v/>
      </c>
      <c r="AC330" s="308" t="str">
        <f t="shared" si="20"/>
        <v/>
      </c>
      <c r="AD330" s="312" t="str">
        <f t="shared" si="21"/>
        <v/>
      </c>
      <c r="AE330" s="308" t="str">
        <f t="shared" si="22"/>
        <v/>
      </c>
      <c r="AF330" s="313" t="str">
        <f t="shared" si="23"/>
        <v/>
      </c>
      <c r="AG330" s="304" t="str">
        <f t="shared" si="24"/>
        <v/>
      </c>
      <c r="AH330" s="308" t="str">
        <f t="shared" si="25"/>
        <v/>
      </c>
      <c r="AI330" s="313" t="str">
        <f t="shared" si="26"/>
        <v/>
      </c>
      <c r="AJ330" s="304" t="str">
        <f t="shared" si="27"/>
        <v/>
      </c>
      <c r="AK330" s="308" t="str">
        <f t="shared" si="28"/>
        <v/>
      </c>
      <c r="AL330" s="308" t="str">
        <f t="shared" si="29"/>
        <v/>
      </c>
      <c r="AM330" s="304" t="str">
        <f t="shared" si="30"/>
        <v/>
      </c>
      <c r="AN330" s="308" t="str">
        <f t="shared" si="31"/>
        <v/>
      </c>
      <c r="AO330" s="313" t="str">
        <f t="shared" si="32"/>
        <v/>
      </c>
      <c r="AP330" s="304" t="str">
        <f t="shared" si="33"/>
        <v/>
      </c>
      <c r="AQ330" s="308" t="str">
        <f t="shared" si="34"/>
        <v/>
      </c>
      <c r="AR330" s="313" t="str">
        <f t="shared" si="35"/>
        <v/>
      </c>
      <c r="AS330" s="304" t="str">
        <f t="shared" si="36"/>
        <v/>
      </c>
      <c r="AT330" s="308" t="str">
        <f t="shared" si="37"/>
        <v/>
      </c>
      <c r="AU330" s="308" t="str">
        <f t="shared" si="38"/>
        <v/>
      </c>
      <c r="AV330" s="304" t="str">
        <f t="shared" si="39"/>
        <v/>
      </c>
      <c r="AW330" s="308" t="str">
        <f t="shared" si="40"/>
        <v/>
      </c>
      <c r="AX330" s="308" t="str">
        <f t="shared" si="41"/>
        <v/>
      </c>
      <c r="AY330" s="304" t="str">
        <f t="shared" si="42"/>
        <v/>
      </c>
      <c r="AZ330" s="308" t="str">
        <f t="shared" si="43"/>
        <v/>
      </c>
      <c r="BA330" s="313" t="str">
        <f t="shared" si="44"/>
        <v/>
      </c>
      <c r="BB330" s="304" t="str">
        <f t="shared" si="45"/>
        <v/>
      </c>
      <c r="BC330" s="308" t="str">
        <f t="shared" si="46"/>
        <v/>
      </c>
      <c r="BD330" s="308" t="str">
        <f t="shared" si="47"/>
        <v/>
      </c>
    </row>
    <row r="331">
      <c r="A331" s="298"/>
      <c r="B331" s="299"/>
      <c r="C331" s="300"/>
      <c r="D331" s="301" t="str">
        <f>IFERROR(__xludf.DUMMYFUNCTION("if(ISBLANK(A331),"""",GOOGLEFINANCE(A331,""NAME""))"),"")</f>
        <v/>
      </c>
      <c r="E331" s="302">
        <v>5000.0</v>
      </c>
      <c r="F331" s="303" t="str">
        <f>IFERROR(__xludf.DUMMYFUNCTION("if(ISBLANK(A331),"""",GOOGLEFINANCE(A331,""HIGH52""))"),"")</f>
        <v/>
      </c>
      <c r="G331" s="303" t="str">
        <f>IFERROR(__xludf.DUMMYFUNCTION("if(ISBLANK(A331),"""",GOOGLEFINANCE(A331,""LOW52""))"),"")</f>
        <v/>
      </c>
      <c r="H331" s="304" t="str">
        <f>IFERROR(__xludf.DUMMYFUNCTION("if(ISBLANK(A331),"""",GOOGLEFINANCE(A331,""Price""))"),"")</f>
        <v/>
      </c>
      <c r="I331" s="305" t="str">
        <f t="shared" si="1"/>
        <v/>
      </c>
      <c r="J331" s="306" t="str">
        <f t="shared" si="2"/>
        <v/>
      </c>
      <c r="K331" s="307" t="str">
        <f>IFERROR(__xludf.DUMMYFUNCTION("if(ISBLANK(A331),"""",googlefinance(A331,""Marketcap"")/10000000)"),"")</f>
        <v/>
      </c>
      <c r="L331" s="309" t="str">
        <f t="shared" si="3"/>
        <v/>
      </c>
      <c r="M331" s="308" t="str">
        <f t="shared" si="4"/>
        <v/>
      </c>
      <c r="N331" s="309" t="str">
        <f t="shared" si="5"/>
        <v/>
      </c>
      <c r="O331" s="322" t="str">
        <f t="shared" si="6"/>
        <v/>
      </c>
      <c r="P331" s="308" t="str">
        <f t="shared" si="7"/>
        <v/>
      </c>
      <c r="Q331" s="311" t="str">
        <f t="shared" si="8"/>
        <v/>
      </c>
      <c r="R331" s="309" t="str">
        <f t="shared" si="9"/>
        <v/>
      </c>
      <c r="S331" s="308" t="str">
        <f t="shared" si="10"/>
        <v/>
      </c>
      <c r="T331" s="309" t="str">
        <f t="shared" si="11"/>
        <v/>
      </c>
      <c r="U331" s="309" t="str">
        <f t="shared" si="12"/>
        <v/>
      </c>
      <c r="V331" s="308" t="str">
        <f t="shared" si="13"/>
        <v/>
      </c>
      <c r="W331" s="309" t="str">
        <f t="shared" si="14"/>
        <v/>
      </c>
      <c r="X331" s="309" t="str">
        <f t="shared" si="15"/>
        <v/>
      </c>
      <c r="Y331" s="308" t="str">
        <f t="shared" si="16"/>
        <v/>
      </c>
      <c r="Z331" s="309" t="str">
        <f t="shared" si="17"/>
        <v/>
      </c>
      <c r="AA331" s="312" t="str">
        <f t="shared" si="18"/>
        <v/>
      </c>
      <c r="AB331" s="308" t="str">
        <f t="shared" si="19"/>
        <v/>
      </c>
      <c r="AC331" s="308" t="str">
        <f t="shared" si="20"/>
        <v/>
      </c>
      <c r="AD331" s="312" t="str">
        <f t="shared" si="21"/>
        <v/>
      </c>
      <c r="AE331" s="308" t="str">
        <f t="shared" si="22"/>
        <v/>
      </c>
      <c r="AF331" s="313" t="str">
        <f t="shared" si="23"/>
        <v/>
      </c>
      <c r="AG331" s="304" t="str">
        <f t="shared" si="24"/>
        <v/>
      </c>
      <c r="AH331" s="308" t="str">
        <f t="shared" si="25"/>
        <v/>
      </c>
      <c r="AI331" s="313" t="str">
        <f t="shared" si="26"/>
        <v/>
      </c>
      <c r="AJ331" s="304" t="str">
        <f t="shared" si="27"/>
        <v/>
      </c>
      <c r="AK331" s="308" t="str">
        <f t="shared" si="28"/>
        <v/>
      </c>
      <c r="AL331" s="308" t="str">
        <f t="shared" si="29"/>
        <v/>
      </c>
      <c r="AM331" s="304" t="str">
        <f t="shared" si="30"/>
        <v/>
      </c>
      <c r="AN331" s="308" t="str">
        <f t="shared" si="31"/>
        <v/>
      </c>
      <c r="AO331" s="313" t="str">
        <f t="shared" si="32"/>
        <v/>
      </c>
      <c r="AP331" s="304" t="str">
        <f t="shared" si="33"/>
        <v/>
      </c>
      <c r="AQ331" s="308" t="str">
        <f t="shared" si="34"/>
        <v/>
      </c>
      <c r="AR331" s="313" t="str">
        <f t="shared" si="35"/>
        <v/>
      </c>
      <c r="AS331" s="304" t="str">
        <f t="shared" si="36"/>
        <v/>
      </c>
      <c r="AT331" s="308" t="str">
        <f t="shared" si="37"/>
        <v/>
      </c>
      <c r="AU331" s="308" t="str">
        <f t="shared" si="38"/>
        <v/>
      </c>
      <c r="AV331" s="304" t="str">
        <f t="shared" si="39"/>
        <v/>
      </c>
      <c r="AW331" s="308" t="str">
        <f t="shared" si="40"/>
        <v/>
      </c>
      <c r="AX331" s="308" t="str">
        <f t="shared" si="41"/>
        <v/>
      </c>
      <c r="AY331" s="304" t="str">
        <f t="shared" si="42"/>
        <v/>
      </c>
      <c r="AZ331" s="308" t="str">
        <f t="shared" si="43"/>
        <v/>
      </c>
      <c r="BA331" s="313" t="str">
        <f t="shared" si="44"/>
        <v/>
      </c>
      <c r="BB331" s="304" t="str">
        <f t="shared" si="45"/>
        <v/>
      </c>
      <c r="BC331" s="308" t="str">
        <f t="shared" si="46"/>
        <v/>
      </c>
      <c r="BD331" s="308" t="str">
        <f t="shared" si="47"/>
        <v/>
      </c>
    </row>
    <row r="332">
      <c r="A332" s="298"/>
      <c r="B332" s="299"/>
      <c r="C332" s="300"/>
      <c r="D332" s="301" t="str">
        <f>IFERROR(__xludf.DUMMYFUNCTION("if(ISBLANK(A332),"""",GOOGLEFINANCE(A332,""NAME""))"),"")</f>
        <v/>
      </c>
      <c r="E332" s="302">
        <v>5000.0</v>
      </c>
      <c r="F332" s="303" t="str">
        <f>IFERROR(__xludf.DUMMYFUNCTION("if(ISBLANK(A332),"""",GOOGLEFINANCE(A332,""HIGH52""))"),"")</f>
        <v/>
      </c>
      <c r="G332" s="303" t="str">
        <f>IFERROR(__xludf.DUMMYFUNCTION("if(ISBLANK(A332),"""",GOOGLEFINANCE(A332,""LOW52""))"),"")</f>
        <v/>
      </c>
      <c r="H332" s="304" t="str">
        <f>IFERROR(__xludf.DUMMYFUNCTION("if(ISBLANK(A332),"""",GOOGLEFINANCE(A332,""Price""))"),"")</f>
        <v/>
      </c>
      <c r="I332" s="305" t="str">
        <f t="shared" si="1"/>
        <v/>
      </c>
      <c r="J332" s="306" t="str">
        <f t="shared" si="2"/>
        <v/>
      </c>
      <c r="K332" s="307" t="str">
        <f>IFERROR(__xludf.DUMMYFUNCTION("if(ISBLANK(A332),"""",googlefinance(A332,""Marketcap"")/10000000)"),"")</f>
        <v/>
      </c>
      <c r="L332" s="309" t="str">
        <f t="shared" si="3"/>
        <v/>
      </c>
      <c r="M332" s="308" t="str">
        <f t="shared" si="4"/>
        <v/>
      </c>
      <c r="N332" s="309" t="str">
        <f t="shared" si="5"/>
        <v/>
      </c>
      <c r="O332" s="322" t="str">
        <f t="shared" si="6"/>
        <v/>
      </c>
      <c r="P332" s="308" t="str">
        <f t="shared" si="7"/>
        <v/>
      </c>
      <c r="Q332" s="311" t="str">
        <f t="shared" si="8"/>
        <v/>
      </c>
      <c r="R332" s="309" t="str">
        <f t="shared" si="9"/>
        <v/>
      </c>
      <c r="S332" s="308" t="str">
        <f t="shared" si="10"/>
        <v/>
      </c>
      <c r="T332" s="309" t="str">
        <f t="shared" si="11"/>
        <v/>
      </c>
      <c r="U332" s="309" t="str">
        <f t="shared" si="12"/>
        <v/>
      </c>
      <c r="V332" s="308" t="str">
        <f t="shared" si="13"/>
        <v/>
      </c>
      <c r="W332" s="309" t="str">
        <f t="shared" si="14"/>
        <v/>
      </c>
      <c r="X332" s="309" t="str">
        <f t="shared" si="15"/>
        <v/>
      </c>
      <c r="Y332" s="308" t="str">
        <f t="shared" si="16"/>
        <v/>
      </c>
      <c r="Z332" s="309" t="str">
        <f t="shared" si="17"/>
        <v/>
      </c>
      <c r="AA332" s="312" t="str">
        <f t="shared" si="18"/>
        <v/>
      </c>
      <c r="AB332" s="308" t="str">
        <f t="shared" si="19"/>
        <v/>
      </c>
      <c r="AC332" s="308" t="str">
        <f t="shared" si="20"/>
        <v/>
      </c>
      <c r="AD332" s="312" t="str">
        <f t="shared" si="21"/>
        <v/>
      </c>
      <c r="AE332" s="308" t="str">
        <f t="shared" si="22"/>
        <v/>
      </c>
      <c r="AF332" s="313" t="str">
        <f t="shared" si="23"/>
        <v/>
      </c>
      <c r="AG332" s="304" t="str">
        <f t="shared" si="24"/>
        <v/>
      </c>
      <c r="AH332" s="308" t="str">
        <f t="shared" si="25"/>
        <v/>
      </c>
      <c r="AI332" s="313" t="str">
        <f t="shared" si="26"/>
        <v/>
      </c>
      <c r="AJ332" s="304" t="str">
        <f t="shared" si="27"/>
        <v/>
      </c>
      <c r="AK332" s="308" t="str">
        <f t="shared" si="28"/>
        <v/>
      </c>
      <c r="AL332" s="308" t="str">
        <f t="shared" si="29"/>
        <v/>
      </c>
      <c r="AM332" s="304" t="str">
        <f t="shared" si="30"/>
        <v/>
      </c>
      <c r="AN332" s="308" t="str">
        <f t="shared" si="31"/>
        <v/>
      </c>
      <c r="AO332" s="313" t="str">
        <f t="shared" si="32"/>
        <v/>
      </c>
      <c r="AP332" s="304" t="str">
        <f t="shared" si="33"/>
        <v/>
      </c>
      <c r="AQ332" s="308" t="str">
        <f t="shared" si="34"/>
        <v/>
      </c>
      <c r="AR332" s="313" t="str">
        <f t="shared" si="35"/>
        <v/>
      </c>
      <c r="AS332" s="304" t="str">
        <f t="shared" si="36"/>
        <v/>
      </c>
      <c r="AT332" s="308" t="str">
        <f t="shared" si="37"/>
        <v/>
      </c>
      <c r="AU332" s="308" t="str">
        <f t="shared" si="38"/>
        <v/>
      </c>
      <c r="AV332" s="304" t="str">
        <f t="shared" si="39"/>
        <v/>
      </c>
      <c r="AW332" s="308" t="str">
        <f t="shared" si="40"/>
        <v/>
      </c>
      <c r="AX332" s="308" t="str">
        <f t="shared" si="41"/>
        <v/>
      </c>
      <c r="AY332" s="304" t="str">
        <f t="shared" si="42"/>
        <v/>
      </c>
      <c r="AZ332" s="308" t="str">
        <f t="shared" si="43"/>
        <v/>
      </c>
      <c r="BA332" s="313" t="str">
        <f t="shared" si="44"/>
        <v/>
      </c>
      <c r="BB332" s="304" t="str">
        <f t="shared" si="45"/>
        <v/>
      </c>
      <c r="BC332" s="308" t="str">
        <f t="shared" si="46"/>
        <v/>
      </c>
      <c r="BD332" s="308" t="str">
        <f t="shared" si="47"/>
        <v/>
      </c>
    </row>
    <row r="333">
      <c r="A333" s="298"/>
      <c r="B333" s="299"/>
      <c r="C333" s="300"/>
      <c r="D333" s="301" t="str">
        <f>IFERROR(__xludf.DUMMYFUNCTION("if(ISBLANK(A333),"""",GOOGLEFINANCE(A333,""NAME""))"),"")</f>
        <v/>
      </c>
      <c r="E333" s="302">
        <v>5000.0</v>
      </c>
      <c r="F333" s="303" t="str">
        <f>IFERROR(__xludf.DUMMYFUNCTION("if(ISBLANK(A333),"""",GOOGLEFINANCE(A333,""HIGH52""))"),"")</f>
        <v/>
      </c>
      <c r="G333" s="303" t="str">
        <f>IFERROR(__xludf.DUMMYFUNCTION("if(ISBLANK(A333),"""",GOOGLEFINANCE(A333,""LOW52""))"),"")</f>
        <v/>
      </c>
      <c r="H333" s="304" t="str">
        <f>IFERROR(__xludf.DUMMYFUNCTION("if(ISBLANK(A333),"""",GOOGLEFINANCE(A333,""Price""))"),"")</f>
        <v/>
      </c>
      <c r="I333" s="305" t="str">
        <f t="shared" si="1"/>
        <v/>
      </c>
      <c r="J333" s="306" t="str">
        <f t="shared" si="2"/>
        <v/>
      </c>
      <c r="K333" s="307" t="str">
        <f>IFERROR(__xludf.DUMMYFUNCTION("if(ISBLANK(A333),"""",googlefinance(A333,""Marketcap"")/10000000)"),"")</f>
        <v/>
      </c>
      <c r="L333" s="309" t="str">
        <f t="shared" si="3"/>
        <v/>
      </c>
      <c r="M333" s="308" t="str">
        <f t="shared" si="4"/>
        <v/>
      </c>
      <c r="N333" s="309" t="str">
        <f t="shared" si="5"/>
        <v/>
      </c>
      <c r="O333" s="322" t="str">
        <f t="shared" si="6"/>
        <v/>
      </c>
      <c r="P333" s="308" t="str">
        <f t="shared" si="7"/>
        <v/>
      </c>
      <c r="Q333" s="311" t="str">
        <f t="shared" si="8"/>
        <v/>
      </c>
      <c r="R333" s="309" t="str">
        <f t="shared" si="9"/>
        <v/>
      </c>
      <c r="S333" s="308" t="str">
        <f t="shared" si="10"/>
        <v/>
      </c>
      <c r="T333" s="309" t="str">
        <f t="shared" si="11"/>
        <v/>
      </c>
      <c r="U333" s="309" t="str">
        <f t="shared" si="12"/>
        <v/>
      </c>
      <c r="V333" s="308" t="str">
        <f t="shared" si="13"/>
        <v/>
      </c>
      <c r="W333" s="309" t="str">
        <f t="shared" si="14"/>
        <v/>
      </c>
      <c r="X333" s="309" t="str">
        <f t="shared" si="15"/>
        <v/>
      </c>
      <c r="Y333" s="308" t="str">
        <f t="shared" si="16"/>
        <v/>
      </c>
      <c r="Z333" s="309" t="str">
        <f t="shared" si="17"/>
        <v/>
      </c>
      <c r="AA333" s="312" t="str">
        <f t="shared" si="18"/>
        <v/>
      </c>
      <c r="AB333" s="308" t="str">
        <f t="shared" si="19"/>
        <v/>
      </c>
      <c r="AC333" s="308" t="str">
        <f t="shared" si="20"/>
        <v/>
      </c>
      <c r="AD333" s="312" t="str">
        <f t="shared" si="21"/>
        <v/>
      </c>
      <c r="AE333" s="308" t="str">
        <f t="shared" si="22"/>
        <v/>
      </c>
      <c r="AF333" s="313" t="str">
        <f t="shared" si="23"/>
        <v/>
      </c>
      <c r="AG333" s="304" t="str">
        <f t="shared" si="24"/>
        <v/>
      </c>
      <c r="AH333" s="308" t="str">
        <f t="shared" si="25"/>
        <v/>
      </c>
      <c r="AI333" s="313" t="str">
        <f t="shared" si="26"/>
        <v/>
      </c>
      <c r="AJ333" s="304" t="str">
        <f t="shared" si="27"/>
        <v/>
      </c>
      <c r="AK333" s="308" t="str">
        <f t="shared" si="28"/>
        <v/>
      </c>
      <c r="AL333" s="308" t="str">
        <f t="shared" si="29"/>
        <v/>
      </c>
      <c r="AM333" s="304" t="str">
        <f t="shared" si="30"/>
        <v/>
      </c>
      <c r="AN333" s="308" t="str">
        <f t="shared" si="31"/>
        <v/>
      </c>
      <c r="AO333" s="313" t="str">
        <f t="shared" si="32"/>
        <v/>
      </c>
      <c r="AP333" s="304" t="str">
        <f t="shared" si="33"/>
        <v/>
      </c>
      <c r="AQ333" s="308" t="str">
        <f t="shared" si="34"/>
        <v/>
      </c>
      <c r="AR333" s="313" t="str">
        <f t="shared" si="35"/>
        <v/>
      </c>
      <c r="AS333" s="304" t="str">
        <f t="shared" si="36"/>
        <v/>
      </c>
      <c r="AT333" s="308" t="str">
        <f t="shared" si="37"/>
        <v/>
      </c>
      <c r="AU333" s="308" t="str">
        <f t="shared" si="38"/>
        <v/>
      </c>
      <c r="AV333" s="304" t="str">
        <f t="shared" si="39"/>
        <v/>
      </c>
      <c r="AW333" s="308" t="str">
        <f t="shared" si="40"/>
        <v/>
      </c>
      <c r="AX333" s="308" t="str">
        <f t="shared" si="41"/>
        <v/>
      </c>
      <c r="AY333" s="304" t="str">
        <f t="shared" si="42"/>
        <v/>
      </c>
      <c r="AZ333" s="308" t="str">
        <f t="shared" si="43"/>
        <v/>
      </c>
      <c r="BA333" s="313" t="str">
        <f t="shared" si="44"/>
        <v/>
      </c>
      <c r="BB333" s="304" t="str">
        <f t="shared" si="45"/>
        <v/>
      </c>
      <c r="BC333" s="308" t="str">
        <f t="shared" si="46"/>
        <v/>
      </c>
      <c r="BD333" s="308" t="str">
        <f t="shared" si="47"/>
        <v/>
      </c>
    </row>
    <row r="334">
      <c r="A334" s="298"/>
      <c r="B334" s="299"/>
      <c r="C334" s="300"/>
      <c r="D334" s="301" t="str">
        <f>IFERROR(__xludf.DUMMYFUNCTION("if(ISBLANK(A334),"""",GOOGLEFINANCE(A334,""NAME""))"),"")</f>
        <v/>
      </c>
      <c r="E334" s="302">
        <v>5000.0</v>
      </c>
      <c r="F334" s="303" t="str">
        <f>IFERROR(__xludf.DUMMYFUNCTION("if(ISBLANK(A334),"""",GOOGLEFINANCE(A334,""HIGH52""))"),"")</f>
        <v/>
      </c>
      <c r="G334" s="303" t="str">
        <f>IFERROR(__xludf.DUMMYFUNCTION("if(ISBLANK(A334),"""",GOOGLEFINANCE(A334,""LOW52""))"),"")</f>
        <v/>
      </c>
      <c r="H334" s="304" t="str">
        <f>IFERROR(__xludf.DUMMYFUNCTION("if(ISBLANK(A334),"""",GOOGLEFINANCE(A334,""Price""))"),"")</f>
        <v/>
      </c>
      <c r="I334" s="305" t="str">
        <f t="shared" si="1"/>
        <v/>
      </c>
      <c r="J334" s="306" t="str">
        <f t="shared" si="2"/>
        <v/>
      </c>
      <c r="K334" s="307" t="str">
        <f>IFERROR(__xludf.DUMMYFUNCTION("if(ISBLANK(A334),"""",googlefinance(A334,""Marketcap"")/10000000)"),"")</f>
        <v/>
      </c>
      <c r="L334" s="309" t="str">
        <f t="shared" si="3"/>
        <v/>
      </c>
      <c r="M334" s="308" t="str">
        <f t="shared" si="4"/>
        <v/>
      </c>
      <c r="N334" s="309" t="str">
        <f t="shared" si="5"/>
        <v/>
      </c>
      <c r="O334" s="322" t="str">
        <f t="shared" si="6"/>
        <v/>
      </c>
      <c r="P334" s="308" t="str">
        <f t="shared" si="7"/>
        <v/>
      </c>
      <c r="Q334" s="311" t="str">
        <f t="shared" si="8"/>
        <v/>
      </c>
      <c r="R334" s="309" t="str">
        <f t="shared" si="9"/>
        <v/>
      </c>
      <c r="S334" s="308" t="str">
        <f t="shared" si="10"/>
        <v/>
      </c>
      <c r="T334" s="309" t="str">
        <f t="shared" si="11"/>
        <v/>
      </c>
      <c r="U334" s="309" t="str">
        <f t="shared" si="12"/>
        <v/>
      </c>
      <c r="V334" s="308" t="str">
        <f t="shared" si="13"/>
        <v/>
      </c>
      <c r="W334" s="309" t="str">
        <f t="shared" si="14"/>
        <v/>
      </c>
      <c r="X334" s="309" t="str">
        <f t="shared" si="15"/>
        <v/>
      </c>
      <c r="Y334" s="308" t="str">
        <f t="shared" si="16"/>
        <v/>
      </c>
      <c r="Z334" s="309" t="str">
        <f t="shared" si="17"/>
        <v/>
      </c>
      <c r="AA334" s="312" t="str">
        <f t="shared" si="18"/>
        <v/>
      </c>
      <c r="AB334" s="308" t="str">
        <f t="shared" si="19"/>
        <v/>
      </c>
      <c r="AC334" s="308" t="str">
        <f t="shared" si="20"/>
        <v/>
      </c>
      <c r="AD334" s="312" t="str">
        <f t="shared" si="21"/>
        <v/>
      </c>
      <c r="AE334" s="308" t="str">
        <f t="shared" si="22"/>
        <v/>
      </c>
      <c r="AF334" s="313" t="str">
        <f t="shared" si="23"/>
        <v/>
      </c>
      <c r="AG334" s="304" t="str">
        <f t="shared" si="24"/>
        <v/>
      </c>
      <c r="AH334" s="308" t="str">
        <f t="shared" si="25"/>
        <v/>
      </c>
      <c r="AI334" s="313" t="str">
        <f t="shared" si="26"/>
        <v/>
      </c>
      <c r="AJ334" s="304" t="str">
        <f t="shared" si="27"/>
        <v/>
      </c>
      <c r="AK334" s="308" t="str">
        <f t="shared" si="28"/>
        <v/>
      </c>
      <c r="AL334" s="308" t="str">
        <f t="shared" si="29"/>
        <v/>
      </c>
      <c r="AM334" s="304" t="str">
        <f t="shared" si="30"/>
        <v/>
      </c>
      <c r="AN334" s="308" t="str">
        <f t="shared" si="31"/>
        <v/>
      </c>
      <c r="AO334" s="313" t="str">
        <f t="shared" si="32"/>
        <v/>
      </c>
      <c r="AP334" s="304" t="str">
        <f t="shared" si="33"/>
        <v/>
      </c>
      <c r="AQ334" s="308" t="str">
        <f t="shared" si="34"/>
        <v/>
      </c>
      <c r="AR334" s="313" t="str">
        <f t="shared" si="35"/>
        <v/>
      </c>
      <c r="AS334" s="304" t="str">
        <f t="shared" si="36"/>
        <v/>
      </c>
      <c r="AT334" s="308" t="str">
        <f t="shared" si="37"/>
        <v/>
      </c>
      <c r="AU334" s="308" t="str">
        <f t="shared" si="38"/>
        <v/>
      </c>
      <c r="AV334" s="304" t="str">
        <f t="shared" si="39"/>
        <v/>
      </c>
      <c r="AW334" s="308" t="str">
        <f t="shared" si="40"/>
        <v/>
      </c>
      <c r="AX334" s="308" t="str">
        <f t="shared" si="41"/>
        <v/>
      </c>
      <c r="AY334" s="304" t="str">
        <f t="shared" si="42"/>
        <v/>
      </c>
      <c r="AZ334" s="308" t="str">
        <f t="shared" si="43"/>
        <v/>
      </c>
      <c r="BA334" s="313" t="str">
        <f t="shared" si="44"/>
        <v/>
      </c>
      <c r="BB334" s="304" t="str">
        <f t="shared" si="45"/>
        <v/>
      </c>
      <c r="BC334" s="308" t="str">
        <f t="shared" si="46"/>
        <v/>
      </c>
      <c r="BD334" s="308" t="str">
        <f t="shared" si="47"/>
        <v/>
      </c>
    </row>
    <row r="335">
      <c r="A335" s="298"/>
      <c r="B335" s="299"/>
      <c r="C335" s="300"/>
      <c r="D335" s="301" t="str">
        <f>IFERROR(__xludf.DUMMYFUNCTION("if(ISBLANK(A335),"""",GOOGLEFINANCE(A335,""NAME""))"),"")</f>
        <v/>
      </c>
      <c r="E335" s="302">
        <v>5000.0</v>
      </c>
      <c r="F335" s="303" t="str">
        <f>IFERROR(__xludf.DUMMYFUNCTION("if(ISBLANK(A335),"""",GOOGLEFINANCE(A335,""HIGH52""))"),"")</f>
        <v/>
      </c>
      <c r="G335" s="303" t="str">
        <f>IFERROR(__xludf.DUMMYFUNCTION("if(ISBLANK(A335),"""",GOOGLEFINANCE(A335,""LOW52""))"),"")</f>
        <v/>
      </c>
      <c r="H335" s="304" t="str">
        <f>IFERROR(__xludf.DUMMYFUNCTION("if(ISBLANK(A335),"""",GOOGLEFINANCE(A335,""Price""))"),"")</f>
        <v/>
      </c>
      <c r="I335" s="305" t="str">
        <f t="shared" si="1"/>
        <v/>
      </c>
      <c r="J335" s="306" t="str">
        <f t="shared" si="2"/>
        <v/>
      </c>
      <c r="K335" s="307" t="str">
        <f>IFERROR(__xludf.DUMMYFUNCTION("if(ISBLANK(A335),"""",googlefinance(A335,""Marketcap"")/10000000)"),"")</f>
        <v/>
      </c>
      <c r="L335" s="309" t="str">
        <f t="shared" si="3"/>
        <v/>
      </c>
      <c r="M335" s="308" t="str">
        <f t="shared" si="4"/>
        <v/>
      </c>
      <c r="N335" s="309" t="str">
        <f t="shared" si="5"/>
        <v/>
      </c>
      <c r="O335" s="322" t="str">
        <f t="shared" si="6"/>
        <v/>
      </c>
      <c r="P335" s="308" t="str">
        <f t="shared" si="7"/>
        <v/>
      </c>
      <c r="Q335" s="311" t="str">
        <f t="shared" si="8"/>
        <v/>
      </c>
      <c r="R335" s="309" t="str">
        <f t="shared" si="9"/>
        <v/>
      </c>
      <c r="S335" s="308" t="str">
        <f t="shared" si="10"/>
        <v/>
      </c>
      <c r="T335" s="309" t="str">
        <f t="shared" si="11"/>
        <v/>
      </c>
      <c r="U335" s="309" t="str">
        <f t="shared" si="12"/>
        <v/>
      </c>
      <c r="V335" s="308" t="str">
        <f t="shared" si="13"/>
        <v/>
      </c>
      <c r="W335" s="309" t="str">
        <f t="shared" si="14"/>
        <v/>
      </c>
      <c r="X335" s="309" t="str">
        <f t="shared" si="15"/>
        <v/>
      </c>
      <c r="Y335" s="308" t="str">
        <f t="shared" si="16"/>
        <v/>
      </c>
      <c r="Z335" s="309" t="str">
        <f t="shared" si="17"/>
        <v/>
      </c>
      <c r="AA335" s="312" t="str">
        <f t="shared" si="18"/>
        <v/>
      </c>
      <c r="AB335" s="308" t="str">
        <f t="shared" si="19"/>
        <v/>
      </c>
      <c r="AC335" s="308" t="str">
        <f t="shared" si="20"/>
        <v/>
      </c>
      <c r="AD335" s="312" t="str">
        <f t="shared" si="21"/>
        <v/>
      </c>
      <c r="AE335" s="308" t="str">
        <f t="shared" si="22"/>
        <v/>
      </c>
      <c r="AF335" s="313" t="str">
        <f t="shared" si="23"/>
        <v/>
      </c>
      <c r="AG335" s="304" t="str">
        <f t="shared" si="24"/>
        <v/>
      </c>
      <c r="AH335" s="308" t="str">
        <f t="shared" si="25"/>
        <v/>
      </c>
      <c r="AI335" s="313" t="str">
        <f t="shared" si="26"/>
        <v/>
      </c>
      <c r="AJ335" s="304" t="str">
        <f t="shared" si="27"/>
        <v/>
      </c>
      <c r="AK335" s="308" t="str">
        <f t="shared" si="28"/>
        <v/>
      </c>
      <c r="AL335" s="308" t="str">
        <f t="shared" si="29"/>
        <v/>
      </c>
      <c r="AM335" s="304" t="str">
        <f t="shared" si="30"/>
        <v/>
      </c>
      <c r="AN335" s="308" t="str">
        <f t="shared" si="31"/>
        <v/>
      </c>
      <c r="AO335" s="313" t="str">
        <f t="shared" si="32"/>
        <v/>
      </c>
      <c r="AP335" s="304" t="str">
        <f t="shared" si="33"/>
        <v/>
      </c>
      <c r="AQ335" s="308" t="str">
        <f t="shared" si="34"/>
        <v/>
      </c>
      <c r="AR335" s="313" t="str">
        <f t="shared" si="35"/>
        <v/>
      </c>
      <c r="AS335" s="304" t="str">
        <f t="shared" si="36"/>
        <v/>
      </c>
      <c r="AT335" s="308" t="str">
        <f t="shared" si="37"/>
        <v/>
      </c>
      <c r="AU335" s="308" t="str">
        <f t="shared" si="38"/>
        <v/>
      </c>
      <c r="AV335" s="304" t="str">
        <f t="shared" si="39"/>
        <v/>
      </c>
      <c r="AW335" s="308" t="str">
        <f t="shared" si="40"/>
        <v/>
      </c>
      <c r="AX335" s="308" t="str">
        <f t="shared" si="41"/>
        <v/>
      </c>
      <c r="AY335" s="304" t="str">
        <f t="shared" si="42"/>
        <v/>
      </c>
      <c r="AZ335" s="308" t="str">
        <f t="shared" si="43"/>
        <v/>
      </c>
      <c r="BA335" s="313" t="str">
        <f t="shared" si="44"/>
        <v/>
      </c>
      <c r="BB335" s="304" t="str">
        <f t="shared" si="45"/>
        <v/>
      </c>
      <c r="BC335" s="308" t="str">
        <f t="shared" si="46"/>
        <v/>
      </c>
      <c r="BD335" s="308" t="str">
        <f t="shared" si="47"/>
        <v/>
      </c>
    </row>
    <row r="336">
      <c r="A336" s="298"/>
      <c r="B336" s="299"/>
      <c r="C336" s="300"/>
      <c r="D336" s="301" t="str">
        <f>IFERROR(__xludf.DUMMYFUNCTION("if(ISBLANK(A336),"""",GOOGLEFINANCE(A336,""NAME""))"),"")</f>
        <v/>
      </c>
      <c r="E336" s="302">
        <v>5000.0</v>
      </c>
      <c r="F336" s="303" t="str">
        <f>IFERROR(__xludf.DUMMYFUNCTION("if(ISBLANK(A336),"""",GOOGLEFINANCE(A336,""HIGH52""))"),"")</f>
        <v/>
      </c>
      <c r="G336" s="303" t="str">
        <f>IFERROR(__xludf.DUMMYFUNCTION("if(ISBLANK(A336),"""",GOOGLEFINANCE(A336,""LOW52""))"),"")</f>
        <v/>
      </c>
      <c r="H336" s="304" t="str">
        <f>IFERROR(__xludf.DUMMYFUNCTION("if(ISBLANK(A336),"""",GOOGLEFINANCE(A336,""Price""))"),"")</f>
        <v/>
      </c>
      <c r="I336" s="305" t="str">
        <f t="shared" si="1"/>
        <v/>
      </c>
      <c r="J336" s="306" t="str">
        <f t="shared" si="2"/>
        <v/>
      </c>
      <c r="K336" s="307" t="str">
        <f>IFERROR(__xludf.DUMMYFUNCTION("if(ISBLANK(A336),"""",googlefinance(A336,""Marketcap"")/10000000)"),"")</f>
        <v/>
      </c>
      <c r="L336" s="309" t="str">
        <f t="shared" si="3"/>
        <v/>
      </c>
      <c r="M336" s="308" t="str">
        <f t="shared" si="4"/>
        <v/>
      </c>
      <c r="N336" s="309" t="str">
        <f t="shared" si="5"/>
        <v/>
      </c>
      <c r="O336" s="322" t="str">
        <f t="shared" si="6"/>
        <v/>
      </c>
      <c r="P336" s="308" t="str">
        <f t="shared" si="7"/>
        <v/>
      </c>
      <c r="Q336" s="311" t="str">
        <f t="shared" si="8"/>
        <v/>
      </c>
      <c r="R336" s="309" t="str">
        <f t="shared" si="9"/>
        <v/>
      </c>
      <c r="S336" s="308" t="str">
        <f t="shared" si="10"/>
        <v/>
      </c>
      <c r="T336" s="309" t="str">
        <f t="shared" si="11"/>
        <v/>
      </c>
      <c r="U336" s="309" t="str">
        <f t="shared" si="12"/>
        <v/>
      </c>
      <c r="V336" s="308" t="str">
        <f t="shared" si="13"/>
        <v/>
      </c>
      <c r="W336" s="309" t="str">
        <f t="shared" si="14"/>
        <v/>
      </c>
      <c r="X336" s="309" t="str">
        <f t="shared" si="15"/>
        <v/>
      </c>
      <c r="Y336" s="308" t="str">
        <f t="shared" si="16"/>
        <v/>
      </c>
      <c r="Z336" s="309" t="str">
        <f t="shared" si="17"/>
        <v/>
      </c>
      <c r="AA336" s="312" t="str">
        <f t="shared" si="18"/>
        <v/>
      </c>
      <c r="AB336" s="308" t="str">
        <f t="shared" si="19"/>
        <v/>
      </c>
      <c r="AC336" s="308" t="str">
        <f t="shared" si="20"/>
        <v/>
      </c>
      <c r="AD336" s="312" t="str">
        <f t="shared" si="21"/>
        <v/>
      </c>
      <c r="AE336" s="308" t="str">
        <f t="shared" si="22"/>
        <v/>
      </c>
      <c r="AF336" s="313" t="str">
        <f t="shared" si="23"/>
        <v/>
      </c>
      <c r="AG336" s="304" t="str">
        <f t="shared" si="24"/>
        <v/>
      </c>
      <c r="AH336" s="308" t="str">
        <f t="shared" si="25"/>
        <v/>
      </c>
      <c r="AI336" s="313" t="str">
        <f t="shared" si="26"/>
        <v/>
      </c>
      <c r="AJ336" s="304" t="str">
        <f t="shared" si="27"/>
        <v/>
      </c>
      <c r="AK336" s="308" t="str">
        <f t="shared" si="28"/>
        <v/>
      </c>
      <c r="AL336" s="308" t="str">
        <f t="shared" si="29"/>
        <v/>
      </c>
      <c r="AM336" s="304" t="str">
        <f t="shared" si="30"/>
        <v/>
      </c>
      <c r="AN336" s="308" t="str">
        <f t="shared" si="31"/>
        <v/>
      </c>
      <c r="AO336" s="313" t="str">
        <f t="shared" si="32"/>
        <v/>
      </c>
      <c r="AP336" s="304" t="str">
        <f t="shared" si="33"/>
        <v/>
      </c>
      <c r="AQ336" s="308" t="str">
        <f t="shared" si="34"/>
        <v/>
      </c>
      <c r="AR336" s="313" t="str">
        <f t="shared" si="35"/>
        <v/>
      </c>
      <c r="AS336" s="304" t="str">
        <f t="shared" si="36"/>
        <v/>
      </c>
      <c r="AT336" s="308" t="str">
        <f t="shared" si="37"/>
        <v/>
      </c>
      <c r="AU336" s="308" t="str">
        <f t="shared" si="38"/>
        <v/>
      </c>
      <c r="AV336" s="304" t="str">
        <f t="shared" si="39"/>
        <v/>
      </c>
      <c r="AW336" s="308" t="str">
        <f t="shared" si="40"/>
        <v/>
      </c>
      <c r="AX336" s="308" t="str">
        <f t="shared" si="41"/>
        <v/>
      </c>
      <c r="AY336" s="304" t="str">
        <f t="shared" si="42"/>
        <v/>
      </c>
      <c r="AZ336" s="308" t="str">
        <f t="shared" si="43"/>
        <v/>
      </c>
      <c r="BA336" s="313" t="str">
        <f t="shared" si="44"/>
        <v/>
      </c>
      <c r="BB336" s="304" t="str">
        <f t="shared" si="45"/>
        <v/>
      </c>
      <c r="BC336" s="308" t="str">
        <f t="shared" si="46"/>
        <v/>
      </c>
      <c r="BD336" s="308" t="str">
        <f t="shared" si="47"/>
        <v/>
      </c>
    </row>
    <row r="337">
      <c r="A337" s="298"/>
      <c r="B337" s="299"/>
      <c r="C337" s="300"/>
      <c r="D337" s="301" t="str">
        <f>IFERROR(__xludf.DUMMYFUNCTION("if(ISBLANK(A337),"""",GOOGLEFINANCE(A337,""NAME""))"),"")</f>
        <v/>
      </c>
      <c r="E337" s="302">
        <v>5000.0</v>
      </c>
      <c r="F337" s="303" t="str">
        <f>IFERROR(__xludf.DUMMYFUNCTION("if(ISBLANK(A337),"""",GOOGLEFINANCE(A337,""HIGH52""))"),"")</f>
        <v/>
      </c>
      <c r="G337" s="303" t="str">
        <f>IFERROR(__xludf.DUMMYFUNCTION("if(ISBLANK(A337),"""",GOOGLEFINANCE(A337,""LOW52""))"),"")</f>
        <v/>
      </c>
      <c r="H337" s="304" t="str">
        <f>IFERROR(__xludf.DUMMYFUNCTION("if(ISBLANK(A337),"""",GOOGLEFINANCE(A337,""Price""))"),"")</f>
        <v/>
      </c>
      <c r="I337" s="305" t="str">
        <f t="shared" si="1"/>
        <v/>
      </c>
      <c r="J337" s="306" t="str">
        <f t="shared" si="2"/>
        <v/>
      </c>
      <c r="K337" s="307" t="str">
        <f>IFERROR(__xludf.DUMMYFUNCTION("if(ISBLANK(A337),"""",googlefinance(A337,""Marketcap"")/10000000)"),"")</f>
        <v/>
      </c>
      <c r="L337" s="309" t="str">
        <f t="shared" si="3"/>
        <v/>
      </c>
      <c r="M337" s="308" t="str">
        <f t="shared" si="4"/>
        <v/>
      </c>
      <c r="N337" s="309" t="str">
        <f t="shared" si="5"/>
        <v/>
      </c>
      <c r="O337" s="322" t="str">
        <f t="shared" si="6"/>
        <v/>
      </c>
      <c r="P337" s="308" t="str">
        <f t="shared" si="7"/>
        <v/>
      </c>
      <c r="Q337" s="311" t="str">
        <f t="shared" si="8"/>
        <v/>
      </c>
      <c r="R337" s="309" t="str">
        <f t="shared" si="9"/>
        <v/>
      </c>
      <c r="S337" s="308" t="str">
        <f t="shared" si="10"/>
        <v/>
      </c>
      <c r="T337" s="309" t="str">
        <f t="shared" si="11"/>
        <v/>
      </c>
      <c r="U337" s="309" t="str">
        <f t="shared" si="12"/>
        <v/>
      </c>
      <c r="V337" s="308" t="str">
        <f t="shared" si="13"/>
        <v/>
      </c>
      <c r="W337" s="309" t="str">
        <f t="shared" si="14"/>
        <v/>
      </c>
      <c r="X337" s="309" t="str">
        <f t="shared" si="15"/>
        <v/>
      </c>
      <c r="Y337" s="308" t="str">
        <f t="shared" si="16"/>
        <v/>
      </c>
      <c r="Z337" s="309" t="str">
        <f t="shared" si="17"/>
        <v/>
      </c>
      <c r="AA337" s="312" t="str">
        <f t="shared" si="18"/>
        <v/>
      </c>
      <c r="AB337" s="308" t="str">
        <f t="shared" si="19"/>
        <v/>
      </c>
      <c r="AC337" s="308" t="str">
        <f t="shared" si="20"/>
        <v/>
      </c>
      <c r="AD337" s="312" t="str">
        <f t="shared" si="21"/>
        <v/>
      </c>
      <c r="AE337" s="308" t="str">
        <f t="shared" si="22"/>
        <v/>
      </c>
      <c r="AF337" s="313" t="str">
        <f t="shared" si="23"/>
        <v/>
      </c>
      <c r="AG337" s="304" t="str">
        <f t="shared" si="24"/>
        <v/>
      </c>
      <c r="AH337" s="308" t="str">
        <f t="shared" si="25"/>
        <v/>
      </c>
      <c r="AI337" s="313" t="str">
        <f t="shared" si="26"/>
        <v/>
      </c>
      <c r="AJ337" s="304" t="str">
        <f t="shared" si="27"/>
        <v/>
      </c>
      <c r="AK337" s="308" t="str">
        <f t="shared" si="28"/>
        <v/>
      </c>
      <c r="AL337" s="308" t="str">
        <f t="shared" si="29"/>
        <v/>
      </c>
      <c r="AM337" s="304" t="str">
        <f t="shared" si="30"/>
        <v/>
      </c>
      <c r="AN337" s="308" t="str">
        <f t="shared" si="31"/>
        <v/>
      </c>
      <c r="AO337" s="313" t="str">
        <f t="shared" si="32"/>
        <v/>
      </c>
      <c r="AP337" s="304" t="str">
        <f t="shared" si="33"/>
        <v/>
      </c>
      <c r="AQ337" s="308" t="str">
        <f t="shared" si="34"/>
        <v/>
      </c>
      <c r="AR337" s="313" t="str">
        <f t="shared" si="35"/>
        <v/>
      </c>
      <c r="AS337" s="304" t="str">
        <f t="shared" si="36"/>
        <v/>
      </c>
      <c r="AT337" s="308" t="str">
        <f t="shared" si="37"/>
        <v/>
      </c>
      <c r="AU337" s="308" t="str">
        <f t="shared" si="38"/>
        <v/>
      </c>
      <c r="AV337" s="304" t="str">
        <f t="shared" si="39"/>
        <v/>
      </c>
      <c r="AW337" s="308" t="str">
        <f t="shared" si="40"/>
        <v/>
      </c>
      <c r="AX337" s="308" t="str">
        <f t="shared" si="41"/>
        <v/>
      </c>
      <c r="AY337" s="304" t="str">
        <f t="shared" si="42"/>
        <v/>
      </c>
      <c r="AZ337" s="308" t="str">
        <f t="shared" si="43"/>
        <v/>
      </c>
      <c r="BA337" s="313" t="str">
        <f t="shared" si="44"/>
        <v/>
      </c>
      <c r="BB337" s="304" t="str">
        <f t="shared" si="45"/>
        <v/>
      </c>
      <c r="BC337" s="308" t="str">
        <f t="shared" si="46"/>
        <v/>
      </c>
      <c r="BD337" s="308" t="str">
        <f t="shared" si="47"/>
        <v/>
      </c>
    </row>
    <row r="338">
      <c r="A338" s="298"/>
      <c r="B338" s="299"/>
      <c r="C338" s="300"/>
      <c r="D338" s="301" t="str">
        <f>IFERROR(__xludf.DUMMYFUNCTION("if(ISBLANK(A338),"""",GOOGLEFINANCE(A338,""NAME""))"),"")</f>
        <v/>
      </c>
      <c r="E338" s="302">
        <v>5000.0</v>
      </c>
      <c r="F338" s="303" t="str">
        <f>IFERROR(__xludf.DUMMYFUNCTION("if(ISBLANK(A338),"""",GOOGLEFINANCE(A338,""HIGH52""))"),"")</f>
        <v/>
      </c>
      <c r="G338" s="303" t="str">
        <f>IFERROR(__xludf.DUMMYFUNCTION("if(ISBLANK(A338),"""",GOOGLEFINANCE(A338,""LOW52""))"),"")</f>
        <v/>
      </c>
      <c r="H338" s="304" t="str">
        <f>IFERROR(__xludf.DUMMYFUNCTION("if(ISBLANK(A338),"""",GOOGLEFINANCE(A338,""Price""))"),"")</f>
        <v/>
      </c>
      <c r="I338" s="305" t="str">
        <f t="shared" si="1"/>
        <v/>
      </c>
      <c r="J338" s="306" t="str">
        <f t="shared" si="2"/>
        <v/>
      </c>
      <c r="K338" s="307" t="str">
        <f>IFERROR(__xludf.DUMMYFUNCTION("if(ISBLANK(A338),"""",googlefinance(A338,""Marketcap"")/10000000)"),"")</f>
        <v/>
      </c>
      <c r="L338" s="309" t="str">
        <f t="shared" si="3"/>
        <v/>
      </c>
      <c r="M338" s="308" t="str">
        <f t="shared" si="4"/>
        <v/>
      </c>
      <c r="N338" s="309" t="str">
        <f t="shared" si="5"/>
        <v/>
      </c>
      <c r="O338" s="322" t="str">
        <f t="shared" si="6"/>
        <v/>
      </c>
      <c r="P338" s="308" t="str">
        <f t="shared" si="7"/>
        <v/>
      </c>
      <c r="Q338" s="311" t="str">
        <f t="shared" si="8"/>
        <v/>
      </c>
      <c r="R338" s="309" t="str">
        <f t="shared" si="9"/>
        <v/>
      </c>
      <c r="S338" s="308" t="str">
        <f t="shared" si="10"/>
        <v/>
      </c>
      <c r="T338" s="309" t="str">
        <f t="shared" si="11"/>
        <v/>
      </c>
      <c r="U338" s="309" t="str">
        <f t="shared" si="12"/>
        <v/>
      </c>
      <c r="V338" s="308" t="str">
        <f t="shared" si="13"/>
        <v/>
      </c>
      <c r="W338" s="309" t="str">
        <f t="shared" si="14"/>
        <v/>
      </c>
      <c r="X338" s="309" t="str">
        <f t="shared" si="15"/>
        <v/>
      </c>
      <c r="Y338" s="308" t="str">
        <f t="shared" si="16"/>
        <v/>
      </c>
      <c r="Z338" s="309" t="str">
        <f t="shared" si="17"/>
        <v/>
      </c>
      <c r="AA338" s="312" t="str">
        <f t="shared" si="18"/>
        <v/>
      </c>
      <c r="AB338" s="308" t="str">
        <f t="shared" si="19"/>
        <v/>
      </c>
      <c r="AC338" s="308" t="str">
        <f t="shared" si="20"/>
        <v/>
      </c>
      <c r="AD338" s="312" t="str">
        <f t="shared" si="21"/>
        <v/>
      </c>
      <c r="AE338" s="308" t="str">
        <f t="shared" si="22"/>
        <v/>
      </c>
      <c r="AF338" s="313" t="str">
        <f t="shared" si="23"/>
        <v/>
      </c>
      <c r="AG338" s="304" t="str">
        <f t="shared" si="24"/>
        <v/>
      </c>
      <c r="AH338" s="308" t="str">
        <f t="shared" si="25"/>
        <v/>
      </c>
      <c r="AI338" s="313" t="str">
        <f t="shared" si="26"/>
        <v/>
      </c>
      <c r="AJ338" s="304" t="str">
        <f t="shared" si="27"/>
        <v/>
      </c>
      <c r="AK338" s="308" t="str">
        <f t="shared" si="28"/>
        <v/>
      </c>
      <c r="AL338" s="308" t="str">
        <f t="shared" si="29"/>
        <v/>
      </c>
      <c r="AM338" s="304" t="str">
        <f t="shared" si="30"/>
        <v/>
      </c>
      <c r="AN338" s="308" t="str">
        <f t="shared" si="31"/>
        <v/>
      </c>
      <c r="AO338" s="313" t="str">
        <f t="shared" si="32"/>
        <v/>
      </c>
      <c r="AP338" s="304" t="str">
        <f t="shared" si="33"/>
        <v/>
      </c>
      <c r="AQ338" s="308" t="str">
        <f t="shared" si="34"/>
        <v/>
      </c>
      <c r="AR338" s="313" t="str">
        <f t="shared" si="35"/>
        <v/>
      </c>
      <c r="AS338" s="304" t="str">
        <f t="shared" si="36"/>
        <v/>
      </c>
      <c r="AT338" s="308" t="str">
        <f t="shared" si="37"/>
        <v/>
      </c>
      <c r="AU338" s="308" t="str">
        <f t="shared" si="38"/>
        <v/>
      </c>
      <c r="AV338" s="304" t="str">
        <f t="shared" si="39"/>
        <v/>
      </c>
      <c r="AW338" s="308" t="str">
        <f t="shared" si="40"/>
        <v/>
      </c>
      <c r="AX338" s="308" t="str">
        <f t="shared" si="41"/>
        <v/>
      </c>
      <c r="AY338" s="304" t="str">
        <f t="shared" si="42"/>
        <v/>
      </c>
      <c r="AZ338" s="308" t="str">
        <f t="shared" si="43"/>
        <v/>
      </c>
      <c r="BA338" s="313" t="str">
        <f t="shared" si="44"/>
        <v/>
      </c>
      <c r="BB338" s="304" t="str">
        <f t="shared" si="45"/>
        <v/>
      </c>
      <c r="BC338" s="308" t="str">
        <f t="shared" si="46"/>
        <v/>
      </c>
      <c r="BD338" s="308" t="str">
        <f t="shared" si="47"/>
        <v/>
      </c>
    </row>
    <row r="339">
      <c r="A339" s="298"/>
      <c r="B339" s="299"/>
      <c r="C339" s="300"/>
      <c r="D339" s="301" t="str">
        <f>IFERROR(__xludf.DUMMYFUNCTION("if(ISBLANK(A339),"""",GOOGLEFINANCE(A339,""NAME""))"),"")</f>
        <v/>
      </c>
      <c r="E339" s="302">
        <v>5000.0</v>
      </c>
      <c r="F339" s="303" t="str">
        <f>IFERROR(__xludf.DUMMYFUNCTION("if(ISBLANK(A339),"""",GOOGLEFINANCE(A339,""HIGH52""))"),"")</f>
        <v/>
      </c>
      <c r="G339" s="303" t="str">
        <f>IFERROR(__xludf.DUMMYFUNCTION("if(ISBLANK(A339),"""",GOOGLEFINANCE(A339,""LOW52""))"),"")</f>
        <v/>
      </c>
      <c r="H339" s="304" t="str">
        <f>IFERROR(__xludf.DUMMYFUNCTION("if(ISBLANK(A339),"""",GOOGLEFINANCE(A339,""Price""))"),"")</f>
        <v/>
      </c>
      <c r="I339" s="305" t="str">
        <f t="shared" si="1"/>
        <v/>
      </c>
      <c r="J339" s="306" t="str">
        <f t="shared" si="2"/>
        <v/>
      </c>
      <c r="K339" s="307" t="str">
        <f>IFERROR(__xludf.DUMMYFUNCTION("if(ISBLANK(A339),"""",googlefinance(A339,""Marketcap"")/10000000)"),"")</f>
        <v/>
      </c>
      <c r="L339" s="309" t="str">
        <f t="shared" si="3"/>
        <v/>
      </c>
      <c r="M339" s="308" t="str">
        <f t="shared" si="4"/>
        <v/>
      </c>
      <c r="N339" s="309" t="str">
        <f t="shared" si="5"/>
        <v/>
      </c>
      <c r="O339" s="322" t="str">
        <f t="shared" si="6"/>
        <v/>
      </c>
      <c r="P339" s="308" t="str">
        <f t="shared" si="7"/>
        <v/>
      </c>
      <c r="Q339" s="311" t="str">
        <f t="shared" si="8"/>
        <v/>
      </c>
      <c r="R339" s="309" t="str">
        <f t="shared" si="9"/>
        <v/>
      </c>
      <c r="S339" s="308" t="str">
        <f t="shared" si="10"/>
        <v/>
      </c>
      <c r="T339" s="309" t="str">
        <f t="shared" si="11"/>
        <v/>
      </c>
      <c r="U339" s="309" t="str">
        <f t="shared" si="12"/>
        <v/>
      </c>
      <c r="V339" s="308" t="str">
        <f t="shared" si="13"/>
        <v/>
      </c>
      <c r="W339" s="309" t="str">
        <f t="shared" si="14"/>
        <v/>
      </c>
      <c r="X339" s="309" t="str">
        <f t="shared" si="15"/>
        <v/>
      </c>
      <c r="Y339" s="308" t="str">
        <f t="shared" si="16"/>
        <v/>
      </c>
      <c r="Z339" s="309" t="str">
        <f t="shared" si="17"/>
        <v/>
      </c>
      <c r="AA339" s="312" t="str">
        <f t="shared" si="18"/>
        <v/>
      </c>
      <c r="AB339" s="308" t="str">
        <f t="shared" si="19"/>
        <v/>
      </c>
      <c r="AC339" s="308" t="str">
        <f t="shared" si="20"/>
        <v/>
      </c>
      <c r="AD339" s="312" t="str">
        <f t="shared" si="21"/>
        <v/>
      </c>
      <c r="AE339" s="308" t="str">
        <f t="shared" si="22"/>
        <v/>
      </c>
      <c r="AF339" s="313" t="str">
        <f t="shared" si="23"/>
        <v/>
      </c>
      <c r="AG339" s="304" t="str">
        <f t="shared" si="24"/>
        <v/>
      </c>
      <c r="AH339" s="308" t="str">
        <f t="shared" si="25"/>
        <v/>
      </c>
      <c r="AI339" s="313" t="str">
        <f t="shared" si="26"/>
        <v/>
      </c>
      <c r="AJ339" s="304" t="str">
        <f t="shared" si="27"/>
        <v/>
      </c>
      <c r="AK339" s="308" t="str">
        <f t="shared" si="28"/>
        <v/>
      </c>
      <c r="AL339" s="308" t="str">
        <f t="shared" si="29"/>
        <v/>
      </c>
      <c r="AM339" s="304" t="str">
        <f t="shared" si="30"/>
        <v/>
      </c>
      <c r="AN339" s="308" t="str">
        <f t="shared" si="31"/>
        <v/>
      </c>
      <c r="AO339" s="313" t="str">
        <f t="shared" si="32"/>
        <v/>
      </c>
      <c r="AP339" s="304" t="str">
        <f t="shared" si="33"/>
        <v/>
      </c>
      <c r="AQ339" s="308" t="str">
        <f t="shared" si="34"/>
        <v/>
      </c>
      <c r="AR339" s="313" t="str">
        <f t="shared" si="35"/>
        <v/>
      </c>
      <c r="AS339" s="304" t="str">
        <f t="shared" si="36"/>
        <v/>
      </c>
      <c r="AT339" s="308" t="str">
        <f t="shared" si="37"/>
        <v/>
      </c>
      <c r="AU339" s="308" t="str">
        <f t="shared" si="38"/>
        <v/>
      </c>
      <c r="AV339" s="304" t="str">
        <f t="shared" si="39"/>
        <v/>
      </c>
      <c r="AW339" s="308" t="str">
        <f t="shared" si="40"/>
        <v/>
      </c>
      <c r="AX339" s="308" t="str">
        <f t="shared" si="41"/>
        <v/>
      </c>
      <c r="AY339" s="304" t="str">
        <f t="shared" si="42"/>
        <v/>
      </c>
      <c r="AZ339" s="308" t="str">
        <f t="shared" si="43"/>
        <v/>
      </c>
      <c r="BA339" s="313" t="str">
        <f t="shared" si="44"/>
        <v/>
      </c>
      <c r="BB339" s="304" t="str">
        <f t="shared" si="45"/>
        <v/>
      </c>
      <c r="BC339" s="308" t="str">
        <f t="shared" si="46"/>
        <v/>
      </c>
      <c r="BD339" s="308" t="str">
        <f t="shared" si="47"/>
        <v/>
      </c>
    </row>
    <row r="340">
      <c r="A340" s="298"/>
      <c r="B340" s="299"/>
      <c r="C340" s="300"/>
      <c r="D340" s="301" t="str">
        <f>IFERROR(__xludf.DUMMYFUNCTION("if(ISBLANK(A340),"""",GOOGLEFINANCE(A340,""NAME""))"),"")</f>
        <v/>
      </c>
      <c r="E340" s="302">
        <v>5000.0</v>
      </c>
      <c r="F340" s="303" t="str">
        <f>IFERROR(__xludf.DUMMYFUNCTION("if(ISBLANK(A340),"""",GOOGLEFINANCE(A340,""HIGH52""))"),"")</f>
        <v/>
      </c>
      <c r="G340" s="303" t="str">
        <f>IFERROR(__xludf.DUMMYFUNCTION("if(ISBLANK(A340),"""",GOOGLEFINANCE(A340,""LOW52""))"),"")</f>
        <v/>
      </c>
      <c r="H340" s="304" t="str">
        <f>IFERROR(__xludf.DUMMYFUNCTION("if(ISBLANK(A340),"""",GOOGLEFINANCE(A340,""Price""))"),"")</f>
        <v/>
      </c>
      <c r="I340" s="305" t="str">
        <f t="shared" si="1"/>
        <v/>
      </c>
      <c r="J340" s="306" t="str">
        <f t="shared" si="2"/>
        <v/>
      </c>
      <c r="K340" s="307" t="str">
        <f>IFERROR(__xludf.DUMMYFUNCTION("if(ISBLANK(A340),"""",googlefinance(A340,""Marketcap"")/10000000)"),"")</f>
        <v/>
      </c>
      <c r="L340" s="309" t="str">
        <f t="shared" si="3"/>
        <v/>
      </c>
      <c r="M340" s="308" t="str">
        <f t="shared" si="4"/>
        <v/>
      </c>
      <c r="N340" s="309" t="str">
        <f t="shared" si="5"/>
        <v/>
      </c>
      <c r="O340" s="322" t="str">
        <f t="shared" si="6"/>
        <v/>
      </c>
      <c r="P340" s="308" t="str">
        <f t="shared" si="7"/>
        <v/>
      </c>
      <c r="Q340" s="311" t="str">
        <f t="shared" si="8"/>
        <v/>
      </c>
      <c r="R340" s="309" t="str">
        <f t="shared" si="9"/>
        <v/>
      </c>
      <c r="S340" s="308" t="str">
        <f t="shared" si="10"/>
        <v/>
      </c>
      <c r="T340" s="309" t="str">
        <f t="shared" si="11"/>
        <v/>
      </c>
      <c r="U340" s="309" t="str">
        <f t="shared" si="12"/>
        <v/>
      </c>
      <c r="V340" s="308" t="str">
        <f t="shared" si="13"/>
        <v/>
      </c>
      <c r="W340" s="309" t="str">
        <f t="shared" si="14"/>
        <v/>
      </c>
      <c r="X340" s="309" t="str">
        <f t="shared" si="15"/>
        <v/>
      </c>
      <c r="Y340" s="308" t="str">
        <f t="shared" si="16"/>
        <v/>
      </c>
      <c r="Z340" s="309" t="str">
        <f t="shared" si="17"/>
        <v/>
      </c>
      <c r="AA340" s="312" t="str">
        <f t="shared" si="18"/>
        <v/>
      </c>
      <c r="AB340" s="308" t="str">
        <f t="shared" si="19"/>
        <v/>
      </c>
      <c r="AC340" s="308" t="str">
        <f t="shared" si="20"/>
        <v/>
      </c>
      <c r="AD340" s="312" t="str">
        <f t="shared" si="21"/>
        <v/>
      </c>
      <c r="AE340" s="308" t="str">
        <f t="shared" si="22"/>
        <v/>
      </c>
      <c r="AF340" s="313" t="str">
        <f t="shared" si="23"/>
        <v/>
      </c>
      <c r="AG340" s="304" t="str">
        <f t="shared" si="24"/>
        <v/>
      </c>
      <c r="AH340" s="308" t="str">
        <f t="shared" si="25"/>
        <v/>
      </c>
      <c r="AI340" s="313" t="str">
        <f t="shared" si="26"/>
        <v/>
      </c>
      <c r="AJ340" s="304" t="str">
        <f t="shared" si="27"/>
        <v/>
      </c>
      <c r="AK340" s="308" t="str">
        <f t="shared" si="28"/>
        <v/>
      </c>
      <c r="AL340" s="308" t="str">
        <f t="shared" si="29"/>
        <v/>
      </c>
      <c r="AM340" s="304" t="str">
        <f t="shared" si="30"/>
        <v/>
      </c>
      <c r="AN340" s="308" t="str">
        <f t="shared" si="31"/>
        <v/>
      </c>
      <c r="AO340" s="313" t="str">
        <f t="shared" si="32"/>
        <v/>
      </c>
      <c r="AP340" s="304" t="str">
        <f t="shared" si="33"/>
        <v/>
      </c>
      <c r="AQ340" s="308" t="str">
        <f t="shared" si="34"/>
        <v/>
      </c>
      <c r="AR340" s="313" t="str">
        <f t="shared" si="35"/>
        <v/>
      </c>
      <c r="AS340" s="304" t="str">
        <f t="shared" si="36"/>
        <v/>
      </c>
      <c r="AT340" s="308" t="str">
        <f t="shared" si="37"/>
        <v/>
      </c>
      <c r="AU340" s="308" t="str">
        <f t="shared" si="38"/>
        <v/>
      </c>
      <c r="AV340" s="304" t="str">
        <f t="shared" si="39"/>
        <v/>
      </c>
      <c r="AW340" s="308" t="str">
        <f t="shared" si="40"/>
        <v/>
      </c>
      <c r="AX340" s="308" t="str">
        <f t="shared" si="41"/>
        <v/>
      </c>
      <c r="AY340" s="304" t="str">
        <f t="shared" si="42"/>
        <v/>
      </c>
      <c r="AZ340" s="308" t="str">
        <f t="shared" si="43"/>
        <v/>
      </c>
      <c r="BA340" s="313" t="str">
        <f t="shared" si="44"/>
        <v/>
      </c>
      <c r="BB340" s="304" t="str">
        <f t="shared" si="45"/>
        <v/>
      </c>
      <c r="BC340" s="308" t="str">
        <f t="shared" si="46"/>
        <v/>
      </c>
      <c r="BD340" s="308" t="str">
        <f t="shared" si="47"/>
        <v/>
      </c>
    </row>
    <row r="341">
      <c r="A341" s="298"/>
      <c r="B341" s="299"/>
      <c r="C341" s="300"/>
      <c r="D341" s="301" t="str">
        <f>IFERROR(__xludf.DUMMYFUNCTION("if(ISBLANK(A341),"""",GOOGLEFINANCE(A341,""NAME""))"),"")</f>
        <v/>
      </c>
      <c r="E341" s="302">
        <v>5000.0</v>
      </c>
      <c r="F341" s="303" t="str">
        <f>IFERROR(__xludf.DUMMYFUNCTION("if(ISBLANK(A341),"""",GOOGLEFINANCE(A341,""HIGH52""))"),"")</f>
        <v/>
      </c>
      <c r="G341" s="303" t="str">
        <f>IFERROR(__xludf.DUMMYFUNCTION("if(ISBLANK(A341),"""",GOOGLEFINANCE(A341,""LOW52""))"),"")</f>
        <v/>
      </c>
      <c r="H341" s="304" t="str">
        <f>IFERROR(__xludf.DUMMYFUNCTION("if(ISBLANK(A341),"""",GOOGLEFINANCE(A341,""Price""))"),"")</f>
        <v/>
      </c>
      <c r="I341" s="305" t="str">
        <f t="shared" si="1"/>
        <v/>
      </c>
      <c r="J341" s="306" t="str">
        <f t="shared" si="2"/>
        <v/>
      </c>
      <c r="K341" s="307" t="str">
        <f>IFERROR(__xludf.DUMMYFUNCTION("if(ISBLANK(A341),"""",googlefinance(A341,""Marketcap"")/10000000)"),"")</f>
        <v/>
      </c>
      <c r="L341" s="309" t="str">
        <f t="shared" si="3"/>
        <v/>
      </c>
      <c r="M341" s="308" t="str">
        <f t="shared" si="4"/>
        <v/>
      </c>
      <c r="N341" s="309" t="str">
        <f t="shared" si="5"/>
        <v/>
      </c>
      <c r="O341" s="322" t="str">
        <f t="shared" si="6"/>
        <v/>
      </c>
      <c r="P341" s="308" t="str">
        <f t="shared" si="7"/>
        <v/>
      </c>
      <c r="Q341" s="311" t="str">
        <f t="shared" si="8"/>
        <v/>
      </c>
      <c r="R341" s="309" t="str">
        <f t="shared" si="9"/>
        <v/>
      </c>
      <c r="S341" s="308" t="str">
        <f t="shared" si="10"/>
        <v/>
      </c>
      <c r="T341" s="309" t="str">
        <f t="shared" si="11"/>
        <v/>
      </c>
      <c r="U341" s="309" t="str">
        <f t="shared" si="12"/>
        <v/>
      </c>
      <c r="V341" s="308" t="str">
        <f t="shared" si="13"/>
        <v/>
      </c>
      <c r="W341" s="309" t="str">
        <f t="shared" si="14"/>
        <v/>
      </c>
      <c r="X341" s="309" t="str">
        <f t="shared" si="15"/>
        <v/>
      </c>
      <c r="Y341" s="308" t="str">
        <f t="shared" si="16"/>
        <v/>
      </c>
      <c r="Z341" s="309" t="str">
        <f t="shared" si="17"/>
        <v/>
      </c>
      <c r="AA341" s="312" t="str">
        <f t="shared" si="18"/>
        <v/>
      </c>
      <c r="AB341" s="308" t="str">
        <f t="shared" si="19"/>
        <v/>
      </c>
      <c r="AC341" s="308" t="str">
        <f t="shared" si="20"/>
        <v/>
      </c>
      <c r="AD341" s="312" t="str">
        <f t="shared" si="21"/>
        <v/>
      </c>
      <c r="AE341" s="308" t="str">
        <f t="shared" si="22"/>
        <v/>
      </c>
      <c r="AF341" s="313" t="str">
        <f t="shared" si="23"/>
        <v/>
      </c>
      <c r="AG341" s="304" t="str">
        <f t="shared" si="24"/>
        <v/>
      </c>
      <c r="AH341" s="308" t="str">
        <f t="shared" si="25"/>
        <v/>
      </c>
      <c r="AI341" s="313" t="str">
        <f t="shared" si="26"/>
        <v/>
      </c>
      <c r="AJ341" s="304" t="str">
        <f t="shared" si="27"/>
        <v/>
      </c>
      <c r="AK341" s="308" t="str">
        <f t="shared" si="28"/>
        <v/>
      </c>
      <c r="AL341" s="308" t="str">
        <f t="shared" si="29"/>
        <v/>
      </c>
      <c r="AM341" s="304" t="str">
        <f t="shared" si="30"/>
        <v/>
      </c>
      <c r="AN341" s="308" t="str">
        <f t="shared" si="31"/>
        <v/>
      </c>
      <c r="AO341" s="313" t="str">
        <f t="shared" si="32"/>
        <v/>
      </c>
      <c r="AP341" s="304" t="str">
        <f t="shared" si="33"/>
        <v/>
      </c>
      <c r="AQ341" s="308" t="str">
        <f t="shared" si="34"/>
        <v/>
      </c>
      <c r="AR341" s="313" t="str">
        <f t="shared" si="35"/>
        <v/>
      </c>
      <c r="AS341" s="304" t="str">
        <f t="shared" si="36"/>
        <v/>
      </c>
      <c r="AT341" s="308" t="str">
        <f t="shared" si="37"/>
        <v/>
      </c>
      <c r="AU341" s="308" t="str">
        <f t="shared" si="38"/>
        <v/>
      </c>
      <c r="AV341" s="304" t="str">
        <f t="shared" si="39"/>
        <v/>
      </c>
      <c r="AW341" s="308" t="str">
        <f t="shared" si="40"/>
        <v/>
      </c>
      <c r="AX341" s="308" t="str">
        <f t="shared" si="41"/>
        <v/>
      </c>
      <c r="AY341" s="304" t="str">
        <f t="shared" si="42"/>
        <v/>
      </c>
      <c r="AZ341" s="308" t="str">
        <f t="shared" si="43"/>
        <v/>
      </c>
      <c r="BA341" s="313" t="str">
        <f t="shared" si="44"/>
        <v/>
      </c>
      <c r="BB341" s="304" t="str">
        <f t="shared" si="45"/>
        <v/>
      </c>
      <c r="BC341" s="308" t="str">
        <f t="shared" si="46"/>
        <v/>
      </c>
      <c r="BD341" s="308" t="str">
        <f t="shared" si="47"/>
        <v/>
      </c>
    </row>
    <row r="342">
      <c r="A342" s="298"/>
      <c r="B342" s="299"/>
      <c r="C342" s="300"/>
      <c r="D342" s="301" t="str">
        <f>IFERROR(__xludf.DUMMYFUNCTION("if(ISBLANK(A342),"""",GOOGLEFINANCE(A342,""NAME""))"),"")</f>
        <v/>
      </c>
      <c r="E342" s="302">
        <v>5000.0</v>
      </c>
      <c r="F342" s="303" t="str">
        <f>IFERROR(__xludf.DUMMYFUNCTION("if(ISBLANK(A342),"""",GOOGLEFINANCE(A342,""HIGH52""))"),"")</f>
        <v/>
      </c>
      <c r="G342" s="303" t="str">
        <f>IFERROR(__xludf.DUMMYFUNCTION("if(ISBLANK(A342),"""",GOOGLEFINANCE(A342,""LOW52""))"),"")</f>
        <v/>
      </c>
      <c r="H342" s="304" t="str">
        <f>IFERROR(__xludf.DUMMYFUNCTION("if(ISBLANK(A342),"""",GOOGLEFINANCE(A342,""Price""))"),"")</f>
        <v/>
      </c>
      <c r="I342" s="305" t="str">
        <f t="shared" si="1"/>
        <v/>
      </c>
      <c r="J342" s="306" t="str">
        <f t="shared" si="2"/>
        <v/>
      </c>
      <c r="K342" s="307" t="str">
        <f>IFERROR(__xludf.DUMMYFUNCTION("if(ISBLANK(A342),"""",googlefinance(A342,""Marketcap"")/10000000)"),"")</f>
        <v/>
      </c>
      <c r="L342" s="309" t="str">
        <f t="shared" si="3"/>
        <v/>
      </c>
      <c r="M342" s="308" t="str">
        <f t="shared" si="4"/>
        <v/>
      </c>
      <c r="N342" s="309" t="str">
        <f t="shared" si="5"/>
        <v/>
      </c>
      <c r="O342" s="322" t="str">
        <f t="shared" si="6"/>
        <v/>
      </c>
      <c r="P342" s="308" t="str">
        <f t="shared" si="7"/>
        <v/>
      </c>
      <c r="Q342" s="311" t="str">
        <f t="shared" si="8"/>
        <v/>
      </c>
      <c r="R342" s="309" t="str">
        <f t="shared" si="9"/>
        <v/>
      </c>
      <c r="S342" s="308" t="str">
        <f t="shared" si="10"/>
        <v/>
      </c>
      <c r="T342" s="309" t="str">
        <f t="shared" si="11"/>
        <v/>
      </c>
      <c r="U342" s="309" t="str">
        <f t="shared" si="12"/>
        <v/>
      </c>
      <c r="V342" s="308" t="str">
        <f t="shared" si="13"/>
        <v/>
      </c>
      <c r="W342" s="309" t="str">
        <f t="shared" si="14"/>
        <v/>
      </c>
      <c r="X342" s="309" t="str">
        <f t="shared" si="15"/>
        <v/>
      </c>
      <c r="Y342" s="308" t="str">
        <f t="shared" si="16"/>
        <v/>
      </c>
      <c r="Z342" s="309" t="str">
        <f t="shared" si="17"/>
        <v/>
      </c>
      <c r="AA342" s="312" t="str">
        <f t="shared" si="18"/>
        <v/>
      </c>
      <c r="AB342" s="308" t="str">
        <f t="shared" si="19"/>
        <v/>
      </c>
      <c r="AC342" s="308" t="str">
        <f t="shared" si="20"/>
        <v/>
      </c>
      <c r="AD342" s="312" t="str">
        <f t="shared" si="21"/>
        <v/>
      </c>
      <c r="AE342" s="308" t="str">
        <f t="shared" si="22"/>
        <v/>
      </c>
      <c r="AF342" s="313" t="str">
        <f t="shared" si="23"/>
        <v/>
      </c>
      <c r="AG342" s="304" t="str">
        <f t="shared" si="24"/>
        <v/>
      </c>
      <c r="AH342" s="308" t="str">
        <f t="shared" si="25"/>
        <v/>
      </c>
      <c r="AI342" s="313" t="str">
        <f t="shared" si="26"/>
        <v/>
      </c>
      <c r="AJ342" s="304" t="str">
        <f t="shared" si="27"/>
        <v/>
      </c>
      <c r="AK342" s="308" t="str">
        <f t="shared" si="28"/>
        <v/>
      </c>
      <c r="AL342" s="308" t="str">
        <f t="shared" si="29"/>
        <v/>
      </c>
      <c r="AM342" s="304" t="str">
        <f t="shared" si="30"/>
        <v/>
      </c>
      <c r="AN342" s="308" t="str">
        <f t="shared" si="31"/>
        <v/>
      </c>
      <c r="AO342" s="313" t="str">
        <f t="shared" si="32"/>
        <v/>
      </c>
      <c r="AP342" s="304" t="str">
        <f t="shared" si="33"/>
        <v/>
      </c>
      <c r="AQ342" s="308" t="str">
        <f t="shared" si="34"/>
        <v/>
      </c>
      <c r="AR342" s="313" t="str">
        <f t="shared" si="35"/>
        <v/>
      </c>
      <c r="AS342" s="304" t="str">
        <f t="shared" si="36"/>
        <v/>
      </c>
      <c r="AT342" s="308" t="str">
        <f t="shared" si="37"/>
        <v/>
      </c>
      <c r="AU342" s="308" t="str">
        <f t="shared" si="38"/>
        <v/>
      </c>
      <c r="AV342" s="304" t="str">
        <f t="shared" si="39"/>
        <v/>
      </c>
      <c r="AW342" s="308" t="str">
        <f t="shared" si="40"/>
        <v/>
      </c>
      <c r="AX342" s="308" t="str">
        <f t="shared" si="41"/>
        <v/>
      </c>
      <c r="AY342" s="304" t="str">
        <f t="shared" si="42"/>
        <v/>
      </c>
      <c r="AZ342" s="308" t="str">
        <f t="shared" si="43"/>
        <v/>
      </c>
      <c r="BA342" s="313" t="str">
        <f t="shared" si="44"/>
        <v/>
      </c>
      <c r="BB342" s="304" t="str">
        <f t="shared" si="45"/>
        <v/>
      </c>
      <c r="BC342" s="308" t="str">
        <f t="shared" si="46"/>
        <v/>
      </c>
      <c r="BD342" s="308" t="str">
        <f t="shared" si="47"/>
        <v/>
      </c>
    </row>
    <row r="343">
      <c r="A343" s="298"/>
      <c r="B343" s="299"/>
      <c r="C343" s="300"/>
      <c r="D343" s="301" t="str">
        <f>IFERROR(__xludf.DUMMYFUNCTION("if(ISBLANK(A343),"""",GOOGLEFINANCE(A343,""NAME""))"),"")</f>
        <v/>
      </c>
      <c r="E343" s="302">
        <v>5000.0</v>
      </c>
      <c r="F343" s="303" t="str">
        <f>IFERROR(__xludf.DUMMYFUNCTION("if(ISBLANK(A343),"""",GOOGLEFINANCE(A343,""HIGH52""))"),"")</f>
        <v/>
      </c>
      <c r="G343" s="303" t="str">
        <f>IFERROR(__xludf.DUMMYFUNCTION("if(ISBLANK(A343),"""",GOOGLEFINANCE(A343,""LOW52""))"),"")</f>
        <v/>
      </c>
      <c r="H343" s="304" t="str">
        <f>IFERROR(__xludf.DUMMYFUNCTION("if(ISBLANK(A343),"""",GOOGLEFINANCE(A343,""Price""))"),"")</f>
        <v/>
      </c>
      <c r="I343" s="305" t="str">
        <f t="shared" si="1"/>
        <v/>
      </c>
      <c r="J343" s="306" t="str">
        <f t="shared" si="2"/>
        <v/>
      </c>
      <c r="K343" s="307" t="str">
        <f>IFERROR(__xludf.DUMMYFUNCTION("if(ISBLANK(A343),"""",googlefinance(A343,""Marketcap"")/10000000)"),"")</f>
        <v/>
      </c>
      <c r="L343" s="309" t="str">
        <f t="shared" si="3"/>
        <v/>
      </c>
      <c r="M343" s="308" t="str">
        <f t="shared" si="4"/>
        <v/>
      </c>
      <c r="N343" s="309" t="str">
        <f t="shared" si="5"/>
        <v/>
      </c>
      <c r="O343" s="322" t="str">
        <f t="shared" si="6"/>
        <v/>
      </c>
      <c r="P343" s="308" t="str">
        <f t="shared" si="7"/>
        <v/>
      </c>
      <c r="Q343" s="311" t="str">
        <f t="shared" si="8"/>
        <v/>
      </c>
      <c r="R343" s="309" t="str">
        <f t="shared" si="9"/>
        <v/>
      </c>
      <c r="S343" s="308" t="str">
        <f t="shared" si="10"/>
        <v/>
      </c>
      <c r="T343" s="309" t="str">
        <f t="shared" si="11"/>
        <v/>
      </c>
      <c r="U343" s="309" t="str">
        <f t="shared" si="12"/>
        <v/>
      </c>
      <c r="V343" s="308" t="str">
        <f t="shared" si="13"/>
        <v/>
      </c>
      <c r="W343" s="309" t="str">
        <f t="shared" si="14"/>
        <v/>
      </c>
      <c r="X343" s="309" t="str">
        <f t="shared" si="15"/>
        <v/>
      </c>
      <c r="Y343" s="308" t="str">
        <f t="shared" si="16"/>
        <v/>
      </c>
      <c r="Z343" s="309" t="str">
        <f t="shared" si="17"/>
        <v/>
      </c>
      <c r="AA343" s="312" t="str">
        <f t="shared" si="18"/>
        <v/>
      </c>
      <c r="AB343" s="308" t="str">
        <f t="shared" si="19"/>
        <v/>
      </c>
      <c r="AC343" s="308" t="str">
        <f t="shared" si="20"/>
        <v/>
      </c>
      <c r="AD343" s="312" t="str">
        <f t="shared" si="21"/>
        <v/>
      </c>
      <c r="AE343" s="308" t="str">
        <f t="shared" si="22"/>
        <v/>
      </c>
      <c r="AF343" s="313" t="str">
        <f t="shared" si="23"/>
        <v/>
      </c>
      <c r="AG343" s="304" t="str">
        <f t="shared" si="24"/>
        <v/>
      </c>
      <c r="AH343" s="308" t="str">
        <f t="shared" si="25"/>
        <v/>
      </c>
      <c r="AI343" s="313" t="str">
        <f t="shared" si="26"/>
        <v/>
      </c>
      <c r="AJ343" s="304" t="str">
        <f t="shared" si="27"/>
        <v/>
      </c>
      <c r="AK343" s="308" t="str">
        <f t="shared" si="28"/>
        <v/>
      </c>
      <c r="AL343" s="308" t="str">
        <f t="shared" si="29"/>
        <v/>
      </c>
      <c r="AM343" s="304" t="str">
        <f t="shared" si="30"/>
        <v/>
      </c>
      <c r="AN343" s="308" t="str">
        <f t="shared" si="31"/>
        <v/>
      </c>
      <c r="AO343" s="313" t="str">
        <f t="shared" si="32"/>
        <v/>
      </c>
      <c r="AP343" s="304" t="str">
        <f t="shared" si="33"/>
        <v/>
      </c>
      <c r="AQ343" s="308" t="str">
        <f t="shared" si="34"/>
        <v/>
      </c>
      <c r="AR343" s="313" t="str">
        <f t="shared" si="35"/>
        <v/>
      </c>
      <c r="AS343" s="304" t="str">
        <f t="shared" si="36"/>
        <v/>
      </c>
      <c r="AT343" s="308" t="str">
        <f t="shared" si="37"/>
        <v/>
      </c>
      <c r="AU343" s="308" t="str">
        <f t="shared" si="38"/>
        <v/>
      </c>
      <c r="AV343" s="304" t="str">
        <f t="shared" si="39"/>
        <v/>
      </c>
      <c r="AW343" s="308" t="str">
        <f t="shared" si="40"/>
        <v/>
      </c>
      <c r="AX343" s="308" t="str">
        <f t="shared" si="41"/>
        <v/>
      </c>
      <c r="AY343" s="304" t="str">
        <f t="shared" si="42"/>
        <v/>
      </c>
      <c r="AZ343" s="308" t="str">
        <f t="shared" si="43"/>
        <v/>
      </c>
      <c r="BA343" s="313" t="str">
        <f t="shared" si="44"/>
        <v/>
      </c>
      <c r="BB343" s="304" t="str">
        <f t="shared" si="45"/>
        <v/>
      </c>
      <c r="BC343" s="308" t="str">
        <f t="shared" si="46"/>
        <v/>
      </c>
      <c r="BD343" s="308" t="str">
        <f t="shared" si="47"/>
        <v/>
      </c>
    </row>
    <row r="344">
      <c r="A344" s="298"/>
      <c r="B344" s="299"/>
      <c r="C344" s="300"/>
      <c r="D344" s="301" t="str">
        <f>IFERROR(__xludf.DUMMYFUNCTION("if(ISBLANK(A344),"""",GOOGLEFINANCE(A344,""NAME""))"),"")</f>
        <v/>
      </c>
      <c r="E344" s="302">
        <v>5000.0</v>
      </c>
      <c r="F344" s="303" t="str">
        <f>IFERROR(__xludf.DUMMYFUNCTION("if(ISBLANK(A344),"""",GOOGLEFINANCE(A344,""HIGH52""))"),"")</f>
        <v/>
      </c>
      <c r="G344" s="303" t="str">
        <f>IFERROR(__xludf.DUMMYFUNCTION("if(ISBLANK(A344),"""",GOOGLEFINANCE(A344,""LOW52""))"),"")</f>
        <v/>
      </c>
      <c r="H344" s="304" t="str">
        <f>IFERROR(__xludf.DUMMYFUNCTION("if(ISBLANK(A344),"""",GOOGLEFINANCE(A344,""Price""))"),"")</f>
        <v/>
      </c>
      <c r="I344" s="305" t="str">
        <f t="shared" si="1"/>
        <v/>
      </c>
      <c r="J344" s="306" t="str">
        <f t="shared" si="2"/>
        <v/>
      </c>
      <c r="K344" s="307" t="str">
        <f>IFERROR(__xludf.DUMMYFUNCTION("if(ISBLANK(A344),"""",googlefinance(A344,""Marketcap"")/10000000)"),"")</f>
        <v/>
      </c>
      <c r="L344" s="309" t="str">
        <f t="shared" si="3"/>
        <v/>
      </c>
      <c r="M344" s="308" t="str">
        <f t="shared" si="4"/>
        <v/>
      </c>
      <c r="N344" s="309" t="str">
        <f t="shared" si="5"/>
        <v/>
      </c>
      <c r="O344" s="322" t="str">
        <f t="shared" si="6"/>
        <v/>
      </c>
      <c r="P344" s="308" t="str">
        <f t="shared" si="7"/>
        <v/>
      </c>
      <c r="Q344" s="311" t="str">
        <f t="shared" si="8"/>
        <v/>
      </c>
      <c r="R344" s="309" t="str">
        <f t="shared" si="9"/>
        <v/>
      </c>
      <c r="S344" s="308" t="str">
        <f t="shared" si="10"/>
        <v/>
      </c>
      <c r="T344" s="309" t="str">
        <f t="shared" si="11"/>
        <v/>
      </c>
      <c r="U344" s="309" t="str">
        <f t="shared" si="12"/>
        <v/>
      </c>
      <c r="V344" s="308" t="str">
        <f t="shared" si="13"/>
        <v/>
      </c>
      <c r="W344" s="309" t="str">
        <f t="shared" si="14"/>
        <v/>
      </c>
      <c r="X344" s="309" t="str">
        <f t="shared" si="15"/>
        <v/>
      </c>
      <c r="Y344" s="308" t="str">
        <f t="shared" si="16"/>
        <v/>
      </c>
      <c r="Z344" s="309" t="str">
        <f t="shared" si="17"/>
        <v/>
      </c>
      <c r="AA344" s="312" t="str">
        <f t="shared" si="18"/>
        <v/>
      </c>
      <c r="AB344" s="308" t="str">
        <f t="shared" si="19"/>
        <v/>
      </c>
      <c r="AC344" s="308" t="str">
        <f t="shared" si="20"/>
        <v/>
      </c>
      <c r="AD344" s="312" t="str">
        <f t="shared" si="21"/>
        <v/>
      </c>
      <c r="AE344" s="308" t="str">
        <f t="shared" si="22"/>
        <v/>
      </c>
      <c r="AF344" s="313" t="str">
        <f t="shared" si="23"/>
        <v/>
      </c>
      <c r="AG344" s="304" t="str">
        <f t="shared" si="24"/>
        <v/>
      </c>
      <c r="AH344" s="308" t="str">
        <f t="shared" si="25"/>
        <v/>
      </c>
      <c r="AI344" s="313" t="str">
        <f t="shared" si="26"/>
        <v/>
      </c>
      <c r="AJ344" s="304" t="str">
        <f t="shared" si="27"/>
        <v/>
      </c>
      <c r="AK344" s="308" t="str">
        <f t="shared" si="28"/>
        <v/>
      </c>
      <c r="AL344" s="308" t="str">
        <f t="shared" si="29"/>
        <v/>
      </c>
      <c r="AM344" s="304" t="str">
        <f t="shared" si="30"/>
        <v/>
      </c>
      <c r="AN344" s="308" t="str">
        <f t="shared" si="31"/>
        <v/>
      </c>
      <c r="AO344" s="313" t="str">
        <f t="shared" si="32"/>
        <v/>
      </c>
      <c r="AP344" s="304" t="str">
        <f t="shared" si="33"/>
        <v/>
      </c>
      <c r="AQ344" s="308" t="str">
        <f t="shared" si="34"/>
        <v/>
      </c>
      <c r="AR344" s="313" t="str">
        <f t="shared" si="35"/>
        <v/>
      </c>
      <c r="AS344" s="304" t="str">
        <f t="shared" si="36"/>
        <v/>
      </c>
      <c r="AT344" s="308" t="str">
        <f t="shared" si="37"/>
        <v/>
      </c>
      <c r="AU344" s="308" t="str">
        <f t="shared" si="38"/>
        <v/>
      </c>
      <c r="AV344" s="304" t="str">
        <f t="shared" si="39"/>
        <v/>
      </c>
      <c r="AW344" s="308" t="str">
        <f t="shared" si="40"/>
        <v/>
      </c>
      <c r="AX344" s="308" t="str">
        <f t="shared" si="41"/>
        <v/>
      </c>
      <c r="AY344" s="304" t="str">
        <f t="shared" si="42"/>
        <v/>
      </c>
      <c r="AZ344" s="308" t="str">
        <f t="shared" si="43"/>
        <v/>
      </c>
      <c r="BA344" s="313" t="str">
        <f t="shared" si="44"/>
        <v/>
      </c>
      <c r="BB344" s="304" t="str">
        <f t="shared" si="45"/>
        <v/>
      </c>
      <c r="BC344" s="308" t="str">
        <f t="shared" si="46"/>
        <v/>
      </c>
      <c r="BD344" s="308" t="str">
        <f t="shared" si="47"/>
        <v/>
      </c>
    </row>
    <row r="345">
      <c r="A345" s="298"/>
      <c r="B345" s="299"/>
      <c r="C345" s="300"/>
      <c r="D345" s="301" t="str">
        <f>IFERROR(__xludf.DUMMYFUNCTION("if(ISBLANK(A345),"""",GOOGLEFINANCE(A345,""NAME""))"),"")</f>
        <v/>
      </c>
      <c r="E345" s="302">
        <v>5000.0</v>
      </c>
      <c r="F345" s="303" t="str">
        <f>IFERROR(__xludf.DUMMYFUNCTION("if(ISBLANK(A345),"""",GOOGLEFINANCE(A345,""HIGH52""))"),"")</f>
        <v/>
      </c>
      <c r="G345" s="303" t="str">
        <f>IFERROR(__xludf.DUMMYFUNCTION("if(ISBLANK(A345),"""",GOOGLEFINANCE(A345,""LOW52""))"),"")</f>
        <v/>
      </c>
      <c r="H345" s="304" t="str">
        <f>IFERROR(__xludf.DUMMYFUNCTION("if(ISBLANK(A345),"""",GOOGLEFINANCE(A345,""Price""))"),"")</f>
        <v/>
      </c>
      <c r="I345" s="305" t="str">
        <f t="shared" si="1"/>
        <v/>
      </c>
      <c r="J345" s="306" t="str">
        <f t="shared" si="2"/>
        <v/>
      </c>
      <c r="K345" s="307" t="str">
        <f>IFERROR(__xludf.DUMMYFUNCTION("if(ISBLANK(A345),"""",googlefinance(A345,""Marketcap"")/10000000)"),"")</f>
        <v/>
      </c>
      <c r="L345" s="309" t="str">
        <f t="shared" si="3"/>
        <v/>
      </c>
      <c r="M345" s="308" t="str">
        <f t="shared" si="4"/>
        <v/>
      </c>
      <c r="N345" s="309" t="str">
        <f t="shared" si="5"/>
        <v/>
      </c>
      <c r="O345" s="322" t="str">
        <f t="shared" si="6"/>
        <v/>
      </c>
      <c r="P345" s="308" t="str">
        <f t="shared" si="7"/>
        <v/>
      </c>
      <c r="Q345" s="311" t="str">
        <f t="shared" si="8"/>
        <v/>
      </c>
      <c r="R345" s="309" t="str">
        <f t="shared" si="9"/>
        <v/>
      </c>
      <c r="S345" s="308" t="str">
        <f t="shared" si="10"/>
        <v/>
      </c>
      <c r="T345" s="309" t="str">
        <f t="shared" si="11"/>
        <v/>
      </c>
      <c r="U345" s="309" t="str">
        <f t="shared" si="12"/>
        <v/>
      </c>
      <c r="V345" s="308" t="str">
        <f t="shared" si="13"/>
        <v/>
      </c>
      <c r="W345" s="309" t="str">
        <f t="shared" si="14"/>
        <v/>
      </c>
      <c r="X345" s="309" t="str">
        <f t="shared" si="15"/>
        <v/>
      </c>
      <c r="Y345" s="308" t="str">
        <f t="shared" si="16"/>
        <v/>
      </c>
      <c r="Z345" s="309" t="str">
        <f t="shared" si="17"/>
        <v/>
      </c>
      <c r="AA345" s="312" t="str">
        <f t="shared" si="18"/>
        <v/>
      </c>
      <c r="AB345" s="308" t="str">
        <f t="shared" si="19"/>
        <v/>
      </c>
      <c r="AC345" s="308" t="str">
        <f t="shared" si="20"/>
        <v/>
      </c>
      <c r="AD345" s="312" t="str">
        <f t="shared" si="21"/>
        <v/>
      </c>
      <c r="AE345" s="308" t="str">
        <f t="shared" si="22"/>
        <v/>
      </c>
      <c r="AF345" s="313" t="str">
        <f t="shared" si="23"/>
        <v/>
      </c>
      <c r="AG345" s="304" t="str">
        <f t="shared" si="24"/>
        <v/>
      </c>
      <c r="AH345" s="308" t="str">
        <f t="shared" si="25"/>
        <v/>
      </c>
      <c r="AI345" s="313" t="str">
        <f t="shared" si="26"/>
        <v/>
      </c>
      <c r="AJ345" s="304" t="str">
        <f t="shared" si="27"/>
        <v/>
      </c>
      <c r="AK345" s="308" t="str">
        <f t="shared" si="28"/>
        <v/>
      </c>
      <c r="AL345" s="308" t="str">
        <f t="shared" si="29"/>
        <v/>
      </c>
      <c r="AM345" s="304" t="str">
        <f t="shared" si="30"/>
        <v/>
      </c>
      <c r="AN345" s="308" t="str">
        <f t="shared" si="31"/>
        <v/>
      </c>
      <c r="AO345" s="313" t="str">
        <f t="shared" si="32"/>
        <v/>
      </c>
      <c r="AP345" s="304" t="str">
        <f t="shared" si="33"/>
        <v/>
      </c>
      <c r="AQ345" s="308" t="str">
        <f t="shared" si="34"/>
        <v/>
      </c>
      <c r="AR345" s="313" t="str">
        <f t="shared" si="35"/>
        <v/>
      </c>
      <c r="AS345" s="304" t="str">
        <f t="shared" si="36"/>
        <v/>
      </c>
      <c r="AT345" s="308" t="str">
        <f t="shared" si="37"/>
        <v/>
      </c>
      <c r="AU345" s="308" t="str">
        <f t="shared" si="38"/>
        <v/>
      </c>
      <c r="AV345" s="304" t="str">
        <f t="shared" si="39"/>
        <v/>
      </c>
      <c r="AW345" s="308" t="str">
        <f t="shared" si="40"/>
        <v/>
      </c>
      <c r="AX345" s="308" t="str">
        <f t="shared" si="41"/>
        <v/>
      </c>
      <c r="AY345" s="304" t="str">
        <f t="shared" si="42"/>
        <v/>
      </c>
      <c r="AZ345" s="308" t="str">
        <f t="shared" si="43"/>
        <v/>
      </c>
      <c r="BA345" s="313" t="str">
        <f t="shared" si="44"/>
        <v/>
      </c>
      <c r="BB345" s="304" t="str">
        <f t="shared" si="45"/>
        <v/>
      </c>
      <c r="BC345" s="308" t="str">
        <f t="shared" si="46"/>
        <v/>
      </c>
      <c r="BD345" s="308" t="str">
        <f t="shared" si="47"/>
        <v/>
      </c>
    </row>
    <row r="346">
      <c r="A346" s="298"/>
      <c r="B346" s="299"/>
      <c r="C346" s="300"/>
      <c r="D346" s="301" t="str">
        <f>IFERROR(__xludf.DUMMYFUNCTION("if(ISBLANK(A346),"""",GOOGLEFINANCE(A346,""NAME""))"),"")</f>
        <v/>
      </c>
      <c r="E346" s="302">
        <v>5000.0</v>
      </c>
      <c r="F346" s="303" t="str">
        <f>IFERROR(__xludf.DUMMYFUNCTION("if(ISBLANK(A346),"""",GOOGLEFINANCE(A346,""HIGH52""))"),"")</f>
        <v/>
      </c>
      <c r="G346" s="303" t="str">
        <f>IFERROR(__xludf.DUMMYFUNCTION("if(ISBLANK(A346),"""",GOOGLEFINANCE(A346,""LOW52""))"),"")</f>
        <v/>
      </c>
      <c r="H346" s="304" t="str">
        <f>IFERROR(__xludf.DUMMYFUNCTION("if(ISBLANK(A346),"""",GOOGLEFINANCE(A346,""Price""))"),"")</f>
        <v/>
      </c>
      <c r="I346" s="305" t="str">
        <f t="shared" si="1"/>
        <v/>
      </c>
      <c r="J346" s="306" t="str">
        <f t="shared" si="2"/>
        <v/>
      </c>
      <c r="K346" s="307" t="str">
        <f>IFERROR(__xludf.DUMMYFUNCTION("if(ISBLANK(A346),"""",googlefinance(A346,""Marketcap"")/10000000)"),"")</f>
        <v/>
      </c>
      <c r="L346" s="309" t="str">
        <f t="shared" si="3"/>
        <v/>
      </c>
      <c r="M346" s="308" t="str">
        <f t="shared" si="4"/>
        <v/>
      </c>
      <c r="N346" s="309" t="str">
        <f t="shared" si="5"/>
        <v/>
      </c>
      <c r="O346" s="322" t="str">
        <f t="shared" si="6"/>
        <v/>
      </c>
      <c r="P346" s="308" t="str">
        <f t="shared" si="7"/>
        <v/>
      </c>
      <c r="Q346" s="311" t="str">
        <f t="shared" si="8"/>
        <v/>
      </c>
      <c r="R346" s="309" t="str">
        <f t="shared" si="9"/>
        <v/>
      </c>
      <c r="S346" s="308" t="str">
        <f t="shared" si="10"/>
        <v/>
      </c>
      <c r="T346" s="309" t="str">
        <f t="shared" si="11"/>
        <v/>
      </c>
      <c r="U346" s="309" t="str">
        <f t="shared" si="12"/>
        <v/>
      </c>
      <c r="V346" s="308" t="str">
        <f t="shared" si="13"/>
        <v/>
      </c>
      <c r="W346" s="309" t="str">
        <f t="shared" si="14"/>
        <v/>
      </c>
      <c r="X346" s="309" t="str">
        <f t="shared" si="15"/>
        <v/>
      </c>
      <c r="Y346" s="308" t="str">
        <f t="shared" si="16"/>
        <v/>
      </c>
      <c r="Z346" s="309" t="str">
        <f t="shared" si="17"/>
        <v/>
      </c>
      <c r="AA346" s="312" t="str">
        <f t="shared" si="18"/>
        <v/>
      </c>
      <c r="AB346" s="308" t="str">
        <f t="shared" si="19"/>
        <v/>
      </c>
      <c r="AC346" s="308" t="str">
        <f t="shared" si="20"/>
        <v/>
      </c>
      <c r="AD346" s="312" t="str">
        <f t="shared" si="21"/>
        <v/>
      </c>
      <c r="AE346" s="308" t="str">
        <f t="shared" si="22"/>
        <v/>
      </c>
      <c r="AF346" s="313" t="str">
        <f t="shared" si="23"/>
        <v/>
      </c>
      <c r="AG346" s="304" t="str">
        <f t="shared" si="24"/>
        <v/>
      </c>
      <c r="AH346" s="308" t="str">
        <f t="shared" si="25"/>
        <v/>
      </c>
      <c r="AI346" s="313" t="str">
        <f t="shared" si="26"/>
        <v/>
      </c>
      <c r="AJ346" s="304" t="str">
        <f t="shared" si="27"/>
        <v/>
      </c>
      <c r="AK346" s="308" t="str">
        <f t="shared" si="28"/>
        <v/>
      </c>
      <c r="AL346" s="308" t="str">
        <f t="shared" si="29"/>
        <v/>
      </c>
      <c r="AM346" s="304" t="str">
        <f t="shared" si="30"/>
        <v/>
      </c>
      <c r="AN346" s="308" t="str">
        <f t="shared" si="31"/>
        <v/>
      </c>
      <c r="AO346" s="313" t="str">
        <f t="shared" si="32"/>
        <v/>
      </c>
      <c r="AP346" s="304" t="str">
        <f t="shared" si="33"/>
        <v/>
      </c>
      <c r="AQ346" s="308" t="str">
        <f t="shared" si="34"/>
        <v/>
      </c>
      <c r="AR346" s="313" t="str">
        <f t="shared" si="35"/>
        <v/>
      </c>
      <c r="AS346" s="304" t="str">
        <f t="shared" si="36"/>
        <v/>
      </c>
      <c r="AT346" s="308" t="str">
        <f t="shared" si="37"/>
        <v/>
      </c>
      <c r="AU346" s="308" t="str">
        <f t="shared" si="38"/>
        <v/>
      </c>
      <c r="AV346" s="304" t="str">
        <f t="shared" si="39"/>
        <v/>
      </c>
      <c r="AW346" s="308" t="str">
        <f t="shared" si="40"/>
        <v/>
      </c>
      <c r="AX346" s="308" t="str">
        <f t="shared" si="41"/>
        <v/>
      </c>
      <c r="AY346" s="304" t="str">
        <f t="shared" si="42"/>
        <v/>
      </c>
      <c r="AZ346" s="308" t="str">
        <f t="shared" si="43"/>
        <v/>
      </c>
      <c r="BA346" s="313" t="str">
        <f t="shared" si="44"/>
        <v/>
      </c>
      <c r="BB346" s="304" t="str">
        <f t="shared" si="45"/>
        <v/>
      </c>
      <c r="BC346" s="308" t="str">
        <f t="shared" si="46"/>
        <v/>
      </c>
      <c r="BD346" s="308" t="str">
        <f t="shared" si="47"/>
        <v/>
      </c>
    </row>
    <row r="347">
      <c r="A347" s="298"/>
      <c r="B347" s="299"/>
      <c r="C347" s="300"/>
      <c r="D347" s="301" t="str">
        <f>IFERROR(__xludf.DUMMYFUNCTION("if(ISBLANK(A347),"""",GOOGLEFINANCE(A347,""NAME""))"),"")</f>
        <v/>
      </c>
      <c r="E347" s="302">
        <v>5000.0</v>
      </c>
      <c r="F347" s="303" t="str">
        <f>IFERROR(__xludf.DUMMYFUNCTION("if(ISBLANK(A347),"""",GOOGLEFINANCE(A347,""HIGH52""))"),"")</f>
        <v/>
      </c>
      <c r="G347" s="303" t="str">
        <f>IFERROR(__xludf.DUMMYFUNCTION("if(ISBLANK(A347),"""",GOOGLEFINANCE(A347,""LOW52""))"),"")</f>
        <v/>
      </c>
      <c r="H347" s="304" t="str">
        <f>IFERROR(__xludf.DUMMYFUNCTION("if(ISBLANK(A347),"""",GOOGLEFINANCE(A347,""Price""))"),"")</f>
        <v/>
      </c>
      <c r="I347" s="305" t="str">
        <f t="shared" si="1"/>
        <v/>
      </c>
      <c r="J347" s="306" t="str">
        <f t="shared" si="2"/>
        <v/>
      </c>
      <c r="K347" s="307" t="str">
        <f>IFERROR(__xludf.DUMMYFUNCTION("if(ISBLANK(A347),"""",googlefinance(A347,""Marketcap"")/10000000)"),"")</f>
        <v/>
      </c>
      <c r="L347" s="309" t="str">
        <f t="shared" si="3"/>
        <v/>
      </c>
      <c r="M347" s="308" t="str">
        <f t="shared" si="4"/>
        <v/>
      </c>
      <c r="N347" s="309" t="str">
        <f t="shared" si="5"/>
        <v/>
      </c>
      <c r="O347" s="322" t="str">
        <f t="shared" si="6"/>
        <v/>
      </c>
      <c r="P347" s="308" t="str">
        <f t="shared" si="7"/>
        <v/>
      </c>
      <c r="Q347" s="311" t="str">
        <f t="shared" si="8"/>
        <v/>
      </c>
      <c r="R347" s="309" t="str">
        <f t="shared" si="9"/>
        <v/>
      </c>
      <c r="S347" s="308" t="str">
        <f t="shared" si="10"/>
        <v/>
      </c>
      <c r="T347" s="309" t="str">
        <f t="shared" si="11"/>
        <v/>
      </c>
      <c r="U347" s="309" t="str">
        <f t="shared" si="12"/>
        <v/>
      </c>
      <c r="V347" s="308" t="str">
        <f t="shared" si="13"/>
        <v/>
      </c>
      <c r="W347" s="309" t="str">
        <f t="shared" si="14"/>
        <v/>
      </c>
      <c r="X347" s="309" t="str">
        <f t="shared" si="15"/>
        <v/>
      </c>
      <c r="Y347" s="308" t="str">
        <f t="shared" si="16"/>
        <v/>
      </c>
      <c r="Z347" s="309" t="str">
        <f t="shared" si="17"/>
        <v/>
      </c>
      <c r="AA347" s="312" t="str">
        <f t="shared" si="18"/>
        <v/>
      </c>
      <c r="AB347" s="308" t="str">
        <f t="shared" si="19"/>
        <v/>
      </c>
      <c r="AC347" s="308" t="str">
        <f t="shared" si="20"/>
        <v/>
      </c>
      <c r="AD347" s="312" t="str">
        <f t="shared" si="21"/>
        <v/>
      </c>
      <c r="AE347" s="308" t="str">
        <f t="shared" si="22"/>
        <v/>
      </c>
      <c r="AF347" s="313" t="str">
        <f t="shared" si="23"/>
        <v/>
      </c>
      <c r="AG347" s="304" t="str">
        <f t="shared" si="24"/>
        <v/>
      </c>
      <c r="AH347" s="308" t="str">
        <f t="shared" si="25"/>
        <v/>
      </c>
      <c r="AI347" s="313" t="str">
        <f t="shared" si="26"/>
        <v/>
      </c>
      <c r="AJ347" s="304" t="str">
        <f t="shared" si="27"/>
        <v/>
      </c>
      <c r="AK347" s="308" t="str">
        <f t="shared" si="28"/>
        <v/>
      </c>
      <c r="AL347" s="308" t="str">
        <f t="shared" si="29"/>
        <v/>
      </c>
      <c r="AM347" s="304" t="str">
        <f t="shared" si="30"/>
        <v/>
      </c>
      <c r="AN347" s="308" t="str">
        <f t="shared" si="31"/>
        <v/>
      </c>
      <c r="AO347" s="313" t="str">
        <f t="shared" si="32"/>
        <v/>
      </c>
      <c r="AP347" s="304" t="str">
        <f t="shared" si="33"/>
        <v/>
      </c>
      <c r="AQ347" s="308" t="str">
        <f t="shared" si="34"/>
        <v/>
      </c>
      <c r="AR347" s="313" t="str">
        <f t="shared" si="35"/>
        <v/>
      </c>
      <c r="AS347" s="304" t="str">
        <f t="shared" si="36"/>
        <v/>
      </c>
      <c r="AT347" s="308" t="str">
        <f t="shared" si="37"/>
        <v/>
      </c>
      <c r="AU347" s="308" t="str">
        <f t="shared" si="38"/>
        <v/>
      </c>
      <c r="AV347" s="304" t="str">
        <f t="shared" si="39"/>
        <v/>
      </c>
      <c r="AW347" s="308" t="str">
        <f t="shared" si="40"/>
        <v/>
      </c>
      <c r="AX347" s="308" t="str">
        <f t="shared" si="41"/>
        <v/>
      </c>
      <c r="AY347" s="304" t="str">
        <f t="shared" si="42"/>
        <v/>
      </c>
      <c r="AZ347" s="308" t="str">
        <f t="shared" si="43"/>
        <v/>
      </c>
      <c r="BA347" s="313" t="str">
        <f t="shared" si="44"/>
        <v/>
      </c>
      <c r="BB347" s="304" t="str">
        <f t="shared" si="45"/>
        <v/>
      </c>
      <c r="BC347" s="308" t="str">
        <f t="shared" si="46"/>
        <v/>
      </c>
      <c r="BD347" s="308" t="str">
        <f t="shared" si="47"/>
        <v/>
      </c>
    </row>
    <row r="348">
      <c r="A348" s="298"/>
      <c r="B348" s="299"/>
      <c r="C348" s="300"/>
      <c r="D348" s="301" t="str">
        <f>IFERROR(__xludf.DUMMYFUNCTION("if(ISBLANK(A348),"""",GOOGLEFINANCE(A348,""NAME""))"),"")</f>
        <v/>
      </c>
      <c r="E348" s="302">
        <v>5000.0</v>
      </c>
      <c r="F348" s="303" t="str">
        <f>IFERROR(__xludf.DUMMYFUNCTION("if(ISBLANK(A348),"""",GOOGLEFINANCE(A348,""HIGH52""))"),"")</f>
        <v/>
      </c>
      <c r="G348" s="303" t="str">
        <f>IFERROR(__xludf.DUMMYFUNCTION("if(ISBLANK(A348),"""",GOOGLEFINANCE(A348,""LOW52""))"),"")</f>
        <v/>
      </c>
      <c r="H348" s="304" t="str">
        <f>IFERROR(__xludf.DUMMYFUNCTION("if(ISBLANK(A348),"""",GOOGLEFINANCE(A348,""Price""))"),"")</f>
        <v/>
      </c>
      <c r="I348" s="305" t="str">
        <f t="shared" si="1"/>
        <v/>
      </c>
      <c r="J348" s="306" t="str">
        <f t="shared" si="2"/>
        <v/>
      </c>
      <c r="K348" s="307" t="str">
        <f>IFERROR(__xludf.DUMMYFUNCTION("if(ISBLANK(A348),"""",googlefinance(A348,""Marketcap"")/10000000)"),"")</f>
        <v/>
      </c>
      <c r="L348" s="309" t="str">
        <f t="shared" si="3"/>
        <v/>
      </c>
      <c r="M348" s="308" t="str">
        <f t="shared" si="4"/>
        <v/>
      </c>
      <c r="N348" s="309" t="str">
        <f t="shared" si="5"/>
        <v/>
      </c>
      <c r="O348" s="322" t="str">
        <f t="shared" si="6"/>
        <v/>
      </c>
      <c r="P348" s="308" t="str">
        <f t="shared" si="7"/>
        <v/>
      </c>
      <c r="Q348" s="311" t="str">
        <f t="shared" si="8"/>
        <v/>
      </c>
      <c r="R348" s="309" t="str">
        <f t="shared" si="9"/>
        <v/>
      </c>
      <c r="S348" s="308" t="str">
        <f t="shared" si="10"/>
        <v/>
      </c>
      <c r="T348" s="309" t="str">
        <f t="shared" si="11"/>
        <v/>
      </c>
      <c r="U348" s="309" t="str">
        <f t="shared" si="12"/>
        <v/>
      </c>
      <c r="V348" s="308" t="str">
        <f t="shared" si="13"/>
        <v/>
      </c>
      <c r="W348" s="309" t="str">
        <f t="shared" si="14"/>
        <v/>
      </c>
      <c r="X348" s="309" t="str">
        <f t="shared" si="15"/>
        <v/>
      </c>
      <c r="Y348" s="308" t="str">
        <f t="shared" si="16"/>
        <v/>
      </c>
      <c r="Z348" s="309" t="str">
        <f t="shared" si="17"/>
        <v/>
      </c>
      <c r="AA348" s="312" t="str">
        <f t="shared" si="18"/>
        <v/>
      </c>
      <c r="AB348" s="308" t="str">
        <f t="shared" si="19"/>
        <v/>
      </c>
      <c r="AC348" s="308" t="str">
        <f t="shared" si="20"/>
        <v/>
      </c>
      <c r="AD348" s="312" t="str">
        <f t="shared" si="21"/>
        <v/>
      </c>
      <c r="AE348" s="308" t="str">
        <f t="shared" si="22"/>
        <v/>
      </c>
      <c r="AF348" s="313" t="str">
        <f t="shared" si="23"/>
        <v/>
      </c>
      <c r="AG348" s="304" t="str">
        <f t="shared" si="24"/>
        <v/>
      </c>
      <c r="AH348" s="308" t="str">
        <f t="shared" si="25"/>
        <v/>
      </c>
      <c r="AI348" s="313" t="str">
        <f t="shared" si="26"/>
        <v/>
      </c>
      <c r="AJ348" s="304" t="str">
        <f t="shared" si="27"/>
        <v/>
      </c>
      <c r="AK348" s="308" t="str">
        <f t="shared" si="28"/>
        <v/>
      </c>
      <c r="AL348" s="308" t="str">
        <f t="shared" si="29"/>
        <v/>
      </c>
      <c r="AM348" s="304" t="str">
        <f t="shared" si="30"/>
        <v/>
      </c>
      <c r="AN348" s="308" t="str">
        <f t="shared" si="31"/>
        <v/>
      </c>
      <c r="AO348" s="313" t="str">
        <f t="shared" si="32"/>
        <v/>
      </c>
      <c r="AP348" s="304" t="str">
        <f t="shared" si="33"/>
        <v/>
      </c>
      <c r="AQ348" s="308" t="str">
        <f t="shared" si="34"/>
        <v/>
      </c>
      <c r="AR348" s="313" t="str">
        <f t="shared" si="35"/>
        <v/>
      </c>
      <c r="AS348" s="304" t="str">
        <f t="shared" si="36"/>
        <v/>
      </c>
      <c r="AT348" s="308" t="str">
        <f t="shared" si="37"/>
        <v/>
      </c>
      <c r="AU348" s="308" t="str">
        <f t="shared" si="38"/>
        <v/>
      </c>
      <c r="AV348" s="304" t="str">
        <f t="shared" si="39"/>
        <v/>
      </c>
      <c r="AW348" s="308" t="str">
        <f t="shared" si="40"/>
        <v/>
      </c>
      <c r="AX348" s="308" t="str">
        <f t="shared" si="41"/>
        <v/>
      </c>
      <c r="AY348" s="304" t="str">
        <f t="shared" si="42"/>
        <v/>
      </c>
      <c r="AZ348" s="308" t="str">
        <f t="shared" si="43"/>
        <v/>
      </c>
      <c r="BA348" s="313" t="str">
        <f t="shared" si="44"/>
        <v/>
      </c>
      <c r="BB348" s="304" t="str">
        <f t="shared" si="45"/>
        <v/>
      </c>
      <c r="BC348" s="308" t="str">
        <f t="shared" si="46"/>
        <v/>
      </c>
      <c r="BD348" s="308" t="str">
        <f t="shared" si="47"/>
        <v/>
      </c>
    </row>
    <row r="349">
      <c r="A349" s="298"/>
      <c r="B349" s="299"/>
      <c r="C349" s="300"/>
      <c r="D349" s="301" t="str">
        <f>IFERROR(__xludf.DUMMYFUNCTION("if(ISBLANK(A349),"""",GOOGLEFINANCE(A349,""NAME""))"),"")</f>
        <v/>
      </c>
      <c r="E349" s="302">
        <v>5000.0</v>
      </c>
      <c r="F349" s="303" t="str">
        <f>IFERROR(__xludf.DUMMYFUNCTION("if(ISBLANK(A349),"""",GOOGLEFINANCE(A349,""HIGH52""))"),"")</f>
        <v/>
      </c>
      <c r="G349" s="303" t="str">
        <f>IFERROR(__xludf.DUMMYFUNCTION("if(ISBLANK(A349),"""",GOOGLEFINANCE(A349,""LOW52""))"),"")</f>
        <v/>
      </c>
      <c r="H349" s="304" t="str">
        <f>IFERROR(__xludf.DUMMYFUNCTION("if(ISBLANK(A349),"""",GOOGLEFINANCE(A349,""Price""))"),"")</f>
        <v/>
      </c>
      <c r="I349" s="305" t="str">
        <f t="shared" si="1"/>
        <v/>
      </c>
      <c r="J349" s="306" t="str">
        <f t="shared" si="2"/>
        <v/>
      </c>
      <c r="K349" s="307" t="str">
        <f>IFERROR(__xludf.DUMMYFUNCTION("if(ISBLANK(A349),"""",googlefinance(A349,""Marketcap"")/10000000)"),"")</f>
        <v/>
      </c>
      <c r="L349" s="309" t="str">
        <f t="shared" si="3"/>
        <v/>
      </c>
      <c r="M349" s="308" t="str">
        <f t="shared" si="4"/>
        <v/>
      </c>
      <c r="N349" s="309" t="str">
        <f t="shared" si="5"/>
        <v/>
      </c>
      <c r="O349" s="322" t="str">
        <f t="shared" si="6"/>
        <v/>
      </c>
      <c r="P349" s="308" t="str">
        <f t="shared" si="7"/>
        <v/>
      </c>
      <c r="Q349" s="311" t="str">
        <f t="shared" si="8"/>
        <v/>
      </c>
      <c r="R349" s="309" t="str">
        <f t="shared" si="9"/>
        <v/>
      </c>
      <c r="S349" s="308" t="str">
        <f t="shared" si="10"/>
        <v/>
      </c>
      <c r="T349" s="309" t="str">
        <f t="shared" si="11"/>
        <v/>
      </c>
      <c r="U349" s="309" t="str">
        <f t="shared" si="12"/>
        <v/>
      </c>
      <c r="V349" s="308" t="str">
        <f t="shared" si="13"/>
        <v/>
      </c>
      <c r="W349" s="309" t="str">
        <f t="shared" si="14"/>
        <v/>
      </c>
      <c r="X349" s="309" t="str">
        <f t="shared" si="15"/>
        <v/>
      </c>
      <c r="Y349" s="308" t="str">
        <f t="shared" si="16"/>
        <v/>
      </c>
      <c r="Z349" s="309" t="str">
        <f t="shared" si="17"/>
        <v/>
      </c>
      <c r="AA349" s="312" t="str">
        <f t="shared" si="18"/>
        <v/>
      </c>
      <c r="AB349" s="308" t="str">
        <f t="shared" si="19"/>
        <v/>
      </c>
      <c r="AC349" s="308" t="str">
        <f t="shared" si="20"/>
        <v/>
      </c>
      <c r="AD349" s="312" t="str">
        <f t="shared" si="21"/>
        <v/>
      </c>
      <c r="AE349" s="308" t="str">
        <f t="shared" si="22"/>
        <v/>
      </c>
      <c r="AF349" s="313" t="str">
        <f t="shared" si="23"/>
        <v/>
      </c>
      <c r="AG349" s="304" t="str">
        <f t="shared" si="24"/>
        <v/>
      </c>
      <c r="AH349" s="308" t="str">
        <f t="shared" si="25"/>
        <v/>
      </c>
      <c r="AI349" s="313" t="str">
        <f t="shared" si="26"/>
        <v/>
      </c>
      <c r="AJ349" s="304" t="str">
        <f t="shared" si="27"/>
        <v/>
      </c>
      <c r="AK349" s="308" t="str">
        <f t="shared" si="28"/>
        <v/>
      </c>
      <c r="AL349" s="308" t="str">
        <f t="shared" si="29"/>
        <v/>
      </c>
      <c r="AM349" s="304" t="str">
        <f t="shared" si="30"/>
        <v/>
      </c>
      <c r="AN349" s="308" t="str">
        <f t="shared" si="31"/>
        <v/>
      </c>
      <c r="AO349" s="313" t="str">
        <f t="shared" si="32"/>
        <v/>
      </c>
      <c r="AP349" s="304" t="str">
        <f t="shared" si="33"/>
        <v/>
      </c>
      <c r="AQ349" s="308" t="str">
        <f t="shared" si="34"/>
        <v/>
      </c>
      <c r="AR349" s="313" t="str">
        <f t="shared" si="35"/>
        <v/>
      </c>
      <c r="AS349" s="304" t="str">
        <f t="shared" si="36"/>
        <v/>
      </c>
      <c r="AT349" s="308" t="str">
        <f t="shared" si="37"/>
        <v/>
      </c>
      <c r="AU349" s="308" t="str">
        <f t="shared" si="38"/>
        <v/>
      </c>
      <c r="AV349" s="304" t="str">
        <f t="shared" si="39"/>
        <v/>
      </c>
      <c r="AW349" s="308" t="str">
        <f t="shared" si="40"/>
        <v/>
      </c>
      <c r="AX349" s="308" t="str">
        <f t="shared" si="41"/>
        <v/>
      </c>
      <c r="AY349" s="304" t="str">
        <f t="shared" si="42"/>
        <v/>
      </c>
      <c r="AZ349" s="308" t="str">
        <f t="shared" si="43"/>
        <v/>
      </c>
      <c r="BA349" s="313" t="str">
        <f t="shared" si="44"/>
        <v/>
      </c>
      <c r="BB349" s="304" t="str">
        <f t="shared" si="45"/>
        <v/>
      </c>
      <c r="BC349" s="308" t="str">
        <f t="shared" si="46"/>
        <v/>
      </c>
      <c r="BD349" s="308" t="str">
        <f t="shared" si="47"/>
        <v/>
      </c>
    </row>
    <row r="350">
      <c r="A350" s="298"/>
      <c r="B350" s="299"/>
      <c r="C350" s="300"/>
      <c r="D350" s="301" t="str">
        <f>IFERROR(__xludf.DUMMYFUNCTION("if(ISBLANK(A350),"""",GOOGLEFINANCE(A350,""NAME""))"),"")</f>
        <v/>
      </c>
      <c r="E350" s="302">
        <v>5000.0</v>
      </c>
      <c r="F350" s="303" t="str">
        <f>IFERROR(__xludf.DUMMYFUNCTION("if(ISBLANK(A350),"""",GOOGLEFINANCE(A350,""HIGH52""))"),"")</f>
        <v/>
      </c>
      <c r="G350" s="303" t="str">
        <f>IFERROR(__xludf.DUMMYFUNCTION("if(ISBLANK(A350),"""",GOOGLEFINANCE(A350,""LOW52""))"),"")</f>
        <v/>
      </c>
      <c r="H350" s="304" t="str">
        <f>IFERROR(__xludf.DUMMYFUNCTION("if(ISBLANK(A350),"""",GOOGLEFINANCE(A350,""Price""))"),"")</f>
        <v/>
      </c>
      <c r="I350" s="305" t="str">
        <f t="shared" si="1"/>
        <v/>
      </c>
      <c r="J350" s="306" t="str">
        <f t="shared" si="2"/>
        <v/>
      </c>
      <c r="K350" s="307" t="str">
        <f>IFERROR(__xludf.DUMMYFUNCTION("if(ISBLANK(A350),"""",googlefinance(A350,""Marketcap"")/10000000)"),"")</f>
        <v/>
      </c>
      <c r="L350" s="309" t="str">
        <f t="shared" si="3"/>
        <v/>
      </c>
      <c r="M350" s="308" t="str">
        <f t="shared" si="4"/>
        <v/>
      </c>
      <c r="N350" s="309" t="str">
        <f t="shared" si="5"/>
        <v/>
      </c>
      <c r="O350" s="322" t="str">
        <f t="shared" si="6"/>
        <v/>
      </c>
      <c r="P350" s="308" t="str">
        <f t="shared" si="7"/>
        <v/>
      </c>
      <c r="Q350" s="311" t="str">
        <f t="shared" si="8"/>
        <v/>
      </c>
      <c r="R350" s="309" t="str">
        <f t="shared" si="9"/>
        <v/>
      </c>
      <c r="S350" s="308" t="str">
        <f t="shared" si="10"/>
        <v/>
      </c>
      <c r="T350" s="309" t="str">
        <f t="shared" si="11"/>
        <v/>
      </c>
      <c r="U350" s="309" t="str">
        <f t="shared" si="12"/>
        <v/>
      </c>
      <c r="V350" s="308" t="str">
        <f t="shared" si="13"/>
        <v/>
      </c>
      <c r="W350" s="309" t="str">
        <f t="shared" si="14"/>
        <v/>
      </c>
      <c r="X350" s="309" t="str">
        <f t="shared" si="15"/>
        <v/>
      </c>
      <c r="Y350" s="308" t="str">
        <f t="shared" si="16"/>
        <v/>
      </c>
      <c r="Z350" s="309" t="str">
        <f t="shared" si="17"/>
        <v/>
      </c>
      <c r="AA350" s="312" t="str">
        <f t="shared" si="18"/>
        <v/>
      </c>
      <c r="AB350" s="308" t="str">
        <f t="shared" si="19"/>
        <v/>
      </c>
      <c r="AC350" s="308" t="str">
        <f t="shared" si="20"/>
        <v/>
      </c>
      <c r="AD350" s="312" t="str">
        <f t="shared" si="21"/>
        <v/>
      </c>
      <c r="AE350" s="308" t="str">
        <f t="shared" si="22"/>
        <v/>
      </c>
      <c r="AF350" s="313" t="str">
        <f t="shared" si="23"/>
        <v/>
      </c>
      <c r="AG350" s="304" t="str">
        <f t="shared" si="24"/>
        <v/>
      </c>
      <c r="AH350" s="308" t="str">
        <f t="shared" si="25"/>
        <v/>
      </c>
      <c r="AI350" s="313" t="str">
        <f t="shared" si="26"/>
        <v/>
      </c>
      <c r="AJ350" s="304" t="str">
        <f t="shared" si="27"/>
        <v/>
      </c>
      <c r="AK350" s="308" t="str">
        <f t="shared" si="28"/>
        <v/>
      </c>
      <c r="AL350" s="308" t="str">
        <f t="shared" si="29"/>
        <v/>
      </c>
      <c r="AM350" s="304" t="str">
        <f t="shared" si="30"/>
        <v/>
      </c>
      <c r="AN350" s="308" t="str">
        <f t="shared" si="31"/>
        <v/>
      </c>
      <c r="AO350" s="313" t="str">
        <f t="shared" si="32"/>
        <v/>
      </c>
      <c r="AP350" s="304" t="str">
        <f t="shared" si="33"/>
        <v/>
      </c>
      <c r="AQ350" s="308" t="str">
        <f t="shared" si="34"/>
        <v/>
      </c>
      <c r="AR350" s="313" t="str">
        <f t="shared" si="35"/>
        <v/>
      </c>
      <c r="AS350" s="304" t="str">
        <f t="shared" si="36"/>
        <v/>
      </c>
      <c r="AT350" s="308" t="str">
        <f t="shared" si="37"/>
        <v/>
      </c>
      <c r="AU350" s="308" t="str">
        <f t="shared" si="38"/>
        <v/>
      </c>
      <c r="AV350" s="304" t="str">
        <f t="shared" si="39"/>
        <v/>
      </c>
      <c r="AW350" s="308" t="str">
        <f t="shared" si="40"/>
        <v/>
      </c>
      <c r="AX350" s="308" t="str">
        <f t="shared" si="41"/>
        <v/>
      </c>
      <c r="AY350" s="304" t="str">
        <f t="shared" si="42"/>
        <v/>
      </c>
      <c r="AZ350" s="308" t="str">
        <f t="shared" si="43"/>
        <v/>
      </c>
      <c r="BA350" s="313" t="str">
        <f t="shared" si="44"/>
        <v/>
      </c>
      <c r="BB350" s="304" t="str">
        <f t="shared" si="45"/>
        <v/>
      </c>
      <c r="BC350" s="308" t="str">
        <f t="shared" si="46"/>
        <v/>
      </c>
      <c r="BD350" s="308" t="str">
        <f t="shared" si="47"/>
        <v/>
      </c>
    </row>
    <row r="351">
      <c r="A351" s="298"/>
      <c r="B351" s="299"/>
      <c r="C351" s="300"/>
      <c r="D351" s="301" t="str">
        <f>IFERROR(__xludf.DUMMYFUNCTION("if(ISBLANK(A351),"""",GOOGLEFINANCE(A351,""NAME""))"),"")</f>
        <v/>
      </c>
      <c r="E351" s="302">
        <v>5000.0</v>
      </c>
      <c r="F351" s="303" t="str">
        <f>IFERROR(__xludf.DUMMYFUNCTION("if(ISBLANK(A351),"""",GOOGLEFINANCE(A351,""HIGH52""))"),"")</f>
        <v/>
      </c>
      <c r="G351" s="303" t="str">
        <f>IFERROR(__xludf.DUMMYFUNCTION("if(ISBLANK(A351),"""",GOOGLEFINANCE(A351,""LOW52""))"),"")</f>
        <v/>
      </c>
      <c r="H351" s="304" t="str">
        <f>IFERROR(__xludf.DUMMYFUNCTION("if(ISBLANK(A351),"""",GOOGLEFINANCE(A351,""Price""))"),"")</f>
        <v/>
      </c>
      <c r="I351" s="305" t="str">
        <f t="shared" si="1"/>
        <v/>
      </c>
      <c r="J351" s="306" t="str">
        <f t="shared" si="2"/>
        <v/>
      </c>
      <c r="K351" s="307" t="str">
        <f>IFERROR(__xludf.DUMMYFUNCTION("if(ISBLANK(A351),"""",googlefinance(A351,""Marketcap"")/10000000)"),"")</f>
        <v/>
      </c>
      <c r="L351" s="309" t="str">
        <f t="shared" si="3"/>
        <v/>
      </c>
      <c r="M351" s="308" t="str">
        <f t="shared" si="4"/>
        <v/>
      </c>
      <c r="N351" s="309" t="str">
        <f t="shared" si="5"/>
        <v/>
      </c>
      <c r="O351" s="322" t="str">
        <f t="shared" si="6"/>
        <v/>
      </c>
      <c r="P351" s="308" t="str">
        <f t="shared" si="7"/>
        <v/>
      </c>
      <c r="Q351" s="311" t="str">
        <f t="shared" si="8"/>
        <v/>
      </c>
      <c r="R351" s="309" t="str">
        <f t="shared" si="9"/>
        <v/>
      </c>
      <c r="S351" s="308" t="str">
        <f t="shared" si="10"/>
        <v/>
      </c>
      <c r="T351" s="309" t="str">
        <f t="shared" si="11"/>
        <v/>
      </c>
      <c r="U351" s="309" t="str">
        <f t="shared" si="12"/>
        <v/>
      </c>
      <c r="V351" s="308" t="str">
        <f t="shared" si="13"/>
        <v/>
      </c>
      <c r="W351" s="309" t="str">
        <f t="shared" si="14"/>
        <v/>
      </c>
      <c r="X351" s="309" t="str">
        <f t="shared" si="15"/>
        <v/>
      </c>
      <c r="Y351" s="308" t="str">
        <f t="shared" si="16"/>
        <v/>
      </c>
      <c r="Z351" s="309" t="str">
        <f t="shared" si="17"/>
        <v/>
      </c>
      <c r="AA351" s="312" t="str">
        <f t="shared" si="18"/>
        <v/>
      </c>
      <c r="AB351" s="308" t="str">
        <f t="shared" si="19"/>
        <v/>
      </c>
      <c r="AC351" s="308" t="str">
        <f t="shared" si="20"/>
        <v/>
      </c>
      <c r="AD351" s="312" t="str">
        <f t="shared" si="21"/>
        <v/>
      </c>
      <c r="AE351" s="308" t="str">
        <f t="shared" si="22"/>
        <v/>
      </c>
      <c r="AF351" s="313" t="str">
        <f t="shared" si="23"/>
        <v/>
      </c>
      <c r="AG351" s="304" t="str">
        <f t="shared" si="24"/>
        <v/>
      </c>
      <c r="AH351" s="308" t="str">
        <f t="shared" si="25"/>
        <v/>
      </c>
      <c r="AI351" s="313" t="str">
        <f t="shared" si="26"/>
        <v/>
      </c>
      <c r="AJ351" s="304" t="str">
        <f t="shared" si="27"/>
        <v/>
      </c>
      <c r="AK351" s="308" t="str">
        <f t="shared" si="28"/>
        <v/>
      </c>
      <c r="AL351" s="308" t="str">
        <f t="shared" si="29"/>
        <v/>
      </c>
      <c r="AM351" s="304" t="str">
        <f t="shared" si="30"/>
        <v/>
      </c>
      <c r="AN351" s="308" t="str">
        <f t="shared" si="31"/>
        <v/>
      </c>
      <c r="AO351" s="313" t="str">
        <f t="shared" si="32"/>
        <v/>
      </c>
      <c r="AP351" s="304" t="str">
        <f t="shared" si="33"/>
        <v/>
      </c>
      <c r="AQ351" s="308" t="str">
        <f t="shared" si="34"/>
        <v/>
      </c>
      <c r="AR351" s="313" t="str">
        <f t="shared" si="35"/>
        <v/>
      </c>
      <c r="AS351" s="304" t="str">
        <f t="shared" si="36"/>
        <v/>
      </c>
      <c r="AT351" s="308" t="str">
        <f t="shared" si="37"/>
        <v/>
      </c>
      <c r="AU351" s="308" t="str">
        <f t="shared" si="38"/>
        <v/>
      </c>
      <c r="AV351" s="304" t="str">
        <f t="shared" si="39"/>
        <v/>
      </c>
      <c r="AW351" s="308" t="str">
        <f t="shared" si="40"/>
        <v/>
      </c>
      <c r="AX351" s="308" t="str">
        <f t="shared" si="41"/>
        <v/>
      </c>
      <c r="AY351" s="304" t="str">
        <f t="shared" si="42"/>
        <v/>
      </c>
      <c r="AZ351" s="308" t="str">
        <f t="shared" si="43"/>
        <v/>
      </c>
      <c r="BA351" s="313" t="str">
        <f t="shared" si="44"/>
        <v/>
      </c>
      <c r="BB351" s="304" t="str">
        <f t="shared" si="45"/>
        <v/>
      </c>
      <c r="BC351" s="308" t="str">
        <f t="shared" si="46"/>
        <v/>
      </c>
      <c r="BD351" s="308" t="str">
        <f t="shared" si="47"/>
        <v/>
      </c>
    </row>
    <row r="352">
      <c r="A352" s="298"/>
      <c r="B352" s="299"/>
      <c r="C352" s="300"/>
      <c r="D352" s="301" t="str">
        <f>IFERROR(__xludf.DUMMYFUNCTION("if(ISBLANK(A352),"""",GOOGLEFINANCE(A352,""NAME""))"),"")</f>
        <v/>
      </c>
      <c r="E352" s="302">
        <v>5000.0</v>
      </c>
      <c r="F352" s="303" t="str">
        <f>IFERROR(__xludf.DUMMYFUNCTION("if(ISBLANK(A352),"""",GOOGLEFINANCE(A352,""HIGH52""))"),"")</f>
        <v/>
      </c>
      <c r="G352" s="303" t="str">
        <f>IFERROR(__xludf.DUMMYFUNCTION("if(ISBLANK(A352),"""",GOOGLEFINANCE(A352,""LOW52""))"),"")</f>
        <v/>
      </c>
      <c r="H352" s="304" t="str">
        <f>IFERROR(__xludf.DUMMYFUNCTION("if(ISBLANK(A352),"""",GOOGLEFINANCE(A352,""Price""))"),"")</f>
        <v/>
      </c>
      <c r="I352" s="305" t="str">
        <f t="shared" si="1"/>
        <v/>
      </c>
      <c r="J352" s="306" t="str">
        <f t="shared" si="2"/>
        <v/>
      </c>
      <c r="K352" s="307" t="str">
        <f>IFERROR(__xludf.DUMMYFUNCTION("if(ISBLANK(A352),"""",googlefinance(A352,""Marketcap"")/10000000)"),"")</f>
        <v/>
      </c>
      <c r="L352" s="309" t="str">
        <f t="shared" si="3"/>
        <v/>
      </c>
      <c r="M352" s="308" t="str">
        <f t="shared" si="4"/>
        <v/>
      </c>
      <c r="N352" s="309" t="str">
        <f t="shared" si="5"/>
        <v/>
      </c>
      <c r="O352" s="322" t="str">
        <f t="shared" si="6"/>
        <v/>
      </c>
      <c r="P352" s="308" t="str">
        <f t="shared" si="7"/>
        <v/>
      </c>
      <c r="Q352" s="311" t="str">
        <f t="shared" si="8"/>
        <v/>
      </c>
      <c r="R352" s="309" t="str">
        <f t="shared" si="9"/>
        <v/>
      </c>
      <c r="S352" s="308" t="str">
        <f t="shared" si="10"/>
        <v/>
      </c>
      <c r="T352" s="309" t="str">
        <f t="shared" si="11"/>
        <v/>
      </c>
      <c r="U352" s="309" t="str">
        <f t="shared" si="12"/>
        <v/>
      </c>
      <c r="V352" s="308" t="str">
        <f t="shared" si="13"/>
        <v/>
      </c>
      <c r="W352" s="309" t="str">
        <f t="shared" si="14"/>
        <v/>
      </c>
      <c r="X352" s="309" t="str">
        <f t="shared" si="15"/>
        <v/>
      </c>
      <c r="Y352" s="308" t="str">
        <f t="shared" si="16"/>
        <v/>
      </c>
      <c r="Z352" s="309" t="str">
        <f t="shared" si="17"/>
        <v/>
      </c>
      <c r="AA352" s="312" t="str">
        <f t="shared" si="18"/>
        <v/>
      </c>
      <c r="AB352" s="308" t="str">
        <f t="shared" si="19"/>
        <v/>
      </c>
      <c r="AC352" s="308" t="str">
        <f t="shared" si="20"/>
        <v/>
      </c>
      <c r="AD352" s="312" t="str">
        <f t="shared" si="21"/>
        <v/>
      </c>
      <c r="AE352" s="308" t="str">
        <f t="shared" si="22"/>
        <v/>
      </c>
      <c r="AF352" s="313" t="str">
        <f t="shared" si="23"/>
        <v/>
      </c>
      <c r="AG352" s="304" t="str">
        <f t="shared" si="24"/>
        <v/>
      </c>
      <c r="AH352" s="308" t="str">
        <f t="shared" si="25"/>
        <v/>
      </c>
      <c r="AI352" s="313" t="str">
        <f t="shared" si="26"/>
        <v/>
      </c>
      <c r="AJ352" s="304" t="str">
        <f t="shared" si="27"/>
        <v/>
      </c>
      <c r="AK352" s="308" t="str">
        <f t="shared" si="28"/>
        <v/>
      </c>
      <c r="AL352" s="308" t="str">
        <f t="shared" si="29"/>
        <v/>
      </c>
      <c r="AM352" s="304" t="str">
        <f t="shared" si="30"/>
        <v/>
      </c>
      <c r="AN352" s="308" t="str">
        <f t="shared" si="31"/>
        <v/>
      </c>
      <c r="AO352" s="313" t="str">
        <f t="shared" si="32"/>
        <v/>
      </c>
      <c r="AP352" s="304" t="str">
        <f t="shared" si="33"/>
        <v/>
      </c>
      <c r="AQ352" s="308" t="str">
        <f t="shared" si="34"/>
        <v/>
      </c>
      <c r="AR352" s="313" t="str">
        <f t="shared" si="35"/>
        <v/>
      </c>
      <c r="AS352" s="304" t="str">
        <f t="shared" si="36"/>
        <v/>
      </c>
      <c r="AT352" s="308" t="str">
        <f t="shared" si="37"/>
        <v/>
      </c>
      <c r="AU352" s="308" t="str">
        <f t="shared" si="38"/>
        <v/>
      </c>
      <c r="AV352" s="304" t="str">
        <f t="shared" si="39"/>
        <v/>
      </c>
      <c r="AW352" s="308" t="str">
        <f t="shared" si="40"/>
        <v/>
      </c>
      <c r="AX352" s="308" t="str">
        <f t="shared" si="41"/>
        <v/>
      </c>
      <c r="AY352" s="304" t="str">
        <f t="shared" si="42"/>
        <v/>
      </c>
      <c r="AZ352" s="308" t="str">
        <f t="shared" si="43"/>
        <v/>
      </c>
      <c r="BA352" s="313" t="str">
        <f t="shared" si="44"/>
        <v/>
      </c>
      <c r="BB352" s="304" t="str">
        <f t="shared" si="45"/>
        <v/>
      </c>
      <c r="BC352" s="308" t="str">
        <f t="shared" si="46"/>
        <v/>
      </c>
      <c r="BD352" s="308" t="str">
        <f t="shared" si="47"/>
        <v/>
      </c>
    </row>
    <row r="353">
      <c r="A353" s="298"/>
      <c r="B353" s="299"/>
      <c r="C353" s="300"/>
      <c r="D353" s="301" t="str">
        <f>IFERROR(__xludf.DUMMYFUNCTION("if(ISBLANK(A353),"""",GOOGLEFINANCE(A353,""NAME""))"),"")</f>
        <v/>
      </c>
      <c r="E353" s="302">
        <v>5000.0</v>
      </c>
      <c r="F353" s="303" t="str">
        <f>IFERROR(__xludf.DUMMYFUNCTION("if(ISBLANK(A353),"""",GOOGLEFINANCE(A353,""HIGH52""))"),"")</f>
        <v/>
      </c>
      <c r="G353" s="303" t="str">
        <f>IFERROR(__xludf.DUMMYFUNCTION("if(ISBLANK(A353),"""",GOOGLEFINANCE(A353,""LOW52""))"),"")</f>
        <v/>
      </c>
      <c r="H353" s="304" t="str">
        <f>IFERROR(__xludf.DUMMYFUNCTION("if(ISBLANK(A353),"""",GOOGLEFINANCE(A353,""Price""))"),"")</f>
        <v/>
      </c>
      <c r="I353" s="305" t="str">
        <f t="shared" si="1"/>
        <v/>
      </c>
      <c r="J353" s="306" t="str">
        <f t="shared" si="2"/>
        <v/>
      </c>
      <c r="K353" s="307" t="str">
        <f>IFERROR(__xludf.DUMMYFUNCTION("if(ISBLANK(A353),"""",googlefinance(A353,""Marketcap"")/10000000)"),"")</f>
        <v/>
      </c>
      <c r="L353" s="309" t="str">
        <f t="shared" si="3"/>
        <v/>
      </c>
      <c r="M353" s="308" t="str">
        <f t="shared" si="4"/>
        <v/>
      </c>
      <c r="N353" s="309" t="str">
        <f t="shared" si="5"/>
        <v/>
      </c>
      <c r="O353" s="322" t="str">
        <f t="shared" si="6"/>
        <v/>
      </c>
      <c r="P353" s="308" t="str">
        <f t="shared" si="7"/>
        <v/>
      </c>
      <c r="Q353" s="311" t="str">
        <f t="shared" si="8"/>
        <v/>
      </c>
      <c r="R353" s="309" t="str">
        <f t="shared" si="9"/>
        <v/>
      </c>
      <c r="S353" s="308" t="str">
        <f t="shared" si="10"/>
        <v/>
      </c>
      <c r="T353" s="309" t="str">
        <f t="shared" si="11"/>
        <v/>
      </c>
      <c r="U353" s="309" t="str">
        <f t="shared" si="12"/>
        <v/>
      </c>
      <c r="V353" s="308" t="str">
        <f t="shared" si="13"/>
        <v/>
      </c>
      <c r="W353" s="309" t="str">
        <f t="shared" si="14"/>
        <v/>
      </c>
      <c r="X353" s="309" t="str">
        <f t="shared" si="15"/>
        <v/>
      </c>
      <c r="Y353" s="308" t="str">
        <f t="shared" si="16"/>
        <v/>
      </c>
      <c r="Z353" s="309" t="str">
        <f t="shared" si="17"/>
        <v/>
      </c>
      <c r="AA353" s="312" t="str">
        <f t="shared" si="18"/>
        <v/>
      </c>
      <c r="AB353" s="308" t="str">
        <f t="shared" si="19"/>
        <v/>
      </c>
      <c r="AC353" s="308" t="str">
        <f t="shared" si="20"/>
        <v/>
      </c>
      <c r="AD353" s="312" t="str">
        <f t="shared" si="21"/>
        <v/>
      </c>
      <c r="AE353" s="308" t="str">
        <f t="shared" si="22"/>
        <v/>
      </c>
      <c r="AF353" s="313" t="str">
        <f t="shared" si="23"/>
        <v/>
      </c>
      <c r="AG353" s="304" t="str">
        <f t="shared" si="24"/>
        <v/>
      </c>
      <c r="AH353" s="308" t="str">
        <f t="shared" si="25"/>
        <v/>
      </c>
      <c r="AI353" s="313" t="str">
        <f t="shared" si="26"/>
        <v/>
      </c>
      <c r="AJ353" s="304" t="str">
        <f t="shared" si="27"/>
        <v/>
      </c>
      <c r="AK353" s="308" t="str">
        <f t="shared" si="28"/>
        <v/>
      </c>
      <c r="AL353" s="308" t="str">
        <f t="shared" si="29"/>
        <v/>
      </c>
      <c r="AM353" s="304" t="str">
        <f t="shared" si="30"/>
        <v/>
      </c>
      <c r="AN353" s="308" t="str">
        <f t="shared" si="31"/>
        <v/>
      </c>
      <c r="AO353" s="313" t="str">
        <f t="shared" si="32"/>
        <v/>
      </c>
      <c r="AP353" s="304" t="str">
        <f t="shared" si="33"/>
        <v/>
      </c>
      <c r="AQ353" s="308" t="str">
        <f t="shared" si="34"/>
        <v/>
      </c>
      <c r="AR353" s="313" t="str">
        <f t="shared" si="35"/>
        <v/>
      </c>
      <c r="AS353" s="304" t="str">
        <f t="shared" si="36"/>
        <v/>
      </c>
      <c r="AT353" s="308" t="str">
        <f t="shared" si="37"/>
        <v/>
      </c>
      <c r="AU353" s="308" t="str">
        <f t="shared" si="38"/>
        <v/>
      </c>
      <c r="AV353" s="304" t="str">
        <f t="shared" si="39"/>
        <v/>
      </c>
      <c r="AW353" s="308" t="str">
        <f t="shared" si="40"/>
        <v/>
      </c>
      <c r="AX353" s="308" t="str">
        <f t="shared" si="41"/>
        <v/>
      </c>
      <c r="AY353" s="304" t="str">
        <f t="shared" si="42"/>
        <v/>
      </c>
      <c r="AZ353" s="308" t="str">
        <f t="shared" si="43"/>
        <v/>
      </c>
      <c r="BA353" s="313" t="str">
        <f t="shared" si="44"/>
        <v/>
      </c>
      <c r="BB353" s="304" t="str">
        <f t="shared" si="45"/>
        <v/>
      </c>
      <c r="BC353" s="308" t="str">
        <f t="shared" si="46"/>
        <v/>
      </c>
      <c r="BD353" s="308" t="str">
        <f t="shared" si="47"/>
        <v/>
      </c>
    </row>
    <row r="354">
      <c r="A354" s="298"/>
      <c r="B354" s="299"/>
      <c r="C354" s="300"/>
      <c r="D354" s="301" t="str">
        <f>IFERROR(__xludf.DUMMYFUNCTION("if(ISBLANK(A354),"""",GOOGLEFINANCE(A354,""NAME""))"),"")</f>
        <v/>
      </c>
      <c r="E354" s="302">
        <v>5000.0</v>
      </c>
      <c r="F354" s="303" t="str">
        <f>IFERROR(__xludf.DUMMYFUNCTION("if(ISBLANK(A354),"""",GOOGLEFINANCE(A354,""HIGH52""))"),"")</f>
        <v/>
      </c>
      <c r="G354" s="303" t="str">
        <f>IFERROR(__xludf.DUMMYFUNCTION("if(ISBLANK(A354),"""",GOOGLEFINANCE(A354,""LOW52""))"),"")</f>
        <v/>
      </c>
      <c r="H354" s="304" t="str">
        <f>IFERROR(__xludf.DUMMYFUNCTION("if(ISBLANK(A354),"""",GOOGLEFINANCE(A354,""Price""))"),"")</f>
        <v/>
      </c>
      <c r="I354" s="305" t="str">
        <f t="shared" si="1"/>
        <v/>
      </c>
      <c r="J354" s="306" t="str">
        <f t="shared" si="2"/>
        <v/>
      </c>
      <c r="K354" s="307" t="str">
        <f>IFERROR(__xludf.DUMMYFUNCTION("if(ISBLANK(A354),"""",googlefinance(A354,""Marketcap"")/10000000)"),"")</f>
        <v/>
      </c>
      <c r="L354" s="309" t="str">
        <f t="shared" si="3"/>
        <v/>
      </c>
      <c r="M354" s="308" t="str">
        <f t="shared" si="4"/>
        <v/>
      </c>
      <c r="N354" s="309" t="str">
        <f t="shared" si="5"/>
        <v/>
      </c>
      <c r="O354" s="322" t="str">
        <f t="shared" si="6"/>
        <v/>
      </c>
      <c r="P354" s="308" t="str">
        <f t="shared" si="7"/>
        <v/>
      </c>
      <c r="Q354" s="311" t="str">
        <f t="shared" si="8"/>
        <v/>
      </c>
      <c r="R354" s="309" t="str">
        <f t="shared" si="9"/>
        <v/>
      </c>
      <c r="S354" s="308" t="str">
        <f t="shared" si="10"/>
        <v/>
      </c>
      <c r="T354" s="309" t="str">
        <f t="shared" si="11"/>
        <v/>
      </c>
      <c r="U354" s="309" t="str">
        <f t="shared" si="12"/>
        <v/>
      </c>
      <c r="V354" s="308" t="str">
        <f t="shared" si="13"/>
        <v/>
      </c>
      <c r="W354" s="309" t="str">
        <f t="shared" si="14"/>
        <v/>
      </c>
      <c r="X354" s="309" t="str">
        <f t="shared" si="15"/>
        <v/>
      </c>
      <c r="Y354" s="308" t="str">
        <f t="shared" si="16"/>
        <v/>
      </c>
      <c r="Z354" s="309" t="str">
        <f t="shared" si="17"/>
        <v/>
      </c>
      <c r="AA354" s="312" t="str">
        <f t="shared" si="18"/>
        <v/>
      </c>
      <c r="AB354" s="308" t="str">
        <f t="shared" si="19"/>
        <v/>
      </c>
      <c r="AC354" s="308" t="str">
        <f t="shared" si="20"/>
        <v/>
      </c>
      <c r="AD354" s="312" t="str">
        <f t="shared" si="21"/>
        <v/>
      </c>
      <c r="AE354" s="308" t="str">
        <f t="shared" si="22"/>
        <v/>
      </c>
      <c r="AF354" s="313" t="str">
        <f t="shared" si="23"/>
        <v/>
      </c>
      <c r="AG354" s="304" t="str">
        <f t="shared" si="24"/>
        <v/>
      </c>
      <c r="AH354" s="308" t="str">
        <f t="shared" si="25"/>
        <v/>
      </c>
      <c r="AI354" s="313" t="str">
        <f t="shared" si="26"/>
        <v/>
      </c>
      <c r="AJ354" s="304" t="str">
        <f t="shared" si="27"/>
        <v/>
      </c>
      <c r="AK354" s="308" t="str">
        <f t="shared" si="28"/>
        <v/>
      </c>
      <c r="AL354" s="308" t="str">
        <f t="shared" si="29"/>
        <v/>
      </c>
      <c r="AM354" s="304" t="str">
        <f t="shared" si="30"/>
        <v/>
      </c>
      <c r="AN354" s="308" t="str">
        <f t="shared" si="31"/>
        <v/>
      </c>
      <c r="AO354" s="313" t="str">
        <f t="shared" si="32"/>
        <v/>
      </c>
      <c r="AP354" s="304" t="str">
        <f t="shared" si="33"/>
        <v/>
      </c>
      <c r="AQ354" s="308" t="str">
        <f t="shared" si="34"/>
        <v/>
      </c>
      <c r="AR354" s="313" t="str">
        <f t="shared" si="35"/>
        <v/>
      </c>
      <c r="AS354" s="304" t="str">
        <f t="shared" si="36"/>
        <v/>
      </c>
      <c r="AT354" s="308" t="str">
        <f t="shared" si="37"/>
        <v/>
      </c>
      <c r="AU354" s="308" t="str">
        <f t="shared" si="38"/>
        <v/>
      </c>
      <c r="AV354" s="304" t="str">
        <f t="shared" si="39"/>
        <v/>
      </c>
      <c r="AW354" s="308" t="str">
        <f t="shared" si="40"/>
        <v/>
      </c>
      <c r="AX354" s="308" t="str">
        <f t="shared" si="41"/>
        <v/>
      </c>
      <c r="AY354" s="304" t="str">
        <f t="shared" si="42"/>
        <v/>
      </c>
      <c r="AZ354" s="308" t="str">
        <f t="shared" si="43"/>
        <v/>
      </c>
      <c r="BA354" s="313" t="str">
        <f t="shared" si="44"/>
        <v/>
      </c>
      <c r="BB354" s="304" t="str">
        <f t="shared" si="45"/>
        <v/>
      </c>
      <c r="BC354" s="308" t="str">
        <f t="shared" si="46"/>
        <v/>
      </c>
      <c r="BD354" s="308" t="str">
        <f t="shared" si="47"/>
        <v/>
      </c>
    </row>
    <row r="355">
      <c r="A355" s="298"/>
      <c r="B355" s="299"/>
      <c r="C355" s="300"/>
      <c r="D355" s="301" t="str">
        <f>IFERROR(__xludf.DUMMYFUNCTION("if(ISBLANK(A355),"""",GOOGLEFINANCE(A355,""NAME""))"),"")</f>
        <v/>
      </c>
      <c r="E355" s="302">
        <v>5000.0</v>
      </c>
      <c r="F355" s="303" t="str">
        <f>IFERROR(__xludf.DUMMYFUNCTION("if(ISBLANK(A355),"""",GOOGLEFINANCE(A355,""HIGH52""))"),"")</f>
        <v/>
      </c>
      <c r="G355" s="303" t="str">
        <f>IFERROR(__xludf.DUMMYFUNCTION("if(ISBLANK(A355),"""",GOOGLEFINANCE(A355,""LOW52""))"),"")</f>
        <v/>
      </c>
      <c r="H355" s="304" t="str">
        <f>IFERROR(__xludf.DUMMYFUNCTION("if(ISBLANK(A355),"""",GOOGLEFINANCE(A355,""Price""))"),"")</f>
        <v/>
      </c>
      <c r="I355" s="305" t="str">
        <f t="shared" si="1"/>
        <v/>
      </c>
      <c r="J355" s="306" t="str">
        <f t="shared" si="2"/>
        <v/>
      </c>
      <c r="K355" s="307" t="str">
        <f>IFERROR(__xludf.DUMMYFUNCTION("if(ISBLANK(A355),"""",googlefinance(A355,""Marketcap"")/10000000)"),"")</f>
        <v/>
      </c>
      <c r="L355" s="309" t="str">
        <f t="shared" si="3"/>
        <v/>
      </c>
      <c r="M355" s="308" t="str">
        <f t="shared" si="4"/>
        <v/>
      </c>
      <c r="N355" s="309" t="str">
        <f t="shared" si="5"/>
        <v/>
      </c>
      <c r="O355" s="322" t="str">
        <f t="shared" si="6"/>
        <v/>
      </c>
      <c r="P355" s="308" t="str">
        <f t="shared" si="7"/>
        <v/>
      </c>
      <c r="Q355" s="311" t="str">
        <f t="shared" si="8"/>
        <v/>
      </c>
      <c r="R355" s="309" t="str">
        <f t="shared" si="9"/>
        <v/>
      </c>
      <c r="S355" s="308" t="str">
        <f t="shared" si="10"/>
        <v/>
      </c>
      <c r="T355" s="309" t="str">
        <f t="shared" si="11"/>
        <v/>
      </c>
      <c r="U355" s="309" t="str">
        <f t="shared" si="12"/>
        <v/>
      </c>
      <c r="V355" s="308" t="str">
        <f t="shared" si="13"/>
        <v/>
      </c>
      <c r="W355" s="309" t="str">
        <f t="shared" si="14"/>
        <v/>
      </c>
      <c r="X355" s="309" t="str">
        <f t="shared" si="15"/>
        <v/>
      </c>
      <c r="Y355" s="308" t="str">
        <f t="shared" si="16"/>
        <v/>
      </c>
      <c r="Z355" s="309" t="str">
        <f t="shared" si="17"/>
        <v/>
      </c>
      <c r="AA355" s="312" t="str">
        <f t="shared" si="18"/>
        <v/>
      </c>
      <c r="AB355" s="308" t="str">
        <f t="shared" si="19"/>
        <v/>
      </c>
      <c r="AC355" s="308" t="str">
        <f t="shared" si="20"/>
        <v/>
      </c>
      <c r="AD355" s="312" t="str">
        <f t="shared" si="21"/>
        <v/>
      </c>
      <c r="AE355" s="308" t="str">
        <f t="shared" si="22"/>
        <v/>
      </c>
      <c r="AF355" s="313" t="str">
        <f t="shared" si="23"/>
        <v/>
      </c>
      <c r="AG355" s="304" t="str">
        <f t="shared" si="24"/>
        <v/>
      </c>
      <c r="AH355" s="308" t="str">
        <f t="shared" si="25"/>
        <v/>
      </c>
      <c r="AI355" s="313" t="str">
        <f t="shared" si="26"/>
        <v/>
      </c>
      <c r="AJ355" s="304" t="str">
        <f t="shared" si="27"/>
        <v/>
      </c>
      <c r="AK355" s="308" t="str">
        <f t="shared" si="28"/>
        <v/>
      </c>
      <c r="AL355" s="308" t="str">
        <f t="shared" si="29"/>
        <v/>
      </c>
      <c r="AM355" s="304" t="str">
        <f t="shared" si="30"/>
        <v/>
      </c>
      <c r="AN355" s="308" t="str">
        <f t="shared" si="31"/>
        <v/>
      </c>
      <c r="AO355" s="313" t="str">
        <f t="shared" si="32"/>
        <v/>
      </c>
      <c r="AP355" s="304" t="str">
        <f t="shared" si="33"/>
        <v/>
      </c>
      <c r="AQ355" s="308" t="str">
        <f t="shared" si="34"/>
        <v/>
      </c>
      <c r="AR355" s="313" t="str">
        <f t="shared" si="35"/>
        <v/>
      </c>
      <c r="AS355" s="304" t="str">
        <f t="shared" si="36"/>
        <v/>
      </c>
      <c r="AT355" s="308" t="str">
        <f t="shared" si="37"/>
        <v/>
      </c>
      <c r="AU355" s="308" t="str">
        <f t="shared" si="38"/>
        <v/>
      </c>
      <c r="AV355" s="304" t="str">
        <f t="shared" si="39"/>
        <v/>
      </c>
      <c r="AW355" s="308" t="str">
        <f t="shared" si="40"/>
        <v/>
      </c>
      <c r="AX355" s="308" t="str">
        <f t="shared" si="41"/>
        <v/>
      </c>
      <c r="AY355" s="304" t="str">
        <f t="shared" si="42"/>
        <v/>
      </c>
      <c r="AZ355" s="308" t="str">
        <f t="shared" si="43"/>
        <v/>
      </c>
      <c r="BA355" s="313" t="str">
        <f t="shared" si="44"/>
        <v/>
      </c>
      <c r="BB355" s="304" t="str">
        <f t="shared" si="45"/>
        <v/>
      </c>
      <c r="BC355" s="308" t="str">
        <f t="shared" si="46"/>
        <v/>
      </c>
      <c r="BD355" s="308" t="str">
        <f t="shared" si="47"/>
        <v/>
      </c>
    </row>
    <row r="356">
      <c r="A356" s="298"/>
      <c r="B356" s="299"/>
      <c r="C356" s="300"/>
      <c r="D356" s="301" t="str">
        <f>IFERROR(__xludf.DUMMYFUNCTION("if(ISBLANK(A356),"""",GOOGLEFINANCE(A356,""NAME""))"),"")</f>
        <v/>
      </c>
      <c r="E356" s="302">
        <v>5000.0</v>
      </c>
      <c r="F356" s="303" t="str">
        <f>IFERROR(__xludf.DUMMYFUNCTION("if(ISBLANK(A356),"""",GOOGLEFINANCE(A356,""HIGH52""))"),"")</f>
        <v/>
      </c>
      <c r="G356" s="303" t="str">
        <f>IFERROR(__xludf.DUMMYFUNCTION("if(ISBLANK(A356),"""",GOOGLEFINANCE(A356,""LOW52""))"),"")</f>
        <v/>
      </c>
      <c r="H356" s="304" t="str">
        <f>IFERROR(__xludf.DUMMYFUNCTION("if(ISBLANK(A356),"""",GOOGLEFINANCE(A356,""Price""))"),"")</f>
        <v/>
      </c>
      <c r="I356" s="305" t="str">
        <f t="shared" si="1"/>
        <v/>
      </c>
      <c r="J356" s="306" t="str">
        <f t="shared" si="2"/>
        <v/>
      </c>
      <c r="K356" s="307" t="str">
        <f>IFERROR(__xludf.DUMMYFUNCTION("if(ISBLANK(A356),"""",googlefinance(A356,""Marketcap"")/10000000)"),"")</f>
        <v/>
      </c>
      <c r="L356" s="309" t="str">
        <f t="shared" si="3"/>
        <v/>
      </c>
      <c r="M356" s="308" t="str">
        <f t="shared" si="4"/>
        <v/>
      </c>
      <c r="N356" s="309" t="str">
        <f t="shared" si="5"/>
        <v/>
      </c>
      <c r="O356" s="322" t="str">
        <f t="shared" si="6"/>
        <v/>
      </c>
      <c r="P356" s="308" t="str">
        <f t="shared" si="7"/>
        <v/>
      </c>
      <c r="Q356" s="311" t="str">
        <f t="shared" si="8"/>
        <v/>
      </c>
      <c r="R356" s="309" t="str">
        <f t="shared" si="9"/>
        <v/>
      </c>
      <c r="S356" s="308" t="str">
        <f t="shared" si="10"/>
        <v/>
      </c>
      <c r="T356" s="309" t="str">
        <f t="shared" si="11"/>
        <v/>
      </c>
      <c r="U356" s="309" t="str">
        <f t="shared" si="12"/>
        <v/>
      </c>
      <c r="V356" s="308" t="str">
        <f t="shared" si="13"/>
        <v/>
      </c>
      <c r="W356" s="309" t="str">
        <f t="shared" si="14"/>
        <v/>
      </c>
      <c r="X356" s="309" t="str">
        <f t="shared" si="15"/>
        <v/>
      </c>
      <c r="Y356" s="308" t="str">
        <f t="shared" si="16"/>
        <v/>
      </c>
      <c r="Z356" s="309" t="str">
        <f t="shared" si="17"/>
        <v/>
      </c>
      <c r="AA356" s="312" t="str">
        <f t="shared" si="18"/>
        <v/>
      </c>
      <c r="AB356" s="308" t="str">
        <f t="shared" si="19"/>
        <v/>
      </c>
      <c r="AC356" s="308" t="str">
        <f t="shared" si="20"/>
        <v/>
      </c>
      <c r="AD356" s="312" t="str">
        <f t="shared" si="21"/>
        <v/>
      </c>
      <c r="AE356" s="308" t="str">
        <f t="shared" si="22"/>
        <v/>
      </c>
      <c r="AF356" s="313" t="str">
        <f t="shared" si="23"/>
        <v/>
      </c>
      <c r="AG356" s="304" t="str">
        <f t="shared" si="24"/>
        <v/>
      </c>
      <c r="AH356" s="308" t="str">
        <f t="shared" si="25"/>
        <v/>
      </c>
      <c r="AI356" s="313" t="str">
        <f t="shared" si="26"/>
        <v/>
      </c>
      <c r="AJ356" s="304" t="str">
        <f t="shared" si="27"/>
        <v/>
      </c>
      <c r="AK356" s="308" t="str">
        <f t="shared" si="28"/>
        <v/>
      </c>
      <c r="AL356" s="308" t="str">
        <f t="shared" si="29"/>
        <v/>
      </c>
      <c r="AM356" s="304" t="str">
        <f t="shared" si="30"/>
        <v/>
      </c>
      <c r="AN356" s="308" t="str">
        <f t="shared" si="31"/>
        <v/>
      </c>
      <c r="AO356" s="313" t="str">
        <f t="shared" si="32"/>
        <v/>
      </c>
      <c r="AP356" s="304" t="str">
        <f t="shared" si="33"/>
        <v/>
      </c>
      <c r="AQ356" s="308" t="str">
        <f t="shared" si="34"/>
        <v/>
      </c>
      <c r="AR356" s="313" t="str">
        <f t="shared" si="35"/>
        <v/>
      </c>
      <c r="AS356" s="304" t="str">
        <f t="shared" si="36"/>
        <v/>
      </c>
      <c r="AT356" s="308" t="str">
        <f t="shared" si="37"/>
        <v/>
      </c>
      <c r="AU356" s="308" t="str">
        <f t="shared" si="38"/>
        <v/>
      </c>
      <c r="AV356" s="304" t="str">
        <f t="shared" si="39"/>
        <v/>
      </c>
      <c r="AW356" s="308" t="str">
        <f t="shared" si="40"/>
        <v/>
      </c>
      <c r="AX356" s="308" t="str">
        <f t="shared" si="41"/>
        <v/>
      </c>
      <c r="AY356" s="304" t="str">
        <f t="shared" si="42"/>
        <v/>
      </c>
      <c r="AZ356" s="308" t="str">
        <f t="shared" si="43"/>
        <v/>
      </c>
      <c r="BA356" s="313" t="str">
        <f t="shared" si="44"/>
        <v/>
      </c>
      <c r="BB356" s="304" t="str">
        <f t="shared" si="45"/>
        <v/>
      </c>
      <c r="BC356" s="308" t="str">
        <f t="shared" si="46"/>
        <v/>
      </c>
      <c r="BD356" s="308" t="str">
        <f t="shared" si="47"/>
        <v/>
      </c>
    </row>
    <row r="357">
      <c r="A357" s="298"/>
      <c r="B357" s="299"/>
      <c r="C357" s="300"/>
      <c r="D357" s="301" t="str">
        <f>IFERROR(__xludf.DUMMYFUNCTION("if(ISBLANK(A357),"""",GOOGLEFINANCE(A357,""NAME""))"),"")</f>
        <v/>
      </c>
      <c r="E357" s="302">
        <v>5000.0</v>
      </c>
      <c r="F357" s="303" t="str">
        <f>IFERROR(__xludf.DUMMYFUNCTION("if(ISBLANK(A357),"""",GOOGLEFINANCE(A357,""HIGH52""))"),"")</f>
        <v/>
      </c>
      <c r="G357" s="303" t="str">
        <f>IFERROR(__xludf.DUMMYFUNCTION("if(ISBLANK(A357),"""",GOOGLEFINANCE(A357,""LOW52""))"),"")</f>
        <v/>
      </c>
      <c r="H357" s="304" t="str">
        <f>IFERROR(__xludf.DUMMYFUNCTION("if(ISBLANK(A357),"""",GOOGLEFINANCE(A357,""Price""))"),"")</f>
        <v/>
      </c>
      <c r="I357" s="305" t="str">
        <f t="shared" si="1"/>
        <v/>
      </c>
      <c r="J357" s="306" t="str">
        <f t="shared" si="2"/>
        <v/>
      </c>
      <c r="K357" s="307" t="str">
        <f>IFERROR(__xludf.DUMMYFUNCTION("if(ISBLANK(A357),"""",googlefinance(A357,""Marketcap"")/10000000)"),"")</f>
        <v/>
      </c>
      <c r="L357" s="309" t="str">
        <f t="shared" si="3"/>
        <v/>
      </c>
      <c r="M357" s="308" t="str">
        <f t="shared" si="4"/>
        <v/>
      </c>
      <c r="N357" s="309" t="str">
        <f t="shared" si="5"/>
        <v/>
      </c>
      <c r="O357" s="322" t="str">
        <f t="shared" si="6"/>
        <v/>
      </c>
      <c r="P357" s="308" t="str">
        <f t="shared" si="7"/>
        <v/>
      </c>
      <c r="Q357" s="311" t="str">
        <f t="shared" si="8"/>
        <v/>
      </c>
      <c r="R357" s="309" t="str">
        <f t="shared" si="9"/>
        <v/>
      </c>
      <c r="S357" s="308" t="str">
        <f t="shared" si="10"/>
        <v/>
      </c>
      <c r="T357" s="309" t="str">
        <f t="shared" si="11"/>
        <v/>
      </c>
      <c r="U357" s="309" t="str">
        <f t="shared" si="12"/>
        <v/>
      </c>
      <c r="V357" s="308" t="str">
        <f t="shared" si="13"/>
        <v/>
      </c>
      <c r="W357" s="309" t="str">
        <f t="shared" si="14"/>
        <v/>
      </c>
      <c r="X357" s="309" t="str">
        <f t="shared" si="15"/>
        <v/>
      </c>
      <c r="Y357" s="308" t="str">
        <f t="shared" si="16"/>
        <v/>
      </c>
      <c r="Z357" s="309" t="str">
        <f t="shared" si="17"/>
        <v/>
      </c>
      <c r="AA357" s="312" t="str">
        <f t="shared" si="18"/>
        <v/>
      </c>
      <c r="AB357" s="308" t="str">
        <f t="shared" si="19"/>
        <v/>
      </c>
      <c r="AC357" s="308" t="str">
        <f t="shared" si="20"/>
        <v/>
      </c>
      <c r="AD357" s="312" t="str">
        <f t="shared" si="21"/>
        <v/>
      </c>
      <c r="AE357" s="308" t="str">
        <f t="shared" si="22"/>
        <v/>
      </c>
      <c r="AF357" s="313" t="str">
        <f t="shared" si="23"/>
        <v/>
      </c>
      <c r="AG357" s="304" t="str">
        <f t="shared" si="24"/>
        <v/>
      </c>
      <c r="AH357" s="308" t="str">
        <f t="shared" si="25"/>
        <v/>
      </c>
      <c r="AI357" s="313" t="str">
        <f t="shared" si="26"/>
        <v/>
      </c>
      <c r="AJ357" s="304" t="str">
        <f t="shared" si="27"/>
        <v/>
      </c>
      <c r="AK357" s="308" t="str">
        <f t="shared" si="28"/>
        <v/>
      </c>
      <c r="AL357" s="308" t="str">
        <f t="shared" si="29"/>
        <v/>
      </c>
      <c r="AM357" s="304" t="str">
        <f t="shared" si="30"/>
        <v/>
      </c>
      <c r="AN357" s="308" t="str">
        <f t="shared" si="31"/>
        <v/>
      </c>
      <c r="AO357" s="313" t="str">
        <f t="shared" si="32"/>
        <v/>
      </c>
      <c r="AP357" s="304" t="str">
        <f t="shared" si="33"/>
        <v/>
      </c>
      <c r="AQ357" s="308" t="str">
        <f t="shared" si="34"/>
        <v/>
      </c>
      <c r="AR357" s="313" t="str">
        <f t="shared" si="35"/>
        <v/>
      </c>
      <c r="AS357" s="304" t="str">
        <f t="shared" si="36"/>
        <v/>
      </c>
      <c r="AT357" s="308" t="str">
        <f t="shared" si="37"/>
        <v/>
      </c>
      <c r="AU357" s="308" t="str">
        <f t="shared" si="38"/>
        <v/>
      </c>
      <c r="AV357" s="304" t="str">
        <f t="shared" si="39"/>
        <v/>
      </c>
      <c r="AW357" s="308" t="str">
        <f t="shared" si="40"/>
        <v/>
      </c>
      <c r="AX357" s="308" t="str">
        <f t="shared" si="41"/>
        <v/>
      </c>
      <c r="AY357" s="304" t="str">
        <f t="shared" si="42"/>
        <v/>
      </c>
      <c r="AZ357" s="308" t="str">
        <f t="shared" si="43"/>
        <v/>
      </c>
      <c r="BA357" s="313" t="str">
        <f t="shared" si="44"/>
        <v/>
      </c>
      <c r="BB357" s="304" t="str">
        <f t="shared" si="45"/>
        <v/>
      </c>
      <c r="BC357" s="308" t="str">
        <f t="shared" si="46"/>
        <v/>
      </c>
      <c r="BD357" s="308" t="str">
        <f t="shared" si="47"/>
        <v/>
      </c>
    </row>
    <row r="358">
      <c r="A358" s="298"/>
      <c r="B358" s="299"/>
      <c r="C358" s="300"/>
      <c r="D358" s="301" t="str">
        <f>IFERROR(__xludf.DUMMYFUNCTION("if(ISBLANK(A358),"""",GOOGLEFINANCE(A358,""NAME""))"),"")</f>
        <v/>
      </c>
      <c r="E358" s="302">
        <v>5000.0</v>
      </c>
      <c r="F358" s="303" t="str">
        <f>IFERROR(__xludf.DUMMYFUNCTION("if(ISBLANK(A358),"""",GOOGLEFINANCE(A358,""HIGH52""))"),"")</f>
        <v/>
      </c>
      <c r="G358" s="303" t="str">
        <f>IFERROR(__xludf.DUMMYFUNCTION("if(ISBLANK(A358),"""",GOOGLEFINANCE(A358,""LOW52""))"),"")</f>
        <v/>
      </c>
      <c r="H358" s="304" t="str">
        <f>IFERROR(__xludf.DUMMYFUNCTION("if(ISBLANK(A358),"""",GOOGLEFINANCE(A358,""Price""))"),"")</f>
        <v/>
      </c>
      <c r="I358" s="305" t="str">
        <f t="shared" si="1"/>
        <v/>
      </c>
      <c r="J358" s="306" t="str">
        <f t="shared" si="2"/>
        <v/>
      </c>
      <c r="K358" s="307" t="str">
        <f>IFERROR(__xludf.DUMMYFUNCTION("if(ISBLANK(A358),"""",googlefinance(A358,""Marketcap"")/10000000)"),"")</f>
        <v/>
      </c>
      <c r="L358" s="309" t="str">
        <f t="shared" si="3"/>
        <v/>
      </c>
      <c r="M358" s="308" t="str">
        <f t="shared" si="4"/>
        <v/>
      </c>
      <c r="N358" s="309" t="str">
        <f t="shared" si="5"/>
        <v/>
      </c>
      <c r="O358" s="322" t="str">
        <f t="shared" si="6"/>
        <v/>
      </c>
      <c r="P358" s="308" t="str">
        <f t="shared" si="7"/>
        <v/>
      </c>
      <c r="Q358" s="311" t="str">
        <f t="shared" si="8"/>
        <v/>
      </c>
      <c r="R358" s="309" t="str">
        <f t="shared" si="9"/>
        <v/>
      </c>
      <c r="S358" s="308" t="str">
        <f t="shared" si="10"/>
        <v/>
      </c>
      <c r="T358" s="309" t="str">
        <f t="shared" si="11"/>
        <v/>
      </c>
      <c r="U358" s="309" t="str">
        <f t="shared" si="12"/>
        <v/>
      </c>
      <c r="V358" s="308" t="str">
        <f t="shared" si="13"/>
        <v/>
      </c>
      <c r="W358" s="309" t="str">
        <f t="shared" si="14"/>
        <v/>
      </c>
      <c r="X358" s="309" t="str">
        <f t="shared" si="15"/>
        <v/>
      </c>
      <c r="Y358" s="308" t="str">
        <f t="shared" si="16"/>
        <v/>
      </c>
      <c r="Z358" s="309" t="str">
        <f t="shared" si="17"/>
        <v/>
      </c>
      <c r="AA358" s="312" t="str">
        <f t="shared" si="18"/>
        <v/>
      </c>
      <c r="AB358" s="308" t="str">
        <f t="shared" si="19"/>
        <v/>
      </c>
      <c r="AC358" s="308" t="str">
        <f t="shared" si="20"/>
        <v/>
      </c>
      <c r="AD358" s="312" t="str">
        <f t="shared" si="21"/>
        <v/>
      </c>
      <c r="AE358" s="308" t="str">
        <f t="shared" si="22"/>
        <v/>
      </c>
      <c r="AF358" s="313" t="str">
        <f t="shared" si="23"/>
        <v/>
      </c>
      <c r="AG358" s="304" t="str">
        <f t="shared" si="24"/>
        <v/>
      </c>
      <c r="AH358" s="308" t="str">
        <f t="shared" si="25"/>
        <v/>
      </c>
      <c r="AI358" s="313" t="str">
        <f t="shared" si="26"/>
        <v/>
      </c>
      <c r="AJ358" s="304" t="str">
        <f t="shared" si="27"/>
        <v/>
      </c>
      <c r="AK358" s="308" t="str">
        <f t="shared" si="28"/>
        <v/>
      </c>
      <c r="AL358" s="308" t="str">
        <f t="shared" si="29"/>
        <v/>
      </c>
      <c r="AM358" s="304" t="str">
        <f t="shared" si="30"/>
        <v/>
      </c>
      <c r="AN358" s="308" t="str">
        <f t="shared" si="31"/>
        <v/>
      </c>
      <c r="AO358" s="313" t="str">
        <f t="shared" si="32"/>
        <v/>
      </c>
      <c r="AP358" s="304" t="str">
        <f t="shared" si="33"/>
        <v/>
      </c>
      <c r="AQ358" s="308" t="str">
        <f t="shared" si="34"/>
        <v/>
      </c>
      <c r="AR358" s="313" t="str">
        <f t="shared" si="35"/>
        <v/>
      </c>
      <c r="AS358" s="304" t="str">
        <f t="shared" si="36"/>
        <v/>
      </c>
      <c r="AT358" s="308" t="str">
        <f t="shared" si="37"/>
        <v/>
      </c>
      <c r="AU358" s="308" t="str">
        <f t="shared" si="38"/>
        <v/>
      </c>
      <c r="AV358" s="304" t="str">
        <f t="shared" si="39"/>
        <v/>
      </c>
      <c r="AW358" s="308" t="str">
        <f t="shared" si="40"/>
        <v/>
      </c>
      <c r="AX358" s="308" t="str">
        <f t="shared" si="41"/>
        <v/>
      </c>
      <c r="AY358" s="304" t="str">
        <f t="shared" si="42"/>
        <v/>
      </c>
      <c r="AZ358" s="308" t="str">
        <f t="shared" si="43"/>
        <v/>
      </c>
      <c r="BA358" s="313" t="str">
        <f t="shared" si="44"/>
        <v/>
      </c>
      <c r="BB358" s="304" t="str">
        <f t="shared" si="45"/>
        <v/>
      </c>
      <c r="BC358" s="308" t="str">
        <f t="shared" si="46"/>
        <v/>
      </c>
      <c r="BD358" s="308" t="str">
        <f t="shared" si="47"/>
        <v/>
      </c>
    </row>
    <row r="359">
      <c r="A359" s="298"/>
      <c r="B359" s="299"/>
      <c r="C359" s="300"/>
      <c r="D359" s="301" t="str">
        <f>IFERROR(__xludf.DUMMYFUNCTION("if(ISBLANK(A359),"""",GOOGLEFINANCE(A359,""NAME""))"),"")</f>
        <v/>
      </c>
      <c r="E359" s="302">
        <v>5000.0</v>
      </c>
      <c r="F359" s="303" t="str">
        <f>IFERROR(__xludf.DUMMYFUNCTION("if(ISBLANK(A359),"""",GOOGLEFINANCE(A359,""HIGH52""))"),"")</f>
        <v/>
      </c>
      <c r="G359" s="303" t="str">
        <f>IFERROR(__xludf.DUMMYFUNCTION("if(ISBLANK(A359),"""",GOOGLEFINANCE(A359,""LOW52""))"),"")</f>
        <v/>
      </c>
      <c r="H359" s="304" t="str">
        <f>IFERROR(__xludf.DUMMYFUNCTION("if(ISBLANK(A359),"""",GOOGLEFINANCE(A359,""Price""))"),"")</f>
        <v/>
      </c>
      <c r="I359" s="305" t="str">
        <f t="shared" si="1"/>
        <v/>
      </c>
      <c r="J359" s="306" t="str">
        <f t="shared" si="2"/>
        <v/>
      </c>
      <c r="K359" s="307" t="str">
        <f>IFERROR(__xludf.DUMMYFUNCTION("if(ISBLANK(A359),"""",googlefinance(A359,""Marketcap"")/10000000)"),"")</f>
        <v/>
      </c>
      <c r="L359" s="309" t="str">
        <f t="shared" si="3"/>
        <v/>
      </c>
      <c r="M359" s="308" t="str">
        <f t="shared" si="4"/>
        <v/>
      </c>
      <c r="N359" s="309" t="str">
        <f t="shared" si="5"/>
        <v/>
      </c>
      <c r="O359" s="322" t="str">
        <f t="shared" si="6"/>
        <v/>
      </c>
      <c r="P359" s="308" t="str">
        <f t="shared" si="7"/>
        <v/>
      </c>
      <c r="Q359" s="311" t="str">
        <f t="shared" si="8"/>
        <v/>
      </c>
      <c r="R359" s="309" t="str">
        <f t="shared" si="9"/>
        <v/>
      </c>
      <c r="S359" s="308" t="str">
        <f t="shared" si="10"/>
        <v/>
      </c>
      <c r="T359" s="309" t="str">
        <f t="shared" si="11"/>
        <v/>
      </c>
      <c r="U359" s="309" t="str">
        <f t="shared" si="12"/>
        <v/>
      </c>
      <c r="V359" s="308" t="str">
        <f t="shared" si="13"/>
        <v/>
      </c>
      <c r="W359" s="309" t="str">
        <f t="shared" si="14"/>
        <v/>
      </c>
      <c r="X359" s="309" t="str">
        <f t="shared" si="15"/>
        <v/>
      </c>
      <c r="Y359" s="308" t="str">
        <f t="shared" si="16"/>
        <v/>
      </c>
      <c r="Z359" s="309" t="str">
        <f t="shared" si="17"/>
        <v/>
      </c>
      <c r="AA359" s="312" t="str">
        <f t="shared" si="18"/>
        <v/>
      </c>
      <c r="AB359" s="308" t="str">
        <f t="shared" si="19"/>
        <v/>
      </c>
      <c r="AC359" s="308" t="str">
        <f t="shared" si="20"/>
        <v/>
      </c>
      <c r="AD359" s="312" t="str">
        <f t="shared" si="21"/>
        <v/>
      </c>
      <c r="AE359" s="308" t="str">
        <f t="shared" si="22"/>
        <v/>
      </c>
      <c r="AF359" s="313" t="str">
        <f t="shared" si="23"/>
        <v/>
      </c>
      <c r="AG359" s="304" t="str">
        <f t="shared" si="24"/>
        <v/>
      </c>
      <c r="AH359" s="308" t="str">
        <f t="shared" si="25"/>
        <v/>
      </c>
      <c r="AI359" s="313" t="str">
        <f t="shared" si="26"/>
        <v/>
      </c>
      <c r="AJ359" s="304" t="str">
        <f t="shared" si="27"/>
        <v/>
      </c>
      <c r="AK359" s="308" t="str">
        <f t="shared" si="28"/>
        <v/>
      </c>
      <c r="AL359" s="308" t="str">
        <f t="shared" si="29"/>
        <v/>
      </c>
      <c r="AM359" s="304" t="str">
        <f t="shared" si="30"/>
        <v/>
      </c>
      <c r="AN359" s="308" t="str">
        <f t="shared" si="31"/>
        <v/>
      </c>
      <c r="AO359" s="313" t="str">
        <f t="shared" si="32"/>
        <v/>
      </c>
      <c r="AP359" s="304" t="str">
        <f t="shared" si="33"/>
        <v/>
      </c>
      <c r="AQ359" s="308" t="str">
        <f t="shared" si="34"/>
        <v/>
      </c>
      <c r="AR359" s="313" t="str">
        <f t="shared" si="35"/>
        <v/>
      </c>
      <c r="AS359" s="304" t="str">
        <f t="shared" si="36"/>
        <v/>
      </c>
      <c r="AT359" s="308" t="str">
        <f t="shared" si="37"/>
        <v/>
      </c>
      <c r="AU359" s="308" t="str">
        <f t="shared" si="38"/>
        <v/>
      </c>
      <c r="AV359" s="304" t="str">
        <f t="shared" si="39"/>
        <v/>
      </c>
      <c r="AW359" s="308" t="str">
        <f t="shared" si="40"/>
        <v/>
      </c>
      <c r="AX359" s="308" t="str">
        <f t="shared" si="41"/>
        <v/>
      </c>
      <c r="AY359" s="304" t="str">
        <f t="shared" si="42"/>
        <v/>
      </c>
      <c r="AZ359" s="308" t="str">
        <f t="shared" si="43"/>
        <v/>
      </c>
      <c r="BA359" s="313" t="str">
        <f t="shared" si="44"/>
        <v/>
      </c>
      <c r="BB359" s="304" t="str">
        <f t="shared" si="45"/>
        <v/>
      </c>
      <c r="BC359" s="308" t="str">
        <f t="shared" si="46"/>
        <v/>
      </c>
      <c r="BD359" s="308" t="str">
        <f t="shared" si="47"/>
        <v/>
      </c>
    </row>
    <row r="360">
      <c r="A360" s="298"/>
      <c r="B360" s="299"/>
      <c r="C360" s="300"/>
      <c r="D360" s="301" t="str">
        <f>IFERROR(__xludf.DUMMYFUNCTION("if(ISBLANK(A360),"""",GOOGLEFINANCE(A360,""NAME""))"),"")</f>
        <v/>
      </c>
      <c r="E360" s="302">
        <v>5000.0</v>
      </c>
      <c r="F360" s="303" t="str">
        <f>IFERROR(__xludf.DUMMYFUNCTION("if(ISBLANK(A360),"""",GOOGLEFINANCE(A360,""HIGH52""))"),"")</f>
        <v/>
      </c>
      <c r="G360" s="303" t="str">
        <f>IFERROR(__xludf.DUMMYFUNCTION("if(ISBLANK(A360),"""",GOOGLEFINANCE(A360,""LOW52""))"),"")</f>
        <v/>
      </c>
      <c r="H360" s="304" t="str">
        <f>IFERROR(__xludf.DUMMYFUNCTION("if(ISBLANK(A360),"""",GOOGLEFINANCE(A360,""Price""))"),"")</f>
        <v/>
      </c>
      <c r="I360" s="305" t="str">
        <f t="shared" si="1"/>
        <v/>
      </c>
      <c r="J360" s="306" t="str">
        <f t="shared" si="2"/>
        <v/>
      </c>
      <c r="K360" s="307" t="str">
        <f>IFERROR(__xludf.DUMMYFUNCTION("if(ISBLANK(A360),"""",googlefinance(A360,""Marketcap"")/10000000)"),"")</f>
        <v/>
      </c>
      <c r="L360" s="309" t="str">
        <f t="shared" si="3"/>
        <v/>
      </c>
      <c r="M360" s="308" t="str">
        <f t="shared" si="4"/>
        <v/>
      </c>
      <c r="N360" s="309" t="str">
        <f t="shared" si="5"/>
        <v/>
      </c>
      <c r="O360" s="322" t="str">
        <f t="shared" si="6"/>
        <v/>
      </c>
      <c r="P360" s="308" t="str">
        <f t="shared" si="7"/>
        <v/>
      </c>
      <c r="Q360" s="311" t="str">
        <f t="shared" si="8"/>
        <v/>
      </c>
      <c r="R360" s="309" t="str">
        <f t="shared" si="9"/>
        <v/>
      </c>
      <c r="S360" s="308" t="str">
        <f t="shared" si="10"/>
        <v/>
      </c>
      <c r="T360" s="309" t="str">
        <f t="shared" si="11"/>
        <v/>
      </c>
      <c r="U360" s="309" t="str">
        <f t="shared" si="12"/>
        <v/>
      </c>
      <c r="V360" s="308" t="str">
        <f t="shared" si="13"/>
        <v/>
      </c>
      <c r="W360" s="309" t="str">
        <f t="shared" si="14"/>
        <v/>
      </c>
      <c r="X360" s="309" t="str">
        <f t="shared" si="15"/>
        <v/>
      </c>
      <c r="Y360" s="308" t="str">
        <f t="shared" si="16"/>
        <v/>
      </c>
      <c r="Z360" s="309" t="str">
        <f t="shared" si="17"/>
        <v/>
      </c>
      <c r="AA360" s="312" t="str">
        <f t="shared" si="18"/>
        <v/>
      </c>
      <c r="AB360" s="308" t="str">
        <f t="shared" si="19"/>
        <v/>
      </c>
      <c r="AC360" s="308" t="str">
        <f t="shared" si="20"/>
        <v/>
      </c>
      <c r="AD360" s="312" t="str">
        <f t="shared" si="21"/>
        <v/>
      </c>
      <c r="AE360" s="308" t="str">
        <f t="shared" si="22"/>
        <v/>
      </c>
      <c r="AF360" s="313" t="str">
        <f t="shared" si="23"/>
        <v/>
      </c>
      <c r="AG360" s="304" t="str">
        <f t="shared" si="24"/>
        <v/>
      </c>
      <c r="AH360" s="308" t="str">
        <f t="shared" si="25"/>
        <v/>
      </c>
      <c r="AI360" s="313" t="str">
        <f t="shared" si="26"/>
        <v/>
      </c>
      <c r="AJ360" s="304" t="str">
        <f t="shared" si="27"/>
        <v/>
      </c>
      <c r="AK360" s="308" t="str">
        <f t="shared" si="28"/>
        <v/>
      </c>
      <c r="AL360" s="308" t="str">
        <f t="shared" si="29"/>
        <v/>
      </c>
      <c r="AM360" s="304" t="str">
        <f t="shared" si="30"/>
        <v/>
      </c>
      <c r="AN360" s="308" t="str">
        <f t="shared" si="31"/>
        <v/>
      </c>
      <c r="AO360" s="313" t="str">
        <f t="shared" si="32"/>
        <v/>
      </c>
      <c r="AP360" s="304" t="str">
        <f t="shared" si="33"/>
        <v/>
      </c>
      <c r="AQ360" s="308" t="str">
        <f t="shared" si="34"/>
        <v/>
      </c>
      <c r="AR360" s="313" t="str">
        <f t="shared" si="35"/>
        <v/>
      </c>
      <c r="AS360" s="304" t="str">
        <f t="shared" si="36"/>
        <v/>
      </c>
      <c r="AT360" s="308" t="str">
        <f t="shared" si="37"/>
        <v/>
      </c>
      <c r="AU360" s="308" t="str">
        <f t="shared" si="38"/>
        <v/>
      </c>
      <c r="AV360" s="304" t="str">
        <f t="shared" si="39"/>
        <v/>
      </c>
      <c r="AW360" s="308" t="str">
        <f t="shared" si="40"/>
        <v/>
      </c>
      <c r="AX360" s="308" t="str">
        <f t="shared" si="41"/>
        <v/>
      </c>
      <c r="AY360" s="304" t="str">
        <f t="shared" si="42"/>
        <v/>
      </c>
      <c r="AZ360" s="308" t="str">
        <f t="shared" si="43"/>
        <v/>
      </c>
      <c r="BA360" s="313" t="str">
        <f t="shared" si="44"/>
        <v/>
      </c>
      <c r="BB360" s="304" t="str">
        <f t="shared" si="45"/>
        <v/>
      </c>
      <c r="BC360" s="308" t="str">
        <f t="shared" si="46"/>
        <v/>
      </c>
      <c r="BD360" s="308" t="str">
        <f t="shared" si="47"/>
        <v/>
      </c>
    </row>
    <row r="361">
      <c r="A361" s="298"/>
      <c r="B361" s="299"/>
      <c r="C361" s="300"/>
      <c r="D361" s="301" t="str">
        <f>IFERROR(__xludf.DUMMYFUNCTION("if(ISBLANK(A361),"""",GOOGLEFINANCE(A361,""NAME""))"),"")</f>
        <v/>
      </c>
      <c r="E361" s="302">
        <v>5000.0</v>
      </c>
      <c r="F361" s="303" t="str">
        <f>IFERROR(__xludf.DUMMYFUNCTION("if(ISBLANK(A361),"""",GOOGLEFINANCE(A361,""HIGH52""))"),"")</f>
        <v/>
      </c>
      <c r="G361" s="303" t="str">
        <f>IFERROR(__xludf.DUMMYFUNCTION("if(ISBLANK(A361),"""",GOOGLEFINANCE(A361,""LOW52""))"),"")</f>
        <v/>
      </c>
      <c r="H361" s="304" t="str">
        <f>IFERROR(__xludf.DUMMYFUNCTION("if(ISBLANK(A361),"""",GOOGLEFINANCE(A361,""Price""))"),"")</f>
        <v/>
      </c>
      <c r="I361" s="305" t="str">
        <f t="shared" si="1"/>
        <v/>
      </c>
      <c r="J361" s="306" t="str">
        <f t="shared" si="2"/>
        <v/>
      </c>
      <c r="K361" s="307" t="str">
        <f>IFERROR(__xludf.DUMMYFUNCTION("if(ISBLANK(A361),"""",googlefinance(A361,""Marketcap"")/10000000)"),"")</f>
        <v/>
      </c>
      <c r="L361" s="309" t="str">
        <f t="shared" si="3"/>
        <v/>
      </c>
      <c r="M361" s="308" t="str">
        <f t="shared" si="4"/>
        <v/>
      </c>
      <c r="N361" s="309" t="str">
        <f t="shared" si="5"/>
        <v/>
      </c>
      <c r="O361" s="322" t="str">
        <f t="shared" si="6"/>
        <v/>
      </c>
      <c r="P361" s="308" t="str">
        <f t="shared" si="7"/>
        <v/>
      </c>
      <c r="Q361" s="311" t="str">
        <f t="shared" si="8"/>
        <v/>
      </c>
      <c r="R361" s="309" t="str">
        <f t="shared" si="9"/>
        <v/>
      </c>
      <c r="S361" s="308" t="str">
        <f t="shared" si="10"/>
        <v/>
      </c>
      <c r="T361" s="309" t="str">
        <f t="shared" si="11"/>
        <v/>
      </c>
      <c r="U361" s="309" t="str">
        <f t="shared" si="12"/>
        <v/>
      </c>
      <c r="V361" s="308" t="str">
        <f t="shared" si="13"/>
        <v/>
      </c>
      <c r="W361" s="309" t="str">
        <f t="shared" si="14"/>
        <v/>
      </c>
      <c r="X361" s="309" t="str">
        <f t="shared" si="15"/>
        <v/>
      </c>
      <c r="Y361" s="308" t="str">
        <f t="shared" si="16"/>
        <v/>
      </c>
      <c r="Z361" s="309" t="str">
        <f t="shared" si="17"/>
        <v/>
      </c>
      <c r="AA361" s="312" t="str">
        <f t="shared" si="18"/>
        <v/>
      </c>
      <c r="AB361" s="308" t="str">
        <f t="shared" si="19"/>
        <v/>
      </c>
      <c r="AC361" s="308" t="str">
        <f t="shared" si="20"/>
        <v/>
      </c>
      <c r="AD361" s="312" t="str">
        <f t="shared" si="21"/>
        <v/>
      </c>
      <c r="AE361" s="308" t="str">
        <f t="shared" si="22"/>
        <v/>
      </c>
      <c r="AF361" s="313" t="str">
        <f t="shared" si="23"/>
        <v/>
      </c>
      <c r="AG361" s="304" t="str">
        <f t="shared" si="24"/>
        <v/>
      </c>
      <c r="AH361" s="308" t="str">
        <f t="shared" si="25"/>
        <v/>
      </c>
      <c r="AI361" s="313" t="str">
        <f t="shared" si="26"/>
        <v/>
      </c>
      <c r="AJ361" s="304" t="str">
        <f t="shared" si="27"/>
        <v/>
      </c>
      <c r="AK361" s="308" t="str">
        <f t="shared" si="28"/>
        <v/>
      </c>
      <c r="AL361" s="308" t="str">
        <f t="shared" si="29"/>
        <v/>
      </c>
      <c r="AM361" s="304" t="str">
        <f t="shared" si="30"/>
        <v/>
      </c>
      <c r="AN361" s="308" t="str">
        <f t="shared" si="31"/>
        <v/>
      </c>
      <c r="AO361" s="313" t="str">
        <f t="shared" si="32"/>
        <v/>
      </c>
      <c r="AP361" s="304" t="str">
        <f t="shared" si="33"/>
        <v/>
      </c>
      <c r="AQ361" s="308" t="str">
        <f t="shared" si="34"/>
        <v/>
      </c>
      <c r="AR361" s="313" t="str">
        <f t="shared" si="35"/>
        <v/>
      </c>
      <c r="AS361" s="304" t="str">
        <f t="shared" si="36"/>
        <v/>
      </c>
      <c r="AT361" s="308" t="str">
        <f t="shared" si="37"/>
        <v/>
      </c>
      <c r="AU361" s="308" t="str">
        <f t="shared" si="38"/>
        <v/>
      </c>
      <c r="AV361" s="304" t="str">
        <f t="shared" si="39"/>
        <v/>
      </c>
      <c r="AW361" s="308" t="str">
        <f t="shared" si="40"/>
        <v/>
      </c>
      <c r="AX361" s="308" t="str">
        <f t="shared" si="41"/>
        <v/>
      </c>
      <c r="AY361" s="304" t="str">
        <f t="shared" si="42"/>
        <v/>
      </c>
      <c r="AZ361" s="308" t="str">
        <f t="shared" si="43"/>
        <v/>
      </c>
      <c r="BA361" s="313" t="str">
        <f t="shared" si="44"/>
        <v/>
      </c>
      <c r="BB361" s="304" t="str">
        <f t="shared" si="45"/>
        <v/>
      </c>
      <c r="BC361" s="308" t="str">
        <f t="shared" si="46"/>
        <v/>
      </c>
      <c r="BD361" s="308" t="str">
        <f t="shared" si="47"/>
        <v/>
      </c>
    </row>
    <row r="362">
      <c r="A362" s="298"/>
      <c r="B362" s="299"/>
      <c r="C362" s="300"/>
      <c r="D362" s="301" t="str">
        <f>IFERROR(__xludf.DUMMYFUNCTION("if(ISBLANK(A362),"""",GOOGLEFINANCE(A362,""NAME""))"),"")</f>
        <v/>
      </c>
      <c r="E362" s="302">
        <v>5000.0</v>
      </c>
      <c r="F362" s="303" t="str">
        <f>IFERROR(__xludf.DUMMYFUNCTION("if(ISBLANK(A362),"""",GOOGLEFINANCE(A362,""HIGH52""))"),"")</f>
        <v/>
      </c>
      <c r="G362" s="303" t="str">
        <f>IFERROR(__xludf.DUMMYFUNCTION("if(ISBLANK(A362),"""",GOOGLEFINANCE(A362,""LOW52""))"),"")</f>
        <v/>
      </c>
      <c r="H362" s="304" t="str">
        <f>IFERROR(__xludf.DUMMYFUNCTION("if(ISBLANK(A362),"""",GOOGLEFINANCE(A362,""Price""))"),"")</f>
        <v/>
      </c>
      <c r="I362" s="305" t="str">
        <f t="shared" si="1"/>
        <v/>
      </c>
      <c r="J362" s="306" t="str">
        <f t="shared" si="2"/>
        <v/>
      </c>
      <c r="K362" s="307" t="str">
        <f>IFERROR(__xludf.DUMMYFUNCTION("if(ISBLANK(A362),"""",googlefinance(A362,""Marketcap"")/10000000)"),"")</f>
        <v/>
      </c>
      <c r="L362" s="309" t="str">
        <f t="shared" si="3"/>
        <v/>
      </c>
      <c r="M362" s="308" t="str">
        <f t="shared" si="4"/>
        <v/>
      </c>
      <c r="N362" s="309" t="str">
        <f t="shared" si="5"/>
        <v/>
      </c>
      <c r="O362" s="322" t="str">
        <f t="shared" si="6"/>
        <v/>
      </c>
      <c r="P362" s="308" t="str">
        <f t="shared" si="7"/>
        <v/>
      </c>
      <c r="Q362" s="311" t="str">
        <f t="shared" si="8"/>
        <v/>
      </c>
      <c r="R362" s="309" t="str">
        <f t="shared" si="9"/>
        <v/>
      </c>
      <c r="S362" s="308" t="str">
        <f t="shared" si="10"/>
        <v/>
      </c>
      <c r="T362" s="309" t="str">
        <f t="shared" si="11"/>
        <v/>
      </c>
      <c r="U362" s="309" t="str">
        <f t="shared" si="12"/>
        <v/>
      </c>
      <c r="V362" s="308" t="str">
        <f t="shared" si="13"/>
        <v/>
      </c>
      <c r="W362" s="309" t="str">
        <f t="shared" si="14"/>
        <v/>
      </c>
      <c r="X362" s="309" t="str">
        <f t="shared" si="15"/>
        <v/>
      </c>
      <c r="Y362" s="308" t="str">
        <f t="shared" si="16"/>
        <v/>
      </c>
      <c r="Z362" s="309" t="str">
        <f t="shared" si="17"/>
        <v/>
      </c>
      <c r="AA362" s="312" t="str">
        <f t="shared" si="18"/>
        <v/>
      </c>
      <c r="AB362" s="308" t="str">
        <f t="shared" si="19"/>
        <v/>
      </c>
      <c r="AC362" s="308" t="str">
        <f t="shared" si="20"/>
        <v/>
      </c>
      <c r="AD362" s="312" t="str">
        <f t="shared" si="21"/>
        <v/>
      </c>
      <c r="AE362" s="308" t="str">
        <f t="shared" si="22"/>
        <v/>
      </c>
      <c r="AF362" s="313" t="str">
        <f t="shared" si="23"/>
        <v/>
      </c>
      <c r="AG362" s="304" t="str">
        <f t="shared" si="24"/>
        <v/>
      </c>
      <c r="AH362" s="308" t="str">
        <f t="shared" si="25"/>
        <v/>
      </c>
      <c r="AI362" s="313" t="str">
        <f t="shared" si="26"/>
        <v/>
      </c>
      <c r="AJ362" s="304" t="str">
        <f t="shared" si="27"/>
        <v/>
      </c>
      <c r="AK362" s="308" t="str">
        <f t="shared" si="28"/>
        <v/>
      </c>
      <c r="AL362" s="308" t="str">
        <f t="shared" si="29"/>
        <v/>
      </c>
      <c r="AM362" s="304" t="str">
        <f t="shared" si="30"/>
        <v/>
      </c>
      <c r="AN362" s="308" t="str">
        <f t="shared" si="31"/>
        <v/>
      </c>
      <c r="AO362" s="313" t="str">
        <f t="shared" si="32"/>
        <v/>
      </c>
      <c r="AP362" s="304" t="str">
        <f t="shared" si="33"/>
        <v/>
      </c>
      <c r="AQ362" s="308" t="str">
        <f t="shared" si="34"/>
        <v/>
      </c>
      <c r="AR362" s="313" t="str">
        <f t="shared" si="35"/>
        <v/>
      </c>
      <c r="AS362" s="304" t="str">
        <f t="shared" si="36"/>
        <v/>
      </c>
      <c r="AT362" s="308" t="str">
        <f t="shared" si="37"/>
        <v/>
      </c>
      <c r="AU362" s="308" t="str">
        <f t="shared" si="38"/>
        <v/>
      </c>
      <c r="AV362" s="304" t="str">
        <f t="shared" si="39"/>
        <v/>
      </c>
      <c r="AW362" s="308" t="str">
        <f t="shared" si="40"/>
        <v/>
      </c>
      <c r="AX362" s="308" t="str">
        <f t="shared" si="41"/>
        <v/>
      </c>
      <c r="AY362" s="304" t="str">
        <f t="shared" si="42"/>
        <v/>
      </c>
      <c r="AZ362" s="308" t="str">
        <f t="shared" si="43"/>
        <v/>
      </c>
      <c r="BA362" s="313" t="str">
        <f t="shared" si="44"/>
        <v/>
      </c>
      <c r="BB362" s="304" t="str">
        <f t="shared" si="45"/>
        <v/>
      </c>
      <c r="BC362" s="308" t="str">
        <f t="shared" si="46"/>
        <v/>
      </c>
      <c r="BD362" s="308" t="str">
        <f t="shared" si="47"/>
        <v/>
      </c>
    </row>
    <row r="363">
      <c r="A363" s="298"/>
      <c r="B363" s="299"/>
      <c r="C363" s="300"/>
      <c r="D363" s="301" t="str">
        <f>IFERROR(__xludf.DUMMYFUNCTION("if(ISBLANK(A363),"""",GOOGLEFINANCE(A363,""NAME""))"),"")</f>
        <v/>
      </c>
      <c r="E363" s="302">
        <v>5000.0</v>
      </c>
      <c r="F363" s="303" t="str">
        <f>IFERROR(__xludf.DUMMYFUNCTION("if(ISBLANK(A363),"""",GOOGLEFINANCE(A363,""HIGH52""))"),"")</f>
        <v/>
      </c>
      <c r="G363" s="303" t="str">
        <f>IFERROR(__xludf.DUMMYFUNCTION("if(ISBLANK(A363),"""",GOOGLEFINANCE(A363,""LOW52""))"),"")</f>
        <v/>
      </c>
      <c r="H363" s="304" t="str">
        <f>IFERROR(__xludf.DUMMYFUNCTION("if(ISBLANK(A363),"""",GOOGLEFINANCE(A363,""Price""))"),"")</f>
        <v/>
      </c>
      <c r="I363" s="305" t="str">
        <f t="shared" si="1"/>
        <v/>
      </c>
      <c r="J363" s="306" t="str">
        <f t="shared" si="2"/>
        <v/>
      </c>
      <c r="K363" s="307" t="str">
        <f>IFERROR(__xludf.DUMMYFUNCTION("if(ISBLANK(A363),"""",googlefinance(A363,""Marketcap"")/10000000)"),"")</f>
        <v/>
      </c>
      <c r="L363" s="309" t="str">
        <f t="shared" si="3"/>
        <v/>
      </c>
      <c r="M363" s="308" t="str">
        <f t="shared" si="4"/>
        <v/>
      </c>
      <c r="N363" s="309" t="str">
        <f t="shared" si="5"/>
        <v/>
      </c>
      <c r="O363" s="322" t="str">
        <f t="shared" si="6"/>
        <v/>
      </c>
      <c r="P363" s="308" t="str">
        <f t="shared" si="7"/>
        <v/>
      </c>
      <c r="Q363" s="311" t="str">
        <f t="shared" si="8"/>
        <v/>
      </c>
      <c r="R363" s="309" t="str">
        <f t="shared" si="9"/>
        <v/>
      </c>
      <c r="S363" s="308" t="str">
        <f t="shared" si="10"/>
        <v/>
      </c>
      <c r="T363" s="309" t="str">
        <f t="shared" si="11"/>
        <v/>
      </c>
      <c r="U363" s="309" t="str">
        <f t="shared" si="12"/>
        <v/>
      </c>
      <c r="V363" s="308" t="str">
        <f t="shared" si="13"/>
        <v/>
      </c>
      <c r="W363" s="309" t="str">
        <f t="shared" si="14"/>
        <v/>
      </c>
      <c r="X363" s="309" t="str">
        <f t="shared" si="15"/>
        <v/>
      </c>
      <c r="Y363" s="308" t="str">
        <f t="shared" si="16"/>
        <v/>
      </c>
      <c r="Z363" s="309" t="str">
        <f t="shared" si="17"/>
        <v/>
      </c>
      <c r="AA363" s="312" t="str">
        <f t="shared" si="18"/>
        <v/>
      </c>
      <c r="AB363" s="308" t="str">
        <f t="shared" si="19"/>
        <v/>
      </c>
      <c r="AC363" s="308" t="str">
        <f t="shared" si="20"/>
        <v/>
      </c>
      <c r="AD363" s="312" t="str">
        <f t="shared" si="21"/>
        <v/>
      </c>
      <c r="AE363" s="308" t="str">
        <f t="shared" si="22"/>
        <v/>
      </c>
      <c r="AF363" s="313" t="str">
        <f t="shared" si="23"/>
        <v/>
      </c>
      <c r="AG363" s="304" t="str">
        <f t="shared" si="24"/>
        <v/>
      </c>
      <c r="AH363" s="308" t="str">
        <f t="shared" si="25"/>
        <v/>
      </c>
      <c r="AI363" s="313" t="str">
        <f t="shared" si="26"/>
        <v/>
      </c>
      <c r="AJ363" s="304" t="str">
        <f t="shared" si="27"/>
        <v/>
      </c>
      <c r="AK363" s="308" t="str">
        <f t="shared" si="28"/>
        <v/>
      </c>
      <c r="AL363" s="308" t="str">
        <f t="shared" si="29"/>
        <v/>
      </c>
      <c r="AM363" s="304" t="str">
        <f t="shared" si="30"/>
        <v/>
      </c>
      <c r="AN363" s="308" t="str">
        <f t="shared" si="31"/>
        <v/>
      </c>
      <c r="AO363" s="313" t="str">
        <f t="shared" si="32"/>
        <v/>
      </c>
      <c r="AP363" s="304" t="str">
        <f t="shared" si="33"/>
        <v/>
      </c>
      <c r="AQ363" s="308" t="str">
        <f t="shared" si="34"/>
        <v/>
      </c>
      <c r="AR363" s="313" t="str">
        <f t="shared" si="35"/>
        <v/>
      </c>
      <c r="AS363" s="304" t="str">
        <f t="shared" si="36"/>
        <v/>
      </c>
      <c r="AT363" s="308" t="str">
        <f t="shared" si="37"/>
        <v/>
      </c>
      <c r="AU363" s="308" t="str">
        <f t="shared" si="38"/>
        <v/>
      </c>
      <c r="AV363" s="304" t="str">
        <f t="shared" si="39"/>
        <v/>
      </c>
      <c r="AW363" s="308" t="str">
        <f t="shared" si="40"/>
        <v/>
      </c>
      <c r="AX363" s="308" t="str">
        <f t="shared" si="41"/>
        <v/>
      </c>
      <c r="AY363" s="304" t="str">
        <f t="shared" si="42"/>
        <v/>
      </c>
      <c r="AZ363" s="308" t="str">
        <f t="shared" si="43"/>
        <v/>
      </c>
      <c r="BA363" s="313" t="str">
        <f t="shared" si="44"/>
        <v/>
      </c>
      <c r="BB363" s="304" t="str">
        <f t="shared" si="45"/>
        <v/>
      </c>
      <c r="BC363" s="308" t="str">
        <f t="shared" si="46"/>
        <v/>
      </c>
      <c r="BD363" s="308" t="str">
        <f t="shared" si="47"/>
        <v/>
      </c>
    </row>
    <row r="364">
      <c r="A364" s="298"/>
      <c r="B364" s="299"/>
      <c r="C364" s="300"/>
      <c r="D364" s="301" t="str">
        <f>IFERROR(__xludf.DUMMYFUNCTION("if(ISBLANK(A364),"""",GOOGLEFINANCE(A364,""NAME""))"),"")</f>
        <v/>
      </c>
      <c r="E364" s="302">
        <v>5000.0</v>
      </c>
      <c r="F364" s="303" t="str">
        <f>IFERROR(__xludf.DUMMYFUNCTION("if(ISBLANK(A364),"""",GOOGLEFINANCE(A364,""HIGH52""))"),"")</f>
        <v/>
      </c>
      <c r="G364" s="303" t="str">
        <f>IFERROR(__xludf.DUMMYFUNCTION("if(ISBLANK(A364),"""",GOOGLEFINANCE(A364,""LOW52""))"),"")</f>
        <v/>
      </c>
      <c r="H364" s="304" t="str">
        <f>IFERROR(__xludf.DUMMYFUNCTION("if(ISBLANK(A364),"""",GOOGLEFINANCE(A364,""Price""))"),"")</f>
        <v/>
      </c>
      <c r="I364" s="305" t="str">
        <f t="shared" si="1"/>
        <v/>
      </c>
      <c r="J364" s="306" t="str">
        <f t="shared" si="2"/>
        <v/>
      </c>
      <c r="K364" s="307" t="str">
        <f>IFERROR(__xludf.DUMMYFUNCTION("if(ISBLANK(A364),"""",googlefinance(A364,""Marketcap"")/10000000)"),"")</f>
        <v/>
      </c>
      <c r="L364" s="309" t="str">
        <f t="shared" si="3"/>
        <v/>
      </c>
      <c r="M364" s="308" t="str">
        <f t="shared" si="4"/>
        <v/>
      </c>
      <c r="N364" s="309" t="str">
        <f t="shared" si="5"/>
        <v/>
      </c>
      <c r="O364" s="322" t="str">
        <f t="shared" si="6"/>
        <v/>
      </c>
      <c r="P364" s="308" t="str">
        <f t="shared" si="7"/>
        <v/>
      </c>
      <c r="Q364" s="311" t="str">
        <f t="shared" si="8"/>
        <v/>
      </c>
      <c r="R364" s="309" t="str">
        <f t="shared" si="9"/>
        <v/>
      </c>
      <c r="S364" s="308" t="str">
        <f t="shared" si="10"/>
        <v/>
      </c>
      <c r="T364" s="309" t="str">
        <f t="shared" si="11"/>
        <v/>
      </c>
      <c r="U364" s="309" t="str">
        <f t="shared" si="12"/>
        <v/>
      </c>
      <c r="V364" s="308" t="str">
        <f t="shared" si="13"/>
        <v/>
      </c>
      <c r="W364" s="309" t="str">
        <f t="shared" si="14"/>
        <v/>
      </c>
      <c r="X364" s="309" t="str">
        <f t="shared" si="15"/>
        <v/>
      </c>
      <c r="Y364" s="308" t="str">
        <f t="shared" si="16"/>
        <v/>
      </c>
      <c r="Z364" s="309" t="str">
        <f t="shared" si="17"/>
        <v/>
      </c>
      <c r="AA364" s="312" t="str">
        <f t="shared" si="18"/>
        <v/>
      </c>
      <c r="AB364" s="308" t="str">
        <f t="shared" si="19"/>
        <v/>
      </c>
      <c r="AC364" s="308" t="str">
        <f t="shared" si="20"/>
        <v/>
      </c>
      <c r="AD364" s="312" t="str">
        <f t="shared" si="21"/>
        <v/>
      </c>
      <c r="AE364" s="308" t="str">
        <f t="shared" si="22"/>
        <v/>
      </c>
      <c r="AF364" s="313" t="str">
        <f t="shared" si="23"/>
        <v/>
      </c>
      <c r="AG364" s="304" t="str">
        <f t="shared" si="24"/>
        <v/>
      </c>
      <c r="AH364" s="308" t="str">
        <f t="shared" si="25"/>
        <v/>
      </c>
      <c r="AI364" s="313" t="str">
        <f t="shared" si="26"/>
        <v/>
      </c>
      <c r="AJ364" s="304" t="str">
        <f t="shared" si="27"/>
        <v/>
      </c>
      <c r="AK364" s="308" t="str">
        <f t="shared" si="28"/>
        <v/>
      </c>
      <c r="AL364" s="308" t="str">
        <f t="shared" si="29"/>
        <v/>
      </c>
      <c r="AM364" s="304" t="str">
        <f t="shared" si="30"/>
        <v/>
      </c>
      <c r="AN364" s="308" t="str">
        <f t="shared" si="31"/>
        <v/>
      </c>
      <c r="AO364" s="313" t="str">
        <f t="shared" si="32"/>
        <v/>
      </c>
      <c r="AP364" s="304" t="str">
        <f t="shared" si="33"/>
        <v/>
      </c>
      <c r="AQ364" s="308" t="str">
        <f t="shared" si="34"/>
        <v/>
      </c>
      <c r="AR364" s="313" t="str">
        <f t="shared" si="35"/>
        <v/>
      </c>
      <c r="AS364" s="304" t="str">
        <f t="shared" si="36"/>
        <v/>
      </c>
      <c r="AT364" s="308" t="str">
        <f t="shared" si="37"/>
        <v/>
      </c>
      <c r="AU364" s="308" t="str">
        <f t="shared" si="38"/>
        <v/>
      </c>
      <c r="AV364" s="304" t="str">
        <f t="shared" si="39"/>
        <v/>
      </c>
      <c r="AW364" s="308" t="str">
        <f t="shared" si="40"/>
        <v/>
      </c>
      <c r="AX364" s="308" t="str">
        <f t="shared" si="41"/>
        <v/>
      </c>
      <c r="AY364" s="304" t="str">
        <f t="shared" si="42"/>
        <v/>
      </c>
      <c r="AZ364" s="308" t="str">
        <f t="shared" si="43"/>
        <v/>
      </c>
      <c r="BA364" s="313" t="str">
        <f t="shared" si="44"/>
        <v/>
      </c>
      <c r="BB364" s="304" t="str">
        <f t="shared" si="45"/>
        <v/>
      </c>
      <c r="BC364" s="308" t="str">
        <f t="shared" si="46"/>
        <v/>
      </c>
      <c r="BD364" s="308" t="str">
        <f t="shared" si="47"/>
        <v/>
      </c>
    </row>
    <row r="365">
      <c r="A365" s="298"/>
      <c r="B365" s="299"/>
      <c r="C365" s="300"/>
      <c r="D365" s="301" t="str">
        <f>IFERROR(__xludf.DUMMYFUNCTION("if(ISBLANK(A365),"""",GOOGLEFINANCE(A365,""NAME""))"),"")</f>
        <v/>
      </c>
      <c r="E365" s="302">
        <v>5000.0</v>
      </c>
      <c r="F365" s="303" t="str">
        <f>IFERROR(__xludf.DUMMYFUNCTION("if(ISBLANK(A365),"""",GOOGLEFINANCE(A365,""HIGH52""))"),"")</f>
        <v/>
      </c>
      <c r="G365" s="303" t="str">
        <f>IFERROR(__xludf.DUMMYFUNCTION("if(ISBLANK(A365),"""",GOOGLEFINANCE(A365,""LOW52""))"),"")</f>
        <v/>
      </c>
      <c r="H365" s="304" t="str">
        <f>IFERROR(__xludf.DUMMYFUNCTION("if(ISBLANK(A365),"""",GOOGLEFINANCE(A365,""Price""))"),"")</f>
        <v/>
      </c>
      <c r="I365" s="305" t="str">
        <f t="shared" si="1"/>
        <v/>
      </c>
      <c r="J365" s="306" t="str">
        <f t="shared" si="2"/>
        <v/>
      </c>
      <c r="K365" s="307" t="str">
        <f>IFERROR(__xludf.DUMMYFUNCTION("if(ISBLANK(A365),"""",googlefinance(A365,""Marketcap"")/10000000)"),"")</f>
        <v/>
      </c>
      <c r="L365" s="309" t="str">
        <f t="shared" si="3"/>
        <v/>
      </c>
      <c r="M365" s="308" t="str">
        <f t="shared" si="4"/>
        <v/>
      </c>
      <c r="N365" s="309" t="str">
        <f t="shared" si="5"/>
        <v/>
      </c>
      <c r="O365" s="322" t="str">
        <f t="shared" si="6"/>
        <v/>
      </c>
      <c r="P365" s="308" t="str">
        <f t="shared" si="7"/>
        <v/>
      </c>
      <c r="Q365" s="311" t="str">
        <f t="shared" si="8"/>
        <v/>
      </c>
      <c r="R365" s="309" t="str">
        <f t="shared" si="9"/>
        <v/>
      </c>
      <c r="S365" s="308" t="str">
        <f t="shared" si="10"/>
        <v/>
      </c>
      <c r="T365" s="309" t="str">
        <f t="shared" si="11"/>
        <v/>
      </c>
      <c r="U365" s="309" t="str">
        <f t="shared" si="12"/>
        <v/>
      </c>
      <c r="V365" s="308" t="str">
        <f t="shared" si="13"/>
        <v/>
      </c>
      <c r="W365" s="309" t="str">
        <f t="shared" si="14"/>
        <v/>
      </c>
      <c r="X365" s="309" t="str">
        <f t="shared" si="15"/>
        <v/>
      </c>
      <c r="Y365" s="308" t="str">
        <f t="shared" si="16"/>
        <v/>
      </c>
      <c r="Z365" s="309" t="str">
        <f t="shared" si="17"/>
        <v/>
      </c>
      <c r="AA365" s="312" t="str">
        <f t="shared" si="18"/>
        <v/>
      </c>
      <c r="AB365" s="308" t="str">
        <f t="shared" si="19"/>
        <v/>
      </c>
      <c r="AC365" s="308" t="str">
        <f t="shared" si="20"/>
        <v/>
      </c>
      <c r="AD365" s="312" t="str">
        <f t="shared" si="21"/>
        <v/>
      </c>
      <c r="AE365" s="308" t="str">
        <f t="shared" si="22"/>
        <v/>
      </c>
      <c r="AF365" s="313" t="str">
        <f t="shared" si="23"/>
        <v/>
      </c>
      <c r="AG365" s="304" t="str">
        <f t="shared" si="24"/>
        <v/>
      </c>
      <c r="AH365" s="308" t="str">
        <f t="shared" si="25"/>
        <v/>
      </c>
      <c r="AI365" s="313" t="str">
        <f t="shared" si="26"/>
        <v/>
      </c>
      <c r="AJ365" s="304" t="str">
        <f t="shared" si="27"/>
        <v/>
      </c>
      <c r="AK365" s="308" t="str">
        <f t="shared" si="28"/>
        <v/>
      </c>
      <c r="AL365" s="308" t="str">
        <f t="shared" si="29"/>
        <v/>
      </c>
      <c r="AM365" s="304" t="str">
        <f t="shared" si="30"/>
        <v/>
      </c>
      <c r="AN365" s="308" t="str">
        <f t="shared" si="31"/>
        <v/>
      </c>
      <c r="AO365" s="313" t="str">
        <f t="shared" si="32"/>
        <v/>
      </c>
      <c r="AP365" s="304" t="str">
        <f t="shared" si="33"/>
        <v/>
      </c>
      <c r="AQ365" s="308" t="str">
        <f t="shared" si="34"/>
        <v/>
      </c>
      <c r="AR365" s="313" t="str">
        <f t="shared" si="35"/>
        <v/>
      </c>
      <c r="AS365" s="304" t="str">
        <f t="shared" si="36"/>
        <v/>
      </c>
      <c r="AT365" s="308" t="str">
        <f t="shared" si="37"/>
        <v/>
      </c>
      <c r="AU365" s="308" t="str">
        <f t="shared" si="38"/>
        <v/>
      </c>
      <c r="AV365" s="304" t="str">
        <f t="shared" si="39"/>
        <v/>
      </c>
      <c r="AW365" s="308" t="str">
        <f t="shared" si="40"/>
        <v/>
      </c>
      <c r="AX365" s="308" t="str">
        <f t="shared" si="41"/>
        <v/>
      </c>
      <c r="AY365" s="304" t="str">
        <f t="shared" si="42"/>
        <v/>
      </c>
      <c r="AZ365" s="308" t="str">
        <f t="shared" si="43"/>
        <v/>
      </c>
      <c r="BA365" s="313" t="str">
        <f t="shared" si="44"/>
        <v/>
      </c>
      <c r="BB365" s="304" t="str">
        <f t="shared" si="45"/>
        <v/>
      </c>
      <c r="BC365" s="308" t="str">
        <f t="shared" si="46"/>
        <v/>
      </c>
      <c r="BD365" s="308" t="str">
        <f t="shared" si="47"/>
        <v/>
      </c>
    </row>
    <row r="366">
      <c r="A366" s="298"/>
      <c r="B366" s="299"/>
      <c r="C366" s="300"/>
      <c r="D366" s="301" t="str">
        <f>IFERROR(__xludf.DUMMYFUNCTION("if(ISBLANK(A366),"""",GOOGLEFINANCE(A366,""NAME""))"),"")</f>
        <v/>
      </c>
      <c r="E366" s="302">
        <v>5000.0</v>
      </c>
      <c r="F366" s="303" t="str">
        <f>IFERROR(__xludf.DUMMYFUNCTION("if(ISBLANK(A366),"""",GOOGLEFINANCE(A366,""HIGH52""))"),"")</f>
        <v/>
      </c>
      <c r="G366" s="303" t="str">
        <f>IFERROR(__xludf.DUMMYFUNCTION("if(ISBLANK(A366),"""",GOOGLEFINANCE(A366,""LOW52""))"),"")</f>
        <v/>
      </c>
      <c r="H366" s="304" t="str">
        <f>IFERROR(__xludf.DUMMYFUNCTION("if(ISBLANK(A366),"""",GOOGLEFINANCE(A366,""Price""))"),"")</f>
        <v/>
      </c>
      <c r="I366" s="305" t="str">
        <f t="shared" si="1"/>
        <v/>
      </c>
      <c r="J366" s="306" t="str">
        <f t="shared" si="2"/>
        <v/>
      </c>
      <c r="K366" s="307" t="str">
        <f>IFERROR(__xludf.DUMMYFUNCTION("if(ISBLANK(A366),"""",googlefinance(A366,""Marketcap"")/10000000)"),"")</f>
        <v/>
      </c>
      <c r="L366" s="309" t="str">
        <f t="shared" si="3"/>
        <v/>
      </c>
      <c r="M366" s="308" t="str">
        <f t="shared" si="4"/>
        <v/>
      </c>
      <c r="N366" s="309" t="str">
        <f t="shared" si="5"/>
        <v/>
      </c>
      <c r="O366" s="322" t="str">
        <f t="shared" si="6"/>
        <v/>
      </c>
      <c r="P366" s="308" t="str">
        <f t="shared" si="7"/>
        <v/>
      </c>
      <c r="Q366" s="311" t="str">
        <f t="shared" si="8"/>
        <v/>
      </c>
      <c r="R366" s="309" t="str">
        <f t="shared" si="9"/>
        <v/>
      </c>
      <c r="S366" s="308" t="str">
        <f t="shared" si="10"/>
        <v/>
      </c>
      <c r="T366" s="309" t="str">
        <f t="shared" si="11"/>
        <v/>
      </c>
      <c r="U366" s="309" t="str">
        <f t="shared" si="12"/>
        <v/>
      </c>
      <c r="V366" s="308" t="str">
        <f t="shared" si="13"/>
        <v/>
      </c>
      <c r="W366" s="309" t="str">
        <f t="shared" si="14"/>
        <v/>
      </c>
      <c r="X366" s="309" t="str">
        <f t="shared" si="15"/>
        <v/>
      </c>
      <c r="Y366" s="308" t="str">
        <f t="shared" si="16"/>
        <v/>
      </c>
      <c r="Z366" s="309" t="str">
        <f t="shared" si="17"/>
        <v/>
      </c>
      <c r="AA366" s="312" t="str">
        <f t="shared" si="18"/>
        <v/>
      </c>
      <c r="AB366" s="308" t="str">
        <f t="shared" si="19"/>
        <v/>
      </c>
      <c r="AC366" s="308" t="str">
        <f t="shared" si="20"/>
        <v/>
      </c>
      <c r="AD366" s="312" t="str">
        <f t="shared" si="21"/>
        <v/>
      </c>
      <c r="AE366" s="308" t="str">
        <f t="shared" si="22"/>
        <v/>
      </c>
      <c r="AF366" s="313" t="str">
        <f t="shared" si="23"/>
        <v/>
      </c>
      <c r="AG366" s="304" t="str">
        <f t="shared" si="24"/>
        <v/>
      </c>
      <c r="AH366" s="308" t="str">
        <f t="shared" si="25"/>
        <v/>
      </c>
      <c r="AI366" s="313" t="str">
        <f t="shared" si="26"/>
        <v/>
      </c>
      <c r="AJ366" s="304" t="str">
        <f t="shared" si="27"/>
        <v/>
      </c>
      <c r="AK366" s="308" t="str">
        <f t="shared" si="28"/>
        <v/>
      </c>
      <c r="AL366" s="308" t="str">
        <f t="shared" si="29"/>
        <v/>
      </c>
      <c r="AM366" s="304" t="str">
        <f t="shared" si="30"/>
        <v/>
      </c>
      <c r="AN366" s="308" t="str">
        <f t="shared" si="31"/>
        <v/>
      </c>
      <c r="AO366" s="313" t="str">
        <f t="shared" si="32"/>
        <v/>
      </c>
      <c r="AP366" s="304" t="str">
        <f t="shared" si="33"/>
        <v/>
      </c>
      <c r="AQ366" s="308" t="str">
        <f t="shared" si="34"/>
        <v/>
      </c>
      <c r="AR366" s="313" t="str">
        <f t="shared" si="35"/>
        <v/>
      </c>
      <c r="AS366" s="304" t="str">
        <f t="shared" si="36"/>
        <v/>
      </c>
      <c r="AT366" s="308" t="str">
        <f t="shared" si="37"/>
        <v/>
      </c>
      <c r="AU366" s="308" t="str">
        <f t="shared" si="38"/>
        <v/>
      </c>
      <c r="AV366" s="304" t="str">
        <f t="shared" si="39"/>
        <v/>
      </c>
      <c r="AW366" s="308" t="str">
        <f t="shared" si="40"/>
        <v/>
      </c>
      <c r="AX366" s="308" t="str">
        <f t="shared" si="41"/>
        <v/>
      </c>
      <c r="AY366" s="304" t="str">
        <f t="shared" si="42"/>
        <v/>
      </c>
      <c r="AZ366" s="308" t="str">
        <f t="shared" si="43"/>
        <v/>
      </c>
      <c r="BA366" s="313" t="str">
        <f t="shared" si="44"/>
        <v/>
      </c>
      <c r="BB366" s="304" t="str">
        <f t="shared" si="45"/>
        <v/>
      </c>
      <c r="BC366" s="308" t="str">
        <f t="shared" si="46"/>
        <v/>
      </c>
      <c r="BD366" s="308" t="str">
        <f t="shared" si="47"/>
        <v/>
      </c>
    </row>
    <row r="367">
      <c r="A367" s="298"/>
      <c r="B367" s="299"/>
      <c r="C367" s="300"/>
      <c r="D367" s="301" t="str">
        <f>IFERROR(__xludf.DUMMYFUNCTION("if(ISBLANK(A367),"""",GOOGLEFINANCE(A367,""NAME""))"),"")</f>
        <v/>
      </c>
      <c r="E367" s="302">
        <v>5000.0</v>
      </c>
      <c r="F367" s="303" t="str">
        <f>IFERROR(__xludf.DUMMYFUNCTION("if(ISBLANK(A367),"""",GOOGLEFINANCE(A367,""HIGH52""))"),"")</f>
        <v/>
      </c>
      <c r="G367" s="303" t="str">
        <f>IFERROR(__xludf.DUMMYFUNCTION("if(ISBLANK(A367),"""",GOOGLEFINANCE(A367,""LOW52""))"),"")</f>
        <v/>
      </c>
      <c r="H367" s="304" t="str">
        <f>IFERROR(__xludf.DUMMYFUNCTION("if(ISBLANK(A367),"""",GOOGLEFINANCE(A367,""Price""))"),"")</f>
        <v/>
      </c>
      <c r="I367" s="305" t="str">
        <f t="shared" si="1"/>
        <v/>
      </c>
      <c r="J367" s="306" t="str">
        <f t="shared" si="2"/>
        <v/>
      </c>
      <c r="K367" s="307" t="str">
        <f>IFERROR(__xludf.DUMMYFUNCTION("if(ISBLANK(A367),"""",googlefinance(A367,""Marketcap"")/10000000)"),"")</f>
        <v/>
      </c>
      <c r="L367" s="309" t="str">
        <f t="shared" si="3"/>
        <v/>
      </c>
      <c r="M367" s="308" t="str">
        <f t="shared" si="4"/>
        <v/>
      </c>
      <c r="N367" s="309" t="str">
        <f t="shared" si="5"/>
        <v/>
      </c>
      <c r="O367" s="322" t="str">
        <f t="shared" si="6"/>
        <v/>
      </c>
      <c r="P367" s="308" t="str">
        <f t="shared" si="7"/>
        <v/>
      </c>
      <c r="Q367" s="311" t="str">
        <f t="shared" si="8"/>
        <v/>
      </c>
      <c r="R367" s="309" t="str">
        <f t="shared" si="9"/>
        <v/>
      </c>
      <c r="S367" s="308" t="str">
        <f t="shared" si="10"/>
        <v/>
      </c>
      <c r="T367" s="309" t="str">
        <f t="shared" si="11"/>
        <v/>
      </c>
      <c r="U367" s="309" t="str">
        <f t="shared" si="12"/>
        <v/>
      </c>
      <c r="V367" s="308" t="str">
        <f t="shared" si="13"/>
        <v/>
      </c>
      <c r="W367" s="309" t="str">
        <f t="shared" si="14"/>
        <v/>
      </c>
      <c r="X367" s="309" t="str">
        <f t="shared" si="15"/>
        <v/>
      </c>
      <c r="Y367" s="308" t="str">
        <f t="shared" si="16"/>
        <v/>
      </c>
      <c r="Z367" s="309" t="str">
        <f t="shared" si="17"/>
        <v/>
      </c>
      <c r="AA367" s="312" t="str">
        <f t="shared" si="18"/>
        <v/>
      </c>
      <c r="AB367" s="308" t="str">
        <f t="shared" si="19"/>
        <v/>
      </c>
      <c r="AC367" s="308" t="str">
        <f t="shared" si="20"/>
        <v/>
      </c>
      <c r="AD367" s="312" t="str">
        <f t="shared" si="21"/>
        <v/>
      </c>
      <c r="AE367" s="308" t="str">
        <f t="shared" si="22"/>
        <v/>
      </c>
      <c r="AF367" s="313" t="str">
        <f t="shared" si="23"/>
        <v/>
      </c>
      <c r="AG367" s="304" t="str">
        <f t="shared" si="24"/>
        <v/>
      </c>
      <c r="AH367" s="308" t="str">
        <f t="shared" si="25"/>
        <v/>
      </c>
      <c r="AI367" s="313" t="str">
        <f t="shared" si="26"/>
        <v/>
      </c>
      <c r="AJ367" s="304" t="str">
        <f t="shared" si="27"/>
        <v/>
      </c>
      <c r="AK367" s="308" t="str">
        <f t="shared" si="28"/>
        <v/>
      </c>
      <c r="AL367" s="308" t="str">
        <f t="shared" si="29"/>
        <v/>
      </c>
      <c r="AM367" s="304" t="str">
        <f t="shared" si="30"/>
        <v/>
      </c>
      <c r="AN367" s="308" t="str">
        <f t="shared" si="31"/>
        <v/>
      </c>
      <c r="AO367" s="313" t="str">
        <f t="shared" si="32"/>
        <v/>
      </c>
      <c r="AP367" s="304" t="str">
        <f t="shared" si="33"/>
        <v/>
      </c>
      <c r="AQ367" s="308" t="str">
        <f t="shared" si="34"/>
        <v/>
      </c>
      <c r="AR367" s="313" t="str">
        <f t="shared" si="35"/>
        <v/>
      </c>
      <c r="AS367" s="304" t="str">
        <f t="shared" si="36"/>
        <v/>
      </c>
      <c r="AT367" s="308" t="str">
        <f t="shared" si="37"/>
        <v/>
      </c>
      <c r="AU367" s="308" t="str">
        <f t="shared" si="38"/>
        <v/>
      </c>
      <c r="AV367" s="304" t="str">
        <f t="shared" si="39"/>
        <v/>
      </c>
      <c r="AW367" s="308" t="str">
        <f t="shared" si="40"/>
        <v/>
      </c>
      <c r="AX367" s="308" t="str">
        <f t="shared" si="41"/>
        <v/>
      </c>
      <c r="AY367" s="304" t="str">
        <f t="shared" si="42"/>
        <v/>
      </c>
      <c r="AZ367" s="308" t="str">
        <f t="shared" si="43"/>
        <v/>
      </c>
      <c r="BA367" s="313" t="str">
        <f t="shared" si="44"/>
        <v/>
      </c>
      <c r="BB367" s="304" t="str">
        <f t="shared" si="45"/>
        <v/>
      </c>
      <c r="BC367" s="308" t="str">
        <f t="shared" si="46"/>
        <v/>
      </c>
      <c r="BD367" s="308" t="str">
        <f t="shared" si="47"/>
        <v/>
      </c>
    </row>
    <row r="368">
      <c r="A368" s="298"/>
      <c r="B368" s="299"/>
      <c r="C368" s="300"/>
      <c r="D368" s="301" t="str">
        <f>IFERROR(__xludf.DUMMYFUNCTION("if(ISBLANK(A368),"""",GOOGLEFINANCE(A368,""NAME""))"),"")</f>
        <v/>
      </c>
      <c r="E368" s="302">
        <v>5000.0</v>
      </c>
      <c r="F368" s="303" t="str">
        <f>IFERROR(__xludf.DUMMYFUNCTION("if(ISBLANK(A368),"""",GOOGLEFINANCE(A368,""HIGH52""))"),"")</f>
        <v/>
      </c>
      <c r="G368" s="303" t="str">
        <f>IFERROR(__xludf.DUMMYFUNCTION("if(ISBLANK(A368),"""",GOOGLEFINANCE(A368,""LOW52""))"),"")</f>
        <v/>
      </c>
      <c r="H368" s="304" t="str">
        <f>IFERROR(__xludf.DUMMYFUNCTION("if(ISBLANK(A368),"""",GOOGLEFINANCE(A368,""Price""))"),"")</f>
        <v/>
      </c>
      <c r="I368" s="305" t="str">
        <f t="shared" si="1"/>
        <v/>
      </c>
      <c r="J368" s="306" t="str">
        <f t="shared" si="2"/>
        <v/>
      </c>
      <c r="K368" s="307" t="str">
        <f>IFERROR(__xludf.DUMMYFUNCTION("if(ISBLANK(A368),"""",googlefinance(A368,""Marketcap"")/10000000)"),"")</f>
        <v/>
      </c>
      <c r="L368" s="309" t="str">
        <f t="shared" si="3"/>
        <v/>
      </c>
      <c r="M368" s="308" t="str">
        <f t="shared" si="4"/>
        <v/>
      </c>
      <c r="N368" s="309" t="str">
        <f t="shared" si="5"/>
        <v/>
      </c>
      <c r="O368" s="322" t="str">
        <f t="shared" si="6"/>
        <v/>
      </c>
      <c r="P368" s="308" t="str">
        <f t="shared" si="7"/>
        <v/>
      </c>
      <c r="Q368" s="311" t="str">
        <f t="shared" si="8"/>
        <v/>
      </c>
      <c r="R368" s="309" t="str">
        <f t="shared" si="9"/>
        <v/>
      </c>
      <c r="S368" s="308" t="str">
        <f t="shared" si="10"/>
        <v/>
      </c>
      <c r="T368" s="309" t="str">
        <f t="shared" si="11"/>
        <v/>
      </c>
      <c r="U368" s="309" t="str">
        <f t="shared" si="12"/>
        <v/>
      </c>
      <c r="V368" s="308" t="str">
        <f t="shared" si="13"/>
        <v/>
      </c>
      <c r="W368" s="309" t="str">
        <f t="shared" si="14"/>
        <v/>
      </c>
      <c r="X368" s="309" t="str">
        <f t="shared" si="15"/>
        <v/>
      </c>
      <c r="Y368" s="308" t="str">
        <f t="shared" si="16"/>
        <v/>
      </c>
      <c r="Z368" s="309" t="str">
        <f t="shared" si="17"/>
        <v/>
      </c>
      <c r="AA368" s="312" t="str">
        <f t="shared" si="18"/>
        <v/>
      </c>
      <c r="AB368" s="308" t="str">
        <f t="shared" si="19"/>
        <v/>
      </c>
      <c r="AC368" s="308" t="str">
        <f t="shared" si="20"/>
        <v/>
      </c>
      <c r="AD368" s="312" t="str">
        <f t="shared" si="21"/>
        <v/>
      </c>
      <c r="AE368" s="308" t="str">
        <f t="shared" si="22"/>
        <v/>
      </c>
      <c r="AF368" s="313" t="str">
        <f t="shared" si="23"/>
        <v/>
      </c>
      <c r="AG368" s="304" t="str">
        <f t="shared" si="24"/>
        <v/>
      </c>
      <c r="AH368" s="308" t="str">
        <f t="shared" si="25"/>
        <v/>
      </c>
      <c r="AI368" s="313" t="str">
        <f t="shared" si="26"/>
        <v/>
      </c>
      <c r="AJ368" s="304" t="str">
        <f t="shared" si="27"/>
        <v/>
      </c>
      <c r="AK368" s="308" t="str">
        <f t="shared" si="28"/>
        <v/>
      </c>
      <c r="AL368" s="308" t="str">
        <f t="shared" si="29"/>
        <v/>
      </c>
      <c r="AM368" s="304" t="str">
        <f t="shared" si="30"/>
        <v/>
      </c>
      <c r="AN368" s="308" t="str">
        <f t="shared" si="31"/>
        <v/>
      </c>
      <c r="AO368" s="313" t="str">
        <f t="shared" si="32"/>
        <v/>
      </c>
      <c r="AP368" s="304" t="str">
        <f t="shared" si="33"/>
        <v/>
      </c>
      <c r="AQ368" s="308" t="str">
        <f t="shared" si="34"/>
        <v/>
      </c>
      <c r="AR368" s="313" t="str">
        <f t="shared" si="35"/>
        <v/>
      </c>
      <c r="AS368" s="304" t="str">
        <f t="shared" si="36"/>
        <v/>
      </c>
      <c r="AT368" s="308" t="str">
        <f t="shared" si="37"/>
        <v/>
      </c>
      <c r="AU368" s="308" t="str">
        <f t="shared" si="38"/>
        <v/>
      </c>
      <c r="AV368" s="304" t="str">
        <f t="shared" si="39"/>
        <v/>
      </c>
      <c r="AW368" s="308" t="str">
        <f t="shared" si="40"/>
        <v/>
      </c>
      <c r="AX368" s="308" t="str">
        <f t="shared" si="41"/>
        <v/>
      </c>
      <c r="AY368" s="304" t="str">
        <f t="shared" si="42"/>
        <v/>
      </c>
      <c r="AZ368" s="308" t="str">
        <f t="shared" si="43"/>
        <v/>
      </c>
      <c r="BA368" s="313" t="str">
        <f t="shared" si="44"/>
        <v/>
      </c>
      <c r="BB368" s="304" t="str">
        <f t="shared" si="45"/>
        <v/>
      </c>
      <c r="BC368" s="308" t="str">
        <f t="shared" si="46"/>
        <v/>
      </c>
      <c r="BD368" s="308" t="str">
        <f t="shared" si="47"/>
        <v/>
      </c>
    </row>
    <row r="369">
      <c r="A369" s="298"/>
      <c r="B369" s="299"/>
      <c r="C369" s="300"/>
      <c r="D369" s="301" t="str">
        <f>IFERROR(__xludf.DUMMYFUNCTION("if(ISBLANK(A369),"""",GOOGLEFINANCE(A369,""NAME""))"),"")</f>
        <v/>
      </c>
      <c r="E369" s="302">
        <v>5000.0</v>
      </c>
      <c r="F369" s="303" t="str">
        <f>IFERROR(__xludf.DUMMYFUNCTION("if(ISBLANK(A369),"""",GOOGLEFINANCE(A369,""HIGH52""))"),"")</f>
        <v/>
      </c>
      <c r="G369" s="303" t="str">
        <f>IFERROR(__xludf.DUMMYFUNCTION("if(ISBLANK(A369),"""",GOOGLEFINANCE(A369,""LOW52""))"),"")</f>
        <v/>
      </c>
      <c r="H369" s="304" t="str">
        <f>IFERROR(__xludf.DUMMYFUNCTION("if(ISBLANK(A369),"""",GOOGLEFINANCE(A369,""Price""))"),"")</f>
        <v/>
      </c>
      <c r="I369" s="305" t="str">
        <f t="shared" si="1"/>
        <v/>
      </c>
      <c r="J369" s="306" t="str">
        <f t="shared" si="2"/>
        <v/>
      </c>
      <c r="K369" s="307" t="str">
        <f>IFERROR(__xludf.DUMMYFUNCTION("if(ISBLANK(A369),"""",googlefinance(A369,""Marketcap"")/10000000)"),"")</f>
        <v/>
      </c>
      <c r="L369" s="309" t="str">
        <f t="shared" si="3"/>
        <v/>
      </c>
      <c r="M369" s="308" t="str">
        <f t="shared" si="4"/>
        <v/>
      </c>
      <c r="N369" s="309" t="str">
        <f t="shared" si="5"/>
        <v/>
      </c>
      <c r="O369" s="322" t="str">
        <f t="shared" si="6"/>
        <v/>
      </c>
      <c r="P369" s="308" t="str">
        <f t="shared" si="7"/>
        <v/>
      </c>
      <c r="Q369" s="311" t="str">
        <f t="shared" si="8"/>
        <v/>
      </c>
      <c r="R369" s="309" t="str">
        <f t="shared" si="9"/>
        <v/>
      </c>
      <c r="S369" s="308" t="str">
        <f t="shared" si="10"/>
        <v/>
      </c>
      <c r="T369" s="309" t="str">
        <f t="shared" si="11"/>
        <v/>
      </c>
      <c r="U369" s="309" t="str">
        <f t="shared" si="12"/>
        <v/>
      </c>
      <c r="V369" s="308" t="str">
        <f t="shared" si="13"/>
        <v/>
      </c>
      <c r="W369" s="309" t="str">
        <f t="shared" si="14"/>
        <v/>
      </c>
      <c r="X369" s="309" t="str">
        <f t="shared" si="15"/>
        <v/>
      </c>
      <c r="Y369" s="308" t="str">
        <f t="shared" si="16"/>
        <v/>
      </c>
      <c r="Z369" s="309" t="str">
        <f t="shared" si="17"/>
        <v/>
      </c>
      <c r="AA369" s="312" t="str">
        <f t="shared" si="18"/>
        <v/>
      </c>
      <c r="AB369" s="308" t="str">
        <f t="shared" si="19"/>
        <v/>
      </c>
      <c r="AC369" s="308" t="str">
        <f t="shared" si="20"/>
        <v/>
      </c>
      <c r="AD369" s="312" t="str">
        <f t="shared" si="21"/>
        <v/>
      </c>
      <c r="AE369" s="308" t="str">
        <f t="shared" si="22"/>
        <v/>
      </c>
      <c r="AF369" s="313" t="str">
        <f t="shared" si="23"/>
        <v/>
      </c>
      <c r="AG369" s="304" t="str">
        <f t="shared" si="24"/>
        <v/>
      </c>
      <c r="AH369" s="308" t="str">
        <f t="shared" si="25"/>
        <v/>
      </c>
      <c r="AI369" s="313" t="str">
        <f t="shared" si="26"/>
        <v/>
      </c>
      <c r="AJ369" s="304" t="str">
        <f t="shared" si="27"/>
        <v/>
      </c>
      <c r="AK369" s="308" t="str">
        <f t="shared" si="28"/>
        <v/>
      </c>
      <c r="AL369" s="308" t="str">
        <f t="shared" si="29"/>
        <v/>
      </c>
      <c r="AM369" s="304" t="str">
        <f t="shared" si="30"/>
        <v/>
      </c>
      <c r="AN369" s="308" t="str">
        <f t="shared" si="31"/>
        <v/>
      </c>
      <c r="AO369" s="313" t="str">
        <f t="shared" si="32"/>
        <v/>
      </c>
      <c r="AP369" s="304" t="str">
        <f t="shared" si="33"/>
        <v/>
      </c>
      <c r="AQ369" s="308" t="str">
        <f t="shared" si="34"/>
        <v/>
      </c>
      <c r="AR369" s="313" t="str">
        <f t="shared" si="35"/>
        <v/>
      </c>
      <c r="AS369" s="304" t="str">
        <f t="shared" si="36"/>
        <v/>
      </c>
      <c r="AT369" s="308" t="str">
        <f t="shared" si="37"/>
        <v/>
      </c>
      <c r="AU369" s="308" t="str">
        <f t="shared" si="38"/>
        <v/>
      </c>
      <c r="AV369" s="304" t="str">
        <f t="shared" si="39"/>
        <v/>
      </c>
      <c r="AW369" s="308" t="str">
        <f t="shared" si="40"/>
        <v/>
      </c>
      <c r="AX369" s="308" t="str">
        <f t="shared" si="41"/>
        <v/>
      </c>
      <c r="AY369" s="304" t="str">
        <f t="shared" si="42"/>
        <v/>
      </c>
      <c r="AZ369" s="308" t="str">
        <f t="shared" si="43"/>
        <v/>
      </c>
      <c r="BA369" s="313" t="str">
        <f t="shared" si="44"/>
        <v/>
      </c>
      <c r="BB369" s="304" t="str">
        <f t="shared" si="45"/>
        <v/>
      </c>
      <c r="BC369" s="308" t="str">
        <f t="shared" si="46"/>
        <v/>
      </c>
      <c r="BD369" s="308" t="str">
        <f t="shared" si="47"/>
        <v/>
      </c>
    </row>
    <row r="370">
      <c r="A370" s="298"/>
      <c r="B370" s="299"/>
      <c r="C370" s="300"/>
      <c r="D370" s="301" t="str">
        <f>IFERROR(__xludf.DUMMYFUNCTION("if(ISBLANK(A370),"""",GOOGLEFINANCE(A370,""NAME""))"),"")</f>
        <v/>
      </c>
      <c r="E370" s="302">
        <v>5000.0</v>
      </c>
      <c r="F370" s="303" t="str">
        <f>IFERROR(__xludf.DUMMYFUNCTION("if(ISBLANK(A370),"""",GOOGLEFINANCE(A370,""HIGH52""))"),"")</f>
        <v/>
      </c>
      <c r="G370" s="303" t="str">
        <f>IFERROR(__xludf.DUMMYFUNCTION("if(ISBLANK(A370),"""",GOOGLEFINANCE(A370,""LOW52""))"),"")</f>
        <v/>
      </c>
      <c r="H370" s="304" t="str">
        <f>IFERROR(__xludf.DUMMYFUNCTION("if(ISBLANK(A370),"""",GOOGLEFINANCE(A370,""Price""))"),"")</f>
        <v/>
      </c>
      <c r="I370" s="305" t="str">
        <f t="shared" si="1"/>
        <v/>
      </c>
      <c r="J370" s="306" t="str">
        <f t="shared" si="2"/>
        <v/>
      </c>
      <c r="K370" s="307" t="str">
        <f>IFERROR(__xludf.DUMMYFUNCTION("if(ISBLANK(A370),"""",googlefinance(A370,""Marketcap"")/10000000)"),"")</f>
        <v/>
      </c>
      <c r="L370" s="309" t="str">
        <f t="shared" si="3"/>
        <v/>
      </c>
      <c r="M370" s="308" t="str">
        <f t="shared" si="4"/>
        <v/>
      </c>
      <c r="N370" s="309" t="str">
        <f t="shared" si="5"/>
        <v/>
      </c>
      <c r="O370" s="322" t="str">
        <f t="shared" si="6"/>
        <v/>
      </c>
      <c r="P370" s="308" t="str">
        <f t="shared" si="7"/>
        <v/>
      </c>
      <c r="Q370" s="311" t="str">
        <f t="shared" si="8"/>
        <v/>
      </c>
      <c r="R370" s="309" t="str">
        <f t="shared" si="9"/>
        <v/>
      </c>
      <c r="S370" s="308" t="str">
        <f t="shared" si="10"/>
        <v/>
      </c>
      <c r="T370" s="309" t="str">
        <f t="shared" si="11"/>
        <v/>
      </c>
      <c r="U370" s="309" t="str">
        <f t="shared" si="12"/>
        <v/>
      </c>
      <c r="V370" s="308" t="str">
        <f t="shared" si="13"/>
        <v/>
      </c>
      <c r="W370" s="309" t="str">
        <f t="shared" si="14"/>
        <v/>
      </c>
      <c r="X370" s="309" t="str">
        <f t="shared" si="15"/>
        <v/>
      </c>
      <c r="Y370" s="308" t="str">
        <f t="shared" si="16"/>
        <v/>
      </c>
      <c r="Z370" s="309" t="str">
        <f t="shared" si="17"/>
        <v/>
      </c>
      <c r="AA370" s="312" t="str">
        <f t="shared" si="18"/>
        <v/>
      </c>
      <c r="AB370" s="308" t="str">
        <f t="shared" si="19"/>
        <v/>
      </c>
      <c r="AC370" s="308" t="str">
        <f t="shared" si="20"/>
        <v/>
      </c>
      <c r="AD370" s="312" t="str">
        <f t="shared" si="21"/>
        <v/>
      </c>
      <c r="AE370" s="308" t="str">
        <f t="shared" si="22"/>
        <v/>
      </c>
      <c r="AF370" s="313" t="str">
        <f t="shared" si="23"/>
        <v/>
      </c>
      <c r="AG370" s="304" t="str">
        <f t="shared" si="24"/>
        <v/>
      </c>
      <c r="AH370" s="308" t="str">
        <f t="shared" si="25"/>
        <v/>
      </c>
      <c r="AI370" s="313" t="str">
        <f t="shared" si="26"/>
        <v/>
      </c>
      <c r="AJ370" s="304" t="str">
        <f t="shared" si="27"/>
        <v/>
      </c>
      <c r="AK370" s="308" t="str">
        <f t="shared" si="28"/>
        <v/>
      </c>
      <c r="AL370" s="308" t="str">
        <f t="shared" si="29"/>
        <v/>
      </c>
      <c r="AM370" s="304" t="str">
        <f t="shared" si="30"/>
        <v/>
      </c>
      <c r="AN370" s="308" t="str">
        <f t="shared" si="31"/>
        <v/>
      </c>
      <c r="AO370" s="313" t="str">
        <f t="shared" si="32"/>
        <v/>
      </c>
      <c r="AP370" s="304" t="str">
        <f t="shared" si="33"/>
        <v/>
      </c>
      <c r="AQ370" s="308" t="str">
        <f t="shared" si="34"/>
        <v/>
      </c>
      <c r="AR370" s="313" t="str">
        <f t="shared" si="35"/>
        <v/>
      </c>
      <c r="AS370" s="304" t="str">
        <f t="shared" si="36"/>
        <v/>
      </c>
      <c r="AT370" s="308" t="str">
        <f t="shared" si="37"/>
        <v/>
      </c>
      <c r="AU370" s="308" t="str">
        <f t="shared" si="38"/>
        <v/>
      </c>
      <c r="AV370" s="304" t="str">
        <f t="shared" si="39"/>
        <v/>
      </c>
      <c r="AW370" s="308" t="str">
        <f t="shared" si="40"/>
        <v/>
      </c>
      <c r="AX370" s="308" t="str">
        <f t="shared" si="41"/>
        <v/>
      </c>
      <c r="AY370" s="304" t="str">
        <f t="shared" si="42"/>
        <v/>
      </c>
      <c r="AZ370" s="308" t="str">
        <f t="shared" si="43"/>
        <v/>
      </c>
      <c r="BA370" s="313" t="str">
        <f t="shared" si="44"/>
        <v/>
      </c>
      <c r="BB370" s="304" t="str">
        <f t="shared" si="45"/>
        <v/>
      </c>
      <c r="BC370" s="308" t="str">
        <f t="shared" si="46"/>
        <v/>
      </c>
      <c r="BD370" s="308" t="str">
        <f t="shared" si="47"/>
        <v/>
      </c>
    </row>
    <row r="371">
      <c r="A371" s="298"/>
      <c r="B371" s="299"/>
      <c r="C371" s="300"/>
      <c r="D371" s="301" t="str">
        <f>IFERROR(__xludf.DUMMYFUNCTION("if(ISBLANK(A371),"""",GOOGLEFINANCE(A371,""NAME""))"),"")</f>
        <v/>
      </c>
      <c r="E371" s="302">
        <v>5000.0</v>
      </c>
      <c r="F371" s="303" t="str">
        <f>IFERROR(__xludf.DUMMYFUNCTION("if(ISBLANK(A371),"""",GOOGLEFINANCE(A371,""HIGH52""))"),"")</f>
        <v/>
      </c>
      <c r="G371" s="303" t="str">
        <f>IFERROR(__xludf.DUMMYFUNCTION("if(ISBLANK(A371),"""",GOOGLEFINANCE(A371,""LOW52""))"),"")</f>
        <v/>
      </c>
      <c r="H371" s="304" t="str">
        <f>IFERROR(__xludf.DUMMYFUNCTION("if(ISBLANK(A371),"""",GOOGLEFINANCE(A371,""Price""))"),"")</f>
        <v/>
      </c>
      <c r="I371" s="305" t="str">
        <f t="shared" si="1"/>
        <v/>
      </c>
      <c r="J371" s="306" t="str">
        <f t="shared" si="2"/>
        <v/>
      </c>
      <c r="K371" s="307" t="str">
        <f>IFERROR(__xludf.DUMMYFUNCTION("if(ISBLANK(A371),"""",googlefinance(A371,""Marketcap"")/10000000)"),"")</f>
        <v/>
      </c>
      <c r="L371" s="309" t="str">
        <f t="shared" si="3"/>
        <v/>
      </c>
      <c r="M371" s="308" t="str">
        <f t="shared" si="4"/>
        <v/>
      </c>
      <c r="N371" s="309" t="str">
        <f t="shared" si="5"/>
        <v/>
      </c>
      <c r="O371" s="322" t="str">
        <f t="shared" si="6"/>
        <v/>
      </c>
      <c r="P371" s="308" t="str">
        <f t="shared" si="7"/>
        <v/>
      </c>
      <c r="Q371" s="311" t="str">
        <f t="shared" si="8"/>
        <v/>
      </c>
      <c r="R371" s="309" t="str">
        <f t="shared" si="9"/>
        <v/>
      </c>
      <c r="S371" s="308" t="str">
        <f t="shared" si="10"/>
        <v/>
      </c>
      <c r="T371" s="309" t="str">
        <f t="shared" si="11"/>
        <v/>
      </c>
      <c r="U371" s="309" t="str">
        <f t="shared" si="12"/>
        <v/>
      </c>
      <c r="V371" s="308" t="str">
        <f t="shared" si="13"/>
        <v/>
      </c>
      <c r="W371" s="309" t="str">
        <f t="shared" si="14"/>
        <v/>
      </c>
      <c r="X371" s="309" t="str">
        <f t="shared" si="15"/>
        <v/>
      </c>
      <c r="Y371" s="308" t="str">
        <f t="shared" si="16"/>
        <v/>
      </c>
      <c r="Z371" s="309" t="str">
        <f t="shared" si="17"/>
        <v/>
      </c>
      <c r="AA371" s="312" t="str">
        <f t="shared" si="18"/>
        <v/>
      </c>
      <c r="AB371" s="308" t="str">
        <f t="shared" si="19"/>
        <v/>
      </c>
      <c r="AC371" s="308" t="str">
        <f t="shared" si="20"/>
        <v/>
      </c>
      <c r="AD371" s="312" t="str">
        <f t="shared" si="21"/>
        <v/>
      </c>
      <c r="AE371" s="308" t="str">
        <f t="shared" si="22"/>
        <v/>
      </c>
      <c r="AF371" s="313" t="str">
        <f t="shared" si="23"/>
        <v/>
      </c>
      <c r="AG371" s="304" t="str">
        <f t="shared" si="24"/>
        <v/>
      </c>
      <c r="AH371" s="308" t="str">
        <f t="shared" si="25"/>
        <v/>
      </c>
      <c r="AI371" s="313" t="str">
        <f t="shared" si="26"/>
        <v/>
      </c>
      <c r="AJ371" s="304" t="str">
        <f t="shared" si="27"/>
        <v/>
      </c>
      <c r="AK371" s="308" t="str">
        <f t="shared" si="28"/>
        <v/>
      </c>
      <c r="AL371" s="308" t="str">
        <f t="shared" si="29"/>
        <v/>
      </c>
      <c r="AM371" s="304" t="str">
        <f t="shared" si="30"/>
        <v/>
      </c>
      <c r="AN371" s="308" t="str">
        <f t="shared" si="31"/>
        <v/>
      </c>
      <c r="AO371" s="313" t="str">
        <f t="shared" si="32"/>
        <v/>
      </c>
      <c r="AP371" s="304" t="str">
        <f t="shared" si="33"/>
        <v/>
      </c>
      <c r="AQ371" s="308" t="str">
        <f t="shared" si="34"/>
        <v/>
      </c>
      <c r="AR371" s="313" t="str">
        <f t="shared" si="35"/>
        <v/>
      </c>
      <c r="AS371" s="304" t="str">
        <f t="shared" si="36"/>
        <v/>
      </c>
      <c r="AT371" s="308" t="str">
        <f t="shared" si="37"/>
        <v/>
      </c>
      <c r="AU371" s="308" t="str">
        <f t="shared" si="38"/>
        <v/>
      </c>
      <c r="AV371" s="304" t="str">
        <f t="shared" si="39"/>
        <v/>
      </c>
      <c r="AW371" s="308" t="str">
        <f t="shared" si="40"/>
        <v/>
      </c>
      <c r="AX371" s="308" t="str">
        <f t="shared" si="41"/>
        <v/>
      </c>
      <c r="AY371" s="304" t="str">
        <f t="shared" si="42"/>
        <v/>
      </c>
      <c r="AZ371" s="308" t="str">
        <f t="shared" si="43"/>
        <v/>
      </c>
      <c r="BA371" s="313" t="str">
        <f t="shared" si="44"/>
        <v/>
      </c>
      <c r="BB371" s="304" t="str">
        <f t="shared" si="45"/>
        <v/>
      </c>
      <c r="BC371" s="308" t="str">
        <f t="shared" si="46"/>
        <v/>
      </c>
      <c r="BD371" s="308" t="str">
        <f t="shared" si="47"/>
        <v/>
      </c>
    </row>
    <row r="372">
      <c r="A372" s="298"/>
      <c r="B372" s="299"/>
      <c r="C372" s="300"/>
      <c r="D372" s="301" t="str">
        <f>IFERROR(__xludf.DUMMYFUNCTION("if(ISBLANK(A372),"""",GOOGLEFINANCE(A372,""NAME""))"),"")</f>
        <v/>
      </c>
      <c r="E372" s="302">
        <v>5000.0</v>
      </c>
      <c r="F372" s="303" t="str">
        <f>IFERROR(__xludf.DUMMYFUNCTION("if(ISBLANK(A372),"""",GOOGLEFINANCE(A372,""HIGH52""))"),"")</f>
        <v/>
      </c>
      <c r="G372" s="303" t="str">
        <f>IFERROR(__xludf.DUMMYFUNCTION("if(ISBLANK(A372),"""",GOOGLEFINANCE(A372,""LOW52""))"),"")</f>
        <v/>
      </c>
      <c r="H372" s="304" t="str">
        <f>IFERROR(__xludf.DUMMYFUNCTION("if(ISBLANK(A372),"""",GOOGLEFINANCE(A372,""Price""))"),"")</f>
        <v/>
      </c>
      <c r="I372" s="305" t="str">
        <f t="shared" si="1"/>
        <v/>
      </c>
      <c r="J372" s="306" t="str">
        <f t="shared" si="2"/>
        <v/>
      </c>
      <c r="K372" s="307" t="str">
        <f>IFERROR(__xludf.DUMMYFUNCTION("if(ISBLANK(A372),"""",googlefinance(A372,""Marketcap"")/10000000)"),"")</f>
        <v/>
      </c>
      <c r="L372" s="309" t="str">
        <f t="shared" si="3"/>
        <v/>
      </c>
      <c r="M372" s="308" t="str">
        <f t="shared" si="4"/>
        <v/>
      </c>
      <c r="N372" s="309" t="str">
        <f t="shared" si="5"/>
        <v/>
      </c>
      <c r="O372" s="322" t="str">
        <f t="shared" si="6"/>
        <v/>
      </c>
      <c r="P372" s="308" t="str">
        <f t="shared" si="7"/>
        <v/>
      </c>
      <c r="Q372" s="311" t="str">
        <f t="shared" si="8"/>
        <v/>
      </c>
      <c r="R372" s="309" t="str">
        <f t="shared" si="9"/>
        <v/>
      </c>
      <c r="S372" s="308" t="str">
        <f t="shared" si="10"/>
        <v/>
      </c>
      <c r="T372" s="309" t="str">
        <f t="shared" si="11"/>
        <v/>
      </c>
      <c r="U372" s="309" t="str">
        <f t="shared" si="12"/>
        <v/>
      </c>
      <c r="V372" s="308" t="str">
        <f t="shared" si="13"/>
        <v/>
      </c>
      <c r="W372" s="309" t="str">
        <f t="shared" si="14"/>
        <v/>
      </c>
      <c r="X372" s="309" t="str">
        <f t="shared" si="15"/>
        <v/>
      </c>
      <c r="Y372" s="308" t="str">
        <f t="shared" si="16"/>
        <v/>
      </c>
      <c r="Z372" s="309" t="str">
        <f t="shared" si="17"/>
        <v/>
      </c>
      <c r="AA372" s="312" t="str">
        <f t="shared" si="18"/>
        <v/>
      </c>
      <c r="AB372" s="308" t="str">
        <f t="shared" si="19"/>
        <v/>
      </c>
      <c r="AC372" s="308" t="str">
        <f t="shared" si="20"/>
        <v/>
      </c>
      <c r="AD372" s="312" t="str">
        <f t="shared" si="21"/>
        <v/>
      </c>
      <c r="AE372" s="308" t="str">
        <f t="shared" si="22"/>
        <v/>
      </c>
      <c r="AF372" s="313" t="str">
        <f t="shared" si="23"/>
        <v/>
      </c>
      <c r="AG372" s="304" t="str">
        <f t="shared" si="24"/>
        <v/>
      </c>
      <c r="AH372" s="308" t="str">
        <f t="shared" si="25"/>
        <v/>
      </c>
      <c r="AI372" s="313" t="str">
        <f t="shared" si="26"/>
        <v/>
      </c>
      <c r="AJ372" s="304" t="str">
        <f t="shared" si="27"/>
        <v/>
      </c>
      <c r="AK372" s="308" t="str">
        <f t="shared" si="28"/>
        <v/>
      </c>
      <c r="AL372" s="308" t="str">
        <f t="shared" si="29"/>
        <v/>
      </c>
      <c r="AM372" s="304" t="str">
        <f t="shared" si="30"/>
        <v/>
      </c>
      <c r="AN372" s="308" t="str">
        <f t="shared" si="31"/>
        <v/>
      </c>
      <c r="AO372" s="313" t="str">
        <f t="shared" si="32"/>
        <v/>
      </c>
      <c r="AP372" s="304" t="str">
        <f t="shared" si="33"/>
        <v/>
      </c>
      <c r="AQ372" s="308" t="str">
        <f t="shared" si="34"/>
        <v/>
      </c>
      <c r="AR372" s="313" t="str">
        <f t="shared" si="35"/>
        <v/>
      </c>
      <c r="AS372" s="304" t="str">
        <f t="shared" si="36"/>
        <v/>
      </c>
      <c r="AT372" s="308" t="str">
        <f t="shared" si="37"/>
        <v/>
      </c>
      <c r="AU372" s="308" t="str">
        <f t="shared" si="38"/>
        <v/>
      </c>
      <c r="AV372" s="304" t="str">
        <f t="shared" si="39"/>
        <v/>
      </c>
      <c r="AW372" s="308" t="str">
        <f t="shared" si="40"/>
        <v/>
      </c>
      <c r="AX372" s="308" t="str">
        <f t="shared" si="41"/>
        <v/>
      </c>
      <c r="AY372" s="304" t="str">
        <f t="shared" si="42"/>
        <v/>
      </c>
      <c r="AZ372" s="308" t="str">
        <f t="shared" si="43"/>
        <v/>
      </c>
      <c r="BA372" s="313" t="str">
        <f t="shared" si="44"/>
        <v/>
      </c>
      <c r="BB372" s="304" t="str">
        <f t="shared" si="45"/>
        <v/>
      </c>
      <c r="BC372" s="308" t="str">
        <f t="shared" si="46"/>
        <v/>
      </c>
      <c r="BD372" s="308" t="str">
        <f t="shared" si="47"/>
        <v/>
      </c>
    </row>
    <row r="373">
      <c r="A373" s="298"/>
      <c r="B373" s="299"/>
      <c r="C373" s="300"/>
      <c r="D373" s="301" t="str">
        <f>IFERROR(__xludf.DUMMYFUNCTION("if(ISBLANK(A373),"""",GOOGLEFINANCE(A373,""NAME""))"),"")</f>
        <v/>
      </c>
      <c r="E373" s="302">
        <v>5000.0</v>
      </c>
      <c r="F373" s="303" t="str">
        <f>IFERROR(__xludf.DUMMYFUNCTION("if(ISBLANK(A373),"""",GOOGLEFINANCE(A373,""HIGH52""))"),"")</f>
        <v/>
      </c>
      <c r="G373" s="303" t="str">
        <f>IFERROR(__xludf.DUMMYFUNCTION("if(ISBLANK(A373),"""",GOOGLEFINANCE(A373,""LOW52""))"),"")</f>
        <v/>
      </c>
      <c r="H373" s="304" t="str">
        <f>IFERROR(__xludf.DUMMYFUNCTION("if(ISBLANK(A373),"""",GOOGLEFINANCE(A373,""Price""))"),"")</f>
        <v/>
      </c>
      <c r="I373" s="305" t="str">
        <f t="shared" si="1"/>
        <v/>
      </c>
      <c r="J373" s="306" t="str">
        <f t="shared" si="2"/>
        <v/>
      </c>
      <c r="K373" s="307" t="str">
        <f>IFERROR(__xludf.DUMMYFUNCTION("if(ISBLANK(A373),"""",googlefinance(A373,""Marketcap"")/10000000)"),"")</f>
        <v/>
      </c>
      <c r="L373" s="309" t="str">
        <f t="shared" si="3"/>
        <v/>
      </c>
      <c r="M373" s="308" t="str">
        <f t="shared" si="4"/>
        <v/>
      </c>
      <c r="N373" s="309" t="str">
        <f t="shared" si="5"/>
        <v/>
      </c>
      <c r="O373" s="322" t="str">
        <f t="shared" si="6"/>
        <v/>
      </c>
      <c r="P373" s="308" t="str">
        <f t="shared" si="7"/>
        <v/>
      </c>
      <c r="Q373" s="311" t="str">
        <f t="shared" si="8"/>
        <v/>
      </c>
      <c r="R373" s="309" t="str">
        <f t="shared" si="9"/>
        <v/>
      </c>
      <c r="S373" s="308" t="str">
        <f t="shared" si="10"/>
        <v/>
      </c>
      <c r="T373" s="309" t="str">
        <f t="shared" si="11"/>
        <v/>
      </c>
      <c r="U373" s="309" t="str">
        <f t="shared" si="12"/>
        <v/>
      </c>
      <c r="V373" s="308" t="str">
        <f t="shared" si="13"/>
        <v/>
      </c>
      <c r="W373" s="309" t="str">
        <f t="shared" si="14"/>
        <v/>
      </c>
      <c r="X373" s="309" t="str">
        <f t="shared" si="15"/>
        <v/>
      </c>
      <c r="Y373" s="308" t="str">
        <f t="shared" si="16"/>
        <v/>
      </c>
      <c r="Z373" s="309" t="str">
        <f t="shared" si="17"/>
        <v/>
      </c>
      <c r="AA373" s="312" t="str">
        <f t="shared" si="18"/>
        <v/>
      </c>
      <c r="AB373" s="308" t="str">
        <f t="shared" si="19"/>
        <v/>
      </c>
      <c r="AC373" s="308" t="str">
        <f t="shared" si="20"/>
        <v/>
      </c>
      <c r="AD373" s="312" t="str">
        <f t="shared" si="21"/>
        <v/>
      </c>
      <c r="AE373" s="308" t="str">
        <f t="shared" si="22"/>
        <v/>
      </c>
      <c r="AF373" s="313" t="str">
        <f t="shared" si="23"/>
        <v/>
      </c>
      <c r="AG373" s="304" t="str">
        <f t="shared" si="24"/>
        <v/>
      </c>
      <c r="AH373" s="308" t="str">
        <f t="shared" si="25"/>
        <v/>
      </c>
      <c r="AI373" s="313" t="str">
        <f t="shared" si="26"/>
        <v/>
      </c>
      <c r="AJ373" s="304" t="str">
        <f t="shared" si="27"/>
        <v/>
      </c>
      <c r="AK373" s="308" t="str">
        <f t="shared" si="28"/>
        <v/>
      </c>
      <c r="AL373" s="308" t="str">
        <f t="shared" si="29"/>
        <v/>
      </c>
      <c r="AM373" s="304" t="str">
        <f t="shared" si="30"/>
        <v/>
      </c>
      <c r="AN373" s="308" t="str">
        <f t="shared" si="31"/>
        <v/>
      </c>
      <c r="AO373" s="313" t="str">
        <f t="shared" si="32"/>
        <v/>
      </c>
      <c r="AP373" s="304" t="str">
        <f t="shared" si="33"/>
        <v/>
      </c>
      <c r="AQ373" s="308" t="str">
        <f t="shared" si="34"/>
        <v/>
      </c>
      <c r="AR373" s="313" t="str">
        <f t="shared" si="35"/>
        <v/>
      </c>
      <c r="AS373" s="304" t="str">
        <f t="shared" si="36"/>
        <v/>
      </c>
      <c r="AT373" s="308" t="str">
        <f t="shared" si="37"/>
        <v/>
      </c>
      <c r="AU373" s="308" t="str">
        <f t="shared" si="38"/>
        <v/>
      </c>
      <c r="AV373" s="304" t="str">
        <f t="shared" si="39"/>
        <v/>
      </c>
      <c r="AW373" s="308" t="str">
        <f t="shared" si="40"/>
        <v/>
      </c>
      <c r="AX373" s="308" t="str">
        <f t="shared" si="41"/>
        <v/>
      </c>
      <c r="AY373" s="304" t="str">
        <f t="shared" si="42"/>
        <v/>
      </c>
      <c r="AZ373" s="308" t="str">
        <f t="shared" si="43"/>
        <v/>
      </c>
      <c r="BA373" s="313" t="str">
        <f t="shared" si="44"/>
        <v/>
      </c>
      <c r="BB373" s="304" t="str">
        <f t="shared" si="45"/>
        <v/>
      </c>
      <c r="BC373" s="308" t="str">
        <f t="shared" si="46"/>
        <v/>
      </c>
      <c r="BD373" s="308" t="str">
        <f t="shared" si="47"/>
        <v/>
      </c>
    </row>
    <row r="374">
      <c r="A374" s="298"/>
      <c r="B374" s="299"/>
      <c r="C374" s="300"/>
      <c r="D374" s="301" t="str">
        <f>IFERROR(__xludf.DUMMYFUNCTION("if(ISBLANK(A374),"""",GOOGLEFINANCE(A374,""NAME""))"),"")</f>
        <v/>
      </c>
      <c r="E374" s="302">
        <v>5000.0</v>
      </c>
      <c r="F374" s="303" t="str">
        <f>IFERROR(__xludf.DUMMYFUNCTION("if(ISBLANK(A374),"""",GOOGLEFINANCE(A374,""HIGH52""))"),"")</f>
        <v/>
      </c>
      <c r="G374" s="303" t="str">
        <f>IFERROR(__xludf.DUMMYFUNCTION("if(ISBLANK(A374),"""",GOOGLEFINANCE(A374,""LOW52""))"),"")</f>
        <v/>
      </c>
      <c r="H374" s="304" t="str">
        <f>IFERROR(__xludf.DUMMYFUNCTION("if(ISBLANK(A374),"""",GOOGLEFINANCE(A374,""Price""))"),"")</f>
        <v/>
      </c>
      <c r="I374" s="305" t="str">
        <f t="shared" si="1"/>
        <v/>
      </c>
      <c r="J374" s="306" t="str">
        <f t="shared" si="2"/>
        <v/>
      </c>
      <c r="K374" s="307" t="str">
        <f>IFERROR(__xludf.DUMMYFUNCTION("if(ISBLANK(A374),"""",googlefinance(A374,""Marketcap"")/10000000)"),"")</f>
        <v/>
      </c>
      <c r="L374" s="309" t="str">
        <f t="shared" si="3"/>
        <v/>
      </c>
      <c r="M374" s="308" t="str">
        <f t="shared" si="4"/>
        <v/>
      </c>
      <c r="N374" s="309" t="str">
        <f t="shared" si="5"/>
        <v/>
      </c>
      <c r="O374" s="322" t="str">
        <f t="shared" si="6"/>
        <v/>
      </c>
      <c r="P374" s="308" t="str">
        <f t="shared" si="7"/>
        <v/>
      </c>
      <c r="Q374" s="311" t="str">
        <f t="shared" si="8"/>
        <v/>
      </c>
      <c r="R374" s="309" t="str">
        <f t="shared" si="9"/>
        <v/>
      </c>
      <c r="S374" s="308" t="str">
        <f t="shared" si="10"/>
        <v/>
      </c>
      <c r="T374" s="309" t="str">
        <f t="shared" si="11"/>
        <v/>
      </c>
      <c r="U374" s="309" t="str">
        <f t="shared" si="12"/>
        <v/>
      </c>
      <c r="V374" s="308" t="str">
        <f t="shared" si="13"/>
        <v/>
      </c>
      <c r="W374" s="309" t="str">
        <f t="shared" si="14"/>
        <v/>
      </c>
      <c r="X374" s="309" t="str">
        <f t="shared" si="15"/>
        <v/>
      </c>
      <c r="Y374" s="308" t="str">
        <f t="shared" si="16"/>
        <v/>
      </c>
      <c r="Z374" s="309" t="str">
        <f t="shared" si="17"/>
        <v/>
      </c>
      <c r="AA374" s="312" t="str">
        <f t="shared" si="18"/>
        <v/>
      </c>
      <c r="AB374" s="308" t="str">
        <f t="shared" si="19"/>
        <v/>
      </c>
      <c r="AC374" s="308" t="str">
        <f t="shared" si="20"/>
        <v/>
      </c>
      <c r="AD374" s="312" t="str">
        <f t="shared" si="21"/>
        <v/>
      </c>
      <c r="AE374" s="308" t="str">
        <f t="shared" si="22"/>
        <v/>
      </c>
      <c r="AF374" s="313" t="str">
        <f t="shared" si="23"/>
        <v/>
      </c>
      <c r="AG374" s="304" t="str">
        <f t="shared" si="24"/>
        <v/>
      </c>
      <c r="AH374" s="308" t="str">
        <f t="shared" si="25"/>
        <v/>
      </c>
      <c r="AI374" s="313" t="str">
        <f t="shared" si="26"/>
        <v/>
      </c>
      <c r="AJ374" s="304" t="str">
        <f t="shared" si="27"/>
        <v/>
      </c>
      <c r="AK374" s="308" t="str">
        <f t="shared" si="28"/>
        <v/>
      </c>
      <c r="AL374" s="308" t="str">
        <f t="shared" si="29"/>
        <v/>
      </c>
      <c r="AM374" s="304" t="str">
        <f t="shared" si="30"/>
        <v/>
      </c>
      <c r="AN374" s="308" t="str">
        <f t="shared" si="31"/>
        <v/>
      </c>
      <c r="AO374" s="313" t="str">
        <f t="shared" si="32"/>
        <v/>
      </c>
      <c r="AP374" s="304" t="str">
        <f t="shared" si="33"/>
        <v/>
      </c>
      <c r="AQ374" s="308" t="str">
        <f t="shared" si="34"/>
        <v/>
      </c>
      <c r="AR374" s="313" t="str">
        <f t="shared" si="35"/>
        <v/>
      </c>
      <c r="AS374" s="304" t="str">
        <f t="shared" si="36"/>
        <v/>
      </c>
      <c r="AT374" s="308" t="str">
        <f t="shared" si="37"/>
        <v/>
      </c>
      <c r="AU374" s="308" t="str">
        <f t="shared" si="38"/>
        <v/>
      </c>
      <c r="AV374" s="304" t="str">
        <f t="shared" si="39"/>
        <v/>
      </c>
      <c r="AW374" s="308" t="str">
        <f t="shared" si="40"/>
        <v/>
      </c>
      <c r="AX374" s="308" t="str">
        <f t="shared" si="41"/>
        <v/>
      </c>
      <c r="AY374" s="304" t="str">
        <f t="shared" si="42"/>
        <v/>
      </c>
      <c r="AZ374" s="308" t="str">
        <f t="shared" si="43"/>
        <v/>
      </c>
      <c r="BA374" s="313" t="str">
        <f t="shared" si="44"/>
        <v/>
      </c>
      <c r="BB374" s="304" t="str">
        <f t="shared" si="45"/>
        <v/>
      </c>
      <c r="BC374" s="308" t="str">
        <f t="shared" si="46"/>
        <v/>
      </c>
      <c r="BD374" s="308" t="str">
        <f t="shared" si="47"/>
        <v/>
      </c>
    </row>
    <row r="375">
      <c r="A375" s="298"/>
      <c r="B375" s="299"/>
      <c r="C375" s="300"/>
      <c r="D375" s="301" t="str">
        <f>IFERROR(__xludf.DUMMYFUNCTION("if(ISBLANK(A375),"""",GOOGLEFINANCE(A375,""NAME""))"),"")</f>
        <v/>
      </c>
      <c r="E375" s="302">
        <v>5000.0</v>
      </c>
      <c r="F375" s="303" t="str">
        <f>IFERROR(__xludf.DUMMYFUNCTION("if(ISBLANK(A375),"""",GOOGLEFINANCE(A375,""HIGH52""))"),"")</f>
        <v/>
      </c>
      <c r="G375" s="303" t="str">
        <f>IFERROR(__xludf.DUMMYFUNCTION("if(ISBLANK(A375),"""",GOOGLEFINANCE(A375,""LOW52""))"),"")</f>
        <v/>
      </c>
      <c r="H375" s="304" t="str">
        <f>IFERROR(__xludf.DUMMYFUNCTION("if(ISBLANK(A375),"""",GOOGLEFINANCE(A375,""Price""))"),"")</f>
        <v/>
      </c>
      <c r="I375" s="305" t="str">
        <f t="shared" si="1"/>
        <v/>
      </c>
      <c r="J375" s="306" t="str">
        <f t="shared" si="2"/>
        <v/>
      </c>
      <c r="K375" s="307" t="str">
        <f>IFERROR(__xludf.DUMMYFUNCTION("if(ISBLANK(A375),"""",googlefinance(A375,""Marketcap"")/10000000)"),"")</f>
        <v/>
      </c>
      <c r="L375" s="309" t="str">
        <f t="shared" si="3"/>
        <v/>
      </c>
      <c r="M375" s="308" t="str">
        <f t="shared" si="4"/>
        <v/>
      </c>
      <c r="N375" s="309" t="str">
        <f t="shared" si="5"/>
        <v/>
      </c>
      <c r="O375" s="322" t="str">
        <f t="shared" si="6"/>
        <v/>
      </c>
      <c r="P375" s="308" t="str">
        <f t="shared" si="7"/>
        <v/>
      </c>
      <c r="Q375" s="311" t="str">
        <f t="shared" si="8"/>
        <v/>
      </c>
      <c r="R375" s="309" t="str">
        <f t="shared" si="9"/>
        <v/>
      </c>
      <c r="S375" s="308" t="str">
        <f t="shared" si="10"/>
        <v/>
      </c>
      <c r="T375" s="309" t="str">
        <f t="shared" si="11"/>
        <v/>
      </c>
      <c r="U375" s="309" t="str">
        <f t="shared" si="12"/>
        <v/>
      </c>
      <c r="V375" s="308" t="str">
        <f t="shared" si="13"/>
        <v/>
      </c>
      <c r="W375" s="309" t="str">
        <f t="shared" si="14"/>
        <v/>
      </c>
      <c r="X375" s="309" t="str">
        <f t="shared" si="15"/>
        <v/>
      </c>
      <c r="Y375" s="308" t="str">
        <f t="shared" si="16"/>
        <v/>
      </c>
      <c r="Z375" s="309" t="str">
        <f t="shared" si="17"/>
        <v/>
      </c>
      <c r="AA375" s="312" t="str">
        <f t="shared" si="18"/>
        <v/>
      </c>
      <c r="AB375" s="308" t="str">
        <f t="shared" si="19"/>
        <v/>
      </c>
      <c r="AC375" s="308" t="str">
        <f t="shared" si="20"/>
        <v/>
      </c>
      <c r="AD375" s="312" t="str">
        <f t="shared" si="21"/>
        <v/>
      </c>
      <c r="AE375" s="308" t="str">
        <f t="shared" si="22"/>
        <v/>
      </c>
      <c r="AF375" s="313" t="str">
        <f t="shared" si="23"/>
        <v/>
      </c>
      <c r="AG375" s="304" t="str">
        <f t="shared" si="24"/>
        <v/>
      </c>
      <c r="AH375" s="308" t="str">
        <f t="shared" si="25"/>
        <v/>
      </c>
      <c r="AI375" s="313" t="str">
        <f t="shared" si="26"/>
        <v/>
      </c>
      <c r="AJ375" s="304" t="str">
        <f t="shared" si="27"/>
        <v/>
      </c>
      <c r="AK375" s="308" t="str">
        <f t="shared" si="28"/>
        <v/>
      </c>
      <c r="AL375" s="308" t="str">
        <f t="shared" si="29"/>
        <v/>
      </c>
      <c r="AM375" s="304" t="str">
        <f t="shared" si="30"/>
        <v/>
      </c>
      <c r="AN375" s="308" t="str">
        <f t="shared" si="31"/>
        <v/>
      </c>
      <c r="AO375" s="313" t="str">
        <f t="shared" si="32"/>
        <v/>
      </c>
      <c r="AP375" s="304" t="str">
        <f t="shared" si="33"/>
        <v/>
      </c>
      <c r="AQ375" s="308" t="str">
        <f t="shared" si="34"/>
        <v/>
      </c>
      <c r="AR375" s="313" t="str">
        <f t="shared" si="35"/>
        <v/>
      </c>
      <c r="AS375" s="304" t="str">
        <f t="shared" si="36"/>
        <v/>
      </c>
      <c r="AT375" s="308" t="str">
        <f t="shared" si="37"/>
        <v/>
      </c>
      <c r="AU375" s="308" t="str">
        <f t="shared" si="38"/>
        <v/>
      </c>
      <c r="AV375" s="304" t="str">
        <f t="shared" si="39"/>
        <v/>
      </c>
      <c r="AW375" s="308" t="str">
        <f t="shared" si="40"/>
        <v/>
      </c>
      <c r="AX375" s="308" t="str">
        <f t="shared" si="41"/>
        <v/>
      </c>
      <c r="AY375" s="304" t="str">
        <f t="shared" si="42"/>
        <v/>
      </c>
      <c r="AZ375" s="308" t="str">
        <f t="shared" si="43"/>
        <v/>
      </c>
      <c r="BA375" s="313" t="str">
        <f t="shared" si="44"/>
        <v/>
      </c>
      <c r="BB375" s="304" t="str">
        <f t="shared" si="45"/>
        <v/>
      </c>
      <c r="BC375" s="308" t="str">
        <f t="shared" si="46"/>
        <v/>
      </c>
      <c r="BD375" s="308" t="str">
        <f t="shared" si="47"/>
        <v/>
      </c>
    </row>
    <row r="376">
      <c r="A376" s="298"/>
      <c r="B376" s="299"/>
      <c r="C376" s="300"/>
      <c r="D376" s="301" t="str">
        <f>IFERROR(__xludf.DUMMYFUNCTION("if(ISBLANK(A376),"""",GOOGLEFINANCE(A376,""NAME""))"),"")</f>
        <v/>
      </c>
      <c r="E376" s="302">
        <v>5000.0</v>
      </c>
      <c r="F376" s="303" t="str">
        <f>IFERROR(__xludf.DUMMYFUNCTION("if(ISBLANK(A376),"""",GOOGLEFINANCE(A376,""HIGH52""))"),"")</f>
        <v/>
      </c>
      <c r="G376" s="303" t="str">
        <f>IFERROR(__xludf.DUMMYFUNCTION("if(ISBLANK(A376),"""",GOOGLEFINANCE(A376,""LOW52""))"),"")</f>
        <v/>
      </c>
      <c r="H376" s="304" t="str">
        <f>IFERROR(__xludf.DUMMYFUNCTION("if(ISBLANK(A376),"""",GOOGLEFINANCE(A376,""Price""))"),"")</f>
        <v/>
      </c>
      <c r="I376" s="305" t="str">
        <f t="shared" si="1"/>
        <v/>
      </c>
      <c r="J376" s="306" t="str">
        <f t="shared" si="2"/>
        <v/>
      </c>
      <c r="K376" s="307" t="str">
        <f>IFERROR(__xludf.DUMMYFUNCTION("if(ISBLANK(A376),"""",googlefinance(A376,""Marketcap"")/10000000)"),"")</f>
        <v/>
      </c>
      <c r="L376" s="309" t="str">
        <f t="shared" si="3"/>
        <v/>
      </c>
      <c r="M376" s="308" t="str">
        <f t="shared" si="4"/>
        <v/>
      </c>
      <c r="N376" s="309" t="str">
        <f t="shared" si="5"/>
        <v/>
      </c>
      <c r="O376" s="322" t="str">
        <f t="shared" si="6"/>
        <v/>
      </c>
      <c r="P376" s="308" t="str">
        <f t="shared" si="7"/>
        <v/>
      </c>
      <c r="Q376" s="311" t="str">
        <f t="shared" si="8"/>
        <v/>
      </c>
      <c r="R376" s="309" t="str">
        <f t="shared" si="9"/>
        <v/>
      </c>
      <c r="S376" s="308" t="str">
        <f t="shared" si="10"/>
        <v/>
      </c>
      <c r="T376" s="309" t="str">
        <f t="shared" si="11"/>
        <v/>
      </c>
      <c r="U376" s="309" t="str">
        <f t="shared" si="12"/>
        <v/>
      </c>
      <c r="V376" s="308" t="str">
        <f t="shared" si="13"/>
        <v/>
      </c>
      <c r="W376" s="309" t="str">
        <f t="shared" si="14"/>
        <v/>
      </c>
      <c r="X376" s="309" t="str">
        <f t="shared" si="15"/>
        <v/>
      </c>
      <c r="Y376" s="308" t="str">
        <f t="shared" si="16"/>
        <v/>
      </c>
      <c r="Z376" s="309" t="str">
        <f t="shared" si="17"/>
        <v/>
      </c>
      <c r="AA376" s="312" t="str">
        <f t="shared" si="18"/>
        <v/>
      </c>
      <c r="AB376" s="308" t="str">
        <f t="shared" si="19"/>
        <v/>
      </c>
      <c r="AC376" s="308" t="str">
        <f t="shared" si="20"/>
        <v/>
      </c>
      <c r="AD376" s="312" t="str">
        <f t="shared" si="21"/>
        <v/>
      </c>
      <c r="AE376" s="308" t="str">
        <f t="shared" si="22"/>
        <v/>
      </c>
      <c r="AF376" s="313" t="str">
        <f t="shared" si="23"/>
        <v/>
      </c>
      <c r="AG376" s="304" t="str">
        <f t="shared" si="24"/>
        <v/>
      </c>
      <c r="AH376" s="308" t="str">
        <f t="shared" si="25"/>
        <v/>
      </c>
      <c r="AI376" s="313" t="str">
        <f t="shared" si="26"/>
        <v/>
      </c>
      <c r="AJ376" s="304" t="str">
        <f t="shared" si="27"/>
        <v/>
      </c>
      <c r="AK376" s="308" t="str">
        <f t="shared" si="28"/>
        <v/>
      </c>
      <c r="AL376" s="308" t="str">
        <f t="shared" si="29"/>
        <v/>
      </c>
      <c r="AM376" s="304" t="str">
        <f t="shared" si="30"/>
        <v/>
      </c>
      <c r="AN376" s="308" t="str">
        <f t="shared" si="31"/>
        <v/>
      </c>
      <c r="AO376" s="313" t="str">
        <f t="shared" si="32"/>
        <v/>
      </c>
      <c r="AP376" s="304" t="str">
        <f t="shared" si="33"/>
        <v/>
      </c>
      <c r="AQ376" s="308" t="str">
        <f t="shared" si="34"/>
        <v/>
      </c>
      <c r="AR376" s="313" t="str">
        <f t="shared" si="35"/>
        <v/>
      </c>
      <c r="AS376" s="304" t="str">
        <f t="shared" si="36"/>
        <v/>
      </c>
      <c r="AT376" s="308" t="str">
        <f t="shared" si="37"/>
        <v/>
      </c>
      <c r="AU376" s="308" t="str">
        <f t="shared" si="38"/>
        <v/>
      </c>
      <c r="AV376" s="304" t="str">
        <f t="shared" si="39"/>
        <v/>
      </c>
      <c r="AW376" s="308" t="str">
        <f t="shared" si="40"/>
        <v/>
      </c>
      <c r="AX376" s="308" t="str">
        <f t="shared" si="41"/>
        <v/>
      </c>
      <c r="AY376" s="304" t="str">
        <f t="shared" si="42"/>
        <v/>
      </c>
      <c r="AZ376" s="308" t="str">
        <f t="shared" si="43"/>
        <v/>
      </c>
      <c r="BA376" s="313" t="str">
        <f t="shared" si="44"/>
        <v/>
      </c>
      <c r="BB376" s="304" t="str">
        <f t="shared" si="45"/>
        <v/>
      </c>
      <c r="BC376" s="308" t="str">
        <f t="shared" si="46"/>
        <v/>
      </c>
      <c r="BD376" s="308" t="str">
        <f t="shared" si="47"/>
        <v/>
      </c>
    </row>
    <row r="377">
      <c r="A377" s="298"/>
      <c r="B377" s="299"/>
      <c r="C377" s="300"/>
      <c r="D377" s="301" t="str">
        <f>IFERROR(__xludf.DUMMYFUNCTION("if(ISBLANK(A377),"""",GOOGLEFINANCE(A377,""NAME""))"),"")</f>
        <v/>
      </c>
      <c r="E377" s="302">
        <v>5000.0</v>
      </c>
      <c r="F377" s="303" t="str">
        <f>IFERROR(__xludf.DUMMYFUNCTION("if(ISBLANK(A377),"""",GOOGLEFINANCE(A377,""HIGH52""))"),"")</f>
        <v/>
      </c>
      <c r="G377" s="303" t="str">
        <f>IFERROR(__xludf.DUMMYFUNCTION("if(ISBLANK(A377),"""",GOOGLEFINANCE(A377,""LOW52""))"),"")</f>
        <v/>
      </c>
      <c r="H377" s="304" t="str">
        <f>IFERROR(__xludf.DUMMYFUNCTION("if(ISBLANK(A377),"""",GOOGLEFINANCE(A377,""Price""))"),"")</f>
        <v/>
      </c>
      <c r="I377" s="305" t="str">
        <f t="shared" si="1"/>
        <v/>
      </c>
      <c r="J377" s="306" t="str">
        <f t="shared" si="2"/>
        <v/>
      </c>
      <c r="K377" s="307" t="str">
        <f>IFERROR(__xludf.DUMMYFUNCTION("if(ISBLANK(A377),"""",googlefinance(A377,""Marketcap"")/10000000)"),"")</f>
        <v/>
      </c>
      <c r="L377" s="309" t="str">
        <f t="shared" si="3"/>
        <v/>
      </c>
      <c r="M377" s="308" t="str">
        <f t="shared" si="4"/>
        <v/>
      </c>
      <c r="N377" s="309" t="str">
        <f t="shared" si="5"/>
        <v/>
      </c>
      <c r="O377" s="322" t="str">
        <f t="shared" si="6"/>
        <v/>
      </c>
      <c r="P377" s="308" t="str">
        <f t="shared" si="7"/>
        <v/>
      </c>
      <c r="Q377" s="311" t="str">
        <f t="shared" si="8"/>
        <v/>
      </c>
      <c r="R377" s="309" t="str">
        <f t="shared" si="9"/>
        <v/>
      </c>
      <c r="S377" s="308" t="str">
        <f t="shared" si="10"/>
        <v/>
      </c>
      <c r="T377" s="309" t="str">
        <f t="shared" si="11"/>
        <v/>
      </c>
      <c r="U377" s="309" t="str">
        <f t="shared" si="12"/>
        <v/>
      </c>
      <c r="V377" s="308" t="str">
        <f t="shared" si="13"/>
        <v/>
      </c>
      <c r="W377" s="309" t="str">
        <f t="shared" si="14"/>
        <v/>
      </c>
      <c r="X377" s="309" t="str">
        <f t="shared" si="15"/>
        <v/>
      </c>
      <c r="Y377" s="308" t="str">
        <f t="shared" si="16"/>
        <v/>
      </c>
      <c r="Z377" s="309" t="str">
        <f t="shared" si="17"/>
        <v/>
      </c>
      <c r="AA377" s="312" t="str">
        <f t="shared" si="18"/>
        <v/>
      </c>
      <c r="AB377" s="308" t="str">
        <f t="shared" si="19"/>
        <v/>
      </c>
      <c r="AC377" s="308" t="str">
        <f t="shared" si="20"/>
        <v/>
      </c>
      <c r="AD377" s="312" t="str">
        <f t="shared" si="21"/>
        <v/>
      </c>
      <c r="AE377" s="308" t="str">
        <f t="shared" si="22"/>
        <v/>
      </c>
      <c r="AF377" s="313" t="str">
        <f t="shared" si="23"/>
        <v/>
      </c>
      <c r="AG377" s="304" t="str">
        <f t="shared" si="24"/>
        <v/>
      </c>
      <c r="AH377" s="308" t="str">
        <f t="shared" si="25"/>
        <v/>
      </c>
      <c r="AI377" s="313" t="str">
        <f t="shared" si="26"/>
        <v/>
      </c>
      <c r="AJ377" s="304" t="str">
        <f t="shared" si="27"/>
        <v/>
      </c>
      <c r="AK377" s="308" t="str">
        <f t="shared" si="28"/>
        <v/>
      </c>
      <c r="AL377" s="308" t="str">
        <f t="shared" si="29"/>
        <v/>
      </c>
      <c r="AM377" s="304" t="str">
        <f t="shared" si="30"/>
        <v/>
      </c>
      <c r="AN377" s="308" t="str">
        <f t="shared" si="31"/>
        <v/>
      </c>
      <c r="AO377" s="313" t="str">
        <f t="shared" si="32"/>
        <v/>
      </c>
      <c r="AP377" s="304" t="str">
        <f t="shared" si="33"/>
        <v/>
      </c>
      <c r="AQ377" s="308" t="str">
        <f t="shared" si="34"/>
        <v/>
      </c>
      <c r="AR377" s="313" t="str">
        <f t="shared" si="35"/>
        <v/>
      </c>
      <c r="AS377" s="304" t="str">
        <f t="shared" si="36"/>
        <v/>
      </c>
      <c r="AT377" s="308" t="str">
        <f t="shared" si="37"/>
        <v/>
      </c>
      <c r="AU377" s="308" t="str">
        <f t="shared" si="38"/>
        <v/>
      </c>
      <c r="AV377" s="304" t="str">
        <f t="shared" si="39"/>
        <v/>
      </c>
      <c r="AW377" s="308" t="str">
        <f t="shared" si="40"/>
        <v/>
      </c>
      <c r="AX377" s="308" t="str">
        <f t="shared" si="41"/>
        <v/>
      </c>
      <c r="AY377" s="304" t="str">
        <f t="shared" si="42"/>
        <v/>
      </c>
      <c r="AZ377" s="308" t="str">
        <f t="shared" si="43"/>
        <v/>
      </c>
      <c r="BA377" s="313" t="str">
        <f t="shared" si="44"/>
        <v/>
      </c>
      <c r="BB377" s="304" t="str">
        <f t="shared" si="45"/>
        <v/>
      </c>
      <c r="BC377" s="308" t="str">
        <f t="shared" si="46"/>
        <v/>
      </c>
      <c r="BD377" s="308" t="str">
        <f t="shared" si="47"/>
        <v/>
      </c>
    </row>
    <row r="378">
      <c r="A378" s="298"/>
      <c r="B378" s="299"/>
      <c r="C378" s="300"/>
      <c r="D378" s="301" t="str">
        <f>IFERROR(__xludf.DUMMYFUNCTION("if(ISBLANK(A378),"""",GOOGLEFINANCE(A378,""NAME""))"),"")</f>
        <v/>
      </c>
      <c r="E378" s="302">
        <v>5000.0</v>
      </c>
      <c r="F378" s="303" t="str">
        <f>IFERROR(__xludf.DUMMYFUNCTION("if(ISBLANK(A378),"""",GOOGLEFINANCE(A378,""HIGH52""))"),"")</f>
        <v/>
      </c>
      <c r="G378" s="303" t="str">
        <f>IFERROR(__xludf.DUMMYFUNCTION("if(ISBLANK(A378),"""",GOOGLEFINANCE(A378,""LOW52""))"),"")</f>
        <v/>
      </c>
      <c r="H378" s="304" t="str">
        <f>IFERROR(__xludf.DUMMYFUNCTION("if(ISBLANK(A378),"""",GOOGLEFINANCE(A378,""Price""))"),"")</f>
        <v/>
      </c>
      <c r="I378" s="305" t="str">
        <f t="shared" si="1"/>
        <v/>
      </c>
      <c r="J378" s="306" t="str">
        <f t="shared" si="2"/>
        <v/>
      </c>
      <c r="K378" s="307" t="str">
        <f>IFERROR(__xludf.DUMMYFUNCTION("if(ISBLANK(A378),"""",googlefinance(A378,""Marketcap"")/10000000)"),"")</f>
        <v/>
      </c>
      <c r="L378" s="309" t="str">
        <f t="shared" si="3"/>
        <v/>
      </c>
      <c r="M378" s="308" t="str">
        <f t="shared" si="4"/>
        <v/>
      </c>
      <c r="N378" s="309" t="str">
        <f t="shared" si="5"/>
        <v/>
      </c>
      <c r="O378" s="322" t="str">
        <f t="shared" si="6"/>
        <v/>
      </c>
      <c r="P378" s="308" t="str">
        <f t="shared" si="7"/>
        <v/>
      </c>
      <c r="Q378" s="311" t="str">
        <f t="shared" si="8"/>
        <v/>
      </c>
      <c r="R378" s="309" t="str">
        <f t="shared" si="9"/>
        <v/>
      </c>
      <c r="S378" s="308" t="str">
        <f t="shared" si="10"/>
        <v/>
      </c>
      <c r="T378" s="309" t="str">
        <f t="shared" si="11"/>
        <v/>
      </c>
      <c r="U378" s="309" t="str">
        <f t="shared" si="12"/>
        <v/>
      </c>
      <c r="V378" s="308" t="str">
        <f t="shared" si="13"/>
        <v/>
      </c>
      <c r="W378" s="309" t="str">
        <f t="shared" si="14"/>
        <v/>
      </c>
      <c r="X378" s="309" t="str">
        <f t="shared" si="15"/>
        <v/>
      </c>
      <c r="Y378" s="308" t="str">
        <f t="shared" si="16"/>
        <v/>
      </c>
      <c r="Z378" s="309" t="str">
        <f t="shared" si="17"/>
        <v/>
      </c>
      <c r="AA378" s="312" t="str">
        <f t="shared" si="18"/>
        <v/>
      </c>
      <c r="AB378" s="308" t="str">
        <f t="shared" si="19"/>
        <v/>
      </c>
      <c r="AC378" s="308" t="str">
        <f t="shared" si="20"/>
        <v/>
      </c>
      <c r="AD378" s="312" t="str">
        <f t="shared" si="21"/>
        <v/>
      </c>
      <c r="AE378" s="308" t="str">
        <f t="shared" si="22"/>
        <v/>
      </c>
      <c r="AF378" s="313" t="str">
        <f t="shared" si="23"/>
        <v/>
      </c>
      <c r="AG378" s="304" t="str">
        <f t="shared" si="24"/>
        <v/>
      </c>
      <c r="AH378" s="308" t="str">
        <f t="shared" si="25"/>
        <v/>
      </c>
      <c r="AI378" s="313" t="str">
        <f t="shared" si="26"/>
        <v/>
      </c>
      <c r="AJ378" s="304" t="str">
        <f t="shared" si="27"/>
        <v/>
      </c>
      <c r="AK378" s="308" t="str">
        <f t="shared" si="28"/>
        <v/>
      </c>
      <c r="AL378" s="308" t="str">
        <f t="shared" si="29"/>
        <v/>
      </c>
      <c r="AM378" s="304" t="str">
        <f t="shared" si="30"/>
        <v/>
      </c>
      <c r="AN378" s="308" t="str">
        <f t="shared" si="31"/>
        <v/>
      </c>
      <c r="AO378" s="313" t="str">
        <f t="shared" si="32"/>
        <v/>
      </c>
      <c r="AP378" s="304" t="str">
        <f t="shared" si="33"/>
        <v/>
      </c>
      <c r="AQ378" s="308" t="str">
        <f t="shared" si="34"/>
        <v/>
      </c>
      <c r="AR378" s="313" t="str">
        <f t="shared" si="35"/>
        <v/>
      </c>
      <c r="AS378" s="304" t="str">
        <f t="shared" si="36"/>
        <v/>
      </c>
      <c r="AT378" s="308" t="str">
        <f t="shared" si="37"/>
        <v/>
      </c>
      <c r="AU378" s="308" t="str">
        <f t="shared" si="38"/>
        <v/>
      </c>
      <c r="AV378" s="304" t="str">
        <f t="shared" si="39"/>
        <v/>
      </c>
      <c r="AW378" s="308" t="str">
        <f t="shared" si="40"/>
        <v/>
      </c>
      <c r="AX378" s="308" t="str">
        <f t="shared" si="41"/>
        <v/>
      </c>
      <c r="AY378" s="304" t="str">
        <f t="shared" si="42"/>
        <v/>
      </c>
      <c r="AZ378" s="308" t="str">
        <f t="shared" si="43"/>
        <v/>
      </c>
      <c r="BA378" s="313" t="str">
        <f t="shared" si="44"/>
        <v/>
      </c>
      <c r="BB378" s="304" t="str">
        <f t="shared" si="45"/>
        <v/>
      </c>
      <c r="BC378" s="308" t="str">
        <f t="shared" si="46"/>
        <v/>
      </c>
      <c r="BD378" s="308" t="str">
        <f t="shared" si="47"/>
        <v/>
      </c>
    </row>
    <row r="379">
      <c r="A379" s="298"/>
      <c r="B379" s="299"/>
      <c r="C379" s="300"/>
      <c r="D379" s="301" t="str">
        <f>IFERROR(__xludf.DUMMYFUNCTION("if(ISBLANK(A379),"""",GOOGLEFINANCE(A379,""NAME""))"),"")</f>
        <v/>
      </c>
      <c r="E379" s="302">
        <v>5000.0</v>
      </c>
      <c r="F379" s="303" t="str">
        <f>IFERROR(__xludf.DUMMYFUNCTION("if(ISBLANK(A379),"""",GOOGLEFINANCE(A379,""HIGH52""))"),"")</f>
        <v/>
      </c>
      <c r="G379" s="303" t="str">
        <f>IFERROR(__xludf.DUMMYFUNCTION("if(ISBLANK(A379),"""",GOOGLEFINANCE(A379,""LOW52""))"),"")</f>
        <v/>
      </c>
      <c r="H379" s="304" t="str">
        <f>IFERROR(__xludf.DUMMYFUNCTION("if(ISBLANK(A379),"""",GOOGLEFINANCE(A379,""Price""))"),"")</f>
        <v/>
      </c>
      <c r="I379" s="305" t="str">
        <f t="shared" si="1"/>
        <v/>
      </c>
      <c r="J379" s="306" t="str">
        <f t="shared" si="2"/>
        <v/>
      </c>
      <c r="K379" s="307" t="str">
        <f>IFERROR(__xludf.DUMMYFUNCTION("if(ISBLANK(A379),"""",googlefinance(A379,""Marketcap"")/10000000)"),"")</f>
        <v/>
      </c>
      <c r="L379" s="309" t="str">
        <f t="shared" si="3"/>
        <v/>
      </c>
      <c r="M379" s="308" t="str">
        <f t="shared" si="4"/>
        <v/>
      </c>
      <c r="N379" s="309" t="str">
        <f t="shared" si="5"/>
        <v/>
      </c>
      <c r="O379" s="322" t="str">
        <f t="shared" si="6"/>
        <v/>
      </c>
      <c r="P379" s="308" t="str">
        <f t="shared" si="7"/>
        <v/>
      </c>
      <c r="Q379" s="311" t="str">
        <f t="shared" si="8"/>
        <v/>
      </c>
      <c r="R379" s="309" t="str">
        <f t="shared" si="9"/>
        <v/>
      </c>
      <c r="S379" s="308" t="str">
        <f t="shared" si="10"/>
        <v/>
      </c>
      <c r="T379" s="309" t="str">
        <f t="shared" si="11"/>
        <v/>
      </c>
      <c r="U379" s="309" t="str">
        <f t="shared" si="12"/>
        <v/>
      </c>
      <c r="V379" s="308" t="str">
        <f t="shared" si="13"/>
        <v/>
      </c>
      <c r="W379" s="309" t="str">
        <f t="shared" si="14"/>
        <v/>
      </c>
      <c r="X379" s="309" t="str">
        <f t="shared" si="15"/>
        <v/>
      </c>
      <c r="Y379" s="308" t="str">
        <f t="shared" si="16"/>
        <v/>
      </c>
      <c r="Z379" s="309" t="str">
        <f t="shared" si="17"/>
        <v/>
      </c>
      <c r="AA379" s="312" t="str">
        <f t="shared" si="18"/>
        <v/>
      </c>
      <c r="AB379" s="308" t="str">
        <f t="shared" si="19"/>
        <v/>
      </c>
      <c r="AC379" s="308" t="str">
        <f t="shared" si="20"/>
        <v/>
      </c>
      <c r="AD379" s="312" t="str">
        <f t="shared" si="21"/>
        <v/>
      </c>
      <c r="AE379" s="308" t="str">
        <f t="shared" si="22"/>
        <v/>
      </c>
      <c r="AF379" s="313" t="str">
        <f t="shared" si="23"/>
        <v/>
      </c>
      <c r="AG379" s="304" t="str">
        <f t="shared" si="24"/>
        <v/>
      </c>
      <c r="AH379" s="308" t="str">
        <f t="shared" si="25"/>
        <v/>
      </c>
      <c r="AI379" s="313" t="str">
        <f t="shared" si="26"/>
        <v/>
      </c>
      <c r="AJ379" s="304" t="str">
        <f t="shared" si="27"/>
        <v/>
      </c>
      <c r="AK379" s="308" t="str">
        <f t="shared" si="28"/>
        <v/>
      </c>
      <c r="AL379" s="308" t="str">
        <f t="shared" si="29"/>
        <v/>
      </c>
      <c r="AM379" s="304" t="str">
        <f t="shared" si="30"/>
        <v/>
      </c>
      <c r="AN379" s="308" t="str">
        <f t="shared" si="31"/>
        <v/>
      </c>
      <c r="AO379" s="313" t="str">
        <f t="shared" si="32"/>
        <v/>
      </c>
      <c r="AP379" s="304" t="str">
        <f t="shared" si="33"/>
        <v/>
      </c>
      <c r="AQ379" s="308" t="str">
        <f t="shared" si="34"/>
        <v/>
      </c>
      <c r="AR379" s="313" t="str">
        <f t="shared" si="35"/>
        <v/>
      </c>
      <c r="AS379" s="304" t="str">
        <f t="shared" si="36"/>
        <v/>
      </c>
      <c r="AT379" s="308" t="str">
        <f t="shared" si="37"/>
        <v/>
      </c>
      <c r="AU379" s="308" t="str">
        <f t="shared" si="38"/>
        <v/>
      </c>
      <c r="AV379" s="304" t="str">
        <f t="shared" si="39"/>
        <v/>
      </c>
      <c r="AW379" s="308" t="str">
        <f t="shared" si="40"/>
        <v/>
      </c>
      <c r="AX379" s="308" t="str">
        <f t="shared" si="41"/>
        <v/>
      </c>
      <c r="AY379" s="304" t="str">
        <f t="shared" si="42"/>
        <v/>
      </c>
      <c r="AZ379" s="308" t="str">
        <f t="shared" si="43"/>
        <v/>
      </c>
      <c r="BA379" s="313" t="str">
        <f t="shared" si="44"/>
        <v/>
      </c>
      <c r="BB379" s="304" t="str">
        <f t="shared" si="45"/>
        <v/>
      </c>
      <c r="BC379" s="308" t="str">
        <f t="shared" si="46"/>
        <v/>
      </c>
      <c r="BD379" s="308" t="str">
        <f t="shared" si="47"/>
        <v/>
      </c>
    </row>
    <row r="380">
      <c r="A380" s="298"/>
      <c r="B380" s="299"/>
      <c r="C380" s="300"/>
      <c r="D380" s="301" t="str">
        <f>IFERROR(__xludf.DUMMYFUNCTION("if(ISBLANK(A380),"""",GOOGLEFINANCE(A380,""NAME""))"),"")</f>
        <v/>
      </c>
      <c r="E380" s="302">
        <v>5000.0</v>
      </c>
      <c r="F380" s="303" t="str">
        <f>IFERROR(__xludf.DUMMYFUNCTION("if(ISBLANK(A380),"""",GOOGLEFINANCE(A380,""HIGH52""))"),"")</f>
        <v/>
      </c>
      <c r="G380" s="303" t="str">
        <f>IFERROR(__xludf.DUMMYFUNCTION("if(ISBLANK(A380),"""",GOOGLEFINANCE(A380,""LOW52""))"),"")</f>
        <v/>
      </c>
      <c r="H380" s="304" t="str">
        <f>IFERROR(__xludf.DUMMYFUNCTION("if(ISBLANK(A380),"""",GOOGLEFINANCE(A380,""Price""))"),"")</f>
        <v/>
      </c>
      <c r="I380" s="305" t="str">
        <f t="shared" si="1"/>
        <v/>
      </c>
      <c r="J380" s="306" t="str">
        <f t="shared" si="2"/>
        <v/>
      </c>
      <c r="K380" s="307" t="str">
        <f>IFERROR(__xludf.DUMMYFUNCTION("if(ISBLANK(A380),"""",googlefinance(A380,""Marketcap"")/10000000)"),"")</f>
        <v/>
      </c>
      <c r="L380" s="309" t="str">
        <f t="shared" si="3"/>
        <v/>
      </c>
      <c r="M380" s="308" t="str">
        <f t="shared" si="4"/>
        <v/>
      </c>
      <c r="N380" s="309" t="str">
        <f t="shared" si="5"/>
        <v/>
      </c>
      <c r="O380" s="322" t="str">
        <f t="shared" si="6"/>
        <v/>
      </c>
      <c r="P380" s="308" t="str">
        <f t="shared" si="7"/>
        <v/>
      </c>
      <c r="Q380" s="311" t="str">
        <f t="shared" si="8"/>
        <v/>
      </c>
      <c r="R380" s="309" t="str">
        <f t="shared" si="9"/>
        <v/>
      </c>
      <c r="S380" s="308" t="str">
        <f t="shared" si="10"/>
        <v/>
      </c>
      <c r="T380" s="309" t="str">
        <f t="shared" si="11"/>
        <v/>
      </c>
      <c r="U380" s="309" t="str">
        <f t="shared" si="12"/>
        <v/>
      </c>
      <c r="V380" s="308" t="str">
        <f t="shared" si="13"/>
        <v/>
      </c>
      <c r="W380" s="309" t="str">
        <f t="shared" si="14"/>
        <v/>
      </c>
      <c r="X380" s="309" t="str">
        <f t="shared" si="15"/>
        <v/>
      </c>
      <c r="Y380" s="308" t="str">
        <f t="shared" si="16"/>
        <v/>
      </c>
      <c r="Z380" s="309" t="str">
        <f t="shared" si="17"/>
        <v/>
      </c>
      <c r="AA380" s="312" t="str">
        <f t="shared" si="18"/>
        <v/>
      </c>
      <c r="AB380" s="308" t="str">
        <f t="shared" si="19"/>
        <v/>
      </c>
      <c r="AC380" s="308" t="str">
        <f t="shared" si="20"/>
        <v/>
      </c>
      <c r="AD380" s="312" t="str">
        <f t="shared" si="21"/>
        <v/>
      </c>
      <c r="AE380" s="308" t="str">
        <f t="shared" si="22"/>
        <v/>
      </c>
      <c r="AF380" s="313" t="str">
        <f t="shared" si="23"/>
        <v/>
      </c>
      <c r="AG380" s="304" t="str">
        <f t="shared" si="24"/>
        <v/>
      </c>
      <c r="AH380" s="308" t="str">
        <f t="shared" si="25"/>
        <v/>
      </c>
      <c r="AI380" s="313" t="str">
        <f t="shared" si="26"/>
        <v/>
      </c>
      <c r="AJ380" s="304" t="str">
        <f t="shared" si="27"/>
        <v/>
      </c>
      <c r="AK380" s="308" t="str">
        <f t="shared" si="28"/>
        <v/>
      </c>
      <c r="AL380" s="308" t="str">
        <f t="shared" si="29"/>
        <v/>
      </c>
      <c r="AM380" s="304" t="str">
        <f t="shared" si="30"/>
        <v/>
      </c>
      <c r="AN380" s="308" t="str">
        <f t="shared" si="31"/>
        <v/>
      </c>
      <c r="AO380" s="313" t="str">
        <f t="shared" si="32"/>
        <v/>
      </c>
      <c r="AP380" s="304" t="str">
        <f t="shared" si="33"/>
        <v/>
      </c>
      <c r="AQ380" s="308" t="str">
        <f t="shared" si="34"/>
        <v/>
      </c>
      <c r="AR380" s="313" t="str">
        <f t="shared" si="35"/>
        <v/>
      </c>
      <c r="AS380" s="304" t="str">
        <f t="shared" si="36"/>
        <v/>
      </c>
      <c r="AT380" s="308" t="str">
        <f t="shared" si="37"/>
        <v/>
      </c>
      <c r="AU380" s="308" t="str">
        <f t="shared" si="38"/>
        <v/>
      </c>
      <c r="AV380" s="304" t="str">
        <f t="shared" si="39"/>
        <v/>
      </c>
      <c r="AW380" s="308" t="str">
        <f t="shared" si="40"/>
        <v/>
      </c>
      <c r="AX380" s="308" t="str">
        <f t="shared" si="41"/>
        <v/>
      </c>
      <c r="AY380" s="304" t="str">
        <f t="shared" si="42"/>
        <v/>
      </c>
      <c r="AZ380" s="308" t="str">
        <f t="shared" si="43"/>
        <v/>
      </c>
      <c r="BA380" s="313" t="str">
        <f t="shared" si="44"/>
        <v/>
      </c>
      <c r="BB380" s="304" t="str">
        <f t="shared" si="45"/>
        <v/>
      </c>
      <c r="BC380" s="308" t="str">
        <f t="shared" si="46"/>
        <v/>
      </c>
      <c r="BD380" s="308" t="str">
        <f t="shared" si="47"/>
        <v/>
      </c>
    </row>
    <row r="381">
      <c r="A381" s="298"/>
      <c r="B381" s="299"/>
      <c r="C381" s="300"/>
      <c r="D381" s="301" t="str">
        <f>IFERROR(__xludf.DUMMYFUNCTION("if(ISBLANK(A381),"""",GOOGLEFINANCE(A381,""NAME""))"),"")</f>
        <v/>
      </c>
      <c r="E381" s="302">
        <v>5000.0</v>
      </c>
      <c r="F381" s="303" t="str">
        <f>IFERROR(__xludf.DUMMYFUNCTION("if(ISBLANK(A381),"""",GOOGLEFINANCE(A381,""HIGH52""))"),"")</f>
        <v/>
      </c>
      <c r="G381" s="303" t="str">
        <f>IFERROR(__xludf.DUMMYFUNCTION("if(ISBLANK(A381),"""",GOOGLEFINANCE(A381,""LOW52""))"),"")</f>
        <v/>
      </c>
      <c r="H381" s="304" t="str">
        <f>IFERROR(__xludf.DUMMYFUNCTION("if(ISBLANK(A381),"""",GOOGLEFINANCE(A381,""Price""))"),"")</f>
        <v/>
      </c>
      <c r="I381" s="305" t="str">
        <f t="shared" si="1"/>
        <v/>
      </c>
      <c r="J381" s="306" t="str">
        <f t="shared" si="2"/>
        <v/>
      </c>
      <c r="K381" s="307" t="str">
        <f>IFERROR(__xludf.DUMMYFUNCTION("if(ISBLANK(A381),"""",googlefinance(A381,""Marketcap"")/10000000)"),"")</f>
        <v/>
      </c>
      <c r="L381" s="309" t="str">
        <f t="shared" si="3"/>
        <v/>
      </c>
      <c r="M381" s="308" t="str">
        <f t="shared" si="4"/>
        <v/>
      </c>
      <c r="N381" s="309" t="str">
        <f t="shared" si="5"/>
        <v/>
      </c>
      <c r="O381" s="322" t="str">
        <f t="shared" si="6"/>
        <v/>
      </c>
      <c r="P381" s="308" t="str">
        <f t="shared" si="7"/>
        <v/>
      </c>
      <c r="Q381" s="311" t="str">
        <f t="shared" si="8"/>
        <v/>
      </c>
      <c r="R381" s="309" t="str">
        <f t="shared" si="9"/>
        <v/>
      </c>
      <c r="S381" s="308" t="str">
        <f t="shared" si="10"/>
        <v/>
      </c>
      <c r="T381" s="309" t="str">
        <f t="shared" si="11"/>
        <v/>
      </c>
      <c r="U381" s="309" t="str">
        <f t="shared" si="12"/>
        <v/>
      </c>
      <c r="V381" s="308" t="str">
        <f t="shared" si="13"/>
        <v/>
      </c>
      <c r="W381" s="309" t="str">
        <f t="shared" si="14"/>
        <v/>
      </c>
      <c r="X381" s="309" t="str">
        <f t="shared" si="15"/>
        <v/>
      </c>
      <c r="Y381" s="308" t="str">
        <f t="shared" si="16"/>
        <v/>
      </c>
      <c r="Z381" s="309" t="str">
        <f t="shared" si="17"/>
        <v/>
      </c>
      <c r="AA381" s="312" t="str">
        <f t="shared" si="18"/>
        <v/>
      </c>
      <c r="AB381" s="308" t="str">
        <f t="shared" si="19"/>
        <v/>
      </c>
      <c r="AC381" s="308" t="str">
        <f t="shared" si="20"/>
        <v/>
      </c>
      <c r="AD381" s="312" t="str">
        <f t="shared" si="21"/>
        <v/>
      </c>
      <c r="AE381" s="308" t="str">
        <f t="shared" si="22"/>
        <v/>
      </c>
      <c r="AF381" s="313" t="str">
        <f t="shared" si="23"/>
        <v/>
      </c>
      <c r="AG381" s="304" t="str">
        <f t="shared" si="24"/>
        <v/>
      </c>
      <c r="AH381" s="308" t="str">
        <f t="shared" si="25"/>
        <v/>
      </c>
      <c r="AI381" s="313" t="str">
        <f t="shared" si="26"/>
        <v/>
      </c>
      <c r="AJ381" s="304" t="str">
        <f t="shared" si="27"/>
        <v/>
      </c>
      <c r="AK381" s="308" t="str">
        <f t="shared" si="28"/>
        <v/>
      </c>
      <c r="AL381" s="308" t="str">
        <f t="shared" si="29"/>
        <v/>
      </c>
      <c r="AM381" s="304" t="str">
        <f t="shared" si="30"/>
        <v/>
      </c>
      <c r="AN381" s="308" t="str">
        <f t="shared" si="31"/>
        <v/>
      </c>
      <c r="AO381" s="313" t="str">
        <f t="shared" si="32"/>
        <v/>
      </c>
      <c r="AP381" s="304" t="str">
        <f t="shared" si="33"/>
        <v/>
      </c>
      <c r="AQ381" s="308" t="str">
        <f t="shared" si="34"/>
        <v/>
      </c>
      <c r="AR381" s="313" t="str">
        <f t="shared" si="35"/>
        <v/>
      </c>
      <c r="AS381" s="304" t="str">
        <f t="shared" si="36"/>
        <v/>
      </c>
      <c r="AT381" s="308" t="str">
        <f t="shared" si="37"/>
        <v/>
      </c>
      <c r="AU381" s="308" t="str">
        <f t="shared" si="38"/>
        <v/>
      </c>
      <c r="AV381" s="304" t="str">
        <f t="shared" si="39"/>
        <v/>
      </c>
      <c r="AW381" s="308" t="str">
        <f t="shared" si="40"/>
        <v/>
      </c>
      <c r="AX381" s="308" t="str">
        <f t="shared" si="41"/>
        <v/>
      </c>
      <c r="AY381" s="304" t="str">
        <f t="shared" si="42"/>
        <v/>
      </c>
      <c r="AZ381" s="308" t="str">
        <f t="shared" si="43"/>
        <v/>
      </c>
      <c r="BA381" s="313" t="str">
        <f t="shared" si="44"/>
        <v/>
      </c>
      <c r="BB381" s="304" t="str">
        <f t="shared" si="45"/>
        <v/>
      </c>
      <c r="BC381" s="308" t="str">
        <f t="shared" si="46"/>
        <v/>
      </c>
      <c r="BD381" s="308" t="str">
        <f t="shared" si="47"/>
        <v/>
      </c>
    </row>
    <row r="382">
      <c r="A382" s="298"/>
      <c r="B382" s="299"/>
      <c r="C382" s="300"/>
      <c r="D382" s="301" t="str">
        <f>IFERROR(__xludf.DUMMYFUNCTION("if(ISBLANK(A382),"""",GOOGLEFINANCE(A382,""NAME""))"),"")</f>
        <v/>
      </c>
      <c r="E382" s="302">
        <v>5000.0</v>
      </c>
      <c r="F382" s="303" t="str">
        <f>IFERROR(__xludf.DUMMYFUNCTION("if(ISBLANK(A382),"""",GOOGLEFINANCE(A382,""HIGH52""))"),"")</f>
        <v/>
      </c>
      <c r="G382" s="303" t="str">
        <f>IFERROR(__xludf.DUMMYFUNCTION("if(ISBLANK(A382),"""",GOOGLEFINANCE(A382,""LOW52""))"),"")</f>
        <v/>
      </c>
      <c r="H382" s="304" t="str">
        <f>IFERROR(__xludf.DUMMYFUNCTION("if(ISBLANK(A382),"""",GOOGLEFINANCE(A382,""Price""))"),"")</f>
        <v/>
      </c>
      <c r="I382" s="305" t="str">
        <f t="shared" si="1"/>
        <v/>
      </c>
      <c r="J382" s="306" t="str">
        <f t="shared" si="2"/>
        <v/>
      </c>
      <c r="K382" s="307" t="str">
        <f>IFERROR(__xludf.DUMMYFUNCTION("if(ISBLANK(A382),"""",googlefinance(A382,""Marketcap"")/10000000)"),"")</f>
        <v/>
      </c>
      <c r="L382" s="309" t="str">
        <f t="shared" si="3"/>
        <v/>
      </c>
      <c r="M382" s="308" t="str">
        <f t="shared" si="4"/>
        <v/>
      </c>
      <c r="N382" s="309" t="str">
        <f t="shared" si="5"/>
        <v/>
      </c>
      <c r="O382" s="322" t="str">
        <f t="shared" si="6"/>
        <v/>
      </c>
      <c r="P382" s="308" t="str">
        <f t="shared" si="7"/>
        <v/>
      </c>
      <c r="Q382" s="311" t="str">
        <f t="shared" si="8"/>
        <v/>
      </c>
      <c r="R382" s="309" t="str">
        <f t="shared" si="9"/>
        <v/>
      </c>
      <c r="S382" s="308" t="str">
        <f t="shared" si="10"/>
        <v/>
      </c>
      <c r="T382" s="309" t="str">
        <f t="shared" si="11"/>
        <v/>
      </c>
      <c r="U382" s="309" t="str">
        <f t="shared" si="12"/>
        <v/>
      </c>
      <c r="V382" s="308" t="str">
        <f t="shared" si="13"/>
        <v/>
      </c>
      <c r="W382" s="309" t="str">
        <f t="shared" si="14"/>
        <v/>
      </c>
      <c r="X382" s="309" t="str">
        <f t="shared" si="15"/>
        <v/>
      </c>
      <c r="Y382" s="308" t="str">
        <f t="shared" si="16"/>
        <v/>
      </c>
      <c r="Z382" s="309" t="str">
        <f t="shared" si="17"/>
        <v/>
      </c>
      <c r="AA382" s="312" t="str">
        <f t="shared" si="18"/>
        <v/>
      </c>
      <c r="AB382" s="308" t="str">
        <f t="shared" si="19"/>
        <v/>
      </c>
      <c r="AC382" s="308" t="str">
        <f t="shared" si="20"/>
        <v/>
      </c>
      <c r="AD382" s="312" t="str">
        <f t="shared" si="21"/>
        <v/>
      </c>
      <c r="AE382" s="308" t="str">
        <f t="shared" si="22"/>
        <v/>
      </c>
      <c r="AF382" s="313" t="str">
        <f t="shared" si="23"/>
        <v/>
      </c>
      <c r="AG382" s="304" t="str">
        <f t="shared" si="24"/>
        <v/>
      </c>
      <c r="AH382" s="308" t="str">
        <f t="shared" si="25"/>
        <v/>
      </c>
      <c r="AI382" s="313" t="str">
        <f t="shared" si="26"/>
        <v/>
      </c>
      <c r="AJ382" s="304" t="str">
        <f t="shared" si="27"/>
        <v/>
      </c>
      <c r="AK382" s="308" t="str">
        <f t="shared" si="28"/>
        <v/>
      </c>
      <c r="AL382" s="308" t="str">
        <f t="shared" si="29"/>
        <v/>
      </c>
      <c r="AM382" s="304" t="str">
        <f t="shared" si="30"/>
        <v/>
      </c>
      <c r="AN382" s="308" t="str">
        <f t="shared" si="31"/>
        <v/>
      </c>
      <c r="AO382" s="313" t="str">
        <f t="shared" si="32"/>
        <v/>
      </c>
      <c r="AP382" s="304" t="str">
        <f t="shared" si="33"/>
        <v/>
      </c>
      <c r="AQ382" s="308" t="str">
        <f t="shared" si="34"/>
        <v/>
      </c>
      <c r="AR382" s="313" t="str">
        <f t="shared" si="35"/>
        <v/>
      </c>
      <c r="AS382" s="304" t="str">
        <f t="shared" si="36"/>
        <v/>
      </c>
      <c r="AT382" s="308" t="str">
        <f t="shared" si="37"/>
        <v/>
      </c>
      <c r="AU382" s="308" t="str">
        <f t="shared" si="38"/>
        <v/>
      </c>
      <c r="AV382" s="304" t="str">
        <f t="shared" si="39"/>
        <v/>
      </c>
      <c r="AW382" s="308" t="str">
        <f t="shared" si="40"/>
        <v/>
      </c>
      <c r="AX382" s="308" t="str">
        <f t="shared" si="41"/>
        <v/>
      </c>
      <c r="AY382" s="304" t="str">
        <f t="shared" si="42"/>
        <v/>
      </c>
      <c r="AZ382" s="308" t="str">
        <f t="shared" si="43"/>
        <v/>
      </c>
      <c r="BA382" s="313" t="str">
        <f t="shared" si="44"/>
        <v/>
      </c>
      <c r="BB382" s="304" t="str">
        <f t="shared" si="45"/>
        <v/>
      </c>
      <c r="BC382" s="308" t="str">
        <f t="shared" si="46"/>
        <v/>
      </c>
      <c r="BD382" s="308" t="str">
        <f t="shared" si="47"/>
        <v/>
      </c>
    </row>
    <row r="383">
      <c r="A383" s="298"/>
      <c r="B383" s="299"/>
      <c r="C383" s="300"/>
      <c r="D383" s="301" t="str">
        <f>IFERROR(__xludf.DUMMYFUNCTION("if(ISBLANK(A383),"""",GOOGLEFINANCE(A383,""NAME""))"),"")</f>
        <v/>
      </c>
      <c r="E383" s="302">
        <v>5000.0</v>
      </c>
      <c r="F383" s="303" t="str">
        <f>IFERROR(__xludf.DUMMYFUNCTION("if(ISBLANK(A383),"""",GOOGLEFINANCE(A383,""HIGH52""))"),"")</f>
        <v/>
      </c>
      <c r="G383" s="303" t="str">
        <f>IFERROR(__xludf.DUMMYFUNCTION("if(ISBLANK(A383),"""",GOOGLEFINANCE(A383,""LOW52""))"),"")</f>
        <v/>
      </c>
      <c r="H383" s="304" t="str">
        <f>IFERROR(__xludf.DUMMYFUNCTION("if(ISBLANK(A383),"""",GOOGLEFINANCE(A383,""Price""))"),"")</f>
        <v/>
      </c>
      <c r="I383" s="305" t="str">
        <f t="shared" si="1"/>
        <v/>
      </c>
      <c r="J383" s="306" t="str">
        <f t="shared" si="2"/>
        <v/>
      </c>
      <c r="K383" s="307" t="str">
        <f>IFERROR(__xludf.DUMMYFUNCTION("if(ISBLANK(A383),"""",googlefinance(A383,""Marketcap"")/10000000)"),"")</f>
        <v/>
      </c>
      <c r="L383" s="309" t="str">
        <f t="shared" si="3"/>
        <v/>
      </c>
      <c r="M383" s="308" t="str">
        <f t="shared" si="4"/>
        <v/>
      </c>
      <c r="N383" s="309" t="str">
        <f t="shared" si="5"/>
        <v/>
      </c>
      <c r="O383" s="322" t="str">
        <f t="shared" si="6"/>
        <v/>
      </c>
      <c r="P383" s="308" t="str">
        <f t="shared" si="7"/>
        <v/>
      </c>
      <c r="Q383" s="311" t="str">
        <f t="shared" si="8"/>
        <v/>
      </c>
      <c r="R383" s="309" t="str">
        <f t="shared" si="9"/>
        <v/>
      </c>
      <c r="S383" s="308" t="str">
        <f t="shared" si="10"/>
        <v/>
      </c>
      <c r="T383" s="309" t="str">
        <f t="shared" si="11"/>
        <v/>
      </c>
      <c r="U383" s="309" t="str">
        <f t="shared" si="12"/>
        <v/>
      </c>
      <c r="V383" s="308" t="str">
        <f t="shared" si="13"/>
        <v/>
      </c>
      <c r="W383" s="309" t="str">
        <f t="shared" si="14"/>
        <v/>
      </c>
      <c r="X383" s="309" t="str">
        <f t="shared" si="15"/>
        <v/>
      </c>
      <c r="Y383" s="308" t="str">
        <f t="shared" si="16"/>
        <v/>
      </c>
      <c r="Z383" s="309" t="str">
        <f t="shared" si="17"/>
        <v/>
      </c>
      <c r="AA383" s="312" t="str">
        <f t="shared" si="18"/>
        <v/>
      </c>
      <c r="AB383" s="308" t="str">
        <f t="shared" si="19"/>
        <v/>
      </c>
      <c r="AC383" s="308" t="str">
        <f t="shared" si="20"/>
        <v/>
      </c>
      <c r="AD383" s="312" t="str">
        <f t="shared" si="21"/>
        <v/>
      </c>
      <c r="AE383" s="308" t="str">
        <f t="shared" si="22"/>
        <v/>
      </c>
      <c r="AF383" s="313" t="str">
        <f t="shared" si="23"/>
        <v/>
      </c>
      <c r="AG383" s="304" t="str">
        <f t="shared" si="24"/>
        <v/>
      </c>
      <c r="AH383" s="308" t="str">
        <f t="shared" si="25"/>
        <v/>
      </c>
      <c r="AI383" s="313" t="str">
        <f t="shared" si="26"/>
        <v/>
      </c>
      <c r="AJ383" s="304" t="str">
        <f t="shared" si="27"/>
        <v/>
      </c>
      <c r="AK383" s="308" t="str">
        <f t="shared" si="28"/>
        <v/>
      </c>
      <c r="AL383" s="308" t="str">
        <f t="shared" si="29"/>
        <v/>
      </c>
      <c r="AM383" s="304" t="str">
        <f t="shared" si="30"/>
        <v/>
      </c>
      <c r="AN383" s="308" t="str">
        <f t="shared" si="31"/>
        <v/>
      </c>
      <c r="AO383" s="313" t="str">
        <f t="shared" si="32"/>
        <v/>
      </c>
      <c r="AP383" s="304" t="str">
        <f t="shared" si="33"/>
        <v/>
      </c>
      <c r="AQ383" s="308" t="str">
        <f t="shared" si="34"/>
        <v/>
      </c>
      <c r="AR383" s="313" t="str">
        <f t="shared" si="35"/>
        <v/>
      </c>
      <c r="AS383" s="304" t="str">
        <f t="shared" si="36"/>
        <v/>
      </c>
      <c r="AT383" s="308" t="str">
        <f t="shared" si="37"/>
        <v/>
      </c>
      <c r="AU383" s="308" t="str">
        <f t="shared" si="38"/>
        <v/>
      </c>
      <c r="AV383" s="304" t="str">
        <f t="shared" si="39"/>
        <v/>
      </c>
      <c r="AW383" s="308" t="str">
        <f t="shared" si="40"/>
        <v/>
      </c>
      <c r="AX383" s="308" t="str">
        <f t="shared" si="41"/>
        <v/>
      </c>
      <c r="AY383" s="304" t="str">
        <f t="shared" si="42"/>
        <v/>
      </c>
      <c r="AZ383" s="308" t="str">
        <f t="shared" si="43"/>
        <v/>
      </c>
      <c r="BA383" s="313" t="str">
        <f t="shared" si="44"/>
        <v/>
      </c>
      <c r="BB383" s="304" t="str">
        <f t="shared" si="45"/>
        <v/>
      </c>
      <c r="BC383" s="308" t="str">
        <f t="shared" si="46"/>
        <v/>
      </c>
      <c r="BD383" s="308" t="str">
        <f t="shared" si="47"/>
        <v/>
      </c>
    </row>
    <row r="384">
      <c r="A384" s="298"/>
      <c r="B384" s="299"/>
      <c r="C384" s="300"/>
      <c r="D384" s="301" t="str">
        <f>IFERROR(__xludf.DUMMYFUNCTION("if(ISBLANK(A384),"""",GOOGLEFINANCE(A384,""NAME""))"),"")</f>
        <v/>
      </c>
      <c r="E384" s="302">
        <v>5000.0</v>
      </c>
      <c r="F384" s="303" t="str">
        <f>IFERROR(__xludf.DUMMYFUNCTION("if(ISBLANK(A384),"""",GOOGLEFINANCE(A384,""HIGH52""))"),"")</f>
        <v/>
      </c>
      <c r="G384" s="303" t="str">
        <f>IFERROR(__xludf.DUMMYFUNCTION("if(ISBLANK(A384),"""",GOOGLEFINANCE(A384,""LOW52""))"),"")</f>
        <v/>
      </c>
      <c r="H384" s="304" t="str">
        <f>IFERROR(__xludf.DUMMYFUNCTION("if(ISBLANK(A384),"""",GOOGLEFINANCE(A384,""Price""))"),"")</f>
        <v/>
      </c>
      <c r="I384" s="305" t="str">
        <f t="shared" si="1"/>
        <v/>
      </c>
      <c r="J384" s="306" t="str">
        <f t="shared" si="2"/>
        <v/>
      </c>
      <c r="K384" s="307" t="str">
        <f>IFERROR(__xludf.DUMMYFUNCTION("if(ISBLANK(A384),"""",googlefinance(A384,""Marketcap"")/10000000)"),"")</f>
        <v/>
      </c>
      <c r="L384" s="309" t="str">
        <f t="shared" si="3"/>
        <v/>
      </c>
      <c r="M384" s="308" t="str">
        <f t="shared" si="4"/>
        <v/>
      </c>
      <c r="N384" s="309" t="str">
        <f t="shared" si="5"/>
        <v/>
      </c>
      <c r="O384" s="322" t="str">
        <f t="shared" si="6"/>
        <v/>
      </c>
      <c r="P384" s="308" t="str">
        <f t="shared" si="7"/>
        <v/>
      </c>
      <c r="Q384" s="311" t="str">
        <f t="shared" si="8"/>
        <v/>
      </c>
      <c r="R384" s="309" t="str">
        <f t="shared" si="9"/>
        <v/>
      </c>
      <c r="S384" s="308" t="str">
        <f t="shared" si="10"/>
        <v/>
      </c>
      <c r="T384" s="309" t="str">
        <f t="shared" si="11"/>
        <v/>
      </c>
      <c r="U384" s="309" t="str">
        <f t="shared" si="12"/>
        <v/>
      </c>
      <c r="V384" s="308" t="str">
        <f t="shared" si="13"/>
        <v/>
      </c>
      <c r="W384" s="309" t="str">
        <f t="shared" si="14"/>
        <v/>
      </c>
      <c r="X384" s="309" t="str">
        <f t="shared" si="15"/>
        <v/>
      </c>
      <c r="Y384" s="308" t="str">
        <f t="shared" si="16"/>
        <v/>
      </c>
      <c r="Z384" s="309" t="str">
        <f t="shared" si="17"/>
        <v/>
      </c>
      <c r="AA384" s="312" t="str">
        <f t="shared" si="18"/>
        <v/>
      </c>
      <c r="AB384" s="308" t="str">
        <f t="shared" si="19"/>
        <v/>
      </c>
      <c r="AC384" s="308" t="str">
        <f t="shared" si="20"/>
        <v/>
      </c>
      <c r="AD384" s="312" t="str">
        <f t="shared" si="21"/>
        <v/>
      </c>
      <c r="AE384" s="308" t="str">
        <f t="shared" si="22"/>
        <v/>
      </c>
      <c r="AF384" s="313" t="str">
        <f t="shared" si="23"/>
        <v/>
      </c>
      <c r="AG384" s="304" t="str">
        <f t="shared" si="24"/>
        <v/>
      </c>
      <c r="AH384" s="308" t="str">
        <f t="shared" si="25"/>
        <v/>
      </c>
      <c r="AI384" s="313" t="str">
        <f t="shared" si="26"/>
        <v/>
      </c>
      <c r="AJ384" s="304" t="str">
        <f t="shared" si="27"/>
        <v/>
      </c>
      <c r="AK384" s="308" t="str">
        <f t="shared" si="28"/>
        <v/>
      </c>
      <c r="AL384" s="308" t="str">
        <f t="shared" si="29"/>
        <v/>
      </c>
      <c r="AM384" s="304" t="str">
        <f t="shared" si="30"/>
        <v/>
      </c>
      <c r="AN384" s="308" t="str">
        <f t="shared" si="31"/>
        <v/>
      </c>
      <c r="AO384" s="313" t="str">
        <f t="shared" si="32"/>
        <v/>
      </c>
      <c r="AP384" s="304" t="str">
        <f t="shared" si="33"/>
        <v/>
      </c>
      <c r="AQ384" s="308" t="str">
        <f t="shared" si="34"/>
        <v/>
      </c>
      <c r="AR384" s="313" t="str">
        <f t="shared" si="35"/>
        <v/>
      </c>
      <c r="AS384" s="304" t="str">
        <f t="shared" si="36"/>
        <v/>
      </c>
      <c r="AT384" s="308" t="str">
        <f t="shared" si="37"/>
        <v/>
      </c>
      <c r="AU384" s="308" t="str">
        <f t="shared" si="38"/>
        <v/>
      </c>
      <c r="AV384" s="304" t="str">
        <f t="shared" si="39"/>
        <v/>
      </c>
      <c r="AW384" s="308" t="str">
        <f t="shared" si="40"/>
        <v/>
      </c>
      <c r="AX384" s="308" t="str">
        <f t="shared" si="41"/>
        <v/>
      </c>
      <c r="AY384" s="304" t="str">
        <f t="shared" si="42"/>
        <v/>
      </c>
      <c r="AZ384" s="308" t="str">
        <f t="shared" si="43"/>
        <v/>
      </c>
      <c r="BA384" s="313" t="str">
        <f t="shared" si="44"/>
        <v/>
      </c>
      <c r="BB384" s="304" t="str">
        <f t="shared" si="45"/>
        <v/>
      </c>
      <c r="BC384" s="308" t="str">
        <f t="shared" si="46"/>
        <v/>
      </c>
      <c r="BD384" s="308" t="str">
        <f t="shared" si="47"/>
        <v/>
      </c>
    </row>
    <row r="385">
      <c r="A385" s="298"/>
      <c r="B385" s="299"/>
      <c r="C385" s="300"/>
      <c r="D385" s="301" t="str">
        <f>IFERROR(__xludf.DUMMYFUNCTION("if(ISBLANK(A385),"""",GOOGLEFINANCE(A385,""NAME""))"),"")</f>
        <v/>
      </c>
      <c r="E385" s="302">
        <v>5000.0</v>
      </c>
      <c r="F385" s="303" t="str">
        <f>IFERROR(__xludf.DUMMYFUNCTION("if(ISBLANK(A385),"""",GOOGLEFINANCE(A385,""HIGH52""))"),"")</f>
        <v/>
      </c>
      <c r="G385" s="303" t="str">
        <f>IFERROR(__xludf.DUMMYFUNCTION("if(ISBLANK(A385),"""",GOOGLEFINANCE(A385,""LOW52""))"),"")</f>
        <v/>
      </c>
      <c r="H385" s="304" t="str">
        <f>IFERROR(__xludf.DUMMYFUNCTION("if(ISBLANK(A385),"""",GOOGLEFINANCE(A385,""Price""))"),"")</f>
        <v/>
      </c>
      <c r="I385" s="305" t="str">
        <f t="shared" si="1"/>
        <v/>
      </c>
      <c r="J385" s="306" t="str">
        <f t="shared" si="2"/>
        <v/>
      </c>
      <c r="K385" s="307" t="str">
        <f>IFERROR(__xludf.DUMMYFUNCTION("if(ISBLANK(A385),"""",googlefinance(A385,""Marketcap"")/10000000)"),"")</f>
        <v/>
      </c>
      <c r="L385" s="309" t="str">
        <f t="shared" si="3"/>
        <v/>
      </c>
      <c r="M385" s="308" t="str">
        <f t="shared" si="4"/>
        <v/>
      </c>
      <c r="N385" s="309" t="str">
        <f t="shared" si="5"/>
        <v/>
      </c>
      <c r="O385" s="322" t="str">
        <f t="shared" si="6"/>
        <v/>
      </c>
      <c r="P385" s="308" t="str">
        <f t="shared" si="7"/>
        <v/>
      </c>
      <c r="Q385" s="311" t="str">
        <f t="shared" si="8"/>
        <v/>
      </c>
      <c r="R385" s="309" t="str">
        <f t="shared" si="9"/>
        <v/>
      </c>
      <c r="S385" s="308" t="str">
        <f t="shared" si="10"/>
        <v/>
      </c>
      <c r="T385" s="309" t="str">
        <f t="shared" si="11"/>
        <v/>
      </c>
      <c r="U385" s="309" t="str">
        <f t="shared" si="12"/>
        <v/>
      </c>
      <c r="V385" s="308" t="str">
        <f t="shared" si="13"/>
        <v/>
      </c>
      <c r="W385" s="309" t="str">
        <f t="shared" si="14"/>
        <v/>
      </c>
      <c r="X385" s="309" t="str">
        <f t="shared" si="15"/>
        <v/>
      </c>
      <c r="Y385" s="308" t="str">
        <f t="shared" si="16"/>
        <v/>
      </c>
      <c r="Z385" s="309" t="str">
        <f t="shared" si="17"/>
        <v/>
      </c>
      <c r="AA385" s="312" t="str">
        <f t="shared" si="18"/>
        <v/>
      </c>
      <c r="AB385" s="308" t="str">
        <f t="shared" si="19"/>
        <v/>
      </c>
      <c r="AC385" s="308" t="str">
        <f t="shared" si="20"/>
        <v/>
      </c>
      <c r="AD385" s="312" t="str">
        <f t="shared" si="21"/>
        <v/>
      </c>
      <c r="AE385" s="308" t="str">
        <f t="shared" si="22"/>
        <v/>
      </c>
      <c r="AF385" s="313" t="str">
        <f t="shared" si="23"/>
        <v/>
      </c>
      <c r="AG385" s="304" t="str">
        <f t="shared" si="24"/>
        <v/>
      </c>
      <c r="AH385" s="308" t="str">
        <f t="shared" si="25"/>
        <v/>
      </c>
      <c r="AI385" s="313" t="str">
        <f t="shared" si="26"/>
        <v/>
      </c>
      <c r="AJ385" s="304" t="str">
        <f t="shared" si="27"/>
        <v/>
      </c>
      <c r="AK385" s="308" t="str">
        <f t="shared" si="28"/>
        <v/>
      </c>
      <c r="AL385" s="308" t="str">
        <f t="shared" si="29"/>
        <v/>
      </c>
      <c r="AM385" s="304" t="str">
        <f t="shared" si="30"/>
        <v/>
      </c>
      <c r="AN385" s="308" t="str">
        <f t="shared" si="31"/>
        <v/>
      </c>
      <c r="AO385" s="313" t="str">
        <f t="shared" si="32"/>
        <v/>
      </c>
      <c r="AP385" s="304" t="str">
        <f t="shared" si="33"/>
        <v/>
      </c>
      <c r="AQ385" s="308" t="str">
        <f t="shared" si="34"/>
        <v/>
      </c>
      <c r="AR385" s="313" t="str">
        <f t="shared" si="35"/>
        <v/>
      </c>
      <c r="AS385" s="304" t="str">
        <f t="shared" si="36"/>
        <v/>
      </c>
      <c r="AT385" s="308" t="str">
        <f t="shared" si="37"/>
        <v/>
      </c>
      <c r="AU385" s="308" t="str">
        <f t="shared" si="38"/>
        <v/>
      </c>
      <c r="AV385" s="304" t="str">
        <f t="shared" si="39"/>
        <v/>
      </c>
      <c r="AW385" s="308" t="str">
        <f t="shared" si="40"/>
        <v/>
      </c>
      <c r="AX385" s="308" t="str">
        <f t="shared" si="41"/>
        <v/>
      </c>
      <c r="AY385" s="304" t="str">
        <f t="shared" si="42"/>
        <v/>
      </c>
      <c r="AZ385" s="308" t="str">
        <f t="shared" si="43"/>
        <v/>
      </c>
      <c r="BA385" s="313" t="str">
        <f t="shared" si="44"/>
        <v/>
      </c>
      <c r="BB385" s="304" t="str">
        <f t="shared" si="45"/>
        <v/>
      </c>
      <c r="BC385" s="308" t="str">
        <f t="shared" si="46"/>
        <v/>
      </c>
      <c r="BD385" s="308" t="str">
        <f t="shared" si="47"/>
        <v/>
      </c>
    </row>
    <row r="386">
      <c r="A386" s="298"/>
      <c r="B386" s="299"/>
      <c r="C386" s="300"/>
      <c r="D386" s="301" t="str">
        <f>IFERROR(__xludf.DUMMYFUNCTION("if(ISBLANK(A386),"""",GOOGLEFINANCE(A386,""NAME""))"),"")</f>
        <v/>
      </c>
      <c r="E386" s="302">
        <v>5000.0</v>
      </c>
      <c r="F386" s="303" t="str">
        <f>IFERROR(__xludf.DUMMYFUNCTION("if(ISBLANK(A386),"""",GOOGLEFINANCE(A386,""HIGH52""))"),"")</f>
        <v/>
      </c>
      <c r="G386" s="303" t="str">
        <f>IFERROR(__xludf.DUMMYFUNCTION("if(ISBLANK(A386),"""",GOOGLEFINANCE(A386,""LOW52""))"),"")</f>
        <v/>
      </c>
      <c r="H386" s="304" t="str">
        <f>IFERROR(__xludf.DUMMYFUNCTION("if(ISBLANK(A386),"""",GOOGLEFINANCE(A386,""Price""))"),"")</f>
        <v/>
      </c>
      <c r="I386" s="305" t="str">
        <f t="shared" si="1"/>
        <v/>
      </c>
      <c r="J386" s="306" t="str">
        <f t="shared" si="2"/>
        <v/>
      </c>
      <c r="K386" s="307" t="str">
        <f>IFERROR(__xludf.DUMMYFUNCTION("if(ISBLANK(A386),"""",googlefinance(A386,""Marketcap"")/10000000)"),"")</f>
        <v/>
      </c>
      <c r="L386" s="309" t="str">
        <f t="shared" si="3"/>
        <v/>
      </c>
      <c r="M386" s="308" t="str">
        <f t="shared" si="4"/>
        <v/>
      </c>
      <c r="N386" s="309" t="str">
        <f t="shared" si="5"/>
        <v/>
      </c>
      <c r="O386" s="322" t="str">
        <f t="shared" si="6"/>
        <v/>
      </c>
      <c r="P386" s="308" t="str">
        <f t="shared" si="7"/>
        <v/>
      </c>
      <c r="Q386" s="311" t="str">
        <f t="shared" si="8"/>
        <v/>
      </c>
      <c r="R386" s="309" t="str">
        <f t="shared" si="9"/>
        <v/>
      </c>
      <c r="S386" s="308" t="str">
        <f t="shared" si="10"/>
        <v/>
      </c>
      <c r="T386" s="309" t="str">
        <f t="shared" si="11"/>
        <v/>
      </c>
      <c r="U386" s="309" t="str">
        <f t="shared" si="12"/>
        <v/>
      </c>
      <c r="V386" s="308" t="str">
        <f t="shared" si="13"/>
        <v/>
      </c>
      <c r="W386" s="309" t="str">
        <f t="shared" si="14"/>
        <v/>
      </c>
      <c r="X386" s="309" t="str">
        <f t="shared" si="15"/>
        <v/>
      </c>
      <c r="Y386" s="308" t="str">
        <f t="shared" si="16"/>
        <v/>
      </c>
      <c r="Z386" s="309" t="str">
        <f t="shared" si="17"/>
        <v/>
      </c>
      <c r="AA386" s="312" t="str">
        <f t="shared" si="18"/>
        <v/>
      </c>
      <c r="AB386" s="308" t="str">
        <f t="shared" si="19"/>
        <v/>
      </c>
      <c r="AC386" s="308" t="str">
        <f t="shared" si="20"/>
        <v/>
      </c>
      <c r="AD386" s="312" t="str">
        <f t="shared" si="21"/>
        <v/>
      </c>
      <c r="AE386" s="308" t="str">
        <f t="shared" si="22"/>
        <v/>
      </c>
      <c r="AF386" s="313" t="str">
        <f t="shared" si="23"/>
        <v/>
      </c>
      <c r="AG386" s="304" t="str">
        <f t="shared" si="24"/>
        <v/>
      </c>
      <c r="AH386" s="308" t="str">
        <f t="shared" si="25"/>
        <v/>
      </c>
      <c r="AI386" s="313" t="str">
        <f t="shared" si="26"/>
        <v/>
      </c>
      <c r="AJ386" s="304" t="str">
        <f t="shared" si="27"/>
        <v/>
      </c>
      <c r="AK386" s="308" t="str">
        <f t="shared" si="28"/>
        <v/>
      </c>
      <c r="AL386" s="308" t="str">
        <f t="shared" si="29"/>
        <v/>
      </c>
      <c r="AM386" s="304" t="str">
        <f t="shared" si="30"/>
        <v/>
      </c>
      <c r="AN386" s="308" t="str">
        <f t="shared" si="31"/>
        <v/>
      </c>
      <c r="AO386" s="313" t="str">
        <f t="shared" si="32"/>
        <v/>
      </c>
      <c r="AP386" s="304" t="str">
        <f t="shared" si="33"/>
        <v/>
      </c>
      <c r="AQ386" s="308" t="str">
        <f t="shared" si="34"/>
        <v/>
      </c>
      <c r="AR386" s="313" t="str">
        <f t="shared" si="35"/>
        <v/>
      </c>
      <c r="AS386" s="304" t="str">
        <f t="shared" si="36"/>
        <v/>
      </c>
      <c r="AT386" s="308" t="str">
        <f t="shared" si="37"/>
        <v/>
      </c>
      <c r="AU386" s="308" t="str">
        <f t="shared" si="38"/>
        <v/>
      </c>
      <c r="AV386" s="304" t="str">
        <f t="shared" si="39"/>
        <v/>
      </c>
      <c r="AW386" s="308" t="str">
        <f t="shared" si="40"/>
        <v/>
      </c>
      <c r="AX386" s="308" t="str">
        <f t="shared" si="41"/>
        <v/>
      </c>
      <c r="AY386" s="304" t="str">
        <f t="shared" si="42"/>
        <v/>
      </c>
      <c r="AZ386" s="308" t="str">
        <f t="shared" si="43"/>
        <v/>
      </c>
      <c r="BA386" s="313" t="str">
        <f t="shared" si="44"/>
        <v/>
      </c>
      <c r="BB386" s="304" t="str">
        <f t="shared" si="45"/>
        <v/>
      </c>
      <c r="BC386" s="308" t="str">
        <f t="shared" si="46"/>
        <v/>
      </c>
      <c r="BD386" s="308" t="str">
        <f t="shared" si="47"/>
        <v/>
      </c>
    </row>
    <row r="387">
      <c r="A387" s="298"/>
      <c r="B387" s="299"/>
      <c r="C387" s="300"/>
      <c r="D387" s="301" t="str">
        <f>IFERROR(__xludf.DUMMYFUNCTION("if(ISBLANK(A387),"""",GOOGLEFINANCE(A387,""NAME""))"),"")</f>
        <v/>
      </c>
      <c r="E387" s="302">
        <v>5000.0</v>
      </c>
      <c r="F387" s="303" t="str">
        <f>IFERROR(__xludf.DUMMYFUNCTION("if(ISBLANK(A387),"""",GOOGLEFINANCE(A387,""HIGH52""))"),"")</f>
        <v/>
      </c>
      <c r="G387" s="303" t="str">
        <f>IFERROR(__xludf.DUMMYFUNCTION("if(ISBLANK(A387),"""",GOOGLEFINANCE(A387,""LOW52""))"),"")</f>
        <v/>
      </c>
      <c r="H387" s="304" t="str">
        <f>IFERROR(__xludf.DUMMYFUNCTION("if(ISBLANK(A387),"""",GOOGLEFINANCE(A387,""Price""))"),"")</f>
        <v/>
      </c>
      <c r="I387" s="305" t="str">
        <f t="shared" si="1"/>
        <v/>
      </c>
      <c r="J387" s="306" t="str">
        <f t="shared" si="2"/>
        <v/>
      </c>
      <c r="K387" s="307" t="str">
        <f>IFERROR(__xludf.DUMMYFUNCTION("if(ISBLANK(A387),"""",googlefinance(A387,""Marketcap"")/10000000)"),"")</f>
        <v/>
      </c>
      <c r="L387" s="309" t="str">
        <f t="shared" si="3"/>
        <v/>
      </c>
      <c r="M387" s="308" t="str">
        <f t="shared" si="4"/>
        <v/>
      </c>
      <c r="N387" s="309" t="str">
        <f t="shared" si="5"/>
        <v/>
      </c>
      <c r="O387" s="322" t="str">
        <f t="shared" si="6"/>
        <v/>
      </c>
      <c r="P387" s="308" t="str">
        <f t="shared" si="7"/>
        <v/>
      </c>
      <c r="Q387" s="311" t="str">
        <f t="shared" si="8"/>
        <v/>
      </c>
      <c r="R387" s="309" t="str">
        <f t="shared" si="9"/>
        <v/>
      </c>
      <c r="S387" s="308" t="str">
        <f t="shared" si="10"/>
        <v/>
      </c>
      <c r="T387" s="309" t="str">
        <f t="shared" si="11"/>
        <v/>
      </c>
      <c r="U387" s="309" t="str">
        <f t="shared" si="12"/>
        <v/>
      </c>
      <c r="V387" s="308" t="str">
        <f t="shared" si="13"/>
        <v/>
      </c>
      <c r="W387" s="309" t="str">
        <f t="shared" si="14"/>
        <v/>
      </c>
      <c r="X387" s="309" t="str">
        <f t="shared" si="15"/>
        <v/>
      </c>
      <c r="Y387" s="308" t="str">
        <f t="shared" si="16"/>
        <v/>
      </c>
      <c r="Z387" s="309" t="str">
        <f t="shared" si="17"/>
        <v/>
      </c>
      <c r="AA387" s="312" t="str">
        <f t="shared" si="18"/>
        <v/>
      </c>
      <c r="AB387" s="308" t="str">
        <f t="shared" si="19"/>
        <v/>
      </c>
      <c r="AC387" s="308" t="str">
        <f t="shared" si="20"/>
        <v/>
      </c>
      <c r="AD387" s="312" t="str">
        <f t="shared" si="21"/>
        <v/>
      </c>
      <c r="AE387" s="308" t="str">
        <f t="shared" si="22"/>
        <v/>
      </c>
      <c r="AF387" s="313" t="str">
        <f t="shared" si="23"/>
        <v/>
      </c>
      <c r="AG387" s="304" t="str">
        <f t="shared" si="24"/>
        <v/>
      </c>
      <c r="AH387" s="308" t="str">
        <f t="shared" si="25"/>
        <v/>
      </c>
      <c r="AI387" s="313" t="str">
        <f t="shared" si="26"/>
        <v/>
      </c>
      <c r="AJ387" s="304" t="str">
        <f t="shared" si="27"/>
        <v/>
      </c>
      <c r="AK387" s="308" t="str">
        <f t="shared" si="28"/>
        <v/>
      </c>
      <c r="AL387" s="308" t="str">
        <f t="shared" si="29"/>
        <v/>
      </c>
      <c r="AM387" s="304" t="str">
        <f t="shared" si="30"/>
        <v/>
      </c>
      <c r="AN387" s="308" t="str">
        <f t="shared" si="31"/>
        <v/>
      </c>
      <c r="AO387" s="313" t="str">
        <f t="shared" si="32"/>
        <v/>
      </c>
      <c r="AP387" s="304" t="str">
        <f t="shared" si="33"/>
        <v/>
      </c>
      <c r="AQ387" s="308" t="str">
        <f t="shared" si="34"/>
        <v/>
      </c>
      <c r="AR387" s="313" t="str">
        <f t="shared" si="35"/>
        <v/>
      </c>
      <c r="AS387" s="304" t="str">
        <f t="shared" si="36"/>
        <v/>
      </c>
      <c r="AT387" s="308" t="str">
        <f t="shared" si="37"/>
        <v/>
      </c>
      <c r="AU387" s="308" t="str">
        <f t="shared" si="38"/>
        <v/>
      </c>
      <c r="AV387" s="304" t="str">
        <f t="shared" si="39"/>
        <v/>
      </c>
      <c r="AW387" s="308" t="str">
        <f t="shared" si="40"/>
        <v/>
      </c>
      <c r="AX387" s="308" t="str">
        <f t="shared" si="41"/>
        <v/>
      </c>
      <c r="AY387" s="304" t="str">
        <f t="shared" si="42"/>
        <v/>
      </c>
      <c r="AZ387" s="308" t="str">
        <f t="shared" si="43"/>
        <v/>
      </c>
      <c r="BA387" s="313" t="str">
        <f t="shared" si="44"/>
        <v/>
      </c>
      <c r="BB387" s="304" t="str">
        <f t="shared" si="45"/>
        <v/>
      </c>
      <c r="BC387" s="308" t="str">
        <f t="shared" si="46"/>
        <v/>
      </c>
      <c r="BD387" s="308" t="str">
        <f t="shared" si="47"/>
        <v/>
      </c>
    </row>
    <row r="388">
      <c r="A388" s="298"/>
      <c r="B388" s="299"/>
      <c r="C388" s="300"/>
      <c r="D388" s="301" t="str">
        <f>IFERROR(__xludf.DUMMYFUNCTION("if(ISBLANK(A388),"""",GOOGLEFINANCE(A388,""NAME""))"),"")</f>
        <v/>
      </c>
      <c r="E388" s="302">
        <v>5000.0</v>
      </c>
      <c r="F388" s="303" t="str">
        <f>IFERROR(__xludf.DUMMYFUNCTION("if(ISBLANK(A388),"""",GOOGLEFINANCE(A388,""HIGH52""))"),"")</f>
        <v/>
      </c>
      <c r="G388" s="303" t="str">
        <f>IFERROR(__xludf.DUMMYFUNCTION("if(ISBLANK(A388),"""",GOOGLEFINANCE(A388,""LOW52""))"),"")</f>
        <v/>
      </c>
      <c r="H388" s="304" t="str">
        <f>IFERROR(__xludf.DUMMYFUNCTION("if(ISBLANK(A388),"""",GOOGLEFINANCE(A388,""Price""))"),"")</f>
        <v/>
      </c>
      <c r="I388" s="305" t="str">
        <f t="shared" si="1"/>
        <v/>
      </c>
      <c r="J388" s="306" t="str">
        <f t="shared" si="2"/>
        <v/>
      </c>
      <c r="K388" s="307" t="str">
        <f>IFERROR(__xludf.DUMMYFUNCTION("if(ISBLANK(A388),"""",googlefinance(A388,""Marketcap"")/10000000)"),"")</f>
        <v/>
      </c>
      <c r="L388" s="309" t="str">
        <f t="shared" si="3"/>
        <v/>
      </c>
      <c r="M388" s="308" t="str">
        <f t="shared" si="4"/>
        <v/>
      </c>
      <c r="N388" s="309" t="str">
        <f t="shared" si="5"/>
        <v/>
      </c>
      <c r="O388" s="322" t="str">
        <f t="shared" si="6"/>
        <v/>
      </c>
      <c r="P388" s="308" t="str">
        <f t="shared" si="7"/>
        <v/>
      </c>
      <c r="Q388" s="311" t="str">
        <f t="shared" si="8"/>
        <v/>
      </c>
      <c r="R388" s="309" t="str">
        <f t="shared" si="9"/>
        <v/>
      </c>
      <c r="S388" s="308" t="str">
        <f t="shared" si="10"/>
        <v/>
      </c>
      <c r="T388" s="309" t="str">
        <f t="shared" si="11"/>
        <v/>
      </c>
      <c r="U388" s="309" t="str">
        <f t="shared" si="12"/>
        <v/>
      </c>
      <c r="V388" s="308" t="str">
        <f t="shared" si="13"/>
        <v/>
      </c>
      <c r="W388" s="309" t="str">
        <f t="shared" si="14"/>
        <v/>
      </c>
      <c r="X388" s="309" t="str">
        <f t="shared" si="15"/>
        <v/>
      </c>
      <c r="Y388" s="308" t="str">
        <f t="shared" si="16"/>
        <v/>
      </c>
      <c r="Z388" s="309" t="str">
        <f t="shared" si="17"/>
        <v/>
      </c>
      <c r="AA388" s="312" t="str">
        <f t="shared" si="18"/>
        <v/>
      </c>
      <c r="AB388" s="308" t="str">
        <f t="shared" si="19"/>
        <v/>
      </c>
      <c r="AC388" s="308" t="str">
        <f t="shared" si="20"/>
        <v/>
      </c>
      <c r="AD388" s="312" t="str">
        <f t="shared" si="21"/>
        <v/>
      </c>
      <c r="AE388" s="308" t="str">
        <f t="shared" si="22"/>
        <v/>
      </c>
      <c r="AF388" s="313" t="str">
        <f t="shared" si="23"/>
        <v/>
      </c>
      <c r="AG388" s="304" t="str">
        <f t="shared" si="24"/>
        <v/>
      </c>
      <c r="AH388" s="308" t="str">
        <f t="shared" si="25"/>
        <v/>
      </c>
      <c r="AI388" s="313" t="str">
        <f t="shared" si="26"/>
        <v/>
      </c>
      <c r="AJ388" s="304" t="str">
        <f t="shared" si="27"/>
        <v/>
      </c>
      <c r="AK388" s="308" t="str">
        <f t="shared" si="28"/>
        <v/>
      </c>
      <c r="AL388" s="308" t="str">
        <f t="shared" si="29"/>
        <v/>
      </c>
      <c r="AM388" s="304" t="str">
        <f t="shared" si="30"/>
        <v/>
      </c>
      <c r="AN388" s="308" t="str">
        <f t="shared" si="31"/>
        <v/>
      </c>
      <c r="AO388" s="313" t="str">
        <f t="shared" si="32"/>
        <v/>
      </c>
      <c r="AP388" s="304" t="str">
        <f t="shared" si="33"/>
        <v/>
      </c>
      <c r="AQ388" s="308" t="str">
        <f t="shared" si="34"/>
        <v/>
      </c>
      <c r="AR388" s="313" t="str">
        <f t="shared" si="35"/>
        <v/>
      </c>
      <c r="AS388" s="304" t="str">
        <f t="shared" si="36"/>
        <v/>
      </c>
      <c r="AT388" s="308" t="str">
        <f t="shared" si="37"/>
        <v/>
      </c>
      <c r="AU388" s="308" t="str">
        <f t="shared" si="38"/>
        <v/>
      </c>
      <c r="AV388" s="304" t="str">
        <f t="shared" si="39"/>
        <v/>
      </c>
      <c r="AW388" s="308" t="str">
        <f t="shared" si="40"/>
        <v/>
      </c>
      <c r="AX388" s="308" t="str">
        <f t="shared" si="41"/>
        <v/>
      </c>
      <c r="AY388" s="304" t="str">
        <f t="shared" si="42"/>
        <v/>
      </c>
      <c r="AZ388" s="308" t="str">
        <f t="shared" si="43"/>
        <v/>
      </c>
      <c r="BA388" s="313" t="str">
        <f t="shared" si="44"/>
        <v/>
      </c>
      <c r="BB388" s="304" t="str">
        <f t="shared" si="45"/>
        <v/>
      </c>
      <c r="BC388" s="308" t="str">
        <f t="shared" si="46"/>
        <v/>
      </c>
      <c r="BD388" s="308" t="str">
        <f t="shared" si="47"/>
        <v/>
      </c>
    </row>
    <row r="389">
      <c r="A389" s="298"/>
      <c r="B389" s="299"/>
      <c r="C389" s="300"/>
      <c r="D389" s="301" t="str">
        <f>IFERROR(__xludf.DUMMYFUNCTION("if(ISBLANK(A389),"""",GOOGLEFINANCE(A389,""NAME""))"),"")</f>
        <v/>
      </c>
      <c r="E389" s="302">
        <v>5000.0</v>
      </c>
      <c r="F389" s="303" t="str">
        <f>IFERROR(__xludf.DUMMYFUNCTION("if(ISBLANK(A389),"""",GOOGLEFINANCE(A389,""HIGH52""))"),"")</f>
        <v/>
      </c>
      <c r="G389" s="303" t="str">
        <f>IFERROR(__xludf.DUMMYFUNCTION("if(ISBLANK(A389),"""",GOOGLEFINANCE(A389,""LOW52""))"),"")</f>
        <v/>
      </c>
      <c r="H389" s="304" t="str">
        <f>IFERROR(__xludf.DUMMYFUNCTION("if(ISBLANK(A389),"""",GOOGLEFINANCE(A389,""Price""))"),"")</f>
        <v/>
      </c>
      <c r="I389" s="305" t="str">
        <f t="shared" si="1"/>
        <v/>
      </c>
      <c r="J389" s="306" t="str">
        <f t="shared" si="2"/>
        <v/>
      </c>
      <c r="K389" s="307" t="str">
        <f>IFERROR(__xludf.DUMMYFUNCTION("if(ISBLANK(A389),"""",googlefinance(A389,""Marketcap"")/10000000)"),"")</f>
        <v/>
      </c>
      <c r="L389" s="309" t="str">
        <f t="shared" si="3"/>
        <v/>
      </c>
      <c r="M389" s="308" t="str">
        <f t="shared" si="4"/>
        <v/>
      </c>
      <c r="N389" s="309" t="str">
        <f t="shared" si="5"/>
        <v/>
      </c>
      <c r="O389" s="322" t="str">
        <f t="shared" si="6"/>
        <v/>
      </c>
      <c r="P389" s="308" t="str">
        <f t="shared" si="7"/>
        <v/>
      </c>
      <c r="Q389" s="311" t="str">
        <f t="shared" si="8"/>
        <v/>
      </c>
      <c r="R389" s="309" t="str">
        <f t="shared" si="9"/>
        <v/>
      </c>
      <c r="S389" s="308" t="str">
        <f t="shared" si="10"/>
        <v/>
      </c>
      <c r="T389" s="309" t="str">
        <f t="shared" si="11"/>
        <v/>
      </c>
      <c r="U389" s="309" t="str">
        <f t="shared" si="12"/>
        <v/>
      </c>
      <c r="V389" s="308" t="str">
        <f t="shared" si="13"/>
        <v/>
      </c>
      <c r="W389" s="309" t="str">
        <f t="shared" si="14"/>
        <v/>
      </c>
      <c r="X389" s="309" t="str">
        <f t="shared" si="15"/>
        <v/>
      </c>
      <c r="Y389" s="308" t="str">
        <f t="shared" si="16"/>
        <v/>
      </c>
      <c r="Z389" s="309" t="str">
        <f t="shared" si="17"/>
        <v/>
      </c>
      <c r="AA389" s="312" t="str">
        <f t="shared" si="18"/>
        <v/>
      </c>
      <c r="AB389" s="308" t="str">
        <f t="shared" si="19"/>
        <v/>
      </c>
      <c r="AC389" s="308" t="str">
        <f t="shared" si="20"/>
        <v/>
      </c>
      <c r="AD389" s="312" t="str">
        <f t="shared" si="21"/>
        <v/>
      </c>
      <c r="AE389" s="308" t="str">
        <f t="shared" si="22"/>
        <v/>
      </c>
      <c r="AF389" s="313" t="str">
        <f t="shared" si="23"/>
        <v/>
      </c>
      <c r="AG389" s="304" t="str">
        <f t="shared" si="24"/>
        <v/>
      </c>
      <c r="AH389" s="308" t="str">
        <f t="shared" si="25"/>
        <v/>
      </c>
      <c r="AI389" s="313" t="str">
        <f t="shared" si="26"/>
        <v/>
      </c>
      <c r="AJ389" s="304" t="str">
        <f t="shared" si="27"/>
        <v/>
      </c>
      <c r="AK389" s="308" t="str">
        <f t="shared" si="28"/>
        <v/>
      </c>
      <c r="AL389" s="308" t="str">
        <f t="shared" si="29"/>
        <v/>
      </c>
      <c r="AM389" s="304" t="str">
        <f t="shared" si="30"/>
        <v/>
      </c>
      <c r="AN389" s="308" t="str">
        <f t="shared" si="31"/>
        <v/>
      </c>
      <c r="AO389" s="313" t="str">
        <f t="shared" si="32"/>
        <v/>
      </c>
      <c r="AP389" s="304" t="str">
        <f t="shared" si="33"/>
        <v/>
      </c>
      <c r="AQ389" s="308" t="str">
        <f t="shared" si="34"/>
        <v/>
      </c>
      <c r="AR389" s="313" t="str">
        <f t="shared" si="35"/>
        <v/>
      </c>
      <c r="AS389" s="304" t="str">
        <f t="shared" si="36"/>
        <v/>
      </c>
      <c r="AT389" s="308" t="str">
        <f t="shared" si="37"/>
        <v/>
      </c>
      <c r="AU389" s="308" t="str">
        <f t="shared" si="38"/>
        <v/>
      </c>
      <c r="AV389" s="304" t="str">
        <f t="shared" si="39"/>
        <v/>
      </c>
      <c r="AW389" s="308" t="str">
        <f t="shared" si="40"/>
        <v/>
      </c>
      <c r="AX389" s="308" t="str">
        <f t="shared" si="41"/>
        <v/>
      </c>
      <c r="AY389" s="304" t="str">
        <f t="shared" si="42"/>
        <v/>
      </c>
      <c r="AZ389" s="308" t="str">
        <f t="shared" si="43"/>
        <v/>
      </c>
      <c r="BA389" s="313" t="str">
        <f t="shared" si="44"/>
        <v/>
      </c>
      <c r="BB389" s="304" t="str">
        <f t="shared" si="45"/>
        <v/>
      </c>
      <c r="BC389" s="308" t="str">
        <f t="shared" si="46"/>
        <v/>
      </c>
      <c r="BD389" s="308" t="str">
        <f t="shared" si="47"/>
        <v/>
      </c>
    </row>
    <row r="390">
      <c r="A390" s="298"/>
      <c r="B390" s="299"/>
      <c r="C390" s="300"/>
      <c r="D390" s="301" t="str">
        <f>IFERROR(__xludf.DUMMYFUNCTION("if(ISBLANK(A390),"""",GOOGLEFINANCE(A390,""NAME""))"),"")</f>
        <v/>
      </c>
      <c r="E390" s="302">
        <v>5000.0</v>
      </c>
      <c r="F390" s="303" t="str">
        <f>IFERROR(__xludf.DUMMYFUNCTION("if(ISBLANK(A390),"""",GOOGLEFINANCE(A390,""HIGH52""))"),"")</f>
        <v/>
      </c>
      <c r="G390" s="303" t="str">
        <f>IFERROR(__xludf.DUMMYFUNCTION("if(ISBLANK(A390),"""",GOOGLEFINANCE(A390,""LOW52""))"),"")</f>
        <v/>
      </c>
      <c r="H390" s="304" t="str">
        <f>IFERROR(__xludf.DUMMYFUNCTION("if(ISBLANK(A390),"""",GOOGLEFINANCE(A390,""Price""))"),"")</f>
        <v/>
      </c>
      <c r="I390" s="305" t="str">
        <f t="shared" si="1"/>
        <v/>
      </c>
      <c r="J390" s="306" t="str">
        <f t="shared" si="2"/>
        <v/>
      </c>
      <c r="K390" s="307" t="str">
        <f>IFERROR(__xludf.DUMMYFUNCTION("if(ISBLANK(A390),"""",googlefinance(A390,""Marketcap"")/10000000)"),"")</f>
        <v/>
      </c>
      <c r="L390" s="309" t="str">
        <f t="shared" si="3"/>
        <v/>
      </c>
      <c r="M390" s="308" t="str">
        <f t="shared" si="4"/>
        <v/>
      </c>
      <c r="N390" s="309" t="str">
        <f t="shared" si="5"/>
        <v/>
      </c>
      <c r="O390" s="322" t="str">
        <f t="shared" si="6"/>
        <v/>
      </c>
      <c r="P390" s="308" t="str">
        <f t="shared" si="7"/>
        <v/>
      </c>
      <c r="Q390" s="311" t="str">
        <f t="shared" si="8"/>
        <v/>
      </c>
      <c r="R390" s="309" t="str">
        <f t="shared" si="9"/>
        <v/>
      </c>
      <c r="S390" s="308" t="str">
        <f t="shared" si="10"/>
        <v/>
      </c>
      <c r="T390" s="309" t="str">
        <f t="shared" si="11"/>
        <v/>
      </c>
      <c r="U390" s="309" t="str">
        <f t="shared" si="12"/>
        <v/>
      </c>
      <c r="V390" s="308" t="str">
        <f t="shared" si="13"/>
        <v/>
      </c>
      <c r="W390" s="309" t="str">
        <f t="shared" si="14"/>
        <v/>
      </c>
      <c r="X390" s="309" t="str">
        <f t="shared" si="15"/>
        <v/>
      </c>
      <c r="Y390" s="308" t="str">
        <f t="shared" si="16"/>
        <v/>
      </c>
      <c r="Z390" s="309" t="str">
        <f t="shared" si="17"/>
        <v/>
      </c>
      <c r="AA390" s="312" t="str">
        <f t="shared" si="18"/>
        <v/>
      </c>
      <c r="AB390" s="308" t="str">
        <f t="shared" si="19"/>
        <v/>
      </c>
      <c r="AC390" s="308" t="str">
        <f t="shared" si="20"/>
        <v/>
      </c>
      <c r="AD390" s="312" t="str">
        <f t="shared" si="21"/>
        <v/>
      </c>
      <c r="AE390" s="308" t="str">
        <f t="shared" si="22"/>
        <v/>
      </c>
      <c r="AF390" s="313" t="str">
        <f t="shared" si="23"/>
        <v/>
      </c>
      <c r="AG390" s="304" t="str">
        <f t="shared" si="24"/>
        <v/>
      </c>
      <c r="AH390" s="308" t="str">
        <f t="shared" si="25"/>
        <v/>
      </c>
      <c r="AI390" s="313" t="str">
        <f t="shared" si="26"/>
        <v/>
      </c>
      <c r="AJ390" s="304" t="str">
        <f t="shared" si="27"/>
        <v/>
      </c>
      <c r="AK390" s="308" t="str">
        <f t="shared" si="28"/>
        <v/>
      </c>
      <c r="AL390" s="308" t="str">
        <f t="shared" si="29"/>
        <v/>
      </c>
      <c r="AM390" s="304" t="str">
        <f t="shared" si="30"/>
        <v/>
      </c>
      <c r="AN390" s="308" t="str">
        <f t="shared" si="31"/>
        <v/>
      </c>
      <c r="AO390" s="313" t="str">
        <f t="shared" si="32"/>
        <v/>
      </c>
      <c r="AP390" s="304" t="str">
        <f t="shared" si="33"/>
        <v/>
      </c>
      <c r="AQ390" s="308" t="str">
        <f t="shared" si="34"/>
        <v/>
      </c>
      <c r="AR390" s="313" t="str">
        <f t="shared" si="35"/>
        <v/>
      </c>
      <c r="AS390" s="304" t="str">
        <f t="shared" si="36"/>
        <v/>
      </c>
      <c r="AT390" s="308" t="str">
        <f t="shared" si="37"/>
        <v/>
      </c>
      <c r="AU390" s="308" t="str">
        <f t="shared" si="38"/>
        <v/>
      </c>
      <c r="AV390" s="304" t="str">
        <f t="shared" si="39"/>
        <v/>
      </c>
      <c r="AW390" s="308" t="str">
        <f t="shared" si="40"/>
        <v/>
      </c>
      <c r="AX390" s="308" t="str">
        <f t="shared" si="41"/>
        <v/>
      </c>
      <c r="AY390" s="304" t="str">
        <f t="shared" si="42"/>
        <v/>
      </c>
      <c r="AZ390" s="308" t="str">
        <f t="shared" si="43"/>
        <v/>
      </c>
      <c r="BA390" s="313" t="str">
        <f t="shared" si="44"/>
        <v/>
      </c>
      <c r="BB390" s="304" t="str">
        <f t="shared" si="45"/>
        <v/>
      </c>
      <c r="BC390" s="308" t="str">
        <f t="shared" si="46"/>
        <v/>
      </c>
      <c r="BD390" s="308" t="str">
        <f t="shared" si="47"/>
        <v/>
      </c>
    </row>
    <row r="391">
      <c r="A391" s="298"/>
      <c r="B391" s="299"/>
      <c r="C391" s="300"/>
      <c r="D391" s="301" t="str">
        <f>IFERROR(__xludf.DUMMYFUNCTION("if(ISBLANK(A391),"""",GOOGLEFINANCE(A391,""NAME""))"),"")</f>
        <v/>
      </c>
      <c r="E391" s="302">
        <v>5000.0</v>
      </c>
      <c r="F391" s="303" t="str">
        <f>IFERROR(__xludf.DUMMYFUNCTION("if(ISBLANK(A391),"""",GOOGLEFINANCE(A391,""HIGH52""))"),"")</f>
        <v/>
      </c>
      <c r="G391" s="303" t="str">
        <f>IFERROR(__xludf.DUMMYFUNCTION("if(ISBLANK(A391),"""",GOOGLEFINANCE(A391,""LOW52""))"),"")</f>
        <v/>
      </c>
      <c r="H391" s="304" t="str">
        <f>IFERROR(__xludf.DUMMYFUNCTION("if(ISBLANK(A391),"""",GOOGLEFINANCE(A391,""Price""))"),"")</f>
        <v/>
      </c>
      <c r="I391" s="305" t="str">
        <f t="shared" si="1"/>
        <v/>
      </c>
      <c r="J391" s="306" t="str">
        <f t="shared" si="2"/>
        <v/>
      </c>
      <c r="K391" s="307" t="str">
        <f>IFERROR(__xludf.DUMMYFUNCTION("if(ISBLANK(A391),"""",googlefinance(A391,""Marketcap"")/10000000)"),"")</f>
        <v/>
      </c>
      <c r="L391" s="309" t="str">
        <f t="shared" si="3"/>
        <v/>
      </c>
      <c r="M391" s="308" t="str">
        <f t="shared" si="4"/>
        <v/>
      </c>
      <c r="N391" s="309" t="str">
        <f t="shared" si="5"/>
        <v/>
      </c>
      <c r="O391" s="322" t="str">
        <f t="shared" si="6"/>
        <v/>
      </c>
      <c r="P391" s="308" t="str">
        <f t="shared" si="7"/>
        <v/>
      </c>
      <c r="Q391" s="311" t="str">
        <f t="shared" si="8"/>
        <v/>
      </c>
      <c r="R391" s="309" t="str">
        <f t="shared" si="9"/>
        <v/>
      </c>
      <c r="S391" s="308" t="str">
        <f t="shared" si="10"/>
        <v/>
      </c>
      <c r="T391" s="309" t="str">
        <f t="shared" si="11"/>
        <v/>
      </c>
      <c r="U391" s="309" t="str">
        <f t="shared" si="12"/>
        <v/>
      </c>
      <c r="V391" s="308" t="str">
        <f t="shared" si="13"/>
        <v/>
      </c>
      <c r="W391" s="309" t="str">
        <f t="shared" si="14"/>
        <v/>
      </c>
      <c r="X391" s="309" t="str">
        <f t="shared" si="15"/>
        <v/>
      </c>
      <c r="Y391" s="308" t="str">
        <f t="shared" si="16"/>
        <v/>
      </c>
      <c r="Z391" s="309" t="str">
        <f t="shared" si="17"/>
        <v/>
      </c>
      <c r="AA391" s="312" t="str">
        <f t="shared" si="18"/>
        <v/>
      </c>
      <c r="AB391" s="308" t="str">
        <f t="shared" si="19"/>
        <v/>
      </c>
      <c r="AC391" s="308" t="str">
        <f t="shared" si="20"/>
        <v/>
      </c>
      <c r="AD391" s="312" t="str">
        <f t="shared" si="21"/>
        <v/>
      </c>
      <c r="AE391" s="308" t="str">
        <f t="shared" si="22"/>
        <v/>
      </c>
      <c r="AF391" s="313" t="str">
        <f t="shared" si="23"/>
        <v/>
      </c>
      <c r="AG391" s="304" t="str">
        <f t="shared" si="24"/>
        <v/>
      </c>
      <c r="AH391" s="308" t="str">
        <f t="shared" si="25"/>
        <v/>
      </c>
      <c r="AI391" s="313" t="str">
        <f t="shared" si="26"/>
        <v/>
      </c>
      <c r="AJ391" s="304" t="str">
        <f t="shared" si="27"/>
        <v/>
      </c>
      <c r="AK391" s="308" t="str">
        <f t="shared" si="28"/>
        <v/>
      </c>
      <c r="AL391" s="308" t="str">
        <f t="shared" si="29"/>
        <v/>
      </c>
      <c r="AM391" s="304" t="str">
        <f t="shared" si="30"/>
        <v/>
      </c>
      <c r="AN391" s="308" t="str">
        <f t="shared" si="31"/>
        <v/>
      </c>
      <c r="AO391" s="313" t="str">
        <f t="shared" si="32"/>
        <v/>
      </c>
      <c r="AP391" s="304" t="str">
        <f t="shared" si="33"/>
        <v/>
      </c>
      <c r="AQ391" s="308" t="str">
        <f t="shared" si="34"/>
        <v/>
      </c>
      <c r="AR391" s="313" t="str">
        <f t="shared" si="35"/>
        <v/>
      </c>
      <c r="AS391" s="304" t="str">
        <f t="shared" si="36"/>
        <v/>
      </c>
      <c r="AT391" s="308" t="str">
        <f t="shared" si="37"/>
        <v/>
      </c>
      <c r="AU391" s="308" t="str">
        <f t="shared" si="38"/>
        <v/>
      </c>
      <c r="AV391" s="304" t="str">
        <f t="shared" si="39"/>
        <v/>
      </c>
      <c r="AW391" s="308" t="str">
        <f t="shared" si="40"/>
        <v/>
      </c>
      <c r="AX391" s="308" t="str">
        <f t="shared" si="41"/>
        <v/>
      </c>
      <c r="AY391" s="304" t="str">
        <f t="shared" si="42"/>
        <v/>
      </c>
      <c r="AZ391" s="308" t="str">
        <f t="shared" si="43"/>
        <v/>
      </c>
      <c r="BA391" s="313" t="str">
        <f t="shared" si="44"/>
        <v/>
      </c>
      <c r="BB391" s="304" t="str">
        <f t="shared" si="45"/>
        <v/>
      </c>
      <c r="BC391" s="308" t="str">
        <f t="shared" si="46"/>
        <v/>
      </c>
      <c r="BD391" s="308" t="str">
        <f t="shared" si="47"/>
        <v/>
      </c>
    </row>
    <row r="392">
      <c r="A392" s="298"/>
      <c r="B392" s="299"/>
      <c r="C392" s="300"/>
      <c r="D392" s="301" t="str">
        <f>IFERROR(__xludf.DUMMYFUNCTION("if(ISBLANK(A392),"""",GOOGLEFINANCE(A392,""NAME""))"),"")</f>
        <v/>
      </c>
      <c r="E392" s="302">
        <v>5000.0</v>
      </c>
      <c r="F392" s="303" t="str">
        <f>IFERROR(__xludf.DUMMYFUNCTION("if(ISBLANK(A392),"""",GOOGLEFINANCE(A392,""HIGH52""))"),"")</f>
        <v/>
      </c>
      <c r="G392" s="303" t="str">
        <f>IFERROR(__xludf.DUMMYFUNCTION("if(ISBLANK(A392),"""",GOOGLEFINANCE(A392,""LOW52""))"),"")</f>
        <v/>
      </c>
      <c r="H392" s="304" t="str">
        <f>IFERROR(__xludf.DUMMYFUNCTION("if(ISBLANK(A392),"""",GOOGLEFINANCE(A392,""Price""))"),"")</f>
        <v/>
      </c>
      <c r="I392" s="305" t="str">
        <f t="shared" si="1"/>
        <v/>
      </c>
      <c r="J392" s="306" t="str">
        <f t="shared" si="2"/>
        <v/>
      </c>
      <c r="K392" s="307" t="str">
        <f>IFERROR(__xludf.DUMMYFUNCTION("if(ISBLANK(A392),"""",googlefinance(A392,""Marketcap"")/10000000)"),"")</f>
        <v/>
      </c>
      <c r="L392" s="309" t="str">
        <f t="shared" si="3"/>
        <v/>
      </c>
      <c r="M392" s="308" t="str">
        <f t="shared" si="4"/>
        <v/>
      </c>
      <c r="N392" s="309" t="str">
        <f t="shared" si="5"/>
        <v/>
      </c>
      <c r="O392" s="322" t="str">
        <f t="shared" si="6"/>
        <v/>
      </c>
      <c r="P392" s="308" t="str">
        <f t="shared" si="7"/>
        <v/>
      </c>
      <c r="Q392" s="311" t="str">
        <f t="shared" si="8"/>
        <v/>
      </c>
      <c r="R392" s="309" t="str">
        <f t="shared" si="9"/>
        <v/>
      </c>
      <c r="S392" s="308" t="str">
        <f t="shared" si="10"/>
        <v/>
      </c>
      <c r="T392" s="309" t="str">
        <f t="shared" si="11"/>
        <v/>
      </c>
      <c r="U392" s="309" t="str">
        <f t="shared" si="12"/>
        <v/>
      </c>
      <c r="V392" s="308" t="str">
        <f t="shared" si="13"/>
        <v/>
      </c>
      <c r="W392" s="309" t="str">
        <f t="shared" si="14"/>
        <v/>
      </c>
      <c r="X392" s="309" t="str">
        <f t="shared" si="15"/>
        <v/>
      </c>
      <c r="Y392" s="308" t="str">
        <f t="shared" si="16"/>
        <v/>
      </c>
      <c r="Z392" s="309" t="str">
        <f t="shared" si="17"/>
        <v/>
      </c>
      <c r="AA392" s="312" t="str">
        <f t="shared" si="18"/>
        <v/>
      </c>
      <c r="AB392" s="308" t="str">
        <f t="shared" si="19"/>
        <v/>
      </c>
      <c r="AC392" s="308" t="str">
        <f t="shared" si="20"/>
        <v/>
      </c>
      <c r="AD392" s="312" t="str">
        <f t="shared" si="21"/>
        <v/>
      </c>
      <c r="AE392" s="308" t="str">
        <f t="shared" si="22"/>
        <v/>
      </c>
      <c r="AF392" s="313" t="str">
        <f t="shared" si="23"/>
        <v/>
      </c>
      <c r="AG392" s="304" t="str">
        <f t="shared" si="24"/>
        <v/>
      </c>
      <c r="AH392" s="308" t="str">
        <f t="shared" si="25"/>
        <v/>
      </c>
      <c r="AI392" s="313" t="str">
        <f t="shared" si="26"/>
        <v/>
      </c>
      <c r="AJ392" s="304" t="str">
        <f t="shared" si="27"/>
        <v/>
      </c>
      <c r="AK392" s="308" t="str">
        <f t="shared" si="28"/>
        <v/>
      </c>
      <c r="AL392" s="308" t="str">
        <f t="shared" si="29"/>
        <v/>
      </c>
      <c r="AM392" s="304" t="str">
        <f t="shared" si="30"/>
        <v/>
      </c>
      <c r="AN392" s="308" t="str">
        <f t="shared" si="31"/>
        <v/>
      </c>
      <c r="AO392" s="313" t="str">
        <f t="shared" si="32"/>
        <v/>
      </c>
      <c r="AP392" s="304" t="str">
        <f t="shared" si="33"/>
        <v/>
      </c>
      <c r="AQ392" s="308" t="str">
        <f t="shared" si="34"/>
        <v/>
      </c>
      <c r="AR392" s="313" t="str">
        <f t="shared" si="35"/>
        <v/>
      </c>
      <c r="AS392" s="304" t="str">
        <f t="shared" si="36"/>
        <v/>
      </c>
      <c r="AT392" s="308" t="str">
        <f t="shared" si="37"/>
        <v/>
      </c>
      <c r="AU392" s="308" t="str">
        <f t="shared" si="38"/>
        <v/>
      </c>
      <c r="AV392" s="304" t="str">
        <f t="shared" si="39"/>
        <v/>
      </c>
      <c r="AW392" s="308" t="str">
        <f t="shared" si="40"/>
        <v/>
      </c>
      <c r="AX392" s="308" t="str">
        <f t="shared" si="41"/>
        <v/>
      </c>
      <c r="AY392" s="304" t="str">
        <f t="shared" si="42"/>
        <v/>
      </c>
      <c r="AZ392" s="308" t="str">
        <f t="shared" si="43"/>
        <v/>
      </c>
      <c r="BA392" s="313" t="str">
        <f t="shared" si="44"/>
        <v/>
      </c>
      <c r="BB392" s="304" t="str">
        <f t="shared" si="45"/>
        <v/>
      </c>
      <c r="BC392" s="308" t="str">
        <f t="shared" si="46"/>
        <v/>
      </c>
      <c r="BD392" s="308" t="str">
        <f t="shared" si="47"/>
        <v/>
      </c>
    </row>
    <row r="393">
      <c r="A393" s="298"/>
      <c r="B393" s="299"/>
      <c r="C393" s="300"/>
      <c r="D393" s="301" t="str">
        <f>IFERROR(__xludf.DUMMYFUNCTION("if(ISBLANK(A393),"""",GOOGLEFINANCE(A393,""NAME""))"),"")</f>
        <v/>
      </c>
      <c r="E393" s="302">
        <v>5000.0</v>
      </c>
      <c r="F393" s="303" t="str">
        <f>IFERROR(__xludf.DUMMYFUNCTION("if(ISBLANK(A393),"""",GOOGLEFINANCE(A393,""HIGH52""))"),"")</f>
        <v/>
      </c>
      <c r="G393" s="303" t="str">
        <f>IFERROR(__xludf.DUMMYFUNCTION("if(ISBLANK(A393),"""",GOOGLEFINANCE(A393,""LOW52""))"),"")</f>
        <v/>
      </c>
      <c r="H393" s="304" t="str">
        <f>IFERROR(__xludf.DUMMYFUNCTION("if(ISBLANK(A393),"""",GOOGLEFINANCE(A393,""Price""))"),"")</f>
        <v/>
      </c>
      <c r="I393" s="305" t="str">
        <f t="shared" si="1"/>
        <v/>
      </c>
      <c r="J393" s="306" t="str">
        <f t="shared" si="2"/>
        <v/>
      </c>
      <c r="K393" s="307" t="str">
        <f>IFERROR(__xludf.DUMMYFUNCTION("if(ISBLANK(A393),"""",googlefinance(A393,""Marketcap"")/10000000)"),"")</f>
        <v/>
      </c>
      <c r="L393" s="309" t="str">
        <f t="shared" si="3"/>
        <v/>
      </c>
      <c r="M393" s="308" t="str">
        <f t="shared" si="4"/>
        <v/>
      </c>
      <c r="N393" s="309" t="str">
        <f t="shared" si="5"/>
        <v/>
      </c>
      <c r="O393" s="322" t="str">
        <f t="shared" si="6"/>
        <v/>
      </c>
      <c r="P393" s="308" t="str">
        <f t="shared" si="7"/>
        <v/>
      </c>
      <c r="Q393" s="311" t="str">
        <f t="shared" si="8"/>
        <v/>
      </c>
      <c r="R393" s="309" t="str">
        <f t="shared" si="9"/>
        <v/>
      </c>
      <c r="S393" s="308" t="str">
        <f t="shared" si="10"/>
        <v/>
      </c>
      <c r="T393" s="309" t="str">
        <f t="shared" si="11"/>
        <v/>
      </c>
      <c r="U393" s="309" t="str">
        <f t="shared" si="12"/>
        <v/>
      </c>
      <c r="V393" s="308" t="str">
        <f t="shared" si="13"/>
        <v/>
      </c>
      <c r="W393" s="309" t="str">
        <f t="shared" si="14"/>
        <v/>
      </c>
      <c r="X393" s="309" t="str">
        <f t="shared" si="15"/>
        <v/>
      </c>
      <c r="Y393" s="308" t="str">
        <f t="shared" si="16"/>
        <v/>
      </c>
      <c r="Z393" s="309" t="str">
        <f t="shared" si="17"/>
        <v/>
      </c>
      <c r="AA393" s="312" t="str">
        <f t="shared" si="18"/>
        <v/>
      </c>
      <c r="AB393" s="308" t="str">
        <f t="shared" si="19"/>
        <v/>
      </c>
      <c r="AC393" s="308" t="str">
        <f t="shared" si="20"/>
        <v/>
      </c>
      <c r="AD393" s="312" t="str">
        <f t="shared" si="21"/>
        <v/>
      </c>
      <c r="AE393" s="308" t="str">
        <f t="shared" si="22"/>
        <v/>
      </c>
      <c r="AF393" s="313" t="str">
        <f t="shared" si="23"/>
        <v/>
      </c>
      <c r="AG393" s="304" t="str">
        <f t="shared" si="24"/>
        <v/>
      </c>
      <c r="AH393" s="308" t="str">
        <f t="shared" si="25"/>
        <v/>
      </c>
      <c r="AI393" s="313" t="str">
        <f t="shared" si="26"/>
        <v/>
      </c>
      <c r="AJ393" s="304" t="str">
        <f t="shared" si="27"/>
        <v/>
      </c>
      <c r="AK393" s="308" t="str">
        <f t="shared" si="28"/>
        <v/>
      </c>
      <c r="AL393" s="308" t="str">
        <f t="shared" si="29"/>
        <v/>
      </c>
      <c r="AM393" s="304" t="str">
        <f t="shared" si="30"/>
        <v/>
      </c>
      <c r="AN393" s="308" t="str">
        <f t="shared" si="31"/>
        <v/>
      </c>
      <c r="AO393" s="313" t="str">
        <f t="shared" si="32"/>
        <v/>
      </c>
      <c r="AP393" s="304" t="str">
        <f t="shared" si="33"/>
        <v/>
      </c>
      <c r="AQ393" s="308" t="str">
        <f t="shared" si="34"/>
        <v/>
      </c>
      <c r="AR393" s="313" t="str">
        <f t="shared" si="35"/>
        <v/>
      </c>
      <c r="AS393" s="304" t="str">
        <f t="shared" si="36"/>
        <v/>
      </c>
      <c r="AT393" s="308" t="str">
        <f t="shared" si="37"/>
        <v/>
      </c>
      <c r="AU393" s="308" t="str">
        <f t="shared" si="38"/>
        <v/>
      </c>
      <c r="AV393" s="304" t="str">
        <f t="shared" si="39"/>
        <v/>
      </c>
      <c r="AW393" s="308" t="str">
        <f t="shared" si="40"/>
        <v/>
      </c>
      <c r="AX393" s="308" t="str">
        <f t="shared" si="41"/>
        <v/>
      </c>
      <c r="AY393" s="304" t="str">
        <f t="shared" si="42"/>
        <v/>
      </c>
      <c r="AZ393" s="308" t="str">
        <f t="shared" si="43"/>
        <v/>
      </c>
      <c r="BA393" s="313" t="str">
        <f t="shared" si="44"/>
        <v/>
      </c>
      <c r="BB393" s="304" t="str">
        <f t="shared" si="45"/>
        <v/>
      </c>
      <c r="BC393" s="308" t="str">
        <f t="shared" si="46"/>
        <v/>
      </c>
      <c r="BD393" s="308" t="str">
        <f t="shared" si="47"/>
        <v/>
      </c>
    </row>
    <row r="394">
      <c r="A394" s="298"/>
      <c r="B394" s="299"/>
      <c r="C394" s="300"/>
      <c r="D394" s="301" t="str">
        <f>IFERROR(__xludf.DUMMYFUNCTION("if(ISBLANK(A394),"""",GOOGLEFINANCE(A394,""NAME""))"),"")</f>
        <v/>
      </c>
      <c r="E394" s="302">
        <v>5000.0</v>
      </c>
      <c r="F394" s="303" t="str">
        <f>IFERROR(__xludf.DUMMYFUNCTION("if(ISBLANK(A394),"""",GOOGLEFINANCE(A394,""HIGH52""))"),"")</f>
        <v/>
      </c>
      <c r="G394" s="303" t="str">
        <f>IFERROR(__xludf.DUMMYFUNCTION("if(ISBLANK(A394),"""",GOOGLEFINANCE(A394,""LOW52""))"),"")</f>
        <v/>
      </c>
      <c r="H394" s="304" t="str">
        <f>IFERROR(__xludf.DUMMYFUNCTION("if(ISBLANK(A394),"""",GOOGLEFINANCE(A394,""Price""))"),"")</f>
        <v/>
      </c>
      <c r="I394" s="305" t="str">
        <f t="shared" si="1"/>
        <v/>
      </c>
      <c r="J394" s="306" t="str">
        <f t="shared" si="2"/>
        <v/>
      </c>
      <c r="K394" s="307" t="str">
        <f>IFERROR(__xludf.DUMMYFUNCTION("if(ISBLANK(A394),"""",googlefinance(A394,""Marketcap"")/10000000)"),"")</f>
        <v/>
      </c>
      <c r="L394" s="309" t="str">
        <f t="shared" si="3"/>
        <v/>
      </c>
      <c r="M394" s="308" t="str">
        <f t="shared" si="4"/>
        <v/>
      </c>
      <c r="N394" s="309" t="str">
        <f t="shared" si="5"/>
        <v/>
      </c>
      <c r="O394" s="322" t="str">
        <f t="shared" si="6"/>
        <v/>
      </c>
      <c r="P394" s="308" t="str">
        <f t="shared" si="7"/>
        <v/>
      </c>
      <c r="Q394" s="311" t="str">
        <f t="shared" si="8"/>
        <v/>
      </c>
      <c r="R394" s="309" t="str">
        <f t="shared" si="9"/>
        <v/>
      </c>
      <c r="S394" s="308" t="str">
        <f t="shared" si="10"/>
        <v/>
      </c>
      <c r="T394" s="309" t="str">
        <f t="shared" si="11"/>
        <v/>
      </c>
      <c r="U394" s="309" t="str">
        <f t="shared" si="12"/>
        <v/>
      </c>
      <c r="V394" s="308" t="str">
        <f t="shared" si="13"/>
        <v/>
      </c>
      <c r="W394" s="309" t="str">
        <f t="shared" si="14"/>
        <v/>
      </c>
      <c r="X394" s="309" t="str">
        <f t="shared" si="15"/>
        <v/>
      </c>
      <c r="Y394" s="308" t="str">
        <f t="shared" si="16"/>
        <v/>
      </c>
      <c r="Z394" s="309" t="str">
        <f t="shared" si="17"/>
        <v/>
      </c>
      <c r="AA394" s="312" t="str">
        <f t="shared" si="18"/>
        <v/>
      </c>
      <c r="AB394" s="308" t="str">
        <f t="shared" si="19"/>
        <v/>
      </c>
      <c r="AC394" s="308" t="str">
        <f t="shared" si="20"/>
        <v/>
      </c>
      <c r="AD394" s="312" t="str">
        <f t="shared" si="21"/>
        <v/>
      </c>
      <c r="AE394" s="308" t="str">
        <f t="shared" si="22"/>
        <v/>
      </c>
      <c r="AF394" s="313" t="str">
        <f t="shared" si="23"/>
        <v/>
      </c>
      <c r="AG394" s="304" t="str">
        <f t="shared" si="24"/>
        <v/>
      </c>
      <c r="AH394" s="308" t="str">
        <f t="shared" si="25"/>
        <v/>
      </c>
      <c r="AI394" s="313" t="str">
        <f t="shared" si="26"/>
        <v/>
      </c>
      <c r="AJ394" s="304" t="str">
        <f t="shared" si="27"/>
        <v/>
      </c>
      <c r="AK394" s="308" t="str">
        <f t="shared" si="28"/>
        <v/>
      </c>
      <c r="AL394" s="308" t="str">
        <f t="shared" si="29"/>
        <v/>
      </c>
      <c r="AM394" s="304" t="str">
        <f t="shared" si="30"/>
        <v/>
      </c>
      <c r="AN394" s="308" t="str">
        <f t="shared" si="31"/>
        <v/>
      </c>
      <c r="AO394" s="313" t="str">
        <f t="shared" si="32"/>
        <v/>
      </c>
      <c r="AP394" s="304" t="str">
        <f t="shared" si="33"/>
        <v/>
      </c>
      <c r="AQ394" s="308" t="str">
        <f t="shared" si="34"/>
        <v/>
      </c>
      <c r="AR394" s="313" t="str">
        <f t="shared" si="35"/>
        <v/>
      </c>
      <c r="AS394" s="304" t="str">
        <f t="shared" si="36"/>
        <v/>
      </c>
      <c r="AT394" s="308" t="str">
        <f t="shared" si="37"/>
        <v/>
      </c>
      <c r="AU394" s="308" t="str">
        <f t="shared" si="38"/>
        <v/>
      </c>
      <c r="AV394" s="304" t="str">
        <f t="shared" si="39"/>
        <v/>
      </c>
      <c r="AW394" s="308" t="str">
        <f t="shared" si="40"/>
        <v/>
      </c>
      <c r="AX394" s="308" t="str">
        <f t="shared" si="41"/>
        <v/>
      </c>
      <c r="AY394" s="304" t="str">
        <f t="shared" si="42"/>
        <v/>
      </c>
      <c r="AZ394" s="308" t="str">
        <f t="shared" si="43"/>
        <v/>
      </c>
      <c r="BA394" s="313" t="str">
        <f t="shared" si="44"/>
        <v/>
      </c>
      <c r="BB394" s="304" t="str">
        <f t="shared" si="45"/>
        <v/>
      </c>
      <c r="BC394" s="308" t="str">
        <f t="shared" si="46"/>
        <v/>
      </c>
      <c r="BD394" s="308" t="str">
        <f t="shared" si="47"/>
        <v/>
      </c>
    </row>
    <row r="395">
      <c r="A395" s="298"/>
      <c r="B395" s="299"/>
      <c r="C395" s="300"/>
      <c r="D395" s="301" t="str">
        <f>IFERROR(__xludf.DUMMYFUNCTION("if(ISBLANK(A395),"""",GOOGLEFINANCE(A395,""NAME""))"),"")</f>
        <v/>
      </c>
      <c r="E395" s="302">
        <v>5000.0</v>
      </c>
      <c r="F395" s="303" t="str">
        <f>IFERROR(__xludf.DUMMYFUNCTION("if(ISBLANK(A395),"""",GOOGLEFINANCE(A395,""HIGH52""))"),"")</f>
        <v/>
      </c>
      <c r="G395" s="303" t="str">
        <f>IFERROR(__xludf.DUMMYFUNCTION("if(ISBLANK(A395),"""",GOOGLEFINANCE(A395,""LOW52""))"),"")</f>
        <v/>
      </c>
      <c r="H395" s="304" t="str">
        <f>IFERROR(__xludf.DUMMYFUNCTION("if(ISBLANK(A395),"""",GOOGLEFINANCE(A395,""Price""))"),"")</f>
        <v/>
      </c>
      <c r="I395" s="305" t="str">
        <f t="shared" si="1"/>
        <v/>
      </c>
      <c r="J395" s="306" t="str">
        <f t="shared" si="2"/>
        <v/>
      </c>
      <c r="K395" s="307" t="str">
        <f>IFERROR(__xludf.DUMMYFUNCTION("if(ISBLANK(A395),"""",googlefinance(A395,""Marketcap"")/10000000)"),"")</f>
        <v/>
      </c>
      <c r="L395" s="309" t="str">
        <f t="shared" si="3"/>
        <v/>
      </c>
      <c r="M395" s="308" t="str">
        <f t="shared" si="4"/>
        <v/>
      </c>
      <c r="N395" s="309" t="str">
        <f t="shared" si="5"/>
        <v/>
      </c>
      <c r="O395" s="322" t="str">
        <f t="shared" si="6"/>
        <v/>
      </c>
      <c r="P395" s="308" t="str">
        <f t="shared" si="7"/>
        <v/>
      </c>
      <c r="Q395" s="311" t="str">
        <f t="shared" si="8"/>
        <v/>
      </c>
      <c r="R395" s="309" t="str">
        <f t="shared" si="9"/>
        <v/>
      </c>
      <c r="S395" s="308" t="str">
        <f t="shared" si="10"/>
        <v/>
      </c>
      <c r="T395" s="309" t="str">
        <f t="shared" si="11"/>
        <v/>
      </c>
      <c r="U395" s="309" t="str">
        <f t="shared" si="12"/>
        <v/>
      </c>
      <c r="V395" s="308" t="str">
        <f t="shared" si="13"/>
        <v/>
      </c>
      <c r="W395" s="309" t="str">
        <f t="shared" si="14"/>
        <v/>
      </c>
      <c r="X395" s="309" t="str">
        <f t="shared" si="15"/>
        <v/>
      </c>
      <c r="Y395" s="308" t="str">
        <f t="shared" si="16"/>
        <v/>
      </c>
      <c r="Z395" s="309" t="str">
        <f t="shared" si="17"/>
        <v/>
      </c>
      <c r="AA395" s="312" t="str">
        <f t="shared" si="18"/>
        <v/>
      </c>
      <c r="AB395" s="308" t="str">
        <f t="shared" si="19"/>
        <v/>
      </c>
      <c r="AC395" s="308" t="str">
        <f t="shared" si="20"/>
        <v/>
      </c>
      <c r="AD395" s="312" t="str">
        <f t="shared" si="21"/>
        <v/>
      </c>
      <c r="AE395" s="308" t="str">
        <f t="shared" si="22"/>
        <v/>
      </c>
      <c r="AF395" s="313" t="str">
        <f t="shared" si="23"/>
        <v/>
      </c>
      <c r="AG395" s="304" t="str">
        <f t="shared" si="24"/>
        <v/>
      </c>
      <c r="AH395" s="308" t="str">
        <f t="shared" si="25"/>
        <v/>
      </c>
      <c r="AI395" s="313" t="str">
        <f t="shared" si="26"/>
        <v/>
      </c>
      <c r="AJ395" s="304" t="str">
        <f t="shared" si="27"/>
        <v/>
      </c>
      <c r="AK395" s="308" t="str">
        <f t="shared" si="28"/>
        <v/>
      </c>
      <c r="AL395" s="308" t="str">
        <f t="shared" si="29"/>
        <v/>
      </c>
      <c r="AM395" s="304" t="str">
        <f t="shared" si="30"/>
        <v/>
      </c>
      <c r="AN395" s="308" t="str">
        <f t="shared" si="31"/>
        <v/>
      </c>
      <c r="AO395" s="313" t="str">
        <f t="shared" si="32"/>
        <v/>
      </c>
      <c r="AP395" s="304" t="str">
        <f t="shared" si="33"/>
        <v/>
      </c>
      <c r="AQ395" s="308" t="str">
        <f t="shared" si="34"/>
        <v/>
      </c>
      <c r="AR395" s="313" t="str">
        <f t="shared" si="35"/>
        <v/>
      </c>
      <c r="AS395" s="304" t="str">
        <f t="shared" si="36"/>
        <v/>
      </c>
      <c r="AT395" s="308" t="str">
        <f t="shared" si="37"/>
        <v/>
      </c>
      <c r="AU395" s="308" t="str">
        <f t="shared" si="38"/>
        <v/>
      </c>
      <c r="AV395" s="304" t="str">
        <f t="shared" si="39"/>
        <v/>
      </c>
      <c r="AW395" s="308" t="str">
        <f t="shared" si="40"/>
        <v/>
      </c>
      <c r="AX395" s="308" t="str">
        <f t="shared" si="41"/>
        <v/>
      </c>
      <c r="AY395" s="304" t="str">
        <f t="shared" si="42"/>
        <v/>
      </c>
      <c r="AZ395" s="308" t="str">
        <f t="shared" si="43"/>
        <v/>
      </c>
      <c r="BA395" s="313" t="str">
        <f t="shared" si="44"/>
        <v/>
      </c>
      <c r="BB395" s="304" t="str">
        <f t="shared" si="45"/>
        <v/>
      </c>
      <c r="BC395" s="308" t="str">
        <f t="shared" si="46"/>
        <v/>
      </c>
      <c r="BD395" s="308" t="str">
        <f t="shared" si="47"/>
        <v/>
      </c>
    </row>
    <row r="396">
      <c r="A396" s="298"/>
      <c r="B396" s="299"/>
      <c r="C396" s="300"/>
      <c r="D396" s="301" t="str">
        <f>IFERROR(__xludf.DUMMYFUNCTION("if(ISBLANK(A396),"""",GOOGLEFINANCE(A396,""NAME""))"),"")</f>
        <v/>
      </c>
      <c r="E396" s="302">
        <v>5000.0</v>
      </c>
      <c r="F396" s="303" t="str">
        <f>IFERROR(__xludf.DUMMYFUNCTION("if(ISBLANK(A396),"""",GOOGLEFINANCE(A396,""HIGH52""))"),"")</f>
        <v/>
      </c>
      <c r="G396" s="303" t="str">
        <f>IFERROR(__xludf.DUMMYFUNCTION("if(ISBLANK(A396),"""",GOOGLEFINANCE(A396,""LOW52""))"),"")</f>
        <v/>
      </c>
      <c r="H396" s="304" t="str">
        <f>IFERROR(__xludf.DUMMYFUNCTION("if(ISBLANK(A396),"""",GOOGLEFINANCE(A396,""Price""))"),"")</f>
        <v/>
      </c>
      <c r="I396" s="305" t="str">
        <f t="shared" si="1"/>
        <v/>
      </c>
      <c r="J396" s="306" t="str">
        <f t="shared" si="2"/>
        <v/>
      </c>
      <c r="K396" s="307" t="str">
        <f>IFERROR(__xludf.DUMMYFUNCTION("if(ISBLANK(A396),"""",googlefinance(A396,""Marketcap"")/10000000)"),"")</f>
        <v/>
      </c>
      <c r="L396" s="309" t="str">
        <f t="shared" si="3"/>
        <v/>
      </c>
      <c r="M396" s="308" t="str">
        <f t="shared" si="4"/>
        <v/>
      </c>
      <c r="N396" s="309" t="str">
        <f t="shared" si="5"/>
        <v/>
      </c>
      <c r="O396" s="322" t="str">
        <f t="shared" si="6"/>
        <v/>
      </c>
      <c r="P396" s="308" t="str">
        <f t="shared" si="7"/>
        <v/>
      </c>
      <c r="Q396" s="311" t="str">
        <f t="shared" si="8"/>
        <v/>
      </c>
      <c r="R396" s="309" t="str">
        <f t="shared" si="9"/>
        <v/>
      </c>
      <c r="S396" s="308" t="str">
        <f t="shared" si="10"/>
        <v/>
      </c>
      <c r="T396" s="309" t="str">
        <f t="shared" si="11"/>
        <v/>
      </c>
      <c r="U396" s="309" t="str">
        <f t="shared" si="12"/>
        <v/>
      </c>
      <c r="V396" s="308" t="str">
        <f t="shared" si="13"/>
        <v/>
      </c>
      <c r="W396" s="309" t="str">
        <f t="shared" si="14"/>
        <v/>
      </c>
      <c r="X396" s="309" t="str">
        <f t="shared" si="15"/>
        <v/>
      </c>
      <c r="Y396" s="308" t="str">
        <f t="shared" si="16"/>
        <v/>
      </c>
      <c r="Z396" s="309" t="str">
        <f t="shared" si="17"/>
        <v/>
      </c>
      <c r="AA396" s="312" t="str">
        <f t="shared" si="18"/>
        <v/>
      </c>
      <c r="AB396" s="308" t="str">
        <f t="shared" si="19"/>
        <v/>
      </c>
      <c r="AC396" s="308" t="str">
        <f t="shared" si="20"/>
        <v/>
      </c>
      <c r="AD396" s="312" t="str">
        <f t="shared" si="21"/>
        <v/>
      </c>
      <c r="AE396" s="308" t="str">
        <f t="shared" si="22"/>
        <v/>
      </c>
      <c r="AF396" s="313" t="str">
        <f t="shared" si="23"/>
        <v/>
      </c>
      <c r="AG396" s="304" t="str">
        <f t="shared" si="24"/>
        <v/>
      </c>
      <c r="AH396" s="308" t="str">
        <f t="shared" si="25"/>
        <v/>
      </c>
      <c r="AI396" s="313" t="str">
        <f t="shared" si="26"/>
        <v/>
      </c>
      <c r="AJ396" s="304" t="str">
        <f t="shared" si="27"/>
        <v/>
      </c>
      <c r="AK396" s="308" t="str">
        <f t="shared" si="28"/>
        <v/>
      </c>
      <c r="AL396" s="308" t="str">
        <f t="shared" si="29"/>
        <v/>
      </c>
      <c r="AM396" s="304" t="str">
        <f t="shared" si="30"/>
        <v/>
      </c>
      <c r="AN396" s="308" t="str">
        <f t="shared" si="31"/>
        <v/>
      </c>
      <c r="AO396" s="313" t="str">
        <f t="shared" si="32"/>
        <v/>
      </c>
      <c r="AP396" s="304" t="str">
        <f t="shared" si="33"/>
        <v/>
      </c>
      <c r="AQ396" s="308" t="str">
        <f t="shared" si="34"/>
        <v/>
      </c>
      <c r="AR396" s="313" t="str">
        <f t="shared" si="35"/>
        <v/>
      </c>
      <c r="AS396" s="304" t="str">
        <f t="shared" si="36"/>
        <v/>
      </c>
      <c r="AT396" s="308" t="str">
        <f t="shared" si="37"/>
        <v/>
      </c>
      <c r="AU396" s="308" t="str">
        <f t="shared" si="38"/>
        <v/>
      </c>
      <c r="AV396" s="304" t="str">
        <f t="shared" si="39"/>
        <v/>
      </c>
      <c r="AW396" s="308" t="str">
        <f t="shared" si="40"/>
        <v/>
      </c>
      <c r="AX396" s="308" t="str">
        <f t="shared" si="41"/>
        <v/>
      </c>
      <c r="AY396" s="304" t="str">
        <f t="shared" si="42"/>
        <v/>
      </c>
      <c r="AZ396" s="308" t="str">
        <f t="shared" si="43"/>
        <v/>
      </c>
      <c r="BA396" s="313" t="str">
        <f t="shared" si="44"/>
        <v/>
      </c>
      <c r="BB396" s="304" t="str">
        <f t="shared" si="45"/>
        <v/>
      </c>
      <c r="BC396" s="308" t="str">
        <f t="shared" si="46"/>
        <v/>
      </c>
      <c r="BD396" s="308" t="str">
        <f t="shared" si="47"/>
        <v/>
      </c>
    </row>
    <row r="397">
      <c r="A397" s="298"/>
      <c r="B397" s="299"/>
      <c r="C397" s="300"/>
      <c r="D397" s="301" t="str">
        <f>IFERROR(__xludf.DUMMYFUNCTION("if(ISBLANK(A397),"""",GOOGLEFINANCE(A397,""NAME""))"),"")</f>
        <v/>
      </c>
      <c r="E397" s="302">
        <v>5000.0</v>
      </c>
      <c r="F397" s="303" t="str">
        <f>IFERROR(__xludf.DUMMYFUNCTION("if(ISBLANK(A397),"""",GOOGLEFINANCE(A397,""HIGH52""))"),"")</f>
        <v/>
      </c>
      <c r="G397" s="303" t="str">
        <f>IFERROR(__xludf.DUMMYFUNCTION("if(ISBLANK(A397),"""",GOOGLEFINANCE(A397,""LOW52""))"),"")</f>
        <v/>
      </c>
      <c r="H397" s="304" t="str">
        <f>IFERROR(__xludf.DUMMYFUNCTION("if(ISBLANK(A397),"""",GOOGLEFINANCE(A397,""Price""))"),"")</f>
        <v/>
      </c>
      <c r="I397" s="305" t="str">
        <f t="shared" si="1"/>
        <v/>
      </c>
      <c r="J397" s="306" t="str">
        <f t="shared" si="2"/>
        <v/>
      </c>
      <c r="K397" s="307" t="str">
        <f>IFERROR(__xludf.DUMMYFUNCTION("if(ISBLANK(A397),"""",googlefinance(A397,""Marketcap"")/10000000)"),"")</f>
        <v/>
      </c>
      <c r="L397" s="309" t="str">
        <f t="shared" si="3"/>
        <v/>
      </c>
      <c r="M397" s="308" t="str">
        <f t="shared" si="4"/>
        <v/>
      </c>
      <c r="N397" s="309" t="str">
        <f t="shared" si="5"/>
        <v/>
      </c>
      <c r="O397" s="322" t="str">
        <f t="shared" si="6"/>
        <v/>
      </c>
      <c r="P397" s="308" t="str">
        <f t="shared" si="7"/>
        <v/>
      </c>
      <c r="Q397" s="311" t="str">
        <f t="shared" si="8"/>
        <v/>
      </c>
      <c r="R397" s="309" t="str">
        <f t="shared" si="9"/>
        <v/>
      </c>
      <c r="S397" s="308" t="str">
        <f t="shared" si="10"/>
        <v/>
      </c>
      <c r="T397" s="309" t="str">
        <f t="shared" si="11"/>
        <v/>
      </c>
      <c r="U397" s="309" t="str">
        <f t="shared" si="12"/>
        <v/>
      </c>
      <c r="V397" s="308" t="str">
        <f t="shared" si="13"/>
        <v/>
      </c>
      <c r="W397" s="309" t="str">
        <f t="shared" si="14"/>
        <v/>
      </c>
      <c r="X397" s="309" t="str">
        <f t="shared" si="15"/>
        <v/>
      </c>
      <c r="Y397" s="308" t="str">
        <f t="shared" si="16"/>
        <v/>
      </c>
      <c r="Z397" s="309" t="str">
        <f t="shared" si="17"/>
        <v/>
      </c>
      <c r="AA397" s="312" t="str">
        <f t="shared" si="18"/>
        <v/>
      </c>
      <c r="AB397" s="308" t="str">
        <f t="shared" si="19"/>
        <v/>
      </c>
      <c r="AC397" s="308" t="str">
        <f t="shared" si="20"/>
        <v/>
      </c>
      <c r="AD397" s="312" t="str">
        <f t="shared" si="21"/>
        <v/>
      </c>
      <c r="AE397" s="308" t="str">
        <f t="shared" si="22"/>
        <v/>
      </c>
      <c r="AF397" s="313" t="str">
        <f t="shared" si="23"/>
        <v/>
      </c>
      <c r="AG397" s="304" t="str">
        <f t="shared" si="24"/>
        <v/>
      </c>
      <c r="AH397" s="308" t="str">
        <f t="shared" si="25"/>
        <v/>
      </c>
      <c r="AI397" s="313" t="str">
        <f t="shared" si="26"/>
        <v/>
      </c>
      <c r="AJ397" s="304" t="str">
        <f t="shared" si="27"/>
        <v/>
      </c>
      <c r="AK397" s="308" t="str">
        <f t="shared" si="28"/>
        <v/>
      </c>
      <c r="AL397" s="308" t="str">
        <f t="shared" si="29"/>
        <v/>
      </c>
      <c r="AM397" s="304" t="str">
        <f t="shared" si="30"/>
        <v/>
      </c>
      <c r="AN397" s="308" t="str">
        <f t="shared" si="31"/>
        <v/>
      </c>
      <c r="AO397" s="313" t="str">
        <f t="shared" si="32"/>
        <v/>
      </c>
      <c r="AP397" s="304" t="str">
        <f t="shared" si="33"/>
        <v/>
      </c>
      <c r="AQ397" s="308" t="str">
        <f t="shared" si="34"/>
        <v/>
      </c>
      <c r="AR397" s="313" t="str">
        <f t="shared" si="35"/>
        <v/>
      </c>
      <c r="AS397" s="304" t="str">
        <f t="shared" si="36"/>
        <v/>
      </c>
      <c r="AT397" s="308" t="str">
        <f t="shared" si="37"/>
        <v/>
      </c>
      <c r="AU397" s="308" t="str">
        <f t="shared" si="38"/>
        <v/>
      </c>
      <c r="AV397" s="304" t="str">
        <f t="shared" si="39"/>
        <v/>
      </c>
      <c r="AW397" s="308" t="str">
        <f t="shared" si="40"/>
        <v/>
      </c>
      <c r="AX397" s="308" t="str">
        <f t="shared" si="41"/>
        <v/>
      </c>
      <c r="AY397" s="304" t="str">
        <f t="shared" si="42"/>
        <v/>
      </c>
      <c r="AZ397" s="308" t="str">
        <f t="shared" si="43"/>
        <v/>
      </c>
      <c r="BA397" s="313" t="str">
        <f t="shared" si="44"/>
        <v/>
      </c>
      <c r="BB397" s="304" t="str">
        <f t="shared" si="45"/>
        <v/>
      </c>
      <c r="BC397" s="308" t="str">
        <f t="shared" si="46"/>
        <v/>
      </c>
      <c r="BD397" s="308" t="str">
        <f t="shared" si="47"/>
        <v/>
      </c>
    </row>
    <row r="398">
      <c r="A398" s="298"/>
      <c r="B398" s="299"/>
      <c r="C398" s="300"/>
      <c r="D398" s="301" t="str">
        <f>IFERROR(__xludf.DUMMYFUNCTION("if(ISBLANK(A398),"""",GOOGLEFINANCE(A398,""NAME""))"),"")</f>
        <v/>
      </c>
      <c r="E398" s="302">
        <v>5000.0</v>
      </c>
      <c r="F398" s="303" t="str">
        <f>IFERROR(__xludf.DUMMYFUNCTION("if(ISBLANK(A398),"""",GOOGLEFINANCE(A398,""HIGH52""))"),"")</f>
        <v/>
      </c>
      <c r="G398" s="303" t="str">
        <f>IFERROR(__xludf.DUMMYFUNCTION("if(ISBLANK(A398),"""",GOOGLEFINANCE(A398,""LOW52""))"),"")</f>
        <v/>
      </c>
      <c r="H398" s="304" t="str">
        <f>IFERROR(__xludf.DUMMYFUNCTION("if(ISBLANK(A398),"""",GOOGLEFINANCE(A398,""Price""))"),"")</f>
        <v/>
      </c>
      <c r="I398" s="305" t="str">
        <f t="shared" si="1"/>
        <v/>
      </c>
      <c r="J398" s="306" t="str">
        <f t="shared" si="2"/>
        <v/>
      </c>
      <c r="K398" s="307" t="str">
        <f>IFERROR(__xludf.DUMMYFUNCTION("if(ISBLANK(A398),"""",googlefinance(A398,""Marketcap"")/10000000)"),"")</f>
        <v/>
      </c>
      <c r="L398" s="309" t="str">
        <f t="shared" si="3"/>
        <v/>
      </c>
      <c r="M398" s="308" t="str">
        <f t="shared" si="4"/>
        <v/>
      </c>
      <c r="N398" s="309" t="str">
        <f t="shared" si="5"/>
        <v/>
      </c>
      <c r="O398" s="322" t="str">
        <f t="shared" si="6"/>
        <v/>
      </c>
      <c r="P398" s="308" t="str">
        <f t="shared" si="7"/>
        <v/>
      </c>
      <c r="Q398" s="311" t="str">
        <f t="shared" si="8"/>
        <v/>
      </c>
      <c r="R398" s="309" t="str">
        <f t="shared" si="9"/>
        <v/>
      </c>
      <c r="S398" s="308" t="str">
        <f t="shared" si="10"/>
        <v/>
      </c>
      <c r="T398" s="309" t="str">
        <f t="shared" si="11"/>
        <v/>
      </c>
      <c r="U398" s="309" t="str">
        <f t="shared" si="12"/>
        <v/>
      </c>
      <c r="V398" s="308" t="str">
        <f t="shared" si="13"/>
        <v/>
      </c>
      <c r="W398" s="309" t="str">
        <f t="shared" si="14"/>
        <v/>
      </c>
      <c r="X398" s="309" t="str">
        <f t="shared" si="15"/>
        <v/>
      </c>
      <c r="Y398" s="308" t="str">
        <f t="shared" si="16"/>
        <v/>
      </c>
      <c r="Z398" s="309" t="str">
        <f t="shared" si="17"/>
        <v/>
      </c>
      <c r="AA398" s="312" t="str">
        <f t="shared" si="18"/>
        <v/>
      </c>
      <c r="AB398" s="308" t="str">
        <f t="shared" si="19"/>
        <v/>
      </c>
      <c r="AC398" s="308" t="str">
        <f t="shared" si="20"/>
        <v/>
      </c>
      <c r="AD398" s="312" t="str">
        <f t="shared" si="21"/>
        <v/>
      </c>
      <c r="AE398" s="308" t="str">
        <f t="shared" si="22"/>
        <v/>
      </c>
      <c r="AF398" s="313" t="str">
        <f t="shared" si="23"/>
        <v/>
      </c>
      <c r="AG398" s="304" t="str">
        <f t="shared" si="24"/>
        <v/>
      </c>
      <c r="AH398" s="308" t="str">
        <f t="shared" si="25"/>
        <v/>
      </c>
      <c r="AI398" s="313" t="str">
        <f t="shared" si="26"/>
        <v/>
      </c>
      <c r="AJ398" s="304" t="str">
        <f t="shared" si="27"/>
        <v/>
      </c>
      <c r="AK398" s="308" t="str">
        <f t="shared" si="28"/>
        <v/>
      </c>
      <c r="AL398" s="308" t="str">
        <f t="shared" si="29"/>
        <v/>
      </c>
      <c r="AM398" s="304" t="str">
        <f t="shared" si="30"/>
        <v/>
      </c>
      <c r="AN398" s="308" t="str">
        <f t="shared" si="31"/>
        <v/>
      </c>
      <c r="AO398" s="313" t="str">
        <f t="shared" si="32"/>
        <v/>
      </c>
      <c r="AP398" s="304" t="str">
        <f t="shared" si="33"/>
        <v/>
      </c>
      <c r="AQ398" s="308" t="str">
        <f t="shared" si="34"/>
        <v/>
      </c>
      <c r="AR398" s="313" t="str">
        <f t="shared" si="35"/>
        <v/>
      </c>
      <c r="AS398" s="304" t="str">
        <f t="shared" si="36"/>
        <v/>
      </c>
      <c r="AT398" s="308" t="str">
        <f t="shared" si="37"/>
        <v/>
      </c>
      <c r="AU398" s="308" t="str">
        <f t="shared" si="38"/>
        <v/>
      </c>
      <c r="AV398" s="304" t="str">
        <f t="shared" si="39"/>
        <v/>
      </c>
      <c r="AW398" s="308" t="str">
        <f t="shared" si="40"/>
        <v/>
      </c>
      <c r="AX398" s="308" t="str">
        <f t="shared" si="41"/>
        <v/>
      </c>
      <c r="AY398" s="304" t="str">
        <f t="shared" si="42"/>
        <v/>
      </c>
      <c r="AZ398" s="308" t="str">
        <f t="shared" si="43"/>
        <v/>
      </c>
      <c r="BA398" s="313" t="str">
        <f t="shared" si="44"/>
        <v/>
      </c>
      <c r="BB398" s="304" t="str">
        <f t="shared" si="45"/>
        <v/>
      </c>
      <c r="BC398" s="308" t="str">
        <f t="shared" si="46"/>
        <v/>
      </c>
      <c r="BD398" s="308" t="str">
        <f t="shared" si="47"/>
        <v/>
      </c>
    </row>
    <row r="399">
      <c r="A399" s="298"/>
      <c r="B399" s="299"/>
      <c r="C399" s="300"/>
      <c r="D399" s="301" t="str">
        <f>IFERROR(__xludf.DUMMYFUNCTION("if(ISBLANK(A399),"""",GOOGLEFINANCE(A399,""NAME""))"),"")</f>
        <v/>
      </c>
      <c r="E399" s="302">
        <v>5000.0</v>
      </c>
      <c r="F399" s="303" t="str">
        <f>IFERROR(__xludf.DUMMYFUNCTION("if(ISBLANK(A399),"""",GOOGLEFINANCE(A399,""HIGH52""))"),"")</f>
        <v/>
      </c>
      <c r="G399" s="303" t="str">
        <f>IFERROR(__xludf.DUMMYFUNCTION("if(ISBLANK(A399),"""",GOOGLEFINANCE(A399,""LOW52""))"),"")</f>
        <v/>
      </c>
      <c r="H399" s="304" t="str">
        <f>IFERROR(__xludf.DUMMYFUNCTION("if(ISBLANK(A399),"""",GOOGLEFINANCE(A399,""Price""))"),"")</f>
        <v/>
      </c>
      <c r="I399" s="305" t="str">
        <f t="shared" si="1"/>
        <v/>
      </c>
      <c r="J399" s="306" t="str">
        <f t="shared" si="2"/>
        <v/>
      </c>
      <c r="K399" s="307" t="str">
        <f>IFERROR(__xludf.DUMMYFUNCTION("if(ISBLANK(A399),"""",googlefinance(A399,""Marketcap"")/10000000)"),"")</f>
        <v/>
      </c>
      <c r="L399" s="309" t="str">
        <f t="shared" si="3"/>
        <v/>
      </c>
      <c r="M399" s="308" t="str">
        <f t="shared" si="4"/>
        <v/>
      </c>
      <c r="N399" s="309" t="str">
        <f t="shared" si="5"/>
        <v/>
      </c>
      <c r="O399" s="322" t="str">
        <f t="shared" si="6"/>
        <v/>
      </c>
      <c r="P399" s="308" t="str">
        <f t="shared" si="7"/>
        <v/>
      </c>
      <c r="Q399" s="311" t="str">
        <f t="shared" si="8"/>
        <v/>
      </c>
      <c r="R399" s="309" t="str">
        <f t="shared" si="9"/>
        <v/>
      </c>
      <c r="S399" s="308" t="str">
        <f t="shared" si="10"/>
        <v/>
      </c>
      <c r="T399" s="309" t="str">
        <f t="shared" si="11"/>
        <v/>
      </c>
      <c r="U399" s="309" t="str">
        <f t="shared" si="12"/>
        <v/>
      </c>
      <c r="V399" s="308" t="str">
        <f t="shared" si="13"/>
        <v/>
      </c>
      <c r="W399" s="309" t="str">
        <f t="shared" si="14"/>
        <v/>
      </c>
      <c r="X399" s="309" t="str">
        <f t="shared" si="15"/>
        <v/>
      </c>
      <c r="Y399" s="308" t="str">
        <f t="shared" si="16"/>
        <v/>
      </c>
      <c r="Z399" s="309" t="str">
        <f t="shared" si="17"/>
        <v/>
      </c>
      <c r="AA399" s="312" t="str">
        <f t="shared" si="18"/>
        <v/>
      </c>
      <c r="AB399" s="308" t="str">
        <f t="shared" si="19"/>
        <v/>
      </c>
      <c r="AC399" s="308" t="str">
        <f t="shared" si="20"/>
        <v/>
      </c>
      <c r="AD399" s="312" t="str">
        <f t="shared" si="21"/>
        <v/>
      </c>
      <c r="AE399" s="308" t="str">
        <f t="shared" si="22"/>
        <v/>
      </c>
      <c r="AF399" s="313" t="str">
        <f t="shared" si="23"/>
        <v/>
      </c>
      <c r="AG399" s="304" t="str">
        <f t="shared" si="24"/>
        <v/>
      </c>
      <c r="AH399" s="308" t="str">
        <f t="shared" si="25"/>
        <v/>
      </c>
      <c r="AI399" s="313" t="str">
        <f t="shared" si="26"/>
        <v/>
      </c>
      <c r="AJ399" s="304" t="str">
        <f t="shared" si="27"/>
        <v/>
      </c>
      <c r="AK399" s="308" t="str">
        <f t="shared" si="28"/>
        <v/>
      </c>
      <c r="AL399" s="308" t="str">
        <f t="shared" si="29"/>
        <v/>
      </c>
      <c r="AM399" s="304" t="str">
        <f t="shared" si="30"/>
        <v/>
      </c>
      <c r="AN399" s="308" t="str">
        <f t="shared" si="31"/>
        <v/>
      </c>
      <c r="AO399" s="313" t="str">
        <f t="shared" si="32"/>
        <v/>
      </c>
      <c r="AP399" s="304" t="str">
        <f t="shared" si="33"/>
        <v/>
      </c>
      <c r="AQ399" s="308" t="str">
        <f t="shared" si="34"/>
        <v/>
      </c>
      <c r="AR399" s="313" t="str">
        <f t="shared" si="35"/>
        <v/>
      </c>
      <c r="AS399" s="304" t="str">
        <f t="shared" si="36"/>
        <v/>
      </c>
      <c r="AT399" s="308" t="str">
        <f t="shared" si="37"/>
        <v/>
      </c>
      <c r="AU399" s="308" t="str">
        <f t="shared" si="38"/>
        <v/>
      </c>
      <c r="AV399" s="304" t="str">
        <f t="shared" si="39"/>
        <v/>
      </c>
      <c r="AW399" s="308" t="str">
        <f t="shared" si="40"/>
        <v/>
      </c>
      <c r="AX399" s="308" t="str">
        <f t="shared" si="41"/>
        <v/>
      </c>
      <c r="AY399" s="304" t="str">
        <f t="shared" si="42"/>
        <v/>
      </c>
      <c r="AZ399" s="308" t="str">
        <f t="shared" si="43"/>
        <v/>
      </c>
      <c r="BA399" s="313" t="str">
        <f t="shared" si="44"/>
        <v/>
      </c>
      <c r="BB399" s="304" t="str">
        <f t="shared" si="45"/>
        <v/>
      </c>
      <c r="BC399" s="308" t="str">
        <f t="shared" si="46"/>
        <v/>
      </c>
      <c r="BD399" s="308" t="str">
        <f t="shared" si="47"/>
        <v/>
      </c>
    </row>
    <row r="400">
      <c r="A400" s="298"/>
      <c r="B400" s="299"/>
      <c r="C400" s="300"/>
      <c r="D400" s="301" t="str">
        <f>IFERROR(__xludf.DUMMYFUNCTION("if(ISBLANK(A400),"""",GOOGLEFINANCE(A400,""NAME""))"),"")</f>
        <v/>
      </c>
      <c r="E400" s="302">
        <v>5000.0</v>
      </c>
      <c r="F400" s="303" t="str">
        <f>IFERROR(__xludf.DUMMYFUNCTION("if(ISBLANK(A400),"""",GOOGLEFINANCE(A400,""HIGH52""))"),"")</f>
        <v/>
      </c>
      <c r="G400" s="303" t="str">
        <f>IFERROR(__xludf.DUMMYFUNCTION("if(ISBLANK(A400),"""",GOOGLEFINANCE(A400,""LOW52""))"),"")</f>
        <v/>
      </c>
      <c r="H400" s="304" t="str">
        <f>IFERROR(__xludf.DUMMYFUNCTION("if(ISBLANK(A400),"""",GOOGLEFINANCE(A400,""Price""))"),"")</f>
        <v/>
      </c>
      <c r="I400" s="305" t="str">
        <f t="shared" si="1"/>
        <v/>
      </c>
      <c r="J400" s="306" t="str">
        <f t="shared" si="2"/>
        <v/>
      </c>
      <c r="K400" s="307" t="str">
        <f>IFERROR(__xludf.DUMMYFUNCTION("if(ISBLANK(A400),"""",googlefinance(A400,""Marketcap"")/10000000)"),"")</f>
        <v/>
      </c>
      <c r="L400" s="309" t="str">
        <f t="shared" si="3"/>
        <v/>
      </c>
      <c r="M400" s="308" t="str">
        <f t="shared" si="4"/>
        <v/>
      </c>
      <c r="N400" s="309" t="str">
        <f t="shared" si="5"/>
        <v/>
      </c>
      <c r="O400" s="322" t="str">
        <f t="shared" si="6"/>
        <v/>
      </c>
      <c r="P400" s="308" t="str">
        <f t="shared" si="7"/>
        <v/>
      </c>
      <c r="Q400" s="311" t="str">
        <f t="shared" si="8"/>
        <v/>
      </c>
      <c r="R400" s="309" t="str">
        <f t="shared" si="9"/>
        <v/>
      </c>
      <c r="S400" s="308" t="str">
        <f t="shared" si="10"/>
        <v/>
      </c>
      <c r="T400" s="309" t="str">
        <f t="shared" si="11"/>
        <v/>
      </c>
      <c r="U400" s="309" t="str">
        <f t="shared" si="12"/>
        <v/>
      </c>
      <c r="V400" s="308" t="str">
        <f t="shared" si="13"/>
        <v/>
      </c>
      <c r="W400" s="309" t="str">
        <f t="shared" si="14"/>
        <v/>
      </c>
      <c r="X400" s="309" t="str">
        <f t="shared" si="15"/>
        <v/>
      </c>
      <c r="Y400" s="308" t="str">
        <f t="shared" si="16"/>
        <v/>
      </c>
      <c r="Z400" s="309" t="str">
        <f t="shared" si="17"/>
        <v/>
      </c>
      <c r="AA400" s="312" t="str">
        <f t="shared" si="18"/>
        <v/>
      </c>
      <c r="AB400" s="308" t="str">
        <f t="shared" si="19"/>
        <v/>
      </c>
      <c r="AC400" s="308" t="str">
        <f t="shared" si="20"/>
        <v/>
      </c>
      <c r="AD400" s="312" t="str">
        <f t="shared" si="21"/>
        <v/>
      </c>
      <c r="AE400" s="308" t="str">
        <f t="shared" si="22"/>
        <v/>
      </c>
      <c r="AF400" s="313" t="str">
        <f t="shared" si="23"/>
        <v/>
      </c>
      <c r="AG400" s="304" t="str">
        <f t="shared" si="24"/>
        <v/>
      </c>
      <c r="AH400" s="308" t="str">
        <f t="shared" si="25"/>
        <v/>
      </c>
      <c r="AI400" s="313" t="str">
        <f t="shared" si="26"/>
        <v/>
      </c>
      <c r="AJ400" s="304" t="str">
        <f t="shared" si="27"/>
        <v/>
      </c>
      <c r="AK400" s="308" t="str">
        <f t="shared" si="28"/>
        <v/>
      </c>
      <c r="AL400" s="308" t="str">
        <f t="shared" si="29"/>
        <v/>
      </c>
      <c r="AM400" s="304" t="str">
        <f t="shared" si="30"/>
        <v/>
      </c>
      <c r="AN400" s="308" t="str">
        <f t="shared" si="31"/>
        <v/>
      </c>
      <c r="AO400" s="313" t="str">
        <f t="shared" si="32"/>
        <v/>
      </c>
      <c r="AP400" s="304" t="str">
        <f t="shared" si="33"/>
        <v/>
      </c>
      <c r="AQ400" s="308" t="str">
        <f t="shared" si="34"/>
        <v/>
      </c>
      <c r="AR400" s="313" t="str">
        <f t="shared" si="35"/>
        <v/>
      </c>
      <c r="AS400" s="304" t="str">
        <f t="shared" si="36"/>
        <v/>
      </c>
      <c r="AT400" s="308" t="str">
        <f t="shared" si="37"/>
        <v/>
      </c>
      <c r="AU400" s="308" t="str">
        <f t="shared" si="38"/>
        <v/>
      </c>
      <c r="AV400" s="304" t="str">
        <f t="shared" si="39"/>
        <v/>
      </c>
      <c r="AW400" s="308" t="str">
        <f t="shared" si="40"/>
        <v/>
      </c>
      <c r="AX400" s="308" t="str">
        <f t="shared" si="41"/>
        <v/>
      </c>
      <c r="AY400" s="304" t="str">
        <f t="shared" si="42"/>
        <v/>
      </c>
      <c r="AZ400" s="308" t="str">
        <f t="shared" si="43"/>
        <v/>
      </c>
      <c r="BA400" s="313" t="str">
        <f t="shared" si="44"/>
        <v/>
      </c>
      <c r="BB400" s="304" t="str">
        <f t="shared" si="45"/>
        <v/>
      </c>
      <c r="BC400" s="308" t="str">
        <f t="shared" si="46"/>
        <v/>
      </c>
      <c r="BD400" s="308" t="str">
        <f t="shared" si="47"/>
        <v/>
      </c>
    </row>
    <row r="401">
      <c r="A401" s="298"/>
      <c r="B401" s="299"/>
      <c r="C401" s="300"/>
      <c r="D401" s="301" t="str">
        <f>IFERROR(__xludf.DUMMYFUNCTION("if(ISBLANK(A401),"""",GOOGLEFINANCE(A401,""NAME""))"),"")</f>
        <v/>
      </c>
      <c r="E401" s="302">
        <v>5000.0</v>
      </c>
      <c r="F401" s="303" t="str">
        <f>IFERROR(__xludf.DUMMYFUNCTION("if(ISBLANK(A401),"""",GOOGLEFINANCE(A401,""HIGH52""))"),"")</f>
        <v/>
      </c>
      <c r="G401" s="303" t="str">
        <f>IFERROR(__xludf.DUMMYFUNCTION("if(ISBLANK(A401),"""",GOOGLEFINANCE(A401,""LOW52""))"),"")</f>
        <v/>
      </c>
      <c r="H401" s="304" t="str">
        <f>IFERROR(__xludf.DUMMYFUNCTION("if(ISBLANK(A401),"""",GOOGLEFINANCE(A401,""Price""))"),"")</f>
        <v/>
      </c>
      <c r="I401" s="305" t="str">
        <f t="shared" si="1"/>
        <v/>
      </c>
      <c r="J401" s="306" t="str">
        <f t="shared" si="2"/>
        <v/>
      </c>
      <c r="K401" s="307" t="str">
        <f>IFERROR(__xludf.DUMMYFUNCTION("if(ISBLANK(A401),"""",googlefinance(A401,""Marketcap"")/10000000)"),"")</f>
        <v/>
      </c>
      <c r="L401" s="309" t="str">
        <f t="shared" si="3"/>
        <v/>
      </c>
      <c r="M401" s="308" t="str">
        <f t="shared" si="4"/>
        <v/>
      </c>
      <c r="N401" s="309" t="str">
        <f t="shared" si="5"/>
        <v/>
      </c>
      <c r="O401" s="322" t="str">
        <f t="shared" si="6"/>
        <v/>
      </c>
      <c r="P401" s="308" t="str">
        <f t="shared" si="7"/>
        <v/>
      </c>
      <c r="Q401" s="311" t="str">
        <f t="shared" si="8"/>
        <v/>
      </c>
      <c r="R401" s="309" t="str">
        <f t="shared" si="9"/>
        <v/>
      </c>
      <c r="S401" s="308" t="str">
        <f t="shared" si="10"/>
        <v/>
      </c>
      <c r="T401" s="309" t="str">
        <f t="shared" si="11"/>
        <v/>
      </c>
      <c r="U401" s="309" t="str">
        <f t="shared" si="12"/>
        <v/>
      </c>
      <c r="V401" s="308" t="str">
        <f t="shared" si="13"/>
        <v/>
      </c>
      <c r="W401" s="309" t="str">
        <f t="shared" si="14"/>
        <v/>
      </c>
      <c r="X401" s="309" t="str">
        <f t="shared" si="15"/>
        <v/>
      </c>
      <c r="Y401" s="308" t="str">
        <f t="shared" si="16"/>
        <v/>
      </c>
      <c r="Z401" s="309" t="str">
        <f t="shared" si="17"/>
        <v/>
      </c>
      <c r="AA401" s="312" t="str">
        <f t="shared" si="18"/>
        <v/>
      </c>
      <c r="AB401" s="308" t="str">
        <f t="shared" si="19"/>
        <v/>
      </c>
      <c r="AC401" s="308" t="str">
        <f t="shared" si="20"/>
        <v/>
      </c>
      <c r="AD401" s="312" t="str">
        <f t="shared" si="21"/>
        <v/>
      </c>
      <c r="AE401" s="308" t="str">
        <f t="shared" si="22"/>
        <v/>
      </c>
      <c r="AF401" s="313" t="str">
        <f t="shared" si="23"/>
        <v/>
      </c>
      <c r="AG401" s="304" t="str">
        <f t="shared" si="24"/>
        <v/>
      </c>
      <c r="AH401" s="308" t="str">
        <f t="shared" si="25"/>
        <v/>
      </c>
      <c r="AI401" s="313" t="str">
        <f t="shared" si="26"/>
        <v/>
      </c>
      <c r="AJ401" s="304" t="str">
        <f t="shared" si="27"/>
        <v/>
      </c>
      <c r="AK401" s="308" t="str">
        <f t="shared" si="28"/>
        <v/>
      </c>
      <c r="AL401" s="308" t="str">
        <f t="shared" si="29"/>
        <v/>
      </c>
      <c r="AM401" s="304" t="str">
        <f t="shared" si="30"/>
        <v/>
      </c>
      <c r="AN401" s="308" t="str">
        <f t="shared" si="31"/>
        <v/>
      </c>
      <c r="AO401" s="313" t="str">
        <f t="shared" si="32"/>
        <v/>
      </c>
      <c r="AP401" s="304" t="str">
        <f t="shared" si="33"/>
        <v/>
      </c>
      <c r="AQ401" s="308" t="str">
        <f t="shared" si="34"/>
        <v/>
      </c>
      <c r="AR401" s="313" t="str">
        <f t="shared" si="35"/>
        <v/>
      </c>
      <c r="AS401" s="304" t="str">
        <f t="shared" si="36"/>
        <v/>
      </c>
      <c r="AT401" s="308" t="str">
        <f t="shared" si="37"/>
        <v/>
      </c>
      <c r="AU401" s="308" t="str">
        <f t="shared" si="38"/>
        <v/>
      </c>
      <c r="AV401" s="304" t="str">
        <f t="shared" si="39"/>
        <v/>
      </c>
      <c r="AW401" s="308" t="str">
        <f t="shared" si="40"/>
        <v/>
      </c>
      <c r="AX401" s="308" t="str">
        <f t="shared" si="41"/>
        <v/>
      </c>
      <c r="AY401" s="304" t="str">
        <f t="shared" si="42"/>
        <v/>
      </c>
      <c r="AZ401" s="308" t="str">
        <f t="shared" si="43"/>
        <v/>
      </c>
      <c r="BA401" s="313" t="str">
        <f t="shared" si="44"/>
        <v/>
      </c>
      <c r="BB401" s="304" t="str">
        <f t="shared" si="45"/>
        <v/>
      </c>
      <c r="BC401" s="308" t="str">
        <f t="shared" si="46"/>
        <v/>
      </c>
      <c r="BD401" s="308" t="str">
        <f t="shared" si="47"/>
        <v/>
      </c>
    </row>
    <row r="402">
      <c r="A402" s="298"/>
      <c r="B402" s="299"/>
      <c r="C402" s="300"/>
      <c r="D402" s="301" t="str">
        <f>IFERROR(__xludf.DUMMYFUNCTION("if(ISBLANK(A402),"""",GOOGLEFINANCE(A402,""NAME""))"),"")</f>
        <v/>
      </c>
      <c r="E402" s="302">
        <v>5000.0</v>
      </c>
      <c r="F402" s="303" t="str">
        <f>IFERROR(__xludf.DUMMYFUNCTION("if(ISBLANK(A402),"""",GOOGLEFINANCE(A402,""HIGH52""))"),"")</f>
        <v/>
      </c>
      <c r="G402" s="303" t="str">
        <f>IFERROR(__xludf.DUMMYFUNCTION("if(ISBLANK(A402),"""",GOOGLEFINANCE(A402,""LOW52""))"),"")</f>
        <v/>
      </c>
      <c r="H402" s="304" t="str">
        <f>IFERROR(__xludf.DUMMYFUNCTION("if(ISBLANK(A402),"""",GOOGLEFINANCE(A402,""Price""))"),"")</f>
        <v/>
      </c>
      <c r="I402" s="305" t="str">
        <f t="shared" si="1"/>
        <v/>
      </c>
      <c r="J402" s="306" t="str">
        <f t="shared" si="2"/>
        <v/>
      </c>
      <c r="K402" s="307" t="str">
        <f>IFERROR(__xludf.DUMMYFUNCTION("if(ISBLANK(A402),"""",googlefinance(A402,""Marketcap"")/10000000)"),"")</f>
        <v/>
      </c>
      <c r="L402" s="309" t="str">
        <f t="shared" si="3"/>
        <v/>
      </c>
      <c r="M402" s="308" t="str">
        <f t="shared" si="4"/>
        <v/>
      </c>
      <c r="N402" s="309" t="str">
        <f t="shared" si="5"/>
        <v/>
      </c>
      <c r="O402" s="322" t="str">
        <f t="shared" si="6"/>
        <v/>
      </c>
      <c r="P402" s="308" t="str">
        <f t="shared" si="7"/>
        <v/>
      </c>
      <c r="Q402" s="311" t="str">
        <f t="shared" si="8"/>
        <v/>
      </c>
      <c r="R402" s="309" t="str">
        <f t="shared" si="9"/>
        <v/>
      </c>
      <c r="S402" s="308" t="str">
        <f t="shared" si="10"/>
        <v/>
      </c>
      <c r="T402" s="309" t="str">
        <f t="shared" si="11"/>
        <v/>
      </c>
      <c r="U402" s="309" t="str">
        <f t="shared" si="12"/>
        <v/>
      </c>
      <c r="V402" s="308" t="str">
        <f t="shared" si="13"/>
        <v/>
      </c>
      <c r="W402" s="309" t="str">
        <f t="shared" si="14"/>
        <v/>
      </c>
      <c r="X402" s="309" t="str">
        <f t="shared" si="15"/>
        <v/>
      </c>
      <c r="Y402" s="308" t="str">
        <f t="shared" si="16"/>
        <v/>
      </c>
      <c r="Z402" s="309" t="str">
        <f t="shared" si="17"/>
        <v/>
      </c>
      <c r="AA402" s="312" t="str">
        <f t="shared" si="18"/>
        <v/>
      </c>
      <c r="AB402" s="308" t="str">
        <f t="shared" si="19"/>
        <v/>
      </c>
      <c r="AC402" s="308" t="str">
        <f t="shared" si="20"/>
        <v/>
      </c>
      <c r="AD402" s="312" t="str">
        <f t="shared" si="21"/>
        <v/>
      </c>
      <c r="AE402" s="308" t="str">
        <f t="shared" si="22"/>
        <v/>
      </c>
      <c r="AF402" s="313" t="str">
        <f t="shared" si="23"/>
        <v/>
      </c>
      <c r="AG402" s="304" t="str">
        <f t="shared" si="24"/>
        <v/>
      </c>
      <c r="AH402" s="308" t="str">
        <f t="shared" si="25"/>
        <v/>
      </c>
      <c r="AI402" s="313" t="str">
        <f t="shared" si="26"/>
        <v/>
      </c>
      <c r="AJ402" s="304" t="str">
        <f t="shared" si="27"/>
        <v/>
      </c>
      <c r="AK402" s="308" t="str">
        <f t="shared" si="28"/>
        <v/>
      </c>
      <c r="AL402" s="308" t="str">
        <f t="shared" si="29"/>
        <v/>
      </c>
      <c r="AM402" s="304" t="str">
        <f t="shared" si="30"/>
        <v/>
      </c>
      <c r="AN402" s="308" t="str">
        <f t="shared" si="31"/>
        <v/>
      </c>
      <c r="AO402" s="313" t="str">
        <f t="shared" si="32"/>
        <v/>
      </c>
      <c r="AP402" s="304" t="str">
        <f t="shared" si="33"/>
        <v/>
      </c>
      <c r="AQ402" s="308" t="str">
        <f t="shared" si="34"/>
        <v/>
      </c>
      <c r="AR402" s="313" t="str">
        <f t="shared" si="35"/>
        <v/>
      </c>
      <c r="AS402" s="304" t="str">
        <f t="shared" si="36"/>
        <v/>
      </c>
      <c r="AT402" s="308" t="str">
        <f t="shared" si="37"/>
        <v/>
      </c>
      <c r="AU402" s="308" t="str">
        <f t="shared" si="38"/>
        <v/>
      </c>
      <c r="AV402" s="304" t="str">
        <f t="shared" si="39"/>
        <v/>
      </c>
      <c r="AW402" s="308" t="str">
        <f t="shared" si="40"/>
        <v/>
      </c>
      <c r="AX402" s="308" t="str">
        <f t="shared" si="41"/>
        <v/>
      </c>
      <c r="AY402" s="304" t="str">
        <f t="shared" si="42"/>
        <v/>
      </c>
      <c r="AZ402" s="308" t="str">
        <f t="shared" si="43"/>
        <v/>
      </c>
      <c r="BA402" s="313" t="str">
        <f t="shared" si="44"/>
        <v/>
      </c>
      <c r="BB402" s="304" t="str">
        <f t="shared" si="45"/>
        <v/>
      </c>
      <c r="BC402" s="308" t="str">
        <f t="shared" si="46"/>
        <v/>
      </c>
      <c r="BD402" s="308" t="str">
        <f t="shared" si="47"/>
        <v/>
      </c>
    </row>
    <row r="403">
      <c r="A403" s="298"/>
      <c r="B403" s="299"/>
      <c r="C403" s="300"/>
      <c r="D403" s="301" t="str">
        <f>IFERROR(__xludf.DUMMYFUNCTION("if(ISBLANK(A403),"""",GOOGLEFINANCE(A403,""NAME""))"),"")</f>
        <v/>
      </c>
      <c r="E403" s="302">
        <v>5000.0</v>
      </c>
      <c r="F403" s="303" t="str">
        <f>IFERROR(__xludf.DUMMYFUNCTION("if(ISBLANK(A403),"""",GOOGLEFINANCE(A403,""HIGH52""))"),"")</f>
        <v/>
      </c>
      <c r="G403" s="303" t="str">
        <f>IFERROR(__xludf.DUMMYFUNCTION("if(ISBLANK(A403),"""",GOOGLEFINANCE(A403,""LOW52""))"),"")</f>
        <v/>
      </c>
      <c r="H403" s="304" t="str">
        <f>IFERROR(__xludf.DUMMYFUNCTION("if(ISBLANK(A403),"""",GOOGLEFINANCE(A403,""Price""))"),"")</f>
        <v/>
      </c>
      <c r="I403" s="305" t="str">
        <f t="shared" si="1"/>
        <v/>
      </c>
      <c r="J403" s="306" t="str">
        <f t="shared" si="2"/>
        <v/>
      </c>
      <c r="K403" s="307" t="str">
        <f>IFERROR(__xludf.DUMMYFUNCTION("if(ISBLANK(A403),"""",googlefinance(A403,""Marketcap"")/10000000)"),"")</f>
        <v/>
      </c>
      <c r="L403" s="309" t="str">
        <f t="shared" si="3"/>
        <v/>
      </c>
      <c r="M403" s="308" t="str">
        <f t="shared" si="4"/>
        <v/>
      </c>
      <c r="N403" s="309" t="str">
        <f t="shared" si="5"/>
        <v/>
      </c>
      <c r="O403" s="322" t="str">
        <f t="shared" si="6"/>
        <v/>
      </c>
      <c r="P403" s="308" t="str">
        <f t="shared" si="7"/>
        <v/>
      </c>
      <c r="Q403" s="311" t="str">
        <f t="shared" si="8"/>
        <v/>
      </c>
      <c r="R403" s="309" t="str">
        <f t="shared" si="9"/>
        <v/>
      </c>
      <c r="S403" s="308" t="str">
        <f t="shared" si="10"/>
        <v/>
      </c>
      <c r="T403" s="309" t="str">
        <f t="shared" si="11"/>
        <v/>
      </c>
      <c r="U403" s="309" t="str">
        <f t="shared" si="12"/>
        <v/>
      </c>
      <c r="V403" s="308" t="str">
        <f t="shared" si="13"/>
        <v/>
      </c>
      <c r="W403" s="309" t="str">
        <f t="shared" si="14"/>
        <v/>
      </c>
      <c r="X403" s="309" t="str">
        <f t="shared" si="15"/>
        <v/>
      </c>
      <c r="Y403" s="308" t="str">
        <f t="shared" si="16"/>
        <v/>
      </c>
      <c r="Z403" s="309" t="str">
        <f t="shared" si="17"/>
        <v/>
      </c>
      <c r="AA403" s="312" t="str">
        <f t="shared" si="18"/>
        <v/>
      </c>
      <c r="AB403" s="308" t="str">
        <f t="shared" si="19"/>
        <v/>
      </c>
      <c r="AC403" s="308" t="str">
        <f t="shared" si="20"/>
        <v/>
      </c>
      <c r="AD403" s="312" t="str">
        <f t="shared" si="21"/>
        <v/>
      </c>
      <c r="AE403" s="308" t="str">
        <f t="shared" si="22"/>
        <v/>
      </c>
      <c r="AF403" s="313" t="str">
        <f t="shared" si="23"/>
        <v/>
      </c>
      <c r="AG403" s="304" t="str">
        <f t="shared" si="24"/>
        <v/>
      </c>
      <c r="AH403" s="308" t="str">
        <f t="shared" si="25"/>
        <v/>
      </c>
      <c r="AI403" s="313" t="str">
        <f t="shared" si="26"/>
        <v/>
      </c>
      <c r="AJ403" s="304" t="str">
        <f t="shared" si="27"/>
        <v/>
      </c>
      <c r="AK403" s="308" t="str">
        <f t="shared" si="28"/>
        <v/>
      </c>
      <c r="AL403" s="308" t="str">
        <f t="shared" si="29"/>
        <v/>
      </c>
      <c r="AM403" s="304" t="str">
        <f t="shared" si="30"/>
        <v/>
      </c>
      <c r="AN403" s="308" t="str">
        <f t="shared" si="31"/>
        <v/>
      </c>
      <c r="AO403" s="313" t="str">
        <f t="shared" si="32"/>
        <v/>
      </c>
      <c r="AP403" s="304" t="str">
        <f t="shared" si="33"/>
        <v/>
      </c>
      <c r="AQ403" s="308" t="str">
        <f t="shared" si="34"/>
        <v/>
      </c>
      <c r="AR403" s="313" t="str">
        <f t="shared" si="35"/>
        <v/>
      </c>
      <c r="AS403" s="304" t="str">
        <f t="shared" si="36"/>
        <v/>
      </c>
      <c r="AT403" s="308" t="str">
        <f t="shared" si="37"/>
        <v/>
      </c>
      <c r="AU403" s="308" t="str">
        <f t="shared" si="38"/>
        <v/>
      </c>
      <c r="AV403" s="304" t="str">
        <f t="shared" si="39"/>
        <v/>
      </c>
      <c r="AW403" s="308" t="str">
        <f t="shared" si="40"/>
        <v/>
      </c>
      <c r="AX403" s="308" t="str">
        <f t="shared" si="41"/>
        <v/>
      </c>
      <c r="AY403" s="304" t="str">
        <f t="shared" si="42"/>
        <v/>
      </c>
      <c r="AZ403" s="308" t="str">
        <f t="shared" si="43"/>
        <v/>
      </c>
      <c r="BA403" s="313" t="str">
        <f t="shared" si="44"/>
        <v/>
      </c>
      <c r="BB403" s="304" t="str">
        <f t="shared" si="45"/>
        <v/>
      </c>
      <c r="BC403" s="308" t="str">
        <f t="shared" si="46"/>
        <v/>
      </c>
      <c r="BD403" s="308" t="str">
        <f t="shared" si="47"/>
        <v/>
      </c>
    </row>
    <row r="404">
      <c r="A404" s="298"/>
      <c r="B404" s="299"/>
      <c r="C404" s="300"/>
      <c r="D404" s="301" t="str">
        <f>IFERROR(__xludf.DUMMYFUNCTION("if(ISBLANK(A404),"""",GOOGLEFINANCE(A404,""NAME""))"),"")</f>
        <v/>
      </c>
      <c r="E404" s="302">
        <v>5000.0</v>
      </c>
      <c r="F404" s="303" t="str">
        <f>IFERROR(__xludf.DUMMYFUNCTION("if(ISBLANK(A404),"""",GOOGLEFINANCE(A404,""HIGH52""))"),"")</f>
        <v/>
      </c>
      <c r="G404" s="303" t="str">
        <f>IFERROR(__xludf.DUMMYFUNCTION("if(ISBLANK(A404),"""",GOOGLEFINANCE(A404,""LOW52""))"),"")</f>
        <v/>
      </c>
      <c r="H404" s="304" t="str">
        <f>IFERROR(__xludf.DUMMYFUNCTION("if(ISBLANK(A404),"""",GOOGLEFINANCE(A404,""Price""))"),"")</f>
        <v/>
      </c>
      <c r="I404" s="305" t="str">
        <f t="shared" si="1"/>
        <v/>
      </c>
      <c r="J404" s="306" t="str">
        <f t="shared" si="2"/>
        <v/>
      </c>
      <c r="K404" s="307" t="str">
        <f>IFERROR(__xludf.DUMMYFUNCTION("if(ISBLANK(A404),"""",googlefinance(A404,""Marketcap"")/10000000)"),"")</f>
        <v/>
      </c>
      <c r="L404" s="309" t="str">
        <f t="shared" si="3"/>
        <v/>
      </c>
      <c r="M404" s="308" t="str">
        <f t="shared" si="4"/>
        <v/>
      </c>
      <c r="N404" s="309" t="str">
        <f t="shared" si="5"/>
        <v/>
      </c>
      <c r="O404" s="322" t="str">
        <f t="shared" si="6"/>
        <v/>
      </c>
      <c r="P404" s="308" t="str">
        <f t="shared" si="7"/>
        <v/>
      </c>
      <c r="Q404" s="311" t="str">
        <f t="shared" si="8"/>
        <v/>
      </c>
      <c r="R404" s="309" t="str">
        <f t="shared" si="9"/>
        <v/>
      </c>
      <c r="S404" s="308" t="str">
        <f t="shared" si="10"/>
        <v/>
      </c>
      <c r="T404" s="309" t="str">
        <f t="shared" si="11"/>
        <v/>
      </c>
      <c r="U404" s="309" t="str">
        <f t="shared" si="12"/>
        <v/>
      </c>
      <c r="V404" s="308" t="str">
        <f t="shared" si="13"/>
        <v/>
      </c>
      <c r="W404" s="309" t="str">
        <f t="shared" si="14"/>
        <v/>
      </c>
      <c r="X404" s="309" t="str">
        <f t="shared" si="15"/>
        <v/>
      </c>
      <c r="Y404" s="308" t="str">
        <f t="shared" si="16"/>
        <v/>
      </c>
      <c r="Z404" s="309" t="str">
        <f t="shared" si="17"/>
        <v/>
      </c>
      <c r="AA404" s="312" t="str">
        <f t="shared" si="18"/>
        <v/>
      </c>
      <c r="AB404" s="308" t="str">
        <f t="shared" si="19"/>
        <v/>
      </c>
      <c r="AC404" s="308" t="str">
        <f t="shared" si="20"/>
        <v/>
      </c>
      <c r="AD404" s="312" t="str">
        <f t="shared" si="21"/>
        <v/>
      </c>
      <c r="AE404" s="308" t="str">
        <f t="shared" si="22"/>
        <v/>
      </c>
      <c r="AF404" s="313" t="str">
        <f t="shared" si="23"/>
        <v/>
      </c>
      <c r="AG404" s="304" t="str">
        <f t="shared" si="24"/>
        <v/>
      </c>
      <c r="AH404" s="308" t="str">
        <f t="shared" si="25"/>
        <v/>
      </c>
      <c r="AI404" s="313" t="str">
        <f t="shared" si="26"/>
        <v/>
      </c>
      <c r="AJ404" s="304" t="str">
        <f t="shared" si="27"/>
        <v/>
      </c>
      <c r="AK404" s="308" t="str">
        <f t="shared" si="28"/>
        <v/>
      </c>
      <c r="AL404" s="308" t="str">
        <f t="shared" si="29"/>
        <v/>
      </c>
      <c r="AM404" s="304" t="str">
        <f t="shared" si="30"/>
        <v/>
      </c>
      <c r="AN404" s="308" t="str">
        <f t="shared" si="31"/>
        <v/>
      </c>
      <c r="AO404" s="313" t="str">
        <f t="shared" si="32"/>
        <v/>
      </c>
      <c r="AP404" s="304" t="str">
        <f t="shared" si="33"/>
        <v/>
      </c>
      <c r="AQ404" s="308" t="str">
        <f t="shared" si="34"/>
        <v/>
      </c>
      <c r="AR404" s="313" t="str">
        <f t="shared" si="35"/>
        <v/>
      </c>
      <c r="AS404" s="304" t="str">
        <f t="shared" si="36"/>
        <v/>
      </c>
      <c r="AT404" s="308" t="str">
        <f t="shared" si="37"/>
        <v/>
      </c>
      <c r="AU404" s="308" t="str">
        <f t="shared" si="38"/>
        <v/>
      </c>
      <c r="AV404" s="304" t="str">
        <f t="shared" si="39"/>
        <v/>
      </c>
      <c r="AW404" s="308" t="str">
        <f t="shared" si="40"/>
        <v/>
      </c>
      <c r="AX404" s="308" t="str">
        <f t="shared" si="41"/>
        <v/>
      </c>
      <c r="AY404" s="304" t="str">
        <f t="shared" si="42"/>
        <v/>
      </c>
      <c r="AZ404" s="308" t="str">
        <f t="shared" si="43"/>
        <v/>
      </c>
      <c r="BA404" s="313" t="str">
        <f t="shared" si="44"/>
        <v/>
      </c>
      <c r="BB404" s="304" t="str">
        <f t="shared" si="45"/>
        <v/>
      </c>
      <c r="BC404" s="308" t="str">
        <f t="shared" si="46"/>
        <v/>
      </c>
      <c r="BD404" s="308" t="str">
        <f t="shared" si="47"/>
        <v/>
      </c>
    </row>
    <row r="405">
      <c r="A405" s="298"/>
      <c r="B405" s="299"/>
      <c r="C405" s="300"/>
      <c r="D405" s="301" t="str">
        <f>IFERROR(__xludf.DUMMYFUNCTION("if(ISBLANK(A405),"""",GOOGLEFINANCE(A405,""NAME""))"),"")</f>
        <v/>
      </c>
      <c r="E405" s="302">
        <v>5000.0</v>
      </c>
      <c r="F405" s="303" t="str">
        <f>IFERROR(__xludf.DUMMYFUNCTION("if(ISBLANK(A405),"""",GOOGLEFINANCE(A405,""HIGH52""))"),"")</f>
        <v/>
      </c>
      <c r="G405" s="303" t="str">
        <f>IFERROR(__xludf.DUMMYFUNCTION("if(ISBLANK(A405),"""",GOOGLEFINANCE(A405,""LOW52""))"),"")</f>
        <v/>
      </c>
      <c r="H405" s="304" t="str">
        <f>IFERROR(__xludf.DUMMYFUNCTION("if(ISBLANK(A405),"""",GOOGLEFINANCE(A405,""Price""))"),"")</f>
        <v/>
      </c>
      <c r="I405" s="305" t="str">
        <f t="shared" si="1"/>
        <v/>
      </c>
      <c r="J405" s="306" t="str">
        <f t="shared" si="2"/>
        <v/>
      </c>
      <c r="K405" s="307" t="str">
        <f>IFERROR(__xludf.DUMMYFUNCTION("if(ISBLANK(A405),"""",googlefinance(A405,""Marketcap"")/10000000)"),"")</f>
        <v/>
      </c>
      <c r="L405" s="309" t="str">
        <f t="shared" si="3"/>
        <v/>
      </c>
      <c r="M405" s="308" t="str">
        <f t="shared" si="4"/>
        <v/>
      </c>
      <c r="N405" s="309" t="str">
        <f t="shared" si="5"/>
        <v/>
      </c>
      <c r="O405" s="322" t="str">
        <f t="shared" si="6"/>
        <v/>
      </c>
      <c r="P405" s="308" t="str">
        <f t="shared" si="7"/>
        <v/>
      </c>
      <c r="Q405" s="311" t="str">
        <f t="shared" si="8"/>
        <v/>
      </c>
      <c r="R405" s="309" t="str">
        <f t="shared" si="9"/>
        <v/>
      </c>
      <c r="S405" s="308" t="str">
        <f t="shared" si="10"/>
        <v/>
      </c>
      <c r="T405" s="309" t="str">
        <f t="shared" si="11"/>
        <v/>
      </c>
      <c r="U405" s="309" t="str">
        <f t="shared" si="12"/>
        <v/>
      </c>
      <c r="V405" s="308" t="str">
        <f t="shared" si="13"/>
        <v/>
      </c>
      <c r="W405" s="309" t="str">
        <f t="shared" si="14"/>
        <v/>
      </c>
      <c r="X405" s="309" t="str">
        <f t="shared" si="15"/>
        <v/>
      </c>
      <c r="Y405" s="308" t="str">
        <f t="shared" si="16"/>
        <v/>
      </c>
      <c r="Z405" s="309" t="str">
        <f t="shared" si="17"/>
        <v/>
      </c>
      <c r="AA405" s="312" t="str">
        <f t="shared" si="18"/>
        <v/>
      </c>
      <c r="AB405" s="308" t="str">
        <f t="shared" si="19"/>
        <v/>
      </c>
      <c r="AC405" s="308" t="str">
        <f t="shared" si="20"/>
        <v/>
      </c>
      <c r="AD405" s="312" t="str">
        <f t="shared" si="21"/>
        <v/>
      </c>
      <c r="AE405" s="308" t="str">
        <f t="shared" si="22"/>
        <v/>
      </c>
      <c r="AF405" s="313" t="str">
        <f t="shared" si="23"/>
        <v/>
      </c>
      <c r="AG405" s="304" t="str">
        <f t="shared" si="24"/>
        <v/>
      </c>
      <c r="AH405" s="308" t="str">
        <f t="shared" si="25"/>
        <v/>
      </c>
      <c r="AI405" s="313" t="str">
        <f t="shared" si="26"/>
        <v/>
      </c>
      <c r="AJ405" s="304" t="str">
        <f t="shared" si="27"/>
        <v/>
      </c>
      <c r="AK405" s="308" t="str">
        <f t="shared" si="28"/>
        <v/>
      </c>
      <c r="AL405" s="308" t="str">
        <f t="shared" si="29"/>
        <v/>
      </c>
      <c r="AM405" s="304" t="str">
        <f t="shared" si="30"/>
        <v/>
      </c>
      <c r="AN405" s="308" t="str">
        <f t="shared" si="31"/>
        <v/>
      </c>
      <c r="AO405" s="313" t="str">
        <f t="shared" si="32"/>
        <v/>
      </c>
      <c r="AP405" s="304" t="str">
        <f t="shared" si="33"/>
        <v/>
      </c>
      <c r="AQ405" s="308" t="str">
        <f t="shared" si="34"/>
        <v/>
      </c>
      <c r="AR405" s="313" t="str">
        <f t="shared" si="35"/>
        <v/>
      </c>
      <c r="AS405" s="304" t="str">
        <f t="shared" si="36"/>
        <v/>
      </c>
      <c r="AT405" s="308" t="str">
        <f t="shared" si="37"/>
        <v/>
      </c>
      <c r="AU405" s="308" t="str">
        <f t="shared" si="38"/>
        <v/>
      </c>
      <c r="AV405" s="304" t="str">
        <f t="shared" si="39"/>
        <v/>
      </c>
      <c r="AW405" s="308" t="str">
        <f t="shared" si="40"/>
        <v/>
      </c>
      <c r="AX405" s="308" t="str">
        <f t="shared" si="41"/>
        <v/>
      </c>
      <c r="AY405" s="304" t="str">
        <f t="shared" si="42"/>
        <v/>
      </c>
      <c r="AZ405" s="308" t="str">
        <f t="shared" si="43"/>
        <v/>
      </c>
      <c r="BA405" s="313" t="str">
        <f t="shared" si="44"/>
        <v/>
      </c>
      <c r="BB405" s="304" t="str">
        <f t="shared" si="45"/>
        <v/>
      </c>
      <c r="BC405" s="308" t="str">
        <f t="shared" si="46"/>
        <v/>
      </c>
      <c r="BD405" s="308" t="str">
        <f t="shared" si="47"/>
        <v/>
      </c>
    </row>
    <row r="406">
      <c r="A406" s="298"/>
      <c r="B406" s="299"/>
      <c r="C406" s="300"/>
      <c r="D406" s="301" t="str">
        <f>IFERROR(__xludf.DUMMYFUNCTION("if(ISBLANK(A406),"""",GOOGLEFINANCE(A406,""NAME""))"),"")</f>
        <v/>
      </c>
      <c r="E406" s="302">
        <v>5000.0</v>
      </c>
      <c r="F406" s="303" t="str">
        <f>IFERROR(__xludf.DUMMYFUNCTION("if(ISBLANK(A406),"""",GOOGLEFINANCE(A406,""HIGH52""))"),"")</f>
        <v/>
      </c>
      <c r="G406" s="303" t="str">
        <f>IFERROR(__xludf.DUMMYFUNCTION("if(ISBLANK(A406),"""",GOOGLEFINANCE(A406,""LOW52""))"),"")</f>
        <v/>
      </c>
      <c r="H406" s="304" t="str">
        <f>IFERROR(__xludf.DUMMYFUNCTION("if(ISBLANK(A406),"""",GOOGLEFINANCE(A406,""Price""))"),"")</f>
        <v/>
      </c>
      <c r="I406" s="305" t="str">
        <f t="shared" si="1"/>
        <v/>
      </c>
      <c r="J406" s="306" t="str">
        <f t="shared" si="2"/>
        <v/>
      </c>
      <c r="K406" s="307" t="str">
        <f>IFERROR(__xludf.DUMMYFUNCTION("if(ISBLANK(A406),"""",googlefinance(A406,""Marketcap"")/10000000)"),"")</f>
        <v/>
      </c>
      <c r="L406" s="309" t="str">
        <f t="shared" si="3"/>
        <v/>
      </c>
      <c r="M406" s="308" t="str">
        <f t="shared" si="4"/>
        <v/>
      </c>
      <c r="N406" s="309" t="str">
        <f t="shared" si="5"/>
        <v/>
      </c>
      <c r="O406" s="322" t="str">
        <f t="shared" si="6"/>
        <v/>
      </c>
      <c r="P406" s="308" t="str">
        <f t="shared" si="7"/>
        <v/>
      </c>
      <c r="Q406" s="311" t="str">
        <f t="shared" si="8"/>
        <v/>
      </c>
      <c r="R406" s="309" t="str">
        <f t="shared" si="9"/>
        <v/>
      </c>
      <c r="S406" s="308" t="str">
        <f t="shared" si="10"/>
        <v/>
      </c>
      <c r="T406" s="309" t="str">
        <f t="shared" si="11"/>
        <v/>
      </c>
      <c r="U406" s="309" t="str">
        <f t="shared" si="12"/>
        <v/>
      </c>
      <c r="V406" s="308" t="str">
        <f t="shared" si="13"/>
        <v/>
      </c>
      <c r="W406" s="309" t="str">
        <f t="shared" si="14"/>
        <v/>
      </c>
      <c r="X406" s="309" t="str">
        <f t="shared" si="15"/>
        <v/>
      </c>
      <c r="Y406" s="308" t="str">
        <f t="shared" si="16"/>
        <v/>
      </c>
      <c r="Z406" s="309" t="str">
        <f t="shared" si="17"/>
        <v/>
      </c>
      <c r="AA406" s="312" t="str">
        <f t="shared" si="18"/>
        <v/>
      </c>
      <c r="AB406" s="308" t="str">
        <f t="shared" si="19"/>
        <v/>
      </c>
      <c r="AC406" s="308" t="str">
        <f t="shared" si="20"/>
        <v/>
      </c>
      <c r="AD406" s="312" t="str">
        <f t="shared" si="21"/>
        <v/>
      </c>
      <c r="AE406" s="308" t="str">
        <f t="shared" si="22"/>
        <v/>
      </c>
      <c r="AF406" s="313" t="str">
        <f t="shared" si="23"/>
        <v/>
      </c>
      <c r="AG406" s="304" t="str">
        <f t="shared" si="24"/>
        <v/>
      </c>
      <c r="AH406" s="308" t="str">
        <f t="shared" si="25"/>
        <v/>
      </c>
      <c r="AI406" s="313" t="str">
        <f t="shared" si="26"/>
        <v/>
      </c>
      <c r="AJ406" s="304" t="str">
        <f t="shared" si="27"/>
        <v/>
      </c>
      <c r="AK406" s="308" t="str">
        <f t="shared" si="28"/>
        <v/>
      </c>
      <c r="AL406" s="308" t="str">
        <f t="shared" si="29"/>
        <v/>
      </c>
      <c r="AM406" s="304" t="str">
        <f t="shared" si="30"/>
        <v/>
      </c>
      <c r="AN406" s="308" t="str">
        <f t="shared" si="31"/>
        <v/>
      </c>
      <c r="AO406" s="313" t="str">
        <f t="shared" si="32"/>
        <v/>
      </c>
      <c r="AP406" s="304" t="str">
        <f t="shared" si="33"/>
        <v/>
      </c>
      <c r="AQ406" s="308" t="str">
        <f t="shared" si="34"/>
        <v/>
      </c>
      <c r="AR406" s="313" t="str">
        <f t="shared" si="35"/>
        <v/>
      </c>
      <c r="AS406" s="304" t="str">
        <f t="shared" si="36"/>
        <v/>
      </c>
      <c r="AT406" s="308" t="str">
        <f t="shared" si="37"/>
        <v/>
      </c>
      <c r="AU406" s="308" t="str">
        <f t="shared" si="38"/>
        <v/>
      </c>
      <c r="AV406" s="304" t="str">
        <f t="shared" si="39"/>
        <v/>
      </c>
      <c r="AW406" s="308" t="str">
        <f t="shared" si="40"/>
        <v/>
      </c>
      <c r="AX406" s="308" t="str">
        <f t="shared" si="41"/>
        <v/>
      </c>
      <c r="AY406" s="304" t="str">
        <f t="shared" si="42"/>
        <v/>
      </c>
      <c r="AZ406" s="308" t="str">
        <f t="shared" si="43"/>
        <v/>
      </c>
      <c r="BA406" s="313" t="str">
        <f t="shared" si="44"/>
        <v/>
      </c>
      <c r="BB406" s="304" t="str">
        <f t="shared" si="45"/>
        <v/>
      </c>
      <c r="BC406" s="308" t="str">
        <f t="shared" si="46"/>
        <v/>
      </c>
      <c r="BD406" s="308" t="str">
        <f t="shared" si="47"/>
        <v/>
      </c>
    </row>
    <row r="407">
      <c r="A407" s="298"/>
      <c r="B407" s="299"/>
      <c r="C407" s="300"/>
      <c r="D407" s="301" t="str">
        <f>IFERROR(__xludf.DUMMYFUNCTION("if(ISBLANK(A407),"""",GOOGLEFINANCE(A407,""NAME""))"),"")</f>
        <v/>
      </c>
      <c r="E407" s="302">
        <v>5000.0</v>
      </c>
      <c r="F407" s="303" t="str">
        <f>IFERROR(__xludf.DUMMYFUNCTION("if(ISBLANK(A407),"""",GOOGLEFINANCE(A407,""HIGH52""))"),"")</f>
        <v/>
      </c>
      <c r="G407" s="303" t="str">
        <f>IFERROR(__xludf.DUMMYFUNCTION("if(ISBLANK(A407),"""",GOOGLEFINANCE(A407,""LOW52""))"),"")</f>
        <v/>
      </c>
      <c r="H407" s="304" t="str">
        <f>IFERROR(__xludf.DUMMYFUNCTION("if(ISBLANK(A407),"""",GOOGLEFINANCE(A407,""Price""))"),"")</f>
        <v/>
      </c>
      <c r="I407" s="305" t="str">
        <f t="shared" si="1"/>
        <v/>
      </c>
      <c r="J407" s="306" t="str">
        <f t="shared" si="2"/>
        <v/>
      </c>
      <c r="K407" s="307" t="str">
        <f>IFERROR(__xludf.DUMMYFUNCTION("if(ISBLANK(A407),"""",googlefinance(A407,""Marketcap"")/10000000)"),"")</f>
        <v/>
      </c>
      <c r="L407" s="309" t="str">
        <f t="shared" si="3"/>
        <v/>
      </c>
      <c r="M407" s="308" t="str">
        <f t="shared" si="4"/>
        <v/>
      </c>
      <c r="N407" s="309" t="str">
        <f t="shared" si="5"/>
        <v/>
      </c>
      <c r="O407" s="322" t="str">
        <f t="shared" si="6"/>
        <v/>
      </c>
      <c r="P407" s="308" t="str">
        <f t="shared" si="7"/>
        <v/>
      </c>
      <c r="Q407" s="311" t="str">
        <f t="shared" si="8"/>
        <v/>
      </c>
      <c r="R407" s="309" t="str">
        <f t="shared" si="9"/>
        <v/>
      </c>
      <c r="S407" s="308" t="str">
        <f t="shared" si="10"/>
        <v/>
      </c>
      <c r="T407" s="309" t="str">
        <f t="shared" si="11"/>
        <v/>
      </c>
      <c r="U407" s="309" t="str">
        <f t="shared" si="12"/>
        <v/>
      </c>
      <c r="V407" s="308" t="str">
        <f t="shared" si="13"/>
        <v/>
      </c>
      <c r="W407" s="309" t="str">
        <f t="shared" si="14"/>
        <v/>
      </c>
      <c r="X407" s="309" t="str">
        <f t="shared" si="15"/>
        <v/>
      </c>
      <c r="Y407" s="308" t="str">
        <f t="shared" si="16"/>
        <v/>
      </c>
      <c r="Z407" s="309" t="str">
        <f t="shared" si="17"/>
        <v/>
      </c>
      <c r="AA407" s="312" t="str">
        <f t="shared" si="18"/>
        <v/>
      </c>
      <c r="AB407" s="308" t="str">
        <f t="shared" si="19"/>
        <v/>
      </c>
      <c r="AC407" s="308" t="str">
        <f t="shared" si="20"/>
        <v/>
      </c>
      <c r="AD407" s="312" t="str">
        <f t="shared" si="21"/>
        <v/>
      </c>
      <c r="AE407" s="308" t="str">
        <f t="shared" si="22"/>
        <v/>
      </c>
      <c r="AF407" s="313" t="str">
        <f t="shared" si="23"/>
        <v/>
      </c>
      <c r="AG407" s="304" t="str">
        <f t="shared" si="24"/>
        <v/>
      </c>
      <c r="AH407" s="308" t="str">
        <f t="shared" si="25"/>
        <v/>
      </c>
      <c r="AI407" s="313" t="str">
        <f t="shared" si="26"/>
        <v/>
      </c>
      <c r="AJ407" s="304" t="str">
        <f t="shared" si="27"/>
        <v/>
      </c>
      <c r="AK407" s="308" t="str">
        <f t="shared" si="28"/>
        <v/>
      </c>
      <c r="AL407" s="308" t="str">
        <f t="shared" si="29"/>
        <v/>
      </c>
      <c r="AM407" s="304" t="str">
        <f t="shared" si="30"/>
        <v/>
      </c>
      <c r="AN407" s="308" t="str">
        <f t="shared" si="31"/>
        <v/>
      </c>
      <c r="AO407" s="313" t="str">
        <f t="shared" si="32"/>
        <v/>
      </c>
      <c r="AP407" s="304" t="str">
        <f t="shared" si="33"/>
        <v/>
      </c>
      <c r="AQ407" s="308" t="str">
        <f t="shared" si="34"/>
        <v/>
      </c>
      <c r="AR407" s="313" t="str">
        <f t="shared" si="35"/>
        <v/>
      </c>
      <c r="AS407" s="304" t="str">
        <f t="shared" si="36"/>
        <v/>
      </c>
      <c r="AT407" s="308" t="str">
        <f t="shared" si="37"/>
        <v/>
      </c>
      <c r="AU407" s="308" t="str">
        <f t="shared" si="38"/>
        <v/>
      </c>
      <c r="AV407" s="304" t="str">
        <f t="shared" si="39"/>
        <v/>
      </c>
      <c r="AW407" s="308" t="str">
        <f t="shared" si="40"/>
        <v/>
      </c>
      <c r="AX407" s="308" t="str">
        <f t="shared" si="41"/>
        <v/>
      </c>
      <c r="AY407" s="304" t="str">
        <f t="shared" si="42"/>
        <v/>
      </c>
      <c r="AZ407" s="308" t="str">
        <f t="shared" si="43"/>
        <v/>
      </c>
      <c r="BA407" s="313" t="str">
        <f t="shared" si="44"/>
        <v/>
      </c>
      <c r="BB407" s="304" t="str">
        <f t="shared" si="45"/>
        <v/>
      </c>
      <c r="BC407" s="308" t="str">
        <f t="shared" si="46"/>
        <v/>
      </c>
      <c r="BD407" s="308" t="str">
        <f t="shared" si="47"/>
        <v/>
      </c>
    </row>
    <row r="408">
      <c r="A408" s="298"/>
      <c r="B408" s="299"/>
      <c r="C408" s="300"/>
      <c r="D408" s="301" t="str">
        <f>IFERROR(__xludf.DUMMYFUNCTION("if(ISBLANK(A408),"""",GOOGLEFINANCE(A408,""NAME""))"),"")</f>
        <v/>
      </c>
      <c r="E408" s="302">
        <v>5000.0</v>
      </c>
      <c r="F408" s="303" t="str">
        <f>IFERROR(__xludf.DUMMYFUNCTION("if(ISBLANK(A408),"""",GOOGLEFINANCE(A408,""HIGH52""))"),"")</f>
        <v/>
      </c>
      <c r="G408" s="303" t="str">
        <f>IFERROR(__xludf.DUMMYFUNCTION("if(ISBLANK(A408),"""",GOOGLEFINANCE(A408,""LOW52""))"),"")</f>
        <v/>
      </c>
      <c r="H408" s="304" t="str">
        <f>IFERROR(__xludf.DUMMYFUNCTION("if(ISBLANK(A408),"""",GOOGLEFINANCE(A408,""Price""))"),"")</f>
        <v/>
      </c>
      <c r="I408" s="305" t="str">
        <f t="shared" si="1"/>
        <v/>
      </c>
      <c r="J408" s="306" t="str">
        <f t="shared" si="2"/>
        <v/>
      </c>
      <c r="K408" s="307" t="str">
        <f>IFERROR(__xludf.DUMMYFUNCTION("if(ISBLANK(A408),"""",googlefinance(A408,""Marketcap"")/10000000)"),"")</f>
        <v/>
      </c>
      <c r="L408" s="309" t="str">
        <f t="shared" si="3"/>
        <v/>
      </c>
      <c r="M408" s="308" t="str">
        <f t="shared" si="4"/>
        <v/>
      </c>
      <c r="N408" s="309" t="str">
        <f t="shared" si="5"/>
        <v/>
      </c>
      <c r="O408" s="322" t="str">
        <f t="shared" si="6"/>
        <v/>
      </c>
      <c r="P408" s="308" t="str">
        <f t="shared" si="7"/>
        <v/>
      </c>
      <c r="Q408" s="311" t="str">
        <f t="shared" si="8"/>
        <v/>
      </c>
      <c r="R408" s="309" t="str">
        <f t="shared" si="9"/>
        <v/>
      </c>
      <c r="S408" s="308" t="str">
        <f t="shared" si="10"/>
        <v/>
      </c>
      <c r="T408" s="309" t="str">
        <f t="shared" si="11"/>
        <v/>
      </c>
      <c r="U408" s="309" t="str">
        <f t="shared" si="12"/>
        <v/>
      </c>
      <c r="V408" s="308" t="str">
        <f t="shared" si="13"/>
        <v/>
      </c>
      <c r="W408" s="309" t="str">
        <f t="shared" si="14"/>
        <v/>
      </c>
      <c r="X408" s="309" t="str">
        <f t="shared" si="15"/>
        <v/>
      </c>
      <c r="Y408" s="308" t="str">
        <f t="shared" si="16"/>
        <v/>
      </c>
      <c r="Z408" s="309" t="str">
        <f t="shared" si="17"/>
        <v/>
      </c>
      <c r="AA408" s="312" t="str">
        <f t="shared" si="18"/>
        <v/>
      </c>
      <c r="AB408" s="308" t="str">
        <f t="shared" si="19"/>
        <v/>
      </c>
      <c r="AC408" s="308" t="str">
        <f t="shared" si="20"/>
        <v/>
      </c>
      <c r="AD408" s="312" t="str">
        <f t="shared" si="21"/>
        <v/>
      </c>
      <c r="AE408" s="308" t="str">
        <f t="shared" si="22"/>
        <v/>
      </c>
      <c r="AF408" s="313" t="str">
        <f t="shared" si="23"/>
        <v/>
      </c>
      <c r="AG408" s="304" t="str">
        <f t="shared" si="24"/>
        <v/>
      </c>
      <c r="AH408" s="308" t="str">
        <f t="shared" si="25"/>
        <v/>
      </c>
      <c r="AI408" s="313" t="str">
        <f t="shared" si="26"/>
        <v/>
      </c>
      <c r="AJ408" s="304" t="str">
        <f t="shared" si="27"/>
        <v/>
      </c>
      <c r="AK408" s="308" t="str">
        <f t="shared" si="28"/>
        <v/>
      </c>
      <c r="AL408" s="308" t="str">
        <f t="shared" si="29"/>
        <v/>
      </c>
      <c r="AM408" s="304" t="str">
        <f t="shared" si="30"/>
        <v/>
      </c>
      <c r="AN408" s="308" t="str">
        <f t="shared" si="31"/>
        <v/>
      </c>
      <c r="AO408" s="313" t="str">
        <f t="shared" si="32"/>
        <v/>
      </c>
      <c r="AP408" s="304" t="str">
        <f t="shared" si="33"/>
        <v/>
      </c>
      <c r="AQ408" s="308" t="str">
        <f t="shared" si="34"/>
        <v/>
      </c>
      <c r="AR408" s="313" t="str">
        <f t="shared" si="35"/>
        <v/>
      </c>
      <c r="AS408" s="304" t="str">
        <f t="shared" si="36"/>
        <v/>
      </c>
      <c r="AT408" s="308" t="str">
        <f t="shared" si="37"/>
        <v/>
      </c>
      <c r="AU408" s="308" t="str">
        <f t="shared" si="38"/>
        <v/>
      </c>
      <c r="AV408" s="304" t="str">
        <f t="shared" si="39"/>
        <v/>
      </c>
      <c r="AW408" s="308" t="str">
        <f t="shared" si="40"/>
        <v/>
      </c>
      <c r="AX408" s="308" t="str">
        <f t="shared" si="41"/>
        <v/>
      </c>
      <c r="AY408" s="304" t="str">
        <f t="shared" si="42"/>
        <v/>
      </c>
      <c r="AZ408" s="308" t="str">
        <f t="shared" si="43"/>
        <v/>
      </c>
      <c r="BA408" s="313" t="str">
        <f t="shared" si="44"/>
        <v/>
      </c>
      <c r="BB408" s="304" t="str">
        <f t="shared" si="45"/>
        <v/>
      </c>
      <c r="BC408" s="308" t="str">
        <f t="shared" si="46"/>
        <v/>
      </c>
      <c r="BD408" s="308" t="str">
        <f t="shared" si="47"/>
        <v/>
      </c>
    </row>
    <row r="409">
      <c r="A409" s="298"/>
      <c r="B409" s="299"/>
      <c r="C409" s="300"/>
      <c r="D409" s="301" t="str">
        <f>IFERROR(__xludf.DUMMYFUNCTION("if(ISBLANK(A409),"""",GOOGLEFINANCE(A409,""NAME""))"),"")</f>
        <v/>
      </c>
      <c r="E409" s="302">
        <v>5000.0</v>
      </c>
      <c r="F409" s="303" t="str">
        <f>IFERROR(__xludf.DUMMYFUNCTION("if(ISBLANK(A409),"""",GOOGLEFINANCE(A409,""HIGH52""))"),"")</f>
        <v/>
      </c>
      <c r="G409" s="303" t="str">
        <f>IFERROR(__xludf.DUMMYFUNCTION("if(ISBLANK(A409),"""",GOOGLEFINANCE(A409,""LOW52""))"),"")</f>
        <v/>
      </c>
      <c r="H409" s="304" t="str">
        <f>IFERROR(__xludf.DUMMYFUNCTION("if(ISBLANK(A409),"""",GOOGLEFINANCE(A409,""Price""))"),"")</f>
        <v/>
      </c>
      <c r="I409" s="305" t="str">
        <f t="shared" si="1"/>
        <v/>
      </c>
      <c r="J409" s="306" t="str">
        <f t="shared" si="2"/>
        <v/>
      </c>
      <c r="K409" s="307" t="str">
        <f>IFERROR(__xludf.DUMMYFUNCTION("if(ISBLANK(A409),"""",googlefinance(A409,""Marketcap"")/10000000)"),"")</f>
        <v/>
      </c>
      <c r="L409" s="309" t="str">
        <f t="shared" si="3"/>
        <v/>
      </c>
      <c r="M409" s="308" t="str">
        <f t="shared" si="4"/>
        <v/>
      </c>
      <c r="N409" s="309" t="str">
        <f t="shared" si="5"/>
        <v/>
      </c>
      <c r="O409" s="322" t="str">
        <f t="shared" si="6"/>
        <v/>
      </c>
      <c r="P409" s="308" t="str">
        <f t="shared" si="7"/>
        <v/>
      </c>
      <c r="Q409" s="311" t="str">
        <f t="shared" si="8"/>
        <v/>
      </c>
      <c r="R409" s="309" t="str">
        <f t="shared" si="9"/>
        <v/>
      </c>
      <c r="S409" s="308" t="str">
        <f t="shared" si="10"/>
        <v/>
      </c>
      <c r="T409" s="309" t="str">
        <f t="shared" si="11"/>
        <v/>
      </c>
      <c r="U409" s="309" t="str">
        <f t="shared" si="12"/>
        <v/>
      </c>
      <c r="V409" s="308" t="str">
        <f t="shared" si="13"/>
        <v/>
      </c>
      <c r="W409" s="309" t="str">
        <f t="shared" si="14"/>
        <v/>
      </c>
      <c r="X409" s="309" t="str">
        <f t="shared" si="15"/>
        <v/>
      </c>
      <c r="Y409" s="308" t="str">
        <f t="shared" si="16"/>
        <v/>
      </c>
      <c r="Z409" s="309" t="str">
        <f t="shared" si="17"/>
        <v/>
      </c>
      <c r="AA409" s="312" t="str">
        <f t="shared" si="18"/>
        <v/>
      </c>
      <c r="AB409" s="308" t="str">
        <f t="shared" si="19"/>
        <v/>
      </c>
      <c r="AC409" s="308" t="str">
        <f t="shared" si="20"/>
        <v/>
      </c>
      <c r="AD409" s="312" t="str">
        <f t="shared" si="21"/>
        <v/>
      </c>
      <c r="AE409" s="308" t="str">
        <f t="shared" si="22"/>
        <v/>
      </c>
      <c r="AF409" s="313" t="str">
        <f t="shared" si="23"/>
        <v/>
      </c>
      <c r="AG409" s="304" t="str">
        <f t="shared" si="24"/>
        <v/>
      </c>
      <c r="AH409" s="308" t="str">
        <f t="shared" si="25"/>
        <v/>
      </c>
      <c r="AI409" s="313" t="str">
        <f t="shared" si="26"/>
        <v/>
      </c>
      <c r="AJ409" s="304" t="str">
        <f t="shared" si="27"/>
        <v/>
      </c>
      <c r="AK409" s="308" t="str">
        <f t="shared" si="28"/>
        <v/>
      </c>
      <c r="AL409" s="308" t="str">
        <f t="shared" si="29"/>
        <v/>
      </c>
      <c r="AM409" s="304" t="str">
        <f t="shared" si="30"/>
        <v/>
      </c>
      <c r="AN409" s="308" t="str">
        <f t="shared" si="31"/>
        <v/>
      </c>
      <c r="AO409" s="313" t="str">
        <f t="shared" si="32"/>
        <v/>
      </c>
      <c r="AP409" s="304" t="str">
        <f t="shared" si="33"/>
        <v/>
      </c>
      <c r="AQ409" s="308" t="str">
        <f t="shared" si="34"/>
        <v/>
      </c>
      <c r="AR409" s="313" t="str">
        <f t="shared" si="35"/>
        <v/>
      </c>
      <c r="AS409" s="304" t="str">
        <f t="shared" si="36"/>
        <v/>
      </c>
      <c r="AT409" s="308" t="str">
        <f t="shared" si="37"/>
        <v/>
      </c>
      <c r="AU409" s="308" t="str">
        <f t="shared" si="38"/>
        <v/>
      </c>
      <c r="AV409" s="304" t="str">
        <f t="shared" si="39"/>
        <v/>
      </c>
      <c r="AW409" s="308" t="str">
        <f t="shared" si="40"/>
        <v/>
      </c>
      <c r="AX409" s="308" t="str">
        <f t="shared" si="41"/>
        <v/>
      </c>
      <c r="AY409" s="304" t="str">
        <f t="shared" si="42"/>
        <v/>
      </c>
      <c r="AZ409" s="308" t="str">
        <f t="shared" si="43"/>
        <v/>
      </c>
      <c r="BA409" s="313" t="str">
        <f t="shared" si="44"/>
        <v/>
      </c>
      <c r="BB409" s="304" t="str">
        <f t="shared" si="45"/>
        <v/>
      </c>
      <c r="BC409" s="308" t="str">
        <f t="shared" si="46"/>
        <v/>
      </c>
      <c r="BD409" s="308" t="str">
        <f t="shared" si="47"/>
        <v/>
      </c>
    </row>
    <row r="410">
      <c r="A410" s="298"/>
      <c r="B410" s="299"/>
      <c r="C410" s="300"/>
      <c r="D410" s="301" t="str">
        <f>IFERROR(__xludf.DUMMYFUNCTION("if(ISBLANK(A410),"""",GOOGLEFINANCE(A410,""NAME""))"),"")</f>
        <v/>
      </c>
      <c r="E410" s="302">
        <v>5000.0</v>
      </c>
      <c r="F410" s="303" t="str">
        <f>IFERROR(__xludf.DUMMYFUNCTION("if(ISBLANK(A410),"""",GOOGLEFINANCE(A410,""HIGH52""))"),"")</f>
        <v/>
      </c>
      <c r="G410" s="303" t="str">
        <f>IFERROR(__xludf.DUMMYFUNCTION("if(ISBLANK(A410),"""",GOOGLEFINANCE(A410,""LOW52""))"),"")</f>
        <v/>
      </c>
      <c r="H410" s="304" t="str">
        <f>IFERROR(__xludf.DUMMYFUNCTION("if(ISBLANK(A410),"""",GOOGLEFINANCE(A410,""Price""))"),"")</f>
        <v/>
      </c>
      <c r="I410" s="305" t="str">
        <f t="shared" si="1"/>
        <v/>
      </c>
      <c r="J410" s="306" t="str">
        <f t="shared" si="2"/>
        <v/>
      </c>
      <c r="K410" s="307" t="str">
        <f>IFERROR(__xludf.DUMMYFUNCTION("if(ISBLANK(A410),"""",googlefinance(A410,""Marketcap"")/10000000)"),"")</f>
        <v/>
      </c>
      <c r="L410" s="309" t="str">
        <f t="shared" si="3"/>
        <v/>
      </c>
      <c r="M410" s="308" t="str">
        <f t="shared" si="4"/>
        <v/>
      </c>
      <c r="N410" s="309" t="str">
        <f t="shared" si="5"/>
        <v/>
      </c>
      <c r="O410" s="322" t="str">
        <f t="shared" si="6"/>
        <v/>
      </c>
      <c r="P410" s="308" t="str">
        <f t="shared" si="7"/>
        <v/>
      </c>
      <c r="Q410" s="311" t="str">
        <f t="shared" si="8"/>
        <v/>
      </c>
      <c r="R410" s="309" t="str">
        <f t="shared" si="9"/>
        <v/>
      </c>
      <c r="S410" s="308" t="str">
        <f t="shared" si="10"/>
        <v/>
      </c>
      <c r="T410" s="309" t="str">
        <f t="shared" si="11"/>
        <v/>
      </c>
      <c r="U410" s="309" t="str">
        <f t="shared" si="12"/>
        <v/>
      </c>
      <c r="V410" s="308" t="str">
        <f t="shared" si="13"/>
        <v/>
      </c>
      <c r="W410" s="309" t="str">
        <f t="shared" si="14"/>
        <v/>
      </c>
      <c r="X410" s="309" t="str">
        <f t="shared" si="15"/>
        <v/>
      </c>
      <c r="Y410" s="308" t="str">
        <f t="shared" si="16"/>
        <v/>
      </c>
      <c r="Z410" s="309" t="str">
        <f t="shared" si="17"/>
        <v/>
      </c>
      <c r="AA410" s="312" t="str">
        <f t="shared" si="18"/>
        <v/>
      </c>
      <c r="AB410" s="308" t="str">
        <f t="shared" si="19"/>
        <v/>
      </c>
      <c r="AC410" s="308" t="str">
        <f t="shared" si="20"/>
        <v/>
      </c>
      <c r="AD410" s="312" t="str">
        <f t="shared" si="21"/>
        <v/>
      </c>
      <c r="AE410" s="308" t="str">
        <f t="shared" si="22"/>
        <v/>
      </c>
      <c r="AF410" s="313" t="str">
        <f t="shared" si="23"/>
        <v/>
      </c>
      <c r="AG410" s="304" t="str">
        <f t="shared" si="24"/>
        <v/>
      </c>
      <c r="AH410" s="308" t="str">
        <f t="shared" si="25"/>
        <v/>
      </c>
      <c r="AI410" s="313" t="str">
        <f t="shared" si="26"/>
        <v/>
      </c>
      <c r="AJ410" s="304" t="str">
        <f t="shared" si="27"/>
        <v/>
      </c>
      <c r="AK410" s="308" t="str">
        <f t="shared" si="28"/>
        <v/>
      </c>
      <c r="AL410" s="308" t="str">
        <f t="shared" si="29"/>
        <v/>
      </c>
      <c r="AM410" s="304" t="str">
        <f t="shared" si="30"/>
        <v/>
      </c>
      <c r="AN410" s="308" t="str">
        <f t="shared" si="31"/>
        <v/>
      </c>
      <c r="AO410" s="313" t="str">
        <f t="shared" si="32"/>
        <v/>
      </c>
      <c r="AP410" s="304" t="str">
        <f t="shared" si="33"/>
        <v/>
      </c>
      <c r="AQ410" s="308" t="str">
        <f t="shared" si="34"/>
        <v/>
      </c>
      <c r="AR410" s="313" t="str">
        <f t="shared" si="35"/>
        <v/>
      </c>
      <c r="AS410" s="304" t="str">
        <f t="shared" si="36"/>
        <v/>
      </c>
      <c r="AT410" s="308" t="str">
        <f t="shared" si="37"/>
        <v/>
      </c>
      <c r="AU410" s="308" t="str">
        <f t="shared" si="38"/>
        <v/>
      </c>
      <c r="AV410" s="304" t="str">
        <f t="shared" si="39"/>
        <v/>
      </c>
      <c r="AW410" s="308" t="str">
        <f t="shared" si="40"/>
        <v/>
      </c>
      <c r="AX410" s="308" t="str">
        <f t="shared" si="41"/>
        <v/>
      </c>
      <c r="AY410" s="304" t="str">
        <f t="shared" si="42"/>
        <v/>
      </c>
      <c r="AZ410" s="308" t="str">
        <f t="shared" si="43"/>
        <v/>
      </c>
      <c r="BA410" s="313" t="str">
        <f t="shared" si="44"/>
        <v/>
      </c>
      <c r="BB410" s="304" t="str">
        <f t="shared" si="45"/>
        <v/>
      </c>
      <c r="BC410" s="308" t="str">
        <f t="shared" si="46"/>
        <v/>
      </c>
      <c r="BD410" s="308" t="str">
        <f t="shared" si="47"/>
        <v/>
      </c>
    </row>
    <row r="411">
      <c r="A411" s="298"/>
      <c r="B411" s="299"/>
      <c r="C411" s="300"/>
      <c r="D411" s="301" t="str">
        <f>IFERROR(__xludf.DUMMYFUNCTION("if(ISBLANK(A411),"""",GOOGLEFINANCE(A411,""NAME""))"),"")</f>
        <v/>
      </c>
      <c r="E411" s="302">
        <v>5000.0</v>
      </c>
      <c r="F411" s="303" t="str">
        <f>IFERROR(__xludf.DUMMYFUNCTION("if(ISBLANK(A411),"""",GOOGLEFINANCE(A411,""HIGH52""))"),"")</f>
        <v/>
      </c>
      <c r="G411" s="303" t="str">
        <f>IFERROR(__xludf.DUMMYFUNCTION("if(ISBLANK(A411),"""",GOOGLEFINANCE(A411,""LOW52""))"),"")</f>
        <v/>
      </c>
      <c r="H411" s="304" t="str">
        <f>IFERROR(__xludf.DUMMYFUNCTION("if(ISBLANK(A411),"""",GOOGLEFINANCE(A411,""Price""))"),"")</f>
        <v/>
      </c>
      <c r="I411" s="305" t="str">
        <f t="shared" si="1"/>
        <v/>
      </c>
      <c r="J411" s="306" t="str">
        <f t="shared" si="2"/>
        <v/>
      </c>
      <c r="K411" s="307" t="str">
        <f>IFERROR(__xludf.DUMMYFUNCTION("if(ISBLANK(A411),"""",googlefinance(A411,""Marketcap"")/10000000)"),"")</f>
        <v/>
      </c>
      <c r="L411" s="309" t="str">
        <f t="shared" si="3"/>
        <v/>
      </c>
      <c r="M411" s="308" t="str">
        <f t="shared" si="4"/>
        <v/>
      </c>
      <c r="N411" s="309" t="str">
        <f t="shared" si="5"/>
        <v/>
      </c>
      <c r="O411" s="322" t="str">
        <f t="shared" si="6"/>
        <v/>
      </c>
      <c r="P411" s="308" t="str">
        <f t="shared" si="7"/>
        <v/>
      </c>
      <c r="Q411" s="311" t="str">
        <f t="shared" si="8"/>
        <v/>
      </c>
      <c r="R411" s="309" t="str">
        <f t="shared" si="9"/>
        <v/>
      </c>
      <c r="S411" s="308" t="str">
        <f t="shared" si="10"/>
        <v/>
      </c>
      <c r="T411" s="309" t="str">
        <f t="shared" si="11"/>
        <v/>
      </c>
      <c r="U411" s="309" t="str">
        <f t="shared" si="12"/>
        <v/>
      </c>
      <c r="V411" s="308" t="str">
        <f t="shared" si="13"/>
        <v/>
      </c>
      <c r="W411" s="309" t="str">
        <f t="shared" si="14"/>
        <v/>
      </c>
      <c r="X411" s="309" t="str">
        <f t="shared" si="15"/>
        <v/>
      </c>
      <c r="Y411" s="308" t="str">
        <f t="shared" si="16"/>
        <v/>
      </c>
      <c r="Z411" s="309" t="str">
        <f t="shared" si="17"/>
        <v/>
      </c>
      <c r="AA411" s="312" t="str">
        <f t="shared" si="18"/>
        <v/>
      </c>
      <c r="AB411" s="308" t="str">
        <f t="shared" si="19"/>
        <v/>
      </c>
      <c r="AC411" s="308" t="str">
        <f t="shared" si="20"/>
        <v/>
      </c>
      <c r="AD411" s="312" t="str">
        <f t="shared" si="21"/>
        <v/>
      </c>
      <c r="AE411" s="308" t="str">
        <f t="shared" si="22"/>
        <v/>
      </c>
      <c r="AF411" s="313" t="str">
        <f t="shared" si="23"/>
        <v/>
      </c>
      <c r="AG411" s="304" t="str">
        <f t="shared" si="24"/>
        <v/>
      </c>
      <c r="AH411" s="308" t="str">
        <f t="shared" si="25"/>
        <v/>
      </c>
      <c r="AI411" s="313" t="str">
        <f t="shared" si="26"/>
        <v/>
      </c>
      <c r="AJ411" s="304" t="str">
        <f t="shared" si="27"/>
        <v/>
      </c>
      <c r="AK411" s="308" t="str">
        <f t="shared" si="28"/>
        <v/>
      </c>
      <c r="AL411" s="308" t="str">
        <f t="shared" si="29"/>
        <v/>
      </c>
      <c r="AM411" s="304" t="str">
        <f t="shared" si="30"/>
        <v/>
      </c>
      <c r="AN411" s="308" t="str">
        <f t="shared" si="31"/>
        <v/>
      </c>
      <c r="AO411" s="313" t="str">
        <f t="shared" si="32"/>
        <v/>
      </c>
      <c r="AP411" s="304" t="str">
        <f t="shared" si="33"/>
        <v/>
      </c>
      <c r="AQ411" s="308" t="str">
        <f t="shared" si="34"/>
        <v/>
      </c>
      <c r="AR411" s="313" t="str">
        <f t="shared" si="35"/>
        <v/>
      </c>
      <c r="AS411" s="304" t="str">
        <f t="shared" si="36"/>
        <v/>
      </c>
      <c r="AT411" s="308" t="str">
        <f t="shared" si="37"/>
        <v/>
      </c>
      <c r="AU411" s="308" t="str">
        <f t="shared" si="38"/>
        <v/>
      </c>
      <c r="AV411" s="304" t="str">
        <f t="shared" si="39"/>
        <v/>
      </c>
      <c r="AW411" s="308" t="str">
        <f t="shared" si="40"/>
        <v/>
      </c>
      <c r="AX411" s="308" t="str">
        <f t="shared" si="41"/>
        <v/>
      </c>
      <c r="AY411" s="304" t="str">
        <f t="shared" si="42"/>
        <v/>
      </c>
      <c r="AZ411" s="308" t="str">
        <f t="shared" si="43"/>
        <v/>
      </c>
      <c r="BA411" s="313" t="str">
        <f t="shared" si="44"/>
        <v/>
      </c>
      <c r="BB411" s="304" t="str">
        <f t="shared" si="45"/>
        <v/>
      </c>
      <c r="BC411" s="308" t="str">
        <f t="shared" si="46"/>
        <v/>
      </c>
      <c r="BD411" s="308" t="str">
        <f t="shared" si="47"/>
        <v/>
      </c>
    </row>
    <row r="412">
      <c r="A412" s="298"/>
      <c r="B412" s="299"/>
      <c r="C412" s="300"/>
      <c r="D412" s="301" t="str">
        <f>IFERROR(__xludf.DUMMYFUNCTION("if(ISBLANK(A412),"""",GOOGLEFINANCE(A412,""NAME""))"),"")</f>
        <v/>
      </c>
      <c r="E412" s="302">
        <v>5000.0</v>
      </c>
      <c r="F412" s="303" t="str">
        <f>IFERROR(__xludf.DUMMYFUNCTION("if(ISBLANK(A412),"""",GOOGLEFINANCE(A412,""HIGH52""))"),"")</f>
        <v/>
      </c>
      <c r="G412" s="303" t="str">
        <f>IFERROR(__xludf.DUMMYFUNCTION("if(ISBLANK(A412),"""",GOOGLEFINANCE(A412,""LOW52""))"),"")</f>
        <v/>
      </c>
      <c r="H412" s="304" t="str">
        <f>IFERROR(__xludf.DUMMYFUNCTION("if(ISBLANK(A412),"""",GOOGLEFINANCE(A412,""Price""))"),"")</f>
        <v/>
      </c>
      <c r="I412" s="305" t="str">
        <f t="shared" si="1"/>
        <v/>
      </c>
      <c r="J412" s="306" t="str">
        <f t="shared" si="2"/>
        <v/>
      </c>
      <c r="K412" s="307" t="str">
        <f>IFERROR(__xludf.DUMMYFUNCTION("if(ISBLANK(A412),"""",googlefinance(A412,""Marketcap"")/10000000)"),"")</f>
        <v/>
      </c>
      <c r="L412" s="309" t="str">
        <f t="shared" si="3"/>
        <v/>
      </c>
      <c r="M412" s="308" t="str">
        <f t="shared" si="4"/>
        <v/>
      </c>
      <c r="N412" s="309" t="str">
        <f t="shared" si="5"/>
        <v/>
      </c>
      <c r="O412" s="322" t="str">
        <f t="shared" si="6"/>
        <v/>
      </c>
      <c r="P412" s="308" t="str">
        <f t="shared" si="7"/>
        <v/>
      </c>
      <c r="Q412" s="311" t="str">
        <f t="shared" si="8"/>
        <v/>
      </c>
      <c r="R412" s="309" t="str">
        <f t="shared" si="9"/>
        <v/>
      </c>
      <c r="S412" s="308" t="str">
        <f t="shared" si="10"/>
        <v/>
      </c>
      <c r="T412" s="309" t="str">
        <f t="shared" si="11"/>
        <v/>
      </c>
      <c r="U412" s="309" t="str">
        <f t="shared" si="12"/>
        <v/>
      </c>
      <c r="V412" s="308" t="str">
        <f t="shared" si="13"/>
        <v/>
      </c>
      <c r="W412" s="309" t="str">
        <f t="shared" si="14"/>
        <v/>
      </c>
      <c r="X412" s="309" t="str">
        <f t="shared" si="15"/>
        <v/>
      </c>
      <c r="Y412" s="308" t="str">
        <f t="shared" si="16"/>
        <v/>
      </c>
      <c r="Z412" s="309" t="str">
        <f t="shared" si="17"/>
        <v/>
      </c>
      <c r="AA412" s="312" t="str">
        <f t="shared" si="18"/>
        <v/>
      </c>
      <c r="AB412" s="308" t="str">
        <f t="shared" si="19"/>
        <v/>
      </c>
      <c r="AC412" s="308" t="str">
        <f t="shared" si="20"/>
        <v/>
      </c>
      <c r="AD412" s="312" t="str">
        <f t="shared" si="21"/>
        <v/>
      </c>
      <c r="AE412" s="308" t="str">
        <f t="shared" si="22"/>
        <v/>
      </c>
      <c r="AF412" s="313" t="str">
        <f t="shared" si="23"/>
        <v/>
      </c>
      <c r="AG412" s="304" t="str">
        <f t="shared" si="24"/>
        <v/>
      </c>
      <c r="AH412" s="308" t="str">
        <f t="shared" si="25"/>
        <v/>
      </c>
      <c r="AI412" s="313" t="str">
        <f t="shared" si="26"/>
        <v/>
      </c>
      <c r="AJ412" s="304" t="str">
        <f t="shared" si="27"/>
        <v/>
      </c>
      <c r="AK412" s="308" t="str">
        <f t="shared" si="28"/>
        <v/>
      </c>
      <c r="AL412" s="308" t="str">
        <f t="shared" si="29"/>
        <v/>
      </c>
      <c r="AM412" s="304" t="str">
        <f t="shared" si="30"/>
        <v/>
      </c>
      <c r="AN412" s="308" t="str">
        <f t="shared" si="31"/>
        <v/>
      </c>
      <c r="AO412" s="313" t="str">
        <f t="shared" si="32"/>
        <v/>
      </c>
      <c r="AP412" s="304" t="str">
        <f t="shared" si="33"/>
        <v/>
      </c>
      <c r="AQ412" s="308" t="str">
        <f t="shared" si="34"/>
        <v/>
      </c>
      <c r="AR412" s="313" t="str">
        <f t="shared" si="35"/>
        <v/>
      </c>
      <c r="AS412" s="304" t="str">
        <f t="shared" si="36"/>
        <v/>
      </c>
      <c r="AT412" s="308" t="str">
        <f t="shared" si="37"/>
        <v/>
      </c>
      <c r="AU412" s="308" t="str">
        <f t="shared" si="38"/>
        <v/>
      </c>
      <c r="AV412" s="304" t="str">
        <f t="shared" si="39"/>
        <v/>
      </c>
      <c r="AW412" s="308" t="str">
        <f t="shared" si="40"/>
        <v/>
      </c>
      <c r="AX412" s="308" t="str">
        <f t="shared" si="41"/>
        <v/>
      </c>
      <c r="AY412" s="304" t="str">
        <f t="shared" si="42"/>
        <v/>
      </c>
      <c r="AZ412" s="308" t="str">
        <f t="shared" si="43"/>
        <v/>
      </c>
      <c r="BA412" s="313" t="str">
        <f t="shared" si="44"/>
        <v/>
      </c>
      <c r="BB412" s="304" t="str">
        <f t="shared" si="45"/>
        <v/>
      </c>
      <c r="BC412" s="308" t="str">
        <f t="shared" si="46"/>
        <v/>
      </c>
      <c r="BD412" s="308" t="str">
        <f t="shared" si="47"/>
        <v/>
      </c>
    </row>
    <row r="413">
      <c r="A413" s="298"/>
      <c r="B413" s="299"/>
      <c r="C413" s="300"/>
      <c r="D413" s="301" t="str">
        <f>IFERROR(__xludf.DUMMYFUNCTION("if(ISBLANK(A413),"""",GOOGLEFINANCE(A413,""NAME""))"),"")</f>
        <v/>
      </c>
      <c r="E413" s="302">
        <v>5000.0</v>
      </c>
      <c r="F413" s="303" t="str">
        <f>IFERROR(__xludf.DUMMYFUNCTION("if(ISBLANK(A413),"""",GOOGLEFINANCE(A413,""HIGH52""))"),"")</f>
        <v/>
      </c>
      <c r="G413" s="303" t="str">
        <f>IFERROR(__xludf.DUMMYFUNCTION("if(ISBLANK(A413),"""",GOOGLEFINANCE(A413,""LOW52""))"),"")</f>
        <v/>
      </c>
      <c r="H413" s="304" t="str">
        <f>IFERROR(__xludf.DUMMYFUNCTION("if(ISBLANK(A413),"""",GOOGLEFINANCE(A413,""Price""))"),"")</f>
        <v/>
      </c>
      <c r="I413" s="305" t="str">
        <f t="shared" si="1"/>
        <v/>
      </c>
      <c r="J413" s="306" t="str">
        <f t="shared" si="2"/>
        <v/>
      </c>
      <c r="K413" s="307" t="str">
        <f>IFERROR(__xludf.DUMMYFUNCTION("if(ISBLANK(A413),"""",googlefinance(A413,""Marketcap"")/10000000)"),"")</f>
        <v/>
      </c>
      <c r="L413" s="309" t="str">
        <f t="shared" si="3"/>
        <v/>
      </c>
      <c r="M413" s="308" t="str">
        <f t="shared" si="4"/>
        <v/>
      </c>
      <c r="N413" s="309" t="str">
        <f t="shared" si="5"/>
        <v/>
      </c>
      <c r="O413" s="322" t="str">
        <f t="shared" si="6"/>
        <v/>
      </c>
      <c r="P413" s="308" t="str">
        <f t="shared" si="7"/>
        <v/>
      </c>
      <c r="Q413" s="311" t="str">
        <f t="shared" si="8"/>
        <v/>
      </c>
      <c r="R413" s="309" t="str">
        <f t="shared" si="9"/>
        <v/>
      </c>
      <c r="S413" s="308" t="str">
        <f t="shared" si="10"/>
        <v/>
      </c>
      <c r="T413" s="309" t="str">
        <f t="shared" si="11"/>
        <v/>
      </c>
      <c r="U413" s="309" t="str">
        <f t="shared" si="12"/>
        <v/>
      </c>
      <c r="V413" s="308" t="str">
        <f t="shared" si="13"/>
        <v/>
      </c>
      <c r="W413" s="309" t="str">
        <f t="shared" si="14"/>
        <v/>
      </c>
      <c r="X413" s="309" t="str">
        <f t="shared" si="15"/>
        <v/>
      </c>
      <c r="Y413" s="308" t="str">
        <f t="shared" si="16"/>
        <v/>
      </c>
      <c r="Z413" s="309" t="str">
        <f t="shared" si="17"/>
        <v/>
      </c>
      <c r="AA413" s="312" t="str">
        <f t="shared" si="18"/>
        <v/>
      </c>
      <c r="AB413" s="308" t="str">
        <f t="shared" si="19"/>
        <v/>
      </c>
      <c r="AC413" s="308" t="str">
        <f t="shared" si="20"/>
        <v/>
      </c>
      <c r="AD413" s="312" t="str">
        <f t="shared" si="21"/>
        <v/>
      </c>
      <c r="AE413" s="308" t="str">
        <f t="shared" si="22"/>
        <v/>
      </c>
      <c r="AF413" s="313" t="str">
        <f t="shared" si="23"/>
        <v/>
      </c>
      <c r="AG413" s="304" t="str">
        <f t="shared" si="24"/>
        <v/>
      </c>
      <c r="AH413" s="308" t="str">
        <f t="shared" si="25"/>
        <v/>
      </c>
      <c r="AI413" s="313" t="str">
        <f t="shared" si="26"/>
        <v/>
      </c>
      <c r="AJ413" s="304" t="str">
        <f t="shared" si="27"/>
        <v/>
      </c>
      <c r="AK413" s="308" t="str">
        <f t="shared" si="28"/>
        <v/>
      </c>
      <c r="AL413" s="308" t="str">
        <f t="shared" si="29"/>
        <v/>
      </c>
      <c r="AM413" s="304" t="str">
        <f t="shared" si="30"/>
        <v/>
      </c>
      <c r="AN413" s="308" t="str">
        <f t="shared" si="31"/>
        <v/>
      </c>
      <c r="AO413" s="313" t="str">
        <f t="shared" si="32"/>
        <v/>
      </c>
      <c r="AP413" s="304" t="str">
        <f t="shared" si="33"/>
        <v/>
      </c>
      <c r="AQ413" s="308" t="str">
        <f t="shared" si="34"/>
        <v/>
      </c>
      <c r="AR413" s="313" t="str">
        <f t="shared" si="35"/>
        <v/>
      </c>
      <c r="AS413" s="304" t="str">
        <f t="shared" si="36"/>
        <v/>
      </c>
      <c r="AT413" s="308" t="str">
        <f t="shared" si="37"/>
        <v/>
      </c>
      <c r="AU413" s="308" t="str">
        <f t="shared" si="38"/>
        <v/>
      </c>
      <c r="AV413" s="304" t="str">
        <f t="shared" si="39"/>
        <v/>
      </c>
      <c r="AW413" s="308" t="str">
        <f t="shared" si="40"/>
        <v/>
      </c>
      <c r="AX413" s="308" t="str">
        <f t="shared" si="41"/>
        <v/>
      </c>
      <c r="AY413" s="304" t="str">
        <f t="shared" si="42"/>
        <v/>
      </c>
      <c r="AZ413" s="308" t="str">
        <f t="shared" si="43"/>
        <v/>
      </c>
      <c r="BA413" s="313" t="str">
        <f t="shared" si="44"/>
        <v/>
      </c>
      <c r="BB413" s="304" t="str">
        <f t="shared" si="45"/>
        <v/>
      </c>
      <c r="BC413" s="308" t="str">
        <f t="shared" si="46"/>
        <v/>
      </c>
      <c r="BD413" s="308" t="str">
        <f t="shared" si="47"/>
        <v/>
      </c>
    </row>
    <row r="414">
      <c r="A414" s="298"/>
      <c r="B414" s="299"/>
      <c r="C414" s="300"/>
      <c r="D414" s="301" t="str">
        <f>IFERROR(__xludf.DUMMYFUNCTION("if(ISBLANK(A414),"""",GOOGLEFINANCE(A414,""NAME""))"),"")</f>
        <v/>
      </c>
      <c r="E414" s="302">
        <v>5000.0</v>
      </c>
      <c r="F414" s="303" t="str">
        <f>IFERROR(__xludf.DUMMYFUNCTION("if(ISBLANK(A414),"""",GOOGLEFINANCE(A414,""HIGH52""))"),"")</f>
        <v/>
      </c>
      <c r="G414" s="303" t="str">
        <f>IFERROR(__xludf.DUMMYFUNCTION("if(ISBLANK(A414),"""",GOOGLEFINANCE(A414,""LOW52""))"),"")</f>
        <v/>
      </c>
      <c r="H414" s="304" t="str">
        <f>IFERROR(__xludf.DUMMYFUNCTION("if(ISBLANK(A414),"""",GOOGLEFINANCE(A414,""Price""))"),"")</f>
        <v/>
      </c>
      <c r="I414" s="305" t="str">
        <f t="shared" si="1"/>
        <v/>
      </c>
      <c r="J414" s="306" t="str">
        <f t="shared" si="2"/>
        <v/>
      </c>
      <c r="K414" s="307" t="str">
        <f>IFERROR(__xludf.DUMMYFUNCTION("if(ISBLANK(A414),"""",googlefinance(A414,""Marketcap"")/10000000)"),"")</f>
        <v/>
      </c>
      <c r="L414" s="309" t="str">
        <f t="shared" si="3"/>
        <v/>
      </c>
      <c r="M414" s="308" t="str">
        <f t="shared" si="4"/>
        <v/>
      </c>
      <c r="N414" s="309" t="str">
        <f t="shared" si="5"/>
        <v/>
      </c>
      <c r="O414" s="322" t="str">
        <f t="shared" si="6"/>
        <v/>
      </c>
      <c r="P414" s="308" t="str">
        <f t="shared" si="7"/>
        <v/>
      </c>
      <c r="Q414" s="311" t="str">
        <f t="shared" si="8"/>
        <v/>
      </c>
      <c r="R414" s="309" t="str">
        <f t="shared" si="9"/>
        <v/>
      </c>
      <c r="S414" s="308" t="str">
        <f t="shared" si="10"/>
        <v/>
      </c>
      <c r="T414" s="309" t="str">
        <f t="shared" si="11"/>
        <v/>
      </c>
      <c r="U414" s="309" t="str">
        <f t="shared" si="12"/>
        <v/>
      </c>
      <c r="V414" s="308" t="str">
        <f t="shared" si="13"/>
        <v/>
      </c>
      <c r="W414" s="309" t="str">
        <f t="shared" si="14"/>
        <v/>
      </c>
      <c r="X414" s="309" t="str">
        <f t="shared" si="15"/>
        <v/>
      </c>
      <c r="Y414" s="308" t="str">
        <f t="shared" si="16"/>
        <v/>
      </c>
      <c r="Z414" s="309" t="str">
        <f t="shared" si="17"/>
        <v/>
      </c>
      <c r="AA414" s="312" t="str">
        <f t="shared" si="18"/>
        <v/>
      </c>
      <c r="AB414" s="308" t="str">
        <f t="shared" si="19"/>
        <v/>
      </c>
      <c r="AC414" s="308" t="str">
        <f t="shared" si="20"/>
        <v/>
      </c>
      <c r="AD414" s="312" t="str">
        <f t="shared" si="21"/>
        <v/>
      </c>
      <c r="AE414" s="308" t="str">
        <f t="shared" si="22"/>
        <v/>
      </c>
      <c r="AF414" s="313" t="str">
        <f t="shared" si="23"/>
        <v/>
      </c>
      <c r="AG414" s="304" t="str">
        <f t="shared" si="24"/>
        <v/>
      </c>
      <c r="AH414" s="308" t="str">
        <f t="shared" si="25"/>
        <v/>
      </c>
      <c r="AI414" s="313" t="str">
        <f t="shared" si="26"/>
        <v/>
      </c>
      <c r="AJ414" s="304" t="str">
        <f t="shared" si="27"/>
        <v/>
      </c>
      <c r="AK414" s="308" t="str">
        <f t="shared" si="28"/>
        <v/>
      </c>
      <c r="AL414" s="308" t="str">
        <f t="shared" si="29"/>
        <v/>
      </c>
      <c r="AM414" s="304" t="str">
        <f t="shared" si="30"/>
        <v/>
      </c>
      <c r="AN414" s="308" t="str">
        <f t="shared" si="31"/>
        <v/>
      </c>
      <c r="AO414" s="313" t="str">
        <f t="shared" si="32"/>
        <v/>
      </c>
      <c r="AP414" s="304" t="str">
        <f t="shared" si="33"/>
        <v/>
      </c>
      <c r="AQ414" s="308" t="str">
        <f t="shared" si="34"/>
        <v/>
      </c>
      <c r="AR414" s="313" t="str">
        <f t="shared" si="35"/>
        <v/>
      </c>
      <c r="AS414" s="304" t="str">
        <f t="shared" si="36"/>
        <v/>
      </c>
      <c r="AT414" s="308" t="str">
        <f t="shared" si="37"/>
        <v/>
      </c>
      <c r="AU414" s="308" t="str">
        <f t="shared" si="38"/>
        <v/>
      </c>
      <c r="AV414" s="304" t="str">
        <f t="shared" si="39"/>
        <v/>
      </c>
      <c r="AW414" s="308" t="str">
        <f t="shared" si="40"/>
        <v/>
      </c>
      <c r="AX414" s="308" t="str">
        <f t="shared" si="41"/>
        <v/>
      </c>
      <c r="AY414" s="304" t="str">
        <f t="shared" si="42"/>
        <v/>
      </c>
      <c r="AZ414" s="308" t="str">
        <f t="shared" si="43"/>
        <v/>
      </c>
      <c r="BA414" s="313" t="str">
        <f t="shared" si="44"/>
        <v/>
      </c>
      <c r="BB414" s="304" t="str">
        <f t="shared" si="45"/>
        <v/>
      </c>
      <c r="BC414" s="308" t="str">
        <f t="shared" si="46"/>
        <v/>
      </c>
      <c r="BD414" s="308" t="str">
        <f t="shared" si="47"/>
        <v/>
      </c>
    </row>
    <row r="415">
      <c r="A415" s="298"/>
      <c r="B415" s="299"/>
      <c r="C415" s="300"/>
      <c r="D415" s="301" t="str">
        <f>IFERROR(__xludf.DUMMYFUNCTION("if(ISBLANK(A415),"""",GOOGLEFINANCE(A415,""NAME""))"),"")</f>
        <v/>
      </c>
      <c r="E415" s="302">
        <v>5000.0</v>
      </c>
      <c r="F415" s="303" t="str">
        <f>IFERROR(__xludf.DUMMYFUNCTION("if(ISBLANK(A415),"""",GOOGLEFINANCE(A415,""HIGH52""))"),"")</f>
        <v/>
      </c>
      <c r="G415" s="303" t="str">
        <f>IFERROR(__xludf.DUMMYFUNCTION("if(ISBLANK(A415),"""",GOOGLEFINANCE(A415,""LOW52""))"),"")</f>
        <v/>
      </c>
      <c r="H415" s="304" t="str">
        <f>IFERROR(__xludf.DUMMYFUNCTION("if(ISBLANK(A415),"""",GOOGLEFINANCE(A415,""Price""))"),"")</f>
        <v/>
      </c>
      <c r="I415" s="305" t="str">
        <f t="shared" si="1"/>
        <v/>
      </c>
      <c r="J415" s="306" t="str">
        <f t="shared" si="2"/>
        <v/>
      </c>
      <c r="K415" s="307" t="str">
        <f>IFERROR(__xludf.DUMMYFUNCTION("if(ISBLANK(A415),"""",googlefinance(A415,""Marketcap"")/10000000)"),"")</f>
        <v/>
      </c>
      <c r="L415" s="309" t="str">
        <f t="shared" si="3"/>
        <v/>
      </c>
      <c r="M415" s="308" t="str">
        <f t="shared" si="4"/>
        <v/>
      </c>
      <c r="N415" s="309" t="str">
        <f t="shared" si="5"/>
        <v/>
      </c>
      <c r="O415" s="322" t="str">
        <f t="shared" si="6"/>
        <v/>
      </c>
      <c r="P415" s="308" t="str">
        <f t="shared" si="7"/>
        <v/>
      </c>
      <c r="Q415" s="311" t="str">
        <f t="shared" si="8"/>
        <v/>
      </c>
      <c r="R415" s="309" t="str">
        <f t="shared" si="9"/>
        <v/>
      </c>
      <c r="S415" s="308" t="str">
        <f t="shared" si="10"/>
        <v/>
      </c>
      <c r="T415" s="309" t="str">
        <f t="shared" si="11"/>
        <v/>
      </c>
      <c r="U415" s="309" t="str">
        <f t="shared" si="12"/>
        <v/>
      </c>
      <c r="V415" s="308" t="str">
        <f t="shared" si="13"/>
        <v/>
      </c>
      <c r="W415" s="309" t="str">
        <f t="shared" si="14"/>
        <v/>
      </c>
      <c r="X415" s="309" t="str">
        <f t="shared" si="15"/>
        <v/>
      </c>
      <c r="Y415" s="308" t="str">
        <f t="shared" si="16"/>
        <v/>
      </c>
      <c r="Z415" s="309" t="str">
        <f t="shared" si="17"/>
        <v/>
      </c>
      <c r="AA415" s="312" t="str">
        <f t="shared" si="18"/>
        <v/>
      </c>
      <c r="AB415" s="308" t="str">
        <f t="shared" si="19"/>
        <v/>
      </c>
      <c r="AC415" s="308" t="str">
        <f t="shared" si="20"/>
        <v/>
      </c>
      <c r="AD415" s="312" t="str">
        <f t="shared" si="21"/>
        <v/>
      </c>
      <c r="AE415" s="308" t="str">
        <f t="shared" si="22"/>
        <v/>
      </c>
      <c r="AF415" s="313" t="str">
        <f t="shared" si="23"/>
        <v/>
      </c>
      <c r="AG415" s="304" t="str">
        <f t="shared" si="24"/>
        <v/>
      </c>
      <c r="AH415" s="308" t="str">
        <f t="shared" si="25"/>
        <v/>
      </c>
      <c r="AI415" s="313" t="str">
        <f t="shared" si="26"/>
        <v/>
      </c>
      <c r="AJ415" s="304" t="str">
        <f t="shared" si="27"/>
        <v/>
      </c>
      <c r="AK415" s="308" t="str">
        <f t="shared" si="28"/>
        <v/>
      </c>
      <c r="AL415" s="308" t="str">
        <f t="shared" si="29"/>
        <v/>
      </c>
      <c r="AM415" s="304" t="str">
        <f t="shared" si="30"/>
        <v/>
      </c>
      <c r="AN415" s="308" t="str">
        <f t="shared" si="31"/>
        <v/>
      </c>
      <c r="AO415" s="313" t="str">
        <f t="shared" si="32"/>
        <v/>
      </c>
      <c r="AP415" s="304" t="str">
        <f t="shared" si="33"/>
        <v/>
      </c>
      <c r="AQ415" s="308" t="str">
        <f t="shared" si="34"/>
        <v/>
      </c>
      <c r="AR415" s="313" t="str">
        <f t="shared" si="35"/>
        <v/>
      </c>
      <c r="AS415" s="304" t="str">
        <f t="shared" si="36"/>
        <v/>
      </c>
      <c r="AT415" s="308" t="str">
        <f t="shared" si="37"/>
        <v/>
      </c>
      <c r="AU415" s="308" t="str">
        <f t="shared" si="38"/>
        <v/>
      </c>
      <c r="AV415" s="304" t="str">
        <f t="shared" si="39"/>
        <v/>
      </c>
      <c r="AW415" s="308" t="str">
        <f t="shared" si="40"/>
        <v/>
      </c>
      <c r="AX415" s="308" t="str">
        <f t="shared" si="41"/>
        <v/>
      </c>
      <c r="AY415" s="304" t="str">
        <f t="shared" si="42"/>
        <v/>
      </c>
      <c r="AZ415" s="308" t="str">
        <f t="shared" si="43"/>
        <v/>
      </c>
      <c r="BA415" s="313" t="str">
        <f t="shared" si="44"/>
        <v/>
      </c>
      <c r="BB415" s="304" t="str">
        <f t="shared" si="45"/>
        <v/>
      </c>
      <c r="BC415" s="308" t="str">
        <f t="shared" si="46"/>
        <v/>
      </c>
      <c r="BD415" s="308" t="str">
        <f t="shared" si="47"/>
        <v/>
      </c>
    </row>
    <row r="416">
      <c r="A416" s="298"/>
      <c r="B416" s="299"/>
      <c r="C416" s="300"/>
      <c r="D416" s="301" t="str">
        <f>IFERROR(__xludf.DUMMYFUNCTION("if(ISBLANK(A416),"""",GOOGLEFINANCE(A416,""NAME""))"),"")</f>
        <v/>
      </c>
      <c r="E416" s="302">
        <v>5000.0</v>
      </c>
      <c r="F416" s="303" t="str">
        <f>IFERROR(__xludf.DUMMYFUNCTION("if(ISBLANK(A416),"""",GOOGLEFINANCE(A416,""HIGH52""))"),"")</f>
        <v/>
      </c>
      <c r="G416" s="303" t="str">
        <f>IFERROR(__xludf.DUMMYFUNCTION("if(ISBLANK(A416),"""",GOOGLEFINANCE(A416,""LOW52""))"),"")</f>
        <v/>
      </c>
      <c r="H416" s="304" t="str">
        <f>IFERROR(__xludf.DUMMYFUNCTION("if(ISBLANK(A416),"""",GOOGLEFINANCE(A416,""Price""))"),"")</f>
        <v/>
      </c>
      <c r="I416" s="305" t="str">
        <f t="shared" si="1"/>
        <v/>
      </c>
      <c r="J416" s="306" t="str">
        <f t="shared" si="2"/>
        <v/>
      </c>
      <c r="K416" s="307" t="str">
        <f>IFERROR(__xludf.DUMMYFUNCTION("if(ISBLANK(A416),"""",googlefinance(A416,""Marketcap"")/10000000)"),"")</f>
        <v/>
      </c>
      <c r="L416" s="309" t="str">
        <f t="shared" si="3"/>
        <v/>
      </c>
      <c r="M416" s="308" t="str">
        <f t="shared" si="4"/>
        <v/>
      </c>
      <c r="N416" s="309" t="str">
        <f t="shared" si="5"/>
        <v/>
      </c>
      <c r="O416" s="322" t="str">
        <f t="shared" si="6"/>
        <v/>
      </c>
      <c r="P416" s="308" t="str">
        <f t="shared" si="7"/>
        <v/>
      </c>
      <c r="Q416" s="311" t="str">
        <f t="shared" si="8"/>
        <v/>
      </c>
      <c r="R416" s="309" t="str">
        <f t="shared" si="9"/>
        <v/>
      </c>
      <c r="S416" s="308" t="str">
        <f t="shared" si="10"/>
        <v/>
      </c>
      <c r="T416" s="309" t="str">
        <f t="shared" si="11"/>
        <v/>
      </c>
      <c r="U416" s="309" t="str">
        <f t="shared" si="12"/>
        <v/>
      </c>
      <c r="V416" s="308" t="str">
        <f t="shared" si="13"/>
        <v/>
      </c>
      <c r="W416" s="309" t="str">
        <f t="shared" si="14"/>
        <v/>
      </c>
      <c r="X416" s="309" t="str">
        <f t="shared" si="15"/>
        <v/>
      </c>
      <c r="Y416" s="308" t="str">
        <f t="shared" si="16"/>
        <v/>
      </c>
      <c r="Z416" s="309" t="str">
        <f t="shared" si="17"/>
        <v/>
      </c>
      <c r="AA416" s="312" t="str">
        <f t="shared" si="18"/>
        <v/>
      </c>
      <c r="AB416" s="308" t="str">
        <f t="shared" si="19"/>
        <v/>
      </c>
      <c r="AC416" s="308" t="str">
        <f t="shared" si="20"/>
        <v/>
      </c>
      <c r="AD416" s="312" t="str">
        <f t="shared" si="21"/>
        <v/>
      </c>
      <c r="AE416" s="308" t="str">
        <f t="shared" si="22"/>
        <v/>
      </c>
      <c r="AF416" s="313" t="str">
        <f t="shared" si="23"/>
        <v/>
      </c>
      <c r="AG416" s="304" t="str">
        <f t="shared" si="24"/>
        <v/>
      </c>
      <c r="AH416" s="308" t="str">
        <f t="shared" si="25"/>
        <v/>
      </c>
      <c r="AI416" s="313" t="str">
        <f t="shared" si="26"/>
        <v/>
      </c>
      <c r="AJ416" s="304" t="str">
        <f t="shared" si="27"/>
        <v/>
      </c>
      <c r="AK416" s="308" t="str">
        <f t="shared" si="28"/>
        <v/>
      </c>
      <c r="AL416" s="308" t="str">
        <f t="shared" si="29"/>
        <v/>
      </c>
      <c r="AM416" s="304" t="str">
        <f t="shared" si="30"/>
        <v/>
      </c>
      <c r="AN416" s="308" t="str">
        <f t="shared" si="31"/>
        <v/>
      </c>
      <c r="AO416" s="313" t="str">
        <f t="shared" si="32"/>
        <v/>
      </c>
      <c r="AP416" s="304" t="str">
        <f t="shared" si="33"/>
        <v/>
      </c>
      <c r="AQ416" s="308" t="str">
        <f t="shared" si="34"/>
        <v/>
      </c>
      <c r="AR416" s="313" t="str">
        <f t="shared" si="35"/>
        <v/>
      </c>
      <c r="AS416" s="304" t="str">
        <f t="shared" si="36"/>
        <v/>
      </c>
      <c r="AT416" s="308" t="str">
        <f t="shared" si="37"/>
        <v/>
      </c>
      <c r="AU416" s="308" t="str">
        <f t="shared" si="38"/>
        <v/>
      </c>
      <c r="AV416" s="304" t="str">
        <f t="shared" si="39"/>
        <v/>
      </c>
      <c r="AW416" s="308" t="str">
        <f t="shared" si="40"/>
        <v/>
      </c>
      <c r="AX416" s="308" t="str">
        <f t="shared" si="41"/>
        <v/>
      </c>
      <c r="AY416" s="304" t="str">
        <f t="shared" si="42"/>
        <v/>
      </c>
      <c r="AZ416" s="308" t="str">
        <f t="shared" si="43"/>
        <v/>
      </c>
      <c r="BA416" s="313" t="str">
        <f t="shared" si="44"/>
        <v/>
      </c>
      <c r="BB416" s="304" t="str">
        <f t="shared" si="45"/>
        <v/>
      </c>
      <c r="BC416" s="308" t="str">
        <f t="shared" si="46"/>
        <v/>
      </c>
      <c r="BD416" s="308" t="str">
        <f t="shared" si="47"/>
        <v/>
      </c>
    </row>
    <row r="417">
      <c r="A417" s="298"/>
      <c r="B417" s="299"/>
      <c r="C417" s="300"/>
      <c r="D417" s="301" t="str">
        <f>IFERROR(__xludf.DUMMYFUNCTION("if(ISBLANK(A417),"""",GOOGLEFINANCE(A417,""NAME""))"),"")</f>
        <v/>
      </c>
      <c r="E417" s="302">
        <v>5000.0</v>
      </c>
      <c r="F417" s="303" t="str">
        <f>IFERROR(__xludf.DUMMYFUNCTION("if(ISBLANK(A417),"""",GOOGLEFINANCE(A417,""HIGH52""))"),"")</f>
        <v/>
      </c>
      <c r="G417" s="303" t="str">
        <f>IFERROR(__xludf.DUMMYFUNCTION("if(ISBLANK(A417),"""",GOOGLEFINANCE(A417,""LOW52""))"),"")</f>
        <v/>
      </c>
      <c r="H417" s="304" t="str">
        <f>IFERROR(__xludf.DUMMYFUNCTION("if(ISBLANK(A417),"""",GOOGLEFINANCE(A417,""Price""))"),"")</f>
        <v/>
      </c>
      <c r="I417" s="305" t="str">
        <f t="shared" si="1"/>
        <v/>
      </c>
      <c r="J417" s="306" t="str">
        <f t="shared" si="2"/>
        <v/>
      </c>
      <c r="K417" s="307" t="str">
        <f>IFERROR(__xludf.DUMMYFUNCTION("if(ISBLANK(A417),"""",googlefinance(A417,""Marketcap"")/10000000)"),"")</f>
        <v/>
      </c>
      <c r="L417" s="309" t="str">
        <f t="shared" si="3"/>
        <v/>
      </c>
      <c r="M417" s="308" t="str">
        <f t="shared" si="4"/>
        <v/>
      </c>
      <c r="N417" s="309" t="str">
        <f t="shared" si="5"/>
        <v/>
      </c>
      <c r="O417" s="322" t="str">
        <f t="shared" si="6"/>
        <v/>
      </c>
      <c r="P417" s="308" t="str">
        <f t="shared" si="7"/>
        <v/>
      </c>
      <c r="Q417" s="311" t="str">
        <f t="shared" si="8"/>
        <v/>
      </c>
      <c r="R417" s="309" t="str">
        <f t="shared" si="9"/>
        <v/>
      </c>
      <c r="S417" s="308" t="str">
        <f t="shared" si="10"/>
        <v/>
      </c>
      <c r="T417" s="309" t="str">
        <f t="shared" si="11"/>
        <v/>
      </c>
      <c r="U417" s="309" t="str">
        <f t="shared" si="12"/>
        <v/>
      </c>
      <c r="V417" s="308" t="str">
        <f t="shared" si="13"/>
        <v/>
      </c>
      <c r="W417" s="309" t="str">
        <f t="shared" si="14"/>
        <v/>
      </c>
      <c r="X417" s="309" t="str">
        <f t="shared" si="15"/>
        <v/>
      </c>
      <c r="Y417" s="308" t="str">
        <f t="shared" si="16"/>
        <v/>
      </c>
      <c r="Z417" s="309" t="str">
        <f t="shared" si="17"/>
        <v/>
      </c>
      <c r="AA417" s="312" t="str">
        <f t="shared" si="18"/>
        <v/>
      </c>
      <c r="AB417" s="308" t="str">
        <f t="shared" si="19"/>
        <v/>
      </c>
      <c r="AC417" s="308" t="str">
        <f t="shared" si="20"/>
        <v/>
      </c>
      <c r="AD417" s="312" t="str">
        <f t="shared" si="21"/>
        <v/>
      </c>
      <c r="AE417" s="308" t="str">
        <f t="shared" si="22"/>
        <v/>
      </c>
      <c r="AF417" s="313" t="str">
        <f t="shared" si="23"/>
        <v/>
      </c>
      <c r="AG417" s="304" t="str">
        <f t="shared" si="24"/>
        <v/>
      </c>
      <c r="AH417" s="308" t="str">
        <f t="shared" si="25"/>
        <v/>
      </c>
      <c r="AI417" s="313" t="str">
        <f t="shared" si="26"/>
        <v/>
      </c>
      <c r="AJ417" s="304" t="str">
        <f t="shared" si="27"/>
        <v/>
      </c>
      <c r="AK417" s="308" t="str">
        <f t="shared" si="28"/>
        <v/>
      </c>
      <c r="AL417" s="308" t="str">
        <f t="shared" si="29"/>
        <v/>
      </c>
      <c r="AM417" s="304" t="str">
        <f t="shared" si="30"/>
        <v/>
      </c>
      <c r="AN417" s="308" t="str">
        <f t="shared" si="31"/>
        <v/>
      </c>
      <c r="AO417" s="313" t="str">
        <f t="shared" si="32"/>
        <v/>
      </c>
      <c r="AP417" s="304" t="str">
        <f t="shared" si="33"/>
        <v/>
      </c>
      <c r="AQ417" s="308" t="str">
        <f t="shared" si="34"/>
        <v/>
      </c>
      <c r="AR417" s="313" t="str">
        <f t="shared" si="35"/>
        <v/>
      </c>
      <c r="AS417" s="304" t="str">
        <f t="shared" si="36"/>
        <v/>
      </c>
      <c r="AT417" s="308" t="str">
        <f t="shared" si="37"/>
        <v/>
      </c>
      <c r="AU417" s="308" t="str">
        <f t="shared" si="38"/>
        <v/>
      </c>
      <c r="AV417" s="304" t="str">
        <f t="shared" si="39"/>
        <v/>
      </c>
      <c r="AW417" s="308" t="str">
        <f t="shared" si="40"/>
        <v/>
      </c>
      <c r="AX417" s="308" t="str">
        <f t="shared" si="41"/>
        <v/>
      </c>
      <c r="AY417" s="304" t="str">
        <f t="shared" si="42"/>
        <v/>
      </c>
      <c r="AZ417" s="308" t="str">
        <f t="shared" si="43"/>
        <v/>
      </c>
      <c r="BA417" s="313" t="str">
        <f t="shared" si="44"/>
        <v/>
      </c>
      <c r="BB417" s="304" t="str">
        <f t="shared" si="45"/>
        <v/>
      </c>
      <c r="BC417" s="308" t="str">
        <f t="shared" si="46"/>
        <v/>
      </c>
      <c r="BD417" s="308" t="str">
        <f t="shared" si="47"/>
        <v/>
      </c>
    </row>
    <row r="418">
      <c r="A418" s="298"/>
      <c r="B418" s="299"/>
      <c r="C418" s="300"/>
      <c r="D418" s="301" t="str">
        <f>IFERROR(__xludf.DUMMYFUNCTION("if(ISBLANK(A418),"""",GOOGLEFINANCE(A418,""NAME""))"),"")</f>
        <v/>
      </c>
      <c r="E418" s="302">
        <v>5000.0</v>
      </c>
      <c r="F418" s="303" t="str">
        <f>IFERROR(__xludf.DUMMYFUNCTION("if(ISBLANK(A418),"""",GOOGLEFINANCE(A418,""HIGH52""))"),"")</f>
        <v/>
      </c>
      <c r="G418" s="303" t="str">
        <f>IFERROR(__xludf.DUMMYFUNCTION("if(ISBLANK(A418),"""",GOOGLEFINANCE(A418,""LOW52""))"),"")</f>
        <v/>
      </c>
      <c r="H418" s="304" t="str">
        <f>IFERROR(__xludf.DUMMYFUNCTION("if(ISBLANK(A418),"""",GOOGLEFINANCE(A418,""Price""))"),"")</f>
        <v/>
      </c>
      <c r="I418" s="305" t="str">
        <f t="shared" si="1"/>
        <v/>
      </c>
      <c r="J418" s="306" t="str">
        <f t="shared" si="2"/>
        <v/>
      </c>
      <c r="K418" s="307" t="str">
        <f>IFERROR(__xludf.DUMMYFUNCTION("if(ISBLANK(A418),"""",googlefinance(A418,""Marketcap"")/10000000)"),"")</f>
        <v/>
      </c>
      <c r="L418" s="309" t="str">
        <f t="shared" si="3"/>
        <v/>
      </c>
      <c r="M418" s="308" t="str">
        <f t="shared" si="4"/>
        <v/>
      </c>
      <c r="N418" s="309" t="str">
        <f t="shared" si="5"/>
        <v/>
      </c>
      <c r="O418" s="322" t="str">
        <f t="shared" si="6"/>
        <v/>
      </c>
      <c r="P418" s="308" t="str">
        <f t="shared" si="7"/>
        <v/>
      </c>
      <c r="Q418" s="311" t="str">
        <f t="shared" si="8"/>
        <v/>
      </c>
      <c r="R418" s="309" t="str">
        <f t="shared" si="9"/>
        <v/>
      </c>
      <c r="S418" s="308" t="str">
        <f t="shared" si="10"/>
        <v/>
      </c>
      <c r="T418" s="309" t="str">
        <f t="shared" si="11"/>
        <v/>
      </c>
      <c r="U418" s="309" t="str">
        <f t="shared" si="12"/>
        <v/>
      </c>
      <c r="V418" s="308" t="str">
        <f t="shared" si="13"/>
        <v/>
      </c>
      <c r="W418" s="309" t="str">
        <f t="shared" si="14"/>
        <v/>
      </c>
      <c r="X418" s="309" t="str">
        <f t="shared" si="15"/>
        <v/>
      </c>
      <c r="Y418" s="308" t="str">
        <f t="shared" si="16"/>
        <v/>
      </c>
      <c r="Z418" s="309" t="str">
        <f t="shared" si="17"/>
        <v/>
      </c>
      <c r="AA418" s="312" t="str">
        <f t="shared" si="18"/>
        <v/>
      </c>
      <c r="AB418" s="308" t="str">
        <f t="shared" si="19"/>
        <v/>
      </c>
      <c r="AC418" s="308" t="str">
        <f t="shared" si="20"/>
        <v/>
      </c>
      <c r="AD418" s="312" t="str">
        <f t="shared" si="21"/>
        <v/>
      </c>
      <c r="AE418" s="308" t="str">
        <f t="shared" si="22"/>
        <v/>
      </c>
      <c r="AF418" s="313" t="str">
        <f t="shared" si="23"/>
        <v/>
      </c>
      <c r="AG418" s="304" t="str">
        <f t="shared" si="24"/>
        <v/>
      </c>
      <c r="AH418" s="308" t="str">
        <f t="shared" si="25"/>
        <v/>
      </c>
      <c r="AI418" s="313" t="str">
        <f t="shared" si="26"/>
        <v/>
      </c>
      <c r="AJ418" s="304" t="str">
        <f t="shared" si="27"/>
        <v/>
      </c>
      <c r="AK418" s="308" t="str">
        <f t="shared" si="28"/>
        <v/>
      </c>
      <c r="AL418" s="308" t="str">
        <f t="shared" si="29"/>
        <v/>
      </c>
      <c r="AM418" s="304" t="str">
        <f t="shared" si="30"/>
        <v/>
      </c>
      <c r="AN418" s="308" t="str">
        <f t="shared" si="31"/>
        <v/>
      </c>
      <c r="AO418" s="313" t="str">
        <f t="shared" si="32"/>
        <v/>
      </c>
      <c r="AP418" s="304" t="str">
        <f t="shared" si="33"/>
        <v/>
      </c>
      <c r="AQ418" s="308" t="str">
        <f t="shared" si="34"/>
        <v/>
      </c>
      <c r="AR418" s="313" t="str">
        <f t="shared" si="35"/>
        <v/>
      </c>
      <c r="AS418" s="304" t="str">
        <f t="shared" si="36"/>
        <v/>
      </c>
      <c r="AT418" s="308" t="str">
        <f t="shared" si="37"/>
        <v/>
      </c>
      <c r="AU418" s="308" t="str">
        <f t="shared" si="38"/>
        <v/>
      </c>
      <c r="AV418" s="304" t="str">
        <f t="shared" si="39"/>
        <v/>
      </c>
      <c r="AW418" s="308" t="str">
        <f t="shared" si="40"/>
        <v/>
      </c>
      <c r="AX418" s="308" t="str">
        <f t="shared" si="41"/>
        <v/>
      </c>
      <c r="AY418" s="304" t="str">
        <f t="shared" si="42"/>
        <v/>
      </c>
      <c r="AZ418" s="308" t="str">
        <f t="shared" si="43"/>
        <v/>
      </c>
      <c r="BA418" s="313" t="str">
        <f t="shared" si="44"/>
        <v/>
      </c>
      <c r="BB418" s="304" t="str">
        <f t="shared" si="45"/>
        <v/>
      </c>
      <c r="BC418" s="308" t="str">
        <f t="shared" si="46"/>
        <v/>
      </c>
      <c r="BD418" s="308" t="str">
        <f t="shared" si="47"/>
        <v/>
      </c>
    </row>
    <row r="419">
      <c r="A419" s="298"/>
      <c r="B419" s="299"/>
      <c r="C419" s="300"/>
      <c r="D419" s="301" t="str">
        <f>IFERROR(__xludf.DUMMYFUNCTION("if(ISBLANK(A419),"""",GOOGLEFINANCE(A419,""NAME""))"),"")</f>
        <v/>
      </c>
      <c r="E419" s="302">
        <v>5000.0</v>
      </c>
      <c r="F419" s="303" t="str">
        <f>IFERROR(__xludf.DUMMYFUNCTION("if(ISBLANK(A419),"""",GOOGLEFINANCE(A419,""HIGH52""))"),"")</f>
        <v/>
      </c>
      <c r="G419" s="303" t="str">
        <f>IFERROR(__xludf.DUMMYFUNCTION("if(ISBLANK(A419),"""",GOOGLEFINANCE(A419,""LOW52""))"),"")</f>
        <v/>
      </c>
      <c r="H419" s="304" t="str">
        <f>IFERROR(__xludf.DUMMYFUNCTION("if(ISBLANK(A419),"""",GOOGLEFINANCE(A419,""Price""))"),"")</f>
        <v/>
      </c>
      <c r="I419" s="305" t="str">
        <f t="shared" si="1"/>
        <v/>
      </c>
      <c r="J419" s="306" t="str">
        <f t="shared" si="2"/>
        <v/>
      </c>
      <c r="K419" s="307" t="str">
        <f>IFERROR(__xludf.DUMMYFUNCTION("if(ISBLANK(A419),"""",googlefinance(A419,""Marketcap"")/10000000)"),"")</f>
        <v/>
      </c>
      <c r="L419" s="309" t="str">
        <f t="shared" si="3"/>
        <v/>
      </c>
      <c r="M419" s="308" t="str">
        <f t="shared" si="4"/>
        <v/>
      </c>
      <c r="N419" s="309" t="str">
        <f t="shared" si="5"/>
        <v/>
      </c>
      <c r="O419" s="322" t="str">
        <f t="shared" si="6"/>
        <v/>
      </c>
      <c r="P419" s="308" t="str">
        <f t="shared" si="7"/>
        <v/>
      </c>
      <c r="Q419" s="311" t="str">
        <f t="shared" si="8"/>
        <v/>
      </c>
      <c r="R419" s="309" t="str">
        <f t="shared" si="9"/>
        <v/>
      </c>
      <c r="S419" s="308" t="str">
        <f t="shared" si="10"/>
        <v/>
      </c>
      <c r="T419" s="309" t="str">
        <f t="shared" si="11"/>
        <v/>
      </c>
      <c r="U419" s="309" t="str">
        <f t="shared" si="12"/>
        <v/>
      </c>
      <c r="V419" s="308" t="str">
        <f t="shared" si="13"/>
        <v/>
      </c>
      <c r="W419" s="309" t="str">
        <f t="shared" si="14"/>
        <v/>
      </c>
      <c r="X419" s="309" t="str">
        <f t="shared" si="15"/>
        <v/>
      </c>
      <c r="Y419" s="308" t="str">
        <f t="shared" si="16"/>
        <v/>
      </c>
      <c r="Z419" s="309" t="str">
        <f t="shared" si="17"/>
        <v/>
      </c>
      <c r="AA419" s="312" t="str">
        <f t="shared" si="18"/>
        <v/>
      </c>
      <c r="AB419" s="308" t="str">
        <f t="shared" si="19"/>
        <v/>
      </c>
      <c r="AC419" s="308" t="str">
        <f t="shared" si="20"/>
        <v/>
      </c>
      <c r="AD419" s="312" t="str">
        <f t="shared" si="21"/>
        <v/>
      </c>
      <c r="AE419" s="308" t="str">
        <f t="shared" si="22"/>
        <v/>
      </c>
      <c r="AF419" s="313" t="str">
        <f t="shared" si="23"/>
        <v/>
      </c>
      <c r="AG419" s="304" t="str">
        <f t="shared" si="24"/>
        <v/>
      </c>
      <c r="AH419" s="308" t="str">
        <f t="shared" si="25"/>
        <v/>
      </c>
      <c r="AI419" s="313" t="str">
        <f t="shared" si="26"/>
        <v/>
      </c>
      <c r="AJ419" s="304" t="str">
        <f t="shared" si="27"/>
        <v/>
      </c>
      <c r="AK419" s="308" t="str">
        <f t="shared" si="28"/>
        <v/>
      </c>
      <c r="AL419" s="308" t="str">
        <f t="shared" si="29"/>
        <v/>
      </c>
      <c r="AM419" s="304" t="str">
        <f t="shared" si="30"/>
        <v/>
      </c>
      <c r="AN419" s="308" t="str">
        <f t="shared" si="31"/>
        <v/>
      </c>
      <c r="AO419" s="313" t="str">
        <f t="shared" si="32"/>
        <v/>
      </c>
      <c r="AP419" s="304" t="str">
        <f t="shared" si="33"/>
        <v/>
      </c>
      <c r="AQ419" s="308" t="str">
        <f t="shared" si="34"/>
        <v/>
      </c>
      <c r="AR419" s="313" t="str">
        <f t="shared" si="35"/>
        <v/>
      </c>
      <c r="AS419" s="304" t="str">
        <f t="shared" si="36"/>
        <v/>
      </c>
      <c r="AT419" s="308" t="str">
        <f t="shared" si="37"/>
        <v/>
      </c>
      <c r="AU419" s="308" t="str">
        <f t="shared" si="38"/>
        <v/>
      </c>
      <c r="AV419" s="304" t="str">
        <f t="shared" si="39"/>
        <v/>
      </c>
      <c r="AW419" s="308" t="str">
        <f t="shared" si="40"/>
        <v/>
      </c>
      <c r="AX419" s="308" t="str">
        <f t="shared" si="41"/>
        <v/>
      </c>
      <c r="AY419" s="304" t="str">
        <f t="shared" si="42"/>
        <v/>
      </c>
      <c r="AZ419" s="308" t="str">
        <f t="shared" si="43"/>
        <v/>
      </c>
      <c r="BA419" s="313" t="str">
        <f t="shared" si="44"/>
        <v/>
      </c>
      <c r="BB419" s="304" t="str">
        <f t="shared" si="45"/>
        <v/>
      </c>
      <c r="BC419" s="308" t="str">
        <f t="shared" si="46"/>
        <v/>
      </c>
      <c r="BD419" s="308" t="str">
        <f t="shared" si="47"/>
        <v/>
      </c>
    </row>
    <row r="420">
      <c r="A420" s="298"/>
      <c r="B420" s="299"/>
      <c r="C420" s="300"/>
      <c r="D420" s="301" t="str">
        <f>IFERROR(__xludf.DUMMYFUNCTION("if(ISBLANK(A420),"""",GOOGLEFINANCE(A420,""NAME""))"),"")</f>
        <v/>
      </c>
      <c r="E420" s="302">
        <v>5000.0</v>
      </c>
      <c r="F420" s="303" t="str">
        <f>IFERROR(__xludf.DUMMYFUNCTION("if(ISBLANK(A420),"""",GOOGLEFINANCE(A420,""HIGH52""))"),"")</f>
        <v/>
      </c>
      <c r="G420" s="303" t="str">
        <f>IFERROR(__xludf.DUMMYFUNCTION("if(ISBLANK(A420),"""",GOOGLEFINANCE(A420,""LOW52""))"),"")</f>
        <v/>
      </c>
      <c r="H420" s="304" t="str">
        <f>IFERROR(__xludf.DUMMYFUNCTION("if(ISBLANK(A420),"""",GOOGLEFINANCE(A420,""Price""))"),"")</f>
        <v/>
      </c>
      <c r="I420" s="305" t="str">
        <f t="shared" si="1"/>
        <v/>
      </c>
      <c r="J420" s="306" t="str">
        <f t="shared" si="2"/>
        <v/>
      </c>
      <c r="K420" s="307" t="str">
        <f>IFERROR(__xludf.DUMMYFUNCTION("if(ISBLANK(A420),"""",googlefinance(A420,""Marketcap"")/10000000)"),"")</f>
        <v/>
      </c>
      <c r="L420" s="309" t="str">
        <f t="shared" si="3"/>
        <v/>
      </c>
      <c r="M420" s="308" t="str">
        <f t="shared" si="4"/>
        <v/>
      </c>
      <c r="N420" s="309" t="str">
        <f t="shared" si="5"/>
        <v/>
      </c>
      <c r="O420" s="322" t="str">
        <f t="shared" si="6"/>
        <v/>
      </c>
      <c r="P420" s="308" t="str">
        <f t="shared" si="7"/>
        <v/>
      </c>
      <c r="Q420" s="311" t="str">
        <f t="shared" si="8"/>
        <v/>
      </c>
      <c r="R420" s="309" t="str">
        <f t="shared" si="9"/>
        <v/>
      </c>
      <c r="S420" s="308" t="str">
        <f t="shared" si="10"/>
        <v/>
      </c>
      <c r="T420" s="309" t="str">
        <f t="shared" si="11"/>
        <v/>
      </c>
      <c r="U420" s="309" t="str">
        <f t="shared" si="12"/>
        <v/>
      </c>
      <c r="V420" s="308" t="str">
        <f t="shared" si="13"/>
        <v/>
      </c>
      <c r="W420" s="309" t="str">
        <f t="shared" si="14"/>
        <v/>
      </c>
      <c r="X420" s="309" t="str">
        <f t="shared" si="15"/>
        <v/>
      </c>
      <c r="Y420" s="308" t="str">
        <f t="shared" si="16"/>
        <v/>
      </c>
      <c r="Z420" s="309" t="str">
        <f t="shared" si="17"/>
        <v/>
      </c>
      <c r="AA420" s="312" t="str">
        <f t="shared" si="18"/>
        <v/>
      </c>
      <c r="AB420" s="308" t="str">
        <f t="shared" si="19"/>
        <v/>
      </c>
      <c r="AC420" s="308" t="str">
        <f t="shared" si="20"/>
        <v/>
      </c>
      <c r="AD420" s="312" t="str">
        <f t="shared" si="21"/>
        <v/>
      </c>
      <c r="AE420" s="308" t="str">
        <f t="shared" si="22"/>
        <v/>
      </c>
      <c r="AF420" s="313" t="str">
        <f t="shared" si="23"/>
        <v/>
      </c>
      <c r="AG420" s="304" t="str">
        <f t="shared" si="24"/>
        <v/>
      </c>
      <c r="AH420" s="308" t="str">
        <f t="shared" si="25"/>
        <v/>
      </c>
      <c r="AI420" s="313" t="str">
        <f t="shared" si="26"/>
        <v/>
      </c>
      <c r="AJ420" s="304" t="str">
        <f t="shared" si="27"/>
        <v/>
      </c>
      <c r="AK420" s="308" t="str">
        <f t="shared" si="28"/>
        <v/>
      </c>
      <c r="AL420" s="308" t="str">
        <f t="shared" si="29"/>
        <v/>
      </c>
      <c r="AM420" s="304" t="str">
        <f t="shared" si="30"/>
        <v/>
      </c>
      <c r="AN420" s="308" t="str">
        <f t="shared" si="31"/>
        <v/>
      </c>
      <c r="AO420" s="313" t="str">
        <f t="shared" si="32"/>
        <v/>
      </c>
      <c r="AP420" s="304" t="str">
        <f t="shared" si="33"/>
        <v/>
      </c>
      <c r="AQ420" s="308" t="str">
        <f t="shared" si="34"/>
        <v/>
      </c>
      <c r="AR420" s="313" t="str">
        <f t="shared" si="35"/>
        <v/>
      </c>
      <c r="AS420" s="304" t="str">
        <f t="shared" si="36"/>
        <v/>
      </c>
      <c r="AT420" s="308" t="str">
        <f t="shared" si="37"/>
        <v/>
      </c>
      <c r="AU420" s="308" t="str">
        <f t="shared" si="38"/>
        <v/>
      </c>
      <c r="AV420" s="304" t="str">
        <f t="shared" si="39"/>
        <v/>
      </c>
      <c r="AW420" s="308" t="str">
        <f t="shared" si="40"/>
        <v/>
      </c>
      <c r="AX420" s="308" t="str">
        <f t="shared" si="41"/>
        <v/>
      </c>
      <c r="AY420" s="304" t="str">
        <f t="shared" si="42"/>
        <v/>
      </c>
      <c r="AZ420" s="308" t="str">
        <f t="shared" si="43"/>
        <v/>
      </c>
      <c r="BA420" s="313" t="str">
        <f t="shared" si="44"/>
        <v/>
      </c>
      <c r="BB420" s="304" t="str">
        <f t="shared" si="45"/>
        <v/>
      </c>
      <c r="BC420" s="308" t="str">
        <f t="shared" si="46"/>
        <v/>
      </c>
      <c r="BD420" s="308" t="str">
        <f t="shared" si="47"/>
        <v/>
      </c>
    </row>
    <row r="421">
      <c r="A421" s="298"/>
      <c r="B421" s="299"/>
      <c r="C421" s="300"/>
      <c r="D421" s="301" t="str">
        <f>IFERROR(__xludf.DUMMYFUNCTION("if(ISBLANK(A421),"""",GOOGLEFINANCE(A421,""NAME""))"),"")</f>
        <v/>
      </c>
      <c r="E421" s="302">
        <v>5000.0</v>
      </c>
      <c r="F421" s="303" t="str">
        <f>IFERROR(__xludf.DUMMYFUNCTION("if(ISBLANK(A421),"""",GOOGLEFINANCE(A421,""HIGH52""))"),"")</f>
        <v/>
      </c>
      <c r="G421" s="303" t="str">
        <f>IFERROR(__xludf.DUMMYFUNCTION("if(ISBLANK(A421),"""",GOOGLEFINANCE(A421,""LOW52""))"),"")</f>
        <v/>
      </c>
      <c r="H421" s="304" t="str">
        <f>IFERROR(__xludf.DUMMYFUNCTION("if(ISBLANK(A421),"""",GOOGLEFINANCE(A421,""Price""))"),"")</f>
        <v/>
      </c>
      <c r="I421" s="305" t="str">
        <f t="shared" si="1"/>
        <v/>
      </c>
      <c r="J421" s="306" t="str">
        <f t="shared" si="2"/>
        <v/>
      </c>
      <c r="K421" s="307" t="str">
        <f>IFERROR(__xludf.DUMMYFUNCTION("if(ISBLANK(A421),"""",googlefinance(A421,""Marketcap"")/10000000)"),"")</f>
        <v/>
      </c>
      <c r="L421" s="309" t="str">
        <f t="shared" si="3"/>
        <v/>
      </c>
      <c r="M421" s="308" t="str">
        <f t="shared" si="4"/>
        <v/>
      </c>
      <c r="N421" s="309" t="str">
        <f t="shared" si="5"/>
        <v/>
      </c>
      <c r="O421" s="322" t="str">
        <f t="shared" si="6"/>
        <v/>
      </c>
      <c r="P421" s="308" t="str">
        <f t="shared" si="7"/>
        <v/>
      </c>
      <c r="Q421" s="311" t="str">
        <f t="shared" si="8"/>
        <v/>
      </c>
      <c r="R421" s="309" t="str">
        <f t="shared" si="9"/>
        <v/>
      </c>
      <c r="S421" s="308" t="str">
        <f t="shared" si="10"/>
        <v/>
      </c>
      <c r="T421" s="309" t="str">
        <f t="shared" si="11"/>
        <v/>
      </c>
      <c r="U421" s="309" t="str">
        <f t="shared" si="12"/>
        <v/>
      </c>
      <c r="V421" s="308" t="str">
        <f t="shared" si="13"/>
        <v/>
      </c>
      <c r="W421" s="309" t="str">
        <f t="shared" si="14"/>
        <v/>
      </c>
      <c r="X421" s="309" t="str">
        <f t="shared" si="15"/>
        <v/>
      </c>
      <c r="Y421" s="308" t="str">
        <f t="shared" si="16"/>
        <v/>
      </c>
      <c r="Z421" s="309" t="str">
        <f t="shared" si="17"/>
        <v/>
      </c>
      <c r="AA421" s="312" t="str">
        <f t="shared" si="18"/>
        <v/>
      </c>
      <c r="AB421" s="308" t="str">
        <f t="shared" si="19"/>
        <v/>
      </c>
      <c r="AC421" s="308" t="str">
        <f t="shared" si="20"/>
        <v/>
      </c>
      <c r="AD421" s="312" t="str">
        <f t="shared" si="21"/>
        <v/>
      </c>
      <c r="AE421" s="308" t="str">
        <f t="shared" si="22"/>
        <v/>
      </c>
      <c r="AF421" s="313" t="str">
        <f t="shared" si="23"/>
        <v/>
      </c>
      <c r="AG421" s="304" t="str">
        <f t="shared" si="24"/>
        <v/>
      </c>
      <c r="AH421" s="308" t="str">
        <f t="shared" si="25"/>
        <v/>
      </c>
      <c r="AI421" s="313" t="str">
        <f t="shared" si="26"/>
        <v/>
      </c>
      <c r="AJ421" s="304" t="str">
        <f t="shared" si="27"/>
        <v/>
      </c>
      <c r="AK421" s="308" t="str">
        <f t="shared" si="28"/>
        <v/>
      </c>
      <c r="AL421" s="308" t="str">
        <f t="shared" si="29"/>
        <v/>
      </c>
      <c r="AM421" s="304" t="str">
        <f t="shared" si="30"/>
        <v/>
      </c>
      <c r="AN421" s="308" t="str">
        <f t="shared" si="31"/>
        <v/>
      </c>
      <c r="AO421" s="313" t="str">
        <f t="shared" si="32"/>
        <v/>
      </c>
      <c r="AP421" s="304" t="str">
        <f t="shared" si="33"/>
        <v/>
      </c>
      <c r="AQ421" s="308" t="str">
        <f t="shared" si="34"/>
        <v/>
      </c>
      <c r="AR421" s="313" t="str">
        <f t="shared" si="35"/>
        <v/>
      </c>
      <c r="AS421" s="304" t="str">
        <f t="shared" si="36"/>
        <v/>
      </c>
      <c r="AT421" s="308" t="str">
        <f t="shared" si="37"/>
        <v/>
      </c>
      <c r="AU421" s="308" t="str">
        <f t="shared" si="38"/>
        <v/>
      </c>
      <c r="AV421" s="304" t="str">
        <f t="shared" si="39"/>
        <v/>
      </c>
      <c r="AW421" s="308" t="str">
        <f t="shared" si="40"/>
        <v/>
      </c>
      <c r="AX421" s="308" t="str">
        <f t="shared" si="41"/>
        <v/>
      </c>
      <c r="AY421" s="304" t="str">
        <f t="shared" si="42"/>
        <v/>
      </c>
      <c r="AZ421" s="308" t="str">
        <f t="shared" si="43"/>
        <v/>
      </c>
      <c r="BA421" s="313" t="str">
        <f t="shared" si="44"/>
        <v/>
      </c>
      <c r="BB421" s="304" t="str">
        <f t="shared" si="45"/>
        <v/>
      </c>
      <c r="BC421" s="308" t="str">
        <f t="shared" si="46"/>
        <v/>
      </c>
      <c r="BD421" s="308" t="str">
        <f t="shared" si="47"/>
        <v/>
      </c>
    </row>
    <row r="422">
      <c r="A422" s="298"/>
      <c r="B422" s="299"/>
      <c r="C422" s="300"/>
      <c r="D422" s="301" t="str">
        <f>IFERROR(__xludf.DUMMYFUNCTION("if(ISBLANK(A422),"""",GOOGLEFINANCE(A422,""NAME""))"),"")</f>
        <v/>
      </c>
      <c r="E422" s="302">
        <v>5000.0</v>
      </c>
      <c r="F422" s="303" t="str">
        <f>IFERROR(__xludf.DUMMYFUNCTION("if(ISBLANK(A422),"""",GOOGLEFINANCE(A422,""HIGH52""))"),"")</f>
        <v/>
      </c>
      <c r="G422" s="303" t="str">
        <f>IFERROR(__xludf.DUMMYFUNCTION("if(ISBLANK(A422),"""",GOOGLEFINANCE(A422,""LOW52""))"),"")</f>
        <v/>
      </c>
      <c r="H422" s="304" t="str">
        <f>IFERROR(__xludf.DUMMYFUNCTION("if(ISBLANK(A422),"""",GOOGLEFINANCE(A422,""Price""))"),"")</f>
        <v/>
      </c>
      <c r="I422" s="305" t="str">
        <f t="shared" si="1"/>
        <v/>
      </c>
      <c r="J422" s="306" t="str">
        <f t="shared" si="2"/>
        <v/>
      </c>
      <c r="K422" s="307" t="str">
        <f>IFERROR(__xludf.DUMMYFUNCTION("if(ISBLANK(A422),"""",googlefinance(A422,""Marketcap"")/10000000)"),"")</f>
        <v/>
      </c>
      <c r="L422" s="309" t="str">
        <f t="shared" si="3"/>
        <v/>
      </c>
      <c r="M422" s="308" t="str">
        <f t="shared" si="4"/>
        <v/>
      </c>
      <c r="N422" s="309" t="str">
        <f t="shared" si="5"/>
        <v/>
      </c>
      <c r="O422" s="322" t="str">
        <f t="shared" si="6"/>
        <v/>
      </c>
      <c r="P422" s="308" t="str">
        <f t="shared" si="7"/>
        <v/>
      </c>
      <c r="Q422" s="311" t="str">
        <f t="shared" si="8"/>
        <v/>
      </c>
      <c r="R422" s="309" t="str">
        <f t="shared" si="9"/>
        <v/>
      </c>
      <c r="S422" s="308" t="str">
        <f t="shared" si="10"/>
        <v/>
      </c>
      <c r="T422" s="309" t="str">
        <f t="shared" si="11"/>
        <v/>
      </c>
      <c r="U422" s="309" t="str">
        <f t="shared" si="12"/>
        <v/>
      </c>
      <c r="V422" s="308" t="str">
        <f t="shared" si="13"/>
        <v/>
      </c>
      <c r="W422" s="309" t="str">
        <f t="shared" si="14"/>
        <v/>
      </c>
      <c r="X422" s="309" t="str">
        <f t="shared" si="15"/>
        <v/>
      </c>
      <c r="Y422" s="308" t="str">
        <f t="shared" si="16"/>
        <v/>
      </c>
      <c r="Z422" s="309" t="str">
        <f t="shared" si="17"/>
        <v/>
      </c>
      <c r="AA422" s="312" t="str">
        <f t="shared" si="18"/>
        <v/>
      </c>
      <c r="AB422" s="308" t="str">
        <f t="shared" si="19"/>
        <v/>
      </c>
      <c r="AC422" s="308" t="str">
        <f t="shared" si="20"/>
        <v/>
      </c>
      <c r="AD422" s="312" t="str">
        <f t="shared" si="21"/>
        <v/>
      </c>
      <c r="AE422" s="308" t="str">
        <f t="shared" si="22"/>
        <v/>
      </c>
      <c r="AF422" s="313" t="str">
        <f t="shared" si="23"/>
        <v/>
      </c>
      <c r="AG422" s="304" t="str">
        <f t="shared" si="24"/>
        <v/>
      </c>
      <c r="AH422" s="308" t="str">
        <f t="shared" si="25"/>
        <v/>
      </c>
      <c r="AI422" s="313" t="str">
        <f t="shared" si="26"/>
        <v/>
      </c>
      <c r="AJ422" s="304" t="str">
        <f t="shared" si="27"/>
        <v/>
      </c>
      <c r="AK422" s="308" t="str">
        <f t="shared" si="28"/>
        <v/>
      </c>
      <c r="AL422" s="308" t="str">
        <f t="shared" si="29"/>
        <v/>
      </c>
      <c r="AM422" s="304" t="str">
        <f t="shared" si="30"/>
        <v/>
      </c>
      <c r="AN422" s="308" t="str">
        <f t="shared" si="31"/>
        <v/>
      </c>
      <c r="AO422" s="313" t="str">
        <f t="shared" si="32"/>
        <v/>
      </c>
      <c r="AP422" s="304" t="str">
        <f t="shared" si="33"/>
        <v/>
      </c>
      <c r="AQ422" s="308" t="str">
        <f t="shared" si="34"/>
        <v/>
      </c>
      <c r="AR422" s="313" t="str">
        <f t="shared" si="35"/>
        <v/>
      </c>
      <c r="AS422" s="304" t="str">
        <f t="shared" si="36"/>
        <v/>
      </c>
      <c r="AT422" s="308" t="str">
        <f t="shared" si="37"/>
        <v/>
      </c>
      <c r="AU422" s="308" t="str">
        <f t="shared" si="38"/>
        <v/>
      </c>
      <c r="AV422" s="304" t="str">
        <f t="shared" si="39"/>
        <v/>
      </c>
      <c r="AW422" s="308" t="str">
        <f t="shared" si="40"/>
        <v/>
      </c>
      <c r="AX422" s="308" t="str">
        <f t="shared" si="41"/>
        <v/>
      </c>
      <c r="AY422" s="304" t="str">
        <f t="shared" si="42"/>
        <v/>
      </c>
      <c r="AZ422" s="308" t="str">
        <f t="shared" si="43"/>
        <v/>
      </c>
      <c r="BA422" s="313" t="str">
        <f t="shared" si="44"/>
        <v/>
      </c>
      <c r="BB422" s="304" t="str">
        <f t="shared" si="45"/>
        <v/>
      </c>
      <c r="BC422" s="308" t="str">
        <f t="shared" si="46"/>
        <v/>
      </c>
      <c r="BD422" s="308" t="str">
        <f t="shared" si="47"/>
        <v/>
      </c>
    </row>
    <row r="423">
      <c r="A423" s="298"/>
      <c r="B423" s="299"/>
      <c r="C423" s="300"/>
      <c r="D423" s="301" t="str">
        <f>IFERROR(__xludf.DUMMYFUNCTION("if(ISBLANK(A423),"""",GOOGLEFINANCE(A423,""NAME""))"),"")</f>
        <v/>
      </c>
      <c r="E423" s="302">
        <v>5000.0</v>
      </c>
      <c r="F423" s="303" t="str">
        <f>IFERROR(__xludf.DUMMYFUNCTION("if(ISBLANK(A423),"""",GOOGLEFINANCE(A423,""HIGH52""))"),"")</f>
        <v/>
      </c>
      <c r="G423" s="303" t="str">
        <f>IFERROR(__xludf.DUMMYFUNCTION("if(ISBLANK(A423),"""",GOOGLEFINANCE(A423,""LOW52""))"),"")</f>
        <v/>
      </c>
      <c r="H423" s="304" t="str">
        <f>IFERROR(__xludf.DUMMYFUNCTION("if(ISBLANK(A423),"""",GOOGLEFINANCE(A423,""Price""))"),"")</f>
        <v/>
      </c>
      <c r="I423" s="305" t="str">
        <f t="shared" si="1"/>
        <v/>
      </c>
      <c r="J423" s="306" t="str">
        <f t="shared" si="2"/>
        <v/>
      </c>
      <c r="K423" s="307" t="str">
        <f>IFERROR(__xludf.DUMMYFUNCTION("if(ISBLANK(A423),"""",googlefinance(A423,""Marketcap"")/10000000)"),"")</f>
        <v/>
      </c>
      <c r="L423" s="309" t="str">
        <f t="shared" si="3"/>
        <v/>
      </c>
      <c r="M423" s="308" t="str">
        <f t="shared" si="4"/>
        <v/>
      </c>
      <c r="N423" s="309" t="str">
        <f t="shared" si="5"/>
        <v/>
      </c>
      <c r="O423" s="322" t="str">
        <f t="shared" si="6"/>
        <v/>
      </c>
      <c r="P423" s="308" t="str">
        <f t="shared" si="7"/>
        <v/>
      </c>
      <c r="Q423" s="311" t="str">
        <f t="shared" si="8"/>
        <v/>
      </c>
      <c r="R423" s="309" t="str">
        <f t="shared" si="9"/>
        <v/>
      </c>
      <c r="S423" s="308" t="str">
        <f t="shared" si="10"/>
        <v/>
      </c>
      <c r="T423" s="309" t="str">
        <f t="shared" si="11"/>
        <v/>
      </c>
      <c r="U423" s="309" t="str">
        <f t="shared" si="12"/>
        <v/>
      </c>
      <c r="V423" s="308" t="str">
        <f t="shared" si="13"/>
        <v/>
      </c>
      <c r="W423" s="309" t="str">
        <f t="shared" si="14"/>
        <v/>
      </c>
      <c r="X423" s="309" t="str">
        <f t="shared" si="15"/>
        <v/>
      </c>
      <c r="Y423" s="308" t="str">
        <f t="shared" si="16"/>
        <v/>
      </c>
      <c r="Z423" s="309" t="str">
        <f t="shared" si="17"/>
        <v/>
      </c>
      <c r="AA423" s="312" t="str">
        <f t="shared" si="18"/>
        <v/>
      </c>
      <c r="AB423" s="308" t="str">
        <f t="shared" si="19"/>
        <v/>
      </c>
      <c r="AC423" s="308" t="str">
        <f t="shared" si="20"/>
        <v/>
      </c>
      <c r="AD423" s="312" t="str">
        <f t="shared" si="21"/>
        <v/>
      </c>
      <c r="AE423" s="308" t="str">
        <f t="shared" si="22"/>
        <v/>
      </c>
      <c r="AF423" s="313" t="str">
        <f t="shared" si="23"/>
        <v/>
      </c>
      <c r="AG423" s="304" t="str">
        <f t="shared" si="24"/>
        <v/>
      </c>
      <c r="AH423" s="308" t="str">
        <f t="shared" si="25"/>
        <v/>
      </c>
      <c r="AI423" s="313" t="str">
        <f t="shared" si="26"/>
        <v/>
      </c>
      <c r="AJ423" s="304" t="str">
        <f t="shared" si="27"/>
        <v/>
      </c>
      <c r="AK423" s="308" t="str">
        <f t="shared" si="28"/>
        <v/>
      </c>
      <c r="AL423" s="308" t="str">
        <f t="shared" si="29"/>
        <v/>
      </c>
      <c r="AM423" s="304" t="str">
        <f t="shared" si="30"/>
        <v/>
      </c>
      <c r="AN423" s="308" t="str">
        <f t="shared" si="31"/>
        <v/>
      </c>
      <c r="AO423" s="313" t="str">
        <f t="shared" si="32"/>
        <v/>
      </c>
      <c r="AP423" s="304" t="str">
        <f t="shared" si="33"/>
        <v/>
      </c>
      <c r="AQ423" s="308" t="str">
        <f t="shared" si="34"/>
        <v/>
      </c>
      <c r="AR423" s="313" t="str">
        <f t="shared" si="35"/>
        <v/>
      </c>
      <c r="AS423" s="304" t="str">
        <f t="shared" si="36"/>
        <v/>
      </c>
      <c r="AT423" s="308" t="str">
        <f t="shared" si="37"/>
        <v/>
      </c>
      <c r="AU423" s="308" t="str">
        <f t="shared" si="38"/>
        <v/>
      </c>
      <c r="AV423" s="304" t="str">
        <f t="shared" si="39"/>
        <v/>
      </c>
      <c r="AW423" s="308" t="str">
        <f t="shared" si="40"/>
        <v/>
      </c>
      <c r="AX423" s="308" t="str">
        <f t="shared" si="41"/>
        <v/>
      </c>
      <c r="AY423" s="304" t="str">
        <f t="shared" si="42"/>
        <v/>
      </c>
      <c r="AZ423" s="308" t="str">
        <f t="shared" si="43"/>
        <v/>
      </c>
      <c r="BA423" s="313" t="str">
        <f t="shared" si="44"/>
        <v/>
      </c>
      <c r="BB423" s="304" t="str">
        <f t="shared" si="45"/>
        <v/>
      </c>
      <c r="BC423" s="308" t="str">
        <f t="shared" si="46"/>
        <v/>
      </c>
      <c r="BD423" s="308" t="str">
        <f t="shared" si="47"/>
        <v/>
      </c>
    </row>
    <row r="424">
      <c r="A424" s="298"/>
      <c r="B424" s="299"/>
      <c r="C424" s="300"/>
      <c r="D424" s="301" t="str">
        <f>IFERROR(__xludf.DUMMYFUNCTION("if(ISBLANK(A424),"""",GOOGLEFINANCE(A424,""NAME""))"),"")</f>
        <v/>
      </c>
      <c r="E424" s="302">
        <v>5000.0</v>
      </c>
      <c r="F424" s="303" t="str">
        <f>IFERROR(__xludf.DUMMYFUNCTION("if(ISBLANK(A424),"""",GOOGLEFINANCE(A424,""HIGH52""))"),"")</f>
        <v/>
      </c>
      <c r="G424" s="303" t="str">
        <f>IFERROR(__xludf.DUMMYFUNCTION("if(ISBLANK(A424),"""",GOOGLEFINANCE(A424,""LOW52""))"),"")</f>
        <v/>
      </c>
      <c r="H424" s="304" t="str">
        <f>IFERROR(__xludf.DUMMYFUNCTION("if(ISBLANK(A424),"""",GOOGLEFINANCE(A424,""Price""))"),"")</f>
        <v/>
      </c>
      <c r="I424" s="305" t="str">
        <f t="shared" si="1"/>
        <v/>
      </c>
      <c r="J424" s="306" t="str">
        <f t="shared" si="2"/>
        <v/>
      </c>
      <c r="K424" s="307" t="str">
        <f>IFERROR(__xludf.DUMMYFUNCTION("if(ISBLANK(A424),"""",googlefinance(A424,""Marketcap"")/10000000)"),"")</f>
        <v/>
      </c>
      <c r="L424" s="309" t="str">
        <f t="shared" si="3"/>
        <v/>
      </c>
      <c r="M424" s="308" t="str">
        <f t="shared" si="4"/>
        <v/>
      </c>
      <c r="N424" s="309" t="str">
        <f t="shared" si="5"/>
        <v/>
      </c>
      <c r="O424" s="322" t="str">
        <f t="shared" si="6"/>
        <v/>
      </c>
      <c r="P424" s="308" t="str">
        <f t="shared" si="7"/>
        <v/>
      </c>
      <c r="Q424" s="311" t="str">
        <f t="shared" si="8"/>
        <v/>
      </c>
      <c r="R424" s="309" t="str">
        <f t="shared" si="9"/>
        <v/>
      </c>
      <c r="S424" s="308" t="str">
        <f t="shared" si="10"/>
        <v/>
      </c>
      <c r="T424" s="309" t="str">
        <f t="shared" si="11"/>
        <v/>
      </c>
      <c r="U424" s="309" t="str">
        <f t="shared" si="12"/>
        <v/>
      </c>
      <c r="V424" s="308" t="str">
        <f t="shared" si="13"/>
        <v/>
      </c>
      <c r="W424" s="309" t="str">
        <f t="shared" si="14"/>
        <v/>
      </c>
      <c r="X424" s="309" t="str">
        <f t="shared" si="15"/>
        <v/>
      </c>
      <c r="Y424" s="308" t="str">
        <f t="shared" si="16"/>
        <v/>
      </c>
      <c r="Z424" s="309" t="str">
        <f t="shared" si="17"/>
        <v/>
      </c>
      <c r="AA424" s="312" t="str">
        <f t="shared" si="18"/>
        <v/>
      </c>
      <c r="AB424" s="308" t="str">
        <f t="shared" si="19"/>
        <v/>
      </c>
      <c r="AC424" s="308" t="str">
        <f t="shared" si="20"/>
        <v/>
      </c>
      <c r="AD424" s="312" t="str">
        <f t="shared" si="21"/>
        <v/>
      </c>
      <c r="AE424" s="308" t="str">
        <f t="shared" si="22"/>
        <v/>
      </c>
      <c r="AF424" s="313" t="str">
        <f t="shared" si="23"/>
        <v/>
      </c>
      <c r="AG424" s="304" t="str">
        <f t="shared" si="24"/>
        <v/>
      </c>
      <c r="AH424" s="308" t="str">
        <f t="shared" si="25"/>
        <v/>
      </c>
      <c r="AI424" s="313" t="str">
        <f t="shared" si="26"/>
        <v/>
      </c>
      <c r="AJ424" s="304" t="str">
        <f t="shared" si="27"/>
        <v/>
      </c>
      <c r="AK424" s="308" t="str">
        <f t="shared" si="28"/>
        <v/>
      </c>
      <c r="AL424" s="308" t="str">
        <f t="shared" si="29"/>
        <v/>
      </c>
      <c r="AM424" s="304" t="str">
        <f t="shared" si="30"/>
        <v/>
      </c>
      <c r="AN424" s="308" t="str">
        <f t="shared" si="31"/>
        <v/>
      </c>
      <c r="AO424" s="313" t="str">
        <f t="shared" si="32"/>
        <v/>
      </c>
      <c r="AP424" s="304" t="str">
        <f t="shared" si="33"/>
        <v/>
      </c>
      <c r="AQ424" s="308" t="str">
        <f t="shared" si="34"/>
        <v/>
      </c>
      <c r="AR424" s="313" t="str">
        <f t="shared" si="35"/>
        <v/>
      </c>
      <c r="AS424" s="304" t="str">
        <f t="shared" si="36"/>
        <v/>
      </c>
      <c r="AT424" s="308" t="str">
        <f t="shared" si="37"/>
        <v/>
      </c>
      <c r="AU424" s="308" t="str">
        <f t="shared" si="38"/>
        <v/>
      </c>
      <c r="AV424" s="304" t="str">
        <f t="shared" si="39"/>
        <v/>
      </c>
      <c r="AW424" s="308" t="str">
        <f t="shared" si="40"/>
        <v/>
      </c>
      <c r="AX424" s="308" t="str">
        <f t="shared" si="41"/>
        <v/>
      </c>
      <c r="AY424" s="304" t="str">
        <f t="shared" si="42"/>
        <v/>
      </c>
      <c r="AZ424" s="308" t="str">
        <f t="shared" si="43"/>
        <v/>
      </c>
      <c r="BA424" s="313" t="str">
        <f t="shared" si="44"/>
        <v/>
      </c>
      <c r="BB424" s="304" t="str">
        <f t="shared" si="45"/>
        <v/>
      </c>
      <c r="BC424" s="308" t="str">
        <f t="shared" si="46"/>
        <v/>
      </c>
      <c r="BD424" s="308" t="str">
        <f t="shared" si="47"/>
        <v/>
      </c>
    </row>
    <row r="425">
      <c r="A425" s="298"/>
      <c r="B425" s="299"/>
      <c r="C425" s="300"/>
      <c r="D425" s="301" t="str">
        <f>IFERROR(__xludf.DUMMYFUNCTION("if(ISBLANK(A425),"""",GOOGLEFINANCE(A425,""NAME""))"),"")</f>
        <v/>
      </c>
      <c r="E425" s="302">
        <v>5000.0</v>
      </c>
      <c r="F425" s="303" t="str">
        <f>IFERROR(__xludf.DUMMYFUNCTION("if(ISBLANK(A425),"""",GOOGLEFINANCE(A425,""HIGH52""))"),"")</f>
        <v/>
      </c>
      <c r="G425" s="303" t="str">
        <f>IFERROR(__xludf.DUMMYFUNCTION("if(ISBLANK(A425),"""",GOOGLEFINANCE(A425,""LOW52""))"),"")</f>
        <v/>
      </c>
      <c r="H425" s="304" t="str">
        <f>IFERROR(__xludf.DUMMYFUNCTION("if(ISBLANK(A425),"""",GOOGLEFINANCE(A425,""Price""))"),"")</f>
        <v/>
      </c>
      <c r="I425" s="305" t="str">
        <f t="shared" si="1"/>
        <v/>
      </c>
      <c r="J425" s="306" t="str">
        <f t="shared" si="2"/>
        <v/>
      </c>
      <c r="K425" s="307" t="str">
        <f>IFERROR(__xludf.DUMMYFUNCTION("if(ISBLANK(A425),"""",googlefinance(A425,""Marketcap"")/10000000)"),"")</f>
        <v/>
      </c>
      <c r="L425" s="309" t="str">
        <f t="shared" si="3"/>
        <v/>
      </c>
      <c r="M425" s="308" t="str">
        <f t="shared" si="4"/>
        <v/>
      </c>
      <c r="N425" s="309" t="str">
        <f t="shared" si="5"/>
        <v/>
      </c>
      <c r="O425" s="322" t="str">
        <f t="shared" si="6"/>
        <v/>
      </c>
      <c r="P425" s="308" t="str">
        <f t="shared" si="7"/>
        <v/>
      </c>
      <c r="Q425" s="311" t="str">
        <f t="shared" si="8"/>
        <v/>
      </c>
      <c r="R425" s="309" t="str">
        <f t="shared" si="9"/>
        <v/>
      </c>
      <c r="S425" s="308" t="str">
        <f t="shared" si="10"/>
        <v/>
      </c>
      <c r="T425" s="309" t="str">
        <f t="shared" si="11"/>
        <v/>
      </c>
      <c r="U425" s="309" t="str">
        <f t="shared" si="12"/>
        <v/>
      </c>
      <c r="V425" s="308" t="str">
        <f t="shared" si="13"/>
        <v/>
      </c>
      <c r="W425" s="309" t="str">
        <f t="shared" si="14"/>
        <v/>
      </c>
      <c r="X425" s="309" t="str">
        <f t="shared" si="15"/>
        <v/>
      </c>
      <c r="Y425" s="308" t="str">
        <f t="shared" si="16"/>
        <v/>
      </c>
      <c r="Z425" s="309" t="str">
        <f t="shared" si="17"/>
        <v/>
      </c>
      <c r="AA425" s="312" t="str">
        <f t="shared" si="18"/>
        <v/>
      </c>
      <c r="AB425" s="308" t="str">
        <f t="shared" si="19"/>
        <v/>
      </c>
      <c r="AC425" s="308" t="str">
        <f t="shared" si="20"/>
        <v/>
      </c>
      <c r="AD425" s="312" t="str">
        <f t="shared" si="21"/>
        <v/>
      </c>
      <c r="AE425" s="308" t="str">
        <f t="shared" si="22"/>
        <v/>
      </c>
      <c r="AF425" s="313" t="str">
        <f t="shared" si="23"/>
        <v/>
      </c>
      <c r="AG425" s="304" t="str">
        <f t="shared" si="24"/>
        <v/>
      </c>
      <c r="AH425" s="308" t="str">
        <f t="shared" si="25"/>
        <v/>
      </c>
      <c r="AI425" s="313" t="str">
        <f t="shared" si="26"/>
        <v/>
      </c>
      <c r="AJ425" s="304" t="str">
        <f t="shared" si="27"/>
        <v/>
      </c>
      <c r="AK425" s="308" t="str">
        <f t="shared" si="28"/>
        <v/>
      </c>
      <c r="AL425" s="308" t="str">
        <f t="shared" si="29"/>
        <v/>
      </c>
      <c r="AM425" s="304" t="str">
        <f t="shared" si="30"/>
        <v/>
      </c>
      <c r="AN425" s="308" t="str">
        <f t="shared" si="31"/>
        <v/>
      </c>
      <c r="AO425" s="313" t="str">
        <f t="shared" si="32"/>
        <v/>
      </c>
      <c r="AP425" s="304" t="str">
        <f t="shared" si="33"/>
        <v/>
      </c>
      <c r="AQ425" s="308" t="str">
        <f t="shared" si="34"/>
        <v/>
      </c>
      <c r="AR425" s="313" t="str">
        <f t="shared" si="35"/>
        <v/>
      </c>
      <c r="AS425" s="304" t="str">
        <f t="shared" si="36"/>
        <v/>
      </c>
      <c r="AT425" s="308" t="str">
        <f t="shared" si="37"/>
        <v/>
      </c>
      <c r="AU425" s="308" t="str">
        <f t="shared" si="38"/>
        <v/>
      </c>
      <c r="AV425" s="304" t="str">
        <f t="shared" si="39"/>
        <v/>
      </c>
      <c r="AW425" s="308" t="str">
        <f t="shared" si="40"/>
        <v/>
      </c>
      <c r="AX425" s="308" t="str">
        <f t="shared" si="41"/>
        <v/>
      </c>
      <c r="AY425" s="304" t="str">
        <f t="shared" si="42"/>
        <v/>
      </c>
      <c r="AZ425" s="308" t="str">
        <f t="shared" si="43"/>
        <v/>
      </c>
      <c r="BA425" s="313" t="str">
        <f t="shared" si="44"/>
        <v/>
      </c>
      <c r="BB425" s="304" t="str">
        <f t="shared" si="45"/>
        <v/>
      </c>
      <c r="BC425" s="308" t="str">
        <f t="shared" si="46"/>
        <v/>
      </c>
      <c r="BD425" s="308" t="str">
        <f t="shared" si="47"/>
        <v/>
      </c>
    </row>
    <row r="426">
      <c r="A426" s="298"/>
      <c r="B426" s="299"/>
      <c r="C426" s="300"/>
      <c r="D426" s="301" t="str">
        <f>IFERROR(__xludf.DUMMYFUNCTION("if(ISBLANK(A426),"""",GOOGLEFINANCE(A426,""NAME""))"),"")</f>
        <v/>
      </c>
      <c r="E426" s="302">
        <v>5000.0</v>
      </c>
      <c r="F426" s="303" t="str">
        <f>IFERROR(__xludf.DUMMYFUNCTION("if(ISBLANK(A426),"""",GOOGLEFINANCE(A426,""HIGH52""))"),"")</f>
        <v/>
      </c>
      <c r="G426" s="303" t="str">
        <f>IFERROR(__xludf.DUMMYFUNCTION("if(ISBLANK(A426),"""",GOOGLEFINANCE(A426,""LOW52""))"),"")</f>
        <v/>
      </c>
      <c r="H426" s="304" t="str">
        <f>IFERROR(__xludf.DUMMYFUNCTION("if(ISBLANK(A426),"""",GOOGLEFINANCE(A426,""Price""))"),"")</f>
        <v/>
      </c>
      <c r="I426" s="305" t="str">
        <f t="shared" si="1"/>
        <v/>
      </c>
      <c r="J426" s="306" t="str">
        <f t="shared" si="2"/>
        <v/>
      </c>
      <c r="K426" s="307" t="str">
        <f>IFERROR(__xludf.DUMMYFUNCTION("if(ISBLANK(A426),"""",googlefinance(A426,""Marketcap"")/10000000)"),"")</f>
        <v/>
      </c>
      <c r="L426" s="309" t="str">
        <f t="shared" si="3"/>
        <v/>
      </c>
      <c r="M426" s="308" t="str">
        <f t="shared" si="4"/>
        <v/>
      </c>
      <c r="N426" s="309" t="str">
        <f t="shared" si="5"/>
        <v/>
      </c>
      <c r="O426" s="322" t="str">
        <f t="shared" si="6"/>
        <v/>
      </c>
      <c r="P426" s="308" t="str">
        <f t="shared" si="7"/>
        <v/>
      </c>
      <c r="Q426" s="311" t="str">
        <f t="shared" si="8"/>
        <v/>
      </c>
      <c r="R426" s="309" t="str">
        <f t="shared" si="9"/>
        <v/>
      </c>
      <c r="S426" s="308" t="str">
        <f t="shared" si="10"/>
        <v/>
      </c>
      <c r="T426" s="309" t="str">
        <f t="shared" si="11"/>
        <v/>
      </c>
      <c r="U426" s="309" t="str">
        <f t="shared" si="12"/>
        <v/>
      </c>
      <c r="V426" s="308" t="str">
        <f t="shared" si="13"/>
        <v/>
      </c>
      <c r="W426" s="309" t="str">
        <f t="shared" si="14"/>
        <v/>
      </c>
      <c r="X426" s="309" t="str">
        <f t="shared" si="15"/>
        <v/>
      </c>
      <c r="Y426" s="308" t="str">
        <f t="shared" si="16"/>
        <v/>
      </c>
      <c r="Z426" s="309" t="str">
        <f t="shared" si="17"/>
        <v/>
      </c>
      <c r="AA426" s="312" t="str">
        <f t="shared" si="18"/>
        <v/>
      </c>
      <c r="AB426" s="308" t="str">
        <f t="shared" si="19"/>
        <v/>
      </c>
      <c r="AC426" s="308" t="str">
        <f t="shared" si="20"/>
        <v/>
      </c>
      <c r="AD426" s="312" t="str">
        <f t="shared" si="21"/>
        <v/>
      </c>
      <c r="AE426" s="308" t="str">
        <f t="shared" si="22"/>
        <v/>
      </c>
      <c r="AF426" s="313" t="str">
        <f t="shared" si="23"/>
        <v/>
      </c>
      <c r="AG426" s="304" t="str">
        <f t="shared" si="24"/>
        <v/>
      </c>
      <c r="AH426" s="308" t="str">
        <f t="shared" si="25"/>
        <v/>
      </c>
      <c r="AI426" s="313" t="str">
        <f t="shared" si="26"/>
        <v/>
      </c>
      <c r="AJ426" s="304" t="str">
        <f t="shared" si="27"/>
        <v/>
      </c>
      <c r="AK426" s="308" t="str">
        <f t="shared" si="28"/>
        <v/>
      </c>
      <c r="AL426" s="308" t="str">
        <f t="shared" si="29"/>
        <v/>
      </c>
      <c r="AM426" s="304" t="str">
        <f t="shared" si="30"/>
        <v/>
      </c>
      <c r="AN426" s="308" t="str">
        <f t="shared" si="31"/>
        <v/>
      </c>
      <c r="AO426" s="313" t="str">
        <f t="shared" si="32"/>
        <v/>
      </c>
      <c r="AP426" s="304" t="str">
        <f t="shared" si="33"/>
        <v/>
      </c>
      <c r="AQ426" s="308" t="str">
        <f t="shared" si="34"/>
        <v/>
      </c>
      <c r="AR426" s="313" t="str">
        <f t="shared" si="35"/>
        <v/>
      </c>
      <c r="AS426" s="304" t="str">
        <f t="shared" si="36"/>
        <v/>
      </c>
      <c r="AT426" s="308" t="str">
        <f t="shared" si="37"/>
        <v/>
      </c>
      <c r="AU426" s="308" t="str">
        <f t="shared" si="38"/>
        <v/>
      </c>
      <c r="AV426" s="304" t="str">
        <f t="shared" si="39"/>
        <v/>
      </c>
      <c r="AW426" s="308" t="str">
        <f t="shared" si="40"/>
        <v/>
      </c>
      <c r="AX426" s="308" t="str">
        <f t="shared" si="41"/>
        <v/>
      </c>
      <c r="AY426" s="304" t="str">
        <f t="shared" si="42"/>
        <v/>
      </c>
      <c r="AZ426" s="308" t="str">
        <f t="shared" si="43"/>
        <v/>
      </c>
      <c r="BA426" s="313" t="str">
        <f t="shared" si="44"/>
        <v/>
      </c>
      <c r="BB426" s="304" t="str">
        <f t="shared" si="45"/>
        <v/>
      </c>
      <c r="BC426" s="308" t="str">
        <f t="shared" si="46"/>
        <v/>
      </c>
      <c r="BD426" s="308" t="str">
        <f t="shared" si="47"/>
        <v/>
      </c>
    </row>
    <row r="427">
      <c r="A427" s="298"/>
      <c r="B427" s="299"/>
      <c r="C427" s="300"/>
      <c r="D427" s="301" t="str">
        <f>IFERROR(__xludf.DUMMYFUNCTION("if(ISBLANK(A427),"""",GOOGLEFINANCE(A427,""NAME""))"),"")</f>
        <v/>
      </c>
      <c r="E427" s="302">
        <v>5000.0</v>
      </c>
      <c r="F427" s="303" t="str">
        <f>IFERROR(__xludf.DUMMYFUNCTION("if(ISBLANK(A427),"""",GOOGLEFINANCE(A427,""HIGH52""))"),"")</f>
        <v/>
      </c>
      <c r="G427" s="303" t="str">
        <f>IFERROR(__xludf.DUMMYFUNCTION("if(ISBLANK(A427),"""",GOOGLEFINANCE(A427,""LOW52""))"),"")</f>
        <v/>
      </c>
      <c r="H427" s="304" t="str">
        <f>IFERROR(__xludf.DUMMYFUNCTION("if(ISBLANK(A427),"""",GOOGLEFINANCE(A427,""Price""))"),"")</f>
        <v/>
      </c>
      <c r="I427" s="305" t="str">
        <f t="shared" si="1"/>
        <v/>
      </c>
      <c r="J427" s="306" t="str">
        <f t="shared" si="2"/>
        <v/>
      </c>
      <c r="K427" s="307" t="str">
        <f>IFERROR(__xludf.DUMMYFUNCTION("if(ISBLANK(A427),"""",googlefinance(A427,""Marketcap"")/10000000)"),"")</f>
        <v/>
      </c>
      <c r="L427" s="309" t="str">
        <f t="shared" si="3"/>
        <v/>
      </c>
      <c r="M427" s="308" t="str">
        <f t="shared" si="4"/>
        <v/>
      </c>
      <c r="N427" s="309" t="str">
        <f t="shared" si="5"/>
        <v/>
      </c>
      <c r="O427" s="322" t="str">
        <f t="shared" si="6"/>
        <v/>
      </c>
      <c r="P427" s="308" t="str">
        <f t="shared" si="7"/>
        <v/>
      </c>
      <c r="Q427" s="311" t="str">
        <f t="shared" si="8"/>
        <v/>
      </c>
      <c r="R427" s="309" t="str">
        <f t="shared" si="9"/>
        <v/>
      </c>
      <c r="S427" s="308" t="str">
        <f t="shared" si="10"/>
        <v/>
      </c>
      <c r="T427" s="309" t="str">
        <f t="shared" si="11"/>
        <v/>
      </c>
      <c r="U427" s="309" t="str">
        <f t="shared" si="12"/>
        <v/>
      </c>
      <c r="V427" s="308" t="str">
        <f t="shared" si="13"/>
        <v/>
      </c>
      <c r="W427" s="309" t="str">
        <f t="shared" si="14"/>
        <v/>
      </c>
      <c r="X427" s="309" t="str">
        <f t="shared" si="15"/>
        <v/>
      </c>
      <c r="Y427" s="308" t="str">
        <f t="shared" si="16"/>
        <v/>
      </c>
      <c r="Z427" s="309" t="str">
        <f t="shared" si="17"/>
        <v/>
      </c>
      <c r="AA427" s="312" t="str">
        <f t="shared" si="18"/>
        <v/>
      </c>
      <c r="AB427" s="308" t="str">
        <f t="shared" si="19"/>
        <v/>
      </c>
      <c r="AC427" s="308" t="str">
        <f t="shared" si="20"/>
        <v/>
      </c>
      <c r="AD427" s="312" t="str">
        <f t="shared" si="21"/>
        <v/>
      </c>
      <c r="AE427" s="308" t="str">
        <f t="shared" si="22"/>
        <v/>
      </c>
      <c r="AF427" s="313" t="str">
        <f t="shared" si="23"/>
        <v/>
      </c>
      <c r="AG427" s="304" t="str">
        <f t="shared" si="24"/>
        <v/>
      </c>
      <c r="AH427" s="308" t="str">
        <f t="shared" si="25"/>
        <v/>
      </c>
      <c r="AI427" s="313" t="str">
        <f t="shared" si="26"/>
        <v/>
      </c>
      <c r="AJ427" s="304" t="str">
        <f t="shared" si="27"/>
        <v/>
      </c>
      <c r="AK427" s="308" t="str">
        <f t="shared" si="28"/>
        <v/>
      </c>
      <c r="AL427" s="308" t="str">
        <f t="shared" si="29"/>
        <v/>
      </c>
      <c r="AM427" s="304" t="str">
        <f t="shared" si="30"/>
        <v/>
      </c>
      <c r="AN427" s="308" t="str">
        <f t="shared" si="31"/>
        <v/>
      </c>
      <c r="AO427" s="313" t="str">
        <f t="shared" si="32"/>
        <v/>
      </c>
      <c r="AP427" s="304" t="str">
        <f t="shared" si="33"/>
        <v/>
      </c>
      <c r="AQ427" s="308" t="str">
        <f t="shared" si="34"/>
        <v/>
      </c>
      <c r="AR427" s="313" t="str">
        <f t="shared" si="35"/>
        <v/>
      </c>
      <c r="AS427" s="304" t="str">
        <f t="shared" si="36"/>
        <v/>
      </c>
      <c r="AT427" s="308" t="str">
        <f t="shared" si="37"/>
        <v/>
      </c>
      <c r="AU427" s="308" t="str">
        <f t="shared" si="38"/>
        <v/>
      </c>
      <c r="AV427" s="304" t="str">
        <f t="shared" si="39"/>
        <v/>
      </c>
      <c r="AW427" s="308" t="str">
        <f t="shared" si="40"/>
        <v/>
      </c>
      <c r="AX427" s="308" t="str">
        <f t="shared" si="41"/>
        <v/>
      </c>
      <c r="AY427" s="304" t="str">
        <f t="shared" si="42"/>
        <v/>
      </c>
      <c r="AZ427" s="308" t="str">
        <f t="shared" si="43"/>
        <v/>
      </c>
      <c r="BA427" s="313" t="str">
        <f t="shared" si="44"/>
        <v/>
      </c>
      <c r="BB427" s="304" t="str">
        <f t="shared" si="45"/>
        <v/>
      </c>
      <c r="BC427" s="308" t="str">
        <f t="shared" si="46"/>
        <v/>
      </c>
      <c r="BD427" s="308" t="str">
        <f t="shared" si="47"/>
        <v/>
      </c>
    </row>
    <row r="428">
      <c r="A428" s="298"/>
      <c r="B428" s="299"/>
      <c r="C428" s="300"/>
      <c r="D428" s="301" t="str">
        <f>IFERROR(__xludf.DUMMYFUNCTION("if(ISBLANK(A428),"""",GOOGLEFINANCE(A428,""NAME""))"),"")</f>
        <v/>
      </c>
      <c r="E428" s="302">
        <v>5000.0</v>
      </c>
      <c r="F428" s="303" t="str">
        <f>IFERROR(__xludf.DUMMYFUNCTION("if(ISBLANK(A428),"""",GOOGLEFINANCE(A428,""HIGH52""))"),"")</f>
        <v/>
      </c>
      <c r="G428" s="303" t="str">
        <f>IFERROR(__xludf.DUMMYFUNCTION("if(ISBLANK(A428),"""",GOOGLEFINANCE(A428,""LOW52""))"),"")</f>
        <v/>
      </c>
      <c r="H428" s="304" t="str">
        <f>IFERROR(__xludf.DUMMYFUNCTION("if(ISBLANK(A428),"""",GOOGLEFINANCE(A428,""Price""))"),"")</f>
        <v/>
      </c>
      <c r="I428" s="305" t="str">
        <f t="shared" si="1"/>
        <v/>
      </c>
      <c r="J428" s="306" t="str">
        <f t="shared" si="2"/>
        <v/>
      </c>
      <c r="K428" s="307" t="str">
        <f>IFERROR(__xludf.DUMMYFUNCTION("if(ISBLANK(A428),"""",googlefinance(A428,""Marketcap"")/10000000)"),"")</f>
        <v/>
      </c>
      <c r="L428" s="309" t="str">
        <f t="shared" si="3"/>
        <v/>
      </c>
      <c r="M428" s="308" t="str">
        <f t="shared" si="4"/>
        <v/>
      </c>
      <c r="N428" s="309" t="str">
        <f t="shared" si="5"/>
        <v/>
      </c>
      <c r="O428" s="322" t="str">
        <f t="shared" si="6"/>
        <v/>
      </c>
      <c r="P428" s="308" t="str">
        <f t="shared" si="7"/>
        <v/>
      </c>
      <c r="Q428" s="311" t="str">
        <f t="shared" si="8"/>
        <v/>
      </c>
      <c r="R428" s="309" t="str">
        <f t="shared" si="9"/>
        <v/>
      </c>
      <c r="S428" s="308" t="str">
        <f t="shared" si="10"/>
        <v/>
      </c>
      <c r="T428" s="309" t="str">
        <f t="shared" si="11"/>
        <v/>
      </c>
      <c r="U428" s="309" t="str">
        <f t="shared" si="12"/>
        <v/>
      </c>
      <c r="V428" s="308" t="str">
        <f t="shared" si="13"/>
        <v/>
      </c>
      <c r="W428" s="309" t="str">
        <f t="shared" si="14"/>
        <v/>
      </c>
      <c r="X428" s="309" t="str">
        <f t="shared" si="15"/>
        <v/>
      </c>
      <c r="Y428" s="308" t="str">
        <f t="shared" si="16"/>
        <v/>
      </c>
      <c r="Z428" s="309" t="str">
        <f t="shared" si="17"/>
        <v/>
      </c>
      <c r="AA428" s="312" t="str">
        <f t="shared" si="18"/>
        <v/>
      </c>
      <c r="AB428" s="308" t="str">
        <f t="shared" si="19"/>
        <v/>
      </c>
      <c r="AC428" s="308" t="str">
        <f t="shared" si="20"/>
        <v/>
      </c>
      <c r="AD428" s="312" t="str">
        <f t="shared" si="21"/>
        <v/>
      </c>
      <c r="AE428" s="308" t="str">
        <f t="shared" si="22"/>
        <v/>
      </c>
      <c r="AF428" s="313" t="str">
        <f t="shared" si="23"/>
        <v/>
      </c>
      <c r="AG428" s="304" t="str">
        <f t="shared" si="24"/>
        <v/>
      </c>
      <c r="AH428" s="308" t="str">
        <f t="shared" si="25"/>
        <v/>
      </c>
      <c r="AI428" s="313" t="str">
        <f t="shared" si="26"/>
        <v/>
      </c>
      <c r="AJ428" s="304" t="str">
        <f t="shared" si="27"/>
        <v/>
      </c>
      <c r="AK428" s="308" t="str">
        <f t="shared" si="28"/>
        <v/>
      </c>
      <c r="AL428" s="308" t="str">
        <f t="shared" si="29"/>
        <v/>
      </c>
      <c r="AM428" s="304" t="str">
        <f t="shared" si="30"/>
        <v/>
      </c>
      <c r="AN428" s="308" t="str">
        <f t="shared" si="31"/>
        <v/>
      </c>
      <c r="AO428" s="313" t="str">
        <f t="shared" si="32"/>
        <v/>
      </c>
      <c r="AP428" s="304" t="str">
        <f t="shared" si="33"/>
        <v/>
      </c>
      <c r="AQ428" s="308" t="str">
        <f t="shared" si="34"/>
        <v/>
      </c>
      <c r="AR428" s="313" t="str">
        <f t="shared" si="35"/>
        <v/>
      </c>
      <c r="AS428" s="304" t="str">
        <f t="shared" si="36"/>
        <v/>
      </c>
      <c r="AT428" s="308" t="str">
        <f t="shared" si="37"/>
        <v/>
      </c>
      <c r="AU428" s="308" t="str">
        <f t="shared" si="38"/>
        <v/>
      </c>
      <c r="AV428" s="304" t="str">
        <f t="shared" si="39"/>
        <v/>
      </c>
      <c r="AW428" s="308" t="str">
        <f t="shared" si="40"/>
        <v/>
      </c>
      <c r="AX428" s="308" t="str">
        <f t="shared" si="41"/>
        <v/>
      </c>
      <c r="AY428" s="304" t="str">
        <f t="shared" si="42"/>
        <v/>
      </c>
      <c r="AZ428" s="308" t="str">
        <f t="shared" si="43"/>
        <v/>
      </c>
      <c r="BA428" s="313" t="str">
        <f t="shared" si="44"/>
        <v/>
      </c>
      <c r="BB428" s="304" t="str">
        <f t="shared" si="45"/>
        <v/>
      </c>
      <c r="BC428" s="308" t="str">
        <f t="shared" si="46"/>
        <v/>
      </c>
      <c r="BD428" s="308" t="str">
        <f t="shared" si="47"/>
        <v/>
      </c>
    </row>
    <row r="429">
      <c r="A429" s="298"/>
      <c r="B429" s="299"/>
      <c r="C429" s="300"/>
      <c r="D429" s="301" t="str">
        <f>IFERROR(__xludf.DUMMYFUNCTION("if(ISBLANK(A429),"""",GOOGLEFINANCE(A429,""NAME""))"),"")</f>
        <v/>
      </c>
      <c r="E429" s="302">
        <v>5000.0</v>
      </c>
      <c r="F429" s="303" t="str">
        <f>IFERROR(__xludf.DUMMYFUNCTION("if(ISBLANK(A429),"""",GOOGLEFINANCE(A429,""HIGH52""))"),"")</f>
        <v/>
      </c>
      <c r="G429" s="303" t="str">
        <f>IFERROR(__xludf.DUMMYFUNCTION("if(ISBLANK(A429),"""",GOOGLEFINANCE(A429,""LOW52""))"),"")</f>
        <v/>
      </c>
      <c r="H429" s="304" t="str">
        <f>IFERROR(__xludf.DUMMYFUNCTION("if(ISBLANK(A429),"""",GOOGLEFINANCE(A429,""Price""))"),"")</f>
        <v/>
      </c>
      <c r="I429" s="305" t="str">
        <f t="shared" si="1"/>
        <v/>
      </c>
      <c r="J429" s="306" t="str">
        <f t="shared" si="2"/>
        <v/>
      </c>
      <c r="K429" s="307" t="str">
        <f>IFERROR(__xludf.DUMMYFUNCTION("if(ISBLANK(A429),"""",googlefinance(A429,""Marketcap"")/10000000)"),"")</f>
        <v/>
      </c>
      <c r="L429" s="309" t="str">
        <f t="shared" si="3"/>
        <v/>
      </c>
      <c r="M429" s="308" t="str">
        <f t="shared" si="4"/>
        <v/>
      </c>
      <c r="N429" s="309" t="str">
        <f t="shared" si="5"/>
        <v/>
      </c>
      <c r="O429" s="322" t="str">
        <f t="shared" si="6"/>
        <v/>
      </c>
      <c r="P429" s="308" t="str">
        <f t="shared" si="7"/>
        <v/>
      </c>
      <c r="Q429" s="311" t="str">
        <f t="shared" si="8"/>
        <v/>
      </c>
      <c r="R429" s="309" t="str">
        <f t="shared" si="9"/>
        <v/>
      </c>
      <c r="S429" s="308" t="str">
        <f t="shared" si="10"/>
        <v/>
      </c>
      <c r="T429" s="309" t="str">
        <f t="shared" si="11"/>
        <v/>
      </c>
      <c r="U429" s="309" t="str">
        <f t="shared" si="12"/>
        <v/>
      </c>
      <c r="V429" s="308" t="str">
        <f t="shared" si="13"/>
        <v/>
      </c>
      <c r="W429" s="309" t="str">
        <f t="shared" si="14"/>
        <v/>
      </c>
      <c r="X429" s="309" t="str">
        <f t="shared" si="15"/>
        <v/>
      </c>
      <c r="Y429" s="308" t="str">
        <f t="shared" si="16"/>
        <v/>
      </c>
      <c r="Z429" s="309" t="str">
        <f t="shared" si="17"/>
        <v/>
      </c>
      <c r="AA429" s="312" t="str">
        <f t="shared" si="18"/>
        <v/>
      </c>
      <c r="AB429" s="308" t="str">
        <f t="shared" si="19"/>
        <v/>
      </c>
      <c r="AC429" s="308" t="str">
        <f t="shared" si="20"/>
        <v/>
      </c>
      <c r="AD429" s="312" t="str">
        <f t="shared" si="21"/>
        <v/>
      </c>
      <c r="AE429" s="308" t="str">
        <f t="shared" si="22"/>
        <v/>
      </c>
      <c r="AF429" s="313" t="str">
        <f t="shared" si="23"/>
        <v/>
      </c>
      <c r="AG429" s="304" t="str">
        <f t="shared" si="24"/>
        <v/>
      </c>
      <c r="AH429" s="308" t="str">
        <f t="shared" si="25"/>
        <v/>
      </c>
      <c r="AI429" s="313" t="str">
        <f t="shared" si="26"/>
        <v/>
      </c>
      <c r="AJ429" s="304" t="str">
        <f t="shared" si="27"/>
        <v/>
      </c>
      <c r="AK429" s="308" t="str">
        <f t="shared" si="28"/>
        <v/>
      </c>
      <c r="AL429" s="308" t="str">
        <f t="shared" si="29"/>
        <v/>
      </c>
      <c r="AM429" s="304" t="str">
        <f t="shared" si="30"/>
        <v/>
      </c>
      <c r="AN429" s="308" t="str">
        <f t="shared" si="31"/>
        <v/>
      </c>
      <c r="AO429" s="313" t="str">
        <f t="shared" si="32"/>
        <v/>
      </c>
      <c r="AP429" s="304" t="str">
        <f t="shared" si="33"/>
        <v/>
      </c>
      <c r="AQ429" s="308" t="str">
        <f t="shared" si="34"/>
        <v/>
      </c>
      <c r="AR429" s="313" t="str">
        <f t="shared" si="35"/>
        <v/>
      </c>
      <c r="AS429" s="304" t="str">
        <f t="shared" si="36"/>
        <v/>
      </c>
      <c r="AT429" s="308" t="str">
        <f t="shared" si="37"/>
        <v/>
      </c>
      <c r="AU429" s="308" t="str">
        <f t="shared" si="38"/>
        <v/>
      </c>
      <c r="AV429" s="304" t="str">
        <f t="shared" si="39"/>
        <v/>
      </c>
      <c r="AW429" s="308" t="str">
        <f t="shared" si="40"/>
        <v/>
      </c>
      <c r="AX429" s="308" t="str">
        <f t="shared" si="41"/>
        <v/>
      </c>
      <c r="AY429" s="304" t="str">
        <f t="shared" si="42"/>
        <v/>
      </c>
      <c r="AZ429" s="308" t="str">
        <f t="shared" si="43"/>
        <v/>
      </c>
      <c r="BA429" s="313" t="str">
        <f t="shared" si="44"/>
        <v/>
      </c>
      <c r="BB429" s="304" t="str">
        <f t="shared" si="45"/>
        <v/>
      </c>
      <c r="BC429" s="308" t="str">
        <f t="shared" si="46"/>
        <v/>
      </c>
      <c r="BD429" s="308" t="str">
        <f t="shared" si="47"/>
        <v/>
      </c>
    </row>
    <row r="430">
      <c r="A430" s="298"/>
      <c r="B430" s="299"/>
      <c r="C430" s="300"/>
      <c r="D430" s="301" t="str">
        <f>IFERROR(__xludf.DUMMYFUNCTION("if(ISBLANK(A430),"""",GOOGLEFINANCE(A430,""NAME""))"),"")</f>
        <v/>
      </c>
      <c r="E430" s="302">
        <v>5000.0</v>
      </c>
      <c r="F430" s="303" t="str">
        <f>IFERROR(__xludf.DUMMYFUNCTION("if(ISBLANK(A430),"""",GOOGLEFINANCE(A430,""HIGH52""))"),"")</f>
        <v/>
      </c>
      <c r="G430" s="303" t="str">
        <f>IFERROR(__xludf.DUMMYFUNCTION("if(ISBLANK(A430),"""",GOOGLEFINANCE(A430,""LOW52""))"),"")</f>
        <v/>
      </c>
      <c r="H430" s="304" t="str">
        <f>IFERROR(__xludf.DUMMYFUNCTION("if(ISBLANK(A430),"""",GOOGLEFINANCE(A430,""Price""))"),"")</f>
        <v/>
      </c>
      <c r="I430" s="305" t="str">
        <f t="shared" si="1"/>
        <v/>
      </c>
      <c r="J430" s="306" t="str">
        <f t="shared" si="2"/>
        <v/>
      </c>
      <c r="K430" s="307" t="str">
        <f>IFERROR(__xludf.DUMMYFUNCTION("if(ISBLANK(A430),"""",googlefinance(A430,""Marketcap"")/10000000)"),"")</f>
        <v/>
      </c>
      <c r="L430" s="309" t="str">
        <f t="shared" si="3"/>
        <v/>
      </c>
      <c r="M430" s="308" t="str">
        <f t="shared" si="4"/>
        <v/>
      </c>
      <c r="N430" s="309" t="str">
        <f t="shared" si="5"/>
        <v/>
      </c>
      <c r="O430" s="322" t="str">
        <f t="shared" si="6"/>
        <v/>
      </c>
      <c r="P430" s="308" t="str">
        <f t="shared" si="7"/>
        <v/>
      </c>
      <c r="Q430" s="311" t="str">
        <f t="shared" si="8"/>
        <v/>
      </c>
      <c r="R430" s="309" t="str">
        <f t="shared" si="9"/>
        <v/>
      </c>
      <c r="S430" s="308" t="str">
        <f t="shared" si="10"/>
        <v/>
      </c>
      <c r="T430" s="309" t="str">
        <f t="shared" si="11"/>
        <v/>
      </c>
      <c r="U430" s="309" t="str">
        <f t="shared" si="12"/>
        <v/>
      </c>
      <c r="V430" s="308" t="str">
        <f t="shared" si="13"/>
        <v/>
      </c>
      <c r="W430" s="309" t="str">
        <f t="shared" si="14"/>
        <v/>
      </c>
      <c r="X430" s="309" t="str">
        <f t="shared" si="15"/>
        <v/>
      </c>
      <c r="Y430" s="308" t="str">
        <f t="shared" si="16"/>
        <v/>
      </c>
      <c r="Z430" s="309" t="str">
        <f t="shared" si="17"/>
        <v/>
      </c>
      <c r="AA430" s="312" t="str">
        <f t="shared" si="18"/>
        <v/>
      </c>
      <c r="AB430" s="308" t="str">
        <f t="shared" si="19"/>
        <v/>
      </c>
      <c r="AC430" s="308" t="str">
        <f t="shared" si="20"/>
        <v/>
      </c>
      <c r="AD430" s="312" t="str">
        <f t="shared" si="21"/>
        <v/>
      </c>
      <c r="AE430" s="308" t="str">
        <f t="shared" si="22"/>
        <v/>
      </c>
      <c r="AF430" s="313" t="str">
        <f t="shared" si="23"/>
        <v/>
      </c>
      <c r="AG430" s="304" t="str">
        <f t="shared" si="24"/>
        <v/>
      </c>
      <c r="AH430" s="308" t="str">
        <f t="shared" si="25"/>
        <v/>
      </c>
      <c r="AI430" s="313" t="str">
        <f t="shared" si="26"/>
        <v/>
      </c>
      <c r="AJ430" s="304" t="str">
        <f t="shared" si="27"/>
        <v/>
      </c>
      <c r="AK430" s="308" t="str">
        <f t="shared" si="28"/>
        <v/>
      </c>
      <c r="AL430" s="308" t="str">
        <f t="shared" si="29"/>
        <v/>
      </c>
      <c r="AM430" s="304" t="str">
        <f t="shared" si="30"/>
        <v/>
      </c>
      <c r="AN430" s="308" t="str">
        <f t="shared" si="31"/>
        <v/>
      </c>
      <c r="AO430" s="313" t="str">
        <f t="shared" si="32"/>
        <v/>
      </c>
      <c r="AP430" s="304" t="str">
        <f t="shared" si="33"/>
        <v/>
      </c>
      <c r="AQ430" s="308" t="str">
        <f t="shared" si="34"/>
        <v/>
      </c>
      <c r="AR430" s="313" t="str">
        <f t="shared" si="35"/>
        <v/>
      </c>
      <c r="AS430" s="304" t="str">
        <f t="shared" si="36"/>
        <v/>
      </c>
      <c r="AT430" s="308" t="str">
        <f t="shared" si="37"/>
        <v/>
      </c>
      <c r="AU430" s="308" t="str">
        <f t="shared" si="38"/>
        <v/>
      </c>
      <c r="AV430" s="304" t="str">
        <f t="shared" si="39"/>
        <v/>
      </c>
      <c r="AW430" s="308" t="str">
        <f t="shared" si="40"/>
        <v/>
      </c>
      <c r="AX430" s="308" t="str">
        <f t="shared" si="41"/>
        <v/>
      </c>
      <c r="AY430" s="304" t="str">
        <f t="shared" si="42"/>
        <v/>
      </c>
      <c r="AZ430" s="308" t="str">
        <f t="shared" si="43"/>
        <v/>
      </c>
      <c r="BA430" s="313" t="str">
        <f t="shared" si="44"/>
        <v/>
      </c>
      <c r="BB430" s="304" t="str">
        <f t="shared" si="45"/>
        <v/>
      </c>
      <c r="BC430" s="308" t="str">
        <f t="shared" si="46"/>
        <v/>
      </c>
      <c r="BD430" s="308" t="str">
        <f t="shared" si="47"/>
        <v/>
      </c>
    </row>
    <row r="431">
      <c r="A431" s="298"/>
      <c r="B431" s="299"/>
      <c r="C431" s="300"/>
      <c r="D431" s="301" t="str">
        <f>IFERROR(__xludf.DUMMYFUNCTION("if(ISBLANK(A431),"""",GOOGLEFINANCE(A431,""NAME""))"),"")</f>
        <v/>
      </c>
      <c r="E431" s="302">
        <v>5000.0</v>
      </c>
      <c r="F431" s="303" t="str">
        <f>IFERROR(__xludf.DUMMYFUNCTION("if(ISBLANK(A431),"""",GOOGLEFINANCE(A431,""HIGH52""))"),"")</f>
        <v/>
      </c>
      <c r="G431" s="303" t="str">
        <f>IFERROR(__xludf.DUMMYFUNCTION("if(ISBLANK(A431),"""",GOOGLEFINANCE(A431,""LOW52""))"),"")</f>
        <v/>
      </c>
      <c r="H431" s="304" t="str">
        <f>IFERROR(__xludf.DUMMYFUNCTION("if(ISBLANK(A431),"""",GOOGLEFINANCE(A431,""Price""))"),"")</f>
        <v/>
      </c>
      <c r="I431" s="305" t="str">
        <f t="shared" si="1"/>
        <v/>
      </c>
      <c r="J431" s="306" t="str">
        <f t="shared" si="2"/>
        <v/>
      </c>
      <c r="K431" s="307" t="str">
        <f>IFERROR(__xludf.DUMMYFUNCTION("if(ISBLANK(A431),"""",googlefinance(A431,""Marketcap"")/10000000)"),"")</f>
        <v/>
      </c>
      <c r="L431" s="309" t="str">
        <f t="shared" si="3"/>
        <v/>
      </c>
      <c r="M431" s="308" t="str">
        <f t="shared" si="4"/>
        <v/>
      </c>
      <c r="N431" s="309" t="str">
        <f t="shared" si="5"/>
        <v/>
      </c>
      <c r="O431" s="322" t="str">
        <f t="shared" si="6"/>
        <v/>
      </c>
      <c r="P431" s="308" t="str">
        <f t="shared" si="7"/>
        <v/>
      </c>
      <c r="Q431" s="311" t="str">
        <f t="shared" si="8"/>
        <v/>
      </c>
      <c r="R431" s="309" t="str">
        <f t="shared" si="9"/>
        <v/>
      </c>
      <c r="S431" s="308" t="str">
        <f t="shared" si="10"/>
        <v/>
      </c>
      <c r="T431" s="309" t="str">
        <f t="shared" si="11"/>
        <v/>
      </c>
      <c r="U431" s="309" t="str">
        <f t="shared" si="12"/>
        <v/>
      </c>
      <c r="V431" s="308" t="str">
        <f t="shared" si="13"/>
        <v/>
      </c>
      <c r="W431" s="309" t="str">
        <f t="shared" si="14"/>
        <v/>
      </c>
      <c r="X431" s="309" t="str">
        <f t="shared" si="15"/>
        <v/>
      </c>
      <c r="Y431" s="308" t="str">
        <f t="shared" si="16"/>
        <v/>
      </c>
      <c r="Z431" s="309" t="str">
        <f t="shared" si="17"/>
        <v/>
      </c>
      <c r="AA431" s="312" t="str">
        <f t="shared" si="18"/>
        <v/>
      </c>
      <c r="AB431" s="308" t="str">
        <f t="shared" si="19"/>
        <v/>
      </c>
      <c r="AC431" s="308" t="str">
        <f t="shared" si="20"/>
        <v/>
      </c>
      <c r="AD431" s="312" t="str">
        <f t="shared" si="21"/>
        <v/>
      </c>
      <c r="AE431" s="308" t="str">
        <f t="shared" si="22"/>
        <v/>
      </c>
      <c r="AF431" s="313" t="str">
        <f t="shared" si="23"/>
        <v/>
      </c>
      <c r="AG431" s="304" t="str">
        <f t="shared" si="24"/>
        <v/>
      </c>
      <c r="AH431" s="308" t="str">
        <f t="shared" si="25"/>
        <v/>
      </c>
      <c r="AI431" s="313" t="str">
        <f t="shared" si="26"/>
        <v/>
      </c>
      <c r="AJ431" s="304" t="str">
        <f t="shared" si="27"/>
        <v/>
      </c>
      <c r="AK431" s="308" t="str">
        <f t="shared" si="28"/>
        <v/>
      </c>
      <c r="AL431" s="308" t="str">
        <f t="shared" si="29"/>
        <v/>
      </c>
      <c r="AM431" s="304" t="str">
        <f t="shared" si="30"/>
        <v/>
      </c>
      <c r="AN431" s="308" t="str">
        <f t="shared" si="31"/>
        <v/>
      </c>
      <c r="AO431" s="313" t="str">
        <f t="shared" si="32"/>
        <v/>
      </c>
      <c r="AP431" s="304" t="str">
        <f t="shared" si="33"/>
        <v/>
      </c>
      <c r="AQ431" s="308" t="str">
        <f t="shared" si="34"/>
        <v/>
      </c>
      <c r="AR431" s="313" t="str">
        <f t="shared" si="35"/>
        <v/>
      </c>
      <c r="AS431" s="304" t="str">
        <f t="shared" si="36"/>
        <v/>
      </c>
      <c r="AT431" s="308" t="str">
        <f t="shared" si="37"/>
        <v/>
      </c>
      <c r="AU431" s="308" t="str">
        <f t="shared" si="38"/>
        <v/>
      </c>
      <c r="AV431" s="304" t="str">
        <f t="shared" si="39"/>
        <v/>
      </c>
      <c r="AW431" s="308" t="str">
        <f t="shared" si="40"/>
        <v/>
      </c>
      <c r="AX431" s="308" t="str">
        <f t="shared" si="41"/>
        <v/>
      </c>
      <c r="AY431" s="304" t="str">
        <f t="shared" si="42"/>
        <v/>
      </c>
      <c r="AZ431" s="308" t="str">
        <f t="shared" si="43"/>
        <v/>
      </c>
      <c r="BA431" s="313" t="str">
        <f t="shared" si="44"/>
        <v/>
      </c>
      <c r="BB431" s="304" t="str">
        <f t="shared" si="45"/>
        <v/>
      </c>
      <c r="BC431" s="308" t="str">
        <f t="shared" si="46"/>
        <v/>
      </c>
      <c r="BD431" s="308" t="str">
        <f t="shared" si="47"/>
        <v/>
      </c>
    </row>
    <row r="432">
      <c r="A432" s="298"/>
      <c r="B432" s="299"/>
      <c r="C432" s="300"/>
      <c r="D432" s="301" t="str">
        <f>IFERROR(__xludf.DUMMYFUNCTION("if(ISBLANK(A432),"""",GOOGLEFINANCE(A432,""NAME""))"),"")</f>
        <v/>
      </c>
      <c r="E432" s="302">
        <v>5000.0</v>
      </c>
      <c r="F432" s="303" t="str">
        <f>IFERROR(__xludf.DUMMYFUNCTION("if(ISBLANK(A432),"""",GOOGLEFINANCE(A432,""HIGH52""))"),"")</f>
        <v/>
      </c>
      <c r="G432" s="303" t="str">
        <f>IFERROR(__xludf.DUMMYFUNCTION("if(ISBLANK(A432),"""",GOOGLEFINANCE(A432,""LOW52""))"),"")</f>
        <v/>
      </c>
      <c r="H432" s="304" t="str">
        <f>IFERROR(__xludf.DUMMYFUNCTION("if(ISBLANK(A432),"""",GOOGLEFINANCE(A432,""Price""))"),"")</f>
        <v/>
      </c>
      <c r="I432" s="305" t="str">
        <f t="shared" si="1"/>
        <v/>
      </c>
      <c r="J432" s="306" t="str">
        <f t="shared" si="2"/>
        <v/>
      </c>
      <c r="K432" s="307" t="str">
        <f>IFERROR(__xludf.DUMMYFUNCTION("if(ISBLANK(A432),"""",googlefinance(A432,""Marketcap"")/10000000)"),"")</f>
        <v/>
      </c>
      <c r="L432" s="309" t="str">
        <f t="shared" si="3"/>
        <v/>
      </c>
      <c r="M432" s="308" t="str">
        <f t="shared" si="4"/>
        <v/>
      </c>
      <c r="N432" s="309" t="str">
        <f t="shared" si="5"/>
        <v/>
      </c>
      <c r="O432" s="322" t="str">
        <f t="shared" si="6"/>
        <v/>
      </c>
      <c r="P432" s="308" t="str">
        <f t="shared" si="7"/>
        <v/>
      </c>
      <c r="Q432" s="311" t="str">
        <f t="shared" si="8"/>
        <v/>
      </c>
      <c r="R432" s="309" t="str">
        <f t="shared" si="9"/>
        <v/>
      </c>
      <c r="S432" s="308" t="str">
        <f t="shared" si="10"/>
        <v/>
      </c>
      <c r="T432" s="309" t="str">
        <f t="shared" si="11"/>
        <v/>
      </c>
      <c r="U432" s="309" t="str">
        <f t="shared" si="12"/>
        <v/>
      </c>
      <c r="V432" s="308" t="str">
        <f t="shared" si="13"/>
        <v/>
      </c>
      <c r="W432" s="309" t="str">
        <f t="shared" si="14"/>
        <v/>
      </c>
      <c r="X432" s="309" t="str">
        <f t="shared" si="15"/>
        <v/>
      </c>
      <c r="Y432" s="308" t="str">
        <f t="shared" si="16"/>
        <v/>
      </c>
      <c r="Z432" s="309" t="str">
        <f t="shared" si="17"/>
        <v/>
      </c>
      <c r="AA432" s="312" t="str">
        <f t="shared" si="18"/>
        <v/>
      </c>
      <c r="AB432" s="308" t="str">
        <f t="shared" si="19"/>
        <v/>
      </c>
      <c r="AC432" s="308" t="str">
        <f t="shared" si="20"/>
        <v/>
      </c>
      <c r="AD432" s="312" t="str">
        <f t="shared" si="21"/>
        <v/>
      </c>
      <c r="AE432" s="308" t="str">
        <f t="shared" si="22"/>
        <v/>
      </c>
      <c r="AF432" s="313" t="str">
        <f t="shared" si="23"/>
        <v/>
      </c>
      <c r="AG432" s="304" t="str">
        <f t="shared" si="24"/>
        <v/>
      </c>
      <c r="AH432" s="308" t="str">
        <f t="shared" si="25"/>
        <v/>
      </c>
      <c r="AI432" s="313" t="str">
        <f t="shared" si="26"/>
        <v/>
      </c>
      <c r="AJ432" s="304" t="str">
        <f t="shared" si="27"/>
        <v/>
      </c>
      <c r="AK432" s="308" t="str">
        <f t="shared" si="28"/>
        <v/>
      </c>
      <c r="AL432" s="308" t="str">
        <f t="shared" si="29"/>
        <v/>
      </c>
      <c r="AM432" s="304" t="str">
        <f t="shared" si="30"/>
        <v/>
      </c>
      <c r="AN432" s="308" t="str">
        <f t="shared" si="31"/>
        <v/>
      </c>
      <c r="AO432" s="313" t="str">
        <f t="shared" si="32"/>
        <v/>
      </c>
      <c r="AP432" s="304" t="str">
        <f t="shared" si="33"/>
        <v/>
      </c>
      <c r="AQ432" s="308" t="str">
        <f t="shared" si="34"/>
        <v/>
      </c>
      <c r="AR432" s="313" t="str">
        <f t="shared" si="35"/>
        <v/>
      </c>
      <c r="AS432" s="304" t="str">
        <f t="shared" si="36"/>
        <v/>
      </c>
      <c r="AT432" s="308" t="str">
        <f t="shared" si="37"/>
        <v/>
      </c>
      <c r="AU432" s="308" t="str">
        <f t="shared" si="38"/>
        <v/>
      </c>
      <c r="AV432" s="304" t="str">
        <f t="shared" si="39"/>
        <v/>
      </c>
      <c r="AW432" s="308" t="str">
        <f t="shared" si="40"/>
        <v/>
      </c>
      <c r="AX432" s="308" t="str">
        <f t="shared" si="41"/>
        <v/>
      </c>
      <c r="AY432" s="304" t="str">
        <f t="shared" si="42"/>
        <v/>
      </c>
      <c r="AZ432" s="308" t="str">
        <f t="shared" si="43"/>
        <v/>
      </c>
      <c r="BA432" s="313" t="str">
        <f t="shared" si="44"/>
        <v/>
      </c>
      <c r="BB432" s="304" t="str">
        <f t="shared" si="45"/>
        <v/>
      </c>
      <c r="BC432" s="308" t="str">
        <f t="shared" si="46"/>
        <v/>
      </c>
      <c r="BD432" s="308" t="str">
        <f t="shared" si="47"/>
        <v/>
      </c>
    </row>
    <row r="433">
      <c r="A433" s="298"/>
      <c r="B433" s="299"/>
      <c r="C433" s="300"/>
      <c r="D433" s="301" t="str">
        <f>IFERROR(__xludf.DUMMYFUNCTION("if(ISBLANK(A433),"""",GOOGLEFINANCE(A433,""NAME""))"),"")</f>
        <v/>
      </c>
      <c r="E433" s="302">
        <v>5000.0</v>
      </c>
      <c r="F433" s="303" t="str">
        <f>IFERROR(__xludf.DUMMYFUNCTION("if(ISBLANK(A433),"""",GOOGLEFINANCE(A433,""HIGH52""))"),"")</f>
        <v/>
      </c>
      <c r="G433" s="303" t="str">
        <f>IFERROR(__xludf.DUMMYFUNCTION("if(ISBLANK(A433),"""",GOOGLEFINANCE(A433,""LOW52""))"),"")</f>
        <v/>
      </c>
      <c r="H433" s="304" t="str">
        <f>IFERROR(__xludf.DUMMYFUNCTION("if(ISBLANK(A433),"""",GOOGLEFINANCE(A433,""Price""))"),"")</f>
        <v/>
      </c>
      <c r="I433" s="305" t="str">
        <f t="shared" si="1"/>
        <v/>
      </c>
      <c r="J433" s="306" t="str">
        <f t="shared" si="2"/>
        <v/>
      </c>
      <c r="K433" s="307" t="str">
        <f>IFERROR(__xludf.DUMMYFUNCTION("if(ISBLANK(A433),"""",googlefinance(A433,""Marketcap"")/10000000)"),"")</f>
        <v/>
      </c>
      <c r="L433" s="309" t="str">
        <f t="shared" si="3"/>
        <v/>
      </c>
      <c r="M433" s="308" t="str">
        <f t="shared" si="4"/>
        <v/>
      </c>
      <c r="N433" s="309" t="str">
        <f t="shared" si="5"/>
        <v/>
      </c>
      <c r="O433" s="322" t="str">
        <f t="shared" si="6"/>
        <v/>
      </c>
      <c r="P433" s="308" t="str">
        <f t="shared" si="7"/>
        <v/>
      </c>
      <c r="Q433" s="311" t="str">
        <f t="shared" si="8"/>
        <v/>
      </c>
      <c r="R433" s="309" t="str">
        <f t="shared" si="9"/>
        <v/>
      </c>
      <c r="S433" s="308" t="str">
        <f t="shared" si="10"/>
        <v/>
      </c>
      <c r="T433" s="309" t="str">
        <f t="shared" si="11"/>
        <v/>
      </c>
      <c r="U433" s="309" t="str">
        <f t="shared" si="12"/>
        <v/>
      </c>
      <c r="V433" s="308" t="str">
        <f t="shared" si="13"/>
        <v/>
      </c>
      <c r="W433" s="309" t="str">
        <f t="shared" si="14"/>
        <v/>
      </c>
      <c r="X433" s="309" t="str">
        <f t="shared" si="15"/>
        <v/>
      </c>
      <c r="Y433" s="308" t="str">
        <f t="shared" si="16"/>
        <v/>
      </c>
      <c r="Z433" s="309" t="str">
        <f t="shared" si="17"/>
        <v/>
      </c>
      <c r="AA433" s="312" t="str">
        <f t="shared" si="18"/>
        <v/>
      </c>
      <c r="AB433" s="308" t="str">
        <f t="shared" si="19"/>
        <v/>
      </c>
      <c r="AC433" s="308" t="str">
        <f t="shared" si="20"/>
        <v/>
      </c>
      <c r="AD433" s="312" t="str">
        <f t="shared" si="21"/>
        <v/>
      </c>
      <c r="AE433" s="308" t="str">
        <f t="shared" si="22"/>
        <v/>
      </c>
      <c r="AF433" s="313" t="str">
        <f t="shared" si="23"/>
        <v/>
      </c>
      <c r="AG433" s="304" t="str">
        <f t="shared" si="24"/>
        <v/>
      </c>
      <c r="AH433" s="308" t="str">
        <f t="shared" si="25"/>
        <v/>
      </c>
      <c r="AI433" s="313" t="str">
        <f t="shared" si="26"/>
        <v/>
      </c>
      <c r="AJ433" s="304" t="str">
        <f t="shared" si="27"/>
        <v/>
      </c>
      <c r="AK433" s="308" t="str">
        <f t="shared" si="28"/>
        <v/>
      </c>
      <c r="AL433" s="308" t="str">
        <f t="shared" si="29"/>
        <v/>
      </c>
      <c r="AM433" s="304" t="str">
        <f t="shared" si="30"/>
        <v/>
      </c>
      <c r="AN433" s="308" t="str">
        <f t="shared" si="31"/>
        <v/>
      </c>
      <c r="AO433" s="313" t="str">
        <f t="shared" si="32"/>
        <v/>
      </c>
      <c r="AP433" s="304" t="str">
        <f t="shared" si="33"/>
        <v/>
      </c>
      <c r="AQ433" s="308" t="str">
        <f t="shared" si="34"/>
        <v/>
      </c>
      <c r="AR433" s="313" t="str">
        <f t="shared" si="35"/>
        <v/>
      </c>
      <c r="AS433" s="304" t="str">
        <f t="shared" si="36"/>
        <v/>
      </c>
      <c r="AT433" s="308" t="str">
        <f t="shared" si="37"/>
        <v/>
      </c>
      <c r="AU433" s="308" t="str">
        <f t="shared" si="38"/>
        <v/>
      </c>
      <c r="AV433" s="304" t="str">
        <f t="shared" si="39"/>
        <v/>
      </c>
      <c r="AW433" s="308" t="str">
        <f t="shared" si="40"/>
        <v/>
      </c>
      <c r="AX433" s="308" t="str">
        <f t="shared" si="41"/>
        <v/>
      </c>
      <c r="AY433" s="304" t="str">
        <f t="shared" si="42"/>
        <v/>
      </c>
      <c r="AZ433" s="308" t="str">
        <f t="shared" si="43"/>
        <v/>
      </c>
      <c r="BA433" s="313" t="str">
        <f t="shared" si="44"/>
        <v/>
      </c>
      <c r="BB433" s="304" t="str">
        <f t="shared" si="45"/>
        <v/>
      </c>
      <c r="BC433" s="308" t="str">
        <f t="shared" si="46"/>
        <v/>
      </c>
      <c r="BD433" s="308" t="str">
        <f t="shared" si="47"/>
        <v/>
      </c>
    </row>
    <row r="434">
      <c r="A434" s="298"/>
      <c r="B434" s="299"/>
      <c r="C434" s="300"/>
      <c r="D434" s="301" t="str">
        <f>IFERROR(__xludf.DUMMYFUNCTION("if(ISBLANK(A434),"""",GOOGLEFINANCE(A434,""NAME""))"),"")</f>
        <v/>
      </c>
      <c r="E434" s="302">
        <v>5000.0</v>
      </c>
      <c r="F434" s="303" t="str">
        <f>IFERROR(__xludf.DUMMYFUNCTION("if(ISBLANK(A434),"""",GOOGLEFINANCE(A434,""HIGH52""))"),"")</f>
        <v/>
      </c>
      <c r="G434" s="303" t="str">
        <f>IFERROR(__xludf.DUMMYFUNCTION("if(ISBLANK(A434),"""",GOOGLEFINANCE(A434,""LOW52""))"),"")</f>
        <v/>
      </c>
      <c r="H434" s="304" t="str">
        <f>IFERROR(__xludf.DUMMYFUNCTION("if(ISBLANK(A434),"""",GOOGLEFINANCE(A434,""Price""))"),"")</f>
        <v/>
      </c>
      <c r="I434" s="305" t="str">
        <f t="shared" si="1"/>
        <v/>
      </c>
      <c r="J434" s="306" t="str">
        <f t="shared" si="2"/>
        <v/>
      </c>
      <c r="K434" s="307" t="str">
        <f>IFERROR(__xludf.DUMMYFUNCTION("if(ISBLANK(A434),"""",googlefinance(A434,""Marketcap"")/10000000)"),"")</f>
        <v/>
      </c>
      <c r="L434" s="309" t="str">
        <f t="shared" si="3"/>
        <v/>
      </c>
      <c r="M434" s="308" t="str">
        <f t="shared" si="4"/>
        <v/>
      </c>
      <c r="N434" s="309" t="str">
        <f t="shared" si="5"/>
        <v/>
      </c>
      <c r="O434" s="322" t="str">
        <f t="shared" si="6"/>
        <v/>
      </c>
      <c r="P434" s="308" t="str">
        <f t="shared" si="7"/>
        <v/>
      </c>
      <c r="Q434" s="311" t="str">
        <f t="shared" si="8"/>
        <v/>
      </c>
      <c r="R434" s="309" t="str">
        <f t="shared" si="9"/>
        <v/>
      </c>
      <c r="S434" s="308" t="str">
        <f t="shared" si="10"/>
        <v/>
      </c>
      <c r="T434" s="309" t="str">
        <f t="shared" si="11"/>
        <v/>
      </c>
      <c r="U434" s="309" t="str">
        <f t="shared" si="12"/>
        <v/>
      </c>
      <c r="V434" s="308" t="str">
        <f t="shared" si="13"/>
        <v/>
      </c>
      <c r="W434" s="309" t="str">
        <f t="shared" si="14"/>
        <v/>
      </c>
      <c r="X434" s="309" t="str">
        <f t="shared" si="15"/>
        <v/>
      </c>
      <c r="Y434" s="308" t="str">
        <f t="shared" si="16"/>
        <v/>
      </c>
      <c r="Z434" s="309" t="str">
        <f t="shared" si="17"/>
        <v/>
      </c>
      <c r="AA434" s="312" t="str">
        <f t="shared" si="18"/>
        <v/>
      </c>
      <c r="AB434" s="308" t="str">
        <f t="shared" si="19"/>
        <v/>
      </c>
      <c r="AC434" s="308" t="str">
        <f t="shared" si="20"/>
        <v/>
      </c>
      <c r="AD434" s="312" t="str">
        <f t="shared" si="21"/>
        <v/>
      </c>
      <c r="AE434" s="308" t="str">
        <f t="shared" si="22"/>
        <v/>
      </c>
      <c r="AF434" s="313" t="str">
        <f t="shared" si="23"/>
        <v/>
      </c>
      <c r="AG434" s="304" t="str">
        <f t="shared" si="24"/>
        <v/>
      </c>
      <c r="AH434" s="308" t="str">
        <f t="shared" si="25"/>
        <v/>
      </c>
      <c r="AI434" s="313" t="str">
        <f t="shared" si="26"/>
        <v/>
      </c>
      <c r="AJ434" s="304" t="str">
        <f t="shared" si="27"/>
        <v/>
      </c>
      <c r="AK434" s="308" t="str">
        <f t="shared" si="28"/>
        <v/>
      </c>
      <c r="AL434" s="308" t="str">
        <f t="shared" si="29"/>
        <v/>
      </c>
      <c r="AM434" s="304" t="str">
        <f t="shared" si="30"/>
        <v/>
      </c>
      <c r="AN434" s="308" t="str">
        <f t="shared" si="31"/>
        <v/>
      </c>
      <c r="AO434" s="313" t="str">
        <f t="shared" si="32"/>
        <v/>
      </c>
      <c r="AP434" s="304" t="str">
        <f t="shared" si="33"/>
        <v/>
      </c>
      <c r="AQ434" s="308" t="str">
        <f t="shared" si="34"/>
        <v/>
      </c>
      <c r="AR434" s="313" t="str">
        <f t="shared" si="35"/>
        <v/>
      </c>
      <c r="AS434" s="304" t="str">
        <f t="shared" si="36"/>
        <v/>
      </c>
      <c r="AT434" s="308" t="str">
        <f t="shared" si="37"/>
        <v/>
      </c>
      <c r="AU434" s="308" t="str">
        <f t="shared" si="38"/>
        <v/>
      </c>
      <c r="AV434" s="304" t="str">
        <f t="shared" si="39"/>
        <v/>
      </c>
      <c r="AW434" s="308" t="str">
        <f t="shared" si="40"/>
        <v/>
      </c>
      <c r="AX434" s="308" t="str">
        <f t="shared" si="41"/>
        <v/>
      </c>
      <c r="AY434" s="304" t="str">
        <f t="shared" si="42"/>
        <v/>
      </c>
      <c r="AZ434" s="308" t="str">
        <f t="shared" si="43"/>
        <v/>
      </c>
      <c r="BA434" s="313" t="str">
        <f t="shared" si="44"/>
        <v/>
      </c>
      <c r="BB434" s="304" t="str">
        <f t="shared" si="45"/>
        <v/>
      </c>
      <c r="BC434" s="308" t="str">
        <f t="shared" si="46"/>
        <v/>
      </c>
      <c r="BD434" s="308" t="str">
        <f t="shared" si="47"/>
        <v/>
      </c>
    </row>
    <row r="435">
      <c r="A435" s="298"/>
      <c r="B435" s="299"/>
      <c r="C435" s="300"/>
      <c r="D435" s="301" t="str">
        <f>IFERROR(__xludf.DUMMYFUNCTION("if(ISBLANK(A435),"""",GOOGLEFINANCE(A435,""NAME""))"),"")</f>
        <v/>
      </c>
      <c r="E435" s="302">
        <v>5000.0</v>
      </c>
      <c r="F435" s="303" t="str">
        <f>IFERROR(__xludf.DUMMYFUNCTION("if(ISBLANK(A435),"""",GOOGLEFINANCE(A435,""HIGH52""))"),"")</f>
        <v/>
      </c>
      <c r="G435" s="303" t="str">
        <f>IFERROR(__xludf.DUMMYFUNCTION("if(ISBLANK(A435),"""",GOOGLEFINANCE(A435,""LOW52""))"),"")</f>
        <v/>
      </c>
      <c r="H435" s="304" t="str">
        <f>IFERROR(__xludf.DUMMYFUNCTION("if(ISBLANK(A435),"""",GOOGLEFINANCE(A435,""Price""))"),"")</f>
        <v/>
      </c>
      <c r="I435" s="305" t="str">
        <f t="shared" si="1"/>
        <v/>
      </c>
      <c r="J435" s="306" t="str">
        <f t="shared" si="2"/>
        <v/>
      </c>
      <c r="K435" s="307" t="str">
        <f>IFERROR(__xludf.DUMMYFUNCTION("if(ISBLANK(A435),"""",googlefinance(A435,""Marketcap"")/10000000)"),"")</f>
        <v/>
      </c>
      <c r="L435" s="309" t="str">
        <f t="shared" si="3"/>
        <v/>
      </c>
      <c r="M435" s="308" t="str">
        <f t="shared" si="4"/>
        <v/>
      </c>
      <c r="N435" s="309" t="str">
        <f t="shared" si="5"/>
        <v/>
      </c>
      <c r="O435" s="322" t="str">
        <f t="shared" si="6"/>
        <v/>
      </c>
      <c r="P435" s="308" t="str">
        <f t="shared" si="7"/>
        <v/>
      </c>
      <c r="Q435" s="311" t="str">
        <f t="shared" si="8"/>
        <v/>
      </c>
      <c r="R435" s="309" t="str">
        <f t="shared" si="9"/>
        <v/>
      </c>
      <c r="S435" s="308" t="str">
        <f t="shared" si="10"/>
        <v/>
      </c>
      <c r="T435" s="309" t="str">
        <f t="shared" si="11"/>
        <v/>
      </c>
      <c r="U435" s="309" t="str">
        <f t="shared" si="12"/>
        <v/>
      </c>
      <c r="V435" s="308" t="str">
        <f t="shared" si="13"/>
        <v/>
      </c>
      <c r="W435" s="309" t="str">
        <f t="shared" si="14"/>
        <v/>
      </c>
      <c r="X435" s="309" t="str">
        <f t="shared" si="15"/>
        <v/>
      </c>
      <c r="Y435" s="308" t="str">
        <f t="shared" si="16"/>
        <v/>
      </c>
      <c r="Z435" s="309" t="str">
        <f t="shared" si="17"/>
        <v/>
      </c>
      <c r="AA435" s="312" t="str">
        <f t="shared" si="18"/>
        <v/>
      </c>
      <c r="AB435" s="308" t="str">
        <f t="shared" si="19"/>
        <v/>
      </c>
      <c r="AC435" s="308" t="str">
        <f t="shared" si="20"/>
        <v/>
      </c>
      <c r="AD435" s="312" t="str">
        <f t="shared" si="21"/>
        <v/>
      </c>
      <c r="AE435" s="308" t="str">
        <f t="shared" si="22"/>
        <v/>
      </c>
      <c r="AF435" s="313" t="str">
        <f t="shared" si="23"/>
        <v/>
      </c>
      <c r="AG435" s="304" t="str">
        <f t="shared" si="24"/>
        <v/>
      </c>
      <c r="AH435" s="308" t="str">
        <f t="shared" si="25"/>
        <v/>
      </c>
      <c r="AI435" s="313" t="str">
        <f t="shared" si="26"/>
        <v/>
      </c>
      <c r="AJ435" s="304" t="str">
        <f t="shared" si="27"/>
        <v/>
      </c>
      <c r="AK435" s="308" t="str">
        <f t="shared" si="28"/>
        <v/>
      </c>
      <c r="AL435" s="308" t="str">
        <f t="shared" si="29"/>
        <v/>
      </c>
      <c r="AM435" s="304" t="str">
        <f t="shared" si="30"/>
        <v/>
      </c>
      <c r="AN435" s="308" t="str">
        <f t="shared" si="31"/>
        <v/>
      </c>
      <c r="AO435" s="313" t="str">
        <f t="shared" si="32"/>
        <v/>
      </c>
      <c r="AP435" s="304" t="str">
        <f t="shared" si="33"/>
        <v/>
      </c>
      <c r="AQ435" s="308" t="str">
        <f t="shared" si="34"/>
        <v/>
      </c>
      <c r="AR435" s="313" t="str">
        <f t="shared" si="35"/>
        <v/>
      </c>
      <c r="AS435" s="304" t="str">
        <f t="shared" si="36"/>
        <v/>
      </c>
      <c r="AT435" s="308" t="str">
        <f t="shared" si="37"/>
        <v/>
      </c>
      <c r="AU435" s="308" t="str">
        <f t="shared" si="38"/>
        <v/>
      </c>
      <c r="AV435" s="304" t="str">
        <f t="shared" si="39"/>
        <v/>
      </c>
      <c r="AW435" s="308" t="str">
        <f t="shared" si="40"/>
        <v/>
      </c>
      <c r="AX435" s="308" t="str">
        <f t="shared" si="41"/>
        <v/>
      </c>
      <c r="AY435" s="304" t="str">
        <f t="shared" si="42"/>
        <v/>
      </c>
      <c r="AZ435" s="308" t="str">
        <f t="shared" si="43"/>
        <v/>
      </c>
      <c r="BA435" s="313" t="str">
        <f t="shared" si="44"/>
        <v/>
      </c>
      <c r="BB435" s="304" t="str">
        <f t="shared" si="45"/>
        <v/>
      </c>
      <c r="BC435" s="308" t="str">
        <f t="shared" si="46"/>
        <v/>
      </c>
      <c r="BD435" s="308" t="str">
        <f t="shared" si="47"/>
        <v/>
      </c>
    </row>
    <row r="436">
      <c r="A436" s="298"/>
      <c r="B436" s="299"/>
      <c r="C436" s="300"/>
      <c r="D436" s="301" t="str">
        <f>IFERROR(__xludf.DUMMYFUNCTION("if(ISBLANK(A436),"""",GOOGLEFINANCE(A436,""NAME""))"),"")</f>
        <v/>
      </c>
      <c r="E436" s="302">
        <v>5000.0</v>
      </c>
      <c r="F436" s="303" t="str">
        <f>IFERROR(__xludf.DUMMYFUNCTION("if(ISBLANK(A436),"""",GOOGLEFINANCE(A436,""HIGH52""))"),"")</f>
        <v/>
      </c>
      <c r="G436" s="303" t="str">
        <f>IFERROR(__xludf.DUMMYFUNCTION("if(ISBLANK(A436),"""",GOOGLEFINANCE(A436,""LOW52""))"),"")</f>
        <v/>
      </c>
      <c r="H436" s="304" t="str">
        <f>IFERROR(__xludf.DUMMYFUNCTION("if(ISBLANK(A436),"""",GOOGLEFINANCE(A436,""Price""))"),"")</f>
        <v/>
      </c>
      <c r="I436" s="305" t="str">
        <f t="shared" si="1"/>
        <v/>
      </c>
      <c r="J436" s="306" t="str">
        <f t="shared" si="2"/>
        <v/>
      </c>
      <c r="K436" s="307" t="str">
        <f>IFERROR(__xludf.DUMMYFUNCTION("if(ISBLANK(A436),"""",googlefinance(A436,""Marketcap"")/10000000)"),"")</f>
        <v/>
      </c>
      <c r="L436" s="309" t="str">
        <f t="shared" si="3"/>
        <v/>
      </c>
      <c r="M436" s="308" t="str">
        <f t="shared" si="4"/>
        <v/>
      </c>
      <c r="N436" s="309" t="str">
        <f t="shared" si="5"/>
        <v/>
      </c>
      <c r="O436" s="322" t="str">
        <f t="shared" si="6"/>
        <v/>
      </c>
      <c r="P436" s="308" t="str">
        <f t="shared" si="7"/>
        <v/>
      </c>
      <c r="Q436" s="311" t="str">
        <f t="shared" si="8"/>
        <v/>
      </c>
      <c r="R436" s="309" t="str">
        <f t="shared" si="9"/>
        <v/>
      </c>
      <c r="S436" s="308" t="str">
        <f t="shared" si="10"/>
        <v/>
      </c>
      <c r="T436" s="309" t="str">
        <f t="shared" si="11"/>
        <v/>
      </c>
      <c r="U436" s="309" t="str">
        <f t="shared" si="12"/>
        <v/>
      </c>
      <c r="V436" s="308" t="str">
        <f t="shared" si="13"/>
        <v/>
      </c>
      <c r="W436" s="309" t="str">
        <f t="shared" si="14"/>
        <v/>
      </c>
      <c r="X436" s="309" t="str">
        <f t="shared" si="15"/>
        <v/>
      </c>
      <c r="Y436" s="308" t="str">
        <f t="shared" si="16"/>
        <v/>
      </c>
      <c r="Z436" s="309" t="str">
        <f t="shared" si="17"/>
        <v/>
      </c>
      <c r="AA436" s="312" t="str">
        <f t="shared" si="18"/>
        <v/>
      </c>
      <c r="AB436" s="308" t="str">
        <f t="shared" si="19"/>
        <v/>
      </c>
      <c r="AC436" s="308" t="str">
        <f t="shared" si="20"/>
        <v/>
      </c>
      <c r="AD436" s="312" t="str">
        <f t="shared" si="21"/>
        <v/>
      </c>
      <c r="AE436" s="308" t="str">
        <f t="shared" si="22"/>
        <v/>
      </c>
      <c r="AF436" s="313" t="str">
        <f t="shared" si="23"/>
        <v/>
      </c>
      <c r="AG436" s="304" t="str">
        <f t="shared" si="24"/>
        <v/>
      </c>
      <c r="AH436" s="308" t="str">
        <f t="shared" si="25"/>
        <v/>
      </c>
      <c r="AI436" s="313" t="str">
        <f t="shared" si="26"/>
        <v/>
      </c>
      <c r="AJ436" s="304" t="str">
        <f t="shared" si="27"/>
        <v/>
      </c>
      <c r="AK436" s="308" t="str">
        <f t="shared" si="28"/>
        <v/>
      </c>
      <c r="AL436" s="308" t="str">
        <f t="shared" si="29"/>
        <v/>
      </c>
      <c r="AM436" s="304" t="str">
        <f t="shared" si="30"/>
        <v/>
      </c>
      <c r="AN436" s="308" t="str">
        <f t="shared" si="31"/>
        <v/>
      </c>
      <c r="AO436" s="313" t="str">
        <f t="shared" si="32"/>
        <v/>
      </c>
      <c r="AP436" s="304" t="str">
        <f t="shared" si="33"/>
        <v/>
      </c>
      <c r="AQ436" s="308" t="str">
        <f t="shared" si="34"/>
        <v/>
      </c>
      <c r="AR436" s="313" t="str">
        <f t="shared" si="35"/>
        <v/>
      </c>
      <c r="AS436" s="304" t="str">
        <f t="shared" si="36"/>
        <v/>
      </c>
      <c r="AT436" s="308" t="str">
        <f t="shared" si="37"/>
        <v/>
      </c>
      <c r="AU436" s="308" t="str">
        <f t="shared" si="38"/>
        <v/>
      </c>
      <c r="AV436" s="304" t="str">
        <f t="shared" si="39"/>
        <v/>
      </c>
      <c r="AW436" s="308" t="str">
        <f t="shared" si="40"/>
        <v/>
      </c>
      <c r="AX436" s="308" t="str">
        <f t="shared" si="41"/>
        <v/>
      </c>
      <c r="AY436" s="304" t="str">
        <f t="shared" si="42"/>
        <v/>
      </c>
      <c r="AZ436" s="308" t="str">
        <f t="shared" si="43"/>
        <v/>
      </c>
      <c r="BA436" s="313" t="str">
        <f t="shared" si="44"/>
        <v/>
      </c>
      <c r="BB436" s="304" t="str">
        <f t="shared" si="45"/>
        <v/>
      </c>
      <c r="BC436" s="308" t="str">
        <f t="shared" si="46"/>
        <v/>
      </c>
      <c r="BD436" s="308" t="str">
        <f t="shared" si="47"/>
        <v/>
      </c>
    </row>
    <row r="437">
      <c r="A437" s="298"/>
      <c r="B437" s="299"/>
      <c r="C437" s="300"/>
      <c r="D437" s="301" t="str">
        <f>IFERROR(__xludf.DUMMYFUNCTION("if(ISBLANK(A437),"""",GOOGLEFINANCE(A437,""NAME""))"),"")</f>
        <v/>
      </c>
      <c r="E437" s="302">
        <v>5000.0</v>
      </c>
      <c r="F437" s="303" t="str">
        <f>IFERROR(__xludf.DUMMYFUNCTION("if(ISBLANK(A437),"""",GOOGLEFINANCE(A437,""HIGH52""))"),"")</f>
        <v/>
      </c>
      <c r="G437" s="303" t="str">
        <f>IFERROR(__xludf.DUMMYFUNCTION("if(ISBLANK(A437),"""",GOOGLEFINANCE(A437,""LOW52""))"),"")</f>
        <v/>
      </c>
      <c r="H437" s="304" t="str">
        <f>IFERROR(__xludf.DUMMYFUNCTION("if(ISBLANK(A437),"""",GOOGLEFINANCE(A437,""Price""))"),"")</f>
        <v/>
      </c>
      <c r="I437" s="305" t="str">
        <f t="shared" si="1"/>
        <v/>
      </c>
      <c r="J437" s="306" t="str">
        <f t="shared" si="2"/>
        <v/>
      </c>
      <c r="K437" s="307" t="str">
        <f>IFERROR(__xludf.DUMMYFUNCTION("if(ISBLANK(A437),"""",googlefinance(A437,""Marketcap"")/10000000)"),"")</f>
        <v/>
      </c>
      <c r="L437" s="309" t="str">
        <f t="shared" si="3"/>
        <v/>
      </c>
      <c r="M437" s="308" t="str">
        <f t="shared" si="4"/>
        <v/>
      </c>
      <c r="N437" s="309" t="str">
        <f t="shared" si="5"/>
        <v/>
      </c>
      <c r="O437" s="322" t="str">
        <f t="shared" si="6"/>
        <v/>
      </c>
      <c r="P437" s="308" t="str">
        <f t="shared" si="7"/>
        <v/>
      </c>
      <c r="Q437" s="311" t="str">
        <f t="shared" si="8"/>
        <v/>
      </c>
      <c r="R437" s="309" t="str">
        <f t="shared" si="9"/>
        <v/>
      </c>
      <c r="S437" s="308" t="str">
        <f t="shared" si="10"/>
        <v/>
      </c>
      <c r="T437" s="309" t="str">
        <f t="shared" si="11"/>
        <v/>
      </c>
      <c r="U437" s="309" t="str">
        <f t="shared" si="12"/>
        <v/>
      </c>
      <c r="V437" s="308" t="str">
        <f t="shared" si="13"/>
        <v/>
      </c>
      <c r="W437" s="309" t="str">
        <f t="shared" si="14"/>
        <v/>
      </c>
      <c r="X437" s="309" t="str">
        <f t="shared" si="15"/>
        <v/>
      </c>
      <c r="Y437" s="308" t="str">
        <f t="shared" si="16"/>
        <v/>
      </c>
      <c r="Z437" s="309" t="str">
        <f t="shared" si="17"/>
        <v/>
      </c>
      <c r="AA437" s="312" t="str">
        <f t="shared" si="18"/>
        <v/>
      </c>
      <c r="AB437" s="308" t="str">
        <f t="shared" si="19"/>
        <v/>
      </c>
      <c r="AC437" s="308" t="str">
        <f t="shared" si="20"/>
        <v/>
      </c>
      <c r="AD437" s="312" t="str">
        <f t="shared" si="21"/>
        <v/>
      </c>
      <c r="AE437" s="308" t="str">
        <f t="shared" si="22"/>
        <v/>
      </c>
      <c r="AF437" s="313" t="str">
        <f t="shared" si="23"/>
        <v/>
      </c>
      <c r="AG437" s="304" t="str">
        <f t="shared" si="24"/>
        <v/>
      </c>
      <c r="AH437" s="308" t="str">
        <f t="shared" si="25"/>
        <v/>
      </c>
      <c r="AI437" s="313" t="str">
        <f t="shared" si="26"/>
        <v/>
      </c>
      <c r="AJ437" s="304" t="str">
        <f t="shared" si="27"/>
        <v/>
      </c>
      <c r="AK437" s="308" t="str">
        <f t="shared" si="28"/>
        <v/>
      </c>
      <c r="AL437" s="308" t="str">
        <f t="shared" si="29"/>
        <v/>
      </c>
      <c r="AM437" s="304" t="str">
        <f t="shared" si="30"/>
        <v/>
      </c>
      <c r="AN437" s="308" t="str">
        <f t="shared" si="31"/>
        <v/>
      </c>
      <c r="AO437" s="313" t="str">
        <f t="shared" si="32"/>
        <v/>
      </c>
      <c r="AP437" s="304" t="str">
        <f t="shared" si="33"/>
        <v/>
      </c>
      <c r="AQ437" s="308" t="str">
        <f t="shared" si="34"/>
        <v/>
      </c>
      <c r="AR437" s="313" t="str">
        <f t="shared" si="35"/>
        <v/>
      </c>
      <c r="AS437" s="304" t="str">
        <f t="shared" si="36"/>
        <v/>
      </c>
      <c r="AT437" s="308" t="str">
        <f t="shared" si="37"/>
        <v/>
      </c>
      <c r="AU437" s="308" t="str">
        <f t="shared" si="38"/>
        <v/>
      </c>
      <c r="AV437" s="304" t="str">
        <f t="shared" si="39"/>
        <v/>
      </c>
      <c r="AW437" s="308" t="str">
        <f t="shared" si="40"/>
        <v/>
      </c>
      <c r="AX437" s="308" t="str">
        <f t="shared" si="41"/>
        <v/>
      </c>
      <c r="AY437" s="304" t="str">
        <f t="shared" si="42"/>
        <v/>
      </c>
      <c r="AZ437" s="308" t="str">
        <f t="shared" si="43"/>
        <v/>
      </c>
      <c r="BA437" s="313" t="str">
        <f t="shared" si="44"/>
        <v/>
      </c>
      <c r="BB437" s="304" t="str">
        <f t="shared" si="45"/>
        <v/>
      </c>
      <c r="BC437" s="308" t="str">
        <f t="shared" si="46"/>
        <v/>
      </c>
      <c r="BD437" s="308" t="str">
        <f t="shared" si="47"/>
        <v/>
      </c>
    </row>
    <row r="438">
      <c r="A438" s="298"/>
      <c r="B438" s="299"/>
      <c r="C438" s="300"/>
      <c r="D438" s="301" t="str">
        <f>IFERROR(__xludf.DUMMYFUNCTION("if(ISBLANK(A438),"""",GOOGLEFINANCE(A438,""NAME""))"),"")</f>
        <v/>
      </c>
      <c r="E438" s="302">
        <v>5000.0</v>
      </c>
      <c r="F438" s="303" t="str">
        <f>IFERROR(__xludf.DUMMYFUNCTION("if(ISBLANK(A438),"""",GOOGLEFINANCE(A438,""HIGH52""))"),"")</f>
        <v/>
      </c>
      <c r="G438" s="303" t="str">
        <f>IFERROR(__xludf.DUMMYFUNCTION("if(ISBLANK(A438),"""",GOOGLEFINANCE(A438,""LOW52""))"),"")</f>
        <v/>
      </c>
      <c r="H438" s="304" t="str">
        <f>IFERROR(__xludf.DUMMYFUNCTION("if(ISBLANK(A438),"""",GOOGLEFINANCE(A438,""Price""))"),"")</f>
        <v/>
      </c>
      <c r="I438" s="305" t="str">
        <f t="shared" si="1"/>
        <v/>
      </c>
      <c r="J438" s="306" t="str">
        <f t="shared" si="2"/>
        <v/>
      </c>
      <c r="K438" s="307" t="str">
        <f>IFERROR(__xludf.DUMMYFUNCTION("if(ISBLANK(A438),"""",googlefinance(A438,""Marketcap"")/10000000)"),"")</f>
        <v/>
      </c>
      <c r="L438" s="309" t="str">
        <f t="shared" si="3"/>
        <v/>
      </c>
      <c r="M438" s="308" t="str">
        <f t="shared" si="4"/>
        <v/>
      </c>
      <c r="N438" s="309" t="str">
        <f t="shared" si="5"/>
        <v/>
      </c>
      <c r="O438" s="322" t="str">
        <f t="shared" si="6"/>
        <v/>
      </c>
      <c r="P438" s="308" t="str">
        <f t="shared" si="7"/>
        <v/>
      </c>
      <c r="Q438" s="311" t="str">
        <f t="shared" si="8"/>
        <v/>
      </c>
      <c r="R438" s="309" t="str">
        <f t="shared" si="9"/>
        <v/>
      </c>
      <c r="S438" s="308" t="str">
        <f t="shared" si="10"/>
        <v/>
      </c>
      <c r="T438" s="309" t="str">
        <f t="shared" si="11"/>
        <v/>
      </c>
      <c r="U438" s="309" t="str">
        <f t="shared" si="12"/>
        <v/>
      </c>
      <c r="V438" s="308" t="str">
        <f t="shared" si="13"/>
        <v/>
      </c>
      <c r="W438" s="309" t="str">
        <f t="shared" si="14"/>
        <v/>
      </c>
      <c r="X438" s="309" t="str">
        <f t="shared" si="15"/>
        <v/>
      </c>
      <c r="Y438" s="308" t="str">
        <f t="shared" si="16"/>
        <v/>
      </c>
      <c r="Z438" s="309" t="str">
        <f t="shared" si="17"/>
        <v/>
      </c>
      <c r="AA438" s="312" t="str">
        <f t="shared" si="18"/>
        <v/>
      </c>
      <c r="AB438" s="308" t="str">
        <f t="shared" si="19"/>
        <v/>
      </c>
      <c r="AC438" s="308" t="str">
        <f t="shared" si="20"/>
        <v/>
      </c>
      <c r="AD438" s="312" t="str">
        <f t="shared" si="21"/>
        <v/>
      </c>
      <c r="AE438" s="308" t="str">
        <f t="shared" si="22"/>
        <v/>
      </c>
      <c r="AF438" s="313" t="str">
        <f t="shared" si="23"/>
        <v/>
      </c>
      <c r="AG438" s="304" t="str">
        <f t="shared" si="24"/>
        <v/>
      </c>
      <c r="AH438" s="308" t="str">
        <f t="shared" si="25"/>
        <v/>
      </c>
      <c r="AI438" s="313" t="str">
        <f t="shared" si="26"/>
        <v/>
      </c>
      <c r="AJ438" s="304" t="str">
        <f t="shared" si="27"/>
        <v/>
      </c>
      <c r="AK438" s="308" t="str">
        <f t="shared" si="28"/>
        <v/>
      </c>
      <c r="AL438" s="308" t="str">
        <f t="shared" si="29"/>
        <v/>
      </c>
      <c r="AM438" s="304" t="str">
        <f t="shared" si="30"/>
        <v/>
      </c>
      <c r="AN438" s="308" t="str">
        <f t="shared" si="31"/>
        <v/>
      </c>
      <c r="AO438" s="313" t="str">
        <f t="shared" si="32"/>
        <v/>
      </c>
      <c r="AP438" s="304" t="str">
        <f t="shared" si="33"/>
        <v/>
      </c>
      <c r="AQ438" s="308" t="str">
        <f t="shared" si="34"/>
        <v/>
      </c>
      <c r="AR438" s="313" t="str">
        <f t="shared" si="35"/>
        <v/>
      </c>
      <c r="AS438" s="304" t="str">
        <f t="shared" si="36"/>
        <v/>
      </c>
      <c r="AT438" s="308" t="str">
        <f t="shared" si="37"/>
        <v/>
      </c>
      <c r="AU438" s="308" t="str">
        <f t="shared" si="38"/>
        <v/>
      </c>
      <c r="AV438" s="304" t="str">
        <f t="shared" si="39"/>
        <v/>
      </c>
      <c r="AW438" s="308" t="str">
        <f t="shared" si="40"/>
        <v/>
      </c>
      <c r="AX438" s="308" t="str">
        <f t="shared" si="41"/>
        <v/>
      </c>
      <c r="AY438" s="304" t="str">
        <f t="shared" si="42"/>
        <v/>
      </c>
      <c r="AZ438" s="308" t="str">
        <f t="shared" si="43"/>
        <v/>
      </c>
      <c r="BA438" s="313" t="str">
        <f t="shared" si="44"/>
        <v/>
      </c>
      <c r="BB438" s="304" t="str">
        <f t="shared" si="45"/>
        <v/>
      </c>
      <c r="BC438" s="308" t="str">
        <f t="shared" si="46"/>
        <v/>
      </c>
      <c r="BD438" s="308" t="str">
        <f t="shared" si="47"/>
        <v/>
      </c>
    </row>
    <row r="439">
      <c r="A439" s="298"/>
      <c r="B439" s="299"/>
      <c r="C439" s="300"/>
      <c r="D439" s="301" t="str">
        <f>IFERROR(__xludf.DUMMYFUNCTION("if(ISBLANK(A439),"""",GOOGLEFINANCE(A439,""NAME""))"),"")</f>
        <v/>
      </c>
      <c r="E439" s="302">
        <v>5000.0</v>
      </c>
      <c r="F439" s="303" t="str">
        <f>IFERROR(__xludf.DUMMYFUNCTION("if(ISBLANK(A439),"""",GOOGLEFINANCE(A439,""HIGH52""))"),"")</f>
        <v/>
      </c>
      <c r="G439" s="303" t="str">
        <f>IFERROR(__xludf.DUMMYFUNCTION("if(ISBLANK(A439),"""",GOOGLEFINANCE(A439,""LOW52""))"),"")</f>
        <v/>
      </c>
      <c r="H439" s="304" t="str">
        <f>IFERROR(__xludf.DUMMYFUNCTION("if(ISBLANK(A439),"""",GOOGLEFINANCE(A439,""Price""))"),"")</f>
        <v/>
      </c>
      <c r="I439" s="305" t="str">
        <f t="shared" si="1"/>
        <v/>
      </c>
      <c r="J439" s="306" t="str">
        <f t="shared" si="2"/>
        <v/>
      </c>
      <c r="K439" s="307" t="str">
        <f>IFERROR(__xludf.DUMMYFUNCTION("if(ISBLANK(A439),"""",googlefinance(A439,""Marketcap"")/10000000)"),"")</f>
        <v/>
      </c>
      <c r="L439" s="309" t="str">
        <f t="shared" si="3"/>
        <v/>
      </c>
      <c r="M439" s="308" t="str">
        <f t="shared" si="4"/>
        <v/>
      </c>
      <c r="N439" s="309" t="str">
        <f t="shared" si="5"/>
        <v/>
      </c>
      <c r="O439" s="322" t="str">
        <f t="shared" si="6"/>
        <v/>
      </c>
      <c r="P439" s="308" t="str">
        <f t="shared" si="7"/>
        <v/>
      </c>
      <c r="Q439" s="311" t="str">
        <f t="shared" si="8"/>
        <v/>
      </c>
      <c r="R439" s="309" t="str">
        <f t="shared" si="9"/>
        <v/>
      </c>
      <c r="S439" s="308" t="str">
        <f t="shared" si="10"/>
        <v/>
      </c>
      <c r="T439" s="309" t="str">
        <f t="shared" si="11"/>
        <v/>
      </c>
      <c r="U439" s="309" t="str">
        <f t="shared" si="12"/>
        <v/>
      </c>
      <c r="V439" s="308" t="str">
        <f t="shared" si="13"/>
        <v/>
      </c>
      <c r="W439" s="309" t="str">
        <f t="shared" si="14"/>
        <v/>
      </c>
      <c r="X439" s="309" t="str">
        <f t="shared" si="15"/>
        <v/>
      </c>
      <c r="Y439" s="308" t="str">
        <f t="shared" si="16"/>
        <v/>
      </c>
      <c r="Z439" s="309" t="str">
        <f t="shared" si="17"/>
        <v/>
      </c>
      <c r="AA439" s="312" t="str">
        <f t="shared" si="18"/>
        <v/>
      </c>
      <c r="AB439" s="308" t="str">
        <f t="shared" si="19"/>
        <v/>
      </c>
      <c r="AC439" s="308" t="str">
        <f t="shared" si="20"/>
        <v/>
      </c>
      <c r="AD439" s="312" t="str">
        <f t="shared" si="21"/>
        <v/>
      </c>
      <c r="AE439" s="308" t="str">
        <f t="shared" si="22"/>
        <v/>
      </c>
      <c r="AF439" s="313" t="str">
        <f t="shared" si="23"/>
        <v/>
      </c>
      <c r="AG439" s="304" t="str">
        <f t="shared" si="24"/>
        <v/>
      </c>
      <c r="AH439" s="308" t="str">
        <f t="shared" si="25"/>
        <v/>
      </c>
      <c r="AI439" s="313" t="str">
        <f t="shared" si="26"/>
        <v/>
      </c>
      <c r="AJ439" s="304" t="str">
        <f t="shared" si="27"/>
        <v/>
      </c>
      <c r="AK439" s="308" t="str">
        <f t="shared" si="28"/>
        <v/>
      </c>
      <c r="AL439" s="308" t="str">
        <f t="shared" si="29"/>
        <v/>
      </c>
      <c r="AM439" s="304" t="str">
        <f t="shared" si="30"/>
        <v/>
      </c>
      <c r="AN439" s="308" t="str">
        <f t="shared" si="31"/>
        <v/>
      </c>
      <c r="AO439" s="313" t="str">
        <f t="shared" si="32"/>
        <v/>
      </c>
      <c r="AP439" s="304" t="str">
        <f t="shared" si="33"/>
        <v/>
      </c>
      <c r="AQ439" s="308" t="str">
        <f t="shared" si="34"/>
        <v/>
      </c>
      <c r="AR439" s="313" t="str">
        <f t="shared" si="35"/>
        <v/>
      </c>
      <c r="AS439" s="304" t="str">
        <f t="shared" si="36"/>
        <v/>
      </c>
      <c r="AT439" s="308" t="str">
        <f t="shared" si="37"/>
        <v/>
      </c>
      <c r="AU439" s="308" t="str">
        <f t="shared" si="38"/>
        <v/>
      </c>
      <c r="AV439" s="304" t="str">
        <f t="shared" si="39"/>
        <v/>
      </c>
      <c r="AW439" s="308" t="str">
        <f t="shared" si="40"/>
        <v/>
      </c>
      <c r="AX439" s="308" t="str">
        <f t="shared" si="41"/>
        <v/>
      </c>
      <c r="AY439" s="304" t="str">
        <f t="shared" si="42"/>
        <v/>
      </c>
      <c r="AZ439" s="308" t="str">
        <f t="shared" si="43"/>
        <v/>
      </c>
      <c r="BA439" s="313" t="str">
        <f t="shared" si="44"/>
        <v/>
      </c>
      <c r="BB439" s="304" t="str">
        <f t="shared" si="45"/>
        <v/>
      </c>
      <c r="BC439" s="308" t="str">
        <f t="shared" si="46"/>
        <v/>
      </c>
      <c r="BD439" s="308" t="str">
        <f t="shared" si="47"/>
        <v/>
      </c>
    </row>
    <row r="440">
      <c r="A440" s="298"/>
      <c r="B440" s="299"/>
      <c r="C440" s="300"/>
      <c r="D440" s="301" t="str">
        <f>IFERROR(__xludf.DUMMYFUNCTION("if(ISBLANK(A440),"""",GOOGLEFINANCE(A440,""NAME""))"),"")</f>
        <v/>
      </c>
      <c r="E440" s="302">
        <v>5000.0</v>
      </c>
      <c r="F440" s="303" t="str">
        <f>IFERROR(__xludf.DUMMYFUNCTION("if(ISBLANK(A440),"""",GOOGLEFINANCE(A440,""HIGH52""))"),"")</f>
        <v/>
      </c>
      <c r="G440" s="303" t="str">
        <f>IFERROR(__xludf.DUMMYFUNCTION("if(ISBLANK(A440),"""",GOOGLEFINANCE(A440,""LOW52""))"),"")</f>
        <v/>
      </c>
      <c r="H440" s="304" t="str">
        <f>IFERROR(__xludf.DUMMYFUNCTION("if(ISBLANK(A440),"""",GOOGLEFINANCE(A440,""Price""))"),"")</f>
        <v/>
      </c>
      <c r="I440" s="305" t="str">
        <f t="shared" si="1"/>
        <v/>
      </c>
      <c r="J440" s="306" t="str">
        <f t="shared" si="2"/>
        <v/>
      </c>
      <c r="K440" s="307" t="str">
        <f>IFERROR(__xludf.DUMMYFUNCTION("if(ISBLANK(A440),"""",googlefinance(A440,""Marketcap"")/10000000)"),"")</f>
        <v/>
      </c>
      <c r="L440" s="309" t="str">
        <f t="shared" si="3"/>
        <v/>
      </c>
      <c r="M440" s="308" t="str">
        <f t="shared" si="4"/>
        <v/>
      </c>
      <c r="N440" s="309" t="str">
        <f t="shared" si="5"/>
        <v/>
      </c>
      <c r="O440" s="322" t="str">
        <f t="shared" si="6"/>
        <v/>
      </c>
      <c r="P440" s="308" t="str">
        <f t="shared" si="7"/>
        <v/>
      </c>
      <c r="Q440" s="311" t="str">
        <f t="shared" si="8"/>
        <v/>
      </c>
      <c r="R440" s="309" t="str">
        <f t="shared" si="9"/>
        <v/>
      </c>
      <c r="S440" s="308" t="str">
        <f t="shared" si="10"/>
        <v/>
      </c>
      <c r="T440" s="309" t="str">
        <f t="shared" si="11"/>
        <v/>
      </c>
      <c r="U440" s="309" t="str">
        <f t="shared" si="12"/>
        <v/>
      </c>
      <c r="V440" s="308" t="str">
        <f t="shared" si="13"/>
        <v/>
      </c>
      <c r="W440" s="309" t="str">
        <f t="shared" si="14"/>
        <v/>
      </c>
      <c r="X440" s="309" t="str">
        <f t="shared" si="15"/>
        <v/>
      </c>
      <c r="Y440" s="308" t="str">
        <f t="shared" si="16"/>
        <v/>
      </c>
      <c r="Z440" s="309" t="str">
        <f t="shared" si="17"/>
        <v/>
      </c>
      <c r="AA440" s="312" t="str">
        <f t="shared" si="18"/>
        <v/>
      </c>
      <c r="AB440" s="308" t="str">
        <f t="shared" si="19"/>
        <v/>
      </c>
      <c r="AC440" s="308" t="str">
        <f t="shared" si="20"/>
        <v/>
      </c>
      <c r="AD440" s="312" t="str">
        <f t="shared" si="21"/>
        <v/>
      </c>
      <c r="AE440" s="308" t="str">
        <f t="shared" si="22"/>
        <v/>
      </c>
      <c r="AF440" s="313" t="str">
        <f t="shared" si="23"/>
        <v/>
      </c>
      <c r="AG440" s="304" t="str">
        <f t="shared" si="24"/>
        <v/>
      </c>
      <c r="AH440" s="308" t="str">
        <f t="shared" si="25"/>
        <v/>
      </c>
      <c r="AI440" s="313" t="str">
        <f t="shared" si="26"/>
        <v/>
      </c>
      <c r="AJ440" s="304" t="str">
        <f t="shared" si="27"/>
        <v/>
      </c>
      <c r="AK440" s="308" t="str">
        <f t="shared" si="28"/>
        <v/>
      </c>
      <c r="AL440" s="308" t="str">
        <f t="shared" si="29"/>
        <v/>
      </c>
      <c r="AM440" s="304" t="str">
        <f t="shared" si="30"/>
        <v/>
      </c>
      <c r="AN440" s="308" t="str">
        <f t="shared" si="31"/>
        <v/>
      </c>
      <c r="AO440" s="313" t="str">
        <f t="shared" si="32"/>
        <v/>
      </c>
      <c r="AP440" s="304" t="str">
        <f t="shared" si="33"/>
        <v/>
      </c>
      <c r="AQ440" s="308" t="str">
        <f t="shared" si="34"/>
        <v/>
      </c>
      <c r="AR440" s="313" t="str">
        <f t="shared" si="35"/>
        <v/>
      </c>
      <c r="AS440" s="304" t="str">
        <f t="shared" si="36"/>
        <v/>
      </c>
      <c r="AT440" s="308" t="str">
        <f t="shared" si="37"/>
        <v/>
      </c>
      <c r="AU440" s="308" t="str">
        <f t="shared" si="38"/>
        <v/>
      </c>
      <c r="AV440" s="304" t="str">
        <f t="shared" si="39"/>
        <v/>
      </c>
      <c r="AW440" s="308" t="str">
        <f t="shared" si="40"/>
        <v/>
      </c>
      <c r="AX440" s="308" t="str">
        <f t="shared" si="41"/>
        <v/>
      </c>
      <c r="AY440" s="304" t="str">
        <f t="shared" si="42"/>
        <v/>
      </c>
      <c r="AZ440" s="308" t="str">
        <f t="shared" si="43"/>
        <v/>
      </c>
      <c r="BA440" s="313" t="str">
        <f t="shared" si="44"/>
        <v/>
      </c>
      <c r="BB440" s="304" t="str">
        <f t="shared" si="45"/>
        <v/>
      </c>
      <c r="BC440" s="308" t="str">
        <f t="shared" si="46"/>
        <v/>
      </c>
      <c r="BD440" s="308" t="str">
        <f t="shared" si="47"/>
        <v/>
      </c>
    </row>
    <row r="441">
      <c r="A441" s="298"/>
      <c r="B441" s="299"/>
      <c r="C441" s="300"/>
      <c r="D441" s="301" t="str">
        <f>IFERROR(__xludf.DUMMYFUNCTION("if(ISBLANK(A441),"""",GOOGLEFINANCE(A441,""NAME""))"),"")</f>
        <v/>
      </c>
      <c r="E441" s="302">
        <v>5000.0</v>
      </c>
      <c r="F441" s="303" t="str">
        <f>IFERROR(__xludf.DUMMYFUNCTION("if(ISBLANK(A441),"""",GOOGLEFINANCE(A441,""HIGH52""))"),"")</f>
        <v/>
      </c>
      <c r="G441" s="303" t="str">
        <f>IFERROR(__xludf.DUMMYFUNCTION("if(ISBLANK(A441),"""",GOOGLEFINANCE(A441,""LOW52""))"),"")</f>
        <v/>
      </c>
      <c r="H441" s="304" t="str">
        <f>IFERROR(__xludf.DUMMYFUNCTION("if(ISBLANK(A441),"""",GOOGLEFINANCE(A441,""Price""))"),"")</f>
        <v/>
      </c>
      <c r="I441" s="305" t="str">
        <f t="shared" si="1"/>
        <v/>
      </c>
      <c r="J441" s="306" t="str">
        <f t="shared" si="2"/>
        <v/>
      </c>
      <c r="K441" s="307" t="str">
        <f>IFERROR(__xludf.DUMMYFUNCTION("if(ISBLANK(A441),"""",googlefinance(A441,""Marketcap"")/10000000)"),"")</f>
        <v/>
      </c>
      <c r="L441" s="309" t="str">
        <f t="shared" si="3"/>
        <v/>
      </c>
      <c r="M441" s="308" t="str">
        <f t="shared" si="4"/>
        <v/>
      </c>
      <c r="N441" s="309" t="str">
        <f t="shared" si="5"/>
        <v/>
      </c>
      <c r="O441" s="322" t="str">
        <f t="shared" si="6"/>
        <v/>
      </c>
      <c r="P441" s="308" t="str">
        <f t="shared" si="7"/>
        <v/>
      </c>
      <c r="Q441" s="311" t="str">
        <f t="shared" si="8"/>
        <v/>
      </c>
      <c r="R441" s="309" t="str">
        <f t="shared" si="9"/>
        <v/>
      </c>
      <c r="S441" s="308" t="str">
        <f t="shared" si="10"/>
        <v/>
      </c>
      <c r="T441" s="309" t="str">
        <f t="shared" si="11"/>
        <v/>
      </c>
      <c r="U441" s="309" t="str">
        <f t="shared" si="12"/>
        <v/>
      </c>
      <c r="V441" s="308" t="str">
        <f t="shared" si="13"/>
        <v/>
      </c>
      <c r="W441" s="309" t="str">
        <f t="shared" si="14"/>
        <v/>
      </c>
      <c r="X441" s="309" t="str">
        <f t="shared" si="15"/>
        <v/>
      </c>
      <c r="Y441" s="308" t="str">
        <f t="shared" si="16"/>
        <v/>
      </c>
      <c r="Z441" s="309" t="str">
        <f t="shared" si="17"/>
        <v/>
      </c>
      <c r="AA441" s="312" t="str">
        <f t="shared" si="18"/>
        <v/>
      </c>
      <c r="AB441" s="308" t="str">
        <f t="shared" si="19"/>
        <v/>
      </c>
      <c r="AC441" s="308" t="str">
        <f t="shared" si="20"/>
        <v/>
      </c>
      <c r="AD441" s="312" t="str">
        <f t="shared" si="21"/>
        <v/>
      </c>
      <c r="AE441" s="308" t="str">
        <f t="shared" si="22"/>
        <v/>
      </c>
      <c r="AF441" s="313" t="str">
        <f t="shared" si="23"/>
        <v/>
      </c>
      <c r="AG441" s="304" t="str">
        <f t="shared" si="24"/>
        <v/>
      </c>
      <c r="AH441" s="308" t="str">
        <f t="shared" si="25"/>
        <v/>
      </c>
      <c r="AI441" s="313" t="str">
        <f t="shared" si="26"/>
        <v/>
      </c>
      <c r="AJ441" s="304" t="str">
        <f t="shared" si="27"/>
        <v/>
      </c>
      <c r="AK441" s="308" t="str">
        <f t="shared" si="28"/>
        <v/>
      </c>
      <c r="AL441" s="308" t="str">
        <f t="shared" si="29"/>
        <v/>
      </c>
      <c r="AM441" s="304" t="str">
        <f t="shared" si="30"/>
        <v/>
      </c>
      <c r="AN441" s="308" t="str">
        <f t="shared" si="31"/>
        <v/>
      </c>
      <c r="AO441" s="313" t="str">
        <f t="shared" si="32"/>
        <v/>
      </c>
      <c r="AP441" s="304" t="str">
        <f t="shared" si="33"/>
        <v/>
      </c>
      <c r="AQ441" s="308" t="str">
        <f t="shared" si="34"/>
        <v/>
      </c>
      <c r="AR441" s="313" t="str">
        <f t="shared" si="35"/>
        <v/>
      </c>
      <c r="AS441" s="304" t="str">
        <f t="shared" si="36"/>
        <v/>
      </c>
      <c r="AT441" s="308" t="str">
        <f t="shared" si="37"/>
        <v/>
      </c>
      <c r="AU441" s="308" t="str">
        <f t="shared" si="38"/>
        <v/>
      </c>
      <c r="AV441" s="304" t="str">
        <f t="shared" si="39"/>
        <v/>
      </c>
      <c r="AW441" s="308" t="str">
        <f t="shared" si="40"/>
        <v/>
      </c>
      <c r="AX441" s="308" t="str">
        <f t="shared" si="41"/>
        <v/>
      </c>
      <c r="AY441" s="304" t="str">
        <f t="shared" si="42"/>
        <v/>
      </c>
      <c r="AZ441" s="308" t="str">
        <f t="shared" si="43"/>
        <v/>
      </c>
      <c r="BA441" s="313" t="str">
        <f t="shared" si="44"/>
        <v/>
      </c>
      <c r="BB441" s="304" t="str">
        <f t="shared" si="45"/>
        <v/>
      </c>
      <c r="BC441" s="308" t="str">
        <f t="shared" si="46"/>
        <v/>
      </c>
      <c r="BD441" s="308" t="str">
        <f t="shared" si="47"/>
        <v/>
      </c>
    </row>
    <row r="442">
      <c r="A442" s="298"/>
      <c r="B442" s="299"/>
      <c r="C442" s="300"/>
      <c r="D442" s="301" t="str">
        <f>IFERROR(__xludf.DUMMYFUNCTION("if(ISBLANK(A442),"""",GOOGLEFINANCE(A442,""NAME""))"),"")</f>
        <v/>
      </c>
      <c r="E442" s="302">
        <v>5000.0</v>
      </c>
      <c r="F442" s="303" t="str">
        <f>IFERROR(__xludf.DUMMYFUNCTION("if(ISBLANK(A442),"""",GOOGLEFINANCE(A442,""HIGH52""))"),"")</f>
        <v/>
      </c>
      <c r="G442" s="303" t="str">
        <f>IFERROR(__xludf.DUMMYFUNCTION("if(ISBLANK(A442),"""",GOOGLEFINANCE(A442,""LOW52""))"),"")</f>
        <v/>
      </c>
      <c r="H442" s="304" t="str">
        <f>IFERROR(__xludf.DUMMYFUNCTION("if(ISBLANK(A442),"""",GOOGLEFINANCE(A442,""Price""))"),"")</f>
        <v/>
      </c>
      <c r="I442" s="305" t="str">
        <f t="shared" si="1"/>
        <v/>
      </c>
      <c r="J442" s="306" t="str">
        <f t="shared" si="2"/>
        <v/>
      </c>
      <c r="K442" s="307" t="str">
        <f>IFERROR(__xludf.DUMMYFUNCTION("if(ISBLANK(A442),"""",googlefinance(A442,""Marketcap"")/10000000)"),"")</f>
        <v/>
      </c>
      <c r="L442" s="309" t="str">
        <f t="shared" si="3"/>
        <v/>
      </c>
      <c r="M442" s="308" t="str">
        <f t="shared" si="4"/>
        <v/>
      </c>
      <c r="N442" s="309" t="str">
        <f t="shared" si="5"/>
        <v/>
      </c>
      <c r="O442" s="322" t="str">
        <f t="shared" si="6"/>
        <v/>
      </c>
      <c r="P442" s="308" t="str">
        <f t="shared" si="7"/>
        <v/>
      </c>
      <c r="Q442" s="311" t="str">
        <f t="shared" si="8"/>
        <v/>
      </c>
      <c r="R442" s="309" t="str">
        <f t="shared" si="9"/>
        <v/>
      </c>
      <c r="S442" s="308" t="str">
        <f t="shared" si="10"/>
        <v/>
      </c>
      <c r="T442" s="309" t="str">
        <f t="shared" si="11"/>
        <v/>
      </c>
      <c r="U442" s="309" t="str">
        <f t="shared" si="12"/>
        <v/>
      </c>
      <c r="V442" s="308" t="str">
        <f t="shared" si="13"/>
        <v/>
      </c>
      <c r="W442" s="309" t="str">
        <f t="shared" si="14"/>
        <v/>
      </c>
      <c r="X442" s="309" t="str">
        <f t="shared" si="15"/>
        <v/>
      </c>
      <c r="Y442" s="308" t="str">
        <f t="shared" si="16"/>
        <v/>
      </c>
      <c r="Z442" s="309" t="str">
        <f t="shared" si="17"/>
        <v/>
      </c>
      <c r="AA442" s="312" t="str">
        <f t="shared" si="18"/>
        <v/>
      </c>
      <c r="AB442" s="308" t="str">
        <f t="shared" si="19"/>
        <v/>
      </c>
      <c r="AC442" s="308" t="str">
        <f t="shared" si="20"/>
        <v/>
      </c>
      <c r="AD442" s="312" t="str">
        <f t="shared" si="21"/>
        <v/>
      </c>
      <c r="AE442" s="308" t="str">
        <f t="shared" si="22"/>
        <v/>
      </c>
      <c r="AF442" s="313" t="str">
        <f t="shared" si="23"/>
        <v/>
      </c>
      <c r="AG442" s="304" t="str">
        <f t="shared" si="24"/>
        <v/>
      </c>
      <c r="AH442" s="308" t="str">
        <f t="shared" si="25"/>
        <v/>
      </c>
      <c r="AI442" s="313" t="str">
        <f t="shared" si="26"/>
        <v/>
      </c>
      <c r="AJ442" s="304" t="str">
        <f t="shared" si="27"/>
        <v/>
      </c>
      <c r="AK442" s="308" t="str">
        <f t="shared" si="28"/>
        <v/>
      </c>
      <c r="AL442" s="308" t="str">
        <f t="shared" si="29"/>
        <v/>
      </c>
      <c r="AM442" s="304" t="str">
        <f t="shared" si="30"/>
        <v/>
      </c>
      <c r="AN442" s="308" t="str">
        <f t="shared" si="31"/>
        <v/>
      </c>
      <c r="AO442" s="313" t="str">
        <f t="shared" si="32"/>
        <v/>
      </c>
      <c r="AP442" s="304" t="str">
        <f t="shared" si="33"/>
        <v/>
      </c>
      <c r="AQ442" s="308" t="str">
        <f t="shared" si="34"/>
        <v/>
      </c>
      <c r="AR442" s="313" t="str">
        <f t="shared" si="35"/>
        <v/>
      </c>
      <c r="AS442" s="304" t="str">
        <f t="shared" si="36"/>
        <v/>
      </c>
      <c r="AT442" s="308" t="str">
        <f t="shared" si="37"/>
        <v/>
      </c>
      <c r="AU442" s="308" t="str">
        <f t="shared" si="38"/>
        <v/>
      </c>
      <c r="AV442" s="304" t="str">
        <f t="shared" si="39"/>
        <v/>
      </c>
      <c r="AW442" s="308" t="str">
        <f t="shared" si="40"/>
        <v/>
      </c>
      <c r="AX442" s="308" t="str">
        <f t="shared" si="41"/>
        <v/>
      </c>
      <c r="AY442" s="304" t="str">
        <f t="shared" si="42"/>
        <v/>
      </c>
      <c r="AZ442" s="308" t="str">
        <f t="shared" si="43"/>
        <v/>
      </c>
      <c r="BA442" s="313" t="str">
        <f t="shared" si="44"/>
        <v/>
      </c>
      <c r="BB442" s="304" t="str">
        <f t="shared" si="45"/>
        <v/>
      </c>
      <c r="BC442" s="308" t="str">
        <f t="shared" si="46"/>
        <v/>
      </c>
      <c r="BD442" s="308" t="str">
        <f t="shared" si="47"/>
        <v/>
      </c>
    </row>
    <row r="443">
      <c r="A443" s="298"/>
      <c r="B443" s="299"/>
      <c r="C443" s="300"/>
      <c r="D443" s="301" t="str">
        <f>IFERROR(__xludf.DUMMYFUNCTION("if(ISBLANK(A443),"""",GOOGLEFINANCE(A443,""NAME""))"),"")</f>
        <v/>
      </c>
      <c r="E443" s="302">
        <v>5000.0</v>
      </c>
      <c r="F443" s="303" t="str">
        <f>IFERROR(__xludf.DUMMYFUNCTION("if(ISBLANK(A443),"""",GOOGLEFINANCE(A443,""HIGH52""))"),"")</f>
        <v/>
      </c>
      <c r="G443" s="303" t="str">
        <f>IFERROR(__xludf.DUMMYFUNCTION("if(ISBLANK(A443),"""",GOOGLEFINANCE(A443,""LOW52""))"),"")</f>
        <v/>
      </c>
      <c r="H443" s="304" t="str">
        <f>IFERROR(__xludf.DUMMYFUNCTION("if(ISBLANK(A443),"""",GOOGLEFINANCE(A443,""Price""))"),"")</f>
        <v/>
      </c>
      <c r="I443" s="305" t="str">
        <f t="shared" si="1"/>
        <v/>
      </c>
      <c r="J443" s="306" t="str">
        <f t="shared" si="2"/>
        <v/>
      </c>
      <c r="K443" s="307" t="str">
        <f>IFERROR(__xludf.DUMMYFUNCTION("if(ISBLANK(A443),"""",googlefinance(A443,""Marketcap"")/10000000)"),"")</f>
        <v/>
      </c>
      <c r="L443" s="309" t="str">
        <f t="shared" si="3"/>
        <v/>
      </c>
      <c r="M443" s="308" t="str">
        <f t="shared" si="4"/>
        <v/>
      </c>
      <c r="N443" s="309" t="str">
        <f t="shared" si="5"/>
        <v/>
      </c>
      <c r="O443" s="322" t="str">
        <f t="shared" si="6"/>
        <v/>
      </c>
      <c r="P443" s="308" t="str">
        <f t="shared" si="7"/>
        <v/>
      </c>
      <c r="Q443" s="311" t="str">
        <f t="shared" si="8"/>
        <v/>
      </c>
      <c r="R443" s="309" t="str">
        <f t="shared" si="9"/>
        <v/>
      </c>
      <c r="S443" s="308" t="str">
        <f t="shared" si="10"/>
        <v/>
      </c>
      <c r="T443" s="309" t="str">
        <f t="shared" si="11"/>
        <v/>
      </c>
      <c r="U443" s="309" t="str">
        <f t="shared" si="12"/>
        <v/>
      </c>
      <c r="V443" s="308" t="str">
        <f t="shared" si="13"/>
        <v/>
      </c>
      <c r="W443" s="309" t="str">
        <f t="shared" si="14"/>
        <v/>
      </c>
      <c r="X443" s="309" t="str">
        <f t="shared" si="15"/>
        <v/>
      </c>
      <c r="Y443" s="308" t="str">
        <f t="shared" si="16"/>
        <v/>
      </c>
      <c r="Z443" s="309" t="str">
        <f t="shared" si="17"/>
        <v/>
      </c>
      <c r="AA443" s="312" t="str">
        <f t="shared" si="18"/>
        <v/>
      </c>
      <c r="AB443" s="308" t="str">
        <f t="shared" si="19"/>
        <v/>
      </c>
      <c r="AC443" s="308" t="str">
        <f t="shared" si="20"/>
        <v/>
      </c>
      <c r="AD443" s="312" t="str">
        <f t="shared" si="21"/>
        <v/>
      </c>
      <c r="AE443" s="308" t="str">
        <f t="shared" si="22"/>
        <v/>
      </c>
      <c r="AF443" s="313" t="str">
        <f t="shared" si="23"/>
        <v/>
      </c>
      <c r="AG443" s="304" t="str">
        <f t="shared" si="24"/>
        <v/>
      </c>
      <c r="AH443" s="308" t="str">
        <f t="shared" si="25"/>
        <v/>
      </c>
      <c r="AI443" s="313" t="str">
        <f t="shared" si="26"/>
        <v/>
      </c>
      <c r="AJ443" s="304" t="str">
        <f t="shared" si="27"/>
        <v/>
      </c>
      <c r="AK443" s="308" t="str">
        <f t="shared" si="28"/>
        <v/>
      </c>
      <c r="AL443" s="308" t="str">
        <f t="shared" si="29"/>
        <v/>
      </c>
      <c r="AM443" s="304" t="str">
        <f t="shared" si="30"/>
        <v/>
      </c>
      <c r="AN443" s="308" t="str">
        <f t="shared" si="31"/>
        <v/>
      </c>
      <c r="AO443" s="313" t="str">
        <f t="shared" si="32"/>
        <v/>
      </c>
      <c r="AP443" s="304" t="str">
        <f t="shared" si="33"/>
        <v/>
      </c>
      <c r="AQ443" s="308" t="str">
        <f t="shared" si="34"/>
        <v/>
      </c>
      <c r="AR443" s="313" t="str">
        <f t="shared" si="35"/>
        <v/>
      </c>
      <c r="AS443" s="304" t="str">
        <f t="shared" si="36"/>
        <v/>
      </c>
      <c r="AT443" s="308" t="str">
        <f t="shared" si="37"/>
        <v/>
      </c>
      <c r="AU443" s="308" t="str">
        <f t="shared" si="38"/>
        <v/>
      </c>
      <c r="AV443" s="304" t="str">
        <f t="shared" si="39"/>
        <v/>
      </c>
      <c r="AW443" s="308" t="str">
        <f t="shared" si="40"/>
        <v/>
      </c>
      <c r="AX443" s="308" t="str">
        <f t="shared" si="41"/>
        <v/>
      </c>
      <c r="AY443" s="304" t="str">
        <f t="shared" si="42"/>
        <v/>
      </c>
      <c r="AZ443" s="308" t="str">
        <f t="shared" si="43"/>
        <v/>
      </c>
      <c r="BA443" s="313" t="str">
        <f t="shared" si="44"/>
        <v/>
      </c>
      <c r="BB443" s="304" t="str">
        <f t="shared" si="45"/>
        <v/>
      </c>
      <c r="BC443" s="308" t="str">
        <f t="shared" si="46"/>
        <v/>
      </c>
      <c r="BD443" s="308" t="str">
        <f t="shared" si="47"/>
        <v/>
      </c>
    </row>
    <row r="444">
      <c r="A444" s="298"/>
      <c r="B444" s="299"/>
      <c r="C444" s="300"/>
      <c r="D444" s="301" t="str">
        <f>IFERROR(__xludf.DUMMYFUNCTION("if(ISBLANK(A444),"""",GOOGLEFINANCE(A444,""NAME""))"),"")</f>
        <v/>
      </c>
      <c r="E444" s="302">
        <v>5000.0</v>
      </c>
      <c r="F444" s="303" t="str">
        <f>IFERROR(__xludf.DUMMYFUNCTION("if(ISBLANK(A444),"""",GOOGLEFINANCE(A444,""HIGH52""))"),"")</f>
        <v/>
      </c>
      <c r="G444" s="303" t="str">
        <f>IFERROR(__xludf.DUMMYFUNCTION("if(ISBLANK(A444),"""",GOOGLEFINANCE(A444,""LOW52""))"),"")</f>
        <v/>
      </c>
      <c r="H444" s="304" t="str">
        <f>IFERROR(__xludf.DUMMYFUNCTION("if(ISBLANK(A444),"""",GOOGLEFINANCE(A444,""Price""))"),"")</f>
        <v/>
      </c>
      <c r="I444" s="305" t="str">
        <f t="shared" si="1"/>
        <v/>
      </c>
      <c r="J444" s="306" t="str">
        <f t="shared" si="2"/>
        <v/>
      </c>
      <c r="K444" s="307" t="str">
        <f>IFERROR(__xludf.DUMMYFUNCTION("if(ISBLANK(A444),"""",googlefinance(A444,""Marketcap"")/10000000)"),"")</f>
        <v/>
      </c>
      <c r="L444" s="309" t="str">
        <f t="shared" si="3"/>
        <v/>
      </c>
      <c r="M444" s="308" t="str">
        <f t="shared" si="4"/>
        <v/>
      </c>
      <c r="N444" s="309" t="str">
        <f t="shared" si="5"/>
        <v/>
      </c>
      <c r="O444" s="322" t="str">
        <f t="shared" si="6"/>
        <v/>
      </c>
      <c r="P444" s="308" t="str">
        <f t="shared" si="7"/>
        <v/>
      </c>
      <c r="Q444" s="311" t="str">
        <f t="shared" si="8"/>
        <v/>
      </c>
      <c r="R444" s="309" t="str">
        <f t="shared" si="9"/>
        <v/>
      </c>
      <c r="S444" s="308" t="str">
        <f t="shared" si="10"/>
        <v/>
      </c>
      <c r="T444" s="309" t="str">
        <f t="shared" si="11"/>
        <v/>
      </c>
      <c r="U444" s="309" t="str">
        <f t="shared" si="12"/>
        <v/>
      </c>
      <c r="V444" s="308" t="str">
        <f t="shared" si="13"/>
        <v/>
      </c>
      <c r="W444" s="309" t="str">
        <f t="shared" si="14"/>
        <v/>
      </c>
      <c r="X444" s="309" t="str">
        <f t="shared" si="15"/>
        <v/>
      </c>
      <c r="Y444" s="308" t="str">
        <f t="shared" si="16"/>
        <v/>
      </c>
      <c r="Z444" s="309" t="str">
        <f t="shared" si="17"/>
        <v/>
      </c>
      <c r="AA444" s="312" t="str">
        <f t="shared" si="18"/>
        <v/>
      </c>
      <c r="AB444" s="308" t="str">
        <f t="shared" si="19"/>
        <v/>
      </c>
      <c r="AC444" s="308" t="str">
        <f t="shared" si="20"/>
        <v/>
      </c>
      <c r="AD444" s="312" t="str">
        <f t="shared" si="21"/>
        <v/>
      </c>
      <c r="AE444" s="308" t="str">
        <f t="shared" si="22"/>
        <v/>
      </c>
      <c r="AF444" s="313" t="str">
        <f t="shared" si="23"/>
        <v/>
      </c>
      <c r="AG444" s="304" t="str">
        <f t="shared" si="24"/>
        <v/>
      </c>
      <c r="AH444" s="308" t="str">
        <f t="shared" si="25"/>
        <v/>
      </c>
      <c r="AI444" s="313" t="str">
        <f t="shared" si="26"/>
        <v/>
      </c>
      <c r="AJ444" s="304" t="str">
        <f t="shared" si="27"/>
        <v/>
      </c>
      <c r="AK444" s="308" t="str">
        <f t="shared" si="28"/>
        <v/>
      </c>
      <c r="AL444" s="308" t="str">
        <f t="shared" si="29"/>
        <v/>
      </c>
      <c r="AM444" s="304" t="str">
        <f t="shared" si="30"/>
        <v/>
      </c>
      <c r="AN444" s="308" t="str">
        <f t="shared" si="31"/>
        <v/>
      </c>
      <c r="AO444" s="313" t="str">
        <f t="shared" si="32"/>
        <v/>
      </c>
      <c r="AP444" s="304" t="str">
        <f t="shared" si="33"/>
        <v/>
      </c>
      <c r="AQ444" s="308" t="str">
        <f t="shared" si="34"/>
        <v/>
      </c>
      <c r="AR444" s="313" t="str">
        <f t="shared" si="35"/>
        <v/>
      </c>
      <c r="AS444" s="304" t="str">
        <f t="shared" si="36"/>
        <v/>
      </c>
      <c r="AT444" s="308" t="str">
        <f t="shared" si="37"/>
        <v/>
      </c>
      <c r="AU444" s="308" t="str">
        <f t="shared" si="38"/>
        <v/>
      </c>
      <c r="AV444" s="304" t="str">
        <f t="shared" si="39"/>
        <v/>
      </c>
      <c r="AW444" s="308" t="str">
        <f t="shared" si="40"/>
        <v/>
      </c>
      <c r="AX444" s="308" t="str">
        <f t="shared" si="41"/>
        <v/>
      </c>
      <c r="AY444" s="304" t="str">
        <f t="shared" si="42"/>
        <v/>
      </c>
      <c r="AZ444" s="308" t="str">
        <f t="shared" si="43"/>
        <v/>
      </c>
      <c r="BA444" s="313" t="str">
        <f t="shared" si="44"/>
        <v/>
      </c>
      <c r="BB444" s="304" t="str">
        <f t="shared" si="45"/>
        <v/>
      </c>
      <c r="BC444" s="308" t="str">
        <f t="shared" si="46"/>
        <v/>
      </c>
      <c r="BD444" s="308" t="str">
        <f t="shared" si="47"/>
        <v/>
      </c>
    </row>
    <row r="445">
      <c r="A445" s="298"/>
      <c r="B445" s="299"/>
      <c r="C445" s="300"/>
      <c r="D445" s="301" t="str">
        <f>IFERROR(__xludf.DUMMYFUNCTION("if(ISBLANK(A445),"""",GOOGLEFINANCE(A445,""NAME""))"),"")</f>
        <v/>
      </c>
      <c r="E445" s="302">
        <v>5000.0</v>
      </c>
      <c r="F445" s="303" t="str">
        <f>IFERROR(__xludf.DUMMYFUNCTION("if(ISBLANK(A445),"""",GOOGLEFINANCE(A445,""HIGH52""))"),"")</f>
        <v/>
      </c>
      <c r="G445" s="303" t="str">
        <f>IFERROR(__xludf.DUMMYFUNCTION("if(ISBLANK(A445),"""",GOOGLEFINANCE(A445,""LOW52""))"),"")</f>
        <v/>
      </c>
      <c r="H445" s="304" t="str">
        <f>IFERROR(__xludf.DUMMYFUNCTION("if(ISBLANK(A445),"""",GOOGLEFINANCE(A445,""Price""))"),"")</f>
        <v/>
      </c>
      <c r="I445" s="305" t="str">
        <f t="shared" si="1"/>
        <v/>
      </c>
      <c r="J445" s="306" t="str">
        <f t="shared" si="2"/>
        <v/>
      </c>
      <c r="K445" s="307" t="str">
        <f>IFERROR(__xludf.DUMMYFUNCTION("if(ISBLANK(A445),"""",googlefinance(A445,""Marketcap"")/10000000)"),"")</f>
        <v/>
      </c>
      <c r="L445" s="309" t="str">
        <f t="shared" si="3"/>
        <v/>
      </c>
      <c r="M445" s="308" t="str">
        <f t="shared" si="4"/>
        <v/>
      </c>
      <c r="N445" s="309" t="str">
        <f t="shared" si="5"/>
        <v/>
      </c>
      <c r="O445" s="322" t="str">
        <f t="shared" si="6"/>
        <v/>
      </c>
      <c r="P445" s="308" t="str">
        <f t="shared" si="7"/>
        <v/>
      </c>
      <c r="Q445" s="311" t="str">
        <f t="shared" si="8"/>
        <v/>
      </c>
      <c r="R445" s="309" t="str">
        <f t="shared" si="9"/>
        <v/>
      </c>
      <c r="S445" s="308" t="str">
        <f t="shared" si="10"/>
        <v/>
      </c>
      <c r="T445" s="309" t="str">
        <f t="shared" si="11"/>
        <v/>
      </c>
      <c r="U445" s="309" t="str">
        <f t="shared" si="12"/>
        <v/>
      </c>
      <c r="V445" s="308" t="str">
        <f t="shared" si="13"/>
        <v/>
      </c>
      <c r="W445" s="309" t="str">
        <f t="shared" si="14"/>
        <v/>
      </c>
      <c r="X445" s="309" t="str">
        <f t="shared" si="15"/>
        <v/>
      </c>
      <c r="Y445" s="308" t="str">
        <f t="shared" si="16"/>
        <v/>
      </c>
      <c r="Z445" s="309" t="str">
        <f t="shared" si="17"/>
        <v/>
      </c>
      <c r="AA445" s="312" t="str">
        <f t="shared" si="18"/>
        <v/>
      </c>
      <c r="AB445" s="308" t="str">
        <f t="shared" si="19"/>
        <v/>
      </c>
      <c r="AC445" s="308" t="str">
        <f t="shared" si="20"/>
        <v/>
      </c>
      <c r="AD445" s="312" t="str">
        <f t="shared" si="21"/>
        <v/>
      </c>
      <c r="AE445" s="308" t="str">
        <f t="shared" si="22"/>
        <v/>
      </c>
      <c r="AF445" s="313" t="str">
        <f t="shared" si="23"/>
        <v/>
      </c>
      <c r="AG445" s="304" t="str">
        <f t="shared" si="24"/>
        <v/>
      </c>
      <c r="AH445" s="308" t="str">
        <f t="shared" si="25"/>
        <v/>
      </c>
      <c r="AI445" s="313" t="str">
        <f t="shared" si="26"/>
        <v/>
      </c>
      <c r="AJ445" s="304" t="str">
        <f t="shared" si="27"/>
        <v/>
      </c>
      <c r="AK445" s="308" t="str">
        <f t="shared" si="28"/>
        <v/>
      </c>
      <c r="AL445" s="308" t="str">
        <f t="shared" si="29"/>
        <v/>
      </c>
      <c r="AM445" s="304" t="str">
        <f t="shared" si="30"/>
        <v/>
      </c>
      <c r="AN445" s="308" t="str">
        <f t="shared" si="31"/>
        <v/>
      </c>
      <c r="AO445" s="313" t="str">
        <f t="shared" si="32"/>
        <v/>
      </c>
      <c r="AP445" s="304" t="str">
        <f t="shared" si="33"/>
        <v/>
      </c>
      <c r="AQ445" s="308" t="str">
        <f t="shared" si="34"/>
        <v/>
      </c>
      <c r="AR445" s="313" t="str">
        <f t="shared" si="35"/>
        <v/>
      </c>
      <c r="AS445" s="304" t="str">
        <f t="shared" si="36"/>
        <v/>
      </c>
      <c r="AT445" s="308" t="str">
        <f t="shared" si="37"/>
        <v/>
      </c>
      <c r="AU445" s="308" t="str">
        <f t="shared" si="38"/>
        <v/>
      </c>
      <c r="AV445" s="304" t="str">
        <f t="shared" si="39"/>
        <v/>
      </c>
      <c r="AW445" s="308" t="str">
        <f t="shared" si="40"/>
        <v/>
      </c>
      <c r="AX445" s="308" t="str">
        <f t="shared" si="41"/>
        <v/>
      </c>
      <c r="AY445" s="304" t="str">
        <f t="shared" si="42"/>
        <v/>
      </c>
      <c r="AZ445" s="308" t="str">
        <f t="shared" si="43"/>
        <v/>
      </c>
      <c r="BA445" s="313" t="str">
        <f t="shared" si="44"/>
        <v/>
      </c>
      <c r="BB445" s="304" t="str">
        <f t="shared" si="45"/>
        <v/>
      </c>
      <c r="BC445" s="308" t="str">
        <f t="shared" si="46"/>
        <v/>
      </c>
      <c r="BD445" s="308" t="str">
        <f t="shared" si="47"/>
        <v/>
      </c>
    </row>
    <row r="446">
      <c r="A446" s="298"/>
      <c r="B446" s="299"/>
      <c r="C446" s="300"/>
      <c r="D446" s="301" t="str">
        <f>IFERROR(__xludf.DUMMYFUNCTION("if(ISBLANK(A446),"""",GOOGLEFINANCE(A446,""NAME""))"),"")</f>
        <v/>
      </c>
      <c r="E446" s="302">
        <v>5000.0</v>
      </c>
      <c r="F446" s="303" t="str">
        <f>IFERROR(__xludf.DUMMYFUNCTION("if(ISBLANK(A446),"""",GOOGLEFINANCE(A446,""HIGH52""))"),"")</f>
        <v/>
      </c>
      <c r="G446" s="303" t="str">
        <f>IFERROR(__xludf.DUMMYFUNCTION("if(ISBLANK(A446),"""",GOOGLEFINANCE(A446,""LOW52""))"),"")</f>
        <v/>
      </c>
      <c r="H446" s="304" t="str">
        <f>IFERROR(__xludf.DUMMYFUNCTION("if(ISBLANK(A446),"""",GOOGLEFINANCE(A446,""Price""))"),"")</f>
        <v/>
      </c>
      <c r="I446" s="305" t="str">
        <f t="shared" si="1"/>
        <v/>
      </c>
      <c r="J446" s="306" t="str">
        <f t="shared" si="2"/>
        <v/>
      </c>
      <c r="K446" s="307" t="str">
        <f>IFERROR(__xludf.DUMMYFUNCTION("if(ISBLANK(A446),"""",googlefinance(A446,""Marketcap"")/10000000)"),"")</f>
        <v/>
      </c>
      <c r="L446" s="309" t="str">
        <f t="shared" si="3"/>
        <v/>
      </c>
      <c r="M446" s="308" t="str">
        <f t="shared" si="4"/>
        <v/>
      </c>
      <c r="N446" s="309" t="str">
        <f t="shared" si="5"/>
        <v/>
      </c>
      <c r="O446" s="322" t="str">
        <f t="shared" si="6"/>
        <v/>
      </c>
      <c r="P446" s="308" t="str">
        <f t="shared" si="7"/>
        <v/>
      </c>
      <c r="Q446" s="311" t="str">
        <f t="shared" si="8"/>
        <v/>
      </c>
      <c r="R446" s="309" t="str">
        <f t="shared" si="9"/>
        <v/>
      </c>
      <c r="S446" s="308" t="str">
        <f t="shared" si="10"/>
        <v/>
      </c>
      <c r="T446" s="309" t="str">
        <f t="shared" si="11"/>
        <v/>
      </c>
      <c r="U446" s="309" t="str">
        <f t="shared" si="12"/>
        <v/>
      </c>
      <c r="V446" s="308" t="str">
        <f t="shared" si="13"/>
        <v/>
      </c>
      <c r="W446" s="309" t="str">
        <f t="shared" si="14"/>
        <v/>
      </c>
      <c r="X446" s="309" t="str">
        <f t="shared" si="15"/>
        <v/>
      </c>
      <c r="Y446" s="308" t="str">
        <f t="shared" si="16"/>
        <v/>
      </c>
      <c r="Z446" s="309" t="str">
        <f t="shared" si="17"/>
        <v/>
      </c>
      <c r="AA446" s="312" t="str">
        <f t="shared" si="18"/>
        <v/>
      </c>
      <c r="AB446" s="308" t="str">
        <f t="shared" si="19"/>
        <v/>
      </c>
      <c r="AC446" s="308" t="str">
        <f t="shared" si="20"/>
        <v/>
      </c>
      <c r="AD446" s="312" t="str">
        <f t="shared" si="21"/>
        <v/>
      </c>
      <c r="AE446" s="308" t="str">
        <f t="shared" si="22"/>
        <v/>
      </c>
      <c r="AF446" s="313" t="str">
        <f t="shared" si="23"/>
        <v/>
      </c>
      <c r="AG446" s="304" t="str">
        <f t="shared" si="24"/>
        <v/>
      </c>
      <c r="AH446" s="308" t="str">
        <f t="shared" si="25"/>
        <v/>
      </c>
      <c r="AI446" s="313" t="str">
        <f t="shared" si="26"/>
        <v/>
      </c>
      <c r="AJ446" s="304" t="str">
        <f t="shared" si="27"/>
        <v/>
      </c>
      <c r="AK446" s="308" t="str">
        <f t="shared" si="28"/>
        <v/>
      </c>
      <c r="AL446" s="308" t="str">
        <f t="shared" si="29"/>
        <v/>
      </c>
      <c r="AM446" s="304" t="str">
        <f t="shared" si="30"/>
        <v/>
      </c>
      <c r="AN446" s="308" t="str">
        <f t="shared" si="31"/>
        <v/>
      </c>
      <c r="AO446" s="313" t="str">
        <f t="shared" si="32"/>
        <v/>
      </c>
      <c r="AP446" s="304" t="str">
        <f t="shared" si="33"/>
        <v/>
      </c>
      <c r="AQ446" s="308" t="str">
        <f t="shared" si="34"/>
        <v/>
      </c>
      <c r="AR446" s="313" t="str">
        <f t="shared" si="35"/>
        <v/>
      </c>
      <c r="AS446" s="304" t="str">
        <f t="shared" si="36"/>
        <v/>
      </c>
      <c r="AT446" s="308" t="str">
        <f t="shared" si="37"/>
        <v/>
      </c>
      <c r="AU446" s="308" t="str">
        <f t="shared" si="38"/>
        <v/>
      </c>
      <c r="AV446" s="304" t="str">
        <f t="shared" si="39"/>
        <v/>
      </c>
      <c r="AW446" s="308" t="str">
        <f t="shared" si="40"/>
        <v/>
      </c>
      <c r="AX446" s="308" t="str">
        <f t="shared" si="41"/>
        <v/>
      </c>
      <c r="AY446" s="304" t="str">
        <f t="shared" si="42"/>
        <v/>
      </c>
      <c r="AZ446" s="308" t="str">
        <f t="shared" si="43"/>
        <v/>
      </c>
      <c r="BA446" s="313" t="str">
        <f t="shared" si="44"/>
        <v/>
      </c>
      <c r="BB446" s="304" t="str">
        <f t="shared" si="45"/>
        <v/>
      </c>
      <c r="BC446" s="308" t="str">
        <f t="shared" si="46"/>
        <v/>
      </c>
      <c r="BD446" s="308" t="str">
        <f t="shared" si="47"/>
        <v/>
      </c>
    </row>
    <row r="447">
      <c r="A447" s="298"/>
      <c r="B447" s="299"/>
      <c r="C447" s="300"/>
      <c r="D447" s="301" t="str">
        <f>IFERROR(__xludf.DUMMYFUNCTION("if(ISBLANK(A447),"""",GOOGLEFINANCE(A447,""NAME""))"),"")</f>
        <v/>
      </c>
      <c r="E447" s="302">
        <v>5000.0</v>
      </c>
      <c r="F447" s="303" t="str">
        <f>IFERROR(__xludf.DUMMYFUNCTION("if(ISBLANK(A447),"""",GOOGLEFINANCE(A447,""HIGH52""))"),"")</f>
        <v/>
      </c>
      <c r="G447" s="303" t="str">
        <f>IFERROR(__xludf.DUMMYFUNCTION("if(ISBLANK(A447),"""",GOOGLEFINANCE(A447,""LOW52""))"),"")</f>
        <v/>
      </c>
      <c r="H447" s="304" t="str">
        <f>IFERROR(__xludf.DUMMYFUNCTION("if(ISBLANK(A447),"""",GOOGLEFINANCE(A447,""Price""))"),"")</f>
        <v/>
      </c>
      <c r="I447" s="305" t="str">
        <f t="shared" si="1"/>
        <v/>
      </c>
      <c r="J447" s="306" t="str">
        <f t="shared" si="2"/>
        <v/>
      </c>
      <c r="K447" s="307" t="str">
        <f>IFERROR(__xludf.DUMMYFUNCTION("if(ISBLANK(A447),"""",googlefinance(A447,""Marketcap"")/10000000)"),"")</f>
        <v/>
      </c>
      <c r="L447" s="309" t="str">
        <f t="shared" si="3"/>
        <v/>
      </c>
      <c r="M447" s="308" t="str">
        <f t="shared" si="4"/>
        <v/>
      </c>
      <c r="N447" s="309" t="str">
        <f t="shared" si="5"/>
        <v/>
      </c>
      <c r="O447" s="322" t="str">
        <f t="shared" si="6"/>
        <v/>
      </c>
      <c r="P447" s="308" t="str">
        <f t="shared" si="7"/>
        <v/>
      </c>
      <c r="Q447" s="311" t="str">
        <f t="shared" si="8"/>
        <v/>
      </c>
      <c r="R447" s="309" t="str">
        <f t="shared" si="9"/>
        <v/>
      </c>
      <c r="S447" s="308" t="str">
        <f t="shared" si="10"/>
        <v/>
      </c>
      <c r="T447" s="309" t="str">
        <f t="shared" si="11"/>
        <v/>
      </c>
      <c r="U447" s="309" t="str">
        <f t="shared" si="12"/>
        <v/>
      </c>
      <c r="V447" s="308" t="str">
        <f t="shared" si="13"/>
        <v/>
      </c>
      <c r="W447" s="309" t="str">
        <f t="shared" si="14"/>
        <v/>
      </c>
      <c r="X447" s="309" t="str">
        <f t="shared" si="15"/>
        <v/>
      </c>
      <c r="Y447" s="308" t="str">
        <f t="shared" si="16"/>
        <v/>
      </c>
      <c r="Z447" s="309" t="str">
        <f t="shared" si="17"/>
        <v/>
      </c>
      <c r="AA447" s="312" t="str">
        <f t="shared" si="18"/>
        <v/>
      </c>
      <c r="AB447" s="308" t="str">
        <f t="shared" si="19"/>
        <v/>
      </c>
      <c r="AC447" s="308" t="str">
        <f t="shared" si="20"/>
        <v/>
      </c>
      <c r="AD447" s="312" t="str">
        <f t="shared" si="21"/>
        <v/>
      </c>
      <c r="AE447" s="308" t="str">
        <f t="shared" si="22"/>
        <v/>
      </c>
      <c r="AF447" s="313" t="str">
        <f t="shared" si="23"/>
        <v/>
      </c>
      <c r="AG447" s="304" t="str">
        <f t="shared" si="24"/>
        <v/>
      </c>
      <c r="AH447" s="308" t="str">
        <f t="shared" si="25"/>
        <v/>
      </c>
      <c r="AI447" s="313" t="str">
        <f t="shared" si="26"/>
        <v/>
      </c>
      <c r="AJ447" s="304" t="str">
        <f t="shared" si="27"/>
        <v/>
      </c>
      <c r="AK447" s="308" t="str">
        <f t="shared" si="28"/>
        <v/>
      </c>
      <c r="AL447" s="308" t="str">
        <f t="shared" si="29"/>
        <v/>
      </c>
      <c r="AM447" s="304" t="str">
        <f t="shared" si="30"/>
        <v/>
      </c>
      <c r="AN447" s="308" t="str">
        <f t="shared" si="31"/>
        <v/>
      </c>
      <c r="AO447" s="313" t="str">
        <f t="shared" si="32"/>
        <v/>
      </c>
      <c r="AP447" s="304" t="str">
        <f t="shared" si="33"/>
        <v/>
      </c>
      <c r="AQ447" s="308" t="str">
        <f t="shared" si="34"/>
        <v/>
      </c>
      <c r="AR447" s="313" t="str">
        <f t="shared" si="35"/>
        <v/>
      </c>
      <c r="AS447" s="304" t="str">
        <f t="shared" si="36"/>
        <v/>
      </c>
      <c r="AT447" s="308" t="str">
        <f t="shared" si="37"/>
        <v/>
      </c>
      <c r="AU447" s="308" t="str">
        <f t="shared" si="38"/>
        <v/>
      </c>
      <c r="AV447" s="304" t="str">
        <f t="shared" si="39"/>
        <v/>
      </c>
      <c r="AW447" s="308" t="str">
        <f t="shared" si="40"/>
        <v/>
      </c>
      <c r="AX447" s="308" t="str">
        <f t="shared" si="41"/>
        <v/>
      </c>
      <c r="AY447" s="304" t="str">
        <f t="shared" si="42"/>
        <v/>
      </c>
      <c r="AZ447" s="308" t="str">
        <f t="shared" si="43"/>
        <v/>
      </c>
      <c r="BA447" s="313" t="str">
        <f t="shared" si="44"/>
        <v/>
      </c>
      <c r="BB447" s="304" t="str">
        <f t="shared" si="45"/>
        <v/>
      </c>
      <c r="BC447" s="308" t="str">
        <f t="shared" si="46"/>
        <v/>
      </c>
      <c r="BD447" s="308" t="str">
        <f t="shared" si="47"/>
        <v/>
      </c>
    </row>
    <row r="448">
      <c r="A448" s="298"/>
      <c r="B448" s="299"/>
      <c r="C448" s="300"/>
      <c r="D448" s="301" t="str">
        <f>IFERROR(__xludf.DUMMYFUNCTION("if(ISBLANK(A448),"""",GOOGLEFINANCE(A448,""NAME""))"),"")</f>
        <v/>
      </c>
      <c r="E448" s="302">
        <v>5000.0</v>
      </c>
      <c r="F448" s="303" t="str">
        <f>IFERROR(__xludf.DUMMYFUNCTION("if(ISBLANK(A448),"""",GOOGLEFINANCE(A448,""HIGH52""))"),"")</f>
        <v/>
      </c>
      <c r="G448" s="303" t="str">
        <f>IFERROR(__xludf.DUMMYFUNCTION("if(ISBLANK(A448),"""",GOOGLEFINANCE(A448,""LOW52""))"),"")</f>
        <v/>
      </c>
      <c r="H448" s="304" t="str">
        <f>IFERROR(__xludf.DUMMYFUNCTION("if(ISBLANK(A448),"""",GOOGLEFINANCE(A448,""Price""))"),"")</f>
        <v/>
      </c>
      <c r="I448" s="305" t="str">
        <f t="shared" si="1"/>
        <v/>
      </c>
      <c r="J448" s="306" t="str">
        <f t="shared" si="2"/>
        <v/>
      </c>
      <c r="K448" s="307" t="str">
        <f>IFERROR(__xludf.DUMMYFUNCTION("if(ISBLANK(A448),"""",googlefinance(A448,""Marketcap"")/10000000)"),"")</f>
        <v/>
      </c>
      <c r="L448" s="309" t="str">
        <f t="shared" si="3"/>
        <v/>
      </c>
      <c r="M448" s="308" t="str">
        <f t="shared" si="4"/>
        <v/>
      </c>
      <c r="N448" s="309" t="str">
        <f t="shared" si="5"/>
        <v/>
      </c>
      <c r="O448" s="322" t="str">
        <f t="shared" si="6"/>
        <v/>
      </c>
      <c r="P448" s="308" t="str">
        <f t="shared" si="7"/>
        <v/>
      </c>
      <c r="Q448" s="311" t="str">
        <f t="shared" si="8"/>
        <v/>
      </c>
      <c r="R448" s="309" t="str">
        <f t="shared" si="9"/>
        <v/>
      </c>
      <c r="S448" s="308" t="str">
        <f t="shared" si="10"/>
        <v/>
      </c>
      <c r="T448" s="309" t="str">
        <f t="shared" si="11"/>
        <v/>
      </c>
      <c r="U448" s="309" t="str">
        <f t="shared" si="12"/>
        <v/>
      </c>
      <c r="V448" s="308" t="str">
        <f t="shared" si="13"/>
        <v/>
      </c>
      <c r="W448" s="309" t="str">
        <f t="shared" si="14"/>
        <v/>
      </c>
      <c r="X448" s="309" t="str">
        <f t="shared" si="15"/>
        <v/>
      </c>
      <c r="Y448" s="308" t="str">
        <f t="shared" si="16"/>
        <v/>
      </c>
      <c r="Z448" s="309" t="str">
        <f t="shared" si="17"/>
        <v/>
      </c>
      <c r="AA448" s="312" t="str">
        <f t="shared" si="18"/>
        <v/>
      </c>
      <c r="AB448" s="308" t="str">
        <f t="shared" si="19"/>
        <v/>
      </c>
      <c r="AC448" s="308" t="str">
        <f t="shared" si="20"/>
        <v/>
      </c>
      <c r="AD448" s="312" t="str">
        <f t="shared" si="21"/>
        <v/>
      </c>
      <c r="AE448" s="308" t="str">
        <f t="shared" si="22"/>
        <v/>
      </c>
      <c r="AF448" s="313" t="str">
        <f t="shared" si="23"/>
        <v/>
      </c>
      <c r="AG448" s="304" t="str">
        <f t="shared" si="24"/>
        <v/>
      </c>
      <c r="AH448" s="308" t="str">
        <f t="shared" si="25"/>
        <v/>
      </c>
      <c r="AI448" s="313" t="str">
        <f t="shared" si="26"/>
        <v/>
      </c>
      <c r="AJ448" s="304" t="str">
        <f t="shared" si="27"/>
        <v/>
      </c>
      <c r="AK448" s="308" t="str">
        <f t="shared" si="28"/>
        <v/>
      </c>
      <c r="AL448" s="308" t="str">
        <f t="shared" si="29"/>
        <v/>
      </c>
      <c r="AM448" s="304" t="str">
        <f t="shared" si="30"/>
        <v/>
      </c>
      <c r="AN448" s="308" t="str">
        <f t="shared" si="31"/>
        <v/>
      </c>
      <c r="AO448" s="313" t="str">
        <f t="shared" si="32"/>
        <v/>
      </c>
      <c r="AP448" s="304" t="str">
        <f t="shared" si="33"/>
        <v/>
      </c>
      <c r="AQ448" s="308" t="str">
        <f t="shared" si="34"/>
        <v/>
      </c>
      <c r="AR448" s="313" t="str">
        <f t="shared" si="35"/>
        <v/>
      </c>
      <c r="AS448" s="304" t="str">
        <f t="shared" si="36"/>
        <v/>
      </c>
      <c r="AT448" s="308" t="str">
        <f t="shared" si="37"/>
        <v/>
      </c>
      <c r="AU448" s="308" t="str">
        <f t="shared" si="38"/>
        <v/>
      </c>
      <c r="AV448" s="304" t="str">
        <f t="shared" si="39"/>
        <v/>
      </c>
      <c r="AW448" s="308" t="str">
        <f t="shared" si="40"/>
        <v/>
      </c>
      <c r="AX448" s="308" t="str">
        <f t="shared" si="41"/>
        <v/>
      </c>
      <c r="AY448" s="304" t="str">
        <f t="shared" si="42"/>
        <v/>
      </c>
      <c r="AZ448" s="308" t="str">
        <f t="shared" si="43"/>
        <v/>
      </c>
      <c r="BA448" s="313" t="str">
        <f t="shared" si="44"/>
        <v/>
      </c>
      <c r="BB448" s="304" t="str">
        <f t="shared" si="45"/>
        <v/>
      </c>
      <c r="BC448" s="308" t="str">
        <f t="shared" si="46"/>
        <v/>
      </c>
      <c r="BD448" s="308" t="str">
        <f t="shared" si="47"/>
        <v/>
      </c>
    </row>
    <row r="449">
      <c r="A449" s="298"/>
      <c r="B449" s="299"/>
      <c r="C449" s="300"/>
      <c r="D449" s="301" t="str">
        <f>IFERROR(__xludf.DUMMYFUNCTION("if(ISBLANK(A449),"""",GOOGLEFINANCE(A449,""NAME""))"),"")</f>
        <v/>
      </c>
      <c r="E449" s="302">
        <v>5000.0</v>
      </c>
      <c r="F449" s="303" t="str">
        <f>IFERROR(__xludf.DUMMYFUNCTION("if(ISBLANK(A449),"""",GOOGLEFINANCE(A449,""HIGH52""))"),"")</f>
        <v/>
      </c>
      <c r="G449" s="303" t="str">
        <f>IFERROR(__xludf.DUMMYFUNCTION("if(ISBLANK(A449),"""",GOOGLEFINANCE(A449,""LOW52""))"),"")</f>
        <v/>
      </c>
      <c r="H449" s="304" t="str">
        <f>IFERROR(__xludf.DUMMYFUNCTION("if(ISBLANK(A449),"""",GOOGLEFINANCE(A449,""Price""))"),"")</f>
        <v/>
      </c>
      <c r="I449" s="305" t="str">
        <f t="shared" si="1"/>
        <v/>
      </c>
      <c r="J449" s="306" t="str">
        <f t="shared" si="2"/>
        <v/>
      </c>
      <c r="K449" s="307" t="str">
        <f>IFERROR(__xludf.DUMMYFUNCTION("if(ISBLANK(A449),"""",googlefinance(A449,""Marketcap"")/10000000)"),"")</f>
        <v/>
      </c>
      <c r="L449" s="309" t="str">
        <f t="shared" si="3"/>
        <v/>
      </c>
      <c r="M449" s="308" t="str">
        <f t="shared" si="4"/>
        <v/>
      </c>
      <c r="N449" s="309" t="str">
        <f t="shared" si="5"/>
        <v/>
      </c>
      <c r="O449" s="322" t="str">
        <f t="shared" si="6"/>
        <v/>
      </c>
      <c r="P449" s="308" t="str">
        <f t="shared" si="7"/>
        <v/>
      </c>
      <c r="Q449" s="311" t="str">
        <f t="shared" si="8"/>
        <v/>
      </c>
      <c r="R449" s="309" t="str">
        <f t="shared" si="9"/>
        <v/>
      </c>
      <c r="S449" s="308" t="str">
        <f t="shared" si="10"/>
        <v/>
      </c>
      <c r="T449" s="309" t="str">
        <f t="shared" si="11"/>
        <v/>
      </c>
      <c r="U449" s="309" t="str">
        <f t="shared" si="12"/>
        <v/>
      </c>
      <c r="V449" s="308" t="str">
        <f t="shared" si="13"/>
        <v/>
      </c>
      <c r="W449" s="309" t="str">
        <f t="shared" si="14"/>
        <v/>
      </c>
      <c r="X449" s="309" t="str">
        <f t="shared" si="15"/>
        <v/>
      </c>
      <c r="Y449" s="308" t="str">
        <f t="shared" si="16"/>
        <v/>
      </c>
      <c r="Z449" s="309" t="str">
        <f t="shared" si="17"/>
        <v/>
      </c>
      <c r="AA449" s="312" t="str">
        <f t="shared" si="18"/>
        <v/>
      </c>
      <c r="AB449" s="308" t="str">
        <f t="shared" si="19"/>
        <v/>
      </c>
      <c r="AC449" s="308" t="str">
        <f t="shared" si="20"/>
        <v/>
      </c>
      <c r="AD449" s="312" t="str">
        <f t="shared" si="21"/>
        <v/>
      </c>
      <c r="AE449" s="308" t="str">
        <f t="shared" si="22"/>
        <v/>
      </c>
      <c r="AF449" s="313" t="str">
        <f t="shared" si="23"/>
        <v/>
      </c>
      <c r="AG449" s="304" t="str">
        <f t="shared" si="24"/>
        <v/>
      </c>
      <c r="AH449" s="308" t="str">
        <f t="shared" si="25"/>
        <v/>
      </c>
      <c r="AI449" s="313" t="str">
        <f t="shared" si="26"/>
        <v/>
      </c>
      <c r="AJ449" s="304" t="str">
        <f t="shared" si="27"/>
        <v/>
      </c>
      <c r="AK449" s="308" t="str">
        <f t="shared" si="28"/>
        <v/>
      </c>
      <c r="AL449" s="308" t="str">
        <f t="shared" si="29"/>
        <v/>
      </c>
      <c r="AM449" s="304" t="str">
        <f t="shared" si="30"/>
        <v/>
      </c>
      <c r="AN449" s="308" t="str">
        <f t="shared" si="31"/>
        <v/>
      </c>
      <c r="AO449" s="313" t="str">
        <f t="shared" si="32"/>
        <v/>
      </c>
      <c r="AP449" s="304" t="str">
        <f t="shared" si="33"/>
        <v/>
      </c>
      <c r="AQ449" s="308" t="str">
        <f t="shared" si="34"/>
        <v/>
      </c>
      <c r="AR449" s="313" t="str">
        <f t="shared" si="35"/>
        <v/>
      </c>
      <c r="AS449" s="304" t="str">
        <f t="shared" si="36"/>
        <v/>
      </c>
      <c r="AT449" s="308" t="str">
        <f t="shared" si="37"/>
        <v/>
      </c>
      <c r="AU449" s="308" t="str">
        <f t="shared" si="38"/>
        <v/>
      </c>
      <c r="AV449" s="304" t="str">
        <f t="shared" si="39"/>
        <v/>
      </c>
      <c r="AW449" s="308" t="str">
        <f t="shared" si="40"/>
        <v/>
      </c>
      <c r="AX449" s="308" t="str">
        <f t="shared" si="41"/>
        <v/>
      </c>
      <c r="AY449" s="304" t="str">
        <f t="shared" si="42"/>
        <v/>
      </c>
      <c r="AZ449" s="308" t="str">
        <f t="shared" si="43"/>
        <v/>
      </c>
      <c r="BA449" s="313" t="str">
        <f t="shared" si="44"/>
        <v/>
      </c>
      <c r="BB449" s="304" t="str">
        <f t="shared" si="45"/>
        <v/>
      </c>
      <c r="BC449" s="308" t="str">
        <f t="shared" si="46"/>
        <v/>
      </c>
      <c r="BD449" s="308" t="str">
        <f t="shared" si="47"/>
        <v/>
      </c>
    </row>
    <row r="450">
      <c r="A450" s="298"/>
      <c r="B450" s="299"/>
      <c r="C450" s="300"/>
      <c r="D450" s="301" t="str">
        <f>IFERROR(__xludf.DUMMYFUNCTION("if(ISBLANK(A450),"""",GOOGLEFINANCE(A450,""NAME""))"),"")</f>
        <v/>
      </c>
      <c r="E450" s="302">
        <v>5000.0</v>
      </c>
      <c r="F450" s="303" t="str">
        <f>IFERROR(__xludf.DUMMYFUNCTION("if(ISBLANK(A450),"""",GOOGLEFINANCE(A450,""HIGH52""))"),"")</f>
        <v/>
      </c>
      <c r="G450" s="303" t="str">
        <f>IFERROR(__xludf.DUMMYFUNCTION("if(ISBLANK(A450),"""",GOOGLEFINANCE(A450,""LOW52""))"),"")</f>
        <v/>
      </c>
      <c r="H450" s="304" t="str">
        <f>IFERROR(__xludf.DUMMYFUNCTION("if(ISBLANK(A450),"""",GOOGLEFINANCE(A450,""Price""))"),"")</f>
        <v/>
      </c>
      <c r="I450" s="305" t="str">
        <f t="shared" si="1"/>
        <v/>
      </c>
      <c r="J450" s="306" t="str">
        <f t="shared" si="2"/>
        <v/>
      </c>
      <c r="K450" s="307" t="str">
        <f>IFERROR(__xludf.DUMMYFUNCTION("if(ISBLANK(A450),"""",googlefinance(A450,""Marketcap"")/10000000)"),"")</f>
        <v/>
      </c>
      <c r="L450" s="309" t="str">
        <f t="shared" si="3"/>
        <v/>
      </c>
      <c r="M450" s="308" t="str">
        <f t="shared" si="4"/>
        <v/>
      </c>
      <c r="N450" s="309" t="str">
        <f t="shared" si="5"/>
        <v/>
      </c>
      <c r="O450" s="322" t="str">
        <f t="shared" si="6"/>
        <v/>
      </c>
      <c r="P450" s="308" t="str">
        <f t="shared" si="7"/>
        <v/>
      </c>
      <c r="Q450" s="311" t="str">
        <f t="shared" si="8"/>
        <v/>
      </c>
      <c r="R450" s="309" t="str">
        <f t="shared" si="9"/>
        <v/>
      </c>
      <c r="S450" s="308" t="str">
        <f t="shared" si="10"/>
        <v/>
      </c>
      <c r="T450" s="309" t="str">
        <f t="shared" si="11"/>
        <v/>
      </c>
      <c r="U450" s="309" t="str">
        <f t="shared" si="12"/>
        <v/>
      </c>
      <c r="V450" s="308" t="str">
        <f t="shared" si="13"/>
        <v/>
      </c>
      <c r="W450" s="309" t="str">
        <f t="shared" si="14"/>
        <v/>
      </c>
      <c r="X450" s="309" t="str">
        <f t="shared" si="15"/>
        <v/>
      </c>
      <c r="Y450" s="308" t="str">
        <f t="shared" si="16"/>
        <v/>
      </c>
      <c r="Z450" s="309" t="str">
        <f t="shared" si="17"/>
        <v/>
      </c>
      <c r="AA450" s="312" t="str">
        <f t="shared" si="18"/>
        <v/>
      </c>
      <c r="AB450" s="308" t="str">
        <f t="shared" si="19"/>
        <v/>
      </c>
      <c r="AC450" s="308" t="str">
        <f t="shared" si="20"/>
        <v/>
      </c>
      <c r="AD450" s="312" t="str">
        <f t="shared" si="21"/>
        <v/>
      </c>
      <c r="AE450" s="308" t="str">
        <f t="shared" si="22"/>
        <v/>
      </c>
      <c r="AF450" s="313" t="str">
        <f t="shared" si="23"/>
        <v/>
      </c>
      <c r="AG450" s="304" t="str">
        <f t="shared" si="24"/>
        <v/>
      </c>
      <c r="AH450" s="308" t="str">
        <f t="shared" si="25"/>
        <v/>
      </c>
      <c r="AI450" s="313" t="str">
        <f t="shared" si="26"/>
        <v/>
      </c>
      <c r="AJ450" s="304" t="str">
        <f t="shared" si="27"/>
        <v/>
      </c>
      <c r="AK450" s="308" t="str">
        <f t="shared" si="28"/>
        <v/>
      </c>
      <c r="AL450" s="308" t="str">
        <f t="shared" si="29"/>
        <v/>
      </c>
      <c r="AM450" s="304" t="str">
        <f t="shared" si="30"/>
        <v/>
      </c>
      <c r="AN450" s="308" t="str">
        <f t="shared" si="31"/>
        <v/>
      </c>
      <c r="AO450" s="313" t="str">
        <f t="shared" si="32"/>
        <v/>
      </c>
      <c r="AP450" s="304" t="str">
        <f t="shared" si="33"/>
        <v/>
      </c>
      <c r="AQ450" s="308" t="str">
        <f t="shared" si="34"/>
        <v/>
      </c>
      <c r="AR450" s="313" t="str">
        <f t="shared" si="35"/>
        <v/>
      </c>
      <c r="AS450" s="304" t="str">
        <f t="shared" si="36"/>
        <v/>
      </c>
      <c r="AT450" s="308" t="str">
        <f t="shared" si="37"/>
        <v/>
      </c>
      <c r="AU450" s="308" t="str">
        <f t="shared" si="38"/>
        <v/>
      </c>
      <c r="AV450" s="304" t="str">
        <f t="shared" si="39"/>
        <v/>
      </c>
      <c r="AW450" s="308" t="str">
        <f t="shared" si="40"/>
        <v/>
      </c>
      <c r="AX450" s="308" t="str">
        <f t="shared" si="41"/>
        <v/>
      </c>
      <c r="AY450" s="304" t="str">
        <f t="shared" si="42"/>
        <v/>
      </c>
      <c r="AZ450" s="308" t="str">
        <f t="shared" si="43"/>
        <v/>
      </c>
      <c r="BA450" s="313" t="str">
        <f t="shared" si="44"/>
        <v/>
      </c>
      <c r="BB450" s="304" t="str">
        <f t="shared" si="45"/>
        <v/>
      </c>
      <c r="BC450" s="308" t="str">
        <f t="shared" si="46"/>
        <v/>
      </c>
      <c r="BD450" s="308" t="str">
        <f t="shared" si="47"/>
        <v/>
      </c>
    </row>
    <row r="451">
      <c r="A451" s="298"/>
      <c r="B451" s="299"/>
      <c r="C451" s="300"/>
      <c r="D451" s="301" t="str">
        <f>IFERROR(__xludf.DUMMYFUNCTION("if(ISBLANK(A451),"""",GOOGLEFINANCE(A451,""NAME""))"),"")</f>
        <v/>
      </c>
      <c r="E451" s="302">
        <v>5000.0</v>
      </c>
      <c r="F451" s="303" t="str">
        <f>IFERROR(__xludf.DUMMYFUNCTION("if(ISBLANK(A451),"""",GOOGLEFINANCE(A451,""HIGH52""))"),"")</f>
        <v/>
      </c>
      <c r="G451" s="303" t="str">
        <f>IFERROR(__xludf.DUMMYFUNCTION("if(ISBLANK(A451),"""",GOOGLEFINANCE(A451,""LOW52""))"),"")</f>
        <v/>
      </c>
      <c r="H451" s="304" t="str">
        <f>IFERROR(__xludf.DUMMYFUNCTION("if(ISBLANK(A451),"""",GOOGLEFINANCE(A451,""Price""))"),"")</f>
        <v/>
      </c>
      <c r="I451" s="305" t="str">
        <f t="shared" si="1"/>
        <v/>
      </c>
      <c r="J451" s="306" t="str">
        <f t="shared" si="2"/>
        <v/>
      </c>
      <c r="K451" s="307" t="str">
        <f>IFERROR(__xludf.DUMMYFUNCTION("if(ISBLANK(A451),"""",googlefinance(A451,""Marketcap"")/10000000)"),"")</f>
        <v/>
      </c>
      <c r="L451" s="309" t="str">
        <f t="shared" si="3"/>
        <v/>
      </c>
      <c r="M451" s="308" t="str">
        <f t="shared" si="4"/>
        <v/>
      </c>
      <c r="N451" s="309" t="str">
        <f t="shared" si="5"/>
        <v/>
      </c>
      <c r="O451" s="322" t="str">
        <f t="shared" si="6"/>
        <v/>
      </c>
      <c r="P451" s="308" t="str">
        <f t="shared" si="7"/>
        <v/>
      </c>
      <c r="Q451" s="311" t="str">
        <f t="shared" si="8"/>
        <v/>
      </c>
      <c r="R451" s="309" t="str">
        <f t="shared" si="9"/>
        <v/>
      </c>
      <c r="S451" s="308" t="str">
        <f t="shared" si="10"/>
        <v/>
      </c>
      <c r="T451" s="309" t="str">
        <f t="shared" si="11"/>
        <v/>
      </c>
      <c r="U451" s="309" t="str">
        <f t="shared" si="12"/>
        <v/>
      </c>
      <c r="V451" s="308" t="str">
        <f t="shared" si="13"/>
        <v/>
      </c>
      <c r="W451" s="309" t="str">
        <f t="shared" si="14"/>
        <v/>
      </c>
      <c r="X451" s="309" t="str">
        <f t="shared" si="15"/>
        <v/>
      </c>
      <c r="Y451" s="308" t="str">
        <f t="shared" si="16"/>
        <v/>
      </c>
      <c r="Z451" s="309" t="str">
        <f t="shared" si="17"/>
        <v/>
      </c>
      <c r="AA451" s="312" t="str">
        <f t="shared" si="18"/>
        <v/>
      </c>
      <c r="AB451" s="308" t="str">
        <f t="shared" si="19"/>
        <v/>
      </c>
      <c r="AC451" s="308" t="str">
        <f t="shared" si="20"/>
        <v/>
      </c>
      <c r="AD451" s="312" t="str">
        <f t="shared" si="21"/>
        <v/>
      </c>
      <c r="AE451" s="308" t="str">
        <f t="shared" si="22"/>
        <v/>
      </c>
      <c r="AF451" s="313" t="str">
        <f t="shared" si="23"/>
        <v/>
      </c>
      <c r="AG451" s="304" t="str">
        <f t="shared" si="24"/>
        <v/>
      </c>
      <c r="AH451" s="308" t="str">
        <f t="shared" si="25"/>
        <v/>
      </c>
      <c r="AI451" s="313" t="str">
        <f t="shared" si="26"/>
        <v/>
      </c>
      <c r="AJ451" s="304" t="str">
        <f t="shared" si="27"/>
        <v/>
      </c>
      <c r="AK451" s="308" t="str">
        <f t="shared" si="28"/>
        <v/>
      </c>
      <c r="AL451" s="308" t="str">
        <f t="shared" si="29"/>
        <v/>
      </c>
      <c r="AM451" s="304" t="str">
        <f t="shared" si="30"/>
        <v/>
      </c>
      <c r="AN451" s="308" t="str">
        <f t="shared" si="31"/>
        <v/>
      </c>
      <c r="AO451" s="313" t="str">
        <f t="shared" si="32"/>
        <v/>
      </c>
      <c r="AP451" s="304" t="str">
        <f t="shared" si="33"/>
        <v/>
      </c>
      <c r="AQ451" s="308" t="str">
        <f t="shared" si="34"/>
        <v/>
      </c>
      <c r="AR451" s="313" t="str">
        <f t="shared" si="35"/>
        <v/>
      </c>
      <c r="AS451" s="304" t="str">
        <f t="shared" si="36"/>
        <v/>
      </c>
      <c r="AT451" s="308" t="str">
        <f t="shared" si="37"/>
        <v/>
      </c>
      <c r="AU451" s="308" t="str">
        <f t="shared" si="38"/>
        <v/>
      </c>
      <c r="AV451" s="304" t="str">
        <f t="shared" si="39"/>
        <v/>
      </c>
      <c r="AW451" s="308" t="str">
        <f t="shared" si="40"/>
        <v/>
      </c>
      <c r="AX451" s="308" t="str">
        <f t="shared" si="41"/>
        <v/>
      </c>
      <c r="AY451" s="304" t="str">
        <f t="shared" si="42"/>
        <v/>
      </c>
      <c r="AZ451" s="308" t="str">
        <f t="shared" si="43"/>
        <v/>
      </c>
      <c r="BA451" s="313" t="str">
        <f t="shared" si="44"/>
        <v/>
      </c>
      <c r="BB451" s="304" t="str">
        <f t="shared" si="45"/>
        <v/>
      </c>
      <c r="BC451" s="308" t="str">
        <f t="shared" si="46"/>
        <v/>
      </c>
      <c r="BD451" s="308" t="str">
        <f t="shared" si="47"/>
        <v/>
      </c>
    </row>
    <row r="452">
      <c r="A452" s="298"/>
      <c r="B452" s="299"/>
      <c r="C452" s="300"/>
      <c r="D452" s="301" t="str">
        <f>IFERROR(__xludf.DUMMYFUNCTION("if(ISBLANK(A452),"""",GOOGLEFINANCE(A452,""NAME""))"),"")</f>
        <v/>
      </c>
      <c r="E452" s="302">
        <v>5000.0</v>
      </c>
      <c r="F452" s="303" t="str">
        <f>IFERROR(__xludf.DUMMYFUNCTION("if(ISBLANK(A452),"""",GOOGLEFINANCE(A452,""HIGH52""))"),"")</f>
        <v/>
      </c>
      <c r="G452" s="303" t="str">
        <f>IFERROR(__xludf.DUMMYFUNCTION("if(ISBLANK(A452),"""",GOOGLEFINANCE(A452,""LOW52""))"),"")</f>
        <v/>
      </c>
      <c r="H452" s="304" t="str">
        <f>IFERROR(__xludf.DUMMYFUNCTION("if(ISBLANK(A452),"""",GOOGLEFINANCE(A452,""Price""))"),"")</f>
        <v/>
      </c>
      <c r="I452" s="305" t="str">
        <f t="shared" si="1"/>
        <v/>
      </c>
      <c r="J452" s="306" t="str">
        <f t="shared" si="2"/>
        <v/>
      </c>
      <c r="K452" s="307" t="str">
        <f>IFERROR(__xludf.DUMMYFUNCTION("if(ISBLANK(A452),"""",googlefinance(A452,""Marketcap"")/10000000)"),"")</f>
        <v/>
      </c>
      <c r="L452" s="309" t="str">
        <f t="shared" si="3"/>
        <v/>
      </c>
      <c r="M452" s="308" t="str">
        <f t="shared" si="4"/>
        <v/>
      </c>
      <c r="N452" s="309" t="str">
        <f t="shared" si="5"/>
        <v/>
      </c>
      <c r="O452" s="322" t="str">
        <f t="shared" si="6"/>
        <v/>
      </c>
      <c r="P452" s="308" t="str">
        <f t="shared" si="7"/>
        <v/>
      </c>
      <c r="Q452" s="311" t="str">
        <f t="shared" si="8"/>
        <v/>
      </c>
      <c r="R452" s="309" t="str">
        <f t="shared" si="9"/>
        <v/>
      </c>
      <c r="S452" s="308" t="str">
        <f t="shared" si="10"/>
        <v/>
      </c>
      <c r="T452" s="309" t="str">
        <f t="shared" si="11"/>
        <v/>
      </c>
      <c r="U452" s="309" t="str">
        <f t="shared" si="12"/>
        <v/>
      </c>
      <c r="V452" s="308" t="str">
        <f t="shared" si="13"/>
        <v/>
      </c>
      <c r="W452" s="309" t="str">
        <f t="shared" si="14"/>
        <v/>
      </c>
      <c r="X452" s="309" t="str">
        <f t="shared" si="15"/>
        <v/>
      </c>
      <c r="Y452" s="308" t="str">
        <f t="shared" si="16"/>
        <v/>
      </c>
      <c r="Z452" s="309" t="str">
        <f t="shared" si="17"/>
        <v/>
      </c>
      <c r="AA452" s="312" t="str">
        <f t="shared" si="18"/>
        <v/>
      </c>
      <c r="AB452" s="308" t="str">
        <f t="shared" si="19"/>
        <v/>
      </c>
      <c r="AC452" s="308" t="str">
        <f t="shared" si="20"/>
        <v/>
      </c>
      <c r="AD452" s="312" t="str">
        <f t="shared" si="21"/>
        <v/>
      </c>
      <c r="AE452" s="308" t="str">
        <f t="shared" si="22"/>
        <v/>
      </c>
      <c r="AF452" s="313" t="str">
        <f t="shared" si="23"/>
        <v/>
      </c>
      <c r="AG452" s="304" t="str">
        <f t="shared" si="24"/>
        <v/>
      </c>
      <c r="AH452" s="308" t="str">
        <f t="shared" si="25"/>
        <v/>
      </c>
      <c r="AI452" s="313" t="str">
        <f t="shared" si="26"/>
        <v/>
      </c>
      <c r="AJ452" s="304" t="str">
        <f t="shared" si="27"/>
        <v/>
      </c>
      <c r="AK452" s="308" t="str">
        <f t="shared" si="28"/>
        <v/>
      </c>
      <c r="AL452" s="308" t="str">
        <f t="shared" si="29"/>
        <v/>
      </c>
      <c r="AM452" s="304" t="str">
        <f t="shared" si="30"/>
        <v/>
      </c>
      <c r="AN452" s="308" t="str">
        <f t="shared" si="31"/>
        <v/>
      </c>
      <c r="AO452" s="313" t="str">
        <f t="shared" si="32"/>
        <v/>
      </c>
      <c r="AP452" s="304" t="str">
        <f t="shared" si="33"/>
        <v/>
      </c>
      <c r="AQ452" s="308" t="str">
        <f t="shared" si="34"/>
        <v/>
      </c>
      <c r="AR452" s="313" t="str">
        <f t="shared" si="35"/>
        <v/>
      </c>
      <c r="AS452" s="304" t="str">
        <f t="shared" si="36"/>
        <v/>
      </c>
      <c r="AT452" s="308" t="str">
        <f t="shared" si="37"/>
        <v/>
      </c>
      <c r="AU452" s="308" t="str">
        <f t="shared" si="38"/>
        <v/>
      </c>
      <c r="AV452" s="304" t="str">
        <f t="shared" si="39"/>
        <v/>
      </c>
      <c r="AW452" s="308" t="str">
        <f t="shared" si="40"/>
        <v/>
      </c>
      <c r="AX452" s="308" t="str">
        <f t="shared" si="41"/>
        <v/>
      </c>
      <c r="AY452" s="304" t="str">
        <f t="shared" si="42"/>
        <v/>
      </c>
      <c r="AZ452" s="308" t="str">
        <f t="shared" si="43"/>
        <v/>
      </c>
      <c r="BA452" s="313" t="str">
        <f t="shared" si="44"/>
        <v/>
      </c>
      <c r="BB452" s="304" t="str">
        <f t="shared" si="45"/>
        <v/>
      </c>
      <c r="BC452" s="308" t="str">
        <f t="shared" si="46"/>
        <v/>
      </c>
      <c r="BD452" s="308" t="str">
        <f t="shared" si="47"/>
        <v/>
      </c>
    </row>
    <row r="453">
      <c r="A453" s="298"/>
      <c r="B453" s="299"/>
      <c r="C453" s="300"/>
      <c r="D453" s="301" t="str">
        <f>IFERROR(__xludf.DUMMYFUNCTION("if(ISBLANK(A453),"""",GOOGLEFINANCE(A453,""NAME""))"),"")</f>
        <v/>
      </c>
      <c r="E453" s="302">
        <v>5000.0</v>
      </c>
      <c r="F453" s="303" t="str">
        <f>IFERROR(__xludf.DUMMYFUNCTION("if(ISBLANK(A453),"""",GOOGLEFINANCE(A453,""HIGH52""))"),"")</f>
        <v/>
      </c>
      <c r="G453" s="303" t="str">
        <f>IFERROR(__xludf.DUMMYFUNCTION("if(ISBLANK(A453),"""",GOOGLEFINANCE(A453,""LOW52""))"),"")</f>
        <v/>
      </c>
      <c r="H453" s="304" t="str">
        <f>IFERROR(__xludf.DUMMYFUNCTION("if(ISBLANK(A453),"""",GOOGLEFINANCE(A453,""Price""))"),"")</f>
        <v/>
      </c>
      <c r="I453" s="305" t="str">
        <f t="shared" si="1"/>
        <v/>
      </c>
      <c r="J453" s="306" t="str">
        <f t="shared" si="2"/>
        <v/>
      </c>
      <c r="K453" s="307" t="str">
        <f>IFERROR(__xludf.DUMMYFUNCTION("if(ISBLANK(A453),"""",googlefinance(A453,""Marketcap"")/10000000)"),"")</f>
        <v/>
      </c>
      <c r="L453" s="309" t="str">
        <f t="shared" si="3"/>
        <v/>
      </c>
      <c r="M453" s="308" t="str">
        <f t="shared" si="4"/>
        <v/>
      </c>
      <c r="N453" s="309" t="str">
        <f t="shared" si="5"/>
        <v/>
      </c>
      <c r="O453" s="322" t="str">
        <f t="shared" si="6"/>
        <v/>
      </c>
      <c r="P453" s="308" t="str">
        <f t="shared" si="7"/>
        <v/>
      </c>
      <c r="Q453" s="311" t="str">
        <f t="shared" si="8"/>
        <v/>
      </c>
      <c r="R453" s="309" t="str">
        <f t="shared" si="9"/>
        <v/>
      </c>
      <c r="S453" s="308" t="str">
        <f t="shared" si="10"/>
        <v/>
      </c>
      <c r="T453" s="309" t="str">
        <f t="shared" si="11"/>
        <v/>
      </c>
      <c r="U453" s="309" t="str">
        <f t="shared" si="12"/>
        <v/>
      </c>
      <c r="V453" s="308" t="str">
        <f t="shared" si="13"/>
        <v/>
      </c>
      <c r="W453" s="309" t="str">
        <f t="shared" si="14"/>
        <v/>
      </c>
      <c r="X453" s="309" t="str">
        <f t="shared" si="15"/>
        <v/>
      </c>
      <c r="Y453" s="308" t="str">
        <f t="shared" si="16"/>
        <v/>
      </c>
      <c r="Z453" s="309" t="str">
        <f t="shared" si="17"/>
        <v/>
      </c>
      <c r="AA453" s="312" t="str">
        <f t="shared" si="18"/>
        <v/>
      </c>
      <c r="AB453" s="308" t="str">
        <f t="shared" si="19"/>
        <v/>
      </c>
      <c r="AC453" s="308" t="str">
        <f t="shared" si="20"/>
        <v/>
      </c>
      <c r="AD453" s="312" t="str">
        <f t="shared" si="21"/>
        <v/>
      </c>
      <c r="AE453" s="308" t="str">
        <f t="shared" si="22"/>
        <v/>
      </c>
      <c r="AF453" s="313" t="str">
        <f t="shared" si="23"/>
        <v/>
      </c>
      <c r="AG453" s="304" t="str">
        <f t="shared" si="24"/>
        <v/>
      </c>
      <c r="AH453" s="308" t="str">
        <f t="shared" si="25"/>
        <v/>
      </c>
      <c r="AI453" s="313" t="str">
        <f t="shared" si="26"/>
        <v/>
      </c>
      <c r="AJ453" s="304" t="str">
        <f t="shared" si="27"/>
        <v/>
      </c>
      <c r="AK453" s="308" t="str">
        <f t="shared" si="28"/>
        <v/>
      </c>
      <c r="AL453" s="308" t="str">
        <f t="shared" si="29"/>
        <v/>
      </c>
      <c r="AM453" s="304" t="str">
        <f t="shared" si="30"/>
        <v/>
      </c>
      <c r="AN453" s="308" t="str">
        <f t="shared" si="31"/>
        <v/>
      </c>
      <c r="AO453" s="313" t="str">
        <f t="shared" si="32"/>
        <v/>
      </c>
      <c r="AP453" s="304" t="str">
        <f t="shared" si="33"/>
        <v/>
      </c>
      <c r="AQ453" s="308" t="str">
        <f t="shared" si="34"/>
        <v/>
      </c>
      <c r="AR453" s="313" t="str">
        <f t="shared" si="35"/>
        <v/>
      </c>
      <c r="AS453" s="304" t="str">
        <f t="shared" si="36"/>
        <v/>
      </c>
      <c r="AT453" s="308" t="str">
        <f t="shared" si="37"/>
        <v/>
      </c>
      <c r="AU453" s="308" t="str">
        <f t="shared" si="38"/>
        <v/>
      </c>
      <c r="AV453" s="304" t="str">
        <f t="shared" si="39"/>
        <v/>
      </c>
      <c r="AW453" s="308" t="str">
        <f t="shared" si="40"/>
        <v/>
      </c>
      <c r="AX453" s="308" t="str">
        <f t="shared" si="41"/>
        <v/>
      </c>
      <c r="AY453" s="304" t="str">
        <f t="shared" si="42"/>
        <v/>
      </c>
      <c r="AZ453" s="308" t="str">
        <f t="shared" si="43"/>
        <v/>
      </c>
      <c r="BA453" s="313" t="str">
        <f t="shared" si="44"/>
        <v/>
      </c>
      <c r="BB453" s="304" t="str">
        <f t="shared" si="45"/>
        <v/>
      </c>
      <c r="BC453" s="308" t="str">
        <f t="shared" si="46"/>
        <v/>
      </c>
      <c r="BD453" s="308" t="str">
        <f t="shared" si="47"/>
        <v/>
      </c>
    </row>
    <row r="454">
      <c r="A454" s="298"/>
      <c r="B454" s="299"/>
      <c r="C454" s="300"/>
      <c r="D454" s="301" t="str">
        <f>IFERROR(__xludf.DUMMYFUNCTION("if(ISBLANK(A454),"""",GOOGLEFINANCE(A454,""NAME""))"),"")</f>
        <v/>
      </c>
      <c r="E454" s="302">
        <v>5000.0</v>
      </c>
      <c r="F454" s="303" t="str">
        <f>IFERROR(__xludf.DUMMYFUNCTION("if(ISBLANK(A454),"""",GOOGLEFINANCE(A454,""HIGH52""))"),"")</f>
        <v/>
      </c>
      <c r="G454" s="303" t="str">
        <f>IFERROR(__xludf.DUMMYFUNCTION("if(ISBLANK(A454),"""",GOOGLEFINANCE(A454,""LOW52""))"),"")</f>
        <v/>
      </c>
      <c r="H454" s="304" t="str">
        <f>IFERROR(__xludf.DUMMYFUNCTION("if(ISBLANK(A454),"""",GOOGLEFINANCE(A454,""Price""))"),"")</f>
        <v/>
      </c>
      <c r="I454" s="305" t="str">
        <f t="shared" si="1"/>
        <v/>
      </c>
      <c r="J454" s="306" t="str">
        <f t="shared" si="2"/>
        <v/>
      </c>
      <c r="K454" s="307" t="str">
        <f>IFERROR(__xludf.DUMMYFUNCTION("if(ISBLANK(A454),"""",googlefinance(A454,""Marketcap"")/10000000)"),"")</f>
        <v/>
      </c>
      <c r="L454" s="309" t="str">
        <f t="shared" si="3"/>
        <v/>
      </c>
      <c r="M454" s="308" t="str">
        <f t="shared" si="4"/>
        <v/>
      </c>
      <c r="N454" s="309" t="str">
        <f t="shared" si="5"/>
        <v/>
      </c>
      <c r="O454" s="322" t="str">
        <f t="shared" si="6"/>
        <v/>
      </c>
      <c r="P454" s="308" t="str">
        <f t="shared" si="7"/>
        <v/>
      </c>
      <c r="Q454" s="311" t="str">
        <f t="shared" si="8"/>
        <v/>
      </c>
      <c r="R454" s="309" t="str">
        <f t="shared" si="9"/>
        <v/>
      </c>
      <c r="S454" s="308" t="str">
        <f t="shared" si="10"/>
        <v/>
      </c>
      <c r="T454" s="309" t="str">
        <f t="shared" si="11"/>
        <v/>
      </c>
      <c r="U454" s="309" t="str">
        <f t="shared" si="12"/>
        <v/>
      </c>
      <c r="V454" s="308" t="str">
        <f t="shared" si="13"/>
        <v/>
      </c>
      <c r="W454" s="309" t="str">
        <f t="shared" si="14"/>
        <v/>
      </c>
      <c r="X454" s="309" t="str">
        <f t="shared" si="15"/>
        <v/>
      </c>
      <c r="Y454" s="308" t="str">
        <f t="shared" si="16"/>
        <v/>
      </c>
      <c r="Z454" s="309" t="str">
        <f t="shared" si="17"/>
        <v/>
      </c>
      <c r="AA454" s="312" t="str">
        <f t="shared" si="18"/>
        <v/>
      </c>
      <c r="AB454" s="308" t="str">
        <f t="shared" si="19"/>
        <v/>
      </c>
      <c r="AC454" s="308" t="str">
        <f t="shared" si="20"/>
        <v/>
      </c>
      <c r="AD454" s="312" t="str">
        <f t="shared" si="21"/>
        <v/>
      </c>
      <c r="AE454" s="308" t="str">
        <f t="shared" si="22"/>
        <v/>
      </c>
      <c r="AF454" s="313" t="str">
        <f t="shared" si="23"/>
        <v/>
      </c>
      <c r="AG454" s="304" t="str">
        <f t="shared" si="24"/>
        <v/>
      </c>
      <c r="AH454" s="308" t="str">
        <f t="shared" si="25"/>
        <v/>
      </c>
      <c r="AI454" s="313" t="str">
        <f t="shared" si="26"/>
        <v/>
      </c>
      <c r="AJ454" s="304" t="str">
        <f t="shared" si="27"/>
        <v/>
      </c>
      <c r="AK454" s="308" t="str">
        <f t="shared" si="28"/>
        <v/>
      </c>
      <c r="AL454" s="308" t="str">
        <f t="shared" si="29"/>
        <v/>
      </c>
      <c r="AM454" s="304" t="str">
        <f t="shared" si="30"/>
        <v/>
      </c>
      <c r="AN454" s="308" t="str">
        <f t="shared" si="31"/>
        <v/>
      </c>
      <c r="AO454" s="313" t="str">
        <f t="shared" si="32"/>
        <v/>
      </c>
      <c r="AP454" s="304" t="str">
        <f t="shared" si="33"/>
        <v/>
      </c>
      <c r="AQ454" s="308" t="str">
        <f t="shared" si="34"/>
        <v/>
      </c>
      <c r="AR454" s="313" t="str">
        <f t="shared" si="35"/>
        <v/>
      </c>
      <c r="AS454" s="304" t="str">
        <f t="shared" si="36"/>
        <v/>
      </c>
      <c r="AT454" s="308" t="str">
        <f t="shared" si="37"/>
        <v/>
      </c>
      <c r="AU454" s="308" t="str">
        <f t="shared" si="38"/>
        <v/>
      </c>
      <c r="AV454" s="304" t="str">
        <f t="shared" si="39"/>
        <v/>
      </c>
      <c r="AW454" s="308" t="str">
        <f t="shared" si="40"/>
        <v/>
      </c>
      <c r="AX454" s="308" t="str">
        <f t="shared" si="41"/>
        <v/>
      </c>
      <c r="AY454" s="304" t="str">
        <f t="shared" si="42"/>
        <v/>
      </c>
      <c r="AZ454" s="308" t="str">
        <f t="shared" si="43"/>
        <v/>
      </c>
      <c r="BA454" s="313" t="str">
        <f t="shared" si="44"/>
        <v/>
      </c>
      <c r="BB454" s="304" t="str">
        <f t="shared" si="45"/>
        <v/>
      </c>
      <c r="BC454" s="308" t="str">
        <f t="shared" si="46"/>
        <v/>
      </c>
      <c r="BD454" s="308" t="str">
        <f t="shared" si="47"/>
        <v/>
      </c>
    </row>
    <row r="455">
      <c r="A455" s="298"/>
      <c r="B455" s="299"/>
      <c r="C455" s="300"/>
      <c r="D455" s="301" t="str">
        <f>IFERROR(__xludf.DUMMYFUNCTION("if(ISBLANK(A455),"""",GOOGLEFINANCE(A455,""NAME""))"),"")</f>
        <v/>
      </c>
      <c r="E455" s="302">
        <v>5000.0</v>
      </c>
      <c r="F455" s="303" t="str">
        <f>IFERROR(__xludf.DUMMYFUNCTION("if(ISBLANK(A455),"""",GOOGLEFINANCE(A455,""HIGH52""))"),"")</f>
        <v/>
      </c>
      <c r="G455" s="303" t="str">
        <f>IFERROR(__xludf.DUMMYFUNCTION("if(ISBLANK(A455),"""",GOOGLEFINANCE(A455,""LOW52""))"),"")</f>
        <v/>
      </c>
      <c r="H455" s="304" t="str">
        <f>IFERROR(__xludf.DUMMYFUNCTION("if(ISBLANK(A455),"""",GOOGLEFINANCE(A455,""Price""))"),"")</f>
        <v/>
      </c>
      <c r="I455" s="305" t="str">
        <f t="shared" si="1"/>
        <v/>
      </c>
      <c r="J455" s="306" t="str">
        <f t="shared" si="2"/>
        <v/>
      </c>
      <c r="K455" s="307" t="str">
        <f>IFERROR(__xludf.DUMMYFUNCTION("if(ISBLANK(A455),"""",googlefinance(A455,""Marketcap"")/10000000)"),"")</f>
        <v/>
      </c>
      <c r="L455" s="309" t="str">
        <f t="shared" si="3"/>
        <v/>
      </c>
      <c r="M455" s="308" t="str">
        <f t="shared" si="4"/>
        <v/>
      </c>
      <c r="N455" s="309" t="str">
        <f t="shared" si="5"/>
        <v/>
      </c>
      <c r="O455" s="322" t="str">
        <f t="shared" si="6"/>
        <v/>
      </c>
      <c r="P455" s="308" t="str">
        <f t="shared" si="7"/>
        <v/>
      </c>
      <c r="Q455" s="311" t="str">
        <f t="shared" si="8"/>
        <v/>
      </c>
      <c r="R455" s="309" t="str">
        <f t="shared" si="9"/>
        <v/>
      </c>
      <c r="S455" s="308" t="str">
        <f t="shared" si="10"/>
        <v/>
      </c>
      <c r="T455" s="309" t="str">
        <f t="shared" si="11"/>
        <v/>
      </c>
      <c r="U455" s="309" t="str">
        <f t="shared" si="12"/>
        <v/>
      </c>
      <c r="V455" s="308" t="str">
        <f t="shared" si="13"/>
        <v/>
      </c>
      <c r="W455" s="309" t="str">
        <f t="shared" si="14"/>
        <v/>
      </c>
      <c r="X455" s="309" t="str">
        <f t="shared" si="15"/>
        <v/>
      </c>
      <c r="Y455" s="308" t="str">
        <f t="shared" si="16"/>
        <v/>
      </c>
      <c r="Z455" s="309" t="str">
        <f t="shared" si="17"/>
        <v/>
      </c>
      <c r="AA455" s="312" t="str">
        <f t="shared" si="18"/>
        <v/>
      </c>
      <c r="AB455" s="308" t="str">
        <f t="shared" si="19"/>
        <v/>
      </c>
      <c r="AC455" s="308" t="str">
        <f t="shared" si="20"/>
        <v/>
      </c>
      <c r="AD455" s="312" t="str">
        <f t="shared" si="21"/>
        <v/>
      </c>
      <c r="AE455" s="308" t="str">
        <f t="shared" si="22"/>
        <v/>
      </c>
      <c r="AF455" s="313" t="str">
        <f t="shared" si="23"/>
        <v/>
      </c>
      <c r="AG455" s="304" t="str">
        <f t="shared" si="24"/>
        <v/>
      </c>
      <c r="AH455" s="308" t="str">
        <f t="shared" si="25"/>
        <v/>
      </c>
      <c r="AI455" s="313" t="str">
        <f t="shared" si="26"/>
        <v/>
      </c>
      <c r="AJ455" s="304" t="str">
        <f t="shared" si="27"/>
        <v/>
      </c>
      <c r="AK455" s="308" t="str">
        <f t="shared" si="28"/>
        <v/>
      </c>
      <c r="AL455" s="308" t="str">
        <f t="shared" si="29"/>
        <v/>
      </c>
      <c r="AM455" s="304" t="str">
        <f t="shared" si="30"/>
        <v/>
      </c>
      <c r="AN455" s="308" t="str">
        <f t="shared" si="31"/>
        <v/>
      </c>
      <c r="AO455" s="313" t="str">
        <f t="shared" si="32"/>
        <v/>
      </c>
      <c r="AP455" s="304" t="str">
        <f t="shared" si="33"/>
        <v/>
      </c>
      <c r="AQ455" s="308" t="str">
        <f t="shared" si="34"/>
        <v/>
      </c>
      <c r="AR455" s="313" t="str">
        <f t="shared" si="35"/>
        <v/>
      </c>
      <c r="AS455" s="304" t="str">
        <f t="shared" si="36"/>
        <v/>
      </c>
      <c r="AT455" s="308" t="str">
        <f t="shared" si="37"/>
        <v/>
      </c>
      <c r="AU455" s="308" t="str">
        <f t="shared" si="38"/>
        <v/>
      </c>
      <c r="AV455" s="304" t="str">
        <f t="shared" si="39"/>
        <v/>
      </c>
      <c r="AW455" s="308" t="str">
        <f t="shared" si="40"/>
        <v/>
      </c>
      <c r="AX455" s="308" t="str">
        <f t="shared" si="41"/>
        <v/>
      </c>
      <c r="AY455" s="304" t="str">
        <f t="shared" si="42"/>
        <v/>
      </c>
      <c r="AZ455" s="308" t="str">
        <f t="shared" si="43"/>
        <v/>
      </c>
      <c r="BA455" s="313" t="str">
        <f t="shared" si="44"/>
        <v/>
      </c>
      <c r="BB455" s="304" t="str">
        <f t="shared" si="45"/>
        <v/>
      </c>
      <c r="BC455" s="308" t="str">
        <f t="shared" si="46"/>
        <v/>
      </c>
      <c r="BD455" s="308" t="str">
        <f t="shared" si="47"/>
        <v/>
      </c>
    </row>
    <row r="456">
      <c r="A456" s="298"/>
      <c r="B456" s="299"/>
      <c r="C456" s="300"/>
      <c r="D456" s="301" t="str">
        <f>IFERROR(__xludf.DUMMYFUNCTION("if(ISBLANK(A456),"""",GOOGLEFINANCE(A456,""NAME""))"),"")</f>
        <v/>
      </c>
      <c r="E456" s="302">
        <v>5000.0</v>
      </c>
      <c r="F456" s="303" t="str">
        <f>IFERROR(__xludf.DUMMYFUNCTION("if(ISBLANK(A456),"""",GOOGLEFINANCE(A456,""HIGH52""))"),"")</f>
        <v/>
      </c>
      <c r="G456" s="303" t="str">
        <f>IFERROR(__xludf.DUMMYFUNCTION("if(ISBLANK(A456),"""",GOOGLEFINANCE(A456,""LOW52""))"),"")</f>
        <v/>
      </c>
      <c r="H456" s="304" t="str">
        <f>IFERROR(__xludf.DUMMYFUNCTION("if(ISBLANK(A456),"""",GOOGLEFINANCE(A456,""Price""))"),"")</f>
        <v/>
      </c>
      <c r="I456" s="305" t="str">
        <f t="shared" si="1"/>
        <v/>
      </c>
      <c r="J456" s="306" t="str">
        <f t="shared" si="2"/>
        <v/>
      </c>
      <c r="K456" s="307" t="str">
        <f>IFERROR(__xludf.DUMMYFUNCTION("if(ISBLANK(A456),"""",googlefinance(A456,""Marketcap"")/10000000)"),"")</f>
        <v/>
      </c>
      <c r="L456" s="309" t="str">
        <f t="shared" si="3"/>
        <v/>
      </c>
      <c r="M456" s="308" t="str">
        <f t="shared" si="4"/>
        <v/>
      </c>
      <c r="N456" s="309" t="str">
        <f t="shared" si="5"/>
        <v/>
      </c>
      <c r="O456" s="322" t="str">
        <f t="shared" si="6"/>
        <v/>
      </c>
      <c r="P456" s="308" t="str">
        <f t="shared" si="7"/>
        <v/>
      </c>
      <c r="Q456" s="311" t="str">
        <f t="shared" si="8"/>
        <v/>
      </c>
      <c r="R456" s="309" t="str">
        <f t="shared" si="9"/>
        <v/>
      </c>
      <c r="S456" s="308" t="str">
        <f t="shared" si="10"/>
        <v/>
      </c>
      <c r="T456" s="309" t="str">
        <f t="shared" si="11"/>
        <v/>
      </c>
      <c r="U456" s="309" t="str">
        <f t="shared" si="12"/>
        <v/>
      </c>
      <c r="V456" s="308" t="str">
        <f t="shared" si="13"/>
        <v/>
      </c>
      <c r="W456" s="309" t="str">
        <f t="shared" si="14"/>
        <v/>
      </c>
      <c r="X456" s="309" t="str">
        <f t="shared" si="15"/>
        <v/>
      </c>
      <c r="Y456" s="308" t="str">
        <f t="shared" si="16"/>
        <v/>
      </c>
      <c r="Z456" s="309" t="str">
        <f t="shared" si="17"/>
        <v/>
      </c>
      <c r="AA456" s="312" t="str">
        <f t="shared" si="18"/>
        <v/>
      </c>
      <c r="AB456" s="308" t="str">
        <f t="shared" si="19"/>
        <v/>
      </c>
      <c r="AC456" s="308" t="str">
        <f t="shared" si="20"/>
        <v/>
      </c>
      <c r="AD456" s="312" t="str">
        <f t="shared" si="21"/>
        <v/>
      </c>
      <c r="AE456" s="308" t="str">
        <f t="shared" si="22"/>
        <v/>
      </c>
      <c r="AF456" s="313" t="str">
        <f t="shared" si="23"/>
        <v/>
      </c>
      <c r="AG456" s="304" t="str">
        <f t="shared" si="24"/>
        <v/>
      </c>
      <c r="AH456" s="308" t="str">
        <f t="shared" si="25"/>
        <v/>
      </c>
      <c r="AI456" s="313" t="str">
        <f t="shared" si="26"/>
        <v/>
      </c>
      <c r="AJ456" s="304" t="str">
        <f t="shared" si="27"/>
        <v/>
      </c>
      <c r="AK456" s="308" t="str">
        <f t="shared" si="28"/>
        <v/>
      </c>
      <c r="AL456" s="308" t="str">
        <f t="shared" si="29"/>
        <v/>
      </c>
      <c r="AM456" s="304" t="str">
        <f t="shared" si="30"/>
        <v/>
      </c>
      <c r="AN456" s="308" t="str">
        <f t="shared" si="31"/>
        <v/>
      </c>
      <c r="AO456" s="313" t="str">
        <f t="shared" si="32"/>
        <v/>
      </c>
      <c r="AP456" s="304" t="str">
        <f t="shared" si="33"/>
        <v/>
      </c>
      <c r="AQ456" s="308" t="str">
        <f t="shared" si="34"/>
        <v/>
      </c>
      <c r="AR456" s="313" t="str">
        <f t="shared" si="35"/>
        <v/>
      </c>
      <c r="AS456" s="304" t="str">
        <f t="shared" si="36"/>
        <v/>
      </c>
      <c r="AT456" s="308" t="str">
        <f t="shared" si="37"/>
        <v/>
      </c>
      <c r="AU456" s="308" t="str">
        <f t="shared" si="38"/>
        <v/>
      </c>
      <c r="AV456" s="304" t="str">
        <f t="shared" si="39"/>
        <v/>
      </c>
      <c r="AW456" s="308" t="str">
        <f t="shared" si="40"/>
        <v/>
      </c>
      <c r="AX456" s="308" t="str">
        <f t="shared" si="41"/>
        <v/>
      </c>
      <c r="AY456" s="304" t="str">
        <f t="shared" si="42"/>
        <v/>
      </c>
      <c r="AZ456" s="308" t="str">
        <f t="shared" si="43"/>
        <v/>
      </c>
      <c r="BA456" s="313" t="str">
        <f t="shared" si="44"/>
        <v/>
      </c>
      <c r="BB456" s="304" t="str">
        <f t="shared" si="45"/>
        <v/>
      </c>
      <c r="BC456" s="308" t="str">
        <f t="shared" si="46"/>
        <v/>
      </c>
      <c r="BD456" s="308" t="str">
        <f t="shared" si="47"/>
        <v/>
      </c>
    </row>
    <row r="457">
      <c r="A457" s="298"/>
      <c r="B457" s="299"/>
      <c r="C457" s="300"/>
      <c r="D457" s="301" t="str">
        <f>IFERROR(__xludf.DUMMYFUNCTION("if(ISBLANK(A457),"""",GOOGLEFINANCE(A457,""NAME""))"),"")</f>
        <v/>
      </c>
      <c r="E457" s="302">
        <v>5000.0</v>
      </c>
      <c r="F457" s="303" t="str">
        <f>IFERROR(__xludf.DUMMYFUNCTION("if(ISBLANK(A457),"""",GOOGLEFINANCE(A457,""HIGH52""))"),"")</f>
        <v/>
      </c>
      <c r="G457" s="303" t="str">
        <f>IFERROR(__xludf.DUMMYFUNCTION("if(ISBLANK(A457),"""",GOOGLEFINANCE(A457,""LOW52""))"),"")</f>
        <v/>
      </c>
      <c r="H457" s="304" t="str">
        <f>IFERROR(__xludf.DUMMYFUNCTION("if(ISBLANK(A457),"""",GOOGLEFINANCE(A457,""Price""))"),"")</f>
        <v/>
      </c>
      <c r="I457" s="305" t="str">
        <f t="shared" si="1"/>
        <v/>
      </c>
      <c r="J457" s="306" t="str">
        <f t="shared" si="2"/>
        <v/>
      </c>
      <c r="K457" s="307" t="str">
        <f>IFERROR(__xludf.DUMMYFUNCTION("if(ISBLANK(A457),"""",googlefinance(A457,""Marketcap"")/10000000)"),"")</f>
        <v/>
      </c>
      <c r="L457" s="309" t="str">
        <f t="shared" si="3"/>
        <v/>
      </c>
      <c r="M457" s="308" t="str">
        <f t="shared" si="4"/>
        <v/>
      </c>
      <c r="N457" s="309" t="str">
        <f t="shared" si="5"/>
        <v/>
      </c>
      <c r="O457" s="322" t="str">
        <f t="shared" si="6"/>
        <v/>
      </c>
      <c r="P457" s="308" t="str">
        <f t="shared" si="7"/>
        <v/>
      </c>
      <c r="Q457" s="311" t="str">
        <f t="shared" si="8"/>
        <v/>
      </c>
      <c r="R457" s="309" t="str">
        <f t="shared" si="9"/>
        <v/>
      </c>
      <c r="S457" s="308" t="str">
        <f t="shared" si="10"/>
        <v/>
      </c>
      <c r="T457" s="309" t="str">
        <f t="shared" si="11"/>
        <v/>
      </c>
      <c r="U457" s="309" t="str">
        <f t="shared" si="12"/>
        <v/>
      </c>
      <c r="V457" s="308" t="str">
        <f t="shared" si="13"/>
        <v/>
      </c>
      <c r="W457" s="309" t="str">
        <f t="shared" si="14"/>
        <v/>
      </c>
      <c r="X457" s="309" t="str">
        <f t="shared" si="15"/>
        <v/>
      </c>
      <c r="Y457" s="308" t="str">
        <f t="shared" si="16"/>
        <v/>
      </c>
      <c r="Z457" s="309" t="str">
        <f t="shared" si="17"/>
        <v/>
      </c>
      <c r="AA457" s="312" t="str">
        <f t="shared" si="18"/>
        <v/>
      </c>
      <c r="AB457" s="308" t="str">
        <f t="shared" si="19"/>
        <v/>
      </c>
      <c r="AC457" s="308" t="str">
        <f t="shared" si="20"/>
        <v/>
      </c>
      <c r="AD457" s="312" t="str">
        <f t="shared" si="21"/>
        <v/>
      </c>
      <c r="AE457" s="308" t="str">
        <f t="shared" si="22"/>
        <v/>
      </c>
      <c r="AF457" s="313" t="str">
        <f t="shared" si="23"/>
        <v/>
      </c>
      <c r="AG457" s="304" t="str">
        <f t="shared" si="24"/>
        <v/>
      </c>
      <c r="AH457" s="308" t="str">
        <f t="shared" si="25"/>
        <v/>
      </c>
      <c r="AI457" s="313" t="str">
        <f t="shared" si="26"/>
        <v/>
      </c>
      <c r="AJ457" s="304" t="str">
        <f t="shared" si="27"/>
        <v/>
      </c>
      <c r="AK457" s="308" t="str">
        <f t="shared" si="28"/>
        <v/>
      </c>
      <c r="AL457" s="308" t="str">
        <f t="shared" si="29"/>
        <v/>
      </c>
      <c r="AM457" s="304" t="str">
        <f t="shared" si="30"/>
        <v/>
      </c>
      <c r="AN457" s="308" t="str">
        <f t="shared" si="31"/>
        <v/>
      </c>
      <c r="AO457" s="313" t="str">
        <f t="shared" si="32"/>
        <v/>
      </c>
      <c r="AP457" s="304" t="str">
        <f t="shared" si="33"/>
        <v/>
      </c>
      <c r="AQ457" s="308" t="str">
        <f t="shared" si="34"/>
        <v/>
      </c>
      <c r="AR457" s="313" t="str">
        <f t="shared" si="35"/>
        <v/>
      </c>
      <c r="AS457" s="304" t="str">
        <f t="shared" si="36"/>
        <v/>
      </c>
      <c r="AT457" s="308" t="str">
        <f t="shared" si="37"/>
        <v/>
      </c>
      <c r="AU457" s="308" t="str">
        <f t="shared" si="38"/>
        <v/>
      </c>
      <c r="AV457" s="304" t="str">
        <f t="shared" si="39"/>
        <v/>
      </c>
      <c r="AW457" s="308" t="str">
        <f t="shared" si="40"/>
        <v/>
      </c>
      <c r="AX457" s="308" t="str">
        <f t="shared" si="41"/>
        <v/>
      </c>
      <c r="AY457" s="304" t="str">
        <f t="shared" si="42"/>
        <v/>
      </c>
      <c r="AZ457" s="308" t="str">
        <f t="shared" si="43"/>
        <v/>
      </c>
      <c r="BA457" s="313" t="str">
        <f t="shared" si="44"/>
        <v/>
      </c>
      <c r="BB457" s="304" t="str">
        <f t="shared" si="45"/>
        <v/>
      </c>
      <c r="BC457" s="308" t="str">
        <f t="shared" si="46"/>
        <v/>
      </c>
      <c r="BD457" s="308" t="str">
        <f t="shared" si="47"/>
        <v/>
      </c>
    </row>
    <row r="458">
      <c r="A458" s="298"/>
      <c r="B458" s="299"/>
      <c r="C458" s="300"/>
      <c r="D458" s="301" t="str">
        <f>IFERROR(__xludf.DUMMYFUNCTION("if(ISBLANK(A458),"""",GOOGLEFINANCE(A458,""NAME""))"),"")</f>
        <v/>
      </c>
      <c r="E458" s="302">
        <v>5000.0</v>
      </c>
      <c r="F458" s="303" t="str">
        <f>IFERROR(__xludf.DUMMYFUNCTION("if(ISBLANK(A458),"""",GOOGLEFINANCE(A458,""HIGH52""))"),"")</f>
        <v/>
      </c>
      <c r="G458" s="303" t="str">
        <f>IFERROR(__xludf.DUMMYFUNCTION("if(ISBLANK(A458),"""",GOOGLEFINANCE(A458,""LOW52""))"),"")</f>
        <v/>
      </c>
      <c r="H458" s="304" t="str">
        <f>IFERROR(__xludf.DUMMYFUNCTION("if(ISBLANK(A458),"""",GOOGLEFINANCE(A458,""Price""))"),"")</f>
        <v/>
      </c>
      <c r="I458" s="305" t="str">
        <f t="shared" si="1"/>
        <v/>
      </c>
      <c r="J458" s="306" t="str">
        <f t="shared" si="2"/>
        <v/>
      </c>
      <c r="K458" s="307" t="str">
        <f>IFERROR(__xludf.DUMMYFUNCTION("if(ISBLANK(A458),"""",googlefinance(A458,""Marketcap"")/10000000)"),"")</f>
        <v/>
      </c>
      <c r="L458" s="309" t="str">
        <f t="shared" si="3"/>
        <v/>
      </c>
      <c r="M458" s="308" t="str">
        <f t="shared" si="4"/>
        <v/>
      </c>
      <c r="N458" s="309" t="str">
        <f t="shared" si="5"/>
        <v/>
      </c>
      <c r="O458" s="322" t="str">
        <f t="shared" si="6"/>
        <v/>
      </c>
      <c r="P458" s="308" t="str">
        <f t="shared" si="7"/>
        <v/>
      </c>
      <c r="Q458" s="311" t="str">
        <f t="shared" si="8"/>
        <v/>
      </c>
      <c r="R458" s="309" t="str">
        <f t="shared" si="9"/>
        <v/>
      </c>
      <c r="S458" s="308" t="str">
        <f t="shared" si="10"/>
        <v/>
      </c>
      <c r="T458" s="309" t="str">
        <f t="shared" si="11"/>
        <v/>
      </c>
      <c r="U458" s="309" t="str">
        <f t="shared" si="12"/>
        <v/>
      </c>
      <c r="V458" s="308" t="str">
        <f t="shared" si="13"/>
        <v/>
      </c>
      <c r="W458" s="309" t="str">
        <f t="shared" si="14"/>
        <v/>
      </c>
      <c r="X458" s="309" t="str">
        <f t="shared" si="15"/>
        <v/>
      </c>
      <c r="Y458" s="308" t="str">
        <f t="shared" si="16"/>
        <v/>
      </c>
      <c r="Z458" s="309" t="str">
        <f t="shared" si="17"/>
        <v/>
      </c>
      <c r="AA458" s="312" t="str">
        <f t="shared" si="18"/>
        <v/>
      </c>
      <c r="AB458" s="308" t="str">
        <f t="shared" si="19"/>
        <v/>
      </c>
      <c r="AC458" s="308" t="str">
        <f t="shared" si="20"/>
        <v/>
      </c>
      <c r="AD458" s="312" t="str">
        <f t="shared" si="21"/>
        <v/>
      </c>
      <c r="AE458" s="308" t="str">
        <f t="shared" si="22"/>
        <v/>
      </c>
      <c r="AF458" s="313" t="str">
        <f t="shared" si="23"/>
        <v/>
      </c>
      <c r="AG458" s="304" t="str">
        <f t="shared" si="24"/>
        <v/>
      </c>
      <c r="AH458" s="308" t="str">
        <f t="shared" si="25"/>
        <v/>
      </c>
      <c r="AI458" s="313" t="str">
        <f t="shared" si="26"/>
        <v/>
      </c>
      <c r="AJ458" s="304" t="str">
        <f t="shared" si="27"/>
        <v/>
      </c>
      <c r="AK458" s="308" t="str">
        <f t="shared" si="28"/>
        <v/>
      </c>
      <c r="AL458" s="308" t="str">
        <f t="shared" si="29"/>
        <v/>
      </c>
      <c r="AM458" s="304" t="str">
        <f t="shared" si="30"/>
        <v/>
      </c>
      <c r="AN458" s="308" t="str">
        <f t="shared" si="31"/>
        <v/>
      </c>
      <c r="AO458" s="313" t="str">
        <f t="shared" si="32"/>
        <v/>
      </c>
      <c r="AP458" s="304" t="str">
        <f t="shared" si="33"/>
        <v/>
      </c>
      <c r="AQ458" s="308" t="str">
        <f t="shared" si="34"/>
        <v/>
      </c>
      <c r="AR458" s="313" t="str">
        <f t="shared" si="35"/>
        <v/>
      </c>
      <c r="AS458" s="304" t="str">
        <f t="shared" si="36"/>
        <v/>
      </c>
      <c r="AT458" s="308" t="str">
        <f t="shared" si="37"/>
        <v/>
      </c>
      <c r="AU458" s="308" t="str">
        <f t="shared" si="38"/>
        <v/>
      </c>
      <c r="AV458" s="304" t="str">
        <f t="shared" si="39"/>
        <v/>
      </c>
      <c r="AW458" s="308" t="str">
        <f t="shared" si="40"/>
        <v/>
      </c>
      <c r="AX458" s="308" t="str">
        <f t="shared" si="41"/>
        <v/>
      </c>
      <c r="AY458" s="304" t="str">
        <f t="shared" si="42"/>
        <v/>
      </c>
      <c r="AZ458" s="308" t="str">
        <f t="shared" si="43"/>
        <v/>
      </c>
      <c r="BA458" s="313" t="str">
        <f t="shared" si="44"/>
        <v/>
      </c>
      <c r="BB458" s="304" t="str">
        <f t="shared" si="45"/>
        <v/>
      </c>
      <c r="BC458" s="308" t="str">
        <f t="shared" si="46"/>
        <v/>
      </c>
      <c r="BD458" s="308" t="str">
        <f t="shared" si="47"/>
        <v/>
      </c>
    </row>
    <row r="459">
      <c r="A459" s="298"/>
      <c r="B459" s="299"/>
      <c r="C459" s="300"/>
      <c r="D459" s="301" t="str">
        <f>IFERROR(__xludf.DUMMYFUNCTION("if(ISBLANK(A459),"""",GOOGLEFINANCE(A459,""NAME""))"),"")</f>
        <v/>
      </c>
      <c r="E459" s="302">
        <v>5000.0</v>
      </c>
      <c r="F459" s="303" t="str">
        <f>IFERROR(__xludf.DUMMYFUNCTION("if(ISBLANK(A459),"""",GOOGLEFINANCE(A459,""HIGH52""))"),"")</f>
        <v/>
      </c>
      <c r="G459" s="303" t="str">
        <f>IFERROR(__xludf.DUMMYFUNCTION("if(ISBLANK(A459),"""",GOOGLEFINANCE(A459,""LOW52""))"),"")</f>
        <v/>
      </c>
      <c r="H459" s="304" t="str">
        <f>IFERROR(__xludf.DUMMYFUNCTION("if(ISBLANK(A459),"""",GOOGLEFINANCE(A459,""Price""))"),"")</f>
        <v/>
      </c>
      <c r="I459" s="305" t="str">
        <f t="shared" si="1"/>
        <v/>
      </c>
      <c r="J459" s="306" t="str">
        <f t="shared" si="2"/>
        <v/>
      </c>
      <c r="K459" s="307" t="str">
        <f>IFERROR(__xludf.DUMMYFUNCTION("if(ISBLANK(A459),"""",googlefinance(A459,""Marketcap"")/10000000)"),"")</f>
        <v/>
      </c>
      <c r="L459" s="309" t="str">
        <f t="shared" si="3"/>
        <v/>
      </c>
      <c r="M459" s="308" t="str">
        <f t="shared" si="4"/>
        <v/>
      </c>
      <c r="N459" s="309" t="str">
        <f t="shared" si="5"/>
        <v/>
      </c>
      <c r="O459" s="322" t="str">
        <f t="shared" si="6"/>
        <v/>
      </c>
      <c r="P459" s="308" t="str">
        <f t="shared" si="7"/>
        <v/>
      </c>
      <c r="Q459" s="311" t="str">
        <f t="shared" si="8"/>
        <v/>
      </c>
      <c r="R459" s="309" t="str">
        <f t="shared" si="9"/>
        <v/>
      </c>
      <c r="S459" s="308" t="str">
        <f t="shared" si="10"/>
        <v/>
      </c>
      <c r="T459" s="309" t="str">
        <f t="shared" si="11"/>
        <v/>
      </c>
      <c r="U459" s="309" t="str">
        <f t="shared" si="12"/>
        <v/>
      </c>
      <c r="V459" s="308" t="str">
        <f t="shared" si="13"/>
        <v/>
      </c>
      <c r="W459" s="309" t="str">
        <f t="shared" si="14"/>
        <v/>
      </c>
      <c r="X459" s="309" t="str">
        <f t="shared" si="15"/>
        <v/>
      </c>
      <c r="Y459" s="308" t="str">
        <f t="shared" si="16"/>
        <v/>
      </c>
      <c r="Z459" s="309" t="str">
        <f t="shared" si="17"/>
        <v/>
      </c>
      <c r="AA459" s="312" t="str">
        <f t="shared" si="18"/>
        <v/>
      </c>
      <c r="AB459" s="308" t="str">
        <f t="shared" si="19"/>
        <v/>
      </c>
      <c r="AC459" s="308" t="str">
        <f t="shared" si="20"/>
        <v/>
      </c>
      <c r="AD459" s="312" t="str">
        <f t="shared" si="21"/>
        <v/>
      </c>
      <c r="AE459" s="308" t="str">
        <f t="shared" si="22"/>
        <v/>
      </c>
      <c r="AF459" s="313" t="str">
        <f t="shared" si="23"/>
        <v/>
      </c>
      <c r="AG459" s="304" t="str">
        <f t="shared" si="24"/>
        <v/>
      </c>
      <c r="AH459" s="308" t="str">
        <f t="shared" si="25"/>
        <v/>
      </c>
      <c r="AI459" s="313" t="str">
        <f t="shared" si="26"/>
        <v/>
      </c>
      <c r="AJ459" s="304" t="str">
        <f t="shared" si="27"/>
        <v/>
      </c>
      <c r="AK459" s="308" t="str">
        <f t="shared" si="28"/>
        <v/>
      </c>
      <c r="AL459" s="308" t="str">
        <f t="shared" si="29"/>
        <v/>
      </c>
      <c r="AM459" s="304" t="str">
        <f t="shared" si="30"/>
        <v/>
      </c>
      <c r="AN459" s="308" t="str">
        <f t="shared" si="31"/>
        <v/>
      </c>
      <c r="AO459" s="313" t="str">
        <f t="shared" si="32"/>
        <v/>
      </c>
      <c r="AP459" s="304" t="str">
        <f t="shared" si="33"/>
        <v/>
      </c>
      <c r="AQ459" s="308" t="str">
        <f t="shared" si="34"/>
        <v/>
      </c>
      <c r="AR459" s="313" t="str">
        <f t="shared" si="35"/>
        <v/>
      </c>
      <c r="AS459" s="304" t="str">
        <f t="shared" si="36"/>
        <v/>
      </c>
      <c r="AT459" s="308" t="str">
        <f t="shared" si="37"/>
        <v/>
      </c>
      <c r="AU459" s="308" t="str">
        <f t="shared" si="38"/>
        <v/>
      </c>
      <c r="AV459" s="304" t="str">
        <f t="shared" si="39"/>
        <v/>
      </c>
      <c r="AW459" s="308" t="str">
        <f t="shared" si="40"/>
        <v/>
      </c>
      <c r="AX459" s="308" t="str">
        <f t="shared" si="41"/>
        <v/>
      </c>
      <c r="AY459" s="304" t="str">
        <f t="shared" si="42"/>
        <v/>
      </c>
      <c r="AZ459" s="308" t="str">
        <f t="shared" si="43"/>
        <v/>
      </c>
      <c r="BA459" s="313" t="str">
        <f t="shared" si="44"/>
        <v/>
      </c>
      <c r="BB459" s="304" t="str">
        <f t="shared" si="45"/>
        <v/>
      </c>
      <c r="BC459" s="308" t="str">
        <f t="shared" si="46"/>
        <v/>
      </c>
      <c r="BD459" s="308" t="str">
        <f t="shared" si="47"/>
        <v/>
      </c>
    </row>
    <row r="460">
      <c r="A460" s="298"/>
      <c r="B460" s="299"/>
      <c r="C460" s="300"/>
      <c r="D460" s="301" t="str">
        <f>IFERROR(__xludf.DUMMYFUNCTION("if(ISBLANK(A460),"""",GOOGLEFINANCE(A460,""NAME""))"),"")</f>
        <v/>
      </c>
      <c r="E460" s="302">
        <v>5000.0</v>
      </c>
      <c r="F460" s="303" t="str">
        <f>IFERROR(__xludf.DUMMYFUNCTION("if(ISBLANK(A460),"""",GOOGLEFINANCE(A460,""HIGH52""))"),"")</f>
        <v/>
      </c>
      <c r="G460" s="303" t="str">
        <f>IFERROR(__xludf.DUMMYFUNCTION("if(ISBLANK(A460),"""",GOOGLEFINANCE(A460,""LOW52""))"),"")</f>
        <v/>
      </c>
      <c r="H460" s="304" t="str">
        <f>IFERROR(__xludf.DUMMYFUNCTION("if(ISBLANK(A460),"""",GOOGLEFINANCE(A460,""Price""))"),"")</f>
        <v/>
      </c>
      <c r="I460" s="305" t="str">
        <f t="shared" si="1"/>
        <v/>
      </c>
      <c r="J460" s="306" t="str">
        <f t="shared" si="2"/>
        <v/>
      </c>
      <c r="K460" s="307" t="str">
        <f>IFERROR(__xludf.DUMMYFUNCTION("if(ISBLANK(A460),"""",googlefinance(A460,""Marketcap"")/10000000)"),"")</f>
        <v/>
      </c>
      <c r="L460" s="309" t="str">
        <f t="shared" si="3"/>
        <v/>
      </c>
      <c r="M460" s="308" t="str">
        <f t="shared" si="4"/>
        <v/>
      </c>
      <c r="N460" s="309" t="str">
        <f t="shared" si="5"/>
        <v/>
      </c>
      <c r="O460" s="322" t="str">
        <f t="shared" si="6"/>
        <v/>
      </c>
      <c r="P460" s="308" t="str">
        <f t="shared" si="7"/>
        <v/>
      </c>
      <c r="Q460" s="311" t="str">
        <f t="shared" si="8"/>
        <v/>
      </c>
      <c r="R460" s="309" t="str">
        <f t="shared" si="9"/>
        <v/>
      </c>
      <c r="S460" s="308" t="str">
        <f t="shared" si="10"/>
        <v/>
      </c>
      <c r="T460" s="309" t="str">
        <f t="shared" si="11"/>
        <v/>
      </c>
      <c r="U460" s="309" t="str">
        <f t="shared" si="12"/>
        <v/>
      </c>
      <c r="V460" s="308" t="str">
        <f t="shared" si="13"/>
        <v/>
      </c>
      <c r="W460" s="309" t="str">
        <f t="shared" si="14"/>
        <v/>
      </c>
      <c r="X460" s="309" t="str">
        <f t="shared" si="15"/>
        <v/>
      </c>
      <c r="Y460" s="308" t="str">
        <f t="shared" si="16"/>
        <v/>
      </c>
      <c r="Z460" s="309" t="str">
        <f t="shared" si="17"/>
        <v/>
      </c>
      <c r="AA460" s="312" t="str">
        <f t="shared" si="18"/>
        <v/>
      </c>
      <c r="AB460" s="308" t="str">
        <f t="shared" si="19"/>
        <v/>
      </c>
      <c r="AC460" s="308" t="str">
        <f t="shared" si="20"/>
        <v/>
      </c>
      <c r="AD460" s="312" t="str">
        <f t="shared" si="21"/>
        <v/>
      </c>
      <c r="AE460" s="308" t="str">
        <f t="shared" si="22"/>
        <v/>
      </c>
      <c r="AF460" s="313" t="str">
        <f t="shared" si="23"/>
        <v/>
      </c>
      <c r="AG460" s="304" t="str">
        <f t="shared" si="24"/>
        <v/>
      </c>
      <c r="AH460" s="308" t="str">
        <f t="shared" si="25"/>
        <v/>
      </c>
      <c r="AI460" s="313" t="str">
        <f t="shared" si="26"/>
        <v/>
      </c>
      <c r="AJ460" s="304" t="str">
        <f t="shared" si="27"/>
        <v/>
      </c>
      <c r="AK460" s="308" t="str">
        <f t="shared" si="28"/>
        <v/>
      </c>
      <c r="AL460" s="308" t="str">
        <f t="shared" si="29"/>
        <v/>
      </c>
      <c r="AM460" s="304" t="str">
        <f t="shared" si="30"/>
        <v/>
      </c>
      <c r="AN460" s="308" t="str">
        <f t="shared" si="31"/>
        <v/>
      </c>
      <c r="AO460" s="313" t="str">
        <f t="shared" si="32"/>
        <v/>
      </c>
      <c r="AP460" s="304" t="str">
        <f t="shared" si="33"/>
        <v/>
      </c>
      <c r="AQ460" s="308" t="str">
        <f t="shared" si="34"/>
        <v/>
      </c>
      <c r="AR460" s="313" t="str">
        <f t="shared" si="35"/>
        <v/>
      </c>
      <c r="AS460" s="304" t="str">
        <f t="shared" si="36"/>
        <v/>
      </c>
      <c r="AT460" s="308" t="str">
        <f t="shared" si="37"/>
        <v/>
      </c>
      <c r="AU460" s="308" t="str">
        <f t="shared" si="38"/>
        <v/>
      </c>
      <c r="AV460" s="304" t="str">
        <f t="shared" si="39"/>
        <v/>
      </c>
      <c r="AW460" s="308" t="str">
        <f t="shared" si="40"/>
        <v/>
      </c>
      <c r="AX460" s="308" t="str">
        <f t="shared" si="41"/>
        <v/>
      </c>
      <c r="AY460" s="304" t="str">
        <f t="shared" si="42"/>
        <v/>
      </c>
      <c r="AZ460" s="308" t="str">
        <f t="shared" si="43"/>
        <v/>
      </c>
      <c r="BA460" s="313" t="str">
        <f t="shared" si="44"/>
        <v/>
      </c>
      <c r="BB460" s="304" t="str">
        <f t="shared" si="45"/>
        <v/>
      </c>
      <c r="BC460" s="308" t="str">
        <f t="shared" si="46"/>
        <v/>
      </c>
      <c r="BD460" s="308" t="str">
        <f t="shared" si="47"/>
        <v/>
      </c>
    </row>
    <row r="461">
      <c r="A461" s="298"/>
      <c r="B461" s="299"/>
      <c r="C461" s="300"/>
      <c r="D461" s="301" t="str">
        <f>IFERROR(__xludf.DUMMYFUNCTION("if(ISBLANK(A461),"""",GOOGLEFINANCE(A461,""NAME""))"),"")</f>
        <v/>
      </c>
      <c r="E461" s="302">
        <v>5000.0</v>
      </c>
      <c r="F461" s="303" t="str">
        <f>IFERROR(__xludf.DUMMYFUNCTION("if(ISBLANK(A461),"""",GOOGLEFINANCE(A461,""HIGH52""))"),"")</f>
        <v/>
      </c>
      <c r="G461" s="303" t="str">
        <f>IFERROR(__xludf.DUMMYFUNCTION("if(ISBLANK(A461),"""",GOOGLEFINANCE(A461,""LOW52""))"),"")</f>
        <v/>
      </c>
      <c r="H461" s="304" t="str">
        <f>IFERROR(__xludf.DUMMYFUNCTION("if(ISBLANK(A461),"""",GOOGLEFINANCE(A461,""Price""))"),"")</f>
        <v/>
      </c>
      <c r="I461" s="305" t="str">
        <f t="shared" si="1"/>
        <v/>
      </c>
      <c r="J461" s="306" t="str">
        <f t="shared" si="2"/>
        <v/>
      </c>
      <c r="K461" s="307" t="str">
        <f>IFERROR(__xludf.DUMMYFUNCTION("if(ISBLANK(A461),"""",googlefinance(A461,""Marketcap"")/10000000)"),"")</f>
        <v/>
      </c>
      <c r="L461" s="309" t="str">
        <f t="shared" si="3"/>
        <v/>
      </c>
      <c r="M461" s="308" t="str">
        <f t="shared" si="4"/>
        <v/>
      </c>
      <c r="N461" s="309" t="str">
        <f t="shared" si="5"/>
        <v/>
      </c>
      <c r="O461" s="322" t="str">
        <f t="shared" si="6"/>
        <v/>
      </c>
      <c r="P461" s="308" t="str">
        <f t="shared" si="7"/>
        <v/>
      </c>
      <c r="Q461" s="311" t="str">
        <f t="shared" si="8"/>
        <v/>
      </c>
      <c r="R461" s="309" t="str">
        <f t="shared" si="9"/>
        <v/>
      </c>
      <c r="S461" s="308" t="str">
        <f t="shared" si="10"/>
        <v/>
      </c>
      <c r="T461" s="309" t="str">
        <f t="shared" si="11"/>
        <v/>
      </c>
      <c r="U461" s="309" t="str">
        <f t="shared" si="12"/>
        <v/>
      </c>
      <c r="V461" s="308" t="str">
        <f t="shared" si="13"/>
        <v/>
      </c>
      <c r="W461" s="309" t="str">
        <f t="shared" si="14"/>
        <v/>
      </c>
      <c r="X461" s="309" t="str">
        <f t="shared" si="15"/>
        <v/>
      </c>
      <c r="Y461" s="308" t="str">
        <f t="shared" si="16"/>
        <v/>
      </c>
      <c r="Z461" s="309" t="str">
        <f t="shared" si="17"/>
        <v/>
      </c>
      <c r="AA461" s="312" t="str">
        <f t="shared" si="18"/>
        <v/>
      </c>
      <c r="AB461" s="308" t="str">
        <f t="shared" si="19"/>
        <v/>
      </c>
      <c r="AC461" s="308" t="str">
        <f t="shared" si="20"/>
        <v/>
      </c>
      <c r="AD461" s="312" t="str">
        <f t="shared" si="21"/>
        <v/>
      </c>
      <c r="AE461" s="308" t="str">
        <f t="shared" si="22"/>
        <v/>
      </c>
      <c r="AF461" s="313" t="str">
        <f t="shared" si="23"/>
        <v/>
      </c>
      <c r="AG461" s="304" t="str">
        <f t="shared" si="24"/>
        <v/>
      </c>
      <c r="AH461" s="308" t="str">
        <f t="shared" si="25"/>
        <v/>
      </c>
      <c r="AI461" s="313" t="str">
        <f t="shared" si="26"/>
        <v/>
      </c>
      <c r="AJ461" s="304" t="str">
        <f t="shared" si="27"/>
        <v/>
      </c>
      <c r="AK461" s="308" t="str">
        <f t="shared" si="28"/>
        <v/>
      </c>
      <c r="AL461" s="308" t="str">
        <f t="shared" si="29"/>
        <v/>
      </c>
      <c r="AM461" s="304" t="str">
        <f t="shared" si="30"/>
        <v/>
      </c>
      <c r="AN461" s="308" t="str">
        <f t="shared" si="31"/>
        <v/>
      </c>
      <c r="AO461" s="313" t="str">
        <f t="shared" si="32"/>
        <v/>
      </c>
      <c r="AP461" s="304" t="str">
        <f t="shared" si="33"/>
        <v/>
      </c>
      <c r="AQ461" s="308" t="str">
        <f t="shared" si="34"/>
        <v/>
      </c>
      <c r="AR461" s="313" t="str">
        <f t="shared" si="35"/>
        <v/>
      </c>
      <c r="AS461" s="304" t="str">
        <f t="shared" si="36"/>
        <v/>
      </c>
      <c r="AT461" s="308" t="str">
        <f t="shared" si="37"/>
        <v/>
      </c>
      <c r="AU461" s="308" t="str">
        <f t="shared" si="38"/>
        <v/>
      </c>
      <c r="AV461" s="304" t="str">
        <f t="shared" si="39"/>
        <v/>
      </c>
      <c r="AW461" s="308" t="str">
        <f t="shared" si="40"/>
        <v/>
      </c>
      <c r="AX461" s="308" t="str">
        <f t="shared" si="41"/>
        <v/>
      </c>
      <c r="AY461" s="304" t="str">
        <f t="shared" si="42"/>
        <v/>
      </c>
      <c r="AZ461" s="308" t="str">
        <f t="shared" si="43"/>
        <v/>
      </c>
      <c r="BA461" s="313" t="str">
        <f t="shared" si="44"/>
        <v/>
      </c>
      <c r="BB461" s="304" t="str">
        <f t="shared" si="45"/>
        <v/>
      </c>
      <c r="BC461" s="308" t="str">
        <f t="shared" si="46"/>
        <v/>
      </c>
      <c r="BD461" s="308" t="str">
        <f t="shared" si="47"/>
        <v/>
      </c>
    </row>
    <row r="462">
      <c r="A462" s="298"/>
      <c r="B462" s="299"/>
      <c r="C462" s="300"/>
      <c r="D462" s="301" t="str">
        <f>IFERROR(__xludf.DUMMYFUNCTION("if(ISBLANK(A462),"""",GOOGLEFINANCE(A462,""NAME""))"),"")</f>
        <v/>
      </c>
      <c r="E462" s="302">
        <v>5000.0</v>
      </c>
      <c r="F462" s="303" t="str">
        <f>IFERROR(__xludf.DUMMYFUNCTION("if(ISBLANK(A462),"""",GOOGLEFINANCE(A462,""HIGH52""))"),"")</f>
        <v/>
      </c>
      <c r="G462" s="303" t="str">
        <f>IFERROR(__xludf.DUMMYFUNCTION("if(ISBLANK(A462),"""",GOOGLEFINANCE(A462,""LOW52""))"),"")</f>
        <v/>
      </c>
      <c r="H462" s="304" t="str">
        <f>IFERROR(__xludf.DUMMYFUNCTION("if(ISBLANK(A462),"""",GOOGLEFINANCE(A462,""Price""))"),"")</f>
        <v/>
      </c>
      <c r="I462" s="305" t="str">
        <f t="shared" si="1"/>
        <v/>
      </c>
      <c r="J462" s="306" t="str">
        <f t="shared" si="2"/>
        <v/>
      </c>
      <c r="K462" s="307" t="str">
        <f>IFERROR(__xludf.DUMMYFUNCTION("if(ISBLANK(A462),"""",googlefinance(A462,""Marketcap"")/10000000)"),"")</f>
        <v/>
      </c>
      <c r="L462" s="309" t="str">
        <f t="shared" si="3"/>
        <v/>
      </c>
      <c r="M462" s="308" t="str">
        <f t="shared" si="4"/>
        <v/>
      </c>
      <c r="N462" s="309" t="str">
        <f t="shared" si="5"/>
        <v/>
      </c>
      <c r="O462" s="322" t="str">
        <f t="shared" si="6"/>
        <v/>
      </c>
      <c r="P462" s="308" t="str">
        <f t="shared" si="7"/>
        <v/>
      </c>
      <c r="Q462" s="311" t="str">
        <f t="shared" si="8"/>
        <v/>
      </c>
      <c r="R462" s="309" t="str">
        <f t="shared" si="9"/>
        <v/>
      </c>
      <c r="S462" s="308" t="str">
        <f t="shared" si="10"/>
        <v/>
      </c>
      <c r="T462" s="309" t="str">
        <f t="shared" si="11"/>
        <v/>
      </c>
      <c r="U462" s="309" t="str">
        <f t="shared" si="12"/>
        <v/>
      </c>
      <c r="V462" s="308" t="str">
        <f t="shared" si="13"/>
        <v/>
      </c>
      <c r="W462" s="309" t="str">
        <f t="shared" si="14"/>
        <v/>
      </c>
      <c r="X462" s="309" t="str">
        <f t="shared" si="15"/>
        <v/>
      </c>
      <c r="Y462" s="308" t="str">
        <f t="shared" si="16"/>
        <v/>
      </c>
      <c r="Z462" s="309" t="str">
        <f t="shared" si="17"/>
        <v/>
      </c>
      <c r="AA462" s="312" t="str">
        <f t="shared" si="18"/>
        <v/>
      </c>
      <c r="AB462" s="308" t="str">
        <f t="shared" si="19"/>
        <v/>
      </c>
      <c r="AC462" s="308" t="str">
        <f t="shared" si="20"/>
        <v/>
      </c>
      <c r="AD462" s="312" t="str">
        <f t="shared" si="21"/>
        <v/>
      </c>
      <c r="AE462" s="308" t="str">
        <f t="shared" si="22"/>
        <v/>
      </c>
      <c r="AF462" s="313" t="str">
        <f t="shared" si="23"/>
        <v/>
      </c>
      <c r="AG462" s="304" t="str">
        <f t="shared" si="24"/>
        <v/>
      </c>
      <c r="AH462" s="308" t="str">
        <f t="shared" si="25"/>
        <v/>
      </c>
      <c r="AI462" s="313" t="str">
        <f t="shared" si="26"/>
        <v/>
      </c>
      <c r="AJ462" s="304" t="str">
        <f t="shared" si="27"/>
        <v/>
      </c>
      <c r="AK462" s="308" t="str">
        <f t="shared" si="28"/>
        <v/>
      </c>
      <c r="AL462" s="308" t="str">
        <f t="shared" si="29"/>
        <v/>
      </c>
      <c r="AM462" s="304" t="str">
        <f t="shared" si="30"/>
        <v/>
      </c>
      <c r="AN462" s="308" t="str">
        <f t="shared" si="31"/>
        <v/>
      </c>
      <c r="AO462" s="313" t="str">
        <f t="shared" si="32"/>
        <v/>
      </c>
      <c r="AP462" s="304" t="str">
        <f t="shared" si="33"/>
        <v/>
      </c>
      <c r="AQ462" s="308" t="str">
        <f t="shared" si="34"/>
        <v/>
      </c>
      <c r="AR462" s="313" t="str">
        <f t="shared" si="35"/>
        <v/>
      </c>
      <c r="AS462" s="304" t="str">
        <f t="shared" si="36"/>
        <v/>
      </c>
      <c r="AT462" s="308" t="str">
        <f t="shared" si="37"/>
        <v/>
      </c>
      <c r="AU462" s="308" t="str">
        <f t="shared" si="38"/>
        <v/>
      </c>
      <c r="AV462" s="304" t="str">
        <f t="shared" si="39"/>
        <v/>
      </c>
      <c r="AW462" s="308" t="str">
        <f t="shared" si="40"/>
        <v/>
      </c>
      <c r="AX462" s="308" t="str">
        <f t="shared" si="41"/>
        <v/>
      </c>
      <c r="AY462" s="304" t="str">
        <f t="shared" si="42"/>
        <v/>
      </c>
      <c r="AZ462" s="308" t="str">
        <f t="shared" si="43"/>
        <v/>
      </c>
      <c r="BA462" s="313" t="str">
        <f t="shared" si="44"/>
        <v/>
      </c>
      <c r="BB462" s="304" t="str">
        <f t="shared" si="45"/>
        <v/>
      </c>
      <c r="BC462" s="308" t="str">
        <f t="shared" si="46"/>
        <v/>
      </c>
      <c r="BD462" s="308" t="str">
        <f t="shared" si="47"/>
        <v/>
      </c>
    </row>
    <row r="463">
      <c r="A463" s="298"/>
      <c r="B463" s="299"/>
      <c r="C463" s="300"/>
      <c r="D463" s="301" t="str">
        <f>IFERROR(__xludf.DUMMYFUNCTION("if(ISBLANK(A463),"""",GOOGLEFINANCE(A463,""NAME""))"),"")</f>
        <v/>
      </c>
      <c r="E463" s="302">
        <v>5000.0</v>
      </c>
      <c r="F463" s="303" t="str">
        <f>IFERROR(__xludf.DUMMYFUNCTION("if(ISBLANK(A463),"""",GOOGLEFINANCE(A463,""HIGH52""))"),"")</f>
        <v/>
      </c>
      <c r="G463" s="303" t="str">
        <f>IFERROR(__xludf.DUMMYFUNCTION("if(ISBLANK(A463),"""",GOOGLEFINANCE(A463,""LOW52""))"),"")</f>
        <v/>
      </c>
      <c r="H463" s="304" t="str">
        <f>IFERROR(__xludf.DUMMYFUNCTION("if(ISBLANK(A463),"""",GOOGLEFINANCE(A463,""Price""))"),"")</f>
        <v/>
      </c>
      <c r="I463" s="305" t="str">
        <f t="shared" si="1"/>
        <v/>
      </c>
      <c r="J463" s="306" t="str">
        <f t="shared" si="2"/>
        <v/>
      </c>
      <c r="K463" s="307" t="str">
        <f>IFERROR(__xludf.DUMMYFUNCTION("if(ISBLANK(A463),"""",googlefinance(A463,""Marketcap"")/10000000)"),"")</f>
        <v/>
      </c>
      <c r="L463" s="309" t="str">
        <f t="shared" si="3"/>
        <v/>
      </c>
      <c r="M463" s="308" t="str">
        <f t="shared" si="4"/>
        <v/>
      </c>
      <c r="N463" s="309" t="str">
        <f t="shared" si="5"/>
        <v/>
      </c>
      <c r="O463" s="322" t="str">
        <f t="shared" si="6"/>
        <v/>
      </c>
      <c r="P463" s="308" t="str">
        <f t="shared" si="7"/>
        <v/>
      </c>
      <c r="Q463" s="311" t="str">
        <f t="shared" si="8"/>
        <v/>
      </c>
      <c r="R463" s="309" t="str">
        <f t="shared" si="9"/>
        <v/>
      </c>
      <c r="S463" s="308" t="str">
        <f t="shared" si="10"/>
        <v/>
      </c>
      <c r="T463" s="309" t="str">
        <f t="shared" si="11"/>
        <v/>
      </c>
      <c r="U463" s="309" t="str">
        <f t="shared" si="12"/>
        <v/>
      </c>
      <c r="V463" s="308" t="str">
        <f t="shared" si="13"/>
        <v/>
      </c>
      <c r="W463" s="309" t="str">
        <f t="shared" si="14"/>
        <v/>
      </c>
      <c r="X463" s="309" t="str">
        <f t="shared" si="15"/>
        <v/>
      </c>
      <c r="Y463" s="308" t="str">
        <f t="shared" si="16"/>
        <v/>
      </c>
      <c r="Z463" s="309" t="str">
        <f t="shared" si="17"/>
        <v/>
      </c>
      <c r="AA463" s="312" t="str">
        <f t="shared" si="18"/>
        <v/>
      </c>
      <c r="AB463" s="308" t="str">
        <f t="shared" si="19"/>
        <v/>
      </c>
      <c r="AC463" s="308" t="str">
        <f t="shared" si="20"/>
        <v/>
      </c>
      <c r="AD463" s="312" t="str">
        <f t="shared" si="21"/>
        <v/>
      </c>
      <c r="AE463" s="308" t="str">
        <f t="shared" si="22"/>
        <v/>
      </c>
      <c r="AF463" s="313" t="str">
        <f t="shared" si="23"/>
        <v/>
      </c>
      <c r="AG463" s="304" t="str">
        <f t="shared" si="24"/>
        <v/>
      </c>
      <c r="AH463" s="308" t="str">
        <f t="shared" si="25"/>
        <v/>
      </c>
      <c r="AI463" s="313" t="str">
        <f t="shared" si="26"/>
        <v/>
      </c>
      <c r="AJ463" s="304" t="str">
        <f t="shared" si="27"/>
        <v/>
      </c>
      <c r="AK463" s="308" t="str">
        <f t="shared" si="28"/>
        <v/>
      </c>
      <c r="AL463" s="308" t="str">
        <f t="shared" si="29"/>
        <v/>
      </c>
      <c r="AM463" s="304" t="str">
        <f t="shared" si="30"/>
        <v/>
      </c>
      <c r="AN463" s="308" t="str">
        <f t="shared" si="31"/>
        <v/>
      </c>
      <c r="AO463" s="313" t="str">
        <f t="shared" si="32"/>
        <v/>
      </c>
      <c r="AP463" s="304" t="str">
        <f t="shared" si="33"/>
        <v/>
      </c>
      <c r="AQ463" s="308" t="str">
        <f t="shared" si="34"/>
        <v/>
      </c>
      <c r="AR463" s="313" t="str">
        <f t="shared" si="35"/>
        <v/>
      </c>
      <c r="AS463" s="304" t="str">
        <f t="shared" si="36"/>
        <v/>
      </c>
      <c r="AT463" s="308" t="str">
        <f t="shared" si="37"/>
        <v/>
      </c>
      <c r="AU463" s="308" t="str">
        <f t="shared" si="38"/>
        <v/>
      </c>
      <c r="AV463" s="304" t="str">
        <f t="shared" si="39"/>
        <v/>
      </c>
      <c r="AW463" s="308" t="str">
        <f t="shared" si="40"/>
        <v/>
      </c>
      <c r="AX463" s="308" t="str">
        <f t="shared" si="41"/>
        <v/>
      </c>
      <c r="AY463" s="304" t="str">
        <f t="shared" si="42"/>
        <v/>
      </c>
      <c r="AZ463" s="308" t="str">
        <f t="shared" si="43"/>
        <v/>
      </c>
      <c r="BA463" s="313" t="str">
        <f t="shared" si="44"/>
        <v/>
      </c>
      <c r="BB463" s="304" t="str">
        <f t="shared" si="45"/>
        <v/>
      </c>
      <c r="BC463" s="308" t="str">
        <f t="shared" si="46"/>
        <v/>
      </c>
      <c r="BD463" s="308" t="str">
        <f t="shared" si="47"/>
        <v/>
      </c>
    </row>
    <row r="464">
      <c r="A464" s="298"/>
      <c r="B464" s="299"/>
      <c r="C464" s="300"/>
      <c r="D464" s="301" t="str">
        <f>IFERROR(__xludf.DUMMYFUNCTION("if(ISBLANK(A464),"""",GOOGLEFINANCE(A464,""NAME""))"),"")</f>
        <v/>
      </c>
      <c r="E464" s="302">
        <v>5000.0</v>
      </c>
      <c r="F464" s="303" t="str">
        <f>IFERROR(__xludf.DUMMYFUNCTION("if(ISBLANK(A464),"""",GOOGLEFINANCE(A464,""HIGH52""))"),"")</f>
        <v/>
      </c>
      <c r="G464" s="303" t="str">
        <f>IFERROR(__xludf.DUMMYFUNCTION("if(ISBLANK(A464),"""",GOOGLEFINANCE(A464,""LOW52""))"),"")</f>
        <v/>
      </c>
      <c r="H464" s="304" t="str">
        <f>IFERROR(__xludf.DUMMYFUNCTION("if(ISBLANK(A464),"""",GOOGLEFINANCE(A464,""Price""))"),"")</f>
        <v/>
      </c>
      <c r="I464" s="305" t="str">
        <f t="shared" si="1"/>
        <v/>
      </c>
      <c r="J464" s="306" t="str">
        <f t="shared" si="2"/>
        <v/>
      </c>
      <c r="K464" s="307" t="str">
        <f>IFERROR(__xludf.DUMMYFUNCTION("if(ISBLANK(A464),"""",googlefinance(A464,""Marketcap"")/10000000)"),"")</f>
        <v/>
      </c>
      <c r="L464" s="309" t="str">
        <f t="shared" si="3"/>
        <v/>
      </c>
      <c r="M464" s="308" t="str">
        <f t="shared" si="4"/>
        <v/>
      </c>
      <c r="N464" s="309" t="str">
        <f t="shared" si="5"/>
        <v/>
      </c>
      <c r="O464" s="322" t="str">
        <f t="shared" si="6"/>
        <v/>
      </c>
      <c r="P464" s="308" t="str">
        <f t="shared" si="7"/>
        <v/>
      </c>
      <c r="Q464" s="311" t="str">
        <f t="shared" si="8"/>
        <v/>
      </c>
      <c r="R464" s="309" t="str">
        <f t="shared" si="9"/>
        <v/>
      </c>
      <c r="S464" s="308" t="str">
        <f t="shared" si="10"/>
        <v/>
      </c>
      <c r="T464" s="309" t="str">
        <f t="shared" si="11"/>
        <v/>
      </c>
      <c r="U464" s="309" t="str">
        <f t="shared" si="12"/>
        <v/>
      </c>
      <c r="V464" s="308" t="str">
        <f t="shared" si="13"/>
        <v/>
      </c>
      <c r="W464" s="309" t="str">
        <f t="shared" si="14"/>
        <v/>
      </c>
      <c r="X464" s="309" t="str">
        <f t="shared" si="15"/>
        <v/>
      </c>
      <c r="Y464" s="308" t="str">
        <f t="shared" si="16"/>
        <v/>
      </c>
      <c r="Z464" s="309" t="str">
        <f t="shared" si="17"/>
        <v/>
      </c>
      <c r="AA464" s="312" t="str">
        <f t="shared" si="18"/>
        <v/>
      </c>
      <c r="AB464" s="308" t="str">
        <f t="shared" si="19"/>
        <v/>
      </c>
      <c r="AC464" s="308" t="str">
        <f t="shared" si="20"/>
        <v/>
      </c>
      <c r="AD464" s="312" t="str">
        <f t="shared" si="21"/>
        <v/>
      </c>
      <c r="AE464" s="308" t="str">
        <f t="shared" si="22"/>
        <v/>
      </c>
      <c r="AF464" s="313" t="str">
        <f t="shared" si="23"/>
        <v/>
      </c>
      <c r="AG464" s="304" t="str">
        <f t="shared" si="24"/>
        <v/>
      </c>
      <c r="AH464" s="308" t="str">
        <f t="shared" si="25"/>
        <v/>
      </c>
      <c r="AI464" s="313" t="str">
        <f t="shared" si="26"/>
        <v/>
      </c>
      <c r="AJ464" s="304" t="str">
        <f t="shared" si="27"/>
        <v/>
      </c>
      <c r="AK464" s="308" t="str">
        <f t="shared" si="28"/>
        <v/>
      </c>
      <c r="AL464" s="308" t="str">
        <f t="shared" si="29"/>
        <v/>
      </c>
      <c r="AM464" s="304" t="str">
        <f t="shared" si="30"/>
        <v/>
      </c>
      <c r="AN464" s="308" t="str">
        <f t="shared" si="31"/>
        <v/>
      </c>
      <c r="AO464" s="313" t="str">
        <f t="shared" si="32"/>
        <v/>
      </c>
      <c r="AP464" s="304" t="str">
        <f t="shared" si="33"/>
        <v/>
      </c>
      <c r="AQ464" s="308" t="str">
        <f t="shared" si="34"/>
        <v/>
      </c>
      <c r="AR464" s="313" t="str">
        <f t="shared" si="35"/>
        <v/>
      </c>
      <c r="AS464" s="304" t="str">
        <f t="shared" si="36"/>
        <v/>
      </c>
      <c r="AT464" s="308" t="str">
        <f t="shared" si="37"/>
        <v/>
      </c>
      <c r="AU464" s="308" t="str">
        <f t="shared" si="38"/>
        <v/>
      </c>
      <c r="AV464" s="304" t="str">
        <f t="shared" si="39"/>
        <v/>
      </c>
      <c r="AW464" s="308" t="str">
        <f t="shared" si="40"/>
        <v/>
      </c>
      <c r="AX464" s="308" t="str">
        <f t="shared" si="41"/>
        <v/>
      </c>
      <c r="AY464" s="304" t="str">
        <f t="shared" si="42"/>
        <v/>
      </c>
      <c r="AZ464" s="308" t="str">
        <f t="shared" si="43"/>
        <v/>
      </c>
      <c r="BA464" s="313" t="str">
        <f t="shared" si="44"/>
        <v/>
      </c>
      <c r="BB464" s="304" t="str">
        <f t="shared" si="45"/>
        <v/>
      </c>
      <c r="BC464" s="308" t="str">
        <f t="shared" si="46"/>
        <v/>
      </c>
      <c r="BD464" s="308" t="str">
        <f t="shared" si="47"/>
        <v/>
      </c>
    </row>
    <row r="465">
      <c r="A465" s="298"/>
      <c r="B465" s="299"/>
      <c r="C465" s="300"/>
      <c r="D465" s="301" t="str">
        <f>IFERROR(__xludf.DUMMYFUNCTION("if(ISBLANK(A465),"""",GOOGLEFINANCE(A465,""NAME""))"),"")</f>
        <v/>
      </c>
      <c r="E465" s="302">
        <v>5000.0</v>
      </c>
      <c r="F465" s="303" t="str">
        <f>IFERROR(__xludf.DUMMYFUNCTION("if(ISBLANK(A465),"""",GOOGLEFINANCE(A465,""HIGH52""))"),"")</f>
        <v/>
      </c>
      <c r="G465" s="303" t="str">
        <f>IFERROR(__xludf.DUMMYFUNCTION("if(ISBLANK(A465),"""",GOOGLEFINANCE(A465,""LOW52""))"),"")</f>
        <v/>
      </c>
      <c r="H465" s="304" t="str">
        <f>IFERROR(__xludf.DUMMYFUNCTION("if(ISBLANK(A465),"""",GOOGLEFINANCE(A465,""Price""))"),"")</f>
        <v/>
      </c>
      <c r="I465" s="305" t="str">
        <f t="shared" si="1"/>
        <v/>
      </c>
      <c r="J465" s="306" t="str">
        <f t="shared" si="2"/>
        <v/>
      </c>
      <c r="K465" s="307" t="str">
        <f>IFERROR(__xludf.DUMMYFUNCTION("if(ISBLANK(A465),"""",googlefinance(A465,""Marketcap"")/10000000)"),"")</f>
        <v/>
      </c>
      <c r="L465" s="309" t="str">
        <f t="shared" si="3"/>
        <v/>
      </c>
      <c r="M465" s="308" t="str">
        <f t="shared" si="4"/>
        <v/>
      </c>
      <c r="N465" s="309" t="str">
        <f t="shared" si="5"/>
        <v/>
      </c>
      <c r="O465" s="322" t="str">
        <f t="shared" si="6"/>
        <v/>
      </c>
      <c r="P465" s="308" t="str">
        <f t="shared" si="7"/>
        <v/>
      </c>
      <c r="Q465" s="311" t="str">
        <f t="shared" si="8"/>
        <v/>
      </c>
      <c r="R465" s="309" t="str">
        <f t="shared" si="9"/>
        <v/>
      </c>
      <c r="S465" s="308" t="str">
        <f t="shared" si="10"/>
        <v/>
      </c>
      <c r="T465" s="309" t="str">
        <f t="shared" si="11"/>
        <v/>
      </c>
      <c r="U465" s="309" t="str">
        <f t="shared" si="12"/>
        <v/>
      </c>
      <c r="V465" s="308" t="str">
        <f t="shared" si="13"/>
        <v/>
      </c>
      <c r="W465" s="309" t="str">
        <f t="shared" si="14"/>
        <v/>
      </c>
      <c r="X465" s="309" t="str">
        <f t="shared" si="15"/>
        <v/>
      </c>
      <c r="Y465" s="308" t="str">
        <f t="shared" si="16"/>
        <v/>
      </c>
      <c r="Z465" s="309" t="str">
        <f t="shared" si="17"/>
        <v/>
      </c>
      <c r="AA465" s="312" t="str">
        <f t="shared" si="18"/>
        <v/>
      </c>
      <c r="AB465" s="308" t="str">
        <f t="shared" si="19"/>
        <v/>
      </c>
      <c r="AC465" s="308" t="str">
        <f t="shared" si="20"/>
        <v/>
      </c>
      <c r="AD465" s="312" t="str">
        <f t="shared" si="21"/>
        <v/>
      </c>
      <c r="AE465" s="308" t="str">
        <f t="shared" si="22"/>
        <v/>
      </c>
      <c r="AF465" s="313" t="str">
        <f t="shared" si="23"/>
        <v/>
      </c>
      <c r="AG465" s="304" t="str">
        <f t="shared" si="24"/>
        <v/>
      </c>
      <c r="AH465" s="308" t="str">
        <f t="shared" si="25"/>
        <v/>
      </c>
      <c r="AI465" s="313" t="str">
        <f t="shared" si="26"/>
        <v/>
      </c>
      <c r="AJ465" s="304" t="str">
        <f t="shared" si="27"/>
        <v/>
      </c>
      <c r="AK465" s="308" t="str">
        <f t="shared" si="28"/>
        <v/>
      </c>
      <c r="AL465" s="308" t="str">
        <f t="shared" si="29"/>
        <v/>
      </c>
      <c r="AM465" s="304" t="str">
        <f t="shared" si="30"/>
        <v/>
      </c>
      <c r="AN465" s="308" t="str">
        <f t="shared" si="31"/>
        <v/>
      </c>
      <c r="AO465" s="313" t="str">
        <f t="shared" si="32"/>
        <v/>
      </c>
      <c r="AP465" s="304" t="str">
        <f t="shared" si="33"/>
        <v/>
      </c>
      <c r="AQ465" s="308" t="str">
        <f t="shared" si="34"/>
        <v/>
      </c>
      <c r="AR465" s="313" t="str">
        <f t="shared" si="35"/>
        <v/>
      </c>
      <c r="AS465" s="304" t="str">
        <f t="shared" si="36"/>
        <v/>
      </c>
      <c r="AT465" s="308" t="str">
        <f t="shared" si="37"/>
        <v/>
      </c>
      <c r="AU465" s="308" t="str">
        <f t="shared" si="38"/>
        <v/>
      </c>
      <c r="AV465" s="304" t="str">
        <f t="shared" si="39"/>
        <v/>
      </c>
      <c r="AW465" s="308" t="str">
        <f t="shared" si="40"/>
        <v/>
      </c>
      <c r="AX465" s="308" t="str">
        <f t="shared" si="41"/>
        <v/>
      </c>
      <c r="AY465" s="304" t="str">
        <f t="shared" si="42"/>
        <v/>
      </c>
      <c r="AZ465" s="308" t="str">
        <f t="shared" si="43"/>
        <v/>
      </c>
      <c r="BA465" s="313" t="str">
        <f t="shared" si="44"/>
        <v/>
      </c>
      <c r="BB465" s="304" t="str">
        <f t="shared" si="45"/>
        <v/>
      </c>
      <c r="BC465" s="308" t="str">
        <f t="shared" si="46"/>
        <v/>
      </c>
      <c r="BD465" s="308" t="str">
        <f t="shared" si="47"/>
        <v/>
      </c>
    </row>
    <row r="466">
      <c r="A466" s="298"/>
      <c r="B466" s="299"/>
      <c r="C466" s="300"/>
      <c r="D466" s="301" t="str">
        <f>IFERROR(__xludf.DUMMYFUNCTION("if(ISBLANK(A466),"""",GOOGLEFINANCE(A466,""NAME""))"),"")</f>
        <v/>
      </c>
      <c r="E466" s="302">
        <v>5000.0</v>
      </c>
      <c r="F466" s="303" t="str">
        <f>IFERROR(__xludf.DUMMYFUNCTION("if(ISBLANK(A466),"""",GOOGLEFINANCE(A466,""HIGH52""))"),"")</f>
        <v/>
      </c>
      <c r="G466" s="303" t="str">
        <f>IFERROR(__xludf.DUMMYFUNCTION("if(ISBLANK(A466),"""",GOOGLEFINANCE(A466,""LOW52""))"),"")</f>
        <v/>
      </c>
      <c r="H466" s="304" t="str">
        <f>IFERROR(__xludf.DUMMYFUNCTION("if(ISBLANK(A466),"""",GOOGLEFINANCE(A466,""Price""))"),"")</f>
        <v/>
      </c>
      <c r="I466" s="305" t="str">
        <f t="shared" si="1"/>
        <v/>
      </c>
      <c r="J466" s="306" t="str">
        <f t="shared" si="2"/>
        <v/>
      </c>
      <c r="K466" s="307" t="str">
        <f>IFERROR(__xludf.DUMMYFUNCTION("if(ISBLANK(A466),"""",googlefinance(A466,""Marketcap"")/10000000)"),"")</f>
        <v/>
      </c>
      <c r="L466" s="309" t="str">
        <f t="shared" si="3"/>
        <v/>
      </c>
      <c r="M466" s="308" t="str">
        <f t="shared" si="4"/>
        <v/>
      </c>
      <c r="N466" s="309" t="str">
        <f t="shared" si="5"/>
        <v/>
      </c>
      <c r="O466" s="322" t="str">
        <f t="shared" si="6"/>
        <v/>
      </c>
      <c r="P466" s="308" t="str">
        <f t="shared" si="7"/>
        <v/>
      </c>
      <c r="Q466" s="311" t="str">
        <f t="shared" si="8"/>
        <v/>
      </c>
      <c r="R466" s="309" t="str">
        <f t="shared" si="9"/>
        <v/>
      </c>
      <c r="S466" s="308" t="str">
        <f t="shared" si="10"/>
        <v/>
      </c>
      <c r="T466" s="309" t="str">
        <f t="shared" si="11"/>
        <v/>
      </c>
      <c r="U466" s="309" t="str">
        <f t="shared" si="12"/>
        <v/>
      </c>
      <c r="V466" s="308" t="str">
        <f t="shared" si="13"/>
        <v/>
      </c>
      <c r="W466" s="309" t="str">
        <f t="shared" si="14"/>
        <v/>
      </c>
      <c r="X466" s="309" t="str">
        <f t="shared" si="15"/>
        <v/>
      </c>
      <c r="Y466" s="308" t="str">
        <f t="shared" si="16"/>
        <v/>
      </c>
      <c r="Z466" s="309" t="str">
        <f t="shared" si="17"/>
        <v/>
      </c>
      <c r="AA466" s="312" t="str">
        <f t="shared" si="18"/>
        <v/>
      </c>
      <c r="AB466" s="308" t="str">
        <f t="shared" si="19"/>
        <v/>
      </c>
      <c r="AC466" s="308" t="str">
        <f t="shared" si="20"/>
        <v/>
      </c>
      <c r="AD466" s="312" t="str">
        <f t="shared" si="21"/>
        <v/>
      </c>
      <c r="AE466" s="308" t="str">
        <f t="shared" si="22"/>
        <v/>
      </c>
      <c r="AF466" s="313" t="str">
        <f t="shared" si="23"/>
        <v/>
      </c>
      <c r="AG466" s="304" t="str">
        <f t="shared" si="24"/>
        <v/>
      </c>
      <c r="AH466" s="308" t="str">
        <f t="shared" si="25"/>
        <v/>
      </c>
      <c r="AI466" s="313" t="str">
        <f t="shared" si="26"/>
        <v/>
      </c>
      <c r="AJ466" s="304" t="str">
        <f t="shared" si="27"/>
        <v/>
      </c>
      <c r="AK466" s="308" t="str">
        <f t="shared" si="28"/>
        <v/>
      </c>
      <c r="AL466" s="308" t="str">
        <f t="shared" si="29"/>
        <v/>
      </c>
      <c r="AM466" s="304" t="str">
        <f t="shared" si="30"/>
        <v/>
      </c>
      <c r="AN466" s="308" t="str">
        <f t="shared" si="31"/>
        <v/>
      </c>
      <c r="AO466" s="313" t="str">
        <f t="shared" si="32"/>
        <v/>
      </c>
      <c r="AP466" s="304" t="str">
        <f t="shared" si="33"/>
        <v/>
      </c>
      <c r="AQ466" s="308" t="str">
        <f t="shared" si="34"/>
        <v/>
      </c>
      <c r="AR466" s="313" t="str">
        <f t="shared" si="35"/>
        <v/>
      </c>
      <c r="AS466" s="304" t="str">
        <f t="shared" si="36"/>
        <v/>
      </c>
      <c r="AT466" s="308" t="str">
        <f t="shared" si="37"/>
        <v/>
      </c>
      <c r="AU466" s="308" t="str">
        <f t="shared" si="38"/>
        <v/>
      </c>
      <c r="AV466" s="304" t="str">
        <f t="shared" si="39"/>
        <v/>
      </c>
      <c r="AW466" s="308" t="str">
        <f t="shared" si="40"/>
        <v/>
      </c>
      <c r="AX466" s="308" t="str">
        <f t="shared" si="41"/>
        <v/>
      </c>
      <c r="AY466" s="304" t="str">
        <f t="shared" si="42"/>
        <v/>
      </c>
      <c r="AZ466" s="308" t="str">
        <f t="shared" si="43"/>
        <v/>
      </c>
      <c r="BA466" s="313" t="str">
        <f t="shared" si="44"/>
        <v/>
      </c>
      <c r="BB466" s="304" t="str">
        <f t="shared" si="45"/>
        <v/>
      </c>
      <c r="BC466" s="308" t="str">
        <f t="shared" si="46"/>
        <v/>
      </c>
      <c r="BD466" s="308" t="str">
        <f t="shared" si="47"/>
        <v/>
      </c>
    </row>
    <row r="467">
      <c r="A467" s="298"/>
      <c r="B467" s="299"/>
      <c r="C467" s="300"/>
      <c r="D467" s="301" t="str">
        <f>IFERROR(__xludf.DUMMYFUNCTION("if(ISBLANK(A467),"""",GOOGLEFINANCE(A467,""NAME""))"),"")</f>
        <v/>
      </c>
      <c r="E467" s="302">
        <v>5000.0</v>
      </c>
      <c r="F467" s="303" t="str">
        <f>IFERROR(__xludf.DUMMYFUNCTION("if(ISBLANK(A467),"""",GOOGLEFINANCE(A467,""HIGH52""))"),"")</f>
        <v/>
      </c>
      <c r="G467" s="303" t="str">
        <f>IFERROR(__xludf.DUMMYFUNCTION("if(ISBLANK(A467),"""",GOOGLEFINANCE(A467,""LOW52""))"),"")</f>
        <v/>
      </c>
      <c r="H467" s="304" t="str">
        <f>IFERROR(__xludf.DUMMYFUNCTION("if(ISBLANK(A467),"""",GOOGLEFINANCE(A467,""Price""))"),"")</f>
        <v/>
      </c>
      <c r="I467" s="305" t="str">
        <f t="shared" si="1"/>
        <v/>
      </c>
      <c r="J467" s="306" t="str">
        <f t="shared" si="2"/>
        <v/>
      </c>
      <c r="K467" s="307" t="str">
        <f>IFERROR(__xludf.DUMMYFUNCTION("if(ISBLANK(A467),"""",googlefinance(A467,""Marketcap"")/10000000)"),"")</f>
        <v/>
      </c>
      <c r="L467" s="309" t="str">
        <f t="shared" si="3"/>
        <v/>
      </c>
      <c r="M467" s="308" t="str">
        <f t="shared" si="4"/>
        <v/>
      </c>
      <c r="N467" s="309" t="str">
        <f t="shared" si="5"/>
        <v/>
      </c>
      <c r="O467" s="322" t="str">
        <f t="shared" si="6"/>
        <v/>
      </c>
      <c r="P467" s="308" t="str">
        <f t="shared" si="7"/>
        <v/>
      </c>
      <c r="Q467" s="311" t="str">
        <f t="shared" si="8"/>
        <v/>
      </c>
      <c r="R467" s="309" t="str">
        <f t="shared" si="9"/>
        <v/>
      </c>
      <c r="S467" s="308" t="str">
        <f t="shared" si="10"/>
        <v/>
      </c>
      <c r="T467" s="309" t="str">
        <f t="shared" si="11"/>
        <v/>
      </c>
      <c r="U467" s="309" t="str">
        <f t="shared" si="12"/>
        <v/>
      </c>
      <c r="V467" s="308" t="str">
        <f t="shared" si="13"/>
        <v/>
      </c>
      <c r="W467" s="309" t="str">
        <f t="shared" si="14"/>
        <v/>
      </c>
      <c r="X467" s="309" t="str">
        <f t="shared" si="15"/>
        <v/>
      </c>
      <c r="Y467" s="308" t="str">
        <f t="shared" si="16"/>
        <v/>
      </c>
      <c r="Z467" s="309" t="str">
        <f t="shared" si="17"/>
        <v/>
      </c>
      <c r="AA467" s="312" t="str">
        <f t="shared" si="18"/>
        <v/>
      </c>
      <c r="AB467" s="308" t="str">
        <f t="shared" si="19"/>
        <v/>
      </c>
      <c r="AC467" s="308" t="str">
        <f t="shared" si="20"/>
        <v/>
      </c>
      <c r="AD467" s="312" t="str">
        <f t="shared" si="21"/>
        <v/>
      </c>
      <c r="AE467" s="308" t="str">
        <f t="shared" si="22"/>
        <v/>
      </c>
      <c r="AF467" s="313" t="str">
        <f t="shared" si="23"/>
        <v/>
      </c>
      <c r="AG467" s="304" t="str">
        <f t="shared" si="24"/>
        <v/>
      </c>
      <c r="AH467" s="308" t="str">
        <f t="shared" si="25"/>
        <v/>
      </c>
      <c r="AI467" s="313" t="str">
        <f t="shared" si="26"/>
        <v/>
      </c>
      <c r="AJ467" s="304" t="str">
        <f t="shared" si="27"/>
        <v/>
      </c>
      <c r="AK467" s="308" t="str">
        <f t="shared" si="28"/>
        <v/>
      </c>
      <c r="AL467" s="308" t="str">
        <f t="shared" si="29"/>
        <v/>
      </c>
      <c r="AM467" s="304" t="str">
        <f t="shared" si="30"/>
        <v/>
      </c>
      <c r="AN467" s="308" t="str">
        <f t="shared" si="31"/>
        <v/>
      </c>
      <c r="AO467" s="313" t="str">
        <f t="shared" si="32"/>
        <v/>
      </c>
      <c r="AP467" s="304" t="str">
        <f t="shared" si="33"/>
        <v/>
      </c>
      <c r="AQ467" s="308" t="str">
        <f t="shared" si="34"/>
        <v/>
      </c>
      <c r="AR467" s="313" t="str">
        <f t="shared" si="35"/>
        <v/>
      </c>
      <c r="AS467" s="304" t="str">
        <f t="shared" si="36"/>
        <v/>
      </c>
      <c r="AT467" s="308" t="str">
        <f t="shared" si="37"/>
        <v/>
      </c>
      <c r="AU467" s="308" t="str">
        <f t="shared" si="38"/>
        <v/>
      </c>
      <c r="AV467" s="304" t="str">
        <f t="shared" si="39"/>
        <v/>
      </c>
      <c r="AW467" s="308" t="str">
        <f t="shared" si="40"/>
        <v/>
      </c>
      <c r="AX467" s="308" t="str">
        <f t="shared" si="41"/>
        <v/>
      </c>
      <c r="AY467" s="304" t="str">
        <f t="shared" si="42"/>
        <v/>
      </c>
      <c r="AZ467" s="308" t="str">
        <f t="shared" si="43"/>
        <v/>
      </c>
      <c r="BA467" s="313" t="str">
        <f t="shared" si="44"/>
        <v/>
      </c>
      <c r="BB467" s="304" t="str">
        <f t="shared" si="45"/>
        <v/>
      </c>
      <c r="BC467" s="308" t="str">
        <f t="shared" si="46"/>
        <v/>
      </c>
      <c r="BD467" s="308" t="str">
        <f t="shared" si="47"/>
        <v/>
      </c>
    </row>
    <row r="468">
      <c r="A468" s="298"/>
      <c r="B468" s="299"/>
      <c r="C468" s="300"/>
      <c r="D468" s="301" t="str">
        <f>IFERROR(__xludf.DUMMYFUNCTION("if(ISBLANK(A468),"""",GOOGLEFINANCE(A468,""NAME""))"),"")</f>
        <v/>
      </c>
      <c r="E468" s="302">
        <v>5000.0</v>
      </c>
      <c r="F468" s="303" t="str">
        <f>IFERROR(__xludf.DUMMYFUNCTION("if(ISBLANK(A468),"""",GOOGLEFINANCE(A468,""HIGH52""))"),"")</f>
        <v/>
      </c>
      <c r="G468" s="303" t="str">
        <f>IFERROR(__xludf.DUMMYFUNCTION("if(ISBLANK(A468),"""",GOOGLEFINANCE(A468,""LOW52""))"),"")</f>
        <v/>
      </c>
      <c r="H468" s="304" t="str">
        <f>IFERROR(__xludf.DUMMYFUNCTION("if(ISBLANK(A468),"""",GOOGLEFINANCE(A468,""Price""))"),"")</f>
        <v/>
      </c>
      <c r="I468" s="305" t="str">
        <f t="shared" si="1"/>
        <v/>
      </c>
      <c r="J468" s="306" t="str">
        <f t="shared" si="2"/>
        <v/>
      </c>
      <c r="K468" s="307" t="str">
        <f>IFERROR(__xludf.DUMMYFUNCTION("if(ISBLANK(A468),"""",googlefinance(A468,""Marketcap"")/10000000)"),"")</f>
        <v/>
      </c>
      <c r="L468" s="309" t="str">
        <f t="shared" si="3"/>
        <v/>
      </c>
      <c r="M468" s="308" t="str">
        <f t="shared" si="4"/>
        <v/>
      </c>
      <c r="N468" s="309" t="str">
        <f t="shared" si="5"/>
        <v/>
      </c>
      <c r="O468" s="322" t="str">
        <f t="shared" si="6"/>
        <v/>
      </c>
      <c r="P468" s="308" t="str">
        <f t="shared" si="7"/>
        <v/>
      </c>
      <c r="Q468" s="311" t="str">
        <f t="shared" si="8"/>
        <v/>
      </c>
      <c r="R468" s="309" t="str">
        <f t="shared" si="9"/>
        <v/>
      </c>
      <c r="S468" s="308" t="str">
        <f t="shared" si="10"/>
        <v/>
      </c>
      <c r="T468" s="309" t="str">
        <f t="shared" si="11"/>
        <v/>
      </c>
      <c r="U468" s="309" t="str">
        <f t="shared" si="12"/>
        <v/>
      </c>
      <c r="V468" s="308" t="str">
        <f t="shared" si="13"/>
        <v/>
      </c>
      <c r="W468" s="309" t="str">
        <f t="shared" si="14"/>
        <v/>
      </c>
      <c r="X468" s="309" t="str">
        <f t="shared" si="15"/>
        <v/>
      </c>
      <c r="Y468" s="308" t="str">
        <f t="shared" si="16"/>
        <v/>
      </c>
      <c r="Z468" s="309" t="str">
        <f t="shared" si="17"/>
        <v/>
      </c>
      <c r="AA468" s="312" t="str">
        <f t="shared" si="18"/>
        <v/>
      </c>
      <c r="AB468" s="308" t="str">
        <f t="shared" si="19"/>
        <v/>
      </c>
      <c r="AC468" s="308" t="str">
        <f t="shared" si="20"/>
        <v/>
      </c>
      <c r="AD468" s="312" t="str">
        <f t="shared" si="21"/>
        <v/>
      </c>
      <c r="AE468" s="308" t="str">
        <f t="shared" si="22"/>
        <v/>
      </c>
      <c r="AF468" s="313" t="str">
        <f t="shared" si="23"/>
        <v/>
      </c>
      <c r="AG468" s="304" t="str">
        <f t="shared" si="24"/>
        <v/>
      </c>
      <c r="AH468" s="308" t="str">
        <f t="shared" si="25"/>
        <v/>
      </c>
      <c r="AI468" s="313" t="str">
        <f t="shared" si="26"/>
        <v/>
      </c>
      <c r="AJ468" s="304" t="str">
        <f t="shared" si="27"/>
        <v/>
      </c>
      <c r="AK468" s="308" t="str">
        <f t="shared" si="28"/>
        <v/>
      </c>
      <c r="AL468" s="308" t="str">
        <f t="shared" si="29"/>
        <v/>
      </c>
      <c r="AM468" s="304" t="str">
        <f t="shared" si="30"/>
        <v/>
      </c>
      <c r="AN468" s="308" t="str">
        <f t="shared" si="31"/>
        <v/>
      </c>
      <c r="AO468" s="313" t="str">
        <f t="shared" si="32"/>
        <v/>
      </c>
      <c r="AP468" s="304" t="str">
        <f t="shared" si="33"/>
        <v/>
      </c>
      <c r="AQ468" s="308" t="str">
        <f t="shared" si="34"/>
        <v/>
      </c>
      <c r="AR468" s="313" t="str">
        <f t="shared" si="35"/>
        <v/>
      </c>
      <c r="AS468" s="304" t="str">
        <f t="shared" si="36"/>
        <v/>
      </c>
      <c r="AT468" s="308" t="str">
        <f t="shared" si="37"/>
        <v/>
      </c>
      <c r="AU468" s="308" t="str">
        <f t="shared" si="38"/>
        <v/>
      </c>
      <c r="AV468" s="304" t="str">
        <f t="shared" si="39"/>
        <v/>
      </c>
      <c r="AW468" s="308" t="str">
        <f t="shared" si="40"/>
        <v/>
      </c>
      <c r="AX468" s="308" t="str">
        <f t="shared" si="41"/>
        <v/>
      </c>
      <c r="AY468" s="304" t="str">
        <f t="shared" si="42"/>
        <v/>
      </c>
      <c r="AZ468" s="308" t="str">
        <f t="shared" si="43"/>
        <v/>
      </c>
      <c r="BA468" s="313" t="str">
        <f t="shared" si="44"/>
        <v/>
      </c>
      <c r="BB468" s="304" t="str">
        <f t="shared" si="45"/>
        <v/>
      </c>
      <c r="BC468" s="308" t="str">
        <f t="shared" si="46"/>
        <v/>
      </c>
      <c r="BD468" s="308" t="str">
        <f t="shared" si="47"/>
        <v/>
      </c>
    </row>
    <row r="469">
      <c r="A469" s="298"/>
      <c r="B469" s="299"/>
      <c r="C469" s="300"/>
      <c r="D469" s="301" t="str">
        <f>IFERROR(__xludf.DUMMYFUNCTION("if(ISBLANK(A469),"""",GOOGLEFINANCE(A469,""NAME""))"),"")</f>
        <v/>
      </c>
      <c r="E469" s="302">
        <v>5000.0</v>
      </c>
      <c r="F469" s="303" t="str">
        <f>IFERROR(__xludf.DUMMYFUNCTION("if(ISBLANK(A469),"""",GOOGLEFINANCE(A469,""HIGH52""))"),"")</f>
        <v/>
      </c>
      <c r="G469" s="303" t="str">
        <f>IFERROR(__xludf.DUMMYFUNCTION("if(ISBLANK(A469),"""",GOOGLEFINANCE(A469,""LOW52""))"),"")</f>
        <v/>
      </c>
      <c r="H469" s="304" t="str">
        <f>IFERROR(__xludf.DUMMYFUNCTION("if(ISBLANK(A469),"""",GOOGLEFINANCE(A469,""Price""))"),"")</f>
        <v/>
      </c>
      <c r="I469" s="305" t="str">
        <f t="shared" si="1"/>
        <v/>
      </c>
      <c r="J469" s="306" t="str">
        <f t="shared" si="2"/>
        <v/>
      </c>
      <c r="K469" s="307" t="str">
        <f>IFERROR(__xludf.DUMMYFUNCTION("if(ISBLANK(A469),"""",googlefinance(A469,""Marketcap"")/10000000)"),"")</f>
        <v/>
      </c>
      <c r="L469" s="309" t="str">
        <f t="shared" si="3"/>
        <v/>
      </c>
      <c r="M469" s="308" t="str">
        <f t="shared" si="4"/>
        <v/>
      </c>
      <c r="N469" s="309" t="str">
        <f t="shared" si="5"/>
        <v/>
      </c>
      <c r="O469" s="322" t="str">
        <f t="shared" si="6"/>
        <v/>
      </c>
      <c r="P469" s="308" t="str">
        <f t="shared" si="7"/>
        <v/>
      </c>
      <c r="Q469" s="311" t="str">
        <f t="shared" si="8"/>
        <v/>
      </c>
      <c r="R469" s="309" t="str">
        <f t="shared" si="9"/>
        <v/>
      </c>
      <c r="S469" s="308" t="str">
        <f t="shared" si="10"/>
        <v/>
      </c>
      <c r="T469" s="309" t="str">
        <f t="shared" si="11"/>
        <v/>
      </c>
      <c r="U469" s="309" t="str">
        <f t="shared" si="12"/>
        <v/>
      </c>
      <c r="V469" s="308" t="str">
        <f t="shared" si="13"/>
        <v/>
      </c>
      <c r="W469" s="309" t="str">
        <f t="shared" si="14"/>
        <v/>
      </c>
      <c r="X469" s="309" t="str">
        <f t="shared" si="15"/>
        <v/>
      </c>
      <c r="Y469" s="308" t="str">
        <f t="shared" si="16"/>
        <v/>
      </c>
      <c r="Z469" s="309" t="str">
        <f t="shared" si="17"/>
        <v/>
      </c>
      <c r="AA469" s="312" t="str">
        <f t="shared" si="18"/>
        <v/>
      </c>
      <c r="AB469" s="308" t="str">
        <f t="shared" si="19"/>
        <v/>
      </c>
      <c r="AC469" s="308" t="str">
        <f t="shared" si="20"/>
        <v/>
      </c>
      <c r="AD469" s="312" t="str">
        <f t="shared" si="21"/>
        <v/>
      </c>
      <c r="AE469" s="308" t="str">
        <f t="shared" si="22"/>
        <v/>
      </c>
      <c r="AF469" s="313" t="str">
        <f t="shared" si="23"/>
        <v/>
      </c>
      <c r="AG469" s="304" t="str">
        <f t="shared" si="24"/>
        <v/>
      </c>
      <c r="AH469" s="308" t="str">
        <f t="shared" si="25"/>
        <v/>
      </c>
      <c r="AI469" s="313" t="str">
        <f t="shared" si="26"/>
        <v/>
      </c>
      <c r="AJ469" s="304" t="str">
        <f t="shared" si="27"/>
        <v/>
      </c>
      <c r="AK469" s="308" t="str">
        <f t="shared" si="28"/>
        <v/>
      </c>
      <c r="AL469" s="308" t="str">
        <f t="shared" si="29"/>
        <v/>
      </c>
      <c r="AM469" s="304" t="str">
        <f t="shared" si="30"/>
        <v/>
      </c>
      <c r="AN469" s="308" t="str">
        <f t="shared" si="31"/>
        <v/>
      </c>
      <c r="AO469" s="313" t="str">
        <f t="shared" si="32"/>
        <v/>
      </c>
      <c r="AP469" s="304" t="str">
        <f t="shared" si="33"/>
        <v/>
      </c>
      <c r="AQ469" s="308" t="str">
        <f t="shared" si="34"/>
        <v/>
      </c>
      <c r="AR469" s="313" t="str">
        <f t="shared" si="35"/>
        <v/>
      </c>
      <c r="AS469" s="304" t="str">
        <f t="shared" si="36"/>
        <v/>
      </c>
      <c r="AT469" s="308" t="str">
        <f t="shared" si="37"/>
        <v/>
      </c>
      <c r="AU469" s="308" t="str">
        <f t="shared" si="38"/>
        <v/>
      </c>
      <c r="AV469" s="304" t="str">
        <f t="shared" si="39"/>
        <v/>
      </c>
      <c r="AW469" s="308" t="str">
        <f t="shared" si="40"/>
        <v/>
      </c>
      <c r="AX469" s="308" t="str">
        <f t="shared" si="41"/>
        <v/>
      </c>
      <c r="AY469" s="304" t="str">
        <f t="shared" si="42"/>
        <v/>
      </c>
      <c r="AZ469" s="308" t="str">
        <f t="shared" si="43"/>
        <v/>
      </c>
      <c r="BA469" s="313" t="str">
        <f t="shared" si="44"/>
        <v/>
      </c>
      <c r="BB469" s="304" t="str">
        <f t="shared" si="45"/>
        <v/>
      </c>
      <c r="BC469" s="308" t="str">
        <f t="shared" si="46"/>
        <v/>
      </c>
      <c r="BD469" s="308" t="str">
        <f t="shared" si="47"/>
        <v/>
      </c>
    </row>
    <row r="470">
      <c r="A470" s="298"/>
      <c r="B470" s="299"/>
      <c r="C470" s="300"/>
      <c r="D470" s="301" t="str">
        <f>IFERROR(__xludf.DUMMYFUNCTION("if(ISBLANK(A470),"""",GOOGLEFINANCE(A470,""NAME""))"),"")</f>
        <v/>
      </c>
      <c r="E470" s="302">
        <v>5000.0</v>
      </c>
      <c r="F470" s="303" t="str">
        <f>IFERROR(__xludf.DUMMYFUNCTION("if(ISBLANK(A470),"""",GOOGLEFINANCE(A470,""HIGH52""))"),"")</f>
        <v/>
      </c>
      <c r="G470" s="303" t="str">
        <f>IFERROR(__xludf.DUMMYFUNCTION("if(ISBLANK(A470),"""",GOOGLEFINANCE(A470,""LOW52""))"),"")</f>
        <v/>
      </c>
      <c r="H470" s="304" t="str">
        <f>IFERROR(__xludf.DUMMYFUNCTION("if(ISBLANK(A470),"""",GOOGLEFINANCE(A470,""Price""))"),"")</f>
        <v/>
      </c>
      <c r="I470" s="305" t="str">
        <f t="shared" si="1"/>
        <v/>
      </c>
      <c r="J470" s="306" t="str">
        <f t="shared" si="2"/>
        <v/>
      </c>
      <c r="K470" s="307" t="str">
        <f>IFERROR(__xludf.DUMMYFUNCTION("if(ISBLANK(A470),"""",googlefinance(A470,""Marketcap"")/10000000)"),"")</f>
        <v/>
      </c>
      <c r="L470" s="309" t="str">
        <f t="shared" si="3"/>
        <v/>
      </c>
      <c r="M470" s="308" t="str">
        <f t="shared" si="4"/>
        <v/>
      </c>
      <c r="N470" s="309" t="str">
        <f t="shared" si="5"/>
        <v/>
      </c>
      <c r="O470" s="322" t="str">
        <f t="shared" si="6"/>
        <v/>
      </c>
      <c r="P470" s="308" t="str">
        <f t="shared" si="7"/>
        <v/>
      </c>
      <c r="Q470" s="311" t="str">
        <f t="shared" si="8"/>
        <v/>
      </c>
      <c r="R470" s="309" t="str">
        <f t="shared" si="9"/>
        <v/>
      </c>
      <c r="S470" s="308" t="str">
        <f t="shared" si="10"/>
        <v/>
      </c>
      <c r="T470" s="309" t="str">
        <f t="shared" si="11"/>
        <v/>
      </c>
      <c r="U470" s="309" t="str">
        <f t="shared" si="12"/>
        <v/>
      </c>
      <c r="V470" s="308" t="str">
        <f t="shared" si="13"/>
        <v/>
      </c>
      <c r="W470" s="309" t="str">
        <f t="shared" si="14"/>
        <v/>
      </c>
      <c r="X470" s="309" t="str">
        <f t="shared" si="15"/>
        <v/>
      </c>
      <c r="Y470" s="308" t="str">
        <f t="shared" si="16"/>
        <v/>
      </c>
      <c r="Z470" s="309" t="str">
        <f t="shared" si="17"/>
        <v/>
      </c>
      <c r="AA470" s="312" t="str">
        <f t="shared" si="18"/>
        <v/>
      </c>
      <c r="AB470" s="308" t="str">
        <f t="shared" si="19"/>
        <v/>
      </c>
      <c r="AC470" s="308" t="str">
        <f t="shared" si="20"/>
        <v/>
      </c>
      <c r="AD470" s="312" t="str">
        <f t="shared" si="21"/>
        <v/>
      </c>
      <c r="AE470" s="308" t="str">
        <f t="shared" si="22"/>
        <v/>
      </c>
      <c r="AF470" s="313" t="str">
        <f t="shared" si="23"/>
        <v/>
      </c>
      <c r="AG470" s="304" t="str">
        <f t="shared" si="24"/>
        <v/>
      </c>
      <c r="AH470" s="308" t="str">
        <f t="shared" si="25"/>
        <v/>
      </c>
      <c r="AI470" s="313" t="str">
        <f t="shared" si="26"/>
        <v/>
      </c>
      <c r="AJ470" s="304" t="str">
        <f t="shared" si="27"/>
        <v/>
      </c>
      <c r="AK470" s="308" t="str">
        <f t="shared" si="28"/>
        <v/>
      </c>
      <c r="AL470" s="308" t="str">
        <f t="shared" si="29"/>
        <v/>
      </c>
      <c r="AM470" s="304" t="str">
        <f t="shared" si="30"/>
        <v/>
      </c>
      <c r="AN470" s="308" t="str">
        <f t="shared" si="31"/>
        <v/>
      </c>
      <c r="AO470" s="313" t="str">
        <f t="shared" si="32"/>
        <v/>
      </c>
      <c r="AP470" s="304" t="str">
        <f t="shared" si="33"/>
        <v/>
      </c>
      <c r="AQ470" s="308" t="str">
        <f t="shared" si="34"/>
        <v/>
      </c>
      <c r="AR470" s="313" t="str">
        <f t="shared" si="35"/>
        <v/>
      </c>
      <c r="AS470" s="304" t="str">
        <f t="shared" si="36"/>
        <v/>
      </c>
      <c r="AT470" s="308" t="str">
        <f t="shared" si="37"/>
        <v/>
      </c>
      <c r="AU470" s="308" t="str">
        <f t="shared" si="38"/>
        <v/>
      </c>
      <c r="AV470" s="304" t="str">
        <f t="shared" si="39"/>
        <v/>
      </c>
      <c r="AW470" s="308" t="str">
        <f t="shared" si="40"/>
        <v/>
      </c>
      <c r="AX470" s="308" t="str">
        <f t="shared" si="41"/>
        <v/>
      </c>
      <c r="AY470" s="304" t="str">
        <f t="shared" si="42"/>
        <v/>
      </c>
      <c r="AZ470" s="308" t="str">
        <f t="shared" si="43"/>
        <v/>
      </c>
      <c r="BA470" s="313" t="str">
        <f t="shared" si="44"/>
        <v/>
      </c>
      <c r="BB470" s="304" t="str">
        <f t="shared" si="45"/>
        <v/>
      </c>
      <c r="BC470" s="308" t="str">
        <f t="shared" si="46"/>
        <v/>
      </c>
      <c r="BD470" s="308" t="str">
        <f t="shared" si="47"/>
        <v/>
      </c>
    </row>
    <row r="471">
      <c r="A471" s="298"/>
      <c r="B471" s="299"/>
      <c r="C471" s="300"/>
      <c r="D471" s="301" t="str">
        <f>IFERROR(__xludf.DUMMYFUNCTION("if(ISBLANK(A471),"""",GOOGLEFINANCE(A471,""NAME""))"),"")</f>
        <v/>
      </c>
      <c r="E471" s="302">
        <v>5000.0</v>
      </c>
      <c r="F471" s="303" t="str">
        <f>IFERROR(__xludf.DUMMYFUNCTION("if(ISBLANK(A471),"""",GOOGLEFINANCE(A471,""HIGH52""))"),"")</f>
        <v/>
      </c>
      <c r="G471" s="303" t="str">
        <f>IFERROR(__xludf.DUMMYFUNCTION("if(ISBLANK(A471),"""",GOOGLEFINANCE(A471,""LOW52""))"),"")</f>
        <v/>
      </c>
      <c r="H471" s="304" t="str">
        <f>IFERROR(__xludf.DUMMYFUNCTION("if(ISBLANK(A471),"""",GOOGLEFINANCE(A471,""Price""))"),"")</f>
        <v/>
      </c>
      <c r="I471" s="305" t="str">
        <f t="shared" si="1"/>
        <v/>
      </c>
      <c r="J471" s="306" t="str">
        <f t="shared" si="2"/>
        <v/>
      </c>
      <c r="K471" s="307" t="str">
        <f>IFERROR(__xludf.DUMMYFUNCTION("if(ISBLANK(A471),"""",googlefinance(A471,""Marketcap"")/10000000)"),"")</f>
        <v/>
      </c>
      <c r="L471" s="309" t="str">
        <f t="shared" si="3"/>
        <v/>
      </c>
      <c r="M471" s="308" t="str">
        <f t="shared" si="4"/>
        <v/>
      </c>
      <c r="N471" s="309" t="str">
        <f t="shared" si="5"/>
        <v/>
      </c>
      <c r="O471" s="322" t="str">
        <f t="shared" si="6"/>
        <v/>
      </c>
      <c r="P471" s="308" t="str">
        <f t="shared" si="7"/>
        <v/>
      </c>
      <c r="Q471" s="311" t="str">
        <f t="shared" si="8"/>
        <v/>
      </c>
      <c r="R471" s="309" t="str">
        <f t="shared" si="9"/>
        <v/>
      </c>
      <c r="S471" s="308" t="str">
        <f t="shared" si="10"/>
        <v/>
      </c>
      <c r="T471" s="309" t="str">
        <f t="shared" si="11"/>
        <v/>
      </c>
      <c r="U471" s="309" t="str">
        <f t="shared" si="12"/>
        <v/>
      </c>
      <c r="V471" s="308" t="str">
        <f t="shared" si="13"/>
        <v/>
      </c>
      <c r="W471" s="309" t="str">
        <f t="shared" si="14"/>
        <v/>
      </c>
      <c r="X471" s="309" t="str">
        <f t="shared" si="15"/>
        <v/>
      </c>
      <c r="Y471" s="308" t="str">
        <f t="shared" si="16"/>
        <v/>
      </c>
      <c r="Z471" s="309" t="str">
        <f t="shared" si="17"/>
        <v/>
      </c>
      <c r="AA471" s="312" t="str">
        <f t="shared" si="18"/>
        <v/>
      </c>
      <c r="AB471" s="308" t="str">
        <f t="shared" si="19"/>
        <v/>
      </c>
      <c r="AC471" s="308" t="str">
        <f t="shared" si="20"/>
        <v/>
      </c>
      <c r="AD471" s="312" t="str">
        <f t="shared" si="21"/>
        <v/>
      </c>
      <c r="AE471" s="308" t="str">
        <f t="shared" si="22"/>
        <v/>
      </c>
      <c r="AF471" s="313" t="str">
        <f t="shared" si="23"/>
        <v/>
      </c>
      <c r="AG471" s="304" t="str">
        <f t="shared" si="24"/>
        <v/>
      </c>
      <c r="AH471" s="308" t="str">
        <f t="shared" si="25"/>
        <v/>
      </c>
      <c r="AI471" s="313" t="str">
        <f t="shared" si="26"/>
        <v/>
      </c>
      <c r="AJ471" s="304" t="str">
        <f t="shared" si="27"/>
        <v/>
      </c>
      <c r="AK471" s="308" t="str">
        <f t="shared" si="28"/>
        <v/>
      </c>
      <c r="AL471" s="308" t="str">
        <f t="shared" si="29"/>
        <v/>
      </c>
      <c r="AM471" s="304" t="str">
        <f t="shared" si="30"/>
        <v/>
      </c>
      <c r="AN471" s="308" t="str">
        <f t="shared" si="31"/>
        <v/>
      </c>
      <c r="AO471" s="313" t="str">
        <f t="shared" si="32"/>
        <v/>
      </c>
      <c r="AP471" s="304" t="str">
        <f t="shared" si="33"/>
        <v/>
      </c>
      <c r="AQ471" s="308" t="str">
        <f t="shared" si="34"/>
        <v/>
      </c>
      <c r="AR471" s="313" t="str">
        <f t="shared" si="35"/>
        <v/>
      </c>
      <c r="AS471" s="304" t="str">
        <f t="shared" si="36"/>
        <v/>
      </c>
      <c r="AT471" s="308" t="str">
        <f t="shared" si="37"/>
        <v/>
      </c>
      <c r="AU471" s="308" t="str">
        <f t="shared" si="38"/>
        <v/>
      </c>
      <c r="AV471" s="304" t="str">
        <f t="shared" si="39"/>
        <v/>
      </c>
      <c r="AW471" s="308" t="str">
        <f t="shared" si="40"/>
        <v/>
      </c>
      <c r="AX471" s="308" t="str">
        <f t="shared" si="41"/>
        <v/>
      </c>
      <c r="AY471" s="304" t="str">
        <f t="shared" si="42"/>
        <v/>
      </c>
      <c r="AZ471" s="308" t="str">
        <f t="shared" si="43"/>
        <v/>
      </c>
      <c r="BA471" s="313" t="str">
        <f t="shared" si="44"/>
        <v/>
      </c>
      <c r="BB471" s="304" t="str">
        <f t="shared" si="45"/>
        <v/>
      </c>
      <c r="BC471" s="308" t="str">
        <f t="shared" si="46"/>
        <v/>
      </c>
      <c r="BD471" s="308" t="str">
        <f t="shared" si="47"/>
        <v/>
      </c>
    </row>
    <row r="472">
      <c r="A472" s="298"/>
      <c r="B472" s="299"/>
      <c r="C472" s="300"/>
      <c r="D472" s="301" t="str">
        <f>IFERROR(__xludf.DUMMYFUNCTION("if(ISBLANK(A472),"""",GOOGLEFINANCE(A472,""NAME""))"),"")</f>
        <v/>
      </c>
      <c r="E472" s="302">
        <v>5000.0</v>
      </c>
      <c r="F472" s="303" t="str">
        <f>IFERROR(__xludf.DUMMYFUNCTION("if(ISBLANK(A472),"""",GOOGLEFINANCE(A472,""HIGH52""))"),"")</f>
        <v/>
      </c>
      <c r="G472" s="303" t="str">
        <f>IFERROR(__xludf.DUMMYFUNCTION("if(ISBLANK(A472),"""",GOOGLEFINANCE(A472,""LOW52""))"),"")</f>
        <v/>
      </c>
      <c r="H472" s="304" t="str">
        <f>IFERROR(__xludf.DUMMYFUNCTION("if(ISBLANK(A472),"""",GOOGLEFINANCE(A472,""Price""))"),"")</f>
        <v/>
      </c>
      <c r="I472" s="305" t="str">
        <f t="shared" si="1"/>
        <v/>
      </c>
      <c r="J472" s="306" t="str">
        <f t="shared" si="2"/>
        <v/>
      </c>
      <c r="K472" s="307" t="str">
        <f>IFERROR(__xludf.DUMMYFUNCTION("if(ISBLANK(A472),"""",googlefinance(A472,""Marketcap"")/10000000)"),"")</f>
        <v/>
      </c>
      <c r="L472" s="309" t="str">
        <f t="shared" si="3"/>
        <v/>
      </c>
      <c r="M472" s="308" t="str">
        <f t="shared" si="4"/>
        <v/>
      </c>
      <c r="N472" s="309" t="str">
        <f t="shared" si="5"/>
        <v/>
      </c>
      <c r="O472" s="322" t="str">
        <f t="shared" si="6"/>
        <v/>
      </c>
      <c r="P472" s="308" t="str">
        <f t="shared" si="7"/>
        <v/>
      </c>
      <c r="Q472" s="311" t="str">
        <f t="shared" si="8"/>
        <v/>
      </c>
      <c r="R472" s="309" t="str">
        <f t="shared" si="9"/>
        <v/>
      </c>
      <c r="S472" s="308" t="str">
        <f t="shared" si="10"/>
        <v/>
      </c>
      <c r="T472" s="309" t="str">
        <f t="shared" si="11"/>
        <v/>
      </c>
      <c r="U472" s="309" t="str">
        <f t="shared" si="12"/>
        <v/>
      </c>
      <c r="V472" s="308" t="str">
        <f t="shared" si="13"/>
        <v/>
      </c>
      <c r="W472" s="309" t="str">
        <f t="shared" si="14"/>
        <v/>
      </c>
      <c r="X472" s="309" t="str">
        <f t="shared" si="15"/>
        <v/>
      </c>
      <c r="Y472" s="308" t="str">
        <f t="shared" si="16"/>
        <v/>
      </c>
      <c r="Z472" s="309" t="str">
        <f t="shared" si="17"/>
        <v/>
      </c>
      <c r="AA472" s="312" t="str">
        <f t="shared" si="18"/>
        <v/>
      </c>
      <c r="AB472" s="308" t="str">
        <f t="shared" si="19"/>
        <v/>
      </c>
      <c r="AC472" s="308" t="str">
        <f t="shared" si="20"/>
        <v/>
      </c>
      <c r="AD472" s="312" t="str">
        <f t="shared" si="21"/>
        <v/>
      </c>
      <c r="AE472" s="308" t="str">
        <f t="shared" si="22"/>
        <v/>
      </c>
      <c r="AF472" s="313" t="str">
        <f t="shared" si="23"/>
        <v/>
      </c>
      <c r="AG472" s="304" t="str">
        <f t="shared" si="24"/>
        <v/>
      </c>
      <c r="AH472" s="308" t="str">
        <f t="shared" si="25"/>
        <v/>
      </c>
      <c r="AI472" s="313" t="str">
        <f t="shared" si="26"/>
        <v/>
      </c>
      <c r="AJ472" s="304" t="str">
        <f t="shared" si="27"/>
        <v/>
      </c>
      <c r="AK472" s="308" t="str">
        <f t="shared" si="28"/>
        <v/>
      </c>
      <c r="AL472" s="308" t="str">
        <f t="shared" si="29"/>
        <v/>
      </c>
      <c r="AM472" s="304" t="str">
        <f t="shared" si="30"/>
        <v/>
      </c>
      <c r="AN472" s="308" t="str">
        <f t="shared" si="31"/>
        <v/>
      </c>
      <c r="AO472" s="313" t="str">
        <f t="shared" si="32"/>
        <v/>
      </c>
      <c r="AP472" s="304" t="str">
        <f t="shared" si="33"/>
        <v/>
      </c>
      <c r="AQ472" s="308" t="str">
        <f t="shared" si="34"/>
        <v/>
      </c>
      <c r="AR472" s="313" t="str">
        <f t="shared" si="35"/>
        <v/>
      </c>
      <c r="AS472" s="304" t="str">
        <f t="shared" si="36"/>
        <v/>
      </c>
      <c r="AT472" s="308" t="str">
        <f t="shared" si="37"/>
        <v/>
      </c>
      <c r="AU472" s="308" t="str">
        <f t="shared" si="38"/>
        <v/>
      </c>
      <c r="AV472" s="304" t="str">
        <f t="shared" si="39"/>
        <v/>
      </c>
      <c r="AW472" s="308" t="str">
        <f t="shared" si="40"/>
        <v/>
      </c>
      <c r="AX472" s="308" t="str">
        <f t="shared" si="41"/>
        <v/>
      </c>
      <c r="AY472" s="304" t="str">
        <f t="shared" si="42"/>
        <v/>
      </c>
      <c r="AZ472" s="308" t="str">
        <f t="shared" si="43"/>
        <v/>
      </c>
      <c r="BA472" s="313" t="str">
        <f t="shared" si="44"/>
        <v/>
      </c>
      <c r="BB472" s="304" t="str">
        <f t="shared" si="45"/>
        <v/>
      </c>
      <c r="BC472" s="308" t="str">
        <f t="shared" si="46"/>
        <v/>
      </c>
      <c r="BD472" s="308" t="str">
        <f t="shared" si="47"/>
        <v/>
      </c>
    </row>
    <row r="473">
      <c r="A473" s="298"/>
      <c r="B473" s="299"/>
      <c r="C473" s="300"/>
      <c r="D473" s="301" t="str">
        <f>IFERROR(__xludf.DUMMYFUNCTION("if(ISBLANK(A473),"""",GOOGLEFINANCE(A473,""NAME""))"),"")</f>
        <v/>
      </c>
      <c r="E473" s="302">
        <v>5000.0</v>
      </c>
      <c r="F473" s="303" t="str">
        <f>IFERROR(__xludf.DUMMYFUNCTION("if(ISBLANK(A473),"""",GOOGLEFINANCE(A473,""HIGH52""))"),"")</f>
        <v/>
      </c>
      <c r="G473" s="303" t="str">
        <f>IFERROR(__xludf.DUMMYFUNCTION("if(ISBLANK(A473),"""",GOOGLEFINANCE(A473,""LOW52""))"),"")</f>
        <v/>
      </c>
      <c r="H473" s="304" t="str">
        <f>IFERROR(__xludf.DUMMYFUNCTION("if(ISBLANK(A473),"""",GOOGLEFINANCE(A473,""Price""))"),"")</f>
        <v/>
      </c>
      <c r="I473" s="305" t="str">
        <f t="shared" si="1"/>
        <v/>
      </c>
      <c r="J473" s="306" t="str">
        <f t="shared" si="2"/>
        <v/>
      </c>
      <c r="K473" s="307" t="str">
        <f>IFERROR(__xludf.DUMMYFUNCTION("if(ISBLANK(A473),"""",googlefinance(A473,""Marketcap"")/10000000)"),"")</f>
        <v/>
      </c>
      <c r="L473" s="309" t="str">
        <f t="shared" si="3"/>
        <v/>
      </c>
      <c r="M473" s="308" t="str">
        <f t="shared" si="4"/>
        <v/>
      </c>
      <c r="N473" s="309" t="str">
        <f t="shared" si="5"/>
        <v/>
      </c>
      <c r="O473" s="322" t="str">
        <f t="shared" si="6"/>
        <v/>
      </c>
      <c r="P473" s="308" t="str">
        <f t="shared" si="7"/>
        <v/>
      </c>
      <c r="Q473" s="311" t="str">
        <f t="shared" si="8"/>
        <v/>
      </c>
      <c r="R473" s="309" t="str">
        <f t="shared" si="9"/>
        <v/>
      </c>
      <c r="S473" s="308" t="str">
        <f t="shared" si="10"/>
        <v/>
      </c>
      <c r="T473" s="309" t="str">
        <f t="shared" si="11"/>
        <v/>
      </c>
      <c r="U473" s="309" t="str">
        <f t="shared" si="12"/>
        <v/>
      </c>
      <c r="V473" s="308" t="str">
        <f t="shared" si="13"/>
        <v/>
      </c>
      <c r="W473" s="309" t="str">
        <f t="shared" si="14"/>
        <v/>
      </c>
      <c r="X473" s="309" t="str">
        <f t="shared" si="15"/>
        <v/>
      </c>
      <c r="Y473" s="308" t="str">
        <f t="shared" si="16"/>
        <v/>
      </c>
      <c r="Z473" s="309" t="str">
        <f t="shared" si="17"/>
        <v/>
      </c>
      <c r="AA473" s="312" t="str">
        <f t="shared" si="18"/>
        <v/>
      </c>
      <c r="AB473" s="308" t="str">
        <f t="shared" si="19"/>
        <v/>
      </c>
      <c r="AC473" s="308" t="str">
        <f t="shared" si="20"/>
        <v/>
      </c>
      <c r="AD473" s="312" t="str">
        <f t="shared" si="21"/>
        <v/>
      </c>
      <c r="AE473" s="308" t="str">
        <f t="shared" si="22"/>
        <v/>
      </c>
      <c r="AF473" s="313" t="str">
        <f t="shared" si="23"/>
        <v/>
      </c>
      <c r="AG473" s="304" t="str">
        <f t="shared" si="24"/>
        <v/>
      </c>
      <c r="AH473" s="308" t="str">
        <f t="shared" si="25"/>
        <v/>
      </c>
      <c r="AI473" s="313" t="str">
        <f t="shared" si="26"/>
        <v/>
      </c>
      <c r="AJ473" s="304" t="str">
        <f t="shared" si="27"/>
        <v/>
      </c>
      <c r="AK473" s="308" t="str">
        <f t="shared" si="28"/>
        <v/>
      </c>
      <c r="AL473" s="308" t="str">
        <f t="shared" si="29"/>
        <v/>
      </c>
      <c r="AM473" s="304" t="str">
        <f t="shared" si="30"/>
        <v/>
      </c>
      <c r="AN473" s="308" t="str">
        <f t="shared" si="31"/>
        <v/>
      </c>
      <c r="AO473" s="313" t="str">
        <f t="shared" si="32"/>
        <v/>
      </c>
      <c r="AP473" s="304" t="str">
        <f t="shared" si="33"/>
        <v/>
      </c>
      <c r="AQ473" s="308" t="str">
        <f t="shared" si="34"/>
        <v/>
      </c>
      <c r="AR473" s="313" t="str">
        <f t="shared" si="35"/>
        <v/>
      </c>
      <c r="AS473" s="304" t="str">
        <f t="shared" si="36"/>
        <v/>
      </c>
      <c r="AT473" s="308" t="str">
        <f t="shared" si="37"/>
        <v/>
      </c>
      <c r="AU473" s="308" t="str">
        <f t="shared" si="38"/>
        <v/>
      </c>
      <c r="AV473" s="304" t="str">
        <f t="shared" si="39"/>
        <v/>
      </c>
      <c r="AW473" s="308" t="str">
        <f t="shared" si="40"/>
        <v/>
      </c>
      <c r="AX473" s="308" t="str">
        <f t="shared" si="41"/>
        <v/>
      </c>
      <c r="AY473" s="304" t="str">
        <f t="shared" si="42"/>
        <v/>
      </c>
      <c r="AZ473" s="308" t="str">
        <f t="shared" si="43"/>
        <v/>
      </c>
      <c r="BA473" s="313" t="str">
        <f t="shared" si="44"/>
        <v/>
      </c>
      <c r="BB473" s="304" t="str">
        <f t="shared" si="45"/>
        <v/>
      </c>
      <c r="BC473" s="308" t="str">
        <f t="shared" si="46"/>
        <v/>
      </c>
      <c r="BD473" s="308" t="str">
        <f t="shared" si="47"/>
        <v/>
      </c>
    </row>
    <row r="474">
      <c r="A474" s="298"/>
      <c r="B474" s="299"/>
      <c r="C474" s="300"/>
      <c r="D474" s="301" t="str">
        <f>IFERROR(__xludf.DUMMYFUNCTION("if(ISBLANK(A474),"""",GOOGLEFINANCE(A474,""NAME""))"),"")</f>
        <v/>
      </c>
      <c r="E474" s="302">
        <v>5000.0</v>
      </c>
      <c r="F474" s="303" t="str">
        <f>IFERROR(__xludf.DUMMYFUNCTION("if(ISBLANK(A474),"""",GOOGLEFINANCE(A474,""HIGH52""))"),"")</f>
        <v/>
      </c>
      <c r="G474" s="303" t="str">
        <f>IFERROR(__xludf.DUMMYFUNCTION("if(ISBLANK(A474),"""",GOOGLEFINANCE(A474,""LOW52""))"),"")</f>
        <v/>
      </c>
      <c r="H474" s="304" t="str">
        <f>IFERROR(__xludf.DUMMYFUNCTION("if(ISBLANK(A474),"""",GOOGLEFINANCE(A474,""Price""))"),"")</f>
        <v/>
      </c>
      <c r="I474" s="305" t="str">
        <f t="shared" si="1"/>
        <v/>
      </c>
      <c r="J474" s="306" t="str">
        <f t="shared" si="2"/>
        <v/>
      </c>
      <c r="K474" s="307" t="str">
        <f>IFERROR(__xludf.DUMMYFUNCTION("if(ISBLANK(A474),"""",googlefinance(A474,""Marketcap"")/10000000)"),"")</f>
        <v/>
      </c>
      <c r="L474" s="309" t="str">
        <f t="shared" si="3"/>
        <v/>
      </c>
      <c r="M474" s="308" t="str">
        <f t="shared" si="4"/>
        <v/>
      </c>
      <c r="N474" s="309" t="str">
        <f t="shared" si="5"/>
        <v/>
      </c>
      <c r="O474" s="322" t="str">
        <f t="shared" si="6"/>
        <v/>
      </c>
      <c r="P474" s="308" t="str">
        <f t="shared" si="7"/>
        <v/>
      </c>
      <c r="Q474" s="311" t="str">
        <f t="shared" si="8"/>
        <v/>
      </c>
      <c r="R474" s="309" t="str">
        <f t="shared" si="9"/>
        <v/>
      </c>
      <c r="S474" s="308" t="str">
        <f t="shared" si="10"/>
        <v/>
      </c>
      <c r="T474" s="309" t="str">
        <f t="shared" si="11"/>
        <v/>
      </c>
      <c r="U474" s="309" t="str">
        <f t="shared" si="12"/>
        <v/>
      </c>
      <c r="V474" s="308" t="str">
        <f t="shared" si="13"/>
        <v/>
      </c>
      <c r="W474" s="309" t="str">
        <f t="shared" si="14"/>
        <v/>
      </c>
      <c r="X474" s="309" t="str">
        <f t="shared" si="15"/>
        <v/>
      </c>
      <c r="Y474" s="308" t="str">
        <f t="shared" si="16"/>
        <v/>
      </c>
      <c r="Z474" s="309" t="str">
        <f t="shared" si="17"/>
        <v/>
      </c>
      <c r="AA474" s="312" t="str">
        <f t="shared" si="18"/>
        <v/>
      </c>
      <c r="AB474" s="308" t="str">
        <f t="shared" si="19"/>
        <v/>
      </c>
      <c r="AC474" s="308" t="str">
        <f t="shared" si="20"/>
        <v/>
      </c>
      <c r="AD474" s="312" t="str">
        <f t="shared" si="21"/>
        <v/>
      </c>
      <c r="AE474" s="308" t="str">
        <f t="shared" si="22"/>
        <v/>
      </c>
      <c r="AF474" s="313" t="str">
        <f t="shared" si="23"/>
        <v/>
      </c>
      <c r="AG474" s="304" t="str">
        <f t="shared" si="24"/>
        <v/>
      </c>
      <c r="AH474" s="308" t="str">
        <f t="shared" si="25"/>
        <v/>
      </c>
      <c r="AI474" s="313" t="str">
        <f t="shared" si="26"/>
        <v/>
      </c>
      <c r="AJ474" s="304" t="str">
        <f t="shared" si="27"/>
        <v/>
      </c>
      <c r="AK474" s="308" t="str">
        <f t="shared" si="28"/>
        <v/>
      </c>
      <c r="AL474" s="308" t="str">
        <f t="shared" si="29"/>
        <v/>
      </c>
      <c r="AM474" s="304" t="str">
        <f t="shared" si="30"/>
        <v/>
      </c>
      <c r="AN474" s="308" t="str">
        <f t="shared" si="31"/>
        <v/>
      </c>
      <c r="AO474" s="313" t="str">
        <f t="shared" si="32"/>
        <v/>
      </c>
      <c r="AP474" s="304" t="str">
        <f t="shared" si="33"/>
        <v/>
      </c>
      <c r="AQ474" s="308" t="str">
        <f t="shared" si="34"/>
        <v/>
      </c>
      <c r="AR474" s="313" t="str">
        <f t="shared" si="35"/>
        <v/>
      </c>
      <c r="AS474" s="304" t="str">
        <f t="shared" si="36"/>
        <v/>
      </c>
      <c r="AT474" s="308" t="str">
        <f t="shared" si="37"/>
        <v/>
      </c>
      <c r="AU474" s="308" t="str">
        <f t="shared" si="38"/>
        <v/>
      </c>
      <c r="AV474" s="304" t="str">
        <f t="shared" si="39"/>
        <v/>
      </c>
      <c r="AW474" s="308" t="str">
        <f t="shared" si="40"/>
        <v/>
      </c>
      <c r="AX474" s="308" t="str">
        <f t="shared" si="41"/>
        <v/>
      </c>
      <c r="AY474" s="304" t="str">
        <f t="shared" si="42"/>
        <v/>
      </c>
      <c r="AZ474" s="308" t="str">
        <f t="shared" si="43"/>
        <v/>
      </c>
      <c r="BA474" s="313" t="str">
        <f t="shared" si="44"/>
        <v/>
      </c>
      <c r="BB474" s="304" t="str">
        <f t="shared" si="45"/>
        <v/>
      </c>
      <c r="BC474" s="308" t="str">
        <f t="shared" si="46"/>
        <v/>
      </c>
      <c r="BD474" s="308" t="str">
        <f t="shared" si="47"/>
        <v/>
      </c>
    </row>
    <row r="475">
      <c r="A475" s="298"/>
      <c r="B475" s="299"/>
      <c r="C475" s="300"/>
      <c r="D475" s="301" t="str">
        <f>IFERROR(__xludf.DUMMYFUNCTION("if(ISBLANK(A475),"""",GOOGLEFINANCE(A475,""NAME""))"),"")</f>
        <v/>
      </c>
      <c r="E475" s="302">
        <v>5000.0</v>
      </c>
      <c r="F475" s="303" t="str">
        <f>IFERROR(__xludf.DUMMYFUNCTION("if(ISBLANK(A475),"""",GOOGLEFINANCE(A475,""HIGH52""))"),"")</f>
        <v/>
      </c>
      <c r="G475" s="303" t="str">
        <f>IFERROR(__xludf.DUMMYFUNCTION("if(ISBLANK(A475),"""",GOOGLEFINANCE(A475,""LOW52""))"),"")</f>
        <v/>
      </c>
      <c r="H475" s="304" t="str">
        <f>IFERROR(__xludf.DUMMYFUNCTION("if(ISBLANK(A475),"""",GOOGLEFINANCE(A475,""Price""))"),"")</f>
        <v/>
      </c>
      <c r="I475" s="305" t="str">
        <f t="shared" si="1"/>
        <v/>
      </c>
      <c r="J475" s="306" t="str">
        <f t="shared" si="2"/>
        <v/>
      </c>
      <c r="K475" s="307" t="str">
        <f>IFERROR(__xludf.DUMMYFUNCTION("if(ISBLANK(A475),"""",googlefinance(A475,""Marketcap"")/10000000)"),"")</f>
        <v/>
      </c>
      <c r="L475" s="309" t="str">
        <f t="shared" si="3"/>
        <v/>
      </c>
      <c r="M475" s="308" t="str">
        <f t="shared" si="4"/>
        <v/>
      </c>
      <c r="N475" s="309" t="str">
        <f t="shared" si="5"/>
        <v/>
      </c>
      <c r="O475" s="322" t="str">
        <f t="shared" si="6"/>
        <v/>
      </c>
      <c r="P475" s="308" t="str">
        <f t="shared" si="7"/>
        <v/>
      </c>
      <c r="Q475" s="311" t="str">
        <f t="shared" si="8"/>
        <v/>
      </c>
      <c r="R475" s="309" t="str">
        <f t="shared" si="9"/>
        <v/>
      </c>
      <c r="S475" s="308" t="str">
        <f t="shared" si="10"/>
        <v/>
      </c>
      <c r="T475" s="309" t="str">
        <f t="shared" si="11"/>
        <v/>
      </c>
      <c r="U475" s="309" t="str">
        <f t="shared" si="12"/>
        <v/>
      </c>
      <c r="V475" s="308" t="str">
        <f t="shared" si="13"/>
        <v/>
      </c>
      <c r="W475" s="309" t="str">
        <f t="shared" si="14"/>
        <v/>
      </c>
      <c r="X475" s="309" t="str">
        <f t="shared" si="15"/>
        <v/>
      </c>
      <c r="Y475" s="308" t="str">
        <f t="shared" si="16"/>
        <v/>
      </c>
      <c r="Z475" s="309" t="str">
        <f t="shared" si="17"/>
        <v/>
      </c>
      <c r="AA475" s="312" t="str">
        <f t="shared" si="18"/>
        <v/>
      </c>
      <c r="AB475" s="308" t="str">
        <f t="shared" si="19"/>
        <v/>
      </c>
      <c r="AC475" s="308" t="str">
        <f t="shared" si="20"/>
        <v/>
      </c>
      <c r="AD475" s="312" t="str">
        <f t="shared" si="21"/>
        <v/>
      </c>
      <c r="AE475" s="308" t="str">
        <f t="shared" si="22"/>
        <v/>
      </c>
      <c r="AF475" s="313" t="str">
        <f t="shared" si="23"/>
        <v/>
      </c>
      <c r="AG475" s="304" t="str">
        <f t="shared" si="24"/>
        <v/>
      </c>
      <c r="AH475" s="308" t="str">
        <f t="shared" si="25"/>
        <v/>
      </c>
      <c r="AI475" s="313" t="str">
        <f t="shared" si="26"/>
        <v/>
      </c>
      <c r="AJ475" s="304" t="str">
        <f t="shared" si="27"/>
        <v/>
      </c>
      <c r="AK475" s="308" t="str">
        <f t="shared" si="28"/>
        <v/>
      </c>
      <c r="AL475" s="308" t="str">
        <f t="shared" si="29"/>
        <v/>
      </c>
      <c r="AM475" s="304" t="str">
        <f t="shared" si="30"/>
        <v/>
      </c>
      <c r="AN475" s="308" t="str">
        <f t="shared" si="31"/>
        <v/>
      </c>
      <c r="AO475" s="313" t="str">
        <f t="shared" si="32"/>
        <v/>
      </c>
      <c r="AP475" s="304" t="str">
        <f t="shared" si="33"/>
        <v/>
      </c>
      <c r="AQ475" s="308" t="str">
        <f t="shared" si="34"/>
        <v/>
      </c>
      <c r="AR475" s="313" t="str">
        <f t="shared" si="35"/>
        <v/>
      </c>
      <c r="AS475" s="304" t="str">
        <f t="shared" si="36"/>
        <v/>
      </c>
      <c r="AT475" s="308" t="str">
        <f t="shared" si="37"/>
        <v/>
      </c>
      <c r="AU475" s="308" t="str">
        <f t="shared" si="38"/>
        <v/>
      </c>
      <c r="AV475" s="304" t="str">
        <f t="shared" si="39"/>
        <v/>
      </c>
      <c r="AW475" s="308" t="str">
        <f t="shared" si="40"/>
        <v/>
      </c>
      <c r="AX475" s="308" t="str">
        <f t="shared" si="41"/>
        <v/>
      </c>
      <c r="AY475" s="304" t="str">
        <f t="shared" si="42"/>
        <v/>
      </c>
      <c r="AZ475" s="308" t="str">
        <f t="shared" si="43"/>
        <v/>
      </c>
      <c r="BA475" s="313" t="str">
        <f t="shared" si="44"/>
        <v/>
      </c>
      <c r="BB475" s="304" t="str">
        <f t="shared" si="45"/>
        <v/>
      </c>
      <c r="BC475" s="308" t="str">
        <f t="shared" si="46"/>
        <v/>
      </c>
      <c r="BD475" s="308" t="str">
        <f t="shared" si="47"/>
        <v/>
      </c>
    </row>
    <row r="476">
      <c r="A476" s="298"/>
      <c r="B476" s="299"/>
      <c r="C476" s="300"/>
      <c r="D476" s="301" t="str">
        <f>IFERROR(__xludf.DUMMYFUNCTION("if(ISBLANK(A476),"""",GOOGLEFINANCE(A476,""NAME""))"),"")</f>
        <v/>
      </c>
      <c r="E476" s="302">
        <v>5000.0</v>
      </c>
      <c r="F476" s="303" t="str">
        <f>IFERROR(__xludf.DUMMYFUNCTION("if(ISBLANK(A476),"""",GOOGLEFINANCE(A476,""HIGH52""))"),"")</f>
        <v/>
      </c>
      <c r="G476" s="303" t="str">
        <f>IFERROR(__xludf.DUMMYFUNCTION("if(ISBLANK(A476),"""",GOOGLEFINANCE(A476,""LOW52""))"),"")</f>
        <v/>
      </c>
      <c r="H476" s="304" t="str">
        <f>IFERROR(__xludf.DUMMYFUNCTION("if(ISBLANK(A476),"""",GOOGLEFINANCE(A476,""Price""))"),"")</f>
        <v/>
      </c>
      <c r="I476" s="305" t="str">
        <f t="shared" si="1"/>
        <v/>
      </c>
      <c r="J476" s="306" t="str">
        <f t="shared" si="2"/>
        <v/>
      </c>
      <c r="K476" s="307" t="str">
        <f>IFERROR(__xludf.DUMMYFUNCTION("if(ISBLANK(A476),"""",googlefinance(A476,""Marketcap"")/10000000)"),"")</f>
        <v/>
      </c>
      <c r="L476" s="309" t="str">
        <f t="shared" si="3"/>
        <v/>
      </c>
      <c r="M476" s="308" t="str">
        <f t="shared" si="4"/>
        <v/>
      </c>
      <c r="N476" s="309" t="str">
        <f t="shared" si="5"/>
        <v/>
      </c>
      <c r="O476" s="322" t="str">
        <f t="shared" si="6"/>
        <v/>
      </c>
      <c r="P476" s="308" t="str">
        <f t="shared" si="7"/>
        <v/>
      </c>
      <c r="Q476" s="311" t="str">
        <f t="shared" si="8"/>
        <v/>
      </c>
      <c r="R476" s="309" t="str">
        <f t="shared" si="9"/>
        <v/>
      </c>
      <c r="S476" s="308" t="str">
        <f t="shared" si="10"/>
        <v/>
      </c>
      <c r="T476" s="309" t="str">
        <f t="shared" si="11"/>
        <v/>
      </c>
      <c r="U476" s="309" t="str">
        <f t="shared" si="12"/>
        <v/>
      </c>
      <c r="V476" s="308" t="str">
        <f t="shared" si="13"/>
        <v/>
      </c>
      <c r="W476" s="309" t="str">
        <f t="shared" si="14"/>
        <v/>
      </c>
      <c r="X476" s="309" t="str">
        <f t="shared" si="15"/>
        <v/>
      </c>
      <c r="Y476" s="308" t="str">
        <f t="shared" si="16"/>
        <v/>
      </c>
      <c r="Z476" s="309" t="str">
        <f t="shared" si="17"/>
        <v/>
      </c>
      <c r="AA476" s="312" t="str">
        <f t="shared" si="18"/>
        <v/>
      </c>
      <c r="AB476" s="308" t="str">
        <f t="shared" si="19"/>
        <v/>
      </c>
      <c r="AC476" s="308" t="str">
        <f t="shared" si="20"/>
        <v/>
      </c>
      <c r="AD476" s="312" t="str">
        <f t="shared" si="21"/>
        <v/>
      </c>
      <c r="AE476" s="308" t="str">
        <f t="shared" si="22"/>
        <v/>
      </c>
      <c r="AF476" s="313" t="str">
        <f t="shared" si="23"/>
        <v/>
      </c>
      <c r="AG476" s="304" t="str">
        <f t="shared" si="24"/>
        <v/>
      </c>
      <c r="AH476" s="308" t="str">
        <f t="shared" si="25"/>
        <v/>
      </c>
      <c r="AI476" s="313" t="str">
        <f t="shared" si="26"/>
        <v/>
      </c>
      <c r="AJ476" s="304" t="str">
        <f t="shared" si="27"/>
        <v/>
      </c>
      <c r="AK476" s="308" t="str">
        <f t="shared" si="28"/>
        <v/>
      </c>
      <c r="AL476" s="308" t="str">
        <f t="shared" si="29"/>
        <v/>
      </c>
      <c r="AM476" s="304" t="str">
        <f t="shared" si="30"/>
        <v/>
      </c>
      <c r="AN476" s="308" t="str">
        <f t="shared" si="31"/>
        <v/>
      </c>
      <c r="AO476" s="313" t="str">
        <f t="shared" si="32"/>
        <v/>
      </c>
      <c r="AP476" s="304" t="str">
        <f t="shared" si="33"/>
        <v/>
      </c>
      <c r="AQ476" s="308" t="str">
        <f t="shared" si="34"/>
        <v/>
      </c>
      <c r="AR476" s="313" t="str">
        <f t="shared" si="35"/>
        <v/>
      </c>
      <c r="AS476" s="304" t="str">
        <f t="shared" si="36"/>
        <v/>
      </c>
      <c r="AT476" s="308" t="str">
        <f t="shared" si="37"/>
        <v/>
      </c>
      <c r="AU476" s="308" t="str">
        <f t="shared" si="38"/>
        <v/>
      </c>
      <c r="AV476" s="304" t="str">
        <f t="shared" si="39"/>
        <v/>
      </c>
      <c r="AW476" s="308" t="str">
        <f t="shared" si="40"/>
        <v/>
      </c>
      <c r="AX476" s="308" t="str">
        <f t="shared" si="41"/>
        <v/>
      </c>
      <c r="AY476" s="304" t="str">
        <f t="shared" si="42"/>
        <v/>
      </c>
      <c r="AZ476" s="308" t="str">
        <f t="shared" si="43"/>
        <v/>
      </c>
      <c r="BA476" s="313" t="str">
        <f t="shared" si="44"/>
        <v/>
      </c>
      <c r="BB476" s="304" t="str">
        <f t="shared" si="45"/>
        <v/>
      </c>
      <c r="BC476" s="308" t="str">
        <f t="shared" si="46"/>
        <v/>
      </c>
      <c r="BD476" s="308" t="str">
        <f t="shared" si="47"/>
        <v/>
      </c>
    </row>
    <row r="477">
      <c r="A477" s="298"/>
      <c r="B477" s="299"/>
      <c r="C477" s="300"/>
      <c r="D477" s="301" t="str">
        <f>IFERROR(__xludf.DUMMYFUNCTION("if(ISBLANK(A477),"""",GOOGLEFINANCE(A477,""NAME""))"),"")</f>
        <v/>
      </c>
      <c r="E477" s="302">
        <v>5000.0</v>
      </c>
      <c r="F477" s="303" t="str">
        <f>IFERROR(__xludf.DUMMYFUNCTION("if(ISBLANK(A477),"""",GOOGLEFINANCE(A477,""HIGH52""))"),"")</f>
        <v/>
      </c>
      <c r="G477" s="303" t="str">
        <f>IFERROR(__xludf.DUMMYFUNCTION("if(ISBLANK(A477),"""",GOOGLEFINANCE(A477,""LOW52""))"),"")</f>
        <v/>
      </c>
      <c r="H477" s="304" t="str">
        <f>IFERROR(__xludf.DUMMYFUNCTION("if(ISBLANK(A477),"""",GOOGLEFINANCE(A477,""Price""))"),"")</f>
        <v/>
      </c>
      <c r="I477" s="305" t="str">
        <f t="shared" si="1"/>
        <v/>
      </c>
      <c r="J477" s="306" t="str">
        <f t="shared" si="2"/>
        <v/>
      </c>
      <c r="K477" s="307" t="str">
        <f>IFERROR(__xludf.DUMMYFUNCTION("if(ISBLANK(A477),"""",googlefinance(A477,""Marketcap"")/10000000)"),"")</f>
        <v/>
      </c>
      <c r="L477" s="309" t="str">
        <f t="shared" si="3"/>
        <v/>
      </c>
      <c r="M477" s="308" t="str">
        <f t="shared" si="4"/>
        <v/>
      </c>
      <c r="N477" s="309" t="str">
        <f t="shared" si="5"/>
        <v/>
      </c>
      <c r="O477" s="322" t="str">
        <f t="shared" si="6"/>
        <v/>
      </c>
      <c r="P477" s="308" t="str">
        <f t="shared" si="7"/>
        <v/>
      </c>
      <c r="Q477" s="311" t="str">
        <f t="shared" si="8"/>
        <v/>
      </c>
      <c r="R477" s="309" t="str">
        <f t="shared" si="9"/>
        <v/>
      </c>
      <c r="S477" s="308" t="str">
        <f t="shared" si="10"/>
        <v/>
      </c>
      <c r="T477" s="309" t="str">
        <f t="shared" si="11"/>
        <v/>
      </c>
      <c r="U477" s="309" t="str">
        <f t="shared" si="12"/>
        <v/>
      </c>
      <c r="V477" s="308" t="str">
        <f t="shared" si="13"/>
        <v/>
      </c>
      <c r="W477" s="309" t="str">
        <f t="shared" si="14"/>
        <v/>
      </c>
      <c r="X477" s="309" t="str">
        <f t="shared" si="15"/>
        <v/>
      </c>
      <c r="Y477" s="308" t="str">
        <f t="shared" si="16"/>
        <v/>
      </c>
      <c r="Z477" s="309" t="str">
        <f t="shared" si="17"/>
        <v/>
      </c>
      <c r="AA477" s="312" t="str">
        <f t="shared" si="18"/>
        <v/>
      </c>
      <c r="AB477" s="308" t="str">
        <f t="shared" si="19"/>
        <v/>
      </c>
      <c r="AC477" s="308" t="str">
        <f t="shared" si="20"/>
        <v/>
      </c>
      <c r="AD477" s="312" t="str">
        <f t="shared" si="21"/>
        <v/>
      </c>
      <c r="AE477" s="308" t="str">
        <f t="shared" si="22"/>
        <v/>
      </c>
      <c r="AF477" s="313" t="str">
        <f t="shared" si="23"/>
        <v/>
      </c>
      <c r="AG477" s="304" t="str">
        <f t="shared" si="24"/>
        <v/>
      </c>
      <c r="AH477" s="308" t="str">
        <f t="shared" si="25"/>
        <v/>
      </c>
      <c r="AI477" s="313" t="str">
        <f t="shared" si="26"/>
        <v/>
      </c>
      <c r="AJ477" s="304" t="str">
        <f t="shared" si="27"/>
        <v/>
      </c>
      <c r="AK477" s="308" t="str">
        <f t="shared" si="28"/>
        <v/>
      </c>
      <c r="AL477" s="308" t="str">
        <f t="shared" si="29"/>
        <v/>
      </c>
      <c r="AM477" s="304" t="str">
        <f t="shared" si="30"/>
        <v/>
      </c>
      <c r="AN477" s="308" t="str">
        <f t="shared" si="31"/>
        <v/>
      </c>
      <c r="AO477" s="313" t="str">
        <f t="shared" si="32"/>
        <v/>
      </c>
      <c r="AP477" s="304" t="str">
        <f t="shared" si="33"/>
        <v/>
      </c>
      <c r="AQ477" s="308" t="str">
        <f t="shared" si="34"/>
        <v/>
      </c>
      <c r="AR477" s="313" t="str">
        <f t="shared" si="35"/>
        <v/>
      </c>
      <c r="AS477" s="304" t="str">
        <f t="shared" si="36"/>
        <v/>
      </c>
      <c r="AT477" s="308" t="str">
        <f t="shared" si="37"/>
        <v/>
      </c>
      <c r="AU477" s="308" t="str">
        <f t="shared" si="38"/>
        <v/>
      </c>
      <c r="AV477" s="304" t="str">
        <f t="shared" si="39"/>
        <v/>
      </c>
      <c r="AW477" s="308" t="str">
        <f t="shared" si="40"/>
        <v/>
      </c>
      <c r="AX477" s="308" t="str">
        <f t="shared" si="41"/>
        <v/>
      </c>
      <c r="AY477" s="304" t="str">
        <f t="shared" si="42"/>
        <v/>
      </c>
      <c r="AZ477" s="308" t="str">
        <f t="shared" si="43"/>
        <v/>
      </c>
      <c r="BA477" s="313" t="str">
        <f t="shared" si="44"/>
        <v/>
      </c>
      <c r="BB477" s="304" t="str">
        <f t="shared" si="45"/>
        <v/>
      </c>
      <c r="BC477" s="308" t="str">
        <f t="shared" si="46"/>
        <v/>
      </c>
      <c r="BD477" s="308" t="str">
        <f t="shared" si="47"/>
        <v/>
      </c>
    </row>
    <row r="478">
      <c r="A478" s="298"/>
      <c r="B478" s="299"/>
      <c r="C478" s="300"/>
      <c r="D478" s="301" t="str">
        <f>IFERROR(__xludf.DUMMYFUNCTION("if(ISBLANK(A478),"""",GOOGLEFINANCE(A478,""NAME""))"),"")</f>
        <v/>
      </c>
      <c r="E478" s="302">
        <v>5000.0</v>
      </c>
      <c r="F478" s="303" t="str">
        <f>IFERROR(__xludf.DUMMYFUNCTION("if(ISBLANK(A478),"""",GOOGLEFINANCE(A478,""HIGH52""))"),"")</f>
        <v/>
      </c>
      <c r="G478" s="303" t="str">
        <f>IFERROR(__xludf.DUMMYFUNCTION("if(ISBLANK(A478),"""",GOOGLEFINANCE(A478,""LOW52""))"),"")</f>
        <v/>
      </c>
      <c r="H478" s="304" t="str">
        <f>IFERROR(__xludf.DUMMYFUNCTION("if(ISBLANK(A478),"""",GOOGLEFINANCE(A478,""Price""))"),"")</f>
        <v/>
      </c>
      <c r="I478" s="305" t="str">
        <f t="shared" si="1"/>
        <v/>
      </c>
      <c r="J478" s="306" t="str">
        <f t="shared" si="2"/>
        <v/>
      </c>
      <c r="K478" s="307" t="str">
        <f>IFERROR(__xludf.DUMMYFUNCTION("if(ISBLANK(A478),"""",googlefinance(A478,""Marketcap"")/10000000)"),"")</f>
        <v/>
      </c>
      <c r="L478" s="309" t="str">
        <f t="shared" si="3"/>
        <v/>
      </c>
      <c r="M478" s="308" t="str">
        <f t="shared" si="4"/>
        <v/>
      </c>
      <c r="N478" s="309" t="str">
        <f t="shared" si="5"/>
        <v/>
      </c>
      <c r="O478" s="322" t="str">
        <f t="shared" si="6"/>
        <v/>
      </c>
      <c r="P478" s="308" t="str">
        <f t="shared" si="7"/>
        <v/>
      </c>
      <c r="Q478" s="311" t="str">
        <f t="shared" si="8"/>
        <v/>
      </c>
      <c r="R478" s="309" t="str">
        <f t="shared" si="9"/>
        <v/>
      </c>
      <c r="S478" s="308" t="str">
        <f t="shared" si="10"/>
        <v/>
      </c>
      <c r="T478" s="309" t="str">
        <f t="shared" si="11"/>
        <v/>
      </c>
      <c r="U478" s="309" t="str">
        <f t="shared" si="12"/>
        <v/>
      </c>
      <c r="V478" s="308" t="str">
        <f t="shared" si="13"/>
        <v/>
      </c>
      <c r="W478" s="309" t="str">
        <f t="shared" si="14"/>
        <v/>
      </c>
      <c r="X478" s="309" t="str">
        <f t="shared" si="15"/>
        <v/>
      </c>
      <c r="Y478" s="308" t="str">
        <f t="shared" si="16"/>
        <v/>
      </c>
      <c r="Z478" s="309" t="str">
        <f t="shared" si="17"/>
        <v/>
      </c>
      <c r="AA478" s="312" t="str">
        <f t="shared" si="18"/>
        <v/>
      </c>
      <c r="AB478" s="308" t="str">
        <f t="shared" si="19"/>
        <v/>
      </c>
      <c r="AC478" s="308" t="str">
        <f t="shared" si="20"/>
        <v/>
      </c>
      <c r="AD478" s="312" t="str">
        <f t="shared" si="21"/>
        <v/>
      </c>
      <c r="AE478" s="308" t="str">
        <f t="shared" si="22"/>
        <v/>
      </c>
      <c r="AF478" s="313" t="str">
        <f t="shared" si="23"/>
        <v/>
      </c>
      <c r="AG478" s="304" t="str">
        <f t="shared" si="24"/>
        <v/>
      </c>
      <c r="AH478" s="308" t="str">
        <f t="shared" si="25"/>
        <v/>
      </c>
      <c r="AI478" s="313" t="str">
        <f t="shared" si="26"/>
        <v/>
      </c>
      <c r="AJ478" s="304" t="str">
        <f t="shared" si="27"/>
        <v/>
      </c>
      <c r="AK478" s="308" t="str">
        <f t="shared" si="28"/>
        <v/>
      </c>
      <c r="AL478" s="308" t="str">
        <f t="shared" si="29"/>
        <v/>
      </c>
      <c r="AM478" s="304" t="str">
        <f t="shared" si="30"/>
        <v/>
      </c>
      <c r="AN478" s="308" t="str">
        <f t="shared" si="31"/>
        <v/>
      </c>
      <c r="AO478" s="313" t="str">
        <f t="shared" si="32"/>
        <v/>
      </c>
      <c r="AP478" s="304" t="str">
        <f t="shared" si="33"/>
        <v/>
      </c>
      <c r="AQ478" s="308" t="str">
        <f t="shared" si="34"/>
        <v/>
      </c>
      <c r="AR478" s="313" t="str">
        <f t="shared" si="35"/>
        <v/>
      </c>
      <c r="AS478" s="304" t="str">
        <f t="shared" si="36"/>
        <v/>
      </c>
      <c r="AT478" s="308" t="str">
        <f t="shared" si="37"/>
        <v/>
      </c>
      <c r="AU478" s="308" t="str">
        <f t="shared" si="38"/>
        <v/>
      </c>
      <c r="AV478" s="304" t="str">
        <f t="shared" si="39"/>
        <v/>
      </c>
      <c r="AW478" s="308" t="str">
        <f t="shared" si="40"/>
        <v/>
      </c>
      <c r="AX478" s="308" t="str">
        <f t="shared" si="41"/>
        <v/>
      </c>
      <c r="AY478" s="304" t="str">
        <f t="shared" si="42"/>
        <v/>
      </c>
      <c r="AZ478" s="308" t="str">
        <f t="shared" si="43"/>
        <v/>
      </c>
      <c r="BA478" s="313" t="str">
        <f t="shared" si="44"/>
        <v/>
      </c>
      <c r="BB478" s="304" t="str">
        <f t="shared" si="45"/>
        <v/>
      </c>
      <c r="BC478" s="308" t="str">
        <f t="shared" si="46"/>
        <v/>
      </c>
      <c r="BD478" s="308" t="str">
        <f t="shared" si="47"/>
        <v/>
      </c>
    </row>
    <row r="479">
      <c r="A479" s="298"/>
      <c r="B479" s="299"/>
      <c r="C479" s="300"/>
      <c r="D479" s="301" t="str">
        <f>IFERROR(__xludf.DUMMYFUNCTION("if(ISBLANK(A479),"""",GOOGLEFINANCE(A479,""NAME""))"),"")</f>
        <v/>
      </c>
      <c r="E479" s="302">
        <v>5000.0</v>
      </c>
      <c r="F479" s="303" t="str">
        <f>IFERROR(__xludf.DUMMYFUNCTION("if(ISBLANK(A479),"""",GOOGLEFINANCE(A479,""HIGH52""))"),"")</f>
        <v/>
      </c>
      <c r="G479" s="303" t="str">
        <f>IFERROR(__xludf.DUMMYFUNCTION("if(ISBLANK(A479),"""",GOOGLEFINANCE(A479,""LOW52""))"),"")</f>
        <v/>
      </c>
      <c r="H479" s="304" t="str">
        <f>IFERROR(__xludf.DUMMYFUNCTION("if(ISBLANK(A479),"""",GOOGLEFINANCE(A479,""Price""))"),"")</f>
        <v/>
      </c>
      <c r="I479" s="305" t="str">
        <f t="shared" si="1"/>
        <v/>
      </c>
      <c r="J479" s="306" t="str">
        <f t="shared" si="2"/>
        <v/>
      </c>
      <c r="K479" s="307" t="str">
        <f>IFERROR(__xludf.DUMMYFUNCTION("if(ISBLANK(A479),"""",googlefinance(A479,""Marketcap"")/10000000)"),"")</f>
        <v/>
      </c>
      <c r="L479" s="309" t="str">
        <f t="shared" si="3"/>
        <v/>
      </c>
      <c r="M479" s="308" t="str">
        <f t="shared" si="4"/>
        <v/>
      </c>
      <c r="N479" s="309" t="str">
        <f t="shared" si="5"/>
        <v/>
      </c>
      <c r="O479" s="322" t="str">
        <f t="shared" si="6"/>
        <v/>
      </c>
      <c r="P479" s="308" t="str">
        <f t="shared" si="7"/>
        <v/>
      </c>
      <c r="Q479" s="311" t="str">
        <f t="shared" si="8"/>
        <v/>
      </c>
      <c r="R479" s="309" t="str">
        <f t="shared" si="9"/>
        <v/>
      </c>
      <c r="S479" s="308" t="str">
        <f t="shared" si="10"/>
        <v/>
      </c>
      <c r="T479" s="309" t="str">
        <f t="shared" si="11"/>
        <v/>
      </c>
      <c r="U479" s="309" t="str">
        <f t="shared" si="12"/>
        <v/>
      </c>
      <c r="V479" s="308" t="str">
        <f t="shared" si="13"/>
        <v/>
      </c>
      <c r="W479" s="309" t="str">
        <f t="shared" si="14"/>
        <v/>
      </c>
      <c r="X479" s="309" t="str">
        <f t="shared" si="15"/>
        <v/>
      </c>
      <c r="Y479" s="308" t="str">
        <f t="shared" si="16"/>
        <v/>
      </c>
      <c r="Z479" s="309" t="str">
        <f t="shared" si="17"/>
        <v/>
      </c>
      <c r="AA479" s="312" t="str">
        <f t="shared" si="18"/>
        <v/>
      </c>
      <c r="AB479" s="308" t="str">
        <f t="shared" si="19"/>
        <v/>
      </c>
      <c r="AC479" s="308" t="str">
        <f t="shared" si="20"/>
        <v/>
      </c>
      <c r="AD479" s="312" t="str">
        <f t="shared" si="21"/>
        <v/>
      </c>
      <c r="AE479" s="308" t="str">
        <f t="shared" si="22"/>
        <v/>
      </c>
      <c r="AF479" s="313" t="str">
        <f t="shared" si="23"/>
        <v/>
      </c>
      <c r="AG479" s="304" t="str">
        <f t="shared" si="24"/>
        <v/>
      </c>
      <c r="AH479" s="308" t="str">
        <f t="shared" si="25"/>
        <v/>
      </c>
      <c r="AI479" s="313" t="str">
        <f t="shared" si="26"/>
        <v/>
      </c>
      <c r="AJ479" s="304" t="str">
        <f t="shared" si="27"/>
        <v/>
      </c>
      <c r="AK479" s="308" t="str">
        <f t="shared" si="28"/>
        <v/>
      </c>
      <c r="AL479" s="308" t="str">
        <f t="shared" si="29"/>
        <v/>
      </c>
      <c r="AM479" s="304" t="str">
        <f t="shared" si="30"/>
        <v/>
      </c>
      <c r="AN479" s="308" t="str">
        <f t="shared" si="31"/>
        <v/>
      </c>
      <c r="AO479" s="313" t="str">
        <f t="shared" si="32"/>
        <v/>
      </c>
      <c r="AP479" s="304" t="str">
        <f t="shared" si="33"/>
        <v/>
      </c>
      <c r="AQ479" s="308" t="str">
        <f t="shared" si="34"/>
        <v/>
      </c>
      <c r="AR479" s="313" t="str">
        <f t="shared" si="35"/>
        <v/>
      </c>
      <c r="AS479" s="304" t="str">
        <f t="shared" si="36"/>
        <v/>
      </c>
      <c r="AT479" s="308" t="str">
        <f t="shared" si="37"/>
        <v/>
      </c>
      <c r="AU479" s="308" t="str">
        <f t="shared" si="38"/>
        <v/>
      </c>
      <c r="AV479" s="304" t="str">
        <f t="shared" si="39"/>
        <v/>
      </c>
      <c r="AW479" s="308" t="str">
        <f t="shared" si="40"/>
        <v/>
      </c>
      <c r="AX479" s="308" t="str">
        <f t="shared" si="41"/>
        <v/>
      </c>
      <c r="AY479" s="304" t="str">
        <f t="shared" si="42"/>
        <v/>
      </c>
      <c r="AZ479" s="308" t="str">
        <f t="shared" si="43"/>
        <v/>
      </c>
      <c r="BA479" s="313" t="str">
        <f t="shared" si="44"/>
        <v/>
      </c>
      <c r="BB479" s="304" t="str">
        <f t="shared" si="45"/>
        <v/>
      </c>
      <c r="BC479" s="308" t="str">
        <f t="shared" si="46"/>
        <v/>
      </c>
      <c r="BD479" s="308" t="str">
        <f t="shared" si="47"/>
        <v/>
      </c>
    </row>
    <row r="480">
      <c r="A480" s="301"/>
      <c r="B480" s="301"/>
      <c r="C480" s="303"/>
      <c r="D480" s="301"/>
      <c r="E480" s="309"/>
      <c r="F480" s="301"/>
      <c r="G480" s="301"/>
      <c r="H480" s="309"/>
      <c r="I480" s="305" t="str">
        <f t="shared" si="1"/>
        <v/>
      </c>
      <c r="J480" s="306" t="str">
        <f t="shared" si="2"/>
        <v/>
      </c>
      <c r="K480" s="326"/>
      <c r="L480" s="309"/>
      <c r="M480" s="308"/>
      <c r="N480" s="309"/>
      <c r="O480" s="322"/>
      <c r="P480" s="308"/>
      <c r="Q480" s="311"/>
      <c r="R480" s="309"/>
      <c r="S480" s="308"/>
      <c r="T480" s="309"/>
      <c r="U480" s="309"/>
      <c r="V480" s="308"/>
      <c r="W480" s="309"/>
      <c r="X480" s="309"/>
      <c r="Y480" s="308"/>
      <c r="Z480" s="309"/>
      <c r="AA480" s="312"/>
      <c r="AB480" s="308"/>
      <c r="AC480" s="308"/>
      <c r="AD480" s="312"/>
      <c r="AE480" s="308"/>
      <c r="AF480" s="313"/>
      <c r="AG480" s="304"/>
      <c r="AH480" s="308"/>
      <c r="AI480" s="313"/>
      <c r="AJ480" s="304"/>
      <c r="AK480" s="308"/>
      <c r="AL480" s="308"/>
      <c r="AM480" s="304"/>
      <c r="AN480" s="308"/>
      <c r="AO480" s="313"/>
      <c r="AP480" s="304"/>
      <c r="AQ480" s="308"/>
      <c r="AR480" s="313"/>
      <c r="AS480" s="304"/>
      <c r="AT480" s="308"/>
      <c r="AU480" s="308"/>
      <c r="AV480" s="304"/>
      <c r="AW480" s="308"/>
      <c r="AX480" s="308"/>
      <c r="AY480" s="304"/>
      <c r="AZ480" s="308"/>
      <c r="BA480" s="313"/>
      <c r="BB480" s="304"/>
      <c r="BC480" s="308"/>
      <c r="BD480" s="308"/>
    </row>
    <row r="481">
      <c r="A481" s="301"/>
      <c r="B481" s="301"/>
      <c r="C481" s="303"/>
      <c r="D481" s="301"/>
      <c r="E481" s="309"/>
      <c r="F481" s="301"/>
      <c r="G481" s="301"/>
      <c r="H481" s="309"/>
      <c r="I481" s="305" t="str">
        <f t="shared" si="1"/>
        <v/>
      </c>
      <c r="J481" s="306" t="str">
        <f t="shared" si="2"/>
        <v/>
      </c>
      <c r="K481" s="326"/>
      <c r="L481" s="309"/>
      <c r="M481" s="308"/>
      <c r="N481" s="309"/>
      <c r="O481" s="322"/>
      <c r="P481" s="308"/>
      <c r="Q481" s="311"/>
      <c r="R481" s="309"/>
      <c r="S481" s="308"/>
      <c r="T481" s="309"/>
      <c r="U481" s="309"/>
      <c r="V481" s="308"/>
      <c r="W481" s="309"/>
      <c r="X481" s="309"/>
      <c r="Y481" s="308"/>
      <c r="Z481" s="309"/>
      <c r="AA481" s="312"/>
      <c r="AB481" s="308"/>
      <c r="AC481" s="308"/>
      <c r="AD481" s="312"/>
      <c r="AE481" s="308"/>
      <c r="AF481" s="313"/>
      <c r="AG481" s="304"/>
      <c r="AH481" s="308"/>
      <c r="AI481" s="313"/>
      <c r="AJ481" s="304"/>
      <c r="AK481" s="308"/>
      <c r="AL481" s="308"/>
      <c r="AM481" s="304"/>
      <c r="AN481" s="308"/>
      <c r="AO481" s="313"/>
      <c r="AP481" s="304"/>
      <c r="AQ481" s="308"/>
      <c r="AR481" s="313"/>
      <c r="AS481" s="304"/>
      <c r="AT481" s="308"/>
      <c r="AU481" s="308"/>
      <c r="AV481" s="304"/>
      <c r="AW481" s="308"/>
      <c r="AX481" s="308"/>
      <c r="AY481" s="304"/>
      <c r="AZ481" s="308"/>
      <c r="BA481" s="313"/>
      <c r="BB481" s="304"/>
      <c r="BC481" s="308"/>
      <c r="BD481" s="308"/>
    </row>
    <row r="482">
      <c r="A482" s="301"/>
      <c r="B482" s="301"/>
      <c r="C482" s="303"/>
      <c r="D482" s="301"/>
      <c r="E482" s="309"/>
      <c r="F482" s="301"/>
      <c r="G482" s="301"/>
      <c r="H482" s="309"/>
      <c r="I482" s="305" t="str">
        <f t="shared" si="1"/>
        <v/>
      </c>
      <c r="J482" s="306" t="str">
        <f t="shared" si="2"/>
        <v/>
      </c>
      <c r="K482" s="326"/>
      <c r="L482" s="309"/>
      <c r="M482" s="308"/>
      <c r="N482" s="309"/>
      <c r="O482" s="322"/>
      <c r="P482" s="308"/>
      <c r="Q482" s="311"/>
      <c r="R482" s="309"/>
      <c r="S482" s="308"/>
      <c r="T482" s="309"/>
      <c r="U482" s="309"/>
      <c r="V482" s="308"/>
      <c r="W482" s="309"/>
      <c r="X482" s="309"/>
      <c r="Y482" s="308"/>
      <c r="Z482" s="309"/>
      <c r="AA482" s="312"/>
      <c r="AB482" s="308"/>
      <c r="AC482" s="308"/>
      <c r="AD482" s="312"/>
      <c r="AE482" s="308"/>
      <c r="AF482" s="313"/>
      <c r="AG482" s="304"/>
      <c r="AH482" s="308"/>
      <c r="AI482" s="313"/>
      <c r="AJ482" s="304"/>
      <c r="AK482" s="308"/>
      <c r="AL482" s="308"/>
      <c r="AM482" s="304"/>
      <c r="AN482" s="308"/>
      <c r="AO482" s="313"/>
      <c r="AP482" s="304"/>
      <c r="AQ482" s="308"/>
      <c r="AR482" s="313"/>
      <c r="AS482" s="304"/>
      <c r="AT482" s="308"/>
      <c r="AU482" s="308"/>
      <c r="AV482" s="304"/>
      <c r="AW482" s="308"/>
      <c r="AX482" s="308"/>
      <c r="AY482" s="304"/>
      <c r="AZ482" s="308"/>
      <c r="BA482" s="313"/>
      <c r="BB482" s="304"/>
      <c r="BC482" s="308"/>
      <c r="BD482" s="308"/>
    </row>
    <row r="483">
      <c r="A483" s="301"/>
      <c r="B483" s="301"/>
      <c r="C483" s="303"/>
      <c r="D483" s="301"/>
      <c r="E483" s="309"/>
      <c r="F483" s="301"/>
      <c r="G483" s="301"/>
      <c r="H483" s="309"/>
      <c r="I483" s="305" t="str">
        <f t="shared" si="1"/>
        <v/>
      </c>
      <c r="J483" s="306" t="str">
        <f t="shared" si="2"/>
        <v/>
      </c>
      <c r="K483" s="326"/>
      <c r="L483" s="309"/>
      <c r="M483" s="308"/>
      <c r="N483" s="309"/>
      <c r="O483" s="322"/>
      <c r="P483" s="308"/>
      <c r="Q483" s="311"/>
      <c r="R483" s="309"/>
      <c r="S483" s="308"/>
      <c r="T483" s="309"/>
      <c r="U483" s="309"/>
      <c r="V483" s="308"/>
      <c r="W483" s="309"/>
      <c r="X483" s="309"/>
      <c r="Y483" s="308"/>
      <c r="Z483" s="309"/>
      <c r="AA483" s="312"/>
      <c r="AB483" s="308"/>
      <c r="AC483" s="308"/>
      <c r="AD483" s="312"/>
      <c r="AE483" s="308"/>
      <c r="AF483" s="313"/>
      <c r="AG483" s="304"/>
      <c r="AH483" s="308"/>
      <c r="AI483" s="313"/>
      <c r="AJ483" s="304"/>
      <c r="AK483" s="308"/>
      <c r="AL483" s="308"/>
      <c r="AM483" s="304"/>
      <c r="AN483" s="308"/>
      <c r="AO483" s="313"/>
      <c r="AP483" s="304"/>
      <c r="AQ483" s="308"/>
      <c r="AR483" s="313"/>
      <c r="AS483" s="304"/>
      <c r="AT483" s="308"/>
      <c r="AU483" s="308"/>
      <c r="AV483" s="304"/>
      <c r="AW483" s="308"/>
      <c r="AX483" s="308"/>
      <c r="AY483" s="304"/>
      <c r="AZ483" s="308"/>
      <c r="BA483" s="313"/>
      <c r="BB483" s="304"/>
      <c r="BC483" s="308"/>
      <c r="BD483" s="308"/>
    </row>
    <row r="484">
      <c r="A484" s="301"/>
      <c r="B484" s="301"/>
      <c r="C484" s="303"/>
      <c r="D484" s="301"/>
      <c r="E484" s="309"/>
      <c r="F484" s="301"/>
      <c r="G484" s="301"/>
      <c r="H484" s="309"/>
      <c r="I484" s="305" t="str">
        <f t="shared" si="1"/>
        <v/>
      </c>
      <c r="J484" s="306" t="str">
        <f t="shared" si="2"/>
        <v/>
      </c>
      <c r="K484" s="326"/>
      <c r="L484" s="309"/>
      <c r="M484" s="308"/>
      <c r="N484" s="309"/>
      <c r="O484" s="322"/>
      <c r="P484" s="308"/>
      <c r="Q484" s="311"/>
      <c r="R484" s="309"/>
      <c r="S484" s="308"/>
      <c r="T484" s="309"/>
      <c r="U484" s="309"/>
      <c r="V484" s="308"/>
      <c r="W484" s="309"/>
      <c r="X484" s="309"/>
      <c r="Y484" s="308"/>
      <c r="Z484" s="309"/>
      <c r="AA484" s="312"/>
      <c r="AB484" s="308"/>
      <c r="AC484" s="308"/>
      <c r="AD484" s="312"/>
      <c r="AE484" s="308"/>
      <c r="AF484" s="313"/>
      <c r="AG484" s="304"/>
      <c r="AH484" s="308"/>
      <c r="AI484" s="313"/>
      <c r="AJ484" s="304"/>
      <c r="AK484" s="308"/>
      <c r="AL484" s="308"/>
      <c r="AM484" s="304"/>
      <c r="AN484" s="308"/>
      <c r="AO484" s="313"/>
      <c r="AP484" s="304"/>
      <c r="AQ484" s="308"/>
      <c r="AR484" s="313"/>
      <c r="AS484" s="304"/>
      <c r="AT484" s="308"/>
      <c r="AU484" s="308"/>
      <c r="AV484" s="304"/>
      <c r="AW484" s="308"/>
      <c r="AX484" s="308"/>
      <c r="AY484" s="304"/>
      <c r="AZ484" s="308"/>
      <c r="BA484" s="313"/>
      <c r="BB484" s="304"/>
      <c r="BC484" s="308"/>
      <c r="BD484" s="308"/>
    </row>
    <row r="485">
      <c r="A485" s="301"/>
      <c r="B485" s="301"/>
      <c r="C485" s="303"/>
      <c r="D485" s="301"/>
      <c r="E485" s="309"/>
      <c r="F485" s="301"/>
      <c r="G485" s="301"/>
      <c r="H485" s="309"/>
      <c r="I485" s="305" t="str">
        <f t="shared" si="1"/>
        <v/>
      </c>
      <c r="J485" s="306" t="str">
        <f t="shared" si="2"/>
        <v/>
      </c>
      <c r="K485" s="326"/>
      <c r="L485" s="309"/>
      <c r="M485" s="308"/>
      <c r="N485" s="309"/>
      <c r="O485" s="322"/>
      <c r="P485" s="308"/>
      <c r="Q485" s="311"/>
      <c r="R485" s="309"/>
      <c r="S485" s="308"/>
      <c r="T485" s="309"/>
      <c r="U485" s="309"/>
      <c r="V485" s="308"/>
      <c r="W485" s="309"/>
      <c r="X485" s="309"/>
      <c r="Y485" s="308"/>
      <c r="Z485" s="309"/>
      <c r="AA485" s="312"/>
      <c r="AB485" s="308"/>
      <c r="AC485" s="308"/>
      <c r="AD485" s="312"/>
      <c r="AE485" s="308"/>
      <c r="AF485" s="313"/>
      <c r="AG485" s="304"/>
      <c r="AH485" s="308"/>
      <c r="AI485" s="313"/>
      <c r="AJ485" s="304"/>
      <c r="AK485" s="308"/>
      <c r="AL485" s="308"/>
      <c r="AM485" s="304"/>
      <c r="AN485" s="308"/>
      <c r="AO485" s="313"/>
      <c r="AP485" s="304"/>
      <c r="AQ485" s="308"/>
      <c r="AR485" s="313"/>
      <c r="AS485" s="304"/>
      <c r="AT485" s="308"/>
      <c r="AU485" s="308"/>
      <c r="AV485" s="304"/>
      <c r="AW485" s="308"/>
      <c r="AX485" s="308"/>
      <c r="AY485" s="304"/>
      <c r="AZ485" s="308"/>
      <c r="BA485" s="313"/>
      <c r="BB485" s="304"/>
      <c r="BC485" s="308"/>
      <c r="BD485" s="308"/>
    </row>
    <row r="486">
      <c r="A486" s="301"/>
      <c r="B486" s="301"/>
      <c r="C486" s="303"/>
      <c r="D486" s="301"/>
      <c r="E486" s="309"/>
      <c r="F486" s="301"/>
      <c r="G486" s="301"/>
      <c r="H486" s="309"/>
      <c r="I486" s="305" t="str">
        <f t="shared" si="1"/>
        <v/>
      </c>
      <c r="J486" s="306" t="str">
        <f t="shared" si="2"/>
        <v/>
      </c>
      <c r="K486" s="326"/>
      <c r="L486" s="309"/>
      <c r="M486" s="308"/>
      <c r="N486" s="309"/>
      <c r="O486" s="322"/>
      <c r="P486" s="308"/>
      <c r="Q486" s="311"/>
      <c r="R486" s="309"/>
      <c r="S486" s="308"/>
      <c r="T486" s="309"/>
      <c r="U486" s="309"/>
      <c r="V486" s="308"/>
      <c r="W486" s="309"/>
      <c r="X486" s="309"/>
      <c r="Y486" s="308"/>
      <c r="Z486" s="309"/>
      <c r="AA486" s="312"/>
      <c r="AB486" s="308"/>
      <c r="AC486" s="308"/>
      <c r="AD486" s="312"/>
      <c r="AE486" s="308"/>
      <c r="AF486" s="313"/>
      <c r="AG486" s="304"/>
      <c r="AH486" s="308"/>
      <c r="AI486" s="313"/>
      <c r="AJ486" s="304"/>
      <c r="AK486" s="308"/>
      <c r="AL486" s="308"/>
      <c r="AM486" s="304"/>
      <c r="AN486" s="308"/>
      <c r="AO486" s="313"/>
      <c r="AP486" s="304"/>
      <c r="AQ486" s="308"/>
      <c r="AR486" s="313"/>
      <c r="AS486" s="304"/>
      <c r="AT486" s="308"/>
      <c r="AU486" s="308"/>
      <c r="AV486" s="304"/>
      <c r="AW486" s="308"/>
      <c r="AX486" s="308"/>
      <c r="AY486" s="304"/>
      <c r="AZ486" s="308"/>
      <c r="BA486" s="313"/>
      <c r="BB486" s="304"/>
      <c r="BC486" s="308"/>
      <c r="BD486" s="308"/>
    </row>
    <row r="487">
      <c r="A487" s="301"/>
      <c r="B487" s="301"/>
      <c r="C487" s="303"/>
      <c r="D487" s="301"/>
      <c r="E487" s="309"/>
      <c r="F487" s="301"/>
      <c r="G487" s="301"/>
      <c r="H487" s="309"/>
      <c r="I487" s="305" t="str">
        <f t="shared" si="1"/>
        <v/>
      </c>
      <c r="J487" s="306" t="str">
        <f t="shared" si="2"/>
        <v/>
      </c>
      <c r="K487" s="326"/>
      <c r="L487" s="309"/>
      <c r="M487" s="308"/>
      <c r="N487" s="309"/>
      <c r="O487" s="322"/>
      <c r="P487" s="308"/>
      <c r="Q487" s="311"/>
      <c r="R487" s="309"/>
      <c r="S487" s="308"/>
      <c r="T487" s="309"/>
      <c r="U487" s="309"/>
      <c r="V487" s="308"/>
      <c r="W487" s="309"/>
      <c r="X487" s="309"/>
      <c r="Y487" s="308"/>
      <c r="Z487" s="309"/>
      <c r="AA487" s="312"/>
      <c r="AB487" s="308"/>
      <c r="AC487" s="308"/>
      <c r="AD487" s="312"/>
      <c r="AE487" s="308"/>
      <c r="AF487" s="313"/>
      <c r="AG487" s="304"/>
      <c r="AH487" s="308"/>
      <c r="AI487" s="313"/>
      <c r="AJ487" s="304"/>
      <c r="AK487" s="308"/>
      <c r="AL487" s="308"/>
      <c r="AM487" s="304"/>
      <c r="AN487" s="308"/>
      <c r="AO487" s="313"/>
      <c r="AP487" s="304"/>
      <c r="AQ487" s="308"/>
      <c r="AR487" s="313"/>
      <c r="AS487" s="304"/>
      <c r="AT487" s="308"/>
      <c r="AU487" s="308"/>
      <c r="AV487" s="304"/>
      <c r="AW487" s="308"/>
      <c r="AX487" s="308"/>
      <c r="AY487" s="304"/>
      <c r="AZ487" s="308"/>
      <c r="BA487" s="313"/>
      <c r="BB487" s="304"/>
      <c r="BC487" s="308"/>
      <c r="BD487" s="308"/>
    </row>
    <row r="488">
      <c r="A488" s="301"/>
      <c r="B488" s="301"/>
      <c r="C488" s="303"/>
      <c r="D488" s="301"/>
      <c r="E488" s="309"/>
      <c r="F488" s="301"/>
      <c r="G488" s="301"/>
      <c r="H488" s="309"/>
      <c r="I488" s="305" t="str">
        <f t="shared" si="1"/>
        <v/>
      </c>
      <c r="J488" s="306" t="str">
        <f t="shared" si="2"/>
        <v/>
      </c>
      <c r="K488" s="326"/>
      <c r="L488" s="309"/>
      <c r="M488" s="308"/>
      <c r="N488" s="309"/>
      <c r="O488" s="322"/>
      <c r="P488" s="308"/>
      <c r="Q488" s="311"/>
      <c r="R488" s="309"/>
      <c r="S488" s="308"/>
      <c r="T488" s="309"/>
      <c r="U488" s="309"/>
      <c r="V488" s="308"/>
      <c r="W488" s="309"/>
      <c r="X488" s="309"/>
      <c r="Y488" s="308"/>
      <c r="Z488" s="309"/>
      <c r="AA488" s="312"/>
      <c r="AB488" s="308"/>
      <c r="AC488" s="308"/>
      <c r="AD488" s="312"/>
      <c r="AE488" s="308"/>
      <c r="AF488" s="313"/>
      <c r="AG488" s="304"/>
      <c r="AH488" s="308"/>
      <c r="AI488" s="313"/>
      <c r="AJ488" s="304"/>
      <c r="AK488" s="308"/>
      <c r="AL488" s="308"/>
      <c r="AM488" s="304"/>
      <c r="AN488" s="308"/>
      <c r="AO488" s="313"/>
      <c r="AP488" s="304"/>
      <c r="AQ488" s="308"/>
      <c r="AR488" s="313"/>
      <c r="AS488" s="304"/>
      <c r="AT488" s="308"/>
      <c r="AU488" s="308"/>
      <c r="AV488" s="304"/>
      <c r="AW488" s="308"/>
      <c r="AX488" s="308"/>
      <c r="AY488" s="304"/>
      <c r="AZ488" s="308"/>
      <c r="BA488" s="313"/>
      <c r="BB488" s="304"/>
      <c r="BC488" s="308"/>
      <c r="BD488" s="308"/>
    </row>
    <row r="489">
      <c r="A489" s="301"/>
      <c r="B489" s="301"/>
      <c r="C489" s="303"/>
      <c r="D489" s="301"/>
      <c r="E489" s="309"/>
      <c r="F489" s="301"/>
      <c r="G489" s="301"/>
      <c r="H489" s="309"/>
      <c r="I489" s="305" t="str">
        <f t="shared" si="1"/>
        <v/>
      </c>
      <c r="J489" s="306" t="str">
        <f t="shared" si="2"/>
        <v/>
      </c>
      <c r="K489" s="326"/>
      <c r="L489" s="309"/>
      <c r="M489" s="308"/>
      <c r="N489" s="309"/>
      <c r="O489" s="322"/>
      <c r="P489" s="308"/>
      <c r="Q489" s="311"/>
      <c r="R489" s="309"/>
      <c r="S489" s="308"/>
      <c r="T489" s="309"/>
      <c r="U489" s="309"/>
      <c r="V489" s="308"/>
      <c r="W489" s="309"/>
      <c r="X489" s="309"/>
      <c r="Y489" s="308"/>
      <c r="Z489" s="309"/>
      <c r="AA489" s="312"/>
      <c r="AB489" s="308"/>
      <c r="AC489" s="308"/>
      <c r="AD489" s="312"/>
      <c r="AE489" s="308"/>
      <c r="AF489" s="313"/>
      <c r="AG489" s="304"/>
      <c r="AH489" s="308"/>
      <c r="AI489" s="313"/>
      <c r="AJ489" s="304"/>
      <c r="AK489" s="308"/>
      <c r="AL489" s="308"/>
      <c r="AM489" s="304"/>
      <c r="AN489" s="308"/>
      <c r="AO489" s="313"/>
      <c r="AP489" s="304"/>
      <c r="AQ489" s="308"/>
      <c r="AR489" s="313"/>
      <c r="AS489" s="304"/>
      <c r="AT489" s="308"/>
      <c r="AU489" s="308"/>
      <c r="AV489" s="304"/>
      <c r="AW489" s="308"/>
      <c r="AX489" s="308"/>
      <c r="AY489" s="304"/>
      <c r="AZ489" s="308"/>
      <c r="BA489" s="313"/>
      <c r="BB489" s="304"/>
      <c r="BC489" s="308"/>
      <c r="BD489" s="308"/>
    </row>
    <row r="490">
      <c r="A490" s="301"/>
      <c r="B490" s="301"/>
      <c r="C490" s="303"/>
      <c r="D490" s="301"/>
      <c r="E490" s="309"/>
      <c r="F490" s="301"/>
      <c r="G490" s="301"/>
      <c r="H490" s="309"/>
      <c r="I490" s="305" t="str">
        <f t="shared" si="1"/>
        <v/>
      </c>
      <c r="J490" s="306" t="str">
        <f t="shared" si="2"/>
        <v/>
      </c>
      <c r="K490" s="326"/>
      <c r="L490" s="309"/>
      <c r="M490" s="308"/>
      <c r="N490" s="309"/>
      <c r="O490" s="322"/>
      <c r="P490" s="308"/>
      <c r="Q490" s="311"/>
      <c r="R490" s="309"/>
      <c r="S490" s="308"/>
      <c r="T490" s="309"/>
      <c r="U490" s="309"/>
      <c r="V490" s="308"/>
      <c r="W490" s="309"/>
      <c r="X490" s="309"/>
      <c r="Y490" s="308"/>
      <c r="Z490" s="309"/>
      <c r="AA490" s="312"/>
      <c r="AB490" s="308"/>
      <c r="AC490" s="308"/>
      <c r="AD490" s="312"/>
      <c r="AE490" s="308"/>
      <c r="AF490" s="313"/>
      <c r="AG490" s="304"/>
      <c r="AH490" s="308"/>
      <c r="AI490" s="313"/>
      <c r="AJ490" s="304"/>
      <c r="AK490" s="308"/>
      <c r="AL490" s="308"/>
      <c r="AM490" s="304"/>
      <c r="AN490" s="308"/>
      <c r="AO490" s="313"/>
      <c r="AP490" s="304"/>
      <c r="AQ490" s="308"/>
      <c r="AR490" s="313"/>
      <c r="AS490" s="304"/>
      <c r="AT490" s="308"/>
      <c r="AU490" s="308"/>
      <c r="AV490" s="304"/>
      <c r="AW490" s="308"/>
      <c r="AX490" s="308"/>
      <c r="AY490" s="304"/>
      <c r="AZ490" s="308"/>
      <c r="BA490" s="313"/>
      <c r="BB490" s="304"/>
      <c r="BC490" s="308"/>
      <c r="BD490" s="308"/>
    </row>
    <row r="491">
      <c r="A491" s="301"/>
      <c r="B491" s="301"/>
      <c r="C491" s="303"/>
      <c r="D491" s="301"/>
      <c r="E491" s="309"/>
      <c r="F491" s="301"/>
      <c r="G491" s="301"/>
      <c r="H491" s="309"/>
      <c r="I491" s="305" t="str">
        <f t="shared" si="1"/>
        <v/>
      </c>
      <c r="J491" s="306" t="str">
        <f t="shared" si="2"/>
        <v/>
      </c>
      <c r="K491" s="326"/>
      <c r="L491" s="309"/>
      <c r="M491" s="308"/>
      <c r="N491" s="309"/>
      <c r="O491" s="322"/>
      <c r="P491" s="308"/>
      <c r="Q491" s="311"/>
      <c r="R491" s="309"/>
      <c r="S491" s="308"/>
      <c r="T491" s="309"/>
      <c r="U491" s="309"/>
      <c r="V491" s="308"/>
      <c r="W491" s="309"/>
      <c r="X491" s="309"/>
      <c r="Y491" s="308"/>
      <c r="Z491" s="309"/>
      <c r="AA491" s="312"/>
      <c r="AB491" s="308"/>
      <c r="AC491" s="308"/>
      <c r="AD491" s="312"/>
      <c r="AE491" s="308"/>
      <c r="AF491" s="313"/>
      <c r="AG491" s="304"/>
      <c r="AH491" s="308"/>
      <c r="AI491" s="313"/>
      <c r="AJ491" s="304"/>
      <c r="AK491" s="308"/>
      <c r="AL491" s="308"/>
      <c r="AM491" s="304"/>
      <c r="AN491" s="308"/>
      <c r="AO491" s="313"/>
      <c r="AP491" s="304"/>
      <c r="AQ491" s="308"/>
      <c r="AR491" s="313"/>
      <c r="AS491" s="304"/>
      <c r="AT491" s="308"/>
      <c r="AU491" s="308"/>
      <c r="AV491" s="304"/>
      <c r="AW491" s="308"/>
      <c r="AX491" s="308"/>
      <c r="AY491" s="304"/>
      <c r="AZ491" s="308"/>
      <c r="BA491" s="313"/>
      <c r="BB491" s="304"/>
      <c r="BC491" s="308"/>
      <c r="BD491" s="308"/>
    </row>
    <row r="492">
      <c r="A492" s="301"/>
      <c r="B492" s="301"/>
      <c r="C492" s="303"/>
      <c r="D492" s="301"/>
      <c r="E492" s="309"/>
      <c r="F492" s="301"/>
      <c r="G492" s="301"/>
      <c r="H492" s="309"/>
      <c r="I492" s="305" t="str">
        <f t="shared" si="1"/>
        <v/>
      </c>
      <c r="J492" s="306" t="str">
        <f t="shared" si="2"/>
        <v/>
      </c>
      <c r="K492" s="326"/>
      <c r="L492" s="309"/>
      <c r="M492" s="308"/>
      <c r="N492" s="309"/>
      <c r="O492" s="322"/>
      <c r="P492" s="308"/>
      <c r="Q492" s="311"/>
      <c r="R492" s="309"/>
      <c r="S492" s="308"/>
      <c r="T492" s="309"/>
      <c r="U492" s="309"/>
      <c r="V492" s="308"/>
      <c r="W492" s="309"/>
      <c r="X492" s="309"/>
      <c r="Y492" s="308"/>
      <c r="Z492" s="309"/>
      <c r="AA492" s="312"/>
      <c r="AB492" s="308"/>
      <c r="AC492" s="308"/>
      <c r="AD492" s="312"/>
      <c r="AE492" s="308"/>
      <c r="AF492" s="313"/>
      <c r="AG492" s="304"/>
      <c r="AH492" s="308"/>
      <c r="AI492" s="313"/>
      <c r="AJ492" s="304"/>
      <c r="AK492" s="308"/>
      <c r="AL492" s="308"/>
      <c r="AM492" s="304"/>
      <c r="AN492" s="308"/>
      <c r="AO492" s="313"/>
      <c r="AP492" s="304"/>
      <c r="AQ492" s="308"/>
      <c r="AR492" s="313"/>
      <c r="AS492" s="304"/>
      <c r="AT492" s="308"/>
      <c r="AU492" s="308"/>
      <c r="AV492" s="304"/>
      <c r="AW492" s="308"/>
      <c r="AX492" s="308"/>
      <c r="AY492" s="304"/>
      <c r="AZ492" s="308"/>
      <c r="BA492" s="313"/>
      <c r="BB492" s="304"/>
      <c r="BC492" s="308"/>
      <c r="BD492" s="308"/>
    </row>
    <row r="493">
      <c r="A493" s="301"/>
      <c r="B493" s="301"/>
      <c r="C493" s="303"/>
      <c r="D493" s="301"/>
      <c r="E493" s="309"/>
      <c r="F493" s="301"/>
      <c r="G493" s="301"/>
      <c r="H493" s="309"/>
      <c r="I493" s="305" t="str">
        <f t="shared" si="1"/>
        <v/>
      </c>
      <c r="J493" s="306" t="str">
        <f t="shared" si="2"/>
        <v/>
      </c>
      <c r="K493" s="326"/>
      <c r="L493" s="309"/>
      <c r="M493" s="308"/>
      <c r="N493" s="309"/>
      <c r="O493" s="322"/>
      <c r="P493" s="308"/>
      <c r="Q493" s="311"/>
      <c r="R493" s="309"/>
      <c r="S493" s="308"/>
      <c r="T493" s="309"/>
      <c r="U493" s="309"/>
      <c r="V493" s="308"/>
      <c r="W493" s="309"/>
      <c r="X493" s="309"/>
      <c r="Y493" s="308"/>
      <c r="Z493" s="309"/>
      <c r="AA493" s="312"/>
      <c r="AB493" s="308"/>
      <c r="AC493" s="308"/>
      <c r="AD493" s="312"/>
      <c r="AE493" s="308"/>
      <c r="AF493" s="313"/>
      <c r="AG493" s="304"/>
      <c r="AH493" s="308"/>
      <c r="AI493" s="313"/>
      <c r="AJ493" s="304"/>
      <c r="AK493" s="308"/>
      <c r="AL493" s="308"/>
      <c r="AM493" s="304"/>
      <c r="AN493" s="308"/>
      <c r="AO493" s="313"/>
      <c r="AP493" s="304"/>
      <c r="AQ493" s="308"/>
      <c r="AR493" s="313"/>
      <c r="AS493" s="304"/>
      <c r="AT493" s="308"/>
      <c r="AU493" s="308"/>
      <c r="AV493" s="304"/>
      <c r="AW493" s="308"/>
      <c r="AX493" s="308"/>
      <c r="AY493" s="304"/>
      <c r="AZ493" s="308"/>
      <c r="BA493" s="313"/>
      <c r="BB493" s="304"/>
      <c r="BC493" s="308"/>
      <c r="BD493" s="308"/>
    </row>
    <row r="494">
      <c r="A494" s="301"/>
      <c r="B494" s="301"/>
      <c r="C494" s="303"/>
      <c r="D494" s="301"/>
      <c r="E494" s="309"/>
      <c r="F494" s="301"/>
      <c r="G494" s="301"/>
      <c r="H494" s="309"/>
      <c r="I494" s="305" t="str">
        <f t="shared" si="1"/>
        <v/>
      </c>
      <c r="J494" s="306" t="str">
        <f t="shared" si="2"/>
        <v/>
      </c>
      <c r="K494" s="326"/>
      <c r="L494" s="309"/>
      <c r="M494" s="308"/>
      <c r="N494" s="309"/>
      <c r="O494" s="322"/>
      <c r="P494" s="308"/>
      <c r="Q494" s="311"/>
      <c r="R494" s="309"/>
      <c r="S494" s="308"/>
      <c r="T494" s="309"/>
      <c r="U494" s="309"/>
      <c r="V494" s="308"/>
      <c r="W494" s="309"/>
      <c r="X494" s="309"/>
      <c r="Y494" s="308"/>
      <c r="Z494" s="309"/>
      <c r="AA494" s="312"/>
      <c r="AB494" s="308"/>
      <c r="AC494" s="308"/>
      <c r="AD494" s="312"/>
      <c r="AE494" s="308"/>
      <c r="AF494" s="313"/>
      <c r="AG494" s="304"/>
      <c r="AH494" s="308"/>
      <c r="AI494" s="313"/>
      <c r="AJ494" s="304"/>
      <c r="AK494" s="308"/>
      <c r="AL494" s="308"/>
      <c r="AM494" s="304"/>
      <c r="AN494" s="308"/>
      <c r="AO494" s="313"/>
      <c r="AP494" s="304"/>
      <c r="AQ494" s="308"/>
      <c r="AR494" s="313"/>
      <c r="AS494" s="304"/>
      <c r="AT494" s="308"/>
      <c r="AU494" s="308"/>
      <c r="AV494" s="304"/>
      <c r="AW494" s="308"/>
      <c r="AX494" s="308"/>
      <c r="AY494" s="304"/>
      <c r="AZ494" s="308"/>
      <c r="BA494" s="313"/>
      <c r="BB494" s="304"/>
      <c r="BC494" s="308"/>
      <c r="BD494" s="308"/>
    </row>
    <row r="495">
      <c r="A495" s="301"/>
      <c r="B495" s="301"/>
      <c r="C495" s="303"/>
      <c r="D495" s="301"/>
      <c r="E495" s="309"/>
      <c r="F495" s="301"/>
      <c r="G495" s="301"/>
      <c r="H495" s="309"/>
      <c r="I495" s="305" t="str">
        <f t="shared" si="1"/>
        <v/>
      </c>
      <c r="J495" s="306" t="str">
        <f t="shared" si="2"/>
        <v/>
      </c>
      <c r="K495" s="326"/>
      <c r="L495" s="309"/>
      <c r="M495" s="308"/>
      <c r="N495" s="309"/>
      <c r="O495" s="322"/>
      <c r="P495" s="308"/>
      <c r="Q495" s="311"/>
      <c r="R495" s="309"/>
      <c r="S495" s="308"/>
      <c r="T495" s="309"/>
      <c r="U495" s="309"/>
      <c r="V495" s="308"/>
      <c r="W495" s="309"/>
      <c r="X495" s="309"/>
      <c r="Y495" s="308"/>
      <c r="Z495" s="309"/>
      <c r="AA495" s="312"/>
      <c r="AB495" s="308"/>
      <c r="AC495" s="308"/>
      <c r="AD495" s="312"/>
      <c r="AE495" s="308"/>
      <c r="AF495" s="313"/>
      <c r="AG495" s="304"/>
      <c r="AH495" s="308"/>
      <c r="AI495" s="313"/>
      <c r="AJ495" s="304"/>
      <c r="AK495" s="308"/>
      <c r="AL495" s="308"/>
      <c r="AM495" s="304"/>
      <c r="AN495" s="308"/>
      <c r="AO495" s="313"/>
      <c r="AP495" s="304"/>
      <c r="AQ495" s="308"/>
      <c r="AR495" s="313"/>
      <c r="AS495" s="304"/>
      <c r="AT495" s="308"/>
      <c r="AU495" s="308"/>
      <c r="AV495" s="304"/>
      <c r="AW495" s="308"/>
      <c r="AX495" s="308"/>
      <c r="AY495" s="304"/>
      <c r="AZ495" s="308"/>
      <c r="BA495" s="313"/>
      <c r="BB495" s="304"/>
      <c r="BC495" s="308"/>
      <c r="BD495" s="308"/>
    </row>
    <row r="496">
      <c r="A496" s="301"/>
      <c r="B496" s="301"/>
      <c r="C496" s="303"/>
      <c r="D496" s="301"/>
      <c r="E496" s="309"/>
      <c r="F496" s="301"/>
      <c r="G496" s="301"/>
      <c r="H496" s="309"/>
      <c r="I496" s="305" t="str">
        <f t="shared" si="1"/>
        <v/>
      </c>
      <c r="J496" s="306" t="str">
        <f t="shared" si="2"/>
        <v/>
      </c>
      <c r="K496" s="326"/>
      <c r="L496" s="309"/>
      <c r="M496" s="308"/>
      <c r="N496" s="309"/>
      <c r="O496" s="322"/>
      <c r="P496" s="308"/>
      <c r="Q496" s="311"/>
      <c r="R496" s="309"/>
      <c r="S496" s="308"/>
      <c r="T496" s="309"/>
      <c r="U496" s="309"/>
      <c r="V496" s="308"/>
      <c r="W496" s="309"/>
      <c r="X496" s="309"/>
      <c r="Y496" s="308"/>
      <c r="Z496" s="309"/>
      <c r="AA496" s="312"/>
      <c r="AB496" s="308"/>
      <c r="AC496" s="308"/>
      <c r="AD496" s="312"/>
      <c r="AE496" s="308"/>
      <c r="AF496" s="313"/>
      <c r="AG496" s="304"/>
      <c r="AH496" s="308"/>
      <c r="AI496" s="313"/>
      <c r="AJ496" s="304"/>
      <c r="AK496" s="308"/>
      <c r="AL496" s="308"/>
      <c r="AM496" s="304"/>
      <c r="AN496" s="308"/>
      <c r="AO496" s="313"/>
      <c r="AP496" s="304"/>
      <c r="AQ496" s="308"/>
      <c r="AR496" s="313"/>
      <c r="AS496" s="304"/>
      <c r="AT496" s="308"/>
      <c r="AU496" s="308"/>
      <c r="AV496" s="304"/>
      <c r="AW496" s="308"/>
      <c r="AX496" s="308"/>
      <c r="AY496" s="304"/>
      <c r="AZ496" s="308"/>
      <c r="BA496" s="313"/>
      <c r="BB496" s="304"/>
      <c r="BC496" s="308"/>
      <c r="BD496" s="308"/>
    </row>
    <row r="497">
      <c r="A497" s="301"/>
      <c r="B497" s="301"/>
      <c r="C497" s="303"/>
      <c r="D497" s="301"/>
      <c r="E497" s="309"/>
      <c r="F497" s="301"/>
      <c r="G497" s="301"/>
      <c r="H497" s="309"/>
      <c r="I497" s="305" t="str">
        <f t="shared" si="1"/>
        <v/>
      </c>
      <c r="J497" s="306" t="str">
        <f t="shared" si="2"/>
        <v/>
      </c>
      <c r="K497" s="326"/>
      <c r="L497" s="309"/>
      <c r="M497" s="308"/>
      <c r="N497" s="309"/>
      <c r="O497" s="322"/>
      <c r="P497" s="308"/>
      <c r="Q497" s="311"/>
      <c r="R497" s="309"/>
      <c r="S497" s="308"/>
      <c r="T497" s="309"/>
      <c r="U497" s="309"/>
      <c r="V497" s="308"/>
      <c r="W497" s="309"/>
      <c r="X497" s="309"/>
      <c r="Y497" s="308"/>
      <c r="Z497" s="309"/>
      <c r="AA497" s="312"/>
      <c r="AB497" s="308"/>
      <c r="AC497" s="308"/>
      <c r="AD497" s="312"/>
      <c r="AE497" s="308"/>
      <c r="AF497" s="313"/>
      <c r="AG497" s="304"/>
      <c r="AH497" s="308"/>
      <c r="AI497" s="313"/>
      <c r="AJ497" s="304"/>
      <c r="AK497" s="308"/>
      <c r="AL497" s="308"/>
      <c r="AM497" s="304"/>
      <c r="AN497" s="308"/>
      <c r="AO497" s="313"/>
      <c r="AP497" s="304"/>
      <c r="AQ497" s="308"/>
      <c r="AR497" s="313"/>
      <c r="AS497" s="304"/>
      <c r="AT497" s="308"/>
      <c r="AU497" s="308"/>
      <c r="AV497" s="304"/>
      <c r="AW497" s="308"/>
      <c r="AX497" s="308"/>
      <c r="AY497" s="304"/>
      <c r="AZ497" s="308"/>
      <c r="BA497" s="313"/>
      <c r="BB497" s="304"/>
      <c r="BC497" s="308"/>
      <c r="BD497" s="308"/>
    </row>
    <row r="498">
      <c r="A498" s="301"/>
      <c r="B498" s="301"/>
      <c r="C498" s="303"/>
      <c r="D498" s="301"/>
      <c r="E498" s="309"/>
      <c r="F498" s="301"/>
      <c r="G498" s="301"/>
      <c r="H498" s="309"/>
      <c r="I498" s="305" t="str">
        <f t="shared" si="1"/>
        <v/>
      </c>
      <c r="J498" s="306" t="str">
        <f t="shared" si="2"/>
        <v/>
      </c>
      <c r="K498" s="326"/>
      <c r="L498" s="309"/>
      <c r="M498" s="308"/>
      <c r="N498" s="309"/>
      <c r="O498" s="322"/>
      <c r="P498" s="308"/>
      <c r="Q498" s="311"/>
      <c r="R498" s="309"/>
      <c r="S498" s="308"/>
      <c r="T498" s="309"/>
      <c r="U498" s="309"/>
      <c r="V498" s="308"/>
      <c r="W498" s="309"/>
      <c r="X498" s="309"/>
      <c r="Y498" s="308"/>
      <c r="Z498" s="309"/>
      <c r="AA498" s="312"/>
      <c r="AB498" s="308"/>
      <c r="AC498" s="308"/>
      <c r="AD498" s="312"/>
      <c r="AE498" s="308"/>
      <c r="AF498" s="313"/>
      <c r="AG498" s="304"/>
      <c r="AH498" s="308"/>
      <c r="AI498" s="313"/>
      <c r="AJ498" s="304"/>
      <c r="AK498" s="308"/>
      <c r="AL498" s="308"/>
      <c r="AM498" s="304"/>
      <c r="AN498" s="308"/>
      <c r="AO498" s="313"/>
      <c r="AP498" s="304"/>
      <c r="AQ498" s="308"/>
      <c r="AR498" s="313"/>
      <c r="AS498" s="304"/>
      <c r="AT498" s="308"/>
      <c r="AU498" s="308"/>
      <c r="AV498" s="304"/>
      <c r="AW498" s="308"/>
      <c r="AX498" s="308"/>
      <c r="AY498" s="304"/>
      <c r="AZ498" s="308"/>
      <c r="BA498" s="313"/>
      <c r="BB498" s="304"/>
      <c r="BC498" s="308"/>
      <c r="BD498" s="308"/>
    </row>
    <row r="499">
      <c r="A499" s="301"/>
      <c r="B499" s="301"/>
      <c r="C499" s="303"/>
      <c r="D499" s="301"/>
      <c r="E499" s="309"/>
      <c r="F499" s="301"/>
      <c r="G499" s="301"/>
      <c r="H499" s="309"/>
      <c r="I499" s="305" t="str">
        <f t="shared" si="1"/>
        <v/>
      </c>
      <c r="J499" s="306" t="str">
        <f t="shared" si="2"/>
        <v/>
      </c>
      <c r="K499" s="326"/>
      <c r="L499" s="309"/>
      <c r="M499" s="308"/>
      <c r="N499" s="309"/>
      <c r="O499" s="322"/>
      <c r="P499" s="308"/>
      <c r="Q499" s="311"/>
      <c r="R499" s="309"/>
      <c r="S499" s="308"/>
      <c r="T499" s="309"/>
      <c r="U499" s="309"/>
      <c r="V499" s="308"/>
      <c r="W499" s="309"/>
      <c r="X499" s="309"/>
      <c r="Y499" s="308"/>
      <c r="Z499" s="309"/>
      <c r="AA499" s="312"/>
      <c r="AB499" s="308"/>
      <c r="AC499" s="308"/>
      <c r="AD499" s="312"/>
      <c r="AE499" s="308"/>
      <c r="AF499" s="313"/>
      <c r="AG499" s="304"/>
      <c r="AH499" s="308"/>
      <c r="AI499" s="313"/>
      <c r="AJ499" s="304"/>
      <c r="AK499" s="308"/>
      <c r="AL499" s="308"/>
      <c r="AM499" s="304"/>
      <c r="AN499" s="308"/>
      <c r="AO499" s="313"/>
      <c r="AP499" s="304"/>
      <c r="AQ499" s="308"/>
      <c r="AR499" s="313"/>
      <c r="AS499" s="304"/>
      <c r="AT499" s="308"/>
      <c r="AU499" s="308"/>
      <c r="AV499" s="304"/>
      <c r="AW499" s="308"/>
      <c r="AX499" s="308"/>
      <c r="AY499" s="304"/>
      <c r="AZ499" s="308"/>
      <c r="BA499" s="313"/>
      <c r="BB499" s="304"/>
      <c r="BC499" s="308"/>
      <c r="BD499" s="308"/>
    </row>
    <row r="500">
      <c r="A500" s="301"/>
      <c r="B500" s="301"/>
      <c r="C500" s="303"/>
      <c r="D500" s="301"/>
      <c r="E500" s="309"/>
      <c r="F500" s="301"/>
      <c r="G500" s="301"/>
      <c r="H500" s="309"/>
      <c r="I500" s="305" t="str">
        <f t="shared" si="1"/>
        <v/>
      </c>
      <c r="J500" s="306" t="str">
        <f t="shared" si="2"/>
        <v/>
      </c>
      <c r="K500" s="326"/>
      <c r="L500" s="309"/>
      <c r="M500" s="308"/>
      <c r="N500" s="309"/>
      <c r="O500" s="322"/>
      <c r="P500" s="308"/>
      <c r="Q500" s="311"/>
      <c r="R500" s="309"/>
      <c r="S500" s="308"/>
      <c r="T500" s="309"/>
      <c r="U500" s="309"/>
      <c r="V500" s="308"/>
      <c r="W500" s="309"/>
      <c r="X500" s="309"/>
      <c r="Y500" s="308"/>
      <c r="Z500" s="309"/>
      <c r="AA500" s="312"/>
      <c r="AB500" s="308"/>
      <c r="AC500" s="308"/>
      <c r="AD500" s="312"/>
      <c r="AE500" s="308"/>
      <c r="AF500" s="313"/>
      <c r="AG500" s="304"/>
      <c r="AH500" s="308"/>
      <c r="AI500" s="313"/>
      <c r="AJ500" s="304"/>
      <c r="AK500" s="308"/>
      <c r="AL500" s="308"/>
      <c r="AM500" s="304"/>
      <c r="AN500" s="308"/>
      <c r="AO500" s="313"/>
      <c r="AP500" s="304"/>
      <c r="AQ500" s="308"/>
      <c r="AR500" s="313"/>
      <c r="AS500" s="304"/>
      <c r="AT500" s="308"/>
      <c r="AU500" s="308"/>
      <c r="AV500" s="304"/>
      <c r="AW500" s="308"/>
      <c r="AX500" s="308"/>
      <c r="AY500" s="304"/>
      <c r="AZ500" s="308"/>
      <c r="BA500" s="313"/>
      <c r="BB500" s="304"/>
      <c r="BC500" s="308"/>
      <c r="BD500" s="308"/>
    </row>
    <row r="501">
      <c r="A501" s="301"/>
      <c r="B501" s="301"/>
      <c r="C501" s="303"/>
      <c r="D501" s="301"/>
      <c r="E501" s="309"/>
      <c r="F501" s="301"/>
      <c r="G501" s="301"/>
      <c r="H501" s="309"/>
      <c r="I501" s="305" t="str">
        <f t="shared" si="1"/>
        <v/>
      </c>
      <c r="J501" s="306" t="str">
        <f t="shared" si="2"/>
        <v/>
      </c>
      <c r="K501" s="326"/>
      <c r="L501" s="309"/>
      <c r="M501" s="308"/>
      <c r="N501" s="309"/>
      <c r="O501" s="322"/>
      <c r="P501" s="308"/>
      <c r="Q501" s="311"/>
      <c r="R501" s="309"/>
      <c r="S501" s="308"/>
      <c r="T501" s="309"/>
      <c r="U501" s="309"/>
      <c r="V501" s="308"/>
      <c r="W501" s="309"/>
      <c r="X501" s="309"/>
      <c r="Y501" s="308"/>
      <c r="Z501" s="309"/>
      <c r="AA501" s="312"/>
      <c r="AB501" s="308"/>
      <c r="AC501" s="308"/>
      <c r="AD501" s="312"/>
      <c r="AE501" s="308"/>
      <c r="AF501" s="313"/>
      <c r="AG501" s="304"/>
      <c r="AH501" s="308"/>
      <c r="AI501" s="313"/>
      <c r="AJ501" s="304"/>
      <c r="AK501" s="308"/>
      <c r="AL501" s="308"/>
      <c r="AM501" s="304"/>
      <c r="AN501" s="308"/>
      <c r="AO501" s="313"/>
      <c r="AP501" s="304"/>
      <c r="AQ501" s="308"/>
      <c r="AR501" s="313"/>
      <c r="AS501" s="304"/>
      <c r="AT501" s="308"/>
      <c r="AU501" s="308"/>
      <c r="AV501" s="304"/>
      <c r="AW501" s="308"/>
      <c r="AX501" s="308"/>
      <c r="AY501" s="304"/>
      <c r="AZ501" s="308"/>
      <c r="BA501" s="313"/>
      <c r="BB501" s="304"/>
      <c r="BC501" s="308"/>
      <c r="BD501" s="308"/>
    </row>
    <row r="502">
      <c r="A502" s="301"/>
      <c r="B502" s="301"/>
      <c r="C502" s="303"/>
      <c r="D502" s="301"/>
      <c r="E502" s="309"/>
      <c r="F502" s="301"/>
      <c r="G502" s="301"/>
      <c r="H502" s="309"/>
      <c r="I502" s="305" t="str">
        <f t="shared" si="1"/>
        <v/>
      </c>
      <c r="J502" s="306" t="str">
        <f t="shared" si="2"/>
        <v/>
      </c>
      <c r="K502" s="326"/>
      <c r="L502" s="309"/>
      <c r="M502" s="308"/>
      <c r="N502" s="309"/>
      <c r="O502" s="322"/>
      <c r="P502" s="308"/>
      <c r="Q502" s="311"/>
      <c r="R502" s="309"/>
      <c r="S502" s="308"/>
      <c r="T502" s="309"/>
      <c r="U502" s="309"/>
      <c r="V502" s="308"/>
      <c r="W502" s="309"/>
      <c r="X502" s="309"/>
      <c r="Y502" s="308"/>
      <c r="Z502" s="309"/>
      <c r="AA502" s="312"/>
      <c r="AB502" s="308"/>
      <c r="AC502" s="308"/>
      <c r="AD502" s="312"/>
      <c r="AE502" s="308"/>
      <c r="AF502" s="313"/>
      <c r="AG502" s="304"/>
      <c r="AH502" s="308"/>
      <c r="AI502" s="313"/>
      <c r="AJ502" s="304"/>
      <c r="AK502" s="308"/>
      <c r="AL502" s="308"/>
      <c r="AM502" s="304"/>
      <c r="AN502" s="308"/>
      <c r="AO502" s="313"/>
      <c r="AP502" s="304"/>
      <c r="AQ502" s="308"/>
      <c r="AR502" s="313"/>
      <c r="AS502" s="304"/>
      <c r="AT502" s="308"/>
      <c r="AU502" s="308"/>
      <c r="AV502" s="304"/>
      <c r="AW502" s="308"/>
      <c r="AX502" s="308"/>
      <c r="AY502" s="304"/>
      <c r="AZ502" s="308"/>
      <c r="BA502" s="313"/>
      <c r="BB502" s="304"/>
      <c r="BC502" s="308"/>
      <c r="BD502" s="308"/>
    </row>
    <row r="503">
      <c r="A503" s="301"/>
      <c r="B503" s="301"/>
      <c r="C503" s="303"/>
      <c r="D503" s="301"/>
      <c r="E503" s="309"/>
      <c r="F503" s="301"/>
      <c r="G503" s="301"/>
      <c r="H503" s="309"/>
      <c r="I503" s="305" t="str">
        <f t="shared" si="1"/>
        <v/>
      </c>
      <c r="J503" s="306" t="str">
        <f t="shared" si="2"/>
        <v/>
      </c>
      <c r="K503" s="326"/>
      <c r="L503" s="309"/>
      <c r="M503" s="308"/>
      <c r="N503" s="309"/>
      <c r="O503" s="322"/>
      <c r="P503" s="308"/>
      <c r="Q503" s="311"/>
      <c r="R503" s="309"/>
      <c r="S503" s="308"/>
      <c r="T503" s="309"/>
      <c r="U503" s="309"/>
      <c r="V503" s="308"/>
      <c r="W503" s="309"/>
      <c r="X503" s="309"/>
      <c r="Y503" s="308"/>
      <c r="Z503" s="309"/>
      <c r="AA503" s="312"/>
      <c r="AB503" s="308"/>
      <c r="AC503" s="308"/>
      <c r="AD503" s="312"/>
      <c r="AE503" s="308"/>
      <c r="AF503" s="313"/>
      <c r="AG503" s="304"/>
      <c r="AH503" s="308"/>
      <c r="AI503" s="313"/>
      <c r="AJ503" s="304"/>
      <c r="AK503" s="308"/>
      <c r="AL503" s="308"/>
      <c r="AM503" s="304"/>
      <c r="AN503" s="308"/>
      <c r="AO503" s="313"/>
      <c r="AP503" s="304"/>
      <c r="AQ503" s="308"/>
      <c r="AR503" s="313"/>
      <c r="AS503" s="304"/>
      <c r="AT503" s="308"/>
      <c r="AU503" s="308"/>
      <c r="AV503" s="304"/>
      <c r="AW503" s="308"/>
      <c r="AX503" s="308"/>
      <c r="AY503" s="304"/>
      <c r="AZ503" s="308"/>
      <c r="BA503" s="313"/>
      <c r="BB503" s="304"/>
      <c r="BC503" s="308"/>
      <c r="BD503" s="308"/>
    </row>
    <row r="504">
      <c r="A504" s="301"/>
      <c r="B504" s="301"/>
      <c r="C504" s="303"/>
      <c r="D504" s="301"/>
      <c r="E504" s="309"/>
      <c r="F504" s="301"/>
      <c r="G504" s="301"/>
      <c r="H504" s="309"/>
      <c r="I504" s="305" t="str">
        <f t="shared" si="1"/>
        <v/>
      </c>
      <c r="J504" s="306" t="str">
        <f t="shared" si="2"/>
        <v/>
      </c>
      <c r="K504" s="326"/>
      <c r="L504" s="309"/>
      <c r="M504" s="308"/>
      <c r="N504" s="309"/>
      <c r="O504" s="322"/>
      <c r="P504" s="308"/>
      <c r="Q504" s="311"/>
      <c r="R504" s="309"/>
      <c r="S504" s="308"/>
      <c r="T504" s="309"/>
      <c r="U504" s="309"/>
      <c r="V504" s="308"/>
      <c r="W504" s="309"/>
      <c r="X504" s="309"/>
      <c r="Y504" s="308"/>
      <c r="Z504" s="309"/>
      <c r="AA504" s="312"/>
      <c r="AB504" s="308"/>
      <c r="AC504" s="308"/>
      <c r="AD504" s="312"/>
      <c r="AE504" s="308"/>
      <c r="AF504" s="313"/>
      <c r="AG504" s="304"/>
      <c r="AH504" s="308"/>
      <c r="AI504" s="313"/>
      <c r="AJ504" s="304"/>
      <c r="AK504" s="308"/>
      <c r="AL504" s="308"/>
      <c r="AM504" s="304"/>
      <c r="AN504" s="308"/>
      <c r="AO504" s="313"/>
      <c r="AP504" s="304"/>
      <c r="AQ504" s="308"/>
      <c r="AR504" s="313"/>
      <c r="AS504" s="304"/>
      <c r="AT504" s="308"/>
      <c r="AU504" s="308"/>
      <c r="AV504" s="304"/>
      <c r="AW504" s="308"/>
      <c r="AX504" s="308"/>
      <c r="AY504" s="304"/>
      <c r="AZ504" s="308"/>
      <c r="BA504" s="313"/>
      <c r="BB504" s="304"/>
      <c r="BC504" s="308"/>
      <c r="BD504" s="308"/>
    </row>
    <row r="505">
      <c r="A505" s="301"/>
      <c r="B505" s="301"/>
      <c r="C505" s="303"/>
      <c r="D505" s="301"/>
      <c r="E505" s="309"/>
      <c r="F505" s="301"/>
      <c r="G505" s="301"/>
      <c r="H505" s="309"/>
      <c r="I505" s="305" t="str">
        <f t="shared" si="1"/>
        <v/>
      </c>
      <c r="J505" s="306" t="str">
        <f t="shared" si="2"/>
        <v/>
      </c>
      <c r="K505" s="326"/>
      <c r="L505" s="309"/>
      <c r="M505" s="308"/>
      <c r="N505" s="309"/>
      <c r="O505" s="322"/>
      <c r="P505" s="308"/>
      <c r="Q505" s="311"/>
      <c r="R505" s="309"/>
      <c r="S505" s="308"/>
      <c r="T505" s="309"/>
      <c r="U505" s="309"/>
      <c r="V505" s="308"/>
      <c r="W505" s="309"/>
      <c r="X505" s="309"/>
      <c r="Y505" s="308"/>
      <c r="Z505" s="309"/>
      <c r="AA505" s="312"/>
      <c r="AB505" s="308"/>
      <c r="AC505" s="308"/>
      <c r="AD505" s="312"/>
      <c r="AE505" s="308"/>
      <c r="AF505" s="313"/>
      <c r="AG505" s="304"/>
      <c r="AH505" s="308"/>
      <c r="AI505" s="313"/>
      <c r="AJ505" s="304"/>
      <c r="AK505" s="308"/>
      <c r="AL505" s="308"/>
      <c r="AM505" s="304"/>
      <c r="AN505" s="308"/>
      <c r="AO505" s="313"/>
      <c r="AP505" s="304"/>
      <c r="AQ505" s="308"/>
      <c r="AR505" s="313"/>
      <c r="AS505" s="304"/>
      <c r="AT505" s="308"/>
      <c r="AU505" s="308"/>
      <c r="AV505" s="304"/>
      <c r="AW505" s="308"/>
      <c r="AX505" s="308"/>
      <c r="AY505" s="304"/>
      <c r="AZ505" s="308"/>
      <c r="BA505" s="313"/>
      <c r="BB505" s="304"/>
      <c r="BC505" s="308"/>
      <c r="BD505" s="308"/>
    </row>
    <row r="506">
      <c r="A506" s="301"/>
      <c r="B506" s="301"/>
      <c r="C506" s="303"/>
      <c r="D506" s="301"/>
      <c r="E506" s="309"/>
      <c r="F506" s="301"/>
      <c r="G506" s="301"/>
      <c r="H506" s="309"/>
      <c r="I506" s="305" t="str">
        <f t="shared" si="1"/>
        <v/>
      </c>
      <c r="J506" s="306" t="str">
        <f t="shared" si="2"/>
        <v/>
      </c>
      <c r="K506" s="326"/>
      <c r="L506" s="309"/>
      <c r="M506" s="308"/>
      <c r="N506" s="309"/>
      <c r="O506" s="322"/>
      <c r="P506" s="308"/>
      <c r="Q506" s="311"/>
      <c r="R506" s="309"/>
      <c r="S506" s="308"/>
      <c r="T506" s="309"/>
      <c r="U506" s="309"/>
      <c r="V506" s="308"/>
      <c r="W506" s="309"/>
      <c r="X506" s="309"/>
      <c r="Y506" s="308"/>
      <c r="Z506" s="309"/>
      <c r="AA506" s="312"/>
      <c r="AB506" s="308"/>
      <c r="AC506" s="308"/>
      <c r="AD506" s="312"/>
      <c r="AE506" s="308"/>
      <c r="AF506" s="313"/>
      <c r="AG506" s="304"/>
      <c r="AH506" s="308"/>
      <c r="AI506" s="313"/>
      <c r="AJ506" s="304"/>
      <c r="AK506" s="308"/>
      <c r="AL506" s="308"/>
      <c r="AM506" s="304"/>
      <c r="AN506" s="308"/>
      <c r="AO506" s="313"/>
      <c r="AP506" s="304"/>
      <c r="AQ506" s="308"/>
      <c r="AR506" s="313"/>
      <c r="AS506" s="304"/>
      <c r="AT506" s="308"/>
      <c r="AU506" s="308"/>
      <c r="AV506" s="304"/>
      <c r="AW506" s="308"/>
      <c r="AX506" s="308"/>
      <c r="AY506" s="304"/>
      <c r="AZ506" s="308"/>
      <c r="BA506" s="313"/>
      <c r="BB506" s="304"/>
      <c r="BC506" s="308"/>
      <c r="BD506" s="308"/>
    </row>
    <row r="507">
      <c r="A507" s="301"/>
      <c r="B507" s="301"/>
      <c r="C507" s="303"/>
      <c r="D507" s="301"/>
      <c r="E507" s="309"/>
      <c r="F507" s="301"/>
      <c r="G507" s="301"/>
      <c r="H507" s="309"/>
      <c r="I507" s="305" t="str">
        <f t="shared" si="1"/>
        <v/>
      </c>
      <c r="J507" s="306" t="str">
        <f t="shared" si="2"/>
        <v/>
      </c>
      <c r="K507" s="326"/>
      <c r="L507" s="309"/>
      <c r="M507" s="308"/>
      <c r="N507" s="309"/>
      <c r="O507" s="322"/>
      <c r="P507" s="308"/>
      <c r="Q507" s="311"/>
      <c r="R507" s="309"/>
      <c r="S507" s="308"/>
      <c r="T507" s="309"/>
      <c r="U507" s="309"/>
      <c r="V507" s="308"/>
      <c r="W507" s="309"/>
      <c r="X507" s="309"/>
      <c r="Y507" s="308"/>
      <c r="Z507" s="309"/>
      <c r="AA507" s="312"/>
      <c r="AB507" s="308"/>
      <c r="AC507" s="308"/>
      <c r="AD507" s="312"/>
      <c r="AE507" s="308"/>
      <c r="AF507" s="313"/>
      <c r="AG507" s="304"/>
      <c r="AH507" s="308"/>
      <c r="AI507" s="313"/>
      <c r="AJ507" s="304"/>
      <c r="AK507" s="308"/>
      <c r="AL507" s="308"/>
      <c r="AM507" s="304"/>
      <c r="AN507" s="308"/>
      <c r="AO507" s="313"/>
      <c r="AP507" s="304"/>
      <c r="AQ507" s="308"/>
      <c r="AR507" s="313"/>
      <c r="AS507" s="304"/>
      <c r="AT507" s="308"/>
      <c r="AU507" s="308"/>
      <c r="AV507" s="304"/>
      <c r="AW507" s="308"/>
      <c r="AX507" s="308"/>
      <c r="AY507" s="304"/>
      <c r="AZ507" s="308"/>
      <c r="BA507" s="313"/>
      <c r="BB507" s="304"/>
      <c r="BC507" s="308"/>
      <c r="BD507" s="308"/>
    </row>
    <row r="508">
      <c r="A508" s="301"/>
      <c r="B508" s="301"/>
      <c r="C508" s="303"/>
      <c r="D508" s="301"/>
      <c r="E508" s="309"/>
      <c r="F508" s="301"/>
      <c r="G508" s="301"/>
      <c r="H508" s="309"/>
      <c r="I508" s="305" t="str">
        <f t="shared" si="1"/>
        <v/>
      </c>
      <c r="J508" s="306" t="str">
        <f t="shared" si="2"/>
        <v/>
      </c>
      <c r="K508" s="326"/>
      <c r="L508" s="309"/>
      <c r="M508" s="308"/>
      <c r="N508" s="309"/>
      <c r="O508" s="322"/>
      <c r="P508" s="308"/>
      <c r="Q508" s="311"/>
      <c r="R508" s="309"/>
      <c r="S508" s="308"/>
      <c r="T508" s="309"/>
      <c r="U508" s="309"/>
      <c r="V508" s="308"/>
      <c r="W508" s="309"/>
      <c r="X508" s="309"/>
      <c r="Y508" s="308"/>
      <c r="Z508" s="309"/>
      <c r="AA508" s="312"/>
      <c r="AB508" s="308"/>
      <c r="AC508" s="308"/>
      <c r="AD508" s="312"/>
      <c r="AE508" s="308"/>
      <c r="AF508" s="313"/>
      <c r="AG508" s="304"/>
      <c r="AH508" s="308"/>
      <c r="AI508" s="313"/>
      <c r="AJ508" s="304"/>
      <c r="AK508" s="308"/>
      <c r="AL508" s="308"/>
      <c r="AM508" s="304"/>
      <c r="AN508" s="308"/>
      <c r="AO508" s="313"/>
      <c r="AP508" s="304"/>
      <c r="AQ508" s="308"/>
      <c r="AR508" s="313"/>
      <c r="AS508" s="304"/>
      <c r="AT508" s="308"/>
      <c r="AU508" s="308"/>
      <c r="AV508" s="304"/>
      <c r="AW508" s="308"/>
      <c r="AX508" s="308"/>
      <c r="AY508" s="304"/>
      <c r="AZ508" s="308"/>
      <c r="BA508" s="313"/>
      <c r="BB508" s="304"/>
      <c r="BC508" s="308"/>
      <c r="BD508" s="308"/>
    </row>
    <row r="509">
      <c r="A509" s="301"/>
      <c r="B509" s="301"/>
      <c r="C509" s="303"/>
      <c r="D509" s="301"/>
      <c r="E509" s="309"/>
      <c r="F509" s="301"/>
      <c r="G509" s="301"/>
      <c r="H509" s="309"/>
      <c r="I509" s="305" t="str">
        <f t="shared" si="1"/>
        <v/>
      </c>
      <c r="J509" s="306" t="str">
        <f t="shared" si="2"/>
        <v/>
      </c>
      <c r="K509" s="326"/>
      <c r="L509" s="309"/>
      <c r="M509" s="308"/>
      <c r="N509" s="309"/>
      <c r="O509" s="322"/>
      <c r="P509" s="308"/>
      <c r="Q509" s="311"/>
      <c r="R509" s="309"/>
      <c r="S509" s="308"/>
      <c r="T509" s="309"/>
      <c r="U509" s="309"/>
      <c r="V509" s="308"/>
      <c r="W509" s="309"/>
      <c r="X509" s="309"/>
      <c r="Y509" s="308"/>
      <c r="Z509" s="309"/>
      <c r="AA509" s="312"/>
      <c r="AB509" s="308"/>
      <c r="AC509" s="308"/>
      <c r="AD509" s="312"/>
      <c r="AE509" s="308"/>
      <c r="AF509" s="313"/>
      <c r="AG509" s="304"/>
      <c r="AH509" s="308"/>
      <c r="AI509" s="313"/>
      <c r="AJ509" s="304"/>
      <c r="AK509" s="308"/>
      <c r="AL509" s="308"/>
      <c r="AM509" s="304"/>
      <c r="AN509" s="308"/>
      <c r="AO509" s="313"/>
      <c r="AP509" s="304"/>
      <c r="AQ509" s="308"/>
      <c r="AR509" s="313"/>
      <c r="AS509" s="304"/>
      <c r="AT509" s="308"/>
      <c r="AU509" s="308"/>
      <c r="AV509" s="304"/>
      <c r="AW509" s="308"/>
      <c r="AX509" s="308"/>
      <c r="AY509" s="304"/>
      <c r="AZ509" s="308"/>
      <c r="BA509" s="313"/>
      <c r="BB509" s="304"/>
      <c r="BC509" s="308"/>
      <c r="BD509" s="308"/>
    </row>
    <row r="510">
      <c r="A510" s="301"/>
      <c r="B510" s="301"/>
      <c r="C510" s="303"/>
      <c r="D510" s="301"/>
      <c r="E510" s="309"/>
      <c r="F510" s="301"/>
      <c r="G510" s="301"/>
      <c r="H510" s="309"/>
      <c r="I510" s="305" t="str">
        <f t="shared" si="1"/>
        <v/>
      </c>
      <c r="J510" s="306" t="str">
        <f t="shared" si="2"/>
        <v/>
      </c>
      <c r="K510" s="326"/>
      <c r="L510" s="309"/>
      <c r="M510" s="308"/>
      <c r="N510" s="309"/>
      <c r="O510" s="322"/>
      <c r="P510" s="308"/>
      <c r="Q510" s="311"/>
      <c r="R510" s="309"/>
      <c r="S510" s="308"/>
      <c r="T510" s="309"/>
      <c r="U510" s="309"/>
      <c r="V510" s="308"/>
      <c r="W510" s="309"/>
      <c r="X510" s="309"/>
      <c r="Y510" s="308"/>
      <c r="Z510" s="309"/>
      <c r="AA510" s="312"/>
      <c r="AB510" s="308"/>
      <c r="AC510" s="308"/>
      <c r="AD510" s="312"/>
      <c r="AE510" s="308"/>
      <c r="AF510" s="313"/>
      <c r="AG510" s="304"/>
      <c r="AH510" s="308"/>
      <c r="AI510" s="313"/>
      <c r="AJ510" s="304"/>
      <c r="AK510" s="308"/>
      <c r="AL510" s="308"/>
      <c r="AM510" s="304"/>
      <c r="AN510" s="308"/>
      <c r="AO510" s="313"/>
      <c r="AP510" s="304"/>
      <c r="AQ510" s="308"/>
      <c r="AR510" s="313"/>
      <c r="AS510" s="304"/>
      <c r="AT510" s="308"/>
      <c r="AU510" s="308"/>
      <c r="AV510" s="304"/>
      <c r="AW510" s="308"/>
      <c r="AX510" s="308"/>
      <c r="AY510" s="304"/>
      <c r="AZ510" s="308"/>
      <c r="BA510" s="313"/>
      <c r="BB510" s="304"/>
      <c r="BC510" s="308"/>
      <c r="BD510" s="308"/>
    </row>
    <row r="511">
      <c r="A511" s="301"/>
      <c r="B511" s="301"/>
      <c r="C511" s="303"/>
      <c r="D511" s="301"/>
      <c r="E511" s="309"/>
      <c r="F511" s="301"/>
      <c r="G511" s="301"/>
      <c r="H511" s="309"/>
      <c r="I511" s="305" t="str">
        <f t="shared" si="1"/>
        <v/>
      </c>
      <c r="J511" s="306" t="str">
        <f t="shared" si="2"/>
        <v/>
      </c>
      <c r="K511" s="326"/>
      <c r="L511" s="309"/>
      <c r="M511" s="308"/>
      <c r="N511" s="309"/>
      <c r="O511" s="322"/>
      <c r="P511" s="308"/>
      <c r="Q511" s="311"/>
      <c r="R511" s="309"/>
      <c r="S511" s="308"/>
      <c r="T511" s="309"/>
      <c r="U511" s="309"/>
      <c r="V511" s="308"/>
      <c r="W511" s="309"/>
      <c r="X511" s="309"/>
      <c r="Y511" s="308"/>
      <c r="Z511" s="309"/>
      <c r="AA511" s="312"/>
      <c r="AB511" s="308"/>
      <c r="AC511" s="308"/>
      <c r="AD511" s="312"/>
      <c r="AE511" s="308"/>
      <c r="AF511" s="313"/>
      <c r="AG511" s="304"/>
      <c r="AH511" s="308"/>
      <c r="AI511" s="313"/>
      <c r="AJ511" s="304"/>
      <c r="AK511" s="308"/>
      <c r="AL511" s="308"/>
      <c r="AM511" s="304"/>
      <c r="AN511" s="308"/>
      <c r="AO511" s="313"/>
      <c r="AP511" s="304"/>
      <c r="AQ511" s="308"/>
      <c r="AR511" s="313"/>
      <c r="AS511" s="304"/>
      <c r="AT511" s="308"/>
      <c r="AU511" s="308"/>
      <c r="AV511" s="304"/>
      <c r="AW511" s="308"/>
      <c r="AX511" s="308"/>
      <c r="AY511" s="304"/>
      <c r="AZ511" s="308"/>
      <c r="BA511" s="313"/>
      <c r="BB511" s="304"/>
      <c r="BC511" s="308"/>
      <c r="BD511" s="308"/>
    </row>
    <row r="512">
      <c r="A512" s="301"/>
      <c r="B512" s="301"/>
      <c r="C512" s="303"/>
      <c r="D512" s="301"/>
      <c r="E512" s="309"/>
      <c r="F512" s="301"/>
      <c r="G512" s="301"/>
      <c r="H512" s="309"/>
      <c r="I512" s="305" t="str">
        <f t="shared" si="1"/>
        <v/>
      </c>
      <c r="J512" s="306" t="str">
        <f t="shared" si="2"/>
        <v/>
      </c>
      <c r="K512" s="326"/>
      <c r="L512" s="309"/>
      <c r="M512" s="308"/>
      <c r="N512" s="309"/>
      <c r="O512" s="322"/>
      <c r="P512" s="308"/>
      <c r="Q512" s="311"/>
      <c r="R512" s="309"/>
      <c r="S512" s="308"/>
      <c r="T512" s="309"/>
      <c r="U512" s="309"/>
      <c r="V512" s="308"/>
      <c r="W512" s="309"/>
      <c r="X512" s="309"/>
      <c r="Y512" s="308"/>
      <c r="Z512" s="309"/>
      <c r="AA512" s="312"/>
      <c r="AB512" s="308"/>
      <c r="AC512" s="308"/>
      <c r="AD512" s="312"/>
      <c r="AE512" s="308"/>
      <c r="AF512" s="313"/>
      <c r="AG512" s="304"/>
      <c r="AH512" s="308"/>
      <c r="AI512" s="313"/>
      <c r="AJ512" s="304"/>
      <c r="AK512" s="308"/>
      <c r="AL512" s="308"/>
      <c r="AM512" s="304"/>
      <c r="AN512" s="308"/>
      <c r="AO512" s="313"/>
      <c r="AP512" s="304"/>
      <c r="AQ512" s="308"/>
      <c r="AR512" s="313"/>
      <c r="AS512" s="304"/>
      <c r="AT512" s="308"/>
      <c r="AU512" s="308"/>
      <c r="AV512" s="304"/>
      <c r="AW512" s="308"/>
      <c r="AX512" s="308"/>
      <c r="AY512" s="304"/>
      <c r="AZ512" s="308"/>
      <c r="BA512" s="313"/>
      <c r="BB512" s="304"/>
      <c r="BC512" s="308"/>
      <c r="BD512" s="308"/>
    </row>
    <row r="513">
      <c r="A513" s="301"/>
      <c r="B513" s="301"/>
      <c r="C513" s="303"/>
      <c r="D513" s="301"/>
      <c r="E513" s="309"/>
      <c r="F513" s="301"/>
      <c r="G513" s="301"/>
      <c r="H513" s="309"/>
      <c r="I513" s="305" t="str">
        <f t="shared" si="1"/>
        <v/>
      </c>
      <c r="J513" s="306" t="str">
        <f t="shared" si="2"/>
        <v/>
      </c>
      <c r="K513" s="326"/>
      <c r="L513" s="309"/>
      <c r="M513" s="308"/>
      <c r="N513" s="309"/>
      <c r="O513" s="322"/>
      <c r="P513" s="308"/>
      <c r="Q513" s="311"/>
      <c r="R513" s="309"/>
      <c r="S513" s="308"/>
      <c r="T513" s="309"/>
      <c r="U513" s="309"/>
      <c r="V513" s="308"/>
      <c r="W513" s="309"/>
      <c r="X513" s="309"/>
      <c r="Y513" s="308"/>
      <c r="Z513" s="309"/>
      <c r="AA513" s="312"/>
      <c r="AB513" s="308"/>
      <c r="AC513" s="308"/>
      <c r="AD513" s="312"/>
      <c r="AE513" s="308"/>
      <c r="AF513" s="313"/>
      <c r="AG513" s="304"/>
      <c r="AH513" s="308"/>
      <c r="AI513" s="313"/>
      <c r="AJ513" s="304"/>
      <c r="AK513" s="308"/>
      <c r="AL513" s="308"/>
      <c r="AM513" s="304"/>
      <c r="AN513" s="308"/>
      <c r="AO513" s="313"/>
      <c r="AP513" s="304"/>
      <c r="AQ513" s="308"/>
      <c r="AR513" s="313"/>
      <c r="AS513" s="304"/>
      <c r="AT513" s="308"/>
      <c r="AU513" s="308"/>
      <c r="AV513" s="304"/>
      <c r="AW513" s="308"/>
      <c r="AX513" s="308"/>
      <c r="AY513" s="304"/>
      <c r="AZ513" s="308"/>
      <c r="BA513" s="313"/>
      <c r="BB513" s="304"/>
      <c r="BC513" s="308"/>
      <c r="BD513" s="308"/>
    </row>
    <row r="514">
      <c r="A514" s="301"/>
      <c r="B514" s="301"/>
      <c r="C514" s="303"/>
      <c r="D514" s="301"/>
      <c r="E514" s="309"/>
      <c r="F514" s="301"/>
      <c r="G514" s="301"/>
      <c r="H514" s="309"/>
      <c r="I514" s="305" t="str">
        <f t="shared" si="1"/>
        <v/>
      </c>
      <c r="J514" s="306" t="str">
        <f t="shared" si="2"/>
        <v/>
      </c>
      <c r="K514" s="326"/>
      <c r="L514" s="309"/>
      <c r="M514" s="308"/>
      <c r="N514" s="309"/>
      <c r="O514" s="322"/>
      <c r="P514" s="308"/>
      <c r="Q514" s="311"/>
      <c r="R514" s="309"/>
      <c r="S514" s="308"/>
      <c r="T514" s="309"/>
      <c r="U514" s="309"/>
      <c r="V514" s="308"/>
      <c r="W514" s="309"/>
      <c r="X514" s="309"/>
      <c r="Y514" s="308"/>
      <c r="Z514" s="309"/>
      <c r="AA514" s="312"/>
      <c r="AB514" s="308"/>
      <c r="AC514" s="308"/>
      <c r="AD514" s="312"/>
      <c r="AE514" s="308"/>
      <c r="AF514" s="313"/>
      <c r="AG514" s="304"/>
      <c r="AH514" s="308"/>
      <c r="AI514" s="313"/>
      <c r="AJ514" s="304"/>
      <c r="AK514" s="308"/>
      <c r="AL514" s="308"/>
      <c r="AM514" s="304"/>
      <c r="AN514" s="308"/>
      <c r="AO514" s="313"/>
      <c r="AP514" s="304"/>
      <c r="AQ514" s="308"/>
      <c r="AR514" s="313"/>
      <c r="AS514" s="304"/>
      <c r="AT514" s="308"/>
      <c r="AU514" s="308"/>
      <c r="AV514" s="304"/>
      <c r="AW514" s="308"/>
      <c r="AX514" s="308"/>
      <c r="AY514" s="304"/>
      <c r="AZ514" s="308"/>
      <c r="BA514" s="313"/>
      <c r="BB514" s="304"/>
      <c r="BC514" s="308"/>
      <c r="BD514" s="308"/>
    </row>
    <row r="515">
      <c r="A515" s="301"/>
      <c r="B515" s="301"/>
      <c r="C515" s="303"/>
      <c r="D515" s="301"/>
      <c r="E515" s="309"/>
      <c r="F515" s="301"/>
      <c r="G515" s="301"/>
      <c r="H515" s="309"/>
      <c r="I515" s="305" t="str">
        <f t="shared" si="1"/>
        <v/>
      </c>
      <c r="J515" s="306" t="str">
        <f t="shared" si="2"/>
        <v/>
      </c>
      <c r="K515" s="326"/>
      <c r="L515" s="309"/>
      <c r="M515" s="308"/>
      <c r="N515" s="309"/>
      <c r="O515" s="322"/>
      <c r="P515" s="308"/>
      <c r="Q515" s="311"/>
      <c r="R515" s="309"/>
      <c r="S515" s="308"/>
      <c r="T515" s="309"/>
      <c r="U515" s="309"/>
      <c r="V515" s="308"/>
      <c r="W515" s="309"/>
      <c r="X515" s="309"/>
      <c r="Y515" s="308"/>
      <c r="Z515" s="309"/>
      <c r="AA515" s="312"/>
      <c r="AB515" s="308"/>
      <c r="AC515" s="308"/>
      <c r="AD515" s="312"/>
      <c r="AE515" s="308"/>
      <c r="AF515" s="313"/>
      <c r="AG515" s="304"/>
      <c r="AH515" s="308"/>
      <c r="AI515" s="313"/>
      <c r="AJ515" s="304"/>
      <c r="AK515" s="308"/>
      <c r="AL515" s="308"/>
      <c r="AM515" s="304"/>
      <c r="AN515" s="308"/>
      <c r="AO515" s="313"/>
      <c r="AP515" s="304"/>
      <c r="AQ515" s="308"/>
      <c r="AR515" s="313"/>
      <c r="AS515" s="304"/>
      <c r="AT515" s="308"/>
      <c r="AU515" s="308"/>
      <c r="AV515" s="304"/>
      <c r="AW515" s="308"/>
      <c r="AX515" s="308"/>
      <c r="AY515" s="304"/>
      <c r="AZ515" s="308"/>
      <c r="BA515" s="313"/>
      <c r="BB515" s="304"/>
      <c r="BC515" s="308"/>
      <c r="BD515" s="308"/>
    </row>
    <row r="516">
      <c r="A516" s="301"/>
      <c r="B516" s="301"/>
      <c r="C516" s="303"/>
      <c r="D516" s="301"/>
      <c r="E516" s="309"/>
      <c r="F516" s="301"/>
      <c r="G516" s="301"/>
      <c r="H516" s="309"/>
      <c r="I516" s="305" t="str">
        <f t="shared" si="1"/>
        <v/>
      </c>
      <c r="J516" s="306" t="str">
        <f t="shared" si="2"/>
        <v/>
      </c>
      <c r="K516" s="326"/>
      <c r="L516" s="309"/>
      <c r="M516" s="308"/>
      <c r="N516" s="309"/>
      <c r="O516" s="322"/>
      <c r="P516" s="308"/>
      <c r="Q516" s="311"/>
      <c r="R516" s="309"/>
      <c r="S516" s="308"/>
      <c r="T516" s="309"/>
      <c r="U516" s="309"/>
      <c r="V516" s="308"/>
      <c r="W516" s="309"/>
      <c r="X516" s="309"/>
      <c r="Y516" s="308"/>
      <c r="Z516" s="309"/>
      <c r="AA516" s="312"/>
      <c r="AB516" s="308"/>
      <c r="AC516" s="308"/>
      <c r="AD516" s="312"/>
      <c r="AE516" s="308"/>
      <c r="AF516" s="313"/>
      <c r="AG516" s="304"/>
      <c r="AH516" s="308"/>
      <c r="AI516" s="313"/>
      <c r="AJ516" s="304"/>
      <c r="AK516" s="308"/>
      <c r="AL516" s="308"/>
      <c r="AM516" s="304"/>
      <c r="AN516" s="308"/>
      <c r="AO516" s="313"/>
      <c r="AP516" s="304"/>
      <c r="AQ516" s="308"/>
      <c r="AR516" s="313"/>
      <c r="AS516" s="304"/>
      <c r="AT516" s="308"/>
      <c r="AU516" s="308"/>
      <c r="AV516" s="304"/>
      <c r="AW516" s="308"/>
      <c r="AX516" s="308"/>
      <c r="AY516" s="304"/>
      <c r="AZ516" s="308"/>
      <c r="BA516" s="313"/>
      <c r="BB516" s="304"/>
      <c r="BC516" s="308"/>
      <c r="BD516" s="308"/>
    </row>
    <row r="517">
      <c r="A517" s="301"/>
      <c r="B517" s="301"/>
      <c r="C517" s="303"/>
      <c r="D517" s="301"/>
      <c r="E517" s="309"/>
      <c r="F517" s="301"/>
      <c r="G517" s="301"/>
      <c r="H517" s="309"/>
      <c r="I517" s="305" t="str">
        <f t="shared" si="1"/>
        <v/>
      </c>
      <c r="J517" s="306" t="str">
        <f t="shared" si="2"/>
        <v/>
      </c>
      <c r="K517" s="326"/>
      <c r="L517" s="309"/>
      <c r="M517" s="308"/>
      <c r="N517" s="309"/>
      <c r="O517" s="322"/>
      <c r="P517" s="308"/>
      <c r="Q517" s="311"/>
      <c r="R517" s="309"/>
      <c r="S517" s="308"/>
      <c r="T517" s="309"/>
      <c r="U517" s="309"/>
      <c r="V517" s="308"/>
      <c r="W517" s="309"/>
      <c r="X517" s="309"/>
      <c r="Y517" s="308"/>
      <c r="Z517" s="309"/>
      <c r="AA517" s="312"/>
      <c r="AB517" s="308"/>
      <c r="AC517" s="308"/>
      <c r="AD517" s="312"/>
      <c r="AE517" s="308"/>
      <c r="AF517" s="313"/>
      <c r="AG517" s="304"/>
      <c r="AH517" s="308"/>
      <c r="AI517" s="313"/>
      <c r="AJ517" s="304"/>
      <c r="AK517" s="308"/>
      <c r="AL517" s="308"/>
      <c r="AM517" s="304"/>
      <c r="AN517" s="308"/>
      <c r="AO517" s="313"/>
      <c r="AP517" s="304"/>
      <c r="AQ517" s="308"/>
      <c r="AR517" s="313"/>
      <c r="AS517" s="304"/>
      <c r="AT517" s="308"/>
      <c r="AU517" s="308"/>
      <c r="AV517" s="304"/>
      <c r="AW517" s="308"/>
      <c r="AX517" s="308"/>
      <c r="AY517" s="304"/>
      <c r="AZ517" s="308"/>
      <c r="BA517" s="313"/>
      <c r="BB517" s="304"/>
      <c r="BC517" s="308"/>
      <c r="BD517" s="308"/>
    </row>
    <row r="518">
      <c r="A518" s="301"/>
      <c r="B518" s="301"/>
      <c r="C518" s="303"/>
      <c r="D518" s="301"/>
      <c r="E518" s="309"/>
      <c r="F518" s="301"/>
      <c r="G518" s="301"/>
      <c r="H518" s="309"/>
      <c r="I518" s="305" t="str">
        <f t="shared" si="1"/>
        <v/>
      </c>
      <c r="J518" s="306" t="str">
        <f t="shared" si="2"/>
        <v/>
      </c>
      <c r="K518" s="326"/>
      <c r="L518" s="309"/>
      <c r="M518" s="308"/>
      <c r="N518" s="309"/>
      <c r="O518" s="322"/>
      <c r="P518" s="308"/>
      <c r="Q518" s="311"/>
      <c r="R518" s="309"/>
      <c r="S518" s="308"/>
      <c r="T518" s="309"/>
      <c r="U518" s="309"/>
      <c r="V518" s="308"/>
      <c r="W518" s="309"/>
      <c r="X518" s="309"/>
      <c r="Y518" s="308"/>
      <c r="Z518" s="309"/>
      <c r="AA518" s="312"/>
      <c r="AB518" s="308"/>
      <c r="AC518" s="308"/>
      <c r="AD518" s="312"/>
      <c r="AE518" s="308"/>
      <c r="AF518" s="313"/>
      <c r="AG518" s="304"/>
      <c r="AH518" s="308"/>
      <c r="AI518" s="313"/>
      <c r="AJ518" s="304"/>
      <c r="AK518" s="308"/>
      <c r="AL518" s="308"/>
      <c r="AM518" s="304"/>
      <c r="AN518" s="308"/>
      <c r="AO518" s="313"/>
      <c r="AP518" s="304"/>
      <c r="AQ518" s="308"/>
      <c r="AR518" s="313"/>
      <c r="AS518" s="304"/>
      <c r="AT518" s="308"/>
      <c r="AU518" s="308"/>
      <c r="AV518" s="304"/>
      <c r="AW518" s="308"/>
      <c r="AX518" s="308"/>
      <c r="AY518" s="304"/>
      <c r="AZ518" s="308"/>
      <c r="BA518" s="313"/>
      <c r="BB518" s="304"/>
      <c r="BC518" s="308"/>
      <c r="BD518" s="308"/>
    </row>
    <row r="519">
      <c r="A519" s="301"/>
      <c r="B519" s="301"/>
      <c r="C519" s="303"/>
      <c r="D519" s="301"/>
      <c r="E519" s="309"/>
      <c r="F519" s="301"/>
      <c r="G519" s="301"/>
      <c r="H519" s="309"/>
      <c r="I519" s="305" t="str">
        <f t="shared" si="1"/>
        <v/>
      </c>
      <c r="J519" s="306" t="str">
        <f t="shared" si="2"/>
        <v/>
      </c>
      <c r="K519" s="326"/>
      <c r="L519" s="309"/>
      <c r="M519" s="308"/>
      <c r="N519" s="309"/>
      <c r="O519" s="322"/>
      <c r="P519" s="308"/>
      <c r="Q519" s="311"/>
      <c r="R519" s="309"/>
      <c r="S519" s="308"/>
      <c r="T519" s="309"/>
      <c r="U519" s="309"/>
      <c r="V519" s="308"/>
      <c r="W519" s="309"/>
      <c r="X519" s="309"/>
      <c r="Y519" s="308"/>
      <c r="Z519" s="309"/>
      <c r="AA519" s="312"/>
      <c r="AB519" s="308"/>
      <c r="AC519" s="308"/>
      <c r="AD519" s="312"/>
      <c r="AE519" s="308"/>
      <c r="AF519" s="313"/>
      <c r="AG519" s="304"/>
      <c r="AH519" s="308"/>
      <c r="AI519" s="313"/>
      <c r="AJ519" s="304"/>
      <c r="AK519" s="308"/>
      <c r="AL519" s="308"/>
      <c r="AM519" s="304"/>
      <c r="AN519" s="308"/>
      <c r="AO519" s="313"/>
      <c r="AP519" s="304"/>
      <c r="AQ519" s="308"/>
      <c r="AR519" s="313"/>
      <c r="AS519" s="304"/>
      <c r="AT519" s="308"/>
      <c r="AU519" s="308"/>
      <c r="AV519" s="304"/>
      <c r="AW519" s="308"/>
      <c r="AX519" s="308"/>
      <c r="AY519" s="304"/>
      <c r="AZ519" s="308"/>
      <c r="BA519" s="313"/>
      <c r="BB519" s="304"/>
      <c r="BC519" s="308"/>
      <c r="BD519" s="308"/>
    </row>
    <row r="520">
      <c r="A520" s="301"/>
      <c r="B520" s="301"/>
      <c r="C520" s="303"/>
      <c r="D520" s="301"/>
      <c r="E520" s="309"/>
      <c r="F520" s="301"/>
      <c r="G520" s="301"/>
      <c r="H520" s="309"/>
      <c r="I520" s="305" t="str">
        <f t="shared" si="1"/>
        <v/>
      </c>
      <c r="J520" s="306" t="str">
        <f t="shared" si="2"/>
        <v/>
      </c>
      <c r="K520" s="326"/>
      <c r="L520" s="309"/>
      <c r="M520" s="308"/>
      <c r="N520" s="309"/>
      <c r="O520" s="322"/>
      <c r="P520" s="308"/>
      <c r="Q520" s="311"/>
      <c r="R520" s="309"/>
      <c r="S520" s="308"/>
      <c r="T520" s="309"/>
      <c r="U520" s="309"/>
      <c r="V520" s="308"/>
      <c r="W520" s="309"/>
      <c r="X520" s="309"/>
      <c r="Y520" s="308"/>
      <c r="Z520" s="309"/>
      <c r="AA520" s="312"/>
      <c r="AB520" s="308"/>
      <c r="AC520" s="308"/>
      <c r="AD520" s="312"/>
      <c r="AE520" s="308"/>
      <c r="AF520" s="313"/>
      <c r="AG520" s="304"/>
      <c r="AH520" s="308"/>
      <c r="AI520" s="313"/>
      <c r="AJ520" s="304"/>
      <c r="AK520" s="308"/>
      <c r="AL520" s="308"/>
      <c r="AM520" s="304"/>
      <c r="AN520" s="308"/>
      <c r="AO520" s="313"/>
      <c r="AP520" s="304"/>
      <c r="AQ520" s="308"/>
      <c r="AR520" s="313"/>
      <c r="AS520" s="304"/>
      <c r="AT520" s="308"/>
      <c r="AU520" s="308"/>
      <c r="AV520" s="304"/>
      <c r="AW520" s="308"/>
      <c r="AX520" s="308"/>
      <c r="AY520" s="304"/>
      <c r="AZ520" s="308"/>
      <c r="BA520" s="313"/>
      <c r="BB520" s="304"/>
      <c r="BC520" s="308"/>
      <c r="BD520" s="308"/>
    </row>
    <row r="521">
      <c r="A521" s="301"/>
      <c r="B521" s="301"/>
      <c r="C521" s="303"/>
      <c r="D521" s="301"/>
      <c r="E521" s="309"/>
      <c r="F521" s="301"/>
      <c r="G521" s="301"/>
      <c r="H521" s="309"/>
      <c r="I521" s="305" t="str">
        <f t="shared" si="1"/>
        <v/>
      </c>
      <c r="J521" s="306" t="str">
        <f t="shared" si="2"/>
        <v/>
      </c>
      <c r="K521" s="326"/>
      <c r="L521" s="309"/>
      <c r="M521" s="308"/>
      <c r="N521" s="309"/>
      <c r="O521" s="322"/>
      <c r="P521" s="308"/>
      <c r="Q521" s="311"/>
      <c r="R521" s="309"/>
      <c r="S521" s="308"/>
      <c r="T521" s="309"/>
      <c r="U521" s="309"/>
      <c r="V521" s="308"/>
      <c r="W521" s="309"/>
      <c r="X521" s="309"/>
      <c r="Y521" s="308"/>
      <c r="Z521" s="309"/>
      <c r="AA521" s="312"/>
      <c r="AB521" s="308"/>
      <c r="AC521" s="308"/>
      <c r="AD521" s="312"/>
      <c r="AE521" s="308"/>
      <c r="AF521" s="313"/>
      <c r="AG521" s="304"/>
      <c r="AH521" s="308"/>
      <c r="AI521" s="313"/>
      <c r="AJ521" s="304"/>
      <c r="AK521" s="308"/>
      <c r="AL521" s="308"/>
      <c r="AM521" s="304"/>
      <c r="AN521" s="308"/>
      <c r="AO521" s="313"/>
      <c r="AP521" s="304"/>
      <c r="AQ521" s="308"/>
      <c r="AR521" s="313"/>
      <c r="AS521" s="304"/>
      <c r="AT521" s="308"/>
      <c r="AU521" s="308"/>
      <c r="AV521" s="304"/>
      <c r="AW521" s="308"/>
      <c r="AX521" s="308"/>
      <c r="AY521" s="304"/>
      <c r="AZ521" s="308"/>
      <c r="BA521" s="313"/>
      <c r="BB521" s="304"/>
      <c r="BC521" s="308"/>
      <c r="BD521" s="308"/>
    </row>
    <row r="522">
      <c r="A522" s="301"/>
      <c r="B522" s="301"/>
      <c r="C522" s="303"/>
      <c r="D522" s="301"/>
      <c r="E522" s="309"/>
      <c r="F522" s="301"/>
      <c r="G522" s="301"/>
      <c r="H522" s="309"/>
      <c r="I522" s="305" t="str">
        <f t="shared" si="1"/>
        <v/>
      </c>
      <c r="J522" s="306" t="str">
        <f t="shared" si="2"/>
        <v/>
      </c>
      <c r="K522" s="326"/>
      <c r="L522" s="309"/>
      <c r="M522" s="308"/>
      <c r="N522" s="309"/>
      <c r="O522" s="322"/>
      <c r="P522" s="308"/>
      <c r="Q522" s="311"/>
      <c r="R522" s="309"/>
      <c r="S522" s="308"/>
      <c r="T522" s="309"/>
      <c r="U522" s="309"/>
      <c r="V522" s="308"/>
      <c r="W522" s="309"/>
      <c r="X522" s="309"/>
      <c r="Y522" s="308"/>
      <c r="Z522" s="309"/>
      <c r="AA522" s="312"/>
      <c r="AB522" s="308"/>
      <c r="AC522" s="308"/>
      <c r="AD522" s="312"/>
      <c r="AE522" s="308"/>
      <c r="AF522" s="313"/>
      <c r="AG522" s="304"/>
      <c r="AH522" s="308"/>
      <c r="AI522" s="313"/>
      <c r="AJ522" s="304"/>
      <c r="AK522" s="308"/>
      <c r="AL522" s="308"/>
      <c r="AM522" s="304"/>
      <c r="AN522" s="308"/>
      <c r="AO522" s="313"/>
      <c r="AP522" s="304"/>
      <c r="AQ522" s="308"/>
      <c r="AR522" s="313"/>
      <c r="AS522" s="304"/>
      <c r="AT522" s="308"/>
      <c r="AU522" s="308"/>
      <c r="AV522" s="304"/>
      <c r="AW522" s="308"/>
      <c r="AX522" s="308"/>
      <c r="AY522" s="304"/>
      <c r="AZ522" s="308"/>
      <c r="BA522" s="313"/>
      <c r="BB522" s="304"/>
      <c r="BC522" s="308"/>
      <c r="BD522" s="308"/>
    </row>
    <row r="523">
      <c r="A523" s="301"/>
      <c r="B523" s="301"/>
      <c r="C523" s="303"/>
      <c r="D523" s="301"/>
      <c r="E523" s="309"/>
      <c r="F523" s="301"/>
      <c r="G523" s="301"/>
      <c r="H523" s="309"/>
      <c r="I523" s="305" t="str">
        <f t="shared" si="1"/>
        <v/>
      </c>
      <c r="J523" s="306" t="str">
        <f t="shared" si="2"/>
        <v/>
      </c>
      <c r="K523" s="326"/>
      <c r="L523" s="309"/>
      <c r="M523" s="308"/>
      <c r="N523" s="309"/>
      <c r="O523" s="322"/>
      <c r="P523" s="308"/>
      <c r="Q523" s="311"/>
      <c r="R523" s="309"/>
      <c r="S523" s="308"/>
      <c r="T523" s="309"/>
      <c r="U523" s="309"/>
      <c r="V523" s="308"/>
      <c r="W523" s="309"/>
      <c r="X523" s="309"/>
      <c r="Y523" s="308"/>
      <c r="Z523" s="309"/>
      <c r="AA523" s="312"/>
      <c r="AB523" s="308"/>
      <c r="AC523" s="308"/>
      <c r="AD523" s="312"/>
      <c r="AE523" s="308"/>
      <c r="AF523" s="313"/>
      <c r="AG523" s="304"/>
      <c r="AH523" s="308"/>
      <c r="AI523" s="313"/>
      <c r="AJ523" s="304"/>
      <c r="AK523" s="308"/>
      <c r="AL523" s="308"/>
      <c r="AM523" s="304"/>
      <c r="AN523" s="308"/>
      <c r="AO523" s="313"/>
      <c r="AP523" s="304"/>
      <c r="AQ523" s="308"/>
      <c r="AR523" s="313"/>
      <c r="AS523" s="304"/>
      <c r="AT523" s="308"/>
      <c r="AU523" s="308"/>
      <c r="AV523" s="304"/>
      <c r="AW523" s="308"/>
      <c r="AX523" s="308"/>
      <c r="AY523" s="304"/>
      <c r="AZ523" s="308"/>
      <c r="BA523" s="313"/>
      <c r="BB523" s="304"/>
      <c r="BC523" s="308"/>
      <c r="BD523" s="308"/>
    </row>
    <row r="524">
      <c r="A524" s="301"/>
      <c r="B524" s="301"/>
      <c r="C524" s="303"/>
      <c r="D524" s="301"/>
      <c r="E524" s="309"/>
      <c r="F524" s="301"/>
      <c r="G524" s="301"/>
      <c r="H524" s="309"/>
      <c r="I524" s="305" t="str">
        <f t="shared" si="1"/>
        <v/>
      </c>
      <c r="J524" s="306" t="str">
        <f t="shared" si="2"/>
        <v/>
      </c>
      <c r="K524" s="326"/>
      <c r="L524" s="309"/>
      <c r="M524" s="308"/>
      <c r="N524" s="309"/>
      <c r="O524" s="322"/>
      <c r="P524" s="308"/>
      <c r="Q524" s="311"/>
      <c r="R524" s="309"/>
      <c r="S524" s="308"/>
      <c r="T524" s="309"/>
      <c r="U524" s="309"/>
      <c r="V524" s="308"/>
      <c r="W524" s="309"/>
      <c r="X524" s="309"/>
      <c r="Y524" s="308"/>
      <c r="Z524" s="309"/>
      <c r="AA524" s="312"/>
      <c r="AB524" s="308"/>
      <c r="AC524" s="308"/>
      <c r="AD524" s="312"/>
      <c r="AE524" s="308"/>
      <c r="AF524" s="313"/>
      <c r="AG524" s="304"/>
      <c r="AH524" s="308"/>
      <c r="AI524" s="313"/>
      <c r="AJ524" s="304"/>
      <c r="AK524" s="308"/>
      <c r="AL524" s="308"/>
      <c r="AM524" s="304"/>
      <c r="AN524" s="308"/>
      <c r="AO524" s="313"/>
      <c r="AP524" s="304"/>
      <c r="AQ524" s="308"/>
      <c r="AR524" s="313"/>
      <c r="AS524" s="304"/>
      <c r="AT524" s="308"/>
      <c r="AU524" s="308"/>
      <c r="AV524" s="304"/>
      <c r="AW524" s="308"/>
      <c r="AX524" s="308"/>
      <c r="AY524" s="304"/>
      <c r="AZ524" s="308"/>
      <c r="BA524" s="313"/>
      <c r="BB524" s="304"/>
      <c r="BC524" s="308"/>
      <c r="BD524" s="308"/>
    </row>
    <row r="525">
      <c r="A525" s="301"/>
      <c r="B525" s="301"/>
      <c r="C525" s="303"/>
      <c r="D525" s="301"/>
      <c r="E525" s="309"/>
      <c r="F525" s="301"/>
      <c r="G525" s="301"/>
      <c r="H525" s="309"/>
      <c r="I525" s="305" t="str">
        <f t="shared" si="1"/>
        <v/>
      </c>
      <c r="J525" s="306" t="str">
        <f t="shared" si="2"/>
        <v/>
      </c>
      <c r="K525" s="326"/>
      <c r="L525" s="309"/>
      <c r="M525" s="308"/>
      <c r="N525" s="309"/>
      <c r="O525" s="322"/>
      <c r="P525" s="308"/>
      <c r="Q525" s="311"/>
      <c r="R525" s="309"/>
      <c r="S525" s="308"/>
      <c r="T525" s="309"/>
      <c r="U525" s="309"/>
      <c r="V525" s="308"/>
      <c r="W525" s="309"/>
      <c r="X525" s="309"/>
      <c r="Y525" s="308"/>
      <c r="Z525" s="309"/>
      <c r="AA525" s="312"/>
      <c r="AB525" s="308"/>
      <c r="AC525" s="308"/>
      <c r="AD525" s="312"/>
      <c r="AE525" s="308"/>
      <c r="AF525" s="313"/>
      <c r="AG525" s="304"/>
      <c r="AH525" s="308"/>
      <c r="AI525" s="313"/>
      <c r="AJ525" s="304"/>
      <c r="AK525" s="308"/>
      <c r="AL525" s="308"/>
      <c r="AM525" s="304"/>
      <c r="AN525" s="308"/>
      <c r="AO525" s="313"/>
      <c r="AP525" s="304"/>
      <c r="AQ525" s="308"/>
      <c r="AR525" s="313"/>
      <c r="AS525" s="304"/>
      <c r="AT525" s="308"/>
      <c r="AU525" s="308"/>
      <c r="AV525" s="304"/>
      <c r="AW525" s="308"/>
      <c r="AX525" s="308"/>
      <c r="AY525" s="304"/>
      <c r="AZ525" s="308"/>
      <c r="BA525" s="313"/>
      <c r="BB525" s="304"/>
      <c r="BC525" s="308"/>
      <c r="BD525" s="308"/>
    </row>
    <row r="526">
      <c r="A526" s="301"/>
      <c r="B526" s="301"/>
      <c r="C526" s="303"/>
      <c r="D526" s="301"/>
      <c r="E526" s="309"/>
      <c r="F526" s="301"/>
      <c r="G526" s="301"/>
      <c r="H526" s="309"/>
      <c r="I526" s="305" t="str">
        <f t="shared" si="1"/>
        <v/>
      </c>
      <c r="J526" s="306" t="str">
        <f t="shared" si="2"/>
        <v/>
      </c>
      <c r="K526" s="326"/>
      <c r="L526" s="309"/>
      <c r="M526" s="308"/>
      <c r="N526" s="309"/>
      <c r="O526" s="322"/>
      <c r="P526" s="308"/>
      <c r="Q526" s="311"/>
      <c r="R526" s="309"/>
      <c r="S526" s="308"/>
      <c r="T526" s="309"/>
      <c r="U526" s="309"/>
      <c r="V526" s="308"/>
      <c r="W526" s="309"/>
      <c r="X526" s="309"/>
      <c r="Y526" s="308"/>
      <c r="Z526" s="309"/>
      <c r="AA526" s="312"/>
      <c r="AB526" s="308"/>
      <c r="AC526" s="308"/>
      <c r="AD526" s="312"/>
      <c r="AE526" s="308"/>
      <c r="AF526" s="313"/>
      <c r="AG526" s="304"/>
      <c r="AH526" s="308"/>
      <c r="AI526" s="313"/>
      <c r="AJ526" s="304"/>
      <c r="AK526" s="308"/>
      <c r="AL526" s="308"/>
      <c r="AM526" s="304"/>
      <c r="AN526" s="308"/>
      <c r="AO526" s="313"/>
      <c r="AP526" s="304"/>
      <c r="AQ526" s="308"/>
      <c r="AR526" s="313"/>
      <c r="AS526" s="304"/>
      <c r="AT526" s="308"/>
      <c r="AU526" s="308"/>
      <c r="AV526" s="304"/>
      <c r="AW526" s="308"/>
      <c r="AX526" s="308"/>
      <c r="AY526" s="304"/>
      <c r="AZ526" s="308"/>
      <c r="BA526" s="313"/>
      <c r="BB526" s="304"/>
      <c r="BC526" s="308"/>
      <c r="BD526" s="308"/>
    </row>
    <row r="527">
      <c r="A527" s="301"/>
      <c r="B527" s="301"/>
      <c r="C527" s="303"/>
      <c r="D527" s="301"/>
      <c r="E527" s="309"/>
      <c r="F527" s="301"/>
      <c r="G527" s="301"/>
      <c r="H527" s="309"/>
      <c r="I527" s="305" t="str">
        <f t="shared" si="1"/>
        <v/>
      </c>
      <c r="J527" s="306" t="str">
        <f t="shared" si="2"/>
        <v/>
      </c>
      <c r="K527" s="326"/>
      <c r="L527" s="309"/>
      <c r="M527" s="308"/>
      <c r="N527" s="309"/>
      <c r="O527" s="322"/>
      <c r="P527" s="308"/>
      <c r="Q527" s="311"/>
      <c r="R527" s="309"/>
      <c r="S527" s="308"/>
      <c r="T527" s="309"/>
      <c r="U527" s="309"/>
      <c r="V527" s="308"/>
      <c r="W527" s="309"/>
      <c r="X527" s="309"/>
      <c r="Y527" s="308"/>
      <c r="Z527" s="309"/>
      <c r="AA527" s="312"/>
      <c r="AB527" s="308"/>
      <c r="AC527" s="308"/>
      <c r="AD527" s="312"/>
      <c r="AE527" s="308"/>
      <c r="AF527" s="313"/>
      <c r="AG527" s="304"/>
      <c r="AH527" s="308"/>
      <c r="AI527" s="313"/>
      <c r="AJ527" s="304"/>
      <c r="AK527" s="308"/>
      <c r="AL527" s="308"/>
      <c r="AM527" s="304"/>
      <c r="AN527" s="308"/>
      <c r="AO527" s="313"/>
      <c r="AP527" s="304"/>
      <c r="AQ527" s="308"/>
      <c r="AR527" s="313"/>
      <c r="AS527" s="304"/>
      <c r="AT527" s="308"/>
      <c r="AU527" s="308"/>
      <c r="AV527" s="304"/>
      <c r="AW527" s="308"/>
      <c r="AX527" s="308"/>
      <c r="AY527" s="304"/>
      <c r="AZ527" s="308"/>
      <c r="BA527" s="313"/>
      <c r="BB527" s="304"/>
      <c r="BC527" s="308"/>
      <c r="BD527" s="308"/>
    </row>
    <row r="528">
      <c r="A528" s="301"/>
      <c r="B528" s="301"/>
      <c r="C528" s="303"/>
      <c r="D528" s="301"/>
      <c r="E528" s="309"/>
      <c r="F528" s="301"/>
      <c r="G528" s="301"/>
      <c r="H528" s="309"/>
      <c r="I528" s="305" t="str">
        <f t="shared" si="1"/>
        <v/>
      </c>
      <c r="J528" s="306" t="str">
        <f t="shared" si="2"/>
        <v/>
      </c>
      <c r="K528" s="326"/>
      <c r="L528" s="309"/>
      <c r="M528" s="308"/>
      <c r="N528" s="309"/>
      <c r="O528" s="322"/>
      <c r="P528" s="308"/>
      <c r="Q528" s="311"/>
      <c r="R528" s="309"/>
      <c r="S528" s="308"/>
      <c r="T528" s="309"/>
      <c r="U528" s="309"/>
      <c r="V528" s="308"/>
      <c r="W528" s="309"/>
      <c r="X528" s="309"/>
      <c r="Y528" s="308"/>
      <c r="Z528" s="309"/>
      <c r="AA528" s="312"/>
      <c r="AB528" s="308"/>
      <c r="AC528" s="308"/>
      <c r="AD528" s="312"/>
      <c r="AE528" s="308"/>
      <c r="AF528" s="313"/>
      <c r="AG528" s="304"/>
      <c r="AH528" s="308"/>
      <c r="AI528" s="313"/>
      <c r="AJ528" s="304"/>
      <c r="AK528" s="308"/>
      <c r="AL528" s="308"/>
      <c r="AM528" s="304"/>
      <c r="AN528" s="308"/>
      <c r="AO528" s="313"/>
      <c r="AP528" s="304"/>
      <c r="AQ528" s="308"/>
      <c r="AR528" s="313"/>
      <c r="AS528" s="304"/>
      <c r="AT528" s="308"/>
      <c r="AU528" s="308"/>
      <c r="AV528" s="304"/>
      <c r="AW528" s="308"/>
      <c r="AX528" s="308"/>
      <c r="AY528" s="304"/>
      <c r="AZ528" s="308"/>
      <c r="BA528" s="313"/>
      <c r="BB528" s="304"/>
      <c r="BC528" s="308"/>
      <c r="BD528" s="308"/>
    </row>
    <row r="529">
      <c r="A529" s="301"/>
      <c r="B529" s="301"/>
      <c r="C529" s="303"/>
      <c r="D529" s="301"/>
      <c r="E529" s="309"/>
      <c r="F529" s="301"/>
      <c r="G529" s="301"/>
      <c r="H529" s="309"/>
      <c r="I529" s="305" t="str">
        <f t="shared" si="1"/>
        <v/>
      </c>
      <c r="J529" s="306" t="str">
        <f t="shared" si="2"/>
        <v/>
      </c>
      <c r="K529" s="326"/>
      <c r="L529" s="309"/>
      <c r="M529" s="308"/>
      <c r="N529" s="309"/>
      <c r="O529" s="322"/>
      <c r="P529" s="308"/>
      <c r="Q529" s="311"/>
      <c r="R529" s="309"/>
      <c r="S529" s="308"/>
      <c r="T529" s="309"/>
      <c r="U529" s="309"/>
      <c r="V529" s="308"/>
      <c r="W529" s="309"/>
      <c r="X529" s="309"/>
      <c r="Y529" s="308"/>
      <c r="Z529" s="309"/>
      <c r="AA529" s="312"/>
      <c r="AB529" s="308"/>
      <c r="AC529" s="308"/>
      <c r="AD529" s="312"/>
      <c r="AE529" s="308"/>
      <c r="AF529" s="313"/>
      <c r="AG529" s="304"/>
      <c r="AH529" s="308"/>
      <c r="AI529" s="313"/>
      <c r="AJ529" s="304"/>
      <c r="AK529" s="308"/>
      <c r="AL529" s="308"/>
      <c r="AM529" s="304"/>
      <c r="AN529" s="308"/>
      <c r="AO529" s="313"/>
      <c r="AP529" s="304"/>
      <c r="AQ529" s="308"/>
      <c r="AR529" s="313"/>
      <c r="AS529" s="304"/>
      <c r="AT529" s="308"/>
      <c r="AU529" s="308"/>
      <c r="AV529" s="304"/>
      <c r="AW529" s="308"/>
      <c r="AX529" s="308"/>
      <c r="AY529" s="304"/>
      <c r="AZ529" s="308"/>
      <c r="BA529" s="313"/>
      <c r="BB529" s="304"/>
      <c r="BC529" s="308"/>
      <c r="BD529" s="308"/>
    </row>
    <row r="530">
      <c r="A530" s="301"/>
      <c r="B530" s="301"/>
      <c r="C530" s="303"/>
      <c r="D530" s="301"/>
      <c r="E530" s="309"/>
      <c r="F530" s="301"/>
      <c r="G530" s="301"/>
      <c r="H530" s="309"/>
      <c r="I530" s="305" t="str">
        <f t="shared" si="1"/>
        <v/>
      </c>
      <c r="J530" s="306" t="str">
        <f t="shared" si="2"/>
        <v/>
      </c>
      <c r="K530" s="326"/>
      <c r="L530" s="309"/>
      <c r="M530" s="308"/>
      <c r="N530" s="309"/>
      <c r="O530" s="322"/>
      <c r="P530" s="308"/>
      <c r="Q530" s="311"/>
      <c r="R530" s="309"/>
      <c r="S530" s="308"/>
      <c r="T530" s="309"/>
      <c r="U530" s="309"/>
      <c r="V530" s="308"/>
      <c r="W530" s="309"/>
      <c r="X530" s="309"/>
      <c r="Y530" s="308"/>
      <c r="Z530" s="309"/>
      <c r="AA530" s="312"/>
      <c r="AB530" s="308"/>
      <c r="AC530" s="308"/>
      <c r="AD530" s="312"/>
      <c r="AE530" s="308"/>
      <c r="AF530" s="313"/>
      <c r="AG530" s="304"/>
      <c r="AH530" s="308"/>
      <c r="AI530" s="313"/>
      <c r="AJ530" s="304"/>
      <c r="AK530" s="308"/>
      <c r="AL530" s="308"/>
      <c r="AM530" s="304"/>
      <c r="AN530" s="308"/>
      <c r="AO530" s="313"/>
      <c r="AP530" s="304"/>
      <c r="AQ530" s="308"/>
      <c r="AR530" s="313"/>
      <c r="AS530" s="304"/>
      <c r="AT530" s="308"/>
      <c r="AU530" s="308"/>
      <c r="AV530" s="304"/>
      <c r="AW530" s="308"/>
      <c r="AX530" s="308"/>
      <c r="AY530" s="304"/>
      <c r="AZ530" s="308"/>
      <c r="BA530" s="313"/>
      <c r="BB530" s="304"/>
      <c r="BC530" s="308"/>
      <c r="BD530" s="308"/>
    </row>
    <row r="531">
      <c r="A531" s="301"/>
      <c r="B531" s="301"/>
      <c r="C531" s="303"/>
      <c r="D531" s="301"/>
      <c r="E531" s="309"/>
      <c r="F531" s="301"/>
      <c r="G531" s="301"/>
      <c r="H531" s="309"/>
      <c r="I531" s="305" t="str">
        <f t="shared" si="1"/>
        <v/>
      </c>
      <c r="J531" s="306"/>
      <c r="K531" s="326"/>
      <c r="L531" s="309"/>
      <c r="M531" s="308"/>
      <c r="N531" s="309"/>
      <c r="O531" s="322"/>
      <c r="P531" s="308"/>
      <c r="Q531" s="311"/>
      <c r="R531" s="309"/>
      <c r="S531" s="308"/>
      <c r="T531" s="309"/>
      <c r="U531" s="309"/>
      <c r="V531" s="308"/>
      <c r="W531" s="309"/>
      <c r="X531" s="309"/>
      <c r="Y531" s="308"/>
      <c r="Z531" s="309"/>
      <c r="AA531" s="312"/>
      <c r="AB531" s="308"/>
      <c r="AC531" s="308"/>
      <c r="AD531" s="312"/>
      <c r="AE531" s="308"/>
      <c r="AF531" s="313"/>
      <c r="AG531" s="304"/>
      <c r="AH531" s="308"/>
      <c r="AI531" s="313"/>
      <c r="AJ531" s="304"/>
      <c r="AK531" s="308"/>
      <c r="AL531" s="308"/>
      <c r="AM531" s="304"/>
      <c r="AN531" s="308"/>
      <c r="AO531" s="313"/>
      <c r="AP531" s="304"/>
      <c r="AQ531" s="308"/>
      <c r="AR531" s="313"/>
      <c r="AS531" s="304"/>
      <c r="AT531" s="308"/>
      <c r="AU531" s="308"/>
      <c r="AV531" s="304"/>
      <c r="AW531" s="308"/>
      <c r="AX531" s="308"/>
      <c r="AY531" s="304"/>
      <c r="AZ531" s="308"/>
      <c r="BA531" s="313"/>
      <c r="BB531" s="304"/>
      <c r="BC531" s="308"/>
      <c r="BD531" s="308"/>
    </row>
    <row r="532">
      <c r="A532" s="301"/>
      <c r="B532" s="301"/>
      <c r="C532" s="303"/>
      <c r="D532" s="301"/>
      <c r="E532" s="309"/>
      <c r="F532" s="301"/>
      <c r="G532" s="301"/>
      <c r="H532" s="309"/>
      <c r="I532" s="305" t="str">
        <f t="shared" si="1"/>
        <v/>
      </c>
      <c r="J532" s="306"/>
      <c r="K532" s="326"/>
      <c r="L532" s="309"/>
      <c r="M532" s="308"/>
      <c r="N532" s="309"/>
      <c r="O532" s="322"/>
      <c r="P532" s="308"/>
      <c r="Q532" s="311"/>
      <c r="R532" s="309"/>
      <c r="S532" s="308"/>
      <c r="T532" s="309"/>
      <c r="U532" s="309"/>
      <c r="V532" s="308"/>
      <c r="W532" s="309"/>
      <c r="X532" s="309"/>
      <c r="Y532" s="308"/>
      <c r="Z532" s="309"/>
      <c r="AA532" s="312"/>
      <c r="AB532" s="308"/>
      <c r="AC532" s="308"/>
      <c r="AD532" s="312"/>
      <c r="AE532" s="308"/>
      <c r="AF532" s="313"/>
      <c r="AG532" s="304"/>
      <c r="AH532" s="308"/>
      <c r="AI532" s="313"/>
      <c r="AJ532" s="304"/>
      <c r="AK532" s="308"/>
      <c r="AL532" s="308"/>
      <c r="AM532" s="304"/>
      <c r="AN532" s="308"/>
      <c r="AO532" s="313"/>
      <c r="AP532" s="304"/>
      <c r="AQ532" s="308"/>
      <c r="AR532" s="313"/>
      <c r="AS532" s="304"/>
      <c r="AT532" s="308"/>
      <c r="AU532" s="308"/>
      <c r="AV532" s="304"/>
      <c r="AW532" s="308"/>
      <c r="AX532" s="308"/>
      <c r="AY532" s="304"/>
      <c r="AZ532" s="308"/>
      <c r="BA532" s="313"/>
      <c r="BB532" s="304"/>
      <c r="BC532" s="308"/>
      <c r="BD532" s="308"/>
    </row>
    <row r="533">
      <c r="A533" s="301"/>
      <c r="B533" s="301"/>
      <c r="C533" s="303"/>
      <c r="D533" s="301"/>
      <c r="E533" s="309"/>
      <c r="F533" s="301"/>
      <c r="G533" s="301"/>
      <c r="H533" s="309"/>
      <c r="I533" s="305" t="str">
        <f t="shared" si="1"/>
        <v/>
      </c>
      <c r="J533" s="306"/>
      <c r="K533" s="326"/>
      <c r="L533" s="309"/>
      <c r="M533" s="308"/>
      <c r="N533" s="309"/>
      <c r="O533" s="322"/>
      <c r="P533" s="308"/>
      <c r="Q533" s="311"/>
      <c r="R533" s="309"/>
      <c r="S533" s="308"/>
      <c r="T533" s="309"/>
      <c r="U533" s="309"/>
      <c r="V533" s="308"/>
      <c r="W533" s="309"/>
      <c r="X533" s="309"/>
      <c r="Y533" s="308"/>
      <c r="Z533" s="309"/>
      <c r="AA533" s="312"/>
      <c r="AB533" s="308"/>
      <c r="AC533" s="308"/>
      <c r="AD533" s="312"/>
      <c r="AE533" s="308"/>
      <c r="AF533" s="313"/>
      <c r="AG533" s="304"/>
      <c r="AH533" s="308"/>
      <c r="AI533" s="313"/>
      <c r="AJ533" s="304"/>
      <c r="AK533" s="308"/>
      <c r="AL533" s="308"/>
      <c r="AM533" s="304"/>
      <c r="AN533" s="308"/>
      <c r="AO533" s="313"/>
      <c r="AP533" s="304"/>
      <c r="AQ533" s="308"/>
      <c r="AR533" s="313"/>
      <c r="AS533" s="304"/>
      <c r="AT533" s="308"/>
      <c r="AU533" s="308"/>
      <c r="AV533" s="304"/>
      <c r="AW533" s="308"/>
      <c r="AX533" s="308"/>
      <c r="AY533" s="304"/>
      <c r="AZ533" s="308"/>
      <c r="BA533" s="313"/>
      <c r="BB533" s="304"/>
      <c r="BC533" s="308"/>
      <c r="BD533" s="308"/>
    </row>
    <row r="534">
      <c r="A534" s="301"/>
      <c r="B534" s="301"/>
      <c r="C534" s="303"/>
      <c r="D534" s="301"/>
      <c r="E534" s="309"/>
      <c r="F534" s="301"/>
      <c r="G534" s="301"/>
      <c r="H534" s="309"/>
      <c r="I534" s="305" t="str">
        <f t="shared" si="1"/>
        <v/>
      </c>
      <c r="J534" s="306"/>
      <c r="K534" s="326"/>
      <c r="L534" s="309"/>
      <c r="M534" s="308"/>
      <c r="N534" s="309"/>
      <c r="O534" s="322"/>
      <c r="P534" s="308"/>
      <c r="Q534" s="311"/>
      <c r="R534" s="309"/>
      <c r="S534" s="308"/>
      <c r="T534" s="309"/>
      <c r="U534" s="309"/>
      <c r="V534" s="308"/>
      <c r="W534" s="309"/>
      <c r="X534" s="309"/>
      <c r="Y534" s="308"/>
      <c r="Z534" s="309"/>
      <c r="AA534" s="312"/>
      <c r="AB534" s="308"/>
      <c r="AC534" s="308"/>
      <c r="AD534" s="312"/>
      <c r="AE534" s="308"/>
      <c r="AF534" s="313"/>
      <c r="AG534" s="304"/>
      <c r="AH534" s="308"/>
      <c r="AI534" s="313"/>
      <c r="AJ534" s="304"/>
      <c r="AK534" s="308"/>
      <c r="AL534" s="308"/>
      <c r="AM534" s="304"/>
      <c r="AN534" s="308"/>
      <c r="AO534" s="313"/>
      <c r="AP534" s="304"/>
      <c r="AQ534" s="308"/>
      <c r="AR534" s="313"/>
      <c r="AS534" s="304"/>
      <c r="AT534" s="308"/>
      <c r="AU534" s="308"/>
      <c r="AV534" s="304"/>
      <c r="AW534" s="308"/>
      <c r="AX534" s="308"/>
      <c r="AY534" s="304"/>
      <c r="AZ534" s="308"/>
      <c r="BA534" s="313"/>
      <c r="BB534" s="304"/>
      <c r="BC534" s="308"/>
      <c r="BD534" s="308"/>
    </row>
    <row r="535">
      <c r="A535" s="301"/>
      <c r="B535" s="301"/>
      <c r="C535" s="303"/>
      <c r="D535" s="301"/>
      <c r="E535" s="309"/>
      <c r="F535" s="301"/>
      <c r="G535" s="301"/>
      <c r="H535" s="309"/>
      <c r="I535" s="305" t="str">
        <f t="shared" si="1"/>
        <v/>
      </c>
      <c r="J535" s="306"/>
      <c r="K535" s="326"/>
      <c r="L535" s="309"/>
      <c r="M535" s="308"/>
      <c r="N535" s="309"/>
      <c r="O535" s="322"/>
      <c r="P535" s="308"/>
      <c r="Q535" s="311"/>
      <c r="R535" s="309"/>
      <c r="S535" s="308"/>
      <c r="T535" s="309"/>
      <c r="U535" s="309"/>
      <c r="V535" s="308"/>
      <c r="W535" s="309"/>
      <c r="X535" s="309"/>
      <c r="Y535" s="308"/>
      <c r="Z535" s="309"/>
      <c r="AA535" s="312"/>
      <c r="AB535" s="308"/>
      <c r="AC535" s="308"/>
      <c r="AD535" s="312"/>
      <c r="AE535" s="308"/>
      <c r="AF535" s="313"/>
      <c r="AG535" s="304"/>
      <c r="AH535" s="308"/>
      <c r="AI535" s="313"/>
      <c r="AJ535" s="304"/>
      <c r="AK535" s="308"/>
      <c r="AL535" s="308"/>
      <c r="AM535" s="304"/>
      <c r="AN535" s="308"/>
      <c r="AO535" s="313"/>
      <c r="AP535" s="304"/>
      <c r="AQ535" s="308"/>
      <c r="AR535" s="313"/>
      <c r="AS535" s="304"/>
      <c r="AT535" s="308"/>
      <c r="AU535" s="308"/>
      <c r="AV535" s="304"/>
      <c r="AW535" s="308"/>
      <c r="AX535" s="308"/>
      <c r="AY535" s="304"/>
      <c r="AZ535" s="308"/>
      <c r="BA535" s="313"/>
      <c r="BB535" s="304"/>
      <c r="BC535" s="308"/>
      <c r="BD535" s="308"/>
    </row>
    <row r="536">
      <c r="A536" s="301"/>
      <c r="B536" s="301"/>
      <c r="C536" s="303"/>
      <c r="D536" s="301"/>
      <c r="E536" s="309"/>
      <c r="F536" s="301"/>
      <c r="G536" s="301"/>
      <c r="H536" s="309"/>
      <c r="I536" s="305" t="str">
        <f t="shared" si="1"/>
        <v/>
      </c>
      <c r="J536" s="306"/>
      <c r="K536" s="326"/>
      <c r="L536" s="309"/>
      <c r="M536" s="308"/>
      <c r="N536" s="309"/>
      <c r="O536" s="322"/>
      <c r="P536" s="308"/>
      <c r="Q536" s="311"/>
      <c r="R536" s="309"/>
      <c r="S536" s="308"/>
      <c r="T536" s="309"/>
      <c r="U536" s="309"/>
      <c r="V536" s="308"/>
      <c r="W536" s="309"/>
      <c r="X536" s="309"/>
      <c r="Y536" s="308"/>
      <c r="Z536" s="309"/>
      <c r="AA536" s="312"/>
      <c r="AB536" s="308"/>
      <c r="AC536" s="308"/>
      <c r="AD536" s="312"/>
      <c r="AE536" s="308"/>
      <c r="AF536" s="313"/>
      <c r="AG536" s="304"/>
      <c r="AH536" s="308"/>
      <c r="AI536" s="313"/>
      <c r="AJ536" s="304"/>
      <c r="AK536" s="308"/>
      <c r="AL536" s="308"/>
      <c r="AM536" s="304"/>
      <c r="AN536" s="308"/>
      <c r="AO536" s="313"/>
      <c r="AP536" s="304"/>
      <c r="AQ536" s="308"/>
      <c r="AR536" s="313"/>
      <c r="AS536" s="304"/>
      <c r="AT536" s="308"/>
      <c r="AU536" s="308"/>
      <c r="AV536" s="304"/>
      <c r="AW536" s="308"/>
      <c r="AX536" s="308"/>
      <c r="AY536" s="304"/>
      <c r="AZ536" s="308"/>
      <c r="BA536" s="313"/>
      <c r="BB536" s="304"/>
      <c r="BC536" s="308"/>
      <c r="BD536" s="308"/>
    </row>
    <row r="537">
      <c r="A537" s="301"/>
      <c r="B537" s="301"/>
      <c r="C537" s="303"/>
      <c r="D537" s="301"/>
      <c r="E537" s="309"/>
      <c r="F537" s="301"/>
      <c r="G537" s="301"/>
      <c r="H537" s="309"/>
      <c r="I537" s="305" t="str">
        <f t="shared" si="1"/>
        <v/>
      </c>
      <c r="J537" s="306"/>
      <c r="K537" s="326"/>
      <c r="L537" s="309"/>
      <c r="M537" s="308"/>
      <c r="N537" s="309"/>
      <c r="O537" s="322"/>
      <c r="P537" s="308"/>
      <c r="Q537" s="311"/>
      <c r="R537" s="309"/>
      <c r="S537" s="308"/>
      <c r="T537" s="309"/>
      <c r="U537" s="309"/>
      <c r="V537" s="308"/>
      <c r="W537" s="309"/>
      <c r="X537" s="309"/>
      <c r="Y537" s="308"/>
      <c r="Z537" s="309"/>
      <c r="AA537" s="312"/>
      <c r="AB537" s="308"/>
      <c r="AC537" s="308"/>
      <c r="AD537" s="312"/>
      <c r="AE537" s="308"/>
      <c r="AF537" s="313"/>
      <c r="AG537" s="304"/>
      <c r="AH537" s="308"/>
      <c r="AI537" s="313"/>
      <c r="AJ537" s="304"/>
      <c r="AK537" s="308"/>
      <c r="AL537" s="308"/>
      <c r="AM537" s="304"/>
      <c r="AN537" s="308"/>
      <c r="AO537" s="313"/>
      <c r="AP537" s="304"/>
      <c r="AQ537" s="308"/>
      <c r="AR537" s="313"/>
      <c r="AS537" s="304"/>
      <c r="AT537" s="308"/>
      <c r="AU537" s="308"/>
      <c r="AV537" s="304"/>
      <c r="AW537" s="308"/>
      <c r="AX537" s="308"/>
      <c r="AY537" s="304"/>
      <c r="AZ537" s="308"/>
      <c r="BA537" s="313"/>
      <c r="BB537" s="304"/>
      <c r="BC537" s="308"/>
      <c r="BD537" s="308"/>
    </row>
    <row r="538">
      <c r="A538" s="301"/>
      <c r="B538" s="301"/>
      <c r="C538" s="303"/>
      <c r="D538" s="301"/>
      <c r="E538" s="309"/>
      <c r="F538" s="301"/>
      <c r="G538" s="301"/>
      <c r="H538" s="309"/>
      <c r="I538" s="305" t="str">
        <f t="shared" si="1"/>
        <v/>
      </c>
      <c r="J538" s="306"/>
      <c r="K538" s="326"/>
      <c r="L538" s="309"/>
      <c r="M538" s="308"/>
      <c r="N538" s="309"/>
      <c r="O538" s="322"/>
      <c r="P538" s="308"/>
      <c r="Q538" s="311"/>
      <c r="R538" s="309"/>
      <c r="S538" s="308"/>
      <c r="T538" s="309"/>
      <c r="U538" s="309"/>
      <c r="V538" s="308"/>
      <c r="W538" s="309"/>
      <c r="X538" s="309"/>
      <c r="Y538" s="308"/>
      <c r="Z538" s="309"/>
      <c r="AA538" s="312"/>
      <c r="AB538" s="308"/>
      <c r="AC538" s="308"/>
      <c r="AD538" s="312"/>
      <c r="AE538" s="308"/>
      <c r="AF538" s="313"/>
      <c r="AG538" s="304"/>
      <c r="AH538" s="308"/>
      <c r="AI538" s="313"/>
      <c r="AJ538" s="304"/>
      <c r="AK538" s="308"/>
      <c r="AL538" s="308"/>
      <c r="AM538" s="304"/>
      <c r="AN538" s="308"/>
      <c r="AO538" s="313"/>
      <c r="AP538" s="304"/>
      <c r="AQ538" s="308"/>
      <c r="AR538" s="313"/>
      <c r="AS538" s="304"/>
      <c r="AT538" s="308"/>
      <c r="AU538" s="308"/>
      <c r="AV538" s="304"/>
      <c r="AW538" s="308"/>
      <c r="AX538" s="308"/>
      <c r="AY538" s="304"/>
      <c r="AZ538" s="308"/>
      <c r="BA538" s="313"/>
      <c r="BB538" s="304"/>
      <c r="BC538" s="308"/>
      <c r="BD538" s="308"/>
    </row>
    <row r="539">
      <c r="A539" s="301"/>
      <c r="B539" s="301"/>
      <c r="C539" s="303"/>
      <c r="D539" s="301"/>
      <c r="E539" s="309"/>
      <c r="F539" s="301"/>
      <c r="G539" s="301"/>
      <c r="H539" s="309"/>
      <c r="I539" s="305" t="str">
        <f t="shared" si="1"/>
        <v/>
      </c>
      <c r="J539" s="306"/>
      <c r="K539" s="326"/>
      <c r="L539" s="309"/>
      <c r="M539" s="308"/>
      <c r="N539" s="309"/>
      <c r="O539" s="322"/>
      <c r="P539" s="308"/>
      <c r="Q539" s="311"/>
      <c r="R539" s="309"/>
      <c r="S539" s="308"/>
      <c r="T539" s="309"/>
      <c r="U539" s="309"/>
      <c r="V539" s="308"/>
      <c r="W539" s="309"/>
      <c r="X539" s="309"/>
      <c r="Y539" s="308"/>
      <c r="Z539" s="309"/>
      <c r="AA539" s="312"/>
      <c r="AB539" s="308"/>
      <c r="AC539" s="308"/>
      <c r="AD539" s="312"/>
      <c r="AE539" s="308"/>
      <c r="AF539" s="313"/>
      <c r="AG539" s="304"/>
      <c r="AH539" s="308"/>
      <c r="AI539" s="313"/>
      <c r="AJ539" s="304"/>
      <c r="AK539" s="308"/>
      <c r="AL539" s="308"/>
      <c r="AM539" s="304"/>
      <c r="AN539" s="308"/>
      <c r="AO539" s="313"/>
      <c r="AP539" s="304"/>
      <c r="AQ539" s="308"/>
      <c r="AR539" s="313"/>
      <c r="AS539" s="304"/>
      <c r="AT539" s="308"/>
      <c r="AU539" s="308"/>
      <c r="AV539" s="304"/>
      <c r="AW539" s="308"/>
      <c r="AX539" s="308"/>
      <c r="AY539" s="304"/>
      <c r="AZ539" s="308"/>
      <c r="BA539" s="313"/>
      <c r="BB539" s="304"/>
      <c r="BC539" s="308"/>
      <c r="BD539" s="308"/>
    </row>
    <row r="540">
      <c r="A540" s="301"/>
      <c r="B540" s="301"/>
      <c r="C540" s="303"/>
      <c r="D540" s="301"/>
      <c r="E540" s="309"/>
      <c r="F540" s="301"/>
      <c r="G540" s="301"/>
      <c r="H540" s="309"/>
      <c r="I540" s="305" t="str">
        <f t="shared" si="1"/>
        <v/>
      </c>
      <c r="J540" s="306"/>
      <c r="K540" s="326"/>
      <c r="L540" s="309"/>
      <c r="M540" s="308"/>
      <c r="N540" s="309"/>
      <c r="O540" s="322"/>
      <c r="P540" s="308"/>
      <c r="Q540" s="311"/>
      <c r="R540" s="309"/>
      <c r="S540" s="308"/>
      <c r="T540" s="309"/>
      <c r="U540" s="309"/>
      <c r="V540" s="308"/>
      <c r="W540" s="309"/>
      <c r="X540" s="309"/>
      <c r="Y540" s="308"/>
      <c r="Z540" s="309"/>
      <c r="AA540" s="312"/>
      <c r="AB540" s="308"/>
      <c r="AC540" s="308"/>
      <c r="AD540" s="312"/>
      <c r="AE540" s="308"/>
      <c r="AF540" s="313"/>
      <c r="AG540" s="304"/>
      <c r="AH540" s="308"/>
      <c r="AI540" s="313"/>
      <c r="AJ540" s="304"/>
      <c r="AK540" s="308"/>
      <c r="AL540" s="308"/>
      <c r="AM540" s="304"/>
      <c r="AN540" s="308"/>
      <c r="AO540" s="313"/>
      <c r="AP540" s="304"/>
      <c r="AQ540" s="308"/>
      <c r="AR540" s="313"/>
      <c r="AS540" s="304"/>
      <c r="AT540" s="308"/>
      <c r="AU540" s="308"/>
      <c r="AV540" s="304"/>
      <c r="AW540" s="308"/>
      <c r="AX540" s="308"/>
      <c r="AY540" s="304"/>
      <c r="AZ540" s="308"/>
      <c r="BA540" s="313"/>
      <c r="BB540" s="304"/>
      <c r="BC540" s="308"/>
      <c r="BD540" s="308"/>
    </row>
    <row r="541">
      <c r="A541" s="301"/>
      <c r="B541" s="301"/>
      <c r="C541" s="303"/>
      <c r="D541" s="301"/>
      <c r="E541" s="309"/>
      <c r="F541" s="301"/>
      <c r="G541" s="301"/>
      <c r="H541" s="309"/>
      <c r="I541" s="305" t="str">
        <f t="shared" si="1"/>
        <v/>
      </c>
      <c r="J541" s="306"/>
      <c r="K541" s="326"/>
      <c r="L541" s="309"/>
      <c r="M541" s="308"/>
      <c r="N541" s="309"/>
      <c r="O541" s="322"/>
      <c r="P541" s="308"/>
      <c r="Q541" s="311"/>
      <c r="R541" s="309"/>
      <c r="S541" s="308"/>
      <c r="T541" s="309"/>
      <c r="U541" s="309"/>
      <c r="V541" s="308"/>
      <c r="W541" s="309"/>
      <c r="X541" s="309"/>
      <c r="Y541" s="308"/>
      <c r="Z541" s="309"/>
      <c r="AA541" s="312"/>
      <c r="AB541" s="308"/>
      <c r="AC541" s="308"/>
      <c r="AD541" s="312"/>
      <c r="AE541" s="308"/>
      <c r="AF541" s="313"/>
      <c r="AG541" s="304"/>
      <c r="AH541" s="308"/>
      <c r="AI541" s="313"/>
      <c r="AJ541" s="304"/>
      <c r="AK541" s="308"/>
      <c r="AL541" s="308"/>
      <c r="AM541" s="304"/>
      <c r="AN541" s="308"/>
      <c r="AO541" s="313"/>
      <c r="AP541" s="304"/>
      <c r="AQ541" s="308"/>
      <c r="AR541" s="313"/>
      <c r="AS541" s="304"/>
      <c r="AT541" s="308"/>
      <c r="AU541" s="308"/>
      <c r="AV541" s="304"/>
      <c r="AW541" s="308"/>
      <c r="AX541" s="308"/>
      <c r="AY541" s="304"/>
      <c r="AZ541" s="308"/>
      <c r="BA541" s="313"/>
      <c r="BB541" s="304"/>
      <c r="BC541" s="308"/>
      <c r="BD541" s="308"/>
    </row>
    <row r="542">
      <c r="A542" s="301"/>
      <c r="B542" s="301"/>
      <c r="C542" s="303"/>
      <c r="D542" s="301"/>
      <c r="E542" s="309"/>
      <c r="F542" s="301"/>
      <c r="G542" s="301"/>
      <c r="H542" s="309"/>
      <c r="I542" s="305" t="str">
        <f t="shared" si="1"/>
        <v/>
      </c>
      <c r="J542" s="306"/>
      <c r="K542" s="326"/>
      <c r="L542" s="309"/>
      <c r="M542" s="308"/>
      <c r="N542" s="309"/>
      <c r="O542" s="322"/>
      <c r="P542" s="308"/>
      <c r="Q542" s="311"/>
      <c r="R542" s="309"/>
      <c r="S542" s="308"/>
      <c r="T542" s="309"/>
      <c r="U542" s="309"/>
      <c r="V542" s="308"/>
      <c r="W542" s="309"/>
      <c r="X542" s="309"/>
      <c r="Y542" s="308"/>
      <c r="Z542" s="309"/>
      <c r="AA542" s="312"/>
      <c r="AB542" s="308"/>
      <c r="AC542" s="308"/>
      <c r="AD542" s="312"/>
      <c r="AE542" s="308"/>
      <c r="AF542" s="313"/>
      <c r="AG542" s="304"/>
      <c r="AH542" s="308"/>
      <c r="AI542" s="313"/>
      <c r="AJ542" s="304"/>
      <c r="AK542" s="308"/>
      <c r="AL542" s="308"/>
      <c r="AM542" s="304"/>
      <c r="AN542" s="308"/>
      <c r="AO542" s="313"/>
      <c r="AP542" s="304"/>
      <c r="AQ542" s="308"/>
      <c r="AR542" s="313"/>
      <c r="AS542" s="304"/>
      <c r="AT542" s="308"/>
      <c r="AU542" s="308"/>
      <c r="AV542" s="304"/>
      <c r="AW542" s="308"/>
      <c r="AX542" s="308"/>
      <c r="AY542" s="304"/>
      <c r="AZ542" s="308"/>
      <c r="BA542" s="313"/>
      <c r="BB542" s="304"/>
      <c r="BC542" s="308"/>
      <c r="BD542" s="308"/>
    </row>
    <row r="543">
      <c r="A543" s="301"/>
      <c r="B543" s="301"/>
      <c r="C543" s="303"/>
      <c r="D543" s="301"/>
      <c r="E543" s="309"/>
      <c r="F543" s="301"/>
      <c r="G543" s="301"/>
      <c r="H543" s="309"/>
      <c r="I543" s="305" t="str">
        <f t="shared" si="1"/>
        <v/>
      </c>
      <c r="J543" s="306"/>
      <c r="K543" s="326"/>
      <c r="L543" s="309"/>
      <c r="M543" s="308"/>
      <c r="N543" s="309"/>
      <c r="O543" s="322"/>
      <c r="P543" s="308"/>
      <c r="Q543" s="311"/>
      <c r="R543" s="309"/>
      <c r="S543" s="308"/>
      <c r="T543" s="309"/>
      <c r="U543" s="309"/>
      <c r="V543" s="308"/>
      <c r="W543" s="309"/>
      <c r="X543" s="309"/>
      <c r="Y543" s="308"/>
      <c r="Z543" s="309"/>
      <c r="AA543" s="312"/>
      <c r="AB543" s="308"/>
      <c r="AC543" s="308"/>
      <c r="AD543" s="312"/>
      <c r="AE543" s="308"/>
      <c r="AF543" s="313"/>
      <c r="AG543" s="304"/>
      <c r="AH543" s="308"/>
      <c r="AI543" s="313"/>
      <c r="AJ543" s="304"/>
      <c r="AK543" s="308"/>
      <c r="AL543" s="308"/>
      <c r="AM543" s="304"/>
      <c r="AN543" s="308"/>
      <c r="AO543" s="313"/>
      <c r="AP543" s="304"/>
      <c r="AQ543" s="308"/>
      <c r="AR543" s="313"/>
      <c r="AS543" s="304"/>
      <c r="AT543" s="308"/>
      <c r="AU543" s="308"/>
      <c r="AV543" s="304"/>
      <c r="AW543" s="308"/>
      <c r="AX543" s="308"/>
      <c r="AY543" s="304"/>
      <c r="AZ543" s="308"/>
      <c r="BA543" s="313"/>
      <c r="BB543" s="304"/>
      <c r="BC543" s="308"/>
      <c r="BD543" s="308"/>
    </row>
    <row r="544">
      <c r="A544" s="301"/>
      <c r="B544" s="301"/>
      <c r="C544" s="303"/>
      <c r="D544" s="301"/>
      <c r="E544" s="309"/>
      <c r="F544" s="301"/>
      <c r="G544" s="301"/>
      <c r="H544" s="309"/>
      <c r="I544" s="305" t="str">
        <f t="shared" si="1"/>
        <v/>
      </c>
      <c r="J544" s="306"/>
      <c r="K544" s="326"/>
      <c r="L544" s="309"/>
      <c r="M544" s="308"/>
      <c r="N544" s="309"/>
      <c r="O544" s="322"/>
      <c r="P544" s="308"/>
      <c r="Q544" s="311"/>
      <c r="R544" s="309"/>
      <c r="S544" s="308"/>
      <c r="T544" s="309"/>
      <c r="U544" s="309"/>
      <c r="V544" s="308"/>
      <c r="W544" s="309"/>
      <c r="X544" s="309"/>
      <c r="Y544" s="308"/>
      <c r="Z544" s="309"/>
      <c r="AA544" s="312"/>
      <c r="AB544" s="308"/>
      <c r="AC544" s="308"/>
      <c r="AD544" s="312"/>
      <c r="AE544" s="308"/>
      <c r="AF544" s="313"/>
      <c r="AG544" s="304"/>
      <c r="AH544" s="308"/>
      <c r="AI544" s="313"/>
      <c r="AJ544" s="304"/>
      <c r="AK544" s="308"/>
      <c r="AL544" s="308"/>
      <c r="AM544" s="304"/>
      <c r="AN544" s="308"/>
      <c r="AO544" s="313"/>
      <c r="AP544" s="304"/>
      <c r="AQ544" s="308"/>
      <c r="AR544" s="313"/>
      <c r="AS544" s="304"/>
      <c r="AT544" s="308"/>
      <c r="AU544" s="308"/>
      <c r="AV544" s="304"/>
      <c r="AW544" s="308"/>
      <c r="AX544" s="308"/>
      <c r="AY544" s="304"/>
      <c r="AZ544" s="308"/>
      <c r="BA544" s="313"/>
      <c r="BB544" s="304"/>
      <c r="BC544" s="308"/>
      <c r="BD544" s="308"/>
    </row>
    <row r="545">
      <c r="A545" s="301"/>
      <c r="B545" s="301"/>
      <c r="C545" s="303"/>
      <c r="D545" s="301"/>
      <c r="E545" s="309"/>
      <c r="F545" s="301"/>
      <c r="G545" s="301"/>
      <c r="H545" s="309"/>
      <c r="I545" s="305" t="str">
        <f t="shared" si="1"/>
        <v/>
      </c>
      <c r="J545" s="306"/>
      <c r="K545" s="326"/>
      <c r="L545" s="309"/>
      <c r="M545" s="308"/>
      <c r="N545" s="309"/>
      <c r="O545" s="322"/>
      <c r="P545" s="308"/>
      <c r="Q545" s="311"/>
      <c r="R545" s="309"/>
      <c r="S545" s="308"/>
      <c r="T545" s="309"/>
      <c r="U545" s="309"/>
      <c r="V545" s="308"/>
      <c r="W545" s="309"/>
      <c r="X545" s="309"/>
      <c r="Y545" s="308"/>
      <c r="Z545" s="309"/>
      <c r="AA545" s="312"/>
      <c r="AB545" s="308"/>
      <c r="AC545" s="308"/>
      <c r="AD545" s="312"/>
      <c r="AE545" s="308"/>
      <c r="AF545" s="313"/>
      <c r="AG545" s="304"/>
      <c r="AH545" s="308"/>
      <c r="AI545" s="313"/>
      <c r="AJ545" s="304"/>
      <c r="AK545" s="308"/>
      <c r="AL545" s="308"/>
      <c r="AM545" s="304"/>
      <c r="AN545" s="308"/>
      <c r="AO545" s="313"/>
      <c r="AP545" s="304"/>
      <c r="AQ545" s="308"/>
      <c r="AR545" s="313"/>
      <c r="AS545" s="304"/>
      <c r="AT545" s="308"/>
      <c r="AU545" s="308"/>
      <c r="AV545" s="304"/>
      <c r="AW545" s="308"/>
      <c r="AX545" s="308"/>
      <c r="AY545" s="304"/>
      <c r="AZ545" s="308"/>
      <c r="BA545" s="313"/>
      <c r="BB545" s="304"/>
      <c r="BC545" s="308"/>
      <c r="BD545" s="308"/>
    </row>
    <row r="546">
      <c r="A546" s="301"/>
      <c r="B546" s="301"/>
      <c r="C546" s="303"/>
      <c r="D546" s="301"/>
      <c r="E546" s="309"/>
      <c r="F546" s="301"/>
      <c r="G546" s="301"/>
      <c r="H546" s="309"/>
      <c r="I546" s="305" t="str">
        <f t="shared" si="1"/>
        <v/>
      </c>
      <c r="J546" s="306"/>
      <c r="K546" s="326"/>
      <c r="L546" s="309"/>
      <c r="M546" s="308"/>
      <c r="N546" s="309"/>
      <c r="O546" s="322"/>
      <c r="P546" s="308"/>
      <c r="Q546" s="311"/>
      <c r="R546" s="309"/>
      <c r="S546" s="308"/>
      <c r="T546" s="309"/>
      <c r="U546" s="309"/>
      <c r="V546" s="308"/>
      <c r="W546" s="309"/>
      <c r="X546" s="309"/>
      <c r="Y546" s="308"/>
      <c r="Z546" s="309"/>
      <c r="AA546" s="312"/>
      <c r="AB546" s="308"/>
      <c r="AC546" s="308"/>
      <c r="AD546" s="312"/>
      <c r="AE546" s="308"/>
      <c r="AF546" s="313"/>
      <c r="AG546" s="304"/>
      <c r="AH546" s="308"/>
      <c r="AI546" s="313"/>
      <c r="AJ546" s="304"/>
      <c r="AK546" s="308"/>
      <c r="AL546" s="308"/>
      <c r="AM546" s="304"/>
      <c r="AN546" s="308"/>
      <c r="AO546" s="313"/>
      <c r="AP546" s="304"/>
      <c r="AQ546" s="308"/>
      <c r="AR546" s="313"/>
      <c r="AS546" s="304"/>
      <c r="AT546" s="308"/>
      <c r="AU546" s="308"/>
      <c r="AV546" s="304"/>
      <c r="AW546" s="308"/>
      <c r="AX546" s="308"/>
      <c r="AY546" s="304"/>
      <c r="AZ546" s="308"/>
      <c r="BA546" s="313"/>
      <c r="BB546" s="304"/>
      <c r="BC546" s="308"/>
      <c r="BD546" s="308"/>
    </row>
    <row r="547">
      <c r="A547" s="301"/>
      <c r="B547" s="301"/>
      <c r="C547" s="303"/>
      <c r="D547" s="301"/>
      <c r="E547" s="309"/>
      <c r="F547" s="301"/>
      <c r="G547" s="301"/>
      <c r="H547" s="309"/>
      <c r="I547" s="305" t="str">
        <f t="shared" si="1"/>
        <v/>
      </c>
      <c r="J547" s="306"/>
      <c r="K547" s="326"/>
      <c r="L547" s="309"/>
      <c r="M547" s="308"/>
      <c r="N547" s="309"/>
      <c r="O547" s="322"/>
      <c r="P547" s="308"/>
      <c r="Q547" s="311"/>
      <c r="R547" s="309"/>
      <c r="S547" s="308"/>
      <c r="T547" s="309"/>
      <c r="U547" s="309"/>
      <c r="V547" s="308"/>
      <c r="W547" s="309"/>
      <c r="X547" s="309"/>
      <c r="Y547" s="308"/>
      <c r="Z547" s="309"/>
      <c r="AA547" s="312"/>
      <c r="AB547" s="308"/>
      <c r="AC547" s="308"/>
      <c r="AD547" s="312"/>
      <c r="AE547" s="308"/>
      <c r="AF547" s="313"/>
      <c r="AG547" s="304"/>
      <c r="AH547" s="308"/>
      <c r="AI547" s="313"/>
      <c r="AJ547" s="304"/>
      <c r="AK547" s="308"/>
      <c r="AL547" s="308"/>
      <c r="AM547" s="304"/>
      <c r="AN547" s="308"/>
      <c r="AO547" s="313"/>
      <c r="AP547" s="304"/>
      <c r="AQ547" s="308"/>
      <c r="AR547" s="313"/>
      <c r="AS547" s="304"/>
      <c r="AT547" s="308"/>
      <c r="AU547" s="308"/>
      <c r="AV547" s="304"/>
      <c r="AW547" s="308"/>
      <c r="AX547" s="308"/>
      <c r="AY547" s="304"/>
      <c r="AZ547" s="308"/>
      <c r="BA547" s="313"/>
      <c r="BB547" s="304"/>
      <c r="BC547" s="308"/>
      <c r="BD547" s="308"/>
    </row>
    <row r="548">
      <c r="A548" s="301"/>
      <c r="B548" s="301"/>
      <c r="C548" s="303"/>
      <c r="D548" s="301"/>
      <c r="E548" s="309"/>
      <c r="F548" s="301"/>
      <c r="G548" s="301"/>
      <c r="H548" s="309"/>
      <c r="I548" s="327"/>
      <c r="J548" s="328"/>
      <c r="K548" s="326"/>
      <c r="L548" s="309"/>
      <c r="M548" s="308"/>
      <c r="N548" s="309"/>
      <c r="O548" s="322"/>
      <c r="P548" s="308"/>
      <c r="Q548" s="311"/>
      <c r="R548" s="309"/>
      <c r="S548" s="308"/>
      <c r="T548" s="309"/>
      <c r="U548" s="309"/>
      <c r="V548" s="308"/>
      <c r="W548" s="309"/>
      <c r="X548" s="309"/>
      <c r="Y548" s="308"/>
      <c r="Z548" s="309"/>
      <c r="AA548" s="312"/>
      <c r="AB548" s="308"/>
      <c r="AC548" s="308"/>
      <c r="AD548" s="312"/>
      <c r="AE548" s="308"/>
      <c r="AF548" s="313"/>
      <c r="AG548" s="304"/>
      <c r="AH548" s="308"/>
      <c r="AI548" s="313"/>
      <c r="AJ548" s="304"/>
      <c r="AK548" s="308"/>
      <c r="AL548" s="308"/>
      <c r="AM548" s="304"/>
      <c r="AN548" s="308"/>
      <c r="AO548" s="313"/>
      <c r="AP548" s="304"/>
      <c r="AQ548" s="308"/>
      <c r="AR548" s="313"/>
      <c r="AS548" s="304"/>
      <c r="AT548" s="308"/>
      <c r="AU548" s="308"/>
      <c r="AV548" s="304"/>
      <c r="AW548" s="308"/>
      <c r="AX548" s="308"/>
      <c r="AY548" s="304"/>
      <c r="AZ548" s="308"/>
      <c r="BA548" s="313"/>
      <c r="BB548" s="304"/>
      <c r="BC548" s="308"/>
      <c r="BD548" s="308"/>
    </row>
    <row r="549">
      <c r="A549" s="301"/>
      <c r="B549" s="301"/>
      <c r="C549" s="303"/>
      <c r="D549" s="301"/>
      <c r="E549" s="309"/>
      <c r="F549" s="301"/>
      <c r="G549" s="301"/>
      <c r="H549" s="309"/>
      <c r="I549" s="327"/>
      <c r="J549" s="328"/>
      <c r="K549" s="326"/>
      <c r="L549" s="309"/>
      <c r="M549" s="308"/>
      <c r="N549" s="309"/>
      <c r="O549" s="322"/>
      <c r="P549" s="308"/>
      <c r="Q549" s="311"/>
      <c r="R549" s="309"/>
      <c r="S549" s="308"/>
      <c r="T549" s="309"/>
      <c r="U549" s="309"/>
      <c r="V549" s="308"/>
      <c r="W549" s="309"/>
      <c r="X549" s="309"/>
      <c r="Y549" s="308"/>
      <c r="Z549" s="309"/>
      <c r="AA549" s="312"/>
      <c r="AB549" s="308"/>
      <c r="AC549" s="308"/>
      <c r="AD549" s="312"/>
      <c r="AE549" s="308"/>
      <c r="AF549" s="313"/>
      <c r="AG549" s="304"/>
      <c r="AH549" s="308"/>
      <c r="AI549" s="313"/>
      <c r="AJ549" s="304"/>
      <c r="AK549" s="308"/>
      <c r="AL549" s="308"/>
      <c r="AM549" s="304"/>
      <c r="AN549" s="308"/>
      <c r="AO549" s="313"/>
      <c r="AP549" s="304"/>
      <c r="AQ549" s="308"/>
      <c r="AR549" s="313"/>
      <c r="AS549" s="304"/>
      <c r="AT549" s="308"/>
      <c r="AU549" s="308"/>
      <c r="AV549" s="304"/>
      <c r="AW549" s="308"/>
      <c r="AX549" s="308"/>
      <c r="AY549" s="304"/>
      <c r="AZ549" s="308"/>
      <c r="BA549" s="313"/>
      <c r="BB549" s="304"/>
      <c r="BC549" s="308"/>
      <c r="BD549" s="308"/>
    </row>
    <row r="550">
      <c r="A550" s="301"/>
      <c r="B550" s="301"/>
      <c r="C550" s="303"/>
      <c r="D550" s="301"/>
      <c r="E550" s="309"/>
      <c r="F550" s="301"/>
      <c r="G550" s="301"/>
      <c r="H550" s="309"/>
      <c r="I550" s="327"/>
      <c r="J550" s="328"/>
      <c r="K550" s="326"/>
      <c r="L550" s="309"/>
      <c r="M550" s="308"/>
      <c r="N550" s="309"/>
      <c r="O550" s="322"/>
      <c r="P550" s="308"/>
      <c r="Q550" s="311"/>
      <c r="R550" s="309"/>
      <c r="S550" s="308"/>
      <c r="T550" s="309"/>
      <c r="U550" s="309"/>
      <c r="V550" s="308"/>
      <c r="W550" s="309"/>
      <c r="X550" s="309"/>
      <c r="Y550" s="308"/>
      <c r="Z550" s="309"/>
      <c r="AA550" s="312"/>
      <c r="AB550" s="308"/>
      <c r="AC550" s="308"/>
      <c r="AD550" s="312"/>
      <c r="AE550" s="308"/>
      <c r="AF550" s="313"/>
      <c r="AG550" s="304"/>
      <c r="AH550" s="308"/>
      <c r="AI550" s="313"/>
      <c r="AJ550" s="304"/>
      <c r="AK550" s="308"/>
      <c r="AL550" s="308"/>
      <c r="AM550" s="304"/>
      <c r="AN550" s="308"/>
      <c r="AO550" s="313"/>
      <c r="AP550" s="304"/>
      <c r="AQ550" s="308"/>
      <c r="AR550" s="313"/>
      <c r="AS550" s="304"/>
      <c r="AT550" s="308"/>
      <c r="AU550" s="308"/>
      <c r="AV550" s="304"/>
      <c r="AW550" s="308"/>
      <c r="AX550" s="308"/>
      <c r="AY550" s="304"/>
      <c r="AZ550" s="308"/>
      <c r="BA550" s="313"/>
      <c r="BB550" s="304"/>
      <c r="BC550" s="308"/>
      <c r="BD550" s="308"/>
    </row>
    <row r="551">
      <c r="A551" s="301"/>
      <c r="B551" s="301"/>
      <c r="C551" s="303"/>
      <c r="D551" s="301"/>
      <c r="E551" s="309"/>
      <c r="F551" s="301"/>
      <c r="G551" s="301"/>
      <c r="H551" s="309"/>
      <c r="I551" s="327"/>
      <c r="J551" s="328"/>
      <c r="K551" s="326"/>
      <c r="L551" s="309"/>
      <c r="M551" s="308"/>
      <c r="N551" s="309"/>
      <c r="O551" s="322"/>
      <c r="P551" s="308"/>
      <c r="Q551" s="311"/>
      <c r="R551" s="309"/>
      <c r="S551" s="308"/>
      <c r="T551" s="309"/>
      <c r="U551" s="309"/>
      <c r="V551" s="308"/>
      <c r="W551" s="309"/>
      <c r="X551" s="309"/>
      <c r="Y551" s="308"/>
      <c r="Z551" s="309"/>
      <c r="AA551" s="312"/>
      <c r="AB551" s="308"/>
      <c r="AC551" s="308"/>
      <c r="AD551" s="312"/>
      <c r="AE551" s="308"/>
      <c r="AF551" s="313"/>
      <c r="AG551" s="304"/>
      <c r="AH551" s="308"/>
      <c r="AI551" s="313"/>
      <c r="AJ551" s="304"/>
      <c r="AK551" s="308"/>
      <c r="AL551" s="308"/>
      <c r="AM551" s="304"/>
      <c r="AN551" s="308"/>
      <c r="AO551" s="313"/>
      <c r="AP551" s="304"/>
      <c r="AQ551" s="308"/>
      <c r="AR551" s="313"/>
      <c r="AS551" s="304"/>
      <c r="AT551" s="308"/>
      <c r="AU551" s="308"/>
      <c r="AV551" s="304"/>
      <c r="AW551" s="308"/>
      <c r="AX551" s="308"/>
      <c r="AY551" s="304"/>
      <c r="AZ551" s="308"/>
      <c r="BA551" s="313"/>
      <c r="BB551" s="304"/>
      <c r="BC551" s="308"/>
      <c r="BD551" s="308"/>
    </row>
    <row r="552">
      <c r="A552" s="301"/>
      <c r="B552" s="301"/>
      <c r="C552" s="303"/>
      <c r="D552" s="301"/>
      <c r="E552" s="309"/>
      <c r="F552" s="301"/>
      <c r="G552" s="301"/>
      <c r="H552" s="309"/>
      <c r="I552" s="327"/>
      <c r="J552" s="328"/>
      <c r="K552" s="326"/>
      <c r="L552" s="309"/>
      <c r="M552" s="308"/>
      <c r="N552" s="309"/>
      <c r="O552" s="322"/>
      <c r="P552" s="308"/>
      <c r="Q552" s="311"/>
      <c r="R552" s="309"/>
      <c r="S552" s="308"/>
      <c r="T552" s="309"/>
      <c r="U552" s="309"/>
      <c r="V552" s="308"/>
      <c r="W552" s="309"/>
      <c r="X552" s="309"/>
      <c r="Y552" s="308"/>
      <c r="Z552" s="309"/>
      <c r="AA552" s="312"/>
      <c r="AB552" s="308"/>
      <c r="AC552" s="308"/>
      <c r="AD552" s="312"/>
      <c r="AE552" s="308"/>
      <c r="AF552" s="313"/>
      <c r="AG552" s="304"/>
      <c r="AH552" s="308"/>
      <c r="AI552" s="313"/>
      <c r="AJ552" s="304"/>
      <c r="AK552" s="308"/>
      <c r="AL552" s="308"/>
      <c r="AM552" s="304"/>
      <c r="AN552" s="308"/>
      <c r="AO552" s="313"/>
      <c r="AP552" s="304"/>
      <c r="AQ552" s="308"/>
      <c r="AR552" s="313"/>
      <c r="AS552" s="304"/>
      <c r="AT552" s="308"/>
      <c r="AU552" s="308"/>
      <c r="AV552" s="304"/>
      <c r="AW552" s="308"/>
      <c r="AX552" s="308"/>
      <c r="AY552" s="304"/>
      <c r="AZ552" s="308"/>
      <c r="BA552" s="313"/>
      <c r="BB552" s="304"/>
      <c r="BC552" s="308"/>
      <c r="BD552" s="308"/>
    </row>
    <row r="553">
      <c r="A553" s="301"/>
      <c r="B553" s="301"/>
      <c r="C553" s="303"/>
      <c r="D553" s="301"/>
      <c r="E553" s="309"/>
      <c r="F553" s="301"/>
      <c r="G553" s="301"/>
      <c r="H553" s="309"/>
      <c r="I553" s="327"/>
      <c r="J553" s="328"/>
      <c r="K553" s="326"/>
      <c r="L553" s="309"/>
      <c r="M553" s="308"/>
      <c r="N553" s="309"/>
      <c r="O553" s="322"/>
      <c r="P553" s="308"/>
      <c r="Q553" s="311"/>
      <c r="R553" s="309"/>
      <c r="S553" s="308"/>
      <c r="T553" s="309"/>
      <c r="U553" s="309"/>
      <c r="V553" s="308"/>
      <c r="W553" s="309"/>
      <c r="X553" s="309"/>
      <c r="Y553" s="308"/>
      <c r="Z553" s="309"/>
      <c r="AA553" s="312"/>
      <c r="AB553" s="308"/>
      <c r="AC553" s="308"/>
      <c r="AD553" s="312"/>
      <c r="AE553" s="308"/>
      <c r="AF553" s="313"/>
      <c r="AG553" s="304"/>
      <c r="AH553" s="308"/>
      <c r="AI553" s="313"/>
      <c r="AJ553" s="304"/>
      <c r="AK553" s="308"/>
      <c r="AL553" s="308"/>
      <c r="AM553" s="304"/>
      <c r="AN553" s="308"/>
      <c r="AO553" s="313"/>
      <c r="AP553" s="304"/>
      <c r="AQ553" s="308"/>
      <c r="AR553" s="313"/>
      <c r="AS553" s="304"/>
      <c r="AT553" s="308"/>
      <c r="AU553" s="308"/>
      <c r="AV553" s="304"/>
      <c r="AW553" s="308"/>
      <c r="AX553" s="308"/>
      <c r="AY553" s="304"/>
      <c r="AZ553" s="308"/>
      <c r="BA553" s="313"/>
      <c r="BB553" s="304"/>
      <c r="BC553" s="308"/>
      <c r="BD553" s="308"/>
    </row>
    <row r="554">
      <c r="A554" s="301"/>
      <c r="B554" s="301"/>
      <c r="C554" s="303"/>
      <c r="D554" s="301"/>
      <c r="E554" s="309"/>
      <c r="F554" s="301"/>
      <c r="G554" s="301"/>
      <c r="H554" s="309"/>
      <c r="I554" s="327"/>
      <c r="J554" s="328"/>
      <c r="K554" s="326"/>
      <c r="L554" s="309"/>
      <c r="M554" s="308"/>
      <c r="N554" s="309"/>
      <c r="O554" s="322"/>
      <c r="P554" s="308"/>
      <c r="Q554" s="311"/>
      <c r="R554" s="309"/>
      <c r="S554" s="308"/>
      <c r="T554" s="309"/>
      <c r="U554" s="309"/>
      <c r="V554" s="308"/>
      <c r="W554" s="309"/>
      <c r="X554" s="309"/>
      <c r="Y554" s="308"/>
      <c r="Z554" s="309"/>
      <c r="AA554" s="312"/>
      <c r="AB554" s="308"/>
      <c r="AC554" s="308"/>
      <c r="AD554" s="312"/>
      <c r="AE554" s="308"/>
      <c r="AF554" s="313"/>
      <c r="AG554" s="304"/>
      <c r="AH554" s="308"/>
      <c r="AI554" s="313"/>
      <c r="AJ554" s="304"/>
      <c r="AK554" s="308"/>
      <c r="AL554" s="308"/>
      <c r="AM554" s="304"/>
      <c r="AN554" s="308"/>
      <c r="AO554" s="313"/>
      <c r="AP554" s="304"/>
      <c r="AQ554" s="308"/>
      <c r="AR554" s="313"/>
      <c r="AS554" s="304"/>
      <c r="AT554" s="308"/>
      <c r="AU554" s="308"/>
      <c r="AV554" s="304"/>
      <c r="AW554" s="308"/>
      <c r="AX554" s="308"/>
      <c r="AY554" s="304"/>
      <c r="AZ554" s="308"/>
      <c r="BA554" s="313"/>
      <c r="BB554" s="304"/>
      <c r="BC554" s="308"/>
      <c r="BD554" s="308"/>
    </row>
    <row r="555">
      <c r="A555" s="301"/>
      <c r="B555" s="301"/>
      <c r="C555" s="303"/>
      <c r="D555" s="301"/>
      <c r="E555" s="309"/>
      <c r="F555" s="301"/>
      <c r="G555" s="301"/>
      <c r="H555" s="309"/>
      <c r="I555" s="327"/>
      <c r="J555" s="328"/>
      <c r="K555" s="326"/>
      <c r="L555" s="309"/>
      <c r="M555" s="308"/>
      <c r="N555" s="309"/>
      <c r="O555" s="322"/>
      <c r="P555" s="308"/>
      <c r="Q555" s="311"/>
      <c r="R555" s="309"/>
      <c r="S555" s="308"/>
      <c r="T555" s="309"/>
      <c r="U555" s="309"/>
      <c r="V555" s="308"/>
      <c r="W555" s="309"/>
      <c r="X555" s="309"/>
      <c r="Y555" s="308"/>
      <c r="Z555" s="309"/>
      <c r="AA555" s="312"/>
      <c r="AB555" s="308"/>
      <c r="AC555" s="308"/>
      <c r="AD555" s="312"/>
      <c r="AE555" s="308"/>
      <c r="AF555" s="313"/>
      <c r="AG555" s="304"/>
      <c r="AH555" s="308"/>
      <c r="AI555" s="313"/>
      <c r="AJ555" s="304"/>
      <c r="AK555" s="308"/>
      <c r="AL555" s="308"/>
      <c r="AM555" s="304"/>
      <c r="AN555" s="308"/>
      <c r="AO555" s="313"/>
      <c r="AP555" s="304"/>
      <c r="AQ555" s="308"/>
      <c r="AR555" s="313"/>
      <c r="AS555" s="304"/>
      <c r="AT555" s="308"/>
      <c r="AU555" s="308"/>
      <c r="AV555" s="304"/>
      <c r="AW555" s="308"/>
      <c r="AX555" s="308"/>
      <c r="AY555" s="304"/>
      <c r="AZ555" s="308"/>
      <c r="BA555" s="313"/>
      <c r="BB555" s="304"/>
      <c r="BC555" s="308"/>
      <c r="BD555" s="308"/>
    </row>
    <row r="556">
      <c r="A556" s="301"/>
      <c r="B556" s="301"/>
      <c r="C556" s="303"/>
      <c r="D556" s="301"/>
      <c r="E556" s="309"/>
      <c r="F556" s="301"/>
      <c r="G556" s="301"/>
      <c r="H556" s="309"/>
      <c r="I556" s="327"/>
      <c r="J556" s="328"/>
      <c r="K556" s="326"/>
      <c r="L556" s="309"/>
      <c r="M556" s="308"/>
      <c r="N556" s="309"/>
      <c r="O556" s="322"/>
      <c r="P556" s="308"/>
      <c r="Q556" s="311"/>
      <c r="R556" s="309"/>
      <c r="S556" s="308"/>
      <c r="T556" s="309"/>
      <c r="U556" s="309"/>
      <c r="V556" s="308"/>
      <c r="W556" s="309"/>
      <c r="X556" s="309"/>
      <c r="Y556" s="308"/>
      <c r="Z556" s="309"/>
      <c r="AA556" s="312"/>
      <c r="AB556" s="308"/>
      <c r="AC556" s="308"/>
      <c r="AD556" s="312"/>
      <c r="AE556" s="308"/>
      <c r="AF556" s="313"/>
      <c r="AG556" s="304"/>
      <c r="AH556" s="308"/>
      <c r="AI556" s="313"/>
      <c r="AJ556" s="304"/>
      <c r="AK556" s="308"/>
      <c r="AL556" s="308"/>
      <c r="AM556" s="304"/>
      <c r="AN556" s="308"/>
      <c r="AO556" s="313"/>
      <c r="AP556" s="304"/>
      <c r="AQ556" s="308"/>
      <c r="AR556" s="313"/>
      <c r="AS556" s="304"/>
      <c r="AT556" s="308"/>
      <c r="AU556" s="308"/>
      <c r="AV556" s="304"/>
      <c r="AW556" s="308"/>
      <c r="AX556" s="308"/>
      <c r="AY556" s="304"/>
      <c r="AZ556" s="308"/>
      <c r="BA556" s="313"/>
      <c r="BB556" s="304"/>
      <c r="BC556" s="308"/>
      <c r="BD556" s="308"/>
    </row>
    <row r="557">
      <c r="A557" s="301"/>
      <c r="B557" s="301"/>
      <c r="C557" s="303"/>
      <c r="D557" s="301"/>
      <c r="E557" s="309"/>
      <c r="F557" s="301"/>
      <c r="G557" s="301"/>
      <c r="H557" s="309"/>
      <c r="I557" s="327"/>
      <c r="J557" s="328"/>
      <c r="K557" s="326"/>
      <c r="L557" s="309"/>
      <c r="M557" s="308"/>
      <c r="N557" s="309"/>
      <c r="O557" s="322"/>
      <c r="P557" s="308"/>
      <c r="Q557" s="311"/>
      <c r="R557" s="309"/>
      <c r="S557" s="308"/>
      <c r="T557" s="309"/>
      <c r="U557" s="309"/>
      <c r="V557" s="308"/>
      <c r="W557" s="309"/>
      <c r="X557" s="309"/>
      <c r="Y557" s="308"/>
      <c r="Z557" s="309"/>
      <c r="AA557" s="312"/>
      <c r="AB557" s="308"/>
      <c r="AC557" s="308"/>
      <c r="AD557" s="312"/>
      <c r="AE557" s="308"/>
      <c r="AF557" s="313"/>
      <c r="AG557" s="304"/>
      <c r="AH557" s="308"/>
      <c r="AI557" s="313"/>
      <c r="AJ557" s="304"/>
      <c r="AK557" s="308"/>
      <c r="AL557" s="308"/>
      <c r="AM557" s="304"/>
      <c r="AN557" s="308"/>
      <c r="AO557" s="313"/>
      <c r="AP557" s="304"/>
      <c r="AQ557" s="308"/>
      <c r="AR557" s="313"/>
      <c r="AS557" s="304"/>
      <c r="AT557" s="308"/>
      <c r="AU557" s="308"/>
      <c r="AV557" s="304"/>
      <c r="AW557" s="308"/>
      <c r="AX557" s="308"/>
      <c r="AY557" s="304"/>
      <c r="AZ557" s="308"/>
      <c r="BA557" s="313"/>
      <c r="BB557" s="304"/>
      <c r="BC557" s="308"/>
      <c r="BD557" s="308"/>
    </row>
    <row r="558">
      <c r="A558" s="301"/>
      <c r="B558" s="301"/>
      <c r="C558" s="303"/>
      <c r="D558" s="301"/>
      <c r="E558" s="309"/>
      <c r="F558" s="301"/>
      <c r="G558" s="301"/>
      <c r="H558" s="309"/>
      <c r="I558" s="327"/>
      <c r="J558" s="328"/>
      <c r="K558" s="326"/>
      <c r="L558" s="309"/>
      <c r="M558" s="308"/>
      <c r="N558" s="309"/>
      <c r="O558" s="322"/>
      <c r="P558" s="308"/>
      <c r="Q558" s="311"/>
      <c r="R558" s="309"/>
      <c r="S558" s="308"/>
      <c r="T558" s="309"/>
      <c r="U558" s="309"/>
      <c r="V558" s="308"/>
      <c r="W558" s="309"/>
      <c r="X558" s="309"/>
      <c r="Y558" s="308"/>
      <c r="Z558" s="309"/>
      <c r="AA558" s="312"/>
      <c r="AB558" s="308"/>
      <c r="AC558" s="308"/>
      <c r="AD558" s="312"/>
      <c r="AE558" s="308"/>
      <c r="AF558" s="313"/>
      <c r="AG558" s="304"/>
      <c r="AH558" s="308"/>
      <c r="AI558" s="313"/>
      <c r="AJ558" s="304"/>
      <c r="AK558" s="308"/>
      <c r="AL558" s="308"/>
      <c r="AM558" s="304"/>
      <c r="AN558" s="308"/>
      <c r="AO558" s="313"/>
      <c r="AP558" s="304"/>
      <c r="AQ558" s="308"/>
      <c r="AR558" s="313"/>
      <c r="AS558" s="304"/>
      <c r="AT558" s="308"/>
      <c r="AU558" s="308"/>
      <c r="AV558" s="304"/>
      <c r="AW558" s="308"/>
      <c r="AX558" s="308"/>
      <c r="AY558" s="304"/>
      <c r="AZ558" s="308"/>
      <c r="BA558" s="313"/>
      <c r="BB558" s="304"/>
      <c r="BC558" s="308"/>
      <c r="BD558" s="308"/>
    </row>
    <row r="559">
      <c r="A559" s="301"/>
      <c r="B559" s="301"/>
      <c r="C559" s="303"/>
      <c r="D559" s="301"/>
      <c r="E559" s="309"/>
      <c r="F559" s="301"/>
      <c r="G559" s="301"/>
      <c r="H559" s="309"/>
      <c r="I559" s="327"/>
      <c r="J559" s="328"/>
      <c r="K559" s="326"/>
      <c r="L559" s="309"/>
      <c r="M559" s="308"/>
      <c r="N559" s="309"/>
      <c r="O559" s="322"/>
      <c r="P559" s="308"/>
      <c r="Q559" s="311"/>
      <c r="R559" s="309"/>
      <c r="S559" s="308"/>
      <c r="T559" s="309"/>
      <c r="U559" s="309"/>
      <c r="V559" s="308"/>
      <c r="W559" s="309"/>
      <c r="X559" s="309"/>
      <c r="Y559" s="308"/>
      <c r="Z559" s="309"/>
      <c r="AA559" s="312"/>
      <c r="AB559" s="308"/>
      <c r="AC559" s="308"/>
      <c r="AD559" s="312"/>
      <c r="AE559" s="308"/>
      <c r="AF559" s="313"/>
      <c r="AG559" s="304"/>
      <c r="AH559" s="308"/>
      <c r="AI559" s="313"/>
      <c r="AJ559" s="304"/>
      <c r="AK559" s="308"/>
      <c r="AL559" s="308"/>
      <c r="AM559" s="304"/>
      <c r="AN559" s="308"/>
      <c r="AO559" s="313"/>
      <c r="AP559" s="304"/>
      <c r="AQ559" s="308"/>
      <c r="AR559" s="313"/>
      <c r="AS559" s="304"/>
      <c r="AT559" s="308"/>
      <c r="AU559" s="308"/>
      <c r="AV559" s="304"/>
      <c r="AW559" s="308"/>
      <c r="AX559" s="308"/>
      <c r="AY559" s="304"/>
      <c r="AZ559" s="308"/>
      <c r="BA559" s="313"/>
      <c r="BB559" s="304"/>
      <c r="BC559" s="308"/>
      <c r="BD559" s="308"/>
    </row>
    <row r="560">
      <c r="A560" s="301"/>
      <c r="B560" s="301"/>
      <c r="C560" s="303"/>
      <c r="D560" s="301"/>
      <c r="E560" s="309"/>
      <c r="F560" s="301"/>
      <c r="G560" s="301"/>
      <c r="H560" s="309"/>
      <c r="I560" s="327"/>
      <c r="J560" s="328"/>
      <c r="K560" s="326"/>
      <c r="L560" s="309"/>
      <c r="M560" s="308"/>
      <c r="N560" s="309"/>
      <c r="O560" s="322"/>
      <c r="P560" s="308"/>
      <c r="Q560" s="311"/>
      <c r="R560" s="309"/>
      <c r="S560" s="308"/>
      <c r="T560" s="309"/>
      <c r="U560" s="309"/>
      <c r="V560" s="308"/>
      <c r="W560" s="309"/>
      <c r="X560" s="309"/>
      <c r="Y560" s="308"/>
      <c r="Z560" s="309"/>
      <c r="AA560" s="312"/>
      <c r="AB560" s="308"/>
      <c r="AC560" s="308"/>
      <c r="AD560" s="312"/>
      <c r="AE560" s="308"/>
      <c r="AF560" s="313"/>
      <c r="AG560" s="304"/>
      <c r="AH560" s="308"/>
      <c r="AI560" s="313"/>
      <c r="AJ560" s="304"/>
      <c r="AK560" s="308"/>
      <c r="AL560" s="308"/>
      <c r="AM560" s="304"/>
      <c r="AN560" s="308"/>
      <c r="AO560" s="313"/>
      <c r="AP560" s="304"/>
      <c r="AQ560" s="308"/>
      <c r="AR560" s="313"/>
      <c r="AS560" s="304"/>
      <c r="AT560" s="308"/>
      <c r="AU560" s="308"/>
      <c r="AV560" s="304"/>
      <c r="AW560" s="308"/>
      <c r="AX560" s="308"/>
      <c r="AY560" s="304"/>
      <c r="AZ560" s="308"/>
      <c r="BA560" s="313"/>
      <c r="BB560" s="304"/>
      <c r="BC560" s="308"/>
      <c r="BD560" s="308"/>
    </row>
    <row r="561">
      <c r="A561" s="301"/>
      <c r="B561" s="301"/>
      <c r="C561" s="303"/>
      <c r="D561" s="301"/>
      <c r="E561" s="309"/>
      <c r="F561" s="301"/>
      <c r="G561" s="301"/>
      <c r="H561" s="309"/>
      <c r="I561" s="327"/>
      <c r="J561" s="328"/>
      <c r="K561" s="326"/>
      <c r="L561" s="309"/>
      <c r="M561" s="308"/>
      <c r="N561" s="309"/>
      <c r="O561" s="322"/>
      <c r="P561" s="308"/>
      <c r="Q561" s="311"/>
      <c r="R561" s="309"/>
      <c r="S561" s="308"/>
      <c r="T561" s="309"/>
      <c r="U561" s="309"/>
      <c r="V561" s="308"/>
      <c r="W561" s="309"/>
      <c r="X561" s="309"/>
      <c r="Y561" s="308"/>
      <c r="Z561" s="309"/>
      <c r="AA561" s="312"/>
      <c r="AB561" s="308"/>
      <c r="AC561" s="308"/>
      <c r="AD561" s="312"/>
      <c r="AE561" s="308"/>
      <c r="AF561" s="313"/>
      <c r="AG561" s="304"/>
      <c r="AH561" s="308"/>
      <c r="AI561" s="313"/>
      <c r="AJ561" s="304"/>
      <c r="AK561" s="308"/>
      <c r="AL561" s="308"/>
      <c r="AM561" s="304"/>
      <c r="AN561" s="308"/>
      <c r="AO561" s="313"/>
      <c r="AP561" s="304"/>
      <c r="AQ561" s="308"/>
      <c r="AR561" s="313"/>
      <c r="AS561" s="304"/>
      <c r="AT561" s="308"/>
      <c r="AU561" s="308"/>
      <c r="AV561" s="304"/>
      <c r="AW561" s="308"/>
      <c r="AX561" s="308"/>
      <c r="AY561" s="304"/>
      <c r="AZ561" s="308"/>
      <c r="BA561" s="313"/>
      <c r="BB561" s="304"/>
      <c r="BC561" s="308"/>
      <c r="BD561" s="308"/>
    </row>
    <row r="562">
      <c r="A562" s="301"/>
      <c r="B562" s="301"/>
      <c r="C562" s="303"/>
      <c r="D562" s="301"/>
      <c r="E562" s="309"/>
      <c r="F562" s="301"/>
      <c r="G562" s="301"/>
      <c r="H562" s="309"/>
      <c r="I562" s="327"/>
      <c r="J562" s="328"/>
      <c r="K562" s="326"/>
      <c r="L562" s="309"/>
      <c r="M562" s="308"/>
      <c r="N562" s="309"/>
      <c r="O562" s="322"/>
      <c r="P562" s="308"/>
      <c r="Q562" s="311"/>
      <c r="R562" s="309"/>
      <c r="S562" s="308"/>
      <c r="T562" s="309"/>
      <c r="U562" s="309"/>
      <c r="V562" s="308"/>
      <c r="W562" s="309"/>
      <c r="X562" s="309"/>
      <c r="Y562" s="308"/>
      <c r="Z562" s="309"/>
      <c r="AA562" s="312"/>
      <c r="AB562" s="308"/>
      <c r="AC562" s="308"/>
      <c r="AD562" s="312"/>
      <c r="AE562" s="308"/>
      <c r="AF562" s="313"/>
      <c r="AG562" s="304"/>
      <c r="AH562" s="308"/>
      <c r="AI562" s="313"/>
      <c r="AJ562" s="304"/>
      <c r="AK562" s="308"/>
      <c r="AL562" s="308"/>
      <c r="AM562" s="304"/>
      <c r="AN562" s="308"/>
      <c r="AO562" s="313"/>
      <c r="AP562" s="304"/>
      <c r="AQ562" s="308"/>
      <c r="AR562" s="313"/>
      <c r="AS562" s="304"/>
      <c r="AT562" s="308"/>
      <c r="AU562" s="308"/>
      <c r="AV562" s="304"/>
      <c r="AW562" s="308"/>
      <c r="AX562" s="308"/>
      <c r="AY562" s="304"/>
      <c r="AZ562" s="308"/>
      <c r="BA562" s="313"/>
      <c r="BB562" s="304"/>
      <c r="BC562" s="308"/>
      <c r="BD562" s="308"/>
    </row>
    <row r="563">
      <c r="A563" s="301"/>
      <c r="B563" s="301"/>
      <c r="C563" s="303"/>
      <c r="D563" s="301"/>
      <c r="E563" s="309"/>
      <c r="F563" s="301"/>
      <c r="G563" s="301"/>
      <c r="H563" s="309"/>
      <c r="I563" s="327"/>
      <c r="J563" s="328"/>
      <c r="K563" s="326"/>
      <c r="L563" s="309"/>
      <c r="M563" s="308"/>
      <c r="N563" s="309"/>
      <c r="O563" s="322"/>
      <c r="P563" s="308"/>
      <c r="Q563" s="311"/>
      <c r="R563" s="309"/>
      <c r="S563" s="308"/>
      <c r="T563" s="309"/>
      <c r="U563" s="309"/>
      <c r="V563" s="308"/>
      <c r="W563" s="309"/>
      <c r="X563" s="309"/>
      <c r="Y563" s="308"/>
      <c r="Z563" s="309"/>
      <c r="AA563" s="312"/>
      <c r="AB563" s="308"/>
      <c r="AC563" s="308"/>
      <c r="AD563" s="312"/>
      <c r="AE563" s="308"/>
      <c r="AF563" s="313"/>
      <c r="AG563" s="304"/>
      <c r="AH563" s="308"/>
      <c r="AI563" s="313"/>
      <c r="AJ563" s="304"/>
      <c r="AK563" s="308"/>
      <c r="AL563" s="308"/>
      <c r="AM563" s="304"/>
      <c r="AN563" s="308"/>
      <c r="AO563" s="313"/>
      <c r="AP563" s="304"/>
      <c r="AQ563" s="308"/>
      <c r="AR563" s="313"/>
      <c r="AS563" s="304"/>
      <c r="AT563" s="308"/>
      <c r="AU563" s="308"/>
      <c r="AV563" s="304"/>
      <c r="AW563" s="308"/>
      <c r="AX563" s="308"/>
      <c r="AY563" s="304"/>
      <c r="AZ563" s="308"/>
      <c r="BA563" s="313"/>
      <c r="BB563" s="304"/>
      <c r="BC563" s="308"/>
      <c r="BD563" s="308"/>
    </row>
    <row r="564">
      <c r="A564" s="301"/>
      <c r="B564" s="301"/>
      <c r="C564" s="303"/>
      <c r="D564" s="301"/>
      <c r="E564" s="309"/>
      <c r="F564" s="301"/>
      <c r="G564" s="301"/>
      <c r="H564" s="309"/>
      <c r="I564" s="327"/>
      <c r="J564" s="328"/>
      <c r="K564" s="326"/>
      <c r="L564" s="309"/>
      <c r="M564" s="308"/>
      <c r="N564" s="309"/>
      <c r="O564" s="322"/>
      <c r="P564" s="308"/>
      <c r="Q564" s="311"/>
      <c r="R564" s="309"/>
      <c r="S564" s="308"/>
      <c r="T564" s="309"/>
      <c r="U564" s="309"/>
      <c r="V564" s="308"/>
      <c r="W564" s="309"/>
      <c r="X564" s="309"/>
      <c r="Y564" s="308"/>
      <c r="Z564" s="309"/>
      <c r="AA564" s="312"/>
      <c r="AB564" s="308"/>
      <c r="AC564" s="308"/>
      <c r="AD564" s="312"/>
      <c r="AE564" s="308"/>
      <c r="AF564" s="313"/>
      <c r="AG564" s="304"/>
      <c r="AH564" s="308"/>
      <c r="AI564" s="313"/>
      <c r="AJ564" s="304"/>
      <c r="AK564" s="308"/>
      <c r="AL564" s="308"/>
      <c r="AM564" s="304"/>
      <c r="AN564" s="308"/>
      <c r="AO564" s="313"/>
      <c r="AP564" s="304"/>
      <c r="AQ564" s="308"/>
      <c r="AR564" s="313"/>
      <c r="AS564" s="304"/>
      <c r="AT564" s="308"/>
      <c r="AU564" s="308"/>
      <c r="AV564" s="304"/>
      <c r="AW564" s="308"/>
      <c r="AX564" s="308"/>
      <c r="AY564" s="304"/>
      <c r="AZ564" s="308"/>
      <c r="BA564" s="313"/>
      <c r="BB564" s="304"/>
      <c r="BC564" s="308"/>
      <c r="BD564" s="308"/>
    </row>
    <row r="565">
      <c r="A565" s="301"/>
      <c r="B565" s="301"/>
      <c r="C565" s="303"/>
      <c r="D565" s="301"/>
      <c r="E565" s="309"/>
      <c r="F565" s="301"/>
      <c r="G565" s="301"/>
      <c r="H565" s="309"/>
      <c r="I565" s="327"/>
      <c r="J565" s="328"/>
      <c r="K565" s="326"/>
      <c r="L565" s="309"/>
      <c r="M565" s="308"/>
      <c r="N565" s="309"/>
      <c r="O565" s="322"/>
      <c r="P565" s="308"/>
      <c r="Q565" s="311"/>
      <c r="R565" s="309"/>
      <c r="S565" s="308"/>
      <c r="T565" s="309"/>
      <c r="U565" s="309"/>
      <c r="V565" s="308"/>
      <c r="W565" s="309"/>
      <c r="X565" s="309"/>
      <c r="Y565" s="308"/>
      <c r="Z565" s="309"/>
      <c r="AA565" s="312"/>
      <c r="AB565" s="308"/>
      <c r="AC565" s="308"/>
      <c r="AD565" s="312"/>
      <c r="AE565" s="308"/>
      <c r="AF565" s="313"/>
      <c r="AG565" s="304"/>
      <c r="AH565" s="308"/>
      <c r="AI565" s="313"/>
      <c r="AJ565" s="304"/>
      <c r="AK565" s="308"/>
      <c r="AL565" s="308"/>
      <c r="AM565" s="304"/>
      <c r="AN565" s="308"/>
      <c r="AO565" s="313"/>
      <c r="AP565" s="304"/>
      <c r="AQ565" s="308"/>
      <c r="AR565" s="313"/>
      <c r="AS565" s="304"/>
      <c r="AT565" s="308"/>
      <c r="AU565" s="308"/>
      <c r="AV565" s="304"/>
      <c r="AW565" s="308"/>
      <c r="AX565" s="308"/>
      <c r="AY565" s="304"/>
      <c r="AZ565" s="308"/>
      <c r="BA565" s="313"/>
      <c r="BB565" s="304"/>
      <c r="BC565" s="308"/>
      <c r="BD565" s="308"/>
    </row>
    <row r="566">
      <c r="A566" s="301"/>
      <c r="B566" s="301"/>
      <c r="C566" s="303"/>
      <c r="D566" s="301"/>
      <c r="E566" s="309"/>
      <c r="F566" s="301"/>
      <c r="G566" s="301"/>
      <c r="H566" s="309"/>
      <c r="I566" s="327"/>
      <c r="J566" s="328"/>
      <c r="K566" s="326"/>
      <c r="L566" s="309"/>
      <c r="M566" s="308"/>
      <c r="N566" s="309"/>
      <c r="O566" s="322"/>
      <c r="P566" s="308"/>
      <c r="Q566" s="311"/>
      <c r="R566" s="309"/>
      <c r="S566" s="308"/>
      <c r="T566" s="309"/>
      <c r="U566" s="309"/>
      <c r="V566" s="308"/>
      <c r="W566" s="309"/>
      <c r="X566" s="309"/>
      <c r="Y566" s="308"/>
      <c r="Z566" s="309"/>
      <c r="AA566" s="312"/>
      <c r="AB566" s="308"/>
      <c r="AC566" s="308"/>
      <c r="AD566" s="312"/>
      <c r="AE566" s="308"/>
      <c r="AF566" s="313"/>
      <c r="AG566" s="304"/>
      <c r="AH566" s="308"/>
      <c r="AI566" s="313"/>
      <c r="AJ566" s="304"/>
      <c r="AK566" s="308"/>
      <c r="AL566" s="308"/>
      <c r="AM566" s="304"/>
      <c r="AN566" s="308"/>
      <c r="AO566" s="313"/>
      <c r="AP566" s="304"/>
      <c r="AQ566" s="308"/>
      <c r="AR566" s="313"/>
      <c r="AS566" s="304"/>
      <c r="AT566" s="308"/>
      <c r="AU566" s="308"/>
      <c r="AV566" s="304"/>
      <c r="AW566" s="308"/>
      <c r="AX566" s="308"/>
      <c r="AY566" s="304"/>
      <c r="AZ566" s="308"/>
      <c r="BA566" s="313"/>
      <c r="BB566" s="304"/>
      <c r="BC566" s="308"/>
      <c r="BD566" s="308"/>
    </row>
    <row r="567">
      <c r="A567" s="301"/>
      <c r="B567" s="301"/>
      <c r="C567" s="303"/>
      <c r="D567" s="301"/>
      <c r="E567" s="309"/>
      <c r="F567" s="301"/>
      <c r="G567" s="301"/>
      <c r="H567" s="309"/>
      <c r="I567" s="327"/>
      <c r="J567" s="328"/>
      <c r="K567" s="326"/>
      <c r="L567" s="309"/>
      <c r="M567" s="308"/>
      <c r="N567" s="309"/>
      <c r="O567" s="322"/>
      <c r="P567" s="308"/>
      <c r="Q567" s="311"/>
      <c r="R567" s="309"/>
      <c r="S567" s="308"/>
      <c r="T567" s="309"/>
      <c r="U567" s="309"/>
      <c r="V567" s="308"/>
      <c r="W567" s="309"/>
      <c r="X567" s="309"/>
      <c r="Y567" s="308"/>
      <c r="Z567" s="309"/>
      <c r="AA567" s="312"/>
      <c r="AB567" s="308"/>
      <c r="AC567" s="308"/>
      <c r="AD567" s="312"/>
      <c r="AE567" s="308"/>
      <c r="AF567" s="313"/>
      <c r="AG567" s="304"/>
      <c r="AH567" s="308"/>
      <c r="AI567" s="313"/>
      <c r="AJ567" s="304"/>
      <c r="AK567" s="308"/>
      <c r="AL567" s="308"/>
      <c r="AM567" s="304"/>
      <c r="AN567" s="308"/>
      <c r="AO567" s="313"/>
      <c r="AP567" s="304"/>
      <c r="AQ567" s="308"/>
      <c r="AR567" s="313"/>
      <c r="AS567" s="304"/>
      <c r="AT567" s="308"/>
      <c r="AU567" s="308"/>
      <c r="AV567" s="304"/>
      <c r="AW567" s="308"/>
      <c r="AX567" s="308"/>
      <c r="AY567" s="304"/>
      <c r="AZ567" s="308"/>
      <c r="BA567" s="313"/>
      <c r="BB567" s="304"/>
      <c r="BC567" s="308"/>
      <c r="BD567" s="308"/>
    </row>
    <row r="568">
      <c r="A568" s="301"/>
      <c r="B568" s="301"/>
      <c r="C568" s="303"/>
      <c r="D568" s="301"/>
      <c r="E568" s="309"/>
      <c r="F568" s="301"/>
      <c r="G568" s="301"/>
      <c r="H568" s="309"/>
      <c r="I568" s="327"/>
      <c r="J568" s="328"/>
      <c r="K568" s="326"/>
      <c r="L568" s="309"/>
      <c r="M568" s="308"/>
      <c r="N568" s="309"/>
      <c r="O568" s="322"/>
      <c r="P568" s="308"/>
      <c r="Q568" s="311"/>
      <c r="R568" s="309"/>
      <c r="S568" s="308"/>
      <c r="T568" s="309"/>
      <c r="U568" s="309"/>
      <c r="V568" s="308"/>
      <c r="W568" s="309"/>
      <c r="X568" s="309"/>
      <c r="Y568" s="308"/>
      <c r="Z568" s="309"/>
      <c r="AA568" s="312"/>
      <c r="AB568" s="308"/>
      <c r="AC568" s="308"/>
      <c r="AD568" s="312"/>
      <c r="AE568" s="308"/>
      <c r="AF568" s="313"/>
      <c r="AG568" s="304"/>
      <c r="AH568" s="308"/>
      <c r="AI568" s="313"/>
      <c r="AJ568" s="304"/>
      <c r="AK568" s="308"/>
      <c r="AL568" s="308"/>
      <c r="AM568" s="304"/>
      <c r="AN568" s="308"/>
      <c r="AO568" s="313"/>
      <c r="AP568" s="304"/>
      <c r="AQ568" s="308"/>
      <c r="AR568" s="313"/>
      <c r="AS568" s="304"/>
      <c r="AT568" s="308"/>
      <c r="AU568" s="308"/>
      <c r="AV568" s="304"/>
      <c r="AW568" s="308"/>
      <c r="AX568" s="308"/>
      <c r="AY568" s="304"/>
      <c r="AZ568" s="308"/>
      <c r="BA568" s="313"/>
      <c r="BB568" s="304"/>
      <c r="BC568" s="308"/>
      <c r="BD568" s="308"/>
    </row>
    <row r="569">
      <c r="A569" s="301"/>
      <c r="B569" s="301"/>
      <c r="C569" s="303"/>
      <c r="D569" s="301"/>
      <c r="E569" s="309"/>
      <c r="F569" s="301"/>
      <c r="G569" s="301"/>
      <c r="H569" s="309"/>
      <c r="I569" s="327"/>
      <c r="J569" s="328"/>
      <c r="K569" s="326"/>
      <c r="L569" s="309"/>
      <c r="M569" s="308"/>
      <c r="N569" s="309"/>
      <c r="O569" s="322"/>
      <c r="P569" s="308"/>
      <c r="Q569" s="311"/>
      <c r="R569" s="309"/>
      <c r="S569" s="308"/>
      <c r="T569" s="309"/>
      <c r="U569" s="309"/>
      <c r="V569" s="308"/>
      <c r="W569" s="309"/>
      <c r="X569" s="309"/>
      <c r="Y569" s="308"/>
      <c r="Z569" s="309"/>
      <c r="AA569" s="312"/>
      <c r="AB569" s="308"/>
      <c r="AC569" s="308"/>
      <c r="AD569" s="312"/>
      <c r="AE569" s="308"/>
      <c r="AF569" s="313"/>
      <c r="AG569" s="304"/>
      <c r="AH569" s="308"/>
      <c r="AI569" s="313"/>
      <c r="AJ569" s="304"/>
      <c r="AK569" s="308"/>
      <c r="AL569" s="308"/>
      <c r="AM569" s="304"/>
      <c r="AN569" s="308"/>
      <c r="AO569" s="313"/>
      <c r="AP569" s="304"/>
      <c r="AQ569" s="308"/>
      <c r="AR569" s="313"/>
      <c r="AS569" s="304"/>
      <c r="AT569" s="308"/>
      <c r="AU569" s="308"/>
      <c r="AV569" s="304"/>
      <c r="AW569" s="308"/>
      <c r="AX569" s="308"/>
      <c r="AY569" s="304"/>
      <c r="AZ569" s="308"/>
      <c r="BA569" s="313"/>
      <c r="BB569" s="304"/>
      <c r="BC569" s="308"/>
      <c r="BD569" s="308"/>
    </row>
    <row r="570">
      <c r="A570" s="301"/>
      <c r="B570" s="301"/>
      <c r="C570" s="303"/>
      <c r="D570" s="301"/>
      <c r="E570" s="309"/>
      <c r="F570" s="301"/>
      <c r="G570" s="301"/>
      <c r="H570" s="309"/>
      <c r="I570" s="327"/>
      <c r="J570" s="328"/>
      <c r="K570" s="326"/>
      <c r="L570" s="309"/>
      <c r="M570" s="308"/>
      <c r="N570" s="309"/>
      <c r="O570" s="322"/>
      <c r="P570" s="308"/>
      <c r="Q570" s="311"/>
      <c r="R570" s="309"/>
      <c r="S570" s="308"/>
      <c r="T570" s="309"/>
      <c r="U570" s="309"/>
      <c r="V570" s="308"/>
      <c r="W570" s="309"/>
      <c r="X570" s="309"/>
      <c r="Y570" s="308"/>
      <c r="Z570" s="309"/>
      <c r="AA570" s="312"/>
      <c r="AB570" s="308"/>
      <c r="AC570" s="308"/>
      <c r="AD570" s="312"/>
      <c r="AE570" s="308"/>
      <c r="AF570" s="313"/>
      <c r="AG570" s="304"/>
      <c r="AH570" s="308"/>
      <c r="AI570" s="313"/>
      <c r="AJ570" s="304"/>
      <c r="AK570" s="308"/>
      <c r="AL570" s="308"/>
      <c r="AM570" s="304"/>
      <c r="AN570" s="308"/>
      <c r="AO570" s="313"/>
      <c r="AP570" s="304"/>
      <c r="AQ570" s="308"/>
      <c r="AR570" s="313"/>
      <c r="AS570" s="304"/>
      <c r="AT570" s="308"/>
      <c r="AU570" s="308"/>
      <c r="AV570" s="304"/>
      <c r="AW570" s="308"/>
      <c r="AX570" s="308"/>
      <c r="AY570" s="304"/>
      <c r="AZ570" s="308"/>
      <c r="BA570" s="313"/>
      <c r="BB570" s="304"/>
      <c r="BC570" s="308"/>
      <c r="BD570" s="308"/>
    </row>
    <row r="571">
      <c r="A571" s="301"/>
      <c r="B571" s="301"/>
      <c r="C571" s="303"/>
      <c r="D571" s="301"/>
      <c r="E571" s="309"/>
      <c r="F571" s="301"/>
      <c r="G571" s="301"/>
      <c r="H571" s="309"/>
      <c r="I571" s="327"/>
      <c r="J571" s="328"/>
      <c r="K571" s="326"/>
      <c r="L571" s="309"/>
      <c r="M571" s="308"/>
      <c r="N571" s="309"/>
      <c r="O571" s="322"/>
      <c r="P571" s="308"/>
      <c r="Q571" s="311"/>
      <c r="R571" s="309"/>
      <c r="S571" s="308"/>
      <c r="T571" s="309"/>
      <c r="U571" s="309"/>
      <c r="V571" s="308"/>
      <c r="W571" s="309"/>
      <c r="X571" s="309"/>
      <c r="Y571" s="308"/>
      <c r="Z571" s="309"/>
      <c r="AA571" s="312"/>
      <c r="AB571" s="308"/>
      <c r="AC571" s="308"/>
      <c r="AD571" s="312"/>
      <c r="AE571" s="308"/>
      <c r="AF571" s="313"/>
      <c r="AG571" s="304"/>
      <c r="AH571" s="308"/>
      <c r="AI571" s="313"/>
      <c r="AJ571" s="304"/>
      <c r="AK571" s="308"/>
      <c r="AL571" s="308"/>
      <c r="AM571" s="304"/>
      <c r="AN571" s="308"/>
      <c r="AO571" s="313"/>
      <c r="AP571" s="304"/>
      <c r="AQ571" s="308"/>
      <c r="AR571" s="313"/>
      <c r="AS571" s="304"/>
      <c r="AT571" s="308"/>
      <c r="AU571" s="308"/>
      <c r="AV571" s="304"/>
      <c r="AW571" s="308"/>
      <c r="AX571" s="308"/>
      <c r="AY571" s="304"/>
      <c r="AZ571" s="308"/>
      <c r="BA571" s="313"/>
      <c r="BB571" s="304"/>
      <c r="BC571" s="308"/>
      <c r="BD571" s="308"/>
    </row>
    <row r="572">
      <c r="A572" s="301"/>
      <c r="B572" s="301"/>
      <c r="C572" s="303"/>
      <c r="D572" s="301"/>
      <c r="E572" s="309"/>
      <c r="F572" s="301"/>
      <c r="G572" s="301"/>
      <c r="H572" s="309"/>
      <c r="I572" s="327"/>
      <c r="J572" s="328"/>
      <c r="K572" s="326"/>
      <c r="L572" s="309"/>
      <c r="M572" s="308"/>
      <c r="N572" s="309"/>
      <c r="O572" s="322"/>
      <c r="P572" s="308"/>
      <c r="Q572" s="311"/>
      <c r="R572" s="309"/>
      <c r="S572" s="308"/>
      <c r="T572" s="309"/>
      <c r="U572" s="309"/>
      <c r="V572" s="308"/>
      <c r="W572" s="309"/>
      <c r="X572" s="309"/>
      <c r="Y572" s="308"/>
      <c r="Z572" s="309"/>
      <c r="AA572" s="312"/>
      <c r="AB572" s="308"/>
      <c r="AC572" s="308"/>
      <c r="AD572" s="312"/>
      <c r="AE572" s="308"/>
      <c r="AF572" s="313"/>
      <c r="AG572" s="304"/>
      <c r="AH572" s="308"/>
      <c r="AI572" s="313"/>
      <c r="AJ572" s="304"/>
      <c r="AK572" s="308"/>
      <c r="AL572" s="308"/>
      <c r="AM572" s="304"/>
      <c r="AN572" s="308"/>
      <c r="AO572" s="313"/>
      <c r="AP572" s="304"/>
      <c r="AQ572" s="308"/>
      <c r="AR572" s="313"/>
      <c r="AS572" s="304"/>
      <c r="AT572" s="308"/>
      <c r="AU572" s="308"/>
      <c r="AV572" s="304"/>
      <c r="AW572" s="308"/>
      <c r="AX572" s="308"/>
      <c r="AY572" s="304"/>
      <c r="AZ572" s="308"/>
      <c r="BA572" s="313"/>
      <c r="BB572" s="304"/>
      <c r="BC572" s="308"/>
      <c r="BD572" s="308"/>
    </row>
    <row r="573">
      <c r="A573" s="301"/>
      <c r="B573" s="301"/>
      <c r="C573" s="303"/>
      <c r="D573" s="301"/>
      <c r="E573" s="309"/>
      <c r="F573" s="301"/>
      <c r="G573" s="301"/>
      <c r="H573" s="309"/>
      <c r="I573" s="327"/>
      <c r="J573" s="328"/>
      <c r="K573" s="326"/>
      <c r="L573" s="309"/>
      <c r="M573" s="308"/>
      <c r="N573" s="309"/>
      <c r="O573" s="322"/>
      <c r="P573" s="308"/>
      <c r="Q573" s="311"/>
      <c r="R573" s="309"/>
      <c r="S573" s="308"/>
      <c r="T573" s="309"/>
      <c r="U573" s="309"/>
      <c r="V573" s="308"/>
      <c r="W573" s="309"/>
      <c r="X573" s="309"/>
      <c r="Y573" s="308"/>
      <c r="Z573" s="309"/>
      <c r="AA573" s="312"/>
      <c r="AB573" s="308"/>
      <c r="AC573" s="308"/>
      <c r="AD573" s="312"/>
      <c r="AE573" s="308"/>
      <c r="AF573" s="313"/>
      <c r="AG573" s="304"/>
      <c r="AH573" s="308"/>
      <c r="AI573" s="313"/>
      <c r="AJ573" s="304"/>
      <c r="AK573" s="308"/>
      <c r="AL573" s="308"/>
      <c r="AM573" s="304"/>
      <c r="AN573" s="308"/>
      <c r="AO573" s="313"/>
      <c r="AP573" s="304"/>
      <c r="AQ573" s="308"/>
      <c r="AR573" s="313"/>
      <c r="AS573" s="304"/>
      <c r="AT573" s="308"/>
      <c r="AU573" s="308"/>
      <c r="AV573" s="304"/>
      <c r="AW573" s="308"/>
      <c r="AX573" s="308"/>
      <c r="AY573" s="304"/>
      <c r="AZ573" s="308"/>
      <c r="BA573" s="313"/>
      <c r="BB573" s="304"/>
      <c r="BC573" s="308"/>
      <c r="BD573" s="308"/>
    </row>
    <row r="574">
      <c r="A574" s="301"/>
      <c r="B574" s="301"/>
      <c r="C574" s="303"/>
      <c r="D574" s="301"/>
      <c r="E574" s="309"/>
      <c r="F574" s="301"/>
      <c r="G574" s="301"/>
      <c r="H574" s="309"/>
      <c r="I574" s="327"/>
      <c r="J574" s="328"/>
      <c r="K574" s="326"/>
      <c r="L574" s="309"/>
      <c r="M574" s="308"/>
      <c r="N574" s="309"/>
      <c r="O574" s="322"/>
      <c r="P574" s="308"/>
      <c r="Q574" s="311"/>
      <c r="R574" s="309"/>
      <c r="S574" s="308"/>
      <c r="T574" s="309"/>
      <c r="U574" s="309"/>
      <c r="V574" s="308"/>
      <c r="W574" s="309"/>
      <c r="X574" s="309"/>
      <c r="Y574" s="308"/>
      <c r="Z574" s="309"/>
      <c r="AA574" s="312"/>
      <c r="AB574" s="308"/>
      <c r="AC574" s="308"/>
      <c r="AD574" s="312"/>
      <c r="AE574" s="308"/>
      <c r="AF574" s="313"/>
      <c r="AG574" s="304"/>
      <c r="AH574" s="308"/>
      <c r="AI574" s="313"/>
      <c r="AJ574" s="304"/>
      <c r="AK574" s="308"/>
      <c r="AL574" s="308"/>
      <c r="AM574" s="304"/>
      <c r="AN574" s="308"/>
      <c r="AO574" s="313"/>
      <c r="AP574" s="304"/>
      <c r="AQ574" s="308"/>
      <c r="AR574" s="313"/>
      <c r="AS574" s="304"/>
      <c r="AT574" s="308"/>
      <c r="AU574" s="308"/>
      <c r="AV574" s="304"/>
      <c r="AW574" s="308"/>
      <c r="AX574" s="308"/>
      <c r="AY574" s="304"/>
      <c r="AZ574" s="308"/>
      <c r="BA574" s="313"/>
      <c r="BB574" s="304"/>
      <c r="BC574" s="308"/>
      <c r="BD574" s="308"/>
    </row>
    <row r="575">
      <c r="A575" s="301"/>
      <c r="B575" s="301"/>
      <c r="C575" s="303"/>
      <c r="D575" s="301"/>
      <c r="E575" s="309"/>
      <c r="F575" s="301"/>
      <c r="G575" s="301"/>
      <c r="H575" s="309"/>
      <c r="I575" s="327"/>
      <c r="J575" s="328"/>
      <c r="K575" s="326"/>
      <c r="L575" s="309"/>
      <c r="M575" s="308"/>
      <c r="N575" s="309"/>
      <c r="O575" s="322"/>
      <c r="P575" s="308"/>
      <c r="Q575" s="311"/>
      <c r="R575" s="309"/>
      <c r="S575" s="308"/>
      <c r="T575" s="309"/>
      <c r="U575" s="309"/>
      <c r="V575" s="308"/>
      <c r="W575" s="309"/>
      <c r="X575" s="309"/>
      <c r="Y575" s="308"/>
      <c r="Z575" s="309"/>
      <c r="AA575" s="312"/>
      <c r="AB575" s="308"/>
      <c r="AC575" s="308"/>
      <c r="AD575" s="312"/>
      <c r="AE575" s="308"/>
      <c r="AF575" s="313"/>
      <c r="AG575" s="304"/>
      <c r="AH575" s="308"/>
      <c r="AI575" s="313"/>
      <c r="AJ575" s="304"/>
      <c r="AK575" s="308"/>
      <c r="AL575" s="308"/>
      <c r="AM575" s="304"/>
      <c r="AN575" s="308"/>
      <c r="AO575" s="313"/>
      <c r="AP575" s="304"/>
      <c r="AQ575" s="308"/>
      <c r="AR575" s="313"/>
      <c r="AS575" s="304"/>
      <c r="AT575" s="308"/>
      <c r="AU575" s="308"/>
      <c r="AV575" s="304"/>
      <c r="AW575" s="308"/>
      <c r="AX575" s="308"/>
      <c r="AY575" s="304"/>
      <c r="AZ575" s="308"/>
      <c r="BA575" s="313"/>
      <c r="BB575" s="304"/>
      <c r="BC575" s="308"/>
      <c r="BD575" s="308"/>
    </row>
    <row r="576">
      <c r="A576" s="301"/>
      <c r="B576" s="301"/>
      <c r="C576" s="303"/>
      <c r="D576" s="301"/>
      <c r="E576" s="309"/>
      <c r="F576" s="301"/>
      <c r="G576" s="301"/>
      <c r="H576" s="309"/>
      <c r="I576" s="327"/>
      <c r="J576" s="328"/>
      <c r="K576" s="326"/>
      <c r="L576" s="309"/>
      <c r="M576" s="308"/>
      <c r="N576" s="309"/>
      <c r="O576" s="322"/>
      <c r="P576" s="308"/>
      <c r="Q576" s="311"/>
      <c r="R576" s="309"/>
      <c r="S576" s="308"/>
      <c r="T576" s="309"/>
      <c r="U576" s="309"/>
      <c r="V576" s="308"/>
      <c r="W576" s="309"/>
      <c r="X576" s="309"/>
      <c r="Y576" s="308"/>
      <c r="Z576" s="309"/>
      <c r="AA576" s="312"/>
      <c r="AB576" s="308"/>
      <c r="AC576" s="308"/>
      <c r="AD576" s="312"/>
      <c r="AE576" s="308"/>
      <c r="AF576" s="313"/>
      <c r="AG576" s="304"/>
      <c r="AH576" s="308"/>
      <c r="AI576" s="313"/>
      <c r="AJ576" s="304"/>
      <c r="AK576" s="308"/>
      <c r="AL576" s="308"/>
      <c r="AM576" s="304"/>
      <c r="AN576" s="308"/>
      <c r="AO576" s="313"/>
      <c r="AP576" s="304"/>
      <c r="AQ576" s="308"/>
      <c r="AR576" s="313"/>
      <c r="AS576" s="304"/>
      <c r="AT576" s="308"/>
      <c r="AU576" s="308"/>
      <c r="AV576" s="304"/>
      <c r="AW576" s="308"/>
      <c r="AX576" s="308"/>
      <c r="AY576" s="304"/>
      <c r="AZ576" s="308"/>
      <c r="BA576" s="313"/>
      <c r="BB576" s="304"/>
      <c r="BC576" s="308"/>
      <c r="BD576" s="308"/>
    </row>
    <row r="577">
      <c r="A577" s="301"/>
      <c r="B577" s="301"/>
      <c r="C577" s="303"/>
      <c r="D577" s="301"/>
      <c r="E577" s="309"/>
      <c r="F577" s="301"/>
      <c r="G577" s="301"/>
      <c r="H577" s="309"/>
      <c r="I577" s="327"/>
      <c r="J577" s="328"/>
      <c r="K577" s="326"/>
      <c r="L577" s="309"/>
      <c r="M577" s="308"/>
      <c r="N577" s="309"/>
      <c r="O577" s="322"/>
      <c r="P577" s="308"/>
      <c r="Q577" s="311"/>
      <c r="R577" s="309"/>
      <c r="S577" s="308"/>
      <c r="T577" s="309"/>
      <c r="U577" s="309"/>
      <c r="V577" s="308"/>
      <c r="W577" s="309"/>
      <c r="X577" s="309"/>
      <c r="Y577" s="308"/>
      <c r="Z577" s="309"/>
      <c r="AA577" s="312"/>
      <c r="AB577" s="308"/>
      <c r="AC577" s="308"/>
      <c r="AD577" s="312"/>
      <c r="AE577" s="308"/>
      <c r="AF577" s="313"/>
      <c r="AG577" s="304"/>
      <c r="AH577" s="308"/>
      <c r="AI577" s="313"/>
      <c r="AJ577" s="304"/>
      <c r="AK577" s="308"/>
      <c r="AL577" s="308"/>
      <c r="AM577" s="304"/>
      <c r="AN577" s="308"/>
      <c r="AO577" s="313"/>
      <c r="AP577" s="304"/>
      <c r="AQ577" s="308"/>
      <c r="AR577" s="313"/>
      <c r="AS577" s="304"/>
      <c r="AT577" s="308"/>
      <c r="AU577" s="308"/>
      <c r="AV577" s="304"/>
      <c r="AW577" s="308"/>
      <c r="AX577" s="308"/>
      <c r="AY577" s="304"/>
      <c r="AZ577" s="308"/>
      <c r="BA577" s="313"/>
      <c r="BB577" s="304"/>
      <c r="BC577" s="308"/>
      <c r="BD577" s="308"/>
    </row>
    <row r="578">
      <c r="A578" s="301"/>
      <c r="B578" s="301"/>
      <c r="C578" s="303"/>
      <c r="D578" s="301"/>
      <c r="E578" s="309"/>
      <c r="F578" s="301"/>
      <c r="G578" s="301"/>
      <c r="H578" s="309"/>
      <c r="I578" s="327"/>
      <c r="J578" s="328"/>
      <c r="K578" s="326"/>
      <c r="L578" s="309"/>
      <c r="M578" s="308"/>
      <c r="N578" s="309"/>
      <c r="O578" s="322"/>
      <c r="P578" s="308"/>
      <c r="Q578" s="311"/>
      <c r="R578" s="309"/>
      <c r="S578" s="308"/>
      <c r="T578" s="309"/>
      <c r="U578" s="309"/>
      <c r="V578" s="308"/>
      <c r="W578" s="309"/>
      <c r="X578" s="309"/>
      <c r="Y578" s="308"/>
      <c r="Z578" s="309"/>
      <c r="AA578" s="312"/>
      <c r="AB578" s="308"/>
      <c r="AC578" s="308"/>
      <c r="AD578" s="312"/>
      <c r="AE578" s="308"/>
      <c r="AF578" s="313"/>
      <c r="AG578" s="304"/>
      <c r="AH578" s="308"/>
      <c r="AI578" s="313"/>
      <c r="AJ578" s="304"/>
      <c r="AK578" s="308"/>
      <c r="AL578" s="308"/>
      <c r="AM578" s="304"/>
      <c r="AN578" s="308"/>
      <c r="AO578" s="313"/>
      <c r="AP578" s="304"/>
      <c r="AQ578" s="308"/>
      <c r="AR578" s="313"/>
      <c r="AS578" s="304"/>
      <c r="AT578" s="308"/>
      <c r="AU578" s="308"/>
      <c r="AV578" s="304"/>
      <c r="AW578" s="308"/>
      <c r="AX578" s="308"/>
      <c r="AY578" s="304"/>
      <c r="AZ578" s="308"/>
      <c r="BA578" s="313"/>
      <c r="BB578" s="304"/>
      <c r="BC578" s="308"/>
      <c r="BD578" s="308"/>
    </row>
    <row r="579">
      <c r="A579" s="301"/>
      <c r="B579" s="301"/>
      <c r="C579" s="303"/>
      <c r="D579" s="301"/>
      <c r="E579" s="309"/>
      <c r="F579" s="301"/>
      <c r="G579" s="301"/>
      <c r="H579" s="309"/>
      <c r="I579" s="327"/>
      <c r="J579" s="328"/>
      <c r="K579" s="326"/>
      <c r="L579" s="309"/>
      <c r="M579" s="308"/>
      <c r="N579" s="309"/>
      <c r="O579" s="322"/>
      <c r="P579" s="308"/>
      <c r="Q579" s="311"/>
      <c r="R579" s="309"/>
      <c r="S579" s="308"/>
      <c r="T579" s="309"/>
      <c r="U579" s="309"/>
      <c r="V579" s="308"/>
      <c r="W579" s="309"/>
      <c r="X579" s="309"/>
      <c r="Y579" s="308"/>
      <c r="Z579" s="309"/>
      <c r="AA579" s="312"/>
      <c r="AB579" s="308"/>
      <c r="AC579" s="308"/>
      <c r="AD579" s="312"/>
      <c r="AE579" s="308"/>
      <c r="AF579" s="313"/>
      <c r="AG579" s="304"/>
      <c r="AH579" s="308"/>
      <c r="AI579" s="313"/>
      <c r="AJ579" s="304"/>
      <c r="AK579" s="308"/>
      <c r="AL579" s="308"/>
      <c r="AM579" s="304"/>
      <c r="AN579" s="308"/>
      <c r="AO579" s="313"/>
      <c r="AP579" s="304"/>
      <c r="AQ579" s="308"/>
      <c r="AR579" s="313"/>
      <c r="AS579" s="304"/>
      <c r="AT579" s="308"/>
      <c r="AU579" s="308"/>
      <c r="AV579" s="304"/>
      <c r="AW579" s="308"/>
      <c r="AX579" s="308"/>
      <c r="AY579" s="304"/>
      <c r="AZ579" s="308"/>
      <c r="BA579" s="313"/>
      <c r="BB579" s="304"/>
      <c r="BC579" s="308"/>
      <c r="BD579" s="308"/>
    </row>
    <row r="580">
      <c r="A580" s="301"/>
      <c r="B580" s="301"/>
      <c r="C580" s="303"/>
      <c r="D580" s="301"/>
      <c r="E580" s="309"/>
      <c r="F580" s="301"/>
      <c r="G580" s="301"/>
      <c r="H580" s="309"/>
      <c r="I580" s="327"/>
      <c r="J580" s="328"/>
      <c r="K580" s="326"/>
      <c r="L580" s="309"/>
      <c r="M580" s="308"/>
      <c r="N580" s="309"/>
      <c r="O580" s="322"/>
      <c r="P580" s="308"/>
      <c r="Q580" s="311"/>
      <c r="R580" s="309"/>
      <c r="S580" s="308"/>
      <c r="T580" s="309"/>
      <c r="U580" s="309"/>
      <c r="V580" s="308"/>
      <c r="W580" s="309"/>
      <c r="X580" s="309"/>
      <c r="Y580" s="308"/>
      <c r="Z580" s="309"/>
      <c r="AA580" s="312"/>
      <c r="AB580" s="308"/>
      <c r="AC580" s="308"/>
      <c r="AD580" s="312"/>
      <c r="AE580" s="308"/>
      <c r="AF580" s="313"/>
      <c r="AG580" s="304"/>
      <c r="AH580" s="308"/>
      <c r="AI580" s="313"/>
      <c r="AJ580" s="304"/>
      <c r="AK580" s="308"/>
      <c r="AL580" s="308"/>
      <c r="AM580" s="304"/>
      <c r="AN580" s="308"/>
      <c r="AO580" s="313"/>
      <c r="AP580" s="304"/>
      <c r="AQ580" s="308"/>
      <c r="AR580" s="313"/>
      <c r="AS580" s="304"/>
      <c r="AT580" s="308"/>
      <c r="AU580" s="308"/>
      <c r="AV580" s="304"/>
      <c r="AW580" s="308"/>
      <c r="AX580" s="308"/>
      <c r="AY580" s="304"/>
      <c r="AZ580" s="308"/>
      <c r="BA580" s="313"/>
      <c r="BB580" s="304"/>
      <c r="BC580" s="308"/>
      <c r="BD580" s="308"/>
    </row>
    <row r="581">
      <c r="A581" s="301"/>
      <c r="B581" s="301"/>
      <c r="C581" s="303"/>
      <c r="D581" s="301"/>
      <c r="E581" s="309"/>
      <c r="F581" s="301"/>
      <c r="G581" s="301"/>
      <c r="H581" s="309"/>
      <c r="I581" s="327"/>
      <c r="J581" s="328"/>
      <c r="K581" s="326"/>
      <c r="L581" s="309"/>
      <c r="M581" s="308"/>
      <c r="N581" s="309"/>
      <c r="O581" s="322"/>
      <c r="P581" s="308"/>
      <c r="Q581" s="311"/>
      <c r="R581" s="309"/>
      <c r="S581" s="308"/>
      <c r="T581" s="309"/>
      <c r="U581" s="309"/>
      <c r="V581" s="308"/>
      <c r="W581" s="309"/>
      <c r="X581" s="309"/>
      <c r="Y581" s="308"/>
      <c r="Z581" s="309"/>
      <c r="AA581" s="312"/>
      <c r="AB581" s="308"/>
      <c r="AC581" s="308"/>
      <c r="AD581" s="312"/>
      <c r="AE581" s="308"/>
      <c r="AF581" s="313"/>
      <c r="AG581" s="304"/>
      <c r="AH581" s="308"/>
      <c r="AI581" s="313"/>
      <c r="AJ581" s="304"/>
      <c r="AK581" s="308"/>
      <c r="AL581" s="308"/>
      <c r="AM581" s="304"/>
      <c r="AN581" s="308"/>
      <c r="AO581" s="313"/>
      <c r="AP581" s="304"/>
      <c r="AQ581" s="308"/>
      <c r="AR581" s="313"/>
      <c r="AS581" s="304"/>
      <c r="AT581" s="308"/>
      <c r="AU581" s="308"/>
      <c r="AV581" s="304"/>
      <c r="AW581" s="308"/>
      <c r="AX581" s="308"/>
      <c r="AY581" s="304"/>
      <c r="AZ581" s="308"/>
      <c r="BA581" s="313"/>
      <c r="BB581" s="304"/>
      <c r="BC581" s="308"/>
      <c r="BD581" s="308"/>
    </row>
    <row r="582">
      <c r="A582" s="301"/>
      <c r="B582" s="301"/>
      <c r="C582" s="303"/>
      <c r="D582" s="301"/>
      <c r="E582" s="309"/>
      <c r="F582" s="301"/>
      <c r="G582" s="301"/>
      <c r="H582" s="309"/>
      <c r="I582" s="327"/>
      <c r="J582" s="328"/>
      <c r="K582" s="326"/>
      <c r="L582" s="309"/>
      <c r="M582" s="308"/>
      <c r="N582" s="309"/>
      <c r="O582" s="322"/>
      <c r="P582" s="308"/>
      <c r="Q582" s="311"/>
      <c r="R582" s="309"/>
      <c r="S582" s="308"/>
      <c r="T582" s="309"/>
      <c r="U582" s="309"/>
      <c r="V582" s="308"/>
      <c r="W582" s="309"/>
      <c r="X582" s="309"/>
      <c r="Y582" s="308"/>
      <c r="Z582" s="309"/>
      <c r="AA582" s="312"/>
      <c r="AB582" s="308"/>
      <c r="AC582" s="308"/>
      <c r="AD582" s="312"/>
      <c r="AE582" s="308"/>
      <c r="AF582" s="313"/>
      <c r="AG582" s="304"/>
      <c r="AH582" s="308"/>
      <c r="AI582" s="313"/>
      <c r="AJ582" s="304"/>
      <c r="AK582" s="308"/>
      <c r="AL582" s="308"/>
      <c r="AM582" s="304"/>
      <c r="AN582" s="308"/>
      <c r="AO582" s="313"/>
      <c r="AP582" s="304"/>
      <c r="AQ582" s="308"/>
      <c r="AR582" s="313"/>
      <c r="AS582" s="304"/>
      <c r="AT582" s="308"/>
      <c r="AU582" s="308"/>
      <c r="AV582" s="304"/>
      <c r="AW582" s="308"/>
      <c r="AX582" s="308"/>
      <c r="AY582" s="304"/>
      <c r="AZ582" s="308"/>
      <c r="BA582" s="313"/>
      <c r="BB582" s="304"/>
      <c r="BC582" s="308"/>
      <c r="BD582" s="308"/>
    </row>
    <row r="583">
      <c r="A583" s="301"/>
      <c r="B583" s="301"/>
      <c r="C583" s="303"/>
      <c r="D583" s="301"/>
      <c r="E583" s="309"/>
      <c r="F583" s="301"/>
      <c r="G583" s="301"/>
      <c r="H583" s="309"/>
      <c r="I583" s="327"/>
      <c r="J583" s="328"/>
      <c r="K583" s="326"/>
      <c r="L583" s="309"/>
      <c r="M583" s="308"/>
      <c r="N583" s="309"/>
      <c r="O583" s="322"/>
      <c r="P583" s="308"/>
      <c r="Q583" s="311"/>
      <c r="R583" s="309"/>
      <c r="S583" s="308"/>
      <c r="T583" s="309"/>
      <c r="U583" s="309"/>
      <c r="V583" s="308"/>
      <c r="W583" s="309"/>
      <c r="X583" s="309"/>
      <c r="Y583" s="308"/>
      <c r="Z583" s="309"/>
      <c r="AA583" s="312"/>
      <c r="AB583" s="308"/>
      <c r="AC583" s="308"/>
      <c r="AD583" s="312"/>
      <c r="AE583" s="308"/>
      <c r="AF583" s="313"/>
      <c r="AG583" s="304"/>
      <c r="AH583" s="308"/>
      <c r="AI583" s="313"/>
      <c r="AJ583" s="304"/>
      <c r="AK583" s="308"/>
      <c r="AL583" s="308"/>
      <c r="AM583" s="304"/>
      <c r="AN583" s="308"/>
      <c r="AO583" s="313"/>
      <c r="AP583" s="304"/>
      <c r="AQ583" s="308"/>
      <c r="AR583" s="313"/>
      <c r="AS583" s="304"/>
      <c r="AT583" s="308"/>
      <c r="AU583" s="308"/>
      <c r="AV583" s="304"/>
      <c r="AW583" s="308"/>
      <c r="AX583" s="308"/>
      <c r="AY583" s="304"/>
      <c r="AZ583" s="308"/>
      <c r="BA583" s="313"/>
      <c r="BB583" s="304"/>
      <c r="BC583" s="308"/>
      <c r="BD583" s="308"/>
    </row>
    <row r="584">
      <c r="A584" s="301"/>
      <c r="B584" s="301"/>
      <c r="C584" s="303"/>
      <c r="D584" s="301"/>
      <c r="E584" s="309"/>
      <c r="F584" s="301"/>
      <c r="G584" s="301"/>
      <c r="H584" s="309"/>
      <c r="I584" s="327"/>
      <c r="J584" s="328"/>
      <c r="K584" s="326"/>
      <c r="L584" s="309"/>
      <c r="M584" s="308"/>
      <c r="N584" s="309"/>
      <c r="O584" s="322"/>
      <c r="P584" s="308"/>
      <c r="Q584" s="311"/>
      <c r="R584" s="309"/>
      <c r="S584" s="308"/>
      <c r="T584" s="309"/>
      <c r="U584" s="309"/>
      <c r="V584" s="308"/>
      <c r="W584" s="309"/>
      <c r="X584" s="309"/>
      <c r="Y584" s="308"/>
      <c r="Z584" s="309"/>
      <c r="AA584" s="312"/>
      <c r="AB584" s="308"/>
      <c r="AC584" s="308"/>
      <c r="AD584" s="312"/>
      <c r="AE584" s="308"/>
      <c r="AF584" s="313"/>
      <c r="AG584" s="304"/>
      <c r="AH584" s="308"/>
      <c r="AI584" s="313"/>
      <c r="AJ584" s="304"/>
      <c r="AK584" s="308"/>
      <c r="AL584" s="308"/>
      <c r="AM584" s="304"/>
      <c r="AN584" s="308"/>
      <c r="AO584" s="313"/>
      <c r="AP584" s="304"/>
      <c r="AQ584" s="308"/>
      <c r="AR584" s="313"/>
      <c r="AS584" s="304"/>
      <c r="AT584" s="308"/>
      <c r="AU584" s="308"/>
      <c r="AV584" s="304"/>
      <c r="AW584" s="308"/>
      <c r="AX584" s="308"/>
      <c r="AY584" s="304"/>
      <c r="AZ584" s="308"/>
      <c r="BA584" s="313"/>
      <c r="BB584" s="304"/>
      <c r="BC584" s="308"/>
      <c r="BD584" s="308"/>
    </row>
    <row r="585">
      <c r="A585" s="301"/>
      <c r="B585" s="301"/>
      <c r="C585" s="303"/>
      <c r="D585" s="301"/>
      <c r="E585" s="309"/>
      <c r="F585" s="301"/>
      <c r="G585" s="301"/>
      <c r="H585" s="309"/>
      <c r="I585" s="327"/>
      <c r="J585" s="328"/>
      <c r="K585" s="326"/>
      <c r="L585" s="309"/>
      <c r="M585" s="308"/>
      <c r="N585" s="309"/>
      <c r="O585" s="322"/>
      <c r="P585" s="308"/>
      <c r="Q585" s="311"/>
      <c r="R585" s="309"/>
      <c r="S585" s="308"/>
      <c r="T585" s="309"/>
      <c r="U585" s="309"/>
      <c r="V585" s="308"/>
      <c r="W585" s="309"/>
      <c r="X585" s="309"/>
      <c r="Y585" s="308"/>
      <c r="Z585" s="309"/>
      <c r="AA585" s="312"/>
      <c r="AB585" s="308"/>
      <c r="AC585" s="308"/>
      <c r="AD585" s="312"/>
      <c r="AE585" s="308"/>
      <c r="AF585" s="313"/>
      <c r="AG585" s="304"/>
      <c r="AH585" s="308"/>
      <c r="AI585" s="313"/>
      <c r="AJ585" s="304"/>
      <c r="AK585" s="308"/>
      <c r="AL585" s="308"/>
      <c r="AM585" s="304"/>
      <c r="AN585" s="308"/>
      <c r="AO585" s="313"/>
      <c r="AP585" s="304"/>
      <c r="AQ585" s="308"/>
      <c r="AR585" s="313"/>
      <c r="AS585" s="304"/>
      <c r="AT585" s="308"/>
      <c r="AU585" s="308"/>
      <c r="AV585" s="304"/>
      <c r="AW585" s="308"/>
      <c r="AX585" s="308"/>
      <c r="AY585" s="304"/>
      <c r="AZ585" s="308"/>
      <c r="BA585" s="313"/>
      <c r="BB585" s="304"/>
      <c r="BC585" s="308"/>
      <c r="BD585" s="308"/>
    </row>
    <row r="586">
      <c r="A586" s="301"/>
      <c r="B586" s="301"/>
      <c r="C586" s="303"/>
      <c r="D586" s="301"/>
      <c r="E586" s="309"/>
      <c r="F586" s="301"/>
      <c r="G586" s="301"/>
      <c r="H586" s="309"/>
      <c r="I586" s="327"/>
      <c r="J586" s="328"/>
      <c r="K586" s="326"/>
      <c r="L586" s="309"/>
      <c r="M586" s="308"/>
      <c r="N586" s="309"/>
      <c r="O586" s="322"/>
      <c r="P586" s="308"/>
      <c r="Q586" s="311"/>
      <c r="R586" s="309"/>
      <c r="S586" s="308"/>
      <c r="T586" s="309"/>
      <c r="U586" s="309"/>
      <c r="V586" s="308"/>
      <c r="W586" s="309"/>
      <c r="X586" s="309"/>
      <c r="Y586" s="308"/>
      <c r="Z586" s="309"/>
      <c r="AA586" s="312"/>
      <c r="AB586" s="308"/>
      <c r="AC586" s="308"/>
      <c r="AD586" s="312"/>
      <c r="AE586" s="308"/>
      <c r="AF586" s="313"/>
      <c r="AG586" s="304"/>
      <c r="AH586" s="308"/>
      <c r="AI586" s="313"/>
      <c r="AJ586" s="304"/>
      <c r="AK586" s="308"/>
      <c r="AL586" s="308"/>
      <c r="AM586" s="304"/>
      <c r="AN586" s="308"/>
      <c r="AO586" s="313"/>
      <c r="AP586" s="304"/>
      <c r="AQ586" s="308"/>
      <c r="AR586" s="313"/>
      <c r="AS586" s="304"/>
      <c r="AT586" s="308"/>
      <c r="AU586" s="308"/>
      <c r="AV586" s="304"/>
      <c r="AW586" s="308"/>
      <c r="AX586" s="308"/>
      <c r="AY586" s="304"/>
      <c r="AZ586" s="308"/>
      <c r="BA586" s="313"/>
      <c r="BB586" s="304"/>
      <c r="BC586" s="308"/>
      <c r="BD586" s="308"/>
    </row>
    <row r="587">
      <c r="A587" s="301"/>
      <c r="B587" s="301"/>
      <c r="C587" s="303"/>
      <c r="D587" s="301"/>
      <c r="E587" s="309"/>
      <c r="F587" s="301"/>
      <c r="G587" s="301"/>
      <c r="H587" s="309"/>
      <c r="I587" s="327"/>
      <c r="J587" s="328"/>
      <c r="K587" s="326"/>
      <c r="L587" s="309"/>
      <c r="M587" s="308"/>
      <c r="N587" s="309"/>
      <c r="O587" s="322"/>
      <c r="P587" s="308"/>
      <c r="Q587" s="311"/>
      <c r="R587" s="309"/>
      <c r="S587" s="308"/>
      <c r="T587" s="309"/>
      <c r="U587" s="309"/>
      <c r="V587" s="308"/>
      <c r="W587" s="309"/>
      <c r="X587" s="309"/>
      <c r="Y587" s="308"/>
      <c r="Z587" s="309"/>
      <c r="AA587" s="312"/>
      <c r="AB587" s="308"/>
      <c r="AC587" s="308"/>
      <c r="AD587" s="312"/>
      <c r="AE587" s="308"/>
      <c r="AF587" s="313"/>
      <c r="AG587" s="304"/>
      <c r="AH587" s="308"/>
      <c r="AI587" s="313"/>
      <c r="AJ587" s="304"/>
      <c r="AK587" s="308"/>
      <c r="AL587" s="308"/>
      <c r="AM587" s="304"/>
      <c r="AN587" s="308"/>
      <c r="AO587" s="313"/>
      <c r="AP587" s="304"/>
      <c r="AQ587" s="308"/>
      <c r="AR587" s="313"/>
      <c r="AS587" s="304"/>
      <c r="AT587" s="308"/>
      <c r="AU587" s="308"/>
      <c r="AV587" s="304"/>
      <c r="AW587" s="308"/>
      <c r="AX587" s="308"/>
      <c r="AY587" s="304"/>
      <c r="AZ587" s="308"/>
      <c r="BA587" s="313"/>
      <c r="BB587" s="304"/>
      <c r="BC587" s="308"/>
      <c r="BD587" s="308"/>
    </row>
    <row r="588">
      <c r="A588" s="301"/>
      <c r="B588" s="301"/>
      <c r="C588" s="303"/>
      <c r="D588" s="301"/>
      <c r="E588" s="309"/>
      <c r="F588" s="301"/>
      <c r="G588" s="301"/>
      <c r="H588" s="309"/>
      <c r="I588" s="327"/>
      <c r="J588" s="328"/>
      <c r="K588" s="326"/>
      <c r="L588" s="309"/>
      <c r="M588" s="308"/>
      <c r="N588" s="309"/>
      <c r="O588" s="322"/>
      <c r="P588" s="308"/>
      <c r="Q588" s="311"/>
      <c r="R588" s="309"/>
      <c r="S588" s="308"/>
      <c r="T588" s="309"/>
      <c r="U588" s="309"/>
      <c r="V588" s="308"/>
      <c r="W588" s="309"/>
      <c r="X588" s="309"/>
      <c r="Y588" s="308"/>
      <c r="Z588" s="309"/>
      <c r="AA588" s="312"/>
      <c r="AB588" s="308"/>
      <c r="AC588" s="308"/>
      <c r="AD588" s="312"/>
      <c r="AE588" s="308"/>
      <c r="AF588" s="313"/>
      <c r="AG588" s="304"/>
      <c r="AH588" s="308"/>
      <c r="AI588" s="313"/>
      <c r="AJ588" s="304"/>
      <c r="AK588" s="308"/>
      <c r="AL588" s="308"/>
      <c r="AM588" s="304"/>
      <c r="AN588" s="308"/>
      <c r="AO588" s="313"/>
      <c r="AP588" s="304"/>
      <c r="AQ588" s="308"/>
      <c r="AR588" s="313"/>
      <c r="AS588" s="304"/>
      <c r="AT588" s="308"/>
      <c r="AU588" s="308"/>
      <c r="AV588" s="304"/>
      <c r="AW588" s="308"/>
      <c r="AX588" s="308"/>
      <c r="AY588" s="304"/>
      <c r="AZ588" s="308"/>
      <c r="BA588" s="313"/>
      <c r="BB588" s="304"/>
      <c r="BC588" s="308"/>
      <c r="BD588" s="308"/>
    </row>
    <row r="589">
      <c r="A589" s="301"/>
      <c r="B589" s="301"/>
      <c r="C589" s="303"/>
      <c r="D589" s="301"/>
      <c r="E589" s="309"/>
      <c r="F589" s="301"/>
      <c r="G589" s="301"/>
      <c r="H589" s="309"/>
      <c r="I589" s="327"/>
      <c r="J589" s="328"/>
      <c r="K589" s="326"/>
      <c r="L589" s="309"/>
      <c r="M589" s="308"/>
      <c r="N589" s="309"/>
      <c r="O589" s="322"/>
      <c r="P589" s="308"/>
      <c r="Q589" s="311"/>
      <c r="R589" s="309"/>
      <c r="S589" s="308"/>
      <c r="T589" s="309"/>
      <c r="U589" s="309"/>
      <c r="V589" s="308"/>
      <c r="W589" s="309"/>
      <c r="X589" s="309"/>
      <c r="Y589" s="308"/>
      <c r="Z589" s="309"/>
      <c r="AA589" s="312"/>
      <c r="AB589" s="308"/>
      <c r="AC589" s="308"/>
      <c r="AD589" s="312"/>
      <c r="AE589" s="308"/>
      <c r="AF589" s="313"/>
      <c r="AG589" s="304"/>
      <c r="AH589" s="308"/>
      <c r="AI589" s="313"/>
      <c r="AJ589" s="304"/>
      <c r="AK589" s="308"/>
      <c r="AL589" s="308"/>
      <c r="AM589" s="304"/>
      <c r="AN589" s="308"/>
      <c r="AO589" s="313"/>
      <c r="AP589" s="304"/>
      <c r="AQ589" s="308"/>
      <c r="AR589" s="313"/>
      <c r="AS589" s="304"/>
      <c r="AT589" s="308"/>
      <c r="AU589" s="308"/>
      <c r="AV589" s="304"/>
      <c r="AW589" s="308"/>
      <c r="AX589" s="308"/>
      <c r="AY589" s="304"/>
      <c r="AZ589" s="308"/>
      <c r="BA589" s="313"/>
      <c r="BB589" s="304"/>
      <c r="BC589" s="308"/>
      <c r="BD589" s="308"/>
    </row>
    <row r="590">
      <c r="A590" s="301"/>
      <c r="B590" s="301"/>
      <c r="C590" s="303"/>
      <c r="D590" s="301"/>
      <c r="E590" s="309"/>
      <c r="F590" s="301"/>
      <c r="G590" s="301"/>
      <c r="H590" s="309"/>
      <c r="I590" s="327"/>
      <c r="J590" s="328"/>
      <c r="K590" s="326"/>
      <c r="L590" s="309"/>
      <c r="M590" s="308"/>
      <c r="N590" s="309"/>
      <c r="O590" s="322"/>
      <c r="P590" s="308"/>
      <c r="Q590" s="311"/>
      <c r="R590" s="309"/>
      <c r="S590" s="308"/>
      <c r="T590" s="309"/>
      <c r="U590" s="309"/>
      <c r="V590" s="308"/>
      <c r="W590" s="309"/>
      <c r="X590" s="309"/>
      <c r="Y590" s="308"/>
      <c r="Z590" s="309"/>
      <c r="AA590" s="312"/>
      <c r="AB590" s="308"/>
      <c r="AC590" s="308"/>
      <c r="AD590" s="312"/>
      <c r="AE590" s="308"/>
      <c r="AF590" s="313"/>
      <c r="AG590" s="304"/>
      <c r="AH590" s="308"/>
      <c r="AI590" s="313"/>
      <c r="AJ590" s="304"/>
      <c r="AK590" s="308"/>
      <c r="AL590" s="308"/>
      <c r="AM590" s="304"/>
      <c r="AN590" s="308"/>
      <c r="AO590" s="313"/>
      <c r="AP590" s="304"/>
      <c r="AQ590" s="308"/>
      <c r="AR590" s="313"/>
      <c r="AS590" s="304"/>
      <c r="AT590" s="308"/>
      <c r="AU590" s="308"/>
      <c r="AV590" s="304"/>
      <c r="AW590" s="308"/>
      <c r="AX590" s="308"/>
      <c r="AY590" s="304"/>
      <c r="AZ590" s="308"/>
      <c r="BA590" s="313"/>
      <c r="BB590" s="304"/>
      <c r="BC590" s="308"/>
      <c r="BD590" s="308"/>
    </row>
    <row r="591">
      <c r="A591" s="301"/>
      <c r="B591" s="301"/>
      <c r="C591" s="303"/>
      <c r="D591" s="301"/>
      <c r="E591" s="309"/>
      <c r="F591" s="301"/>
      <c r="G591" s="301"/>
      <c r="H591" s="309"/>
      <c r="I591" s="327"/>
      <c r="J591" s="328"/>
      <c r="K591" s="326"/>
      <c r="L591" s="309"/>
      <c r="M591" s="308"/>
      <c r="N591" s="309"/>
      <c r="O591" s="322"/>
      <c r="P591" s="308"/>
      <c r="Q591" s="311"/>
      <c r="R591" s="309"/>
      <c r="S591" s="308"/>
      <c r="T591" s="309"/>
      <c r="U591" s="309"/>
      <c r="V591" s="308"/>
      <c r="W591" s="309"/>
      <c r="X591" s="309"/>
      <c r="Y591" s="308"/>
      <c r="Z591" s="309"/>
      <c r="AA591" s="312"/>
      <c r="AB591" s="308"/>
      <c r="AC591" s="308"/>
      <c r="AD591" s="312"/>
      <c r="AE591" s="308"/>
      <c r="AF591" s="313"/>
      <c r="AG591" s="304"/>
      <c r="AH591" s="308"/>
      <c r="AI591" s="313"/>
      <c r="AJ591" s="304"/>
      <c r="AK591" s="308"/>
      <c r="AL591" s="308"/>
      <c r="AM591" s="304"/>
      <c r="AN591" s="308"/>
      <c r="AO591" s="313"/>
      <c r="AP591" s="304"/>
      <c r="AQ591" s="308"/>
      <c r="AR591" s="313"/>
      <c r="AS591" s="304"/>
      <c r="AT591" s="308"/>
      <c r="AU591" s="308"/>
      <c r="AV591" s="304"/>
      <c r="AW591" s="308"/>
      <c r="AX591" s="308"/>
      <c r="AY591" s="304"/>
      <c r="AZ591" s="308"/>
      <c r="BA591" s="313"/>
      <c r="BB591" s="304"/>
      <c r="BC591" s="308"/>
      <c r="BD591" s="308"/>
    </row>
    <row r="592">
      <c r="A592" s="301"/>
      <c r="B592" s="301"/>
      <c r="C592" s="303"/>
      <c r="D592" s="301"/>
      <c r="E592" s="309"/>
      <c r="F592" s="301"/>
      <c r="G592" s="301"/>
      <c r="H592" s="309"/>
      <c r="I592" s="327"/>
      <c r="J592" s="328"/>
      <c r="K592" s="326"/>
      <c r="L592" s="309"/>
      <c r="M592" s="308"/>
      <c r="N592" s="309"/>
      <c r="O592" s="322"/>
      <c r="P592" s="308"/>
      <c r="Q592" s="311"/>
      <c r="R592" s="309"/>
      <c r="S592" s="308"/>
      <c r="T592" s="309"/>
      <c r="U592" s="309"/>
      <c r="V592" s="308"/>
      <c r="W592" s="309"/>
      <c r="X592" s="309"/>
      <c r="Y592" s="308"/>
      <c r="Z592" s="309"/>
      <c r="AA592" s="312"/>
      <c r="AB592" s="308"/>
      <c r="AC592" s="308"/>
      <c r="AD592" s="312"/>
      <c r="AE592" s="308"/>
      <c r="AF592" s="313"/>
      <c r="AG592" s="304"/>
      <c r="AH592" s="308"/>
      <c r="AI592" s="313"/>
      <c r="AJ592" s="304"/>
      <c r="AK592" s="308"/>
      <c r="AL592" s="308"/>
      <c r="AM592" s="304"/>
      <c r="AN592" s="308"/>
      <c r="AO592" s="313"/>
      <c r="AP592" s="304"/>
      <c r="AQ592" s="308"/>
      <c r="AR592" s="313"/>
      <c r="AS592" s="304"/>
      <c r="AT592" s="308"/>
      <c r="AU592" s="308"/>
      <c r="AV592" s="304"/>
      <c r="AW592" s="308"/>
      <c r="AX592" s="308"/>
      <c r="AY592" s="304"/>
      <c r="AZ592" s="308"/>
      <c r="BA592" s="313"/>
      <c r="BB592" s="304"/>
      <c r="BC592" s="308"/>
      <c r="BD592" s="308"/>
    </row>
    <row r="593">
      <c r="A593" s="301"/>
      <c r="B593" s="301"/>
      <c r="C593" s="303"/>
      <c r="D593" s="301"/>
      <c r="E593" s="309"/>
      <c r="F593" s="301"/>
      <c r="G593" s="301"/>
      <c r="H593" s="309"/>
      <c r="I593" s="327"/>
      <c r="J593" s="328"/>
      <c r="K593" s="326"/>
      <c r="L593" s="309"/>
      <c r="M593" s="308"/>
      <c r="N593" s="309"/>
      <c r="O593" s="322"/>
      <c r="P593" s="308"/>
      <c r="Q593" s="311"/>
      <c r="R593" s="309"/>
      <c r="S593" s="308"/>
      <c r="T593" s="309"/>
      <c r="U593" s="309"/>
      <c r="V593" s="308"/>
      <c r="W593" s="309"/>
      <c r="X593" s="309"/>
      <c r="Y593" s="308"/>
      <c r="Z593" s="309"/>
      <c r="AA593" s="312"/>
      <c r="AB593" s="308"/>
      <c r="AC593" s="308"/>
      <c r="AD593" s="312"/>
      <c r="AE593" s="308"/>
      <c r="AF593" s="313"/>
      <c r="AG593" s="304"/>
      <c r="AH593" s="308"/>
      <c r="AI593" s="313"/>
      <c r="AJ593" s="304"/>
      <c r="AK593" s="308"/>
      <c r="AL593" s="308"/>
      <c r="AM593" s="304"/>
      <c r="AN593" s="308"/>
      <c r="AO593" s="313"/>
      <c r="AP593" s="304"/>
      <c r="AQ593" s="308"/>
      <c r="AR593" s="313"/>
      <c r="AS593" s="304"/>
      <c r="AT593" s="308"/>
      <c r="AU593" s="308"/>
      <c r="AV593" s="304"/>
      <c r="AW593" s="308"/>
      <c r="AX593" s="308"/>
      <c r="AY593" s="304"/>
      <c r="AZ593" s="308"/>
      <c r="BA593" s="313"/>
      <c r="BB593" s="304"/>
      <c r="BC593" s="308"/>
      <c r="BD593" s="308"/>
    </row>
    <row r="594">
      <c r="A594" s="301"/>
      <c r="B594" s="301"/>
      <c r="C594" s="303"/>
      <c r="D594" s="301"/>
      <c r="E594" s="309"/>
      <c r="F594" s="301"/>
      <c r="G594" s="301"/>
      <c r="H594" s="309"/>
      <c r="I594" s="327"/>
      <c r="J594" s="328"/>
      <c r="K594" s="326"/>
      <c r="L594" s="309"/>
      <c r="M594" s="308"/>
      <c r="N594" s="309"/>
      <c r="O594" s="322"/>
      <c r="P594" s="308"/>
      <c r="Q594" s="311"/>
      <c r="R594" s="309"/>
      <c r="S594" s="308"/>
      <c r="T594" s="309"/>
      <c r="U594" s="309"/>
      <c r="V594" s="308"/>
      <c r="W594" s="309"/>
      <c r="X594" s="309"/>
      <c r="Y594" s="308"/>
      <c r="Z594" s="309"/>
      <c r="AA594" s="312"/>
      <c r="AB594" s="308"/>
      <c r="AC594" s="308"/>
      <c r="AD594" s="312"/>
      <c r="AE594" s="308"/>
      <c r="AF594" s="313"/>
      <c r="AG594" s="304"/>
      <c r="AH594" s="308"/>
      <c r="AI594" s="313"/>
      <c r="AJ594" s="304"/>
      <c r="AK594" s="308"/>
      <c r="AL594" s="308"/>
      <c r="AM594" s="304"/>
      <c r="AN594" s="308"/>
      <c r="AO594" s="313"/>
      <c r="AP594" s="304"/>
      <c r="AQ594" s="308"/>
      <c r="AR594" s="313"/>
      <c r="AS594" s="304"/>
      <c r="AT594" s="308"/>
      <c r="AU594" s="308"/>
      <c r="AV594" s="304"/>
      <c r="AW594" s="308"/>
      <c r="AX594" s="308"/>
      <c r="AY594" s="304"/>
      <c r="AZ594" s="308"/>
      <c r="BA594" s="313"/>
      <c r="BB594" s="304"/>
      <c r="BC594" s="308"/>
      <c r="BD594" s="308"/>
    </row>
    <row r="595">
      <c r="A595" s="301"/>
      <c r="B595" s="301"/>
      <c r="C595" s="303"/>
      <c r="D595" s="301"/>
      <c r="E595" s="309"/>
      <c r="F595" s="301"/>
      <c r="G595" s="301"/>
      <c r="H595" s="309"/>
      <c r="I595" s="327"/>
      <c r="J595" s="328"/>
      <c r="K595" s="326"/>
      <c r="L595" s="309"/>
      <c r="M595" s="308"/>
      <c r="N595" s="309"/>
      <c r="O595" s="322"/>
      <c r="P595" s="308"/>
      <c r="Q595" s="311"/>
      <c r="R595" s="309"/>
      <c r="S595" s="308"/>
      <c r="T595" s="309"/>
      <c r="U595" s="309"/>
      <c r="V595" s="308"/>
      <c r="W595" s="309"/>
      <c r="X595" s="309"/>
      <c r="Y595" s="308"/>
      <c r="Z595" s="309"/>
      <c r="AA595" s="312"/>
      <c r="AB595" s="308"/>
      <c r="AC595" s="308"/>
      <c r="AD595" s="312"/>
      <c r="AE595" s="308"/>
      <c r="AF595" s="313"/>
      <c r="AG595" s="304"/>
      <c r="AH595" s="308"/>
      <c r="AI595" s="313"/>
      <c r="AJ595" s="304"/>
      <c r="AK595" s="308"/>
      <c r="AL595" s="308"/>
      <c r="AM595" s="304"/>
      <c r="AN595" s="308"/>
      <c r="AO595" s="313"/>
      <c r="AP595" s="304"/>
      <c r="AQ595" s="308"/>
      <c r="AR595" s="313"/>
      <c r="AS595" s="304"/>
      <c r="AT595" s="308"/>
      <c r="AU595" s="308"/>
      <c r="AV595" s="304"/>
      <c r="AW595" s="308"/>
      <c r="AX595" s="308"/>
      <c r="AY595" s="304"/>
      <c r="AZ595" s="308"/>
      <c r="BA595" s="313"/>
      <c r="BB595" s="304"/>
      <c r="BC595" s="308"/>
      <c r="BD595" s="308"/>
    </row>
    <row r="596">
      <c r="A596" s="301"/>
      <c r="B596" s="301"/>
      <c r="C596" s="303"/>
      <c r="D596" s="301"/>
      <c r="E596" s="309"/>
      <c r="F596" s="301"/>
      <c r="G596" s="301"/>
      <c r="H596" s="309"/>
      <c r="I596" s="327"/>
      <c r="J596" s="328"/>
      <c r="K596" s="326"/>
      <c r="L596" s="309"/>
      <c r="M596" s="308"/>
      <c r="N596" s="309"/>
      <c r="O596" s="322"/>
      <c r="P596" s="308"/>
      <c r="Q596" s="311"/>
      <c r="R596" s="309"/>
      <c r="S596" s="308"/>
      <c r="T596" s="309"/>
      <c r="U596" s="309"/>
      <c r="V596" s="308"/>
      <c r="W596" s="309"/>
      <c r="X596" s="309"/>
      <c r="Y596" s="308"/>
      <c r="Z596" s="309"/>
      <c r="AA596" s="312"/>
      <c r="AB596" s="308"/>
      <c r="AC596" s="308"/>
      <c r="AD596" s="312"/>
      <c r="AE596" s="308"/>
      <c r="AF596" s="313"/>
      <c r="AG596" s="304"/>
      <c r="AH596" s="308"/>
      <c r="AI596" s="313"/>
      <c r="AJ596" s="304"/>
      <c r="AK596" s="308"/>
      <c r="AL596" s="308"/>
      <c r="AM596" s="304"/>
      <c r="AN596" s="308"/>
      <c r="AO596" s="313"/>
      <c r="AP596" s="304"/>
      <c r="AQ596" s="308"/>
      <c r="AR596" s="313"/>
      <c r="AS596" s="304"/>
      <c r="AT596" s="308"/>
      <c r="AU596" s="308"/>
      <c r="AV596" s="304"/>
      <c r="AW596" s="308"/>
      <c r="AX596" s="308"/>
      <c r="AY596" s="304"/>
      <c r="AZ596" s="308"/>
      <c r="BA596" s="313"/>
      <c r="BB596" s="304"/>
      <c r="BC596" s="308"/>
      <c r="BD596" s="308"/>
    </row>
    <row r="597">
      <c r="A597" s="301"/>
      <c r="B597" s="301"/>
      <c r="C597" s="303"/>
      <c r="D597" s="301"/>
      <c r="E597" s="309"/>
      <c r="F597" s="301"/>
      <c r="G597" s="301"/>
      <c r="H597" s="309"/>
      <c r="I597" s="327"/>
      <c r="J597" s="328"/>
      <c r="K597" s="326"/>
      <c r="L597" s="309"/>
      <c r="M597" s="308"/>
      <c r="N597" s="309"/>
      <c r="O597" s="322"/>
      <c r="P597" s="308"/>
      <c r="Q597" s="311"/>
      <c r="R597" s="309"/>
      <c r="S597" s="308"/>
      <c r="T597" s="309"/>
      <c r="U597" s="309"/>
      <c r="V597" s="308"/>
      <c r="W597" s="309"/>
      <c r="X597" s="309"/>
      <c r="Y597" s="308"/>
      <c r="Z597" s="309"/>
      <c r="AA597" s="312"/>
      <c r="AB597" s="308"/>
      <c r="AC597" s="308"/>
      <c r="AD597" s="312"/>
      <c r="AE597" s="308"/>
      <c r="AF597" s="313"/>
      <c r="AG597" s="304"/>
      <c r="AH597" s="308"/>
      <c r="AI597" s="313"/>
      <c r="AJ597" s="304"/>
      <c r="AK597" s="308"/>
      <c r="AL597" s="308"/>
      <c r="AM597" s="304"/>
      <c r="AN597" s="308"/>
      <c r="AO597" s="313"/>
      <c r="AP597" s="304"/>
      <c r="AQ597" s="308"/>
      <c r="AR597" s="313"/>
      <c r="AS597" s="304"/>
      <c r="AT597" s="308"/>
      <c r="AU597" s="308"/>
      <c r="AV597" s="304"/>
      <c r="AW597" s="308"/>
      <c r="AX597" s="308"/>
      <c r="AY597" s="304"/>
      <c r="AZ597" s="308"/>
      <c r="BA597" s="313"/>
      <c r="BB597" s="304"/>
      <c r="BC597" s="308"/>
      <c r="BD597" s="308"/>
    </row>
    <row r="598">
      <c r="A598" s="301"/>
      <c r="B598" s="301"/>
      <c r="C598" s="303"/>
      <c r="D598" s="301"/>
      <c r="E598" s="309"/>
      <c r="F598" s="301"/>
      <c r="G598" s="301"/>
      <c r="H598" s="309"/>
      <c r="I598" s="327"/>
      <c r="J598" s="328"/>
      <c r="K598" s="326"/>
      <c r="L598" s="309"/>
      <c r="M598" s="308"/>
      <c r="N598" s="309"/>
      <c r="O598" s="322"/>
      <c r="P598" s="308"/>
      <c r="Q598" s="311"/>
      <c r="R598" s="309"/>
      <c r="S598" s="308"/>
      <c r="T598" s="309"/>
      <c r="U598" s="309"/>
      <c r="V598" s="308"/>
      <c r="W598" s="309"/>
      <c r="X598" s="309"/>
      <c r="Y598" s="308"/>
      <c r="Z598" s="309"/>
      <c r="AA598" s="312"/>
      <c r="AB598" s="308"/>
      <c r="AC598" s="308"/>
      <c r="AD598" s="312"/>
      <c r="AE598" s="308"/>
      <c r="AF598" s="313"/>
      <c r="AG598" s="304"/>
      <c r="AH598" s="308"/>
      <c r="AI598" s="313"/>
      <c r="AJ598" s="304"/>
      <c r="AK598" s="308"/>
      <c r="AL598" s="308"/>
      <c r="AM598" s="304"/>
      <c r="AN598" s="308"/>
      <c r="AO598" s="313"/>
      <c r="AP598" s="304"/>
      <c r="AQ598" s="308"/>
      <c r="AR598" s="313"/>
      <c r="AS598" s="304"/>
      <c r="AT598" s="308"/>
      <c r="AU598" s="308"/>
      <c r="AV598" s="304"/>
      <c r="AW598" s="308"/>
      <c r="AX598" s="308"/>
      <c r="AY598" s="304"/>
      <c r="AZ598" s="308"/>
      <c r="BA598" s="313"/>
      <c r="BB598" s="304"/>
      <c r="BC598" s="308"/>
      <c r="BD598" s="308"/>
    </row>
    <row r="599">
      <c r="A599" s="301"/>
      <c r="B599" s="301"/>
      <c r="C599" s="303"/>
      <c r="D599" s="301"/>
      <c r="E599" s="309"/>
      <c r="F599" s="301"/>
      <c r="G599" s="301"/>
      <c r="H599" s="309"/>
      <c r="I599" s="327"/>
      <c r="J599" s="328"/>
      <c r="K599" s="326"/>
      <c r="L599" s="309"/>
      <c r="M599" s="308"/>
      <c r="N599" s="309"/>
      <c r="O599" s="322"/>
      <c r="P599" s="308"/>
      <c r="Q599" s="311"/>
      <c r="R599" s="309"/>
      <c r="S599" s="308"/>
      <c r="T599" s="309"/>
      <c r="U599" s="309"/>
      <c r="V599" s="308"/>
      <c r="W599" s="309"/>
      <c r="X599" s="309"/>
      <c r="Y599" s="308"/>
      <c r="Z599" s="309"/>
      <c r="AA599" s="312"/>
      <c r="AB599" s="308"/>
      <c r="AC599" s="308"/>
      <c r="AD599" s="312"/>
      <c r="AE599" s="308"/>
      <c r="AF599" s="313"/>
      <c r="AG599" s="304"/>
      <c r="AH599" s="308"/>
      <c r="AI599" s="313"/>
      <c r="AJ599" s="304"/>
      <c r="AK599" s="308"/>
      <c r="AL599" s="308"/>
      <c r="AM599" s="304"/>
      <c r="AN599" s="308"/>
      <c r="AO599" s="313"/>
      <c r="AP599" s="304"/>
      <c r="AQ599" s="308"/>
      <c r="AR599" s="313"/>
      <c r="AS599" s="304"/>
      <c r="AT599" s="308"/>
      <c r="AU599" s="308"/>
      <c r="AV599" s="304"/>
      <c r="AW599" s="308"/>
      <c r="AX599" s="308"/>
      <c r="AY599" s="304"/>
      <c r="AZ599" s="308"/>
      <c r="BA599" s="313"/>
      <c r="BB599" s="304"/>
      <c r="BC599" s="308"/>
      <c r="BD599" s="308"/>
    </row>
    <row r="600">
      <c r="A600" s="301"/>
      <c r="B600" s="301"/>
      <c r="C600" s="303"/>
      <c r="D600" s="301"/>
      <c r="E600" s="309"/>
      <c r="F600" s="301"/>
      <c r="G600" s="301"/>
      <c r="H600" s="309"/>
      <c r="I600" s="327"/>
      <c r="J600" s="328"/>
      <c r="K600" s="326"/>
      <c r="L600" s="309"/>
      <c r="M600" s="308"/>
      <c r="N600" s="309"/>
      <c r="O600" s="322"/>
      <c r="P600" s="308"/>
      <c r="Q600" s="311"/>
      <c r="R600" s="309"/>
      <c r="S600" s="308"/>
      <c r="T600" s="309"/>
      <c r="U600" s="309"/>
      <c r="V600" s="308"/>
      <c r="W600" s="309"/>
      <c r="X600" s="309"/>
      <c r="Y600" s="308"/>
      <c r="Z600" s="309"/>
      <c r="AA600" s="312"/>
      <c r="AB600" s="308"/>
      <c r="AC600" s="308"/>
      <c r="AD600" s="312"/>
      <c r="AE600" s="308"/>
      <c r="AF600" s="313"/>
      <c r="AG600" s="304"/>
      <c r="AH600" s="308"/>
      <c r="AI600" s="313"/>
      <c r="AJ600" s="304"/>
      <c r="AK600" s="308"/>
      <c r="AL600" s="308"/>
      <c r="AM600" s="304"/>
      <c r="AN600" s="308"/>
      <c r="AO600" s="313"/>
      <c r="AP600" s="304"/>
      <c r="AQ600" s="308"/>
      <c r="AR600" s="313"/>
      <c r="AS600" s="304"/>
      <c r="AT600" s="308"/>
      <c r="AU600" s="308"/>
      <c r="AV600" s="304"/>
      <c r="AW600" s="308"/>
      <c r="AX600" s="308"/>
      <c r="AY600" s="304"/>
      <c r="AZ600" s="308"/>
      <c r="BA600" s="313"/>
      <c r="BB600" s="304"/>
      <c r="BC600" s="308"/>
      <c r="BD600" s="308"/>
    </row>
    <row r="601">
      <c r="A601" s="301"/>
      <c r="B601" s="301"/>
      <c r="C601" s="303"/>
      <c r="D601" s="301"/>
      <c r="E601" s="309"/>
      <c r="F601" s="301"/>
      <c r="G601" s="301"/>
      <c r="H601" s="309"/>
      <c r="I601" s="327"/>
      <c r="J601" s="328"/>
      <c r="K601" s="326"/>
      <c r="L601" s="309"/>
      <c r="M601" s="308"/>
      <c r="N601" s="309"/>
      <c r="O601" s="322"/>
      <c r="P601" s="308"/>
      <c r="Q601" s="311"/>
      <c r="R601" s="309"/>
      <c r="S601" s="308"/>
      <c r="T601" s="309"/>
      <c r="U601" s="309"/>
      <c r="V601" s="308"/>
      <c r="W601" s="309"/>
      <c r="X601" s="309"/>
      <c r="Y601" s="308"/>
      <c r="Z601" s="309"/>
      <c r="AA601" s="312"/>
      <c r="AB601" s="308"/>
      <c r="AC601" s="308"/>
      <c r="AD601" s="312"/>
      <c r="AE601" s="308"/>
      <c r="AF601" s="313"/>
      <c r="AG601" s="304"/>
      <c r="AH601" s="308"/>
      <c r="AI601" s="313"/>
      <c r="AJ601" s="304"/>
      <c r="AK601" s="308"/>
      <c r="AL601" s="308"/>
      <c r="AM601" s="304"/>
      <c r="AN601" s="308"/>
      <c r="AO601" s="313"/>
      <c r="AP601" s="304"/>
      <c r="AQ601" s="308"/>
      <c r="AR601" s="313"/>
      <c r="AS601" s="304"/>
      <c r="AT601" s="308"/>
      <c r="AU601" s="308"/>
      <c r="AV601" s="304"/>
      <c r="AW601" s="308"/>
      <c r="AX601" s="308"/>
      <c r="AY601" s="304"/>
      <c r="AZ601" s="308"/>
      <c r="BA601" s="313"/>
      <c r="BB601" s="304"/>
      <c r="BC601" s="308"/>
      <c r="BD601" s="308"/>
    </row>
    <row r="602">
      <c r="A602" s="301"/>
      <c r="B602" s="301"/>
      <c r="C602" s="303"/>
      <c r="D602" s="301"/>
      <c r="E602" s="309"/>
      <c r="F602" s="301"/>
      <c r="G602" s="301"/>
      <c r="H602" s="309"/>
      <c r="I602" s="327"/>
      <c r="J602" s="328"/>
      <c r="K602" s="326"/>
      <c r="L602" s="309"/>
      <c r="M602" s="308"/>
      <c r="N602" s="309"/>
      <c r="O602" s="322"/>
      <c r="P602" s="308"/>
      <c r="Q602" s="311"/>
      <c r="R602" s="309"/>
      <c r="S602" s="308"/>
      <c r="T602" s="309"/>
      <c r="U602" s="309"/>
      <c r="V602" s="308"/>
      <c r="W602" s="309"/>
      <c r="X602" s="309"/>
      <c r="Y602" s="308"/>
      <c r="Z602" s="309"/>
      <c r="AA602" s="312"/>
      <c r="AB602" s="308"/>
      <c r="AC602" s="308"/>
      <c r="AD602" s="312"/>
      <c r="AE602" s="308"/>
      <c r="AF602" s="313"/>
      <c r="AG602" s="304"/>
      <c r="AH602" s="308"/>
      <c r="AI602" s="313"/>
      <c r="AJ602" s="304"/>
      <c r="AK602" s="308"/>
      <c r="AL602" s="308"/>
      <c r="AM602" s="304"/>
      <c r="AN602" s="308"/>
      <c r="AO602" s="313"/>
      <c r="AP602" s="304"/>
      <c r="AQ602" s="308"/>
      <c r="AR602" s="313"/>
      <c r="AS602" s="304"/>
      <c r="AT602" s="308"/>
      <c r="AU602" s="308"/>
      <c r="AV602" s="304"/>
      <c r="AW602" s="308"/>
      <c r="AX602" s="308"/>
      <c r="AY602" s="304"/>
      <c r="AZ602" s="308"/>
      <c r="BA602" s="313"/>
      <c r="BB602" s="304"/>
      <c r="BC602" s="308"/>
      <c r="BD602" s="308"/>
    </row>
    <row r="603">
      <c r="A603" s="301"/>
      <c r="B603" s="301"/>
      <c r="C603" s="303"/>
      <c r="D603" s="301"/>
      <c r="E603" s="309"/>
      <c r="F603" s="301"/>
      <c r="G603" s="301"/>
      <c r="H603" s="309"/>
      <c r="I603" s="327"/>
      <c r="J603" s="328"/>
      <c r="K603" s="326"/>
      <c r="L603" s="309"/>
      <c r="M603" s="308"/>
      <c r="N603" s="309"/>
      <c r="O603" s="322"/>
      <c r="P603" s="308"/>
      <c r="Q603" s="311"/>
      <c r="R603" s="309"/>
      <c r="S603" s="308"/>
      <c r="T603" s="309"/>
      <c r="U603" s="309"/>
      <c r="V603" s="308"/>
      <c r="W603" s="309"/>
      <c r="X603" s="309"/>
      <c r="Y603" s="308"/>
      <c r="Z603" s="309"/>
      <c r="AA603" s="312"/>
      <c r="AB603" s="308"/>
      <c r="AC603" s="308"/>
      <c r="AD603" s="312"/>
      <c r="AE603" s="308"/>
      <c r="AF603" s="313"/>
      <c r="AG603" s="304"/>
      <c r="AH603" s="308"/>
      <c r="AI603" s="313"/>
      <c r="AJ603" s="304"/>
      <c r="AK603" s="308"/>
      <c r="AL603" s="308"/>
      <c r="AM603" s="304"/>
      <c r="AN603" s="308"/>
      <c r="AO603" s="313"/>
      <c r="AP603" s="304"/>
      <c r="AQ603" s="308"/>
      <c r="AR603" s="313"/>
      <c r="AS603" s="304"/>
      <c r="AT603" s="308"/>
      <c r="AU603" s="308"/>
      <c r="AV603" s="304"/>
      <c r="AW603" s="308"/>
      <c r="AX603" s="308"/>
      <c r="AY603" s="304"/>
      <c r="AZ603" s="308"/>
      <c r="BA603" s="313"/>
      <c r="BB603" s="304"/>
      <c r="BC603" s="308"/>
      <c r="BD603" s="308"/>
    </row>
    <row r="604">
      <c r="A604" s="301"/>
      <c r="B604" s="301"/>
      <c r="C604" s="303"/>
      <c r="D604" s="301"/>
      <c r="E604" s="309"/>
      <c r="F604" s="301"/>
      <c r="G604" s="301"/>
      <c r="H604" s="309"/>
      <c r="I604" s="327"/>
      <c r="J604" s="328"/>
      <c r="K604" s="326"/>
      <c r="L604" s="309"/>
      <c r="M604" s="308"/>
      <c r="N604" s="309"/>
      <c r="O604" s="322"/>
      <c r="P604" s="308"/>
      <c r="Q604" s="311"/>
      <c r="R604" s="309"/>
      <c r="S604" s="308"/>
      <c r="T604" s="309"/>
      <c r="U604" s="309"/>
      <c r="V604" s="308"/>
      <c r="W604" s="309"/>
      <c r="X604" s="309"/>
      <c r="Y604" s="308"/>
      <c r="Z604" s="309"/>
      <c r="AA604" s="312"/>
      <c r="AB604" s="308"/>
      <c r="AC604" s="308"/>
      <c r="AD604" s="312"/>
      <c r="AE604" s="308"/>
      <c r="AF604" s="313"/>
      <c r="AG604" s="304"/>
      <c r="AH604" s="308"/>
      <c r="AI604" s="313"/>
      <c r="AJ604" s="304"/>
      <c r="AK604" s="308"/>
      <c r="AL604" s="308"/>
      <c r="AM604" s="304"/>
      <c r="AN604" s="308"/>
      <c r="AO604" s="313"/>
      <c r="AP604" s="304"/>
      <c r="AQ604" s="308"/>
      <c r="AR604" s="313"/>
      <c r="AS604" s="304"/>
      <c r="AT604" s="308"/>
      <c r="AU604" s="308"/>
      <c r="AV604" s="304"/>
      <c r="AW604" s="308"/>
      <c r="AX604" s="308"/>
      <c r="AY604" s="304"/>
      <c r="AZ604" s="308"/>
      <c r="BA604" s="313"/>
      <c r="BB604" s="304"/>
      <c r="BC604" s="308"/>
      <c r="BD604" s="308"/>
    </row>
    <row r="605">
      <c r="A605" s="301"/>
      <c r="B605" s="301"/>
      <c r="C605" s="303"/>
      <c r="D605" s="301"/>
      <c r="E605" s="309"/>
      <c r="F605" s="301"/>
      <c r="G605" s="301"/>
      <c r="H605" s="309"/>
      <c r="I605" s="327"/>
      <c r="J605" s="328"/>
      <c r="K605" s="326"/>
      <c r="L605" s="309"/>
      <c r="M605" s="308"/>
      <c r="N605" s="309"/>
      <c r="O605" s="322"/>
      <c r="P605" s="308"/>
      <c r="Q605" s="311"/>
      <c r="R605" s="309"/>
      <c r="S605" s="308"/>
      <c r="T605" s="309"/>
      <c r="U605" s="309"/>
      <c r="V605" s="308"/>
      <c r="W605" s="309"/>
      <c r="X605" s="309"/>
      <c r="Y605" s="308"/>
      <c r="Z605" s="309"/>
      <c r="AA605" s="312"/>
      <c r="AB605" s="308"/>
      <c r="AC605" s="308"/>
      <c r="AD605" s="312"/>
      <c r="AE605" s="308"/>
      <c r="AF605" s="313"/>
      <c r="AG605" s="304"/>
      <c r="AH605" s="308"/>
      <c r="AI605" s="313"/>
      <c r="AJ605" s="304"/>
      <c r="AK605" s="308"/>
      <c r="AL605" s="308"/>
      <c r="AM605" s="304"/>
      <c r="AN605" s="308"/>
      <c r="AO605" s="313"/>
      <c r="AP605" s="304"/>
      <c r="AQ605" s="308"/>
      <c r="AR605" s="313"/>
      <c r="AS605" s="304"/>
      <c r="AT605" s="308"/>
      <c r="AU605" s="308"/>
      <c r="AV605" s="304"/>
      <c r="AW605" s="308"/>
      <c r="AX605" s="308"/>
      <c r="AY605" s="304"/>
      <c r="AZ605" s="308"/>
      <c r="BA605" s="313"/>
      <c r="BB605" s="304"/>
      <c r="BC605" s="308"/>
      <c r="BD605" s="308"/>
    </row>
    <row r="606">
      <c r="A606" s="301"/>
      <c r="B606" s="301"/>
      <c r="C606" s="303"/>
      <c r="D606" s="301"/>
      <c r="E606" s="309"/>
      <c r="F606" s="301"/>
      <c r="G606" s="301"/>
      <c r="H606" s="309"/>
      <c r="I606" s="327"/>
      <c r="J606" s="328"/>
      <c r="K606" s="326"/>
      <c r="L606" s="309"/>
      <c r="M606" s="308"/>
      <c r="N606" s="309"/>
      <c r="O606" s="322"/>
      <c r="P606" s="308"/>
      <c r="Q606" s="311"/>
      <c r="R606" s="309"/>
      <c r="S606" s="308"/>
      <c r="T606" s="309"/>
      <c r="U606" s="309"/>
      <c r="V606" s="308"/>
      <c r="W606" s="309"/>
      <c r="X606" s="309"/>
      <c r="Y606" s="308"/>
      <c r="Z606" s="309"/>
      <c r="AA606" s="312"/>
      <c r="AB606" s="308"/>
      <c r="AC606" s="308"/>
      <c r="AD606" s="312"/>
      <c r="AE606" s="308"/>
      <c r="AF606" s="313"/>
      <c r="AG606" s="304"/>
      <c r="AH606" s="308"/>
      <c r="AI606" s="313"/>
      <c r="AJ606" s="304"/>
      <c r="AK606" s="308"/>
      <c r="AL606" s="308"/>
      <c r="AM606" s="304"/>
      <c r="AN606" s="308"/>
      <c r="AO606" s="313"/>
      <c r="AP606" s="304"/>
      <c r="AQ606" s="308"/>
      <c r="AR606" s="313"/>
      <c r="AS606" s="304"/>
      <c r="AT606" s="308"/>
      <c r="AU606" s="308"/>
      <c r="AV606" s="304"/>
      <c r="AW606" s="308"/>
      <c r="AX606" s="308"/>
      <c r="AY606" s="304"/>
      <c r="AZ606" s="308"/>
      <c r="BA606" s="313"/>
      <c r="BB606" s="304"/>
      <c r="BC606" s="308"/>
      <c r="BD606" s="308"/>
    </row>
    <row r="607">
      <c r="A607" s="301"/>
      <c r="B607" s="301"/>
      <c r="C607" s="303"/>
      <c r="D607" s="301"/>
      <c r="E607" s="309"/>
      <c r="F607" s="301"/>
      <c r="G607" s="301"/>
      <c r="H607" s="309"/>
      <c r="I607" s="327"/>
      <c r="J607" s="328"/>
      <c r="K607" s="326"/>
      <c r="L607" s="309"/>
      <c r="M607" s="308"/>
      <c r="N607" s="309"/>
      <c r="O607" s="322"/>
      <c r="P607" s="308"/>
      <c r="Q607" s="311"/>
      <c r="R607" s="309"/>
      <c r="S607" s="308"/>
      <c r="T607" s="309"/>
      <c r="U607" s="309"/>
      <c r="V607" s="308"/>
      <c r="W607" s="309"/>
      <c r="X607" s="309"/>
      <c r="Y607" s="308"/>
      <c r="Z607" s="309"/>
      <c r="AA607" s="312"/>
      <c r="AB607" s="308"/>
      <c r="AC607" s="308"/>
      <c r="AD607" s="312"/>
      <c r="AE607" s="308"/>
      <c r="AF607" s="313"/>
      <c r="AG607" s="304"/>
      <c r="AH607" s="308"/>
      <c r="AI607" s="313"/>
      <c r="AJ607" s="304"/>
      <c r="AK607" s="308"/>
      <c r="AL607" s="308"/>
      <c r="AM607" s="304"/>
      <c r="AN607" s="308"/>
      <c r="AO607" s="313"/>
      <c r="AP607" s="304"/>
      <c r="AQ607" s="308"/>
      <c r="AR607" s="313"/>
      <c r="AS607" s="304"/>
      <c r="AT607" s="308"/>
      <c r="AU607" s="308"/>
      <c r="AV607" s="304"/>
      <c r="AW607" s="308"/>
      <c r="AX607" s="308"/>
      <c r="AY607" s="304"/>
      <c r="AZ607" s="308"/>
      <c r="BA607" s="313"/>
      <c r="BB607" s="304"/>
      <c r="BC607" s="308"/>
      <c r="BD607" s="308"/>
    </row>
    <row r="608">
      <c r="A608" s="301"/>
      <c r="B608" s="301"/>
      <c r="C608" s="303"/>
      <c r="D608" s="301"/>
      <c r="E608" s="309"/>
      <c r="F608" s="301"/>
      <c r="G608" s="301"/>
      <c r="H608" s="309"/>
      <c r="I608" s="327"/>
      <c r="J608" s="328"/>
      <c r="K608" s="326"/>
      <c r="L608" s="309"/>
      <c r="M608" s="308"/>
      <c r="N608" s="309"/>
      <c r="O608" s="322"/>
      <c r="P608" s="308"/>
      <c r="Q608" s="311"/>
      <c r="R608" s="309"/>
      <c r="S608" s="308"/>
      <c r="T608" s="309"/>
      <c r="U608" s="309"/>
      <c r="V608" s="308"/>
      <c r="W608" s="309"/>
      <c r="X608" s="309"/>
      <c r="Y608" s="308"/>
      <c r="Z608" s="309"/>
      <c r="AA608" s="312"/>
      <c r="AB608" s="308"/>
      <c r="AC608" s="308"/>
      <c r="AD608" s="312"/>
      <c r="AE608" s="308"/>
      <c r="AF608" s="313"/>
      <c r="AG608" s="304"/>
      <c r="AH608" s="308"/>
      <c r="AI608" s="313"/>
      <c r="AJ608" s="304"/>
      <c r="AK608" s="308"/>
      <c r="AL608" s="308"/>
      <c r="AM608" s="304"/>
      <c r="AN608" s="308"/>
      <c r="AO608" s="313"/>
      <c r="AP608" s="304"/>
      <c r="AQ608" s="308"/>
      <c r="AR608" s="313"/>
      <c r="AS608" s="304"/>
      <c r="AT608" s="308"/>
      <c r="AU608" s="308"/>
      <c r="AV608" s="304"/>
      <c r="AW608" s="308"/>
      <c r="AX608" s="308"/>
      <c r="AY608" s="304"/>
      <c r="AZ608" s="308"/>
      <c r="BA608" s="313"/>
      <c r="BB608" s="304"/>
      <c r="BC608" s="308"/>
      <c r="BD608" s="308"/>
    </row>
    <row r="609">
      <c r="A609" s="301"/>
      <c r="B609" s="301"/>
      <c r="C609" s="303"/>
      <c r="D609" s="301"/>
      <c r="E609" s="309"/>
      <c r="F609" s="301"/>
      <c r="G609" s="301"/>
      <c r="H609" s="309"/>
      <c r="I609" s="327"/>
      <c r="J609" s="328"/>
      <c r="K609" s="326"/>
      <c r="L609" s="309"/>
      <c r="M609" s="308"/>
      <c r="N609" s="309"/>
      <c r="O609" s="322"/>
      <c r="P609" s="308"/>
      <c r="Q609" s="311"/>
      <c r="R609" s="309"/>
      <c r="S609" s="308"/>
      <c r="T609" s="309"/>
      <c r="U609" s="309"/>
      <c r="V609" s="308"/>
      <c r="W609" s="309"/>
      <c r="X609" s="309"/>
      <c r="Y609" s="308"/>
      <c r="Z609" s="309"/>
      <c r="AA609" s="312"/>
      <c r="AB609" s="308"/>
      <c r="AC609" s="308"/>
      <c r="AD609" s="312"/>
      <c r="AE609" s="308"/>
      <c r="AF609" s="313"/>
      <c r="AG609" s="304"/>
      <c r="AH609" s="308"/>
      <c r="AI609" s="313"/>
      <c r="AJ609" s="304"/>
      <c r="AK609" s="308"/>
      <c r="AL609" s="308"/>
      <c r="AM609" s="304"/>
      <c r="AN609" s="308"/>
      <c r="AO609" s="313"/>
      <c r="AP609" s="304"/>
      <c r="AQ609" s="308"/>
      <c r="AR609" s="313"/>
      <c r="AS609" s="304"/>
      <c r="AT609" s="308"/>
      <c r="AU609" s="308"/>
      <c r="AV609" s="304"/>
      <c r="AW609" s="308"/>
      <c r="AX609" s="308"/>
      <c r="AY609" s="304"/>
      <c r="AZ609" s="308"/>
      <c r="BA609" s="313"/>
      <c r="BB609" s="304"/>
      <c r="BC609" s="308"/>
      <c r="BD609" s="308"/>
    </row>
    <row r="610">
      <c r="A610" s="301"/>
      <c r="B610" s="301"/>
      <c r="C610" s="303"/>
      <c r="D610" s="301"/>
      <c r="E610" s="309"/>
      <c r="F610" s="301"/>
      <c r="G610" s="301"/>
      <c r="H610" s="309"/>
      <c r="I610" s="327"/>
      <c r="J610" s="328"/>
      <c r="K610" s="326"/>
      <c r="L610" s="309"/>
      <c r="M610" s="308"/>
      <c r="N610" s="309"/>
      <c r="O610" s="322"/>
      <c r="P610" s="308"/>
      <c r="Q610" s="311"/>
      <c r="R610" s="309"/>
      <c r="S610" s="308"/>
      <c r="T610" s="309"/>
      <c r="U610" s="309"/>
      <c r="V610" s="308"/>
      <c r="W610" s="309"/>
      <c r="X610" s="309"/>
      <c r="Y610" s="308"/>
      <c r="Z610" s="309"/>
      <c r="AA610" s="312"/>
      <c r="AB610" s="308"/>
      <c r="AC610" s="308"/>
      <c r="AD610" s="312"/>
      <c r="AE610" s="308"/>
      <c r="AF610" s="313"/>
      <c r="AG610" s="304"/>
      <c r="AH610" s="308"/>
      <c r="AI610" s="313"/>
      <c r="AJ610" s="304"/>
      <c r="AK610" s="308"/>
      <c r="AL610" s="308"/>
      <c r="AM610" s="304"/>
      <c r="AN610" s="308"/>
      <c r="AO610" s="313"/>
      <c r="AP610" s="304"/>
      <c r="AQ610" s="308"/>
      <c r="AR610" s="313"/>
      <c r="AS610" s="304"/>
      <c r="AT610" s="308"/>
      <c r="AU610" s="308"/>
      <c r="AV610" s="304"/>
      <c r="AW610" s="308"/>
      <c r="AX610" s="308"/>
      <c r="AY610" s="304"/>
      <c r="AZ610" s="308"/>
      <c r="BA610" s="313"/>
      <c r="BB610" s="304"/>
      <c r="BC610" s="308"/>
      <c r="BD610" s="308"/>
    </row>
    <row r="611">
      <c r="A611" s="301"/>
      <c r="B611" s="301"/>
      <c r="C611" s="303"/>
      <c r="D611" s="301"/>
      <c r="E611" s="309"/>
      <c r="F611" s="301"/>
      <c r="G611" s="301"/>
      <c r="H611" s="309"/>
      <c r="I611" s="327"/>
      <c r="J611" s="328"/>
      <c r="K611" s="326"/>
      <c r="L611" s="309"/>
      <c r="M611" s="308"/>
      <c r="N611" s="309"/>
      <c r="O611" s="322"/>
      <c r="P611" s="308"/>
      <c r="Q611" s="311"/>
      <c r="R611" s="309"/>
      <c r="S611" s="308"/>
      <c r="T611" s="309"/>
      <c r="U611" s="309"/>
      <c r="V611" s="308"/>
      <c r="W611" s="309"/>
      <c r="X611" s="309"/>
      <c r="Y611" s="308"/>
      <c r="Z611" s="309"/>
      <c r="AA611" s="312"/>
      <c r="AB611" s="308"/>
      <c r="AC611" s="308"/>
      <c r="AD611" s="312"/>
      <c r="AE611" s="308"/>
      <c r="AF611" s="313"/>
      <c r="AG611" s="304"/>
      <c r="AH611" s="308"/>
      <c r="AI611" s="313"/>
      <c r="AJ611" s="304"/>
      <c r="AK611" s="308"/>
      <c r="AL611" s="308"/>
      <c r="AM611" s="304"/>
      <c r="AN611" s="308"/>
      <c r="AO611" s="313"/>
      <c r="AP611" s="304"/>
      <c r="AQ611" s="308"/>
      <c r="AR611" s="313"/>
      <c r="AS611" s="304"/>
      <c r="AT611" s="308"/>
      <c r="AU611" s="308"/>
      <c r="AV611" s="304"/>
      <c r="AW611" s="308"/>
      <c r="AX611" s="308"/>
      <c r="AY611" s="304"/>
      <c r="AZ611" s="308"/>
      <c r="BA611" s="313"/>
      <c r="BB611" s="304"/>
      <c r="BC611" s="308"/>
      <c r="BD611" s="308"/>
    </row>
    <row r="612">
      <c r="A612" s="301"/>
      <c r="B612" s="301"/>
      <c r="C612" s="303"/>
      <c r="D612" s="301"/>
      <c r="E612" s="309"/>
      <c r="F612" s="301"/>
      <c r="G612" s="301"/>
      <c r="H612" s="309"/>
      <c r="I612" s="327"/>
      <c r="J612" s="328"/>
      <c r="K612" s="326"/>
      <c r="L612" s="309"/>
      <c r="M612" s="308"/>
      <c r="N612" s="309"/>
      <c r="O612" s="322"/>
      <c r="P612" s="308"/>
      <c r="Q612" s="311"/>
      <c r="R612" s="309"/>
      <c r="S612" s="308"/>
      <c r="T612" s="309"/>
      <c r="U612" s="309"/>
      <c r="V612" s="308"/>
      <c r="W612" s="309"/>
      <c r="X612" s="309"/>
      <c r="Y612" s="308"/>
      <c r="Z612" s="309"/>
      <c r="AA612" s="312"/>
      <c r="AB612" s="308"/>
      <c r="AC612" s="308"/>
      <c r="AD612" s="312"/>
      <c r="AE612" s="308"/>
      <c r="AF612" s="313"/>
      <c r="AG612" s="304"/>
      <c r="AH612" s="308"/>
      <c r="AI612" s="313"/>
      <c r="AJ612" s="304"/>
      <c r="AK612" s="308"/>
      <c r="AL612" s="308"/>
      <c r="AM612" s="304"/>
      <c r="AN612" s="308"/>
      <c r="AO612" s="313"/>
      <c r="AP612" s="304"/>
      <c r="AQ612" s="308"/>
      <c r="AR612" s="313"/>
      <c r="AS612" s="304"/>
      <c r="AT612" s="308"/>
      <c r="AU612" s="308"/>
      <c r="AV612" s="304"/>
      <c r="AW612" s="308"/>
      <c r="AX612" s="308"/>
      <c r="AY612" s="304"/>
      <c r="AZ612" s="308"/>
      <c r="BA612" s="313"/>
      <c r="BB612" s="304"/>
      <c r="BC612" s="308"/>
      <c r="BD612" s="308"/>
    </row>
    <row r="613">
      <c r="A613" s="301"/>
      <c r="B613" s="301"/>
      <c r="C613" s="303"/>
      <c r="D613" s="301"/>
      <c r="E613" s="309"/>
      <c r="F613" s="301"/>
      <c r="G613" s="301"/>
      <c r="H613" s="309"/>
      <c r="I613" s="327"/>
      <c r="J613" s="328"/>
      <c r="K613" s="326"/>
      <c r="L613" s="309"/>
      <c r="M613" s="308"/>
      <c r="N613" s="309"/>
      <c r="O613" s="322"/>
      <c r="P613" s="308"/>
      <c r="Q613" s="311"/>
      <c r="R613" s="309"/>
      <c r="S613" s="308"/>
      <c r="T613" s="309"/>
      <c r="U613" s="309"/>
      <c r="V613" s="308"/>
      <c r="W613" s="309"/>
      <c r="X613" s="309"/>
      <c r="Y613" s="308"/>
      <c r="Z613" s="309"/>
      <c r="AA613" s="312"/>
      <c r="AB613" s="308"/>
      <c r="AC613" s="308"/>
      <c r="AD613" s="312"/>
      <c r="AE613" s="308"/>
      <c r="AF613" s="313"/>
      <c r="AG613" s="304"/>
      <c r="AH613" s="308"/>
      <c r="AI613" s="313"/>
      <c r="AJ613" s="304"/>
      <c r="AK613" s="308"/>
      <c r="AL613" s="308"/>
      <c r="AM613" s="304"/>
      <c r="AN613" s="308"/>
      <c r="AO613" s="313"/>
      <c r="AP613" s="304"/>
      <c r="AQ613" s="308"/>
      <c r="AR613" s="313"/>
      <c r="AS613" s="304"/>
      <c r="AT613" s="308"/>
      <c r="AU613" s="308"/>
      <c r="AV613" s="304"/>
      <c r="AW613" s="308"/>
      <c r="AX613" s="308"/>
      <c r="AY613" s="304"/>
      <c r="AZ613" s="308"/>
      <c r="BA613" s="313"/>
      <c r="BB613" s="304"/>
      <c r="BC613" s="308"/>
      <c r="BD613" s="308"/>
    </row>
    <row r="614">
      <c r="A614" s="301"/>
      <c r="B614" s="301"/>
      <c r="C614" s="303"/>
      <c r="D614" s="301"/>
      <c r="E614" s="309"/>
      <c r="F614" s="301"/>
      <c r="G614" s="301"/>
      <c r="H614" s="309"/>
      <c r="I614" s="327"/>
      <c r="J614" s="328"/>
      <c r="K614" s="326"/>
      <c r="L614" s="309"/>
      <c r="M614" s="308"/>
      <c r="N614" s="309"/>
      <c r="O614" s="322"/>
      <c r="P614" s="308"/>
      <c r="Q614" s="311"/>
      <c r="R614" s="309"/>
      <c r="S614" s="308"/>
      <c r="T614" s="309"/>
      <c r="U614" s="309"/>
      <c r="V614" s="308"/>
      <c r="W614" s="309"/>
      <c r="X614" s="309"/>
      <c r="Y614" s="308"/>
      <c r="Z614" s="309"/>
      <c r="AA614" s="312"/>
      <c r="AB614" s="308"/>
      <c r="AC614" s="308"/>
      <c r="AD614" s="312"/>
      <c r="AE614" s="308"/>
      <c r="AF614" s="313"/>
      <c r="AG614" s="304"/>
      <c r="AH614" s="308"/>
      <c r="AI614" s="313"/>
      <c r="AJ614" s="304"/>
      <c r="AK614" s="308"/>
      <c r="AL614" s="308"/>
      <c r="AM614" s="304"/>
      <c r="AN614" s="308"/>
      <c r="AO614" s="313"/>
      <c r="AP614" s="304"/>
      <c r="AQ614" s="308"/>
      <c r="AR614" s="313"/>
      <c r="AS614" s="304"/>
      <c r="AT614" s="308"/>
      <c r="AU614" s="308"/>
      <c r="AV614" s="304"/>
      <c r="AW614" s="308"/>
      <c r="AX614" s="308"/>
      <c r="AY614" s="304"/>
      <c r="AZ614" s="308"/>
      <c r="BA614" s="313"/>
      <c r="BB614" s="304"/>
      <c r="BC614" s="308"/>
      <c r="BD614" s="308"/>
    </row>
    <row r="615">
      <c r="A615" s="301"/>
      <c r="B615" s="301"/>
      <c r="C615" s="303"/>
      <c r="D615" s="301"/>
      <c r="E615" s="309"/>
      <c r="F615" s="301"/>
      <c r="G615" s="301"/>
      <c r="H615" s="309"/>
      <c r="I615" s="327"/>
      <c r="J615" s="328"/>
      <c r="K615" s="326"/>
      <c r="L615" s="309"/>
      <c r="M615" s="308"/>
      <c r="N615" s="309"/>
      <c r="O615" s="322"/>
      <c r="P615" s="308"/>
      <c r="Q615" s="311"/>
      <c r="R615" s="309"/>
      <c r="S615" s="308"/>
      <c r="T615" s="309"/>
      <c r="U615" s="309"/>
      <c r="V615" s="308"/>
      <c r="W615" s="309"/>
      <c r="X615" s="309"/>
      <c r="Y615" s="308"/>
      <c r="Z615" s="309"/>
      <c r="AA615" s="312"/>
      <c r="AB615" s="308"/>
      <c r="AC615" s="308"/>
      <c r="AD615" s="312"/>
      <c r="AE615" s="308"/>
      <c r="AF615" s="313"/>
      <c r="AG615" s="304"/>
      <c r="AH615" s="308"/>
      <c r="AI615" s="313"/>
      <c r="AJ615" s="304"/>
      <c r="AK615" s="308"/>
      <c r="AL615" s="308"/>
      <c r="AM615" s="304"/>
      <c r="AN615" s="308"/>
      <c r="AO615" s="313"/>
      <c r="AP615" s="304"/>
      <c r="AQ615" s="308"/>
      <c r="AR615" s="313"/>
      <c r="AS615" s="304"/>
      <c r="AT615" s="308"/>
      <c r="AU615" s="308"/>
      <c r="AV615" s="304"/>
      <c r="AW615" s="308"/>
      <c r="AX615" s="308"/>
      <c r="AY615" s="304"/>
      <c r="AZ615" s="308"/>
      <c r="BA615" s="313"/>
      <c r="BB615" s="304"/>
      <c r="BC615" s="308"/>
      <c r="BD615" s="308"/>
    </row>
    <row r="616">
      <c r="A616" s="301"/>
      <c r="B616" s="301"/>
      <c r="C616" s="303"/>
      <c r="D616" s="301"/>
      <c r="E616" s="309"/>
      <c r="F616" s="301"/>
      <c r="G616" s="301"/>
      <c r="H616" s="309"/>
      <c r="I616" s="327"/>
      <c r="J616" s="328"/>
      <c r="K616" s="326"/>
      <c r="L616" s="309"/>
      <c r="M616" s="308"/>
      <c r="N616" s="309"/>
      <c r="O616" s="322"/>
      <c r="P616" s="308"/>
      <c r="Q616" s="311"/>
      <c r="R616" s="309"/>
      <c r="S616" s="308"/>
      <c r="T616" s="309"/>
      <c r="U616" s="309"/>
      <c r="V616" s="308"/>
      <c r="W616" s="309"/>
      <c r="X616" s="309"/>
      <c r="Y616" s="308"/>
      <c r="Z616" s="309"/>
      <c r="AA616" s="312"/>
      <c r="AB616" s="308"/>
      <c r="AC616" s="308"/>
      <c r="AD616" s="312"/>
      <c r="AE616" s="308"/>
      <c r="AF616" s="313"/>
      <c r="AG616" s="304"/>
      <c r="AH616" s="308"/>
      <c r="AI616" s="313"/>
      <c r="AJ616" s="304"/>
      <c r="AK616" s="308"/>
      <c r="AL616" s="308"/>
      <c r="AM616" s="304"/>
      <c r="AN616" s="308"/>
      <c r="AO616" s="313"/>
      <c r="AP616" s="304"/>
      <c r="AQ616" s="308"/>
      <c r="AR616" s="313"/>
      <c r="AS616" s="304"/>
      <c r="AT616" s="308"/>
      <c r="AU616" s="308"/>
      <c r="AV616" s="304"/>
      <c r="AW616" s="308"/>
      <c r="AX616" s="308"/>
      <c r="AY616" s="304"/>
      <c r="AZ616" s="308"/>
      <c r="BA616" s="313"/>
      <c r="BB616" s="304"/>
      <c r="BC616" s="308"/>
      <c r="BD616" s="308"/>
    </row>
    <row r="617">
      <c r="A617" s="301"/>
      <c r="B617" s="301"/>
      <c r="C617" s="303"/>
      <c r="D617" s="301"/>
      <c r="E617" s="309"/>
      <c r="F617" s="301"/>
      <c r="G617" s="301"/>
      <c r="H617" s="309"/>
      <c r="I617" s="327"/>
      <c r="J617" s="328"/>
      <c r="K617" s="326"/>
      <c r="L617" s="309"/>
      <c r="M617" s="308"/>
      <c r="N617" s="309"/>
      <c r="O617" s="322"/>
      <c r="P617" s="308"/>
      <c r="Q617" s="311"/>
      <c r="R617" s="309"/>
      <c r="S617" s="308"/>
      <c r="T617" s="309"/>
      <c r="U617" s="309"/>
      <c r="V617" s="308"/>
      <c r="W617" s="309"/>
      <c r="X617" s="309"/>
      <c r="Y617" s="308"/>
      <c r="Z617" s="309"/>
      <c r="AA617" s="312"/>
      <c r="AB617" s="308"/>
      <c r="AC617" s="308"/>
      <c r="AD617" s="312"/>
      <c r="AE617" s="308"/>
      <c r="AF617" s="313"/>
      <c r="AG617" s="304"/>
      <c r="AH617" s="308"/>
      <c r="AI617" s="313"/>
      <c r="AJ617" s="304"/>
      <c r="AK617" s="308"/>
      <c r="AL617" s="308"/>
      <c r="AM617" s="304"/>
      <c r="AN617" s="308"/>
      <c r="AO617" s="313"/>
      <c r="AP617" s="304"/>
      <c r="AQ617" s="308"/>
      <c r="AR617" s="313"/>
      <c r="AS617" s="304"/>
      <c r="AT617" s="308"/>
      <c r="AU617" s="308"/>
      <c r="AV617" s="304"/>
      <c r="AW617" s="308"/>
      <c r="AX617" s="308"/>
      <c r="AY617" s="304"/>
      <c r="AZ617" s="308"/>
      <c r="BA617" s="313"/>
      <c r="BB617" s="304"/>
      <c r="BC617" s="308"/>
      <c r="BD617" s="308"/>
    </row>
    <row r="618">
      <c r="A618" s="301"/>
      <c r="B618" s="301"/>
      <c r="C618" s="303"/>
      <c r="D618" s="301"/>
      <c r="E618" s="309"/>
      <c r="F618" s="301"/>
      <c r="G618" s="301"/>
      <c r="H618" s="309"/>
      <c r="I618" s="327"/>
      <c r="J618" s="328"/>
      <c r="K618" s="326"/>
      <c r="L618" s="309"/>
      <c r="M618" s="308"/>
      <c r="N618" s="309"/>
      <c r="O618" s="322"/>
      <c r="P618" s="308"/>
      <c r="Q618" s="311"/>
      <c r="R618" s="309"/>
      <c r="S618" s="308"/>
      <c r="T618" s="309"/>
      <c r="U618" s="309"/>
      <c r="V618" s="308"/>
      <c r="W618" s="309"/>
      <c r="X618" s="309"/>
      <c r="Y618" s="308"/>
      <c r="Z618" s="309"/>
      <c r="AA618" s="312"/>
      <c r="AB618" s="308"/>
      <c r="AC618" s="308"/>
      <c r="AD618" s="312"/>
      <c r="AE618" s="308"/>
      <c r="AF618" s="313"/>
      <c r="AG618" s="304"/>
      <c r="AH618" s="308"/>
      <c r="AI618" s="313"/>
      <c r="AJ618" s="304"/>
      <c r="AK618" s="308"/>
      <c r="AL618" s="308"/>
      <c r="AM618" s="304"/>
      <c r="AN618" s="308"/>
      <c r="AO618" s="313"/>
      <c r="AP618" s="304"/>
      <c r="AQ618" s="308"/>
      <c r="AR618" s="313"/>
      <c r="AS618" s="304"/>
      <c r="AT618" s="308"/>
      <c r="AU618" s="308"/>
      <c r="AV618" s="304"/>
      <c r="AW618" s="308"/>
      <c r="AX618" s="308"/>
      <c r="AY618" s="304"/>
      <c r="AZ618" s="308"/>
      <c r="BA618" s="313"/>
      <c r="BB618" s="304"/>
      <c r="BC618" s="308"/>
      <c r="BD618" s="308"/>
    </row>
    <row r="619">
      <c r="A619" s="301"/>
      <c r="B619" s="301"/>
      <c r="C619" s="303"/>
      <c r="D619" s="301"/>
      <c r="E619" s="309"/>
      <c r="F619" s="301"/>
      <c r="G619" s="301"/>
      <c r="H619" s="309"/>
      <c r="I619" s="327"/>
      <c r="J619" s="328"/>
      <c r="K619" s="326"/>
      <c r="L619" s="309"/>
      <c r="M619" s="308"/>
      <c r="N619" s="309"/>
      <c r="O619" s="322"/>
      <c r="P619" s="308"/>
      <c r="Q619" s="311"/>
      <c r="R619" s="309"/>
      <c r="S619" s="308"/>
      <c r="T619" s="309"/>
      <c r="U619" s="309"/>
      <c r="V619" s="308"/>
      <c r="W619" s="309"/>
      <c r="X619" s="309"/>
      <c r="Y619" s="308"/>
      <c r="Z619" s="309"/>
      <c r="AA619" s="312"/>
      <c r="AB619" s="308"/>
      <c r="AC619" s="308"/>
      <c r="AD619" s="312"/>
      <c r="AE619" s="308"/>
      <c r="AF619" s="313"/>
      <c r="AG619" s="304"/>
      <c r="AH619" s="308"/>
      <c r="AI619" s="313"/>
      <c r="AJ619" s="304"/>
      <c r="AK619" s="308"/>
      <c r="AL619" s="308"/>
      <c r="AM619" s="304"/>
      <c r="AN619" s="308"/>
      <c r="AO619" s="313"/>
      <c r="AP619" s="304"/>
      <c r="AQ619" s="308"/>
      <c r="AR619" s="313"/>
      <c r="AS619" s="304"/>
      <c r="AT619" s="308"/>
      <c r="AU619" s="308"/>
      <c r="AV619" s="304"/>
      <c r="AW619" s="308"/>
      <c r="AX619" s="308"/>
      <c r="AY619" s="304"/>
      <c r="AZ619" s="308"/>
      <c r="BA619" s="313"/>
      <c r="BB619" s="304"/>
      <c r="BC619" s="308"/>
      <c r="BD619" s="308"/>
    </row>
    <row r="620">
      <c r="A620" s="301"/>
      <c r="B620" s="301"/>
      <c r="C620" s="303"/>
      <c r="D620" s="301"/>
      <c r="E620" s="309"/>
      <c r="F620" s="301"/>
      <c r="G620" s="301"/>
      <c r="H620" s="309"/>
      <c r="I620" s="327"/>
      <c r="J620" s="328"/>
      <c r="K620" s="326"/>
      <c r="L620" s="309"/>
      <c r="M620" s="308"/>
      <c r="N620" s="309"/>
      <c r="O620" s="322"/>
      <c r="P620" s="308"/>
      <c r="Q620" s="311"/>
      <c r="R620" s="309"/>
      <c r="S620" s="308"/>
      <c r="T620" s="309"/>
      <c r="U620" s="309"/>
      <c r="V620" s="308"/>
      <c r="W620" s="309"/>
      <c r="X620" s="309"/>
      <c r="Y620" s="308"/>
      <c r="Z620" s="309"/>
      <c r="AA620" s="312"/>
      <c r="AB620" s="308"/>
      <c r="AC620" s="308"/>
      <c r="AD620" s="312"/>
      <c r="AE620" s="308"/>
      <c r="AF620" s="313"/>
      <c r="AG620" s="304"/>
      <c r="AH620" s="308"/>
      <c r="AI620" s="313"/>
      <c r="AJ620" s="304"/>
      <c r="AK620" s="308"/>
      <c r="AL620" s="308"/>
      <c r="AM620" s="304"/>
      <c r="AN620" s="308"/>
      <c r="AO620" s="313"/>
      <c r="AP620" s="304"/>
      <c r="AQ620" s="308"/>
      <c r="AR620" s="313"/>
      <c r="AS620" s="304"/>
      <c r="AT620" s="308"/>
      <c r="AU620" s="308"/>
      <c r="AV620" s="304"/>
      <c r="AW620" s="308"/>
      <c r="AX620" s="308"/>
      <c r="AY620" s="304"/>
      <c r="AZ620" s="308"/>
      <c r="BA620" s="313"/>
      <c r="BB620" s="304"/>
      <c r="BC620" s="308"/>
      <c r="BD620" s="308"/>
    </row>
    <row r="621">
      <c r="A621" s="301"/>
      <c r="B621" s="301"/>
      <c r="C621" s="303"/>
      <c r="D621" s="301"/>
      <c r="E621" s="309"/>
      <c r="F621" s="301"/>
      <c r="G621" s="301"/>
      <c r="H621" s="309"/>
      <c r="I621" s="327"/>
      <c r="J621" s="328"/>
      <c r="K621" s="326"/>
      <c r="L621" s="309"/>
      <c r="M621" s="308"/>
      <c r="N621" s="309"/>
      <c r="O621" s="322"/>
      <c r="P621" s="308"/>
      <c r="Q621" s="311"/>
      <c r="R621" s="309"/>
      <c r="S621" s="308"/>
      <c r="T621" s="309"/>
      <c r="U621" s="309"/>
      <c r="V621" s="308"/>
      <c r="W621" s="309"/>
      <c r="X621" s="309"/>
      <c r="Y621" s="308"/>
      <c r="Z621" s="309"/>
      <c r="AA621" s="312"/>
      <c r="AB621" s="308"/>
      <c r="AC621" s="308"/>
      <c r="AD621" s="312"/>
      <c r="AE621" s="308"/>
      <c r="AF621" s="313"/>
      <c r="AG621" s="304"/>
      <c r="AH621" s="308"/>
      <c r="AI621" s="313"/>
      <c r="AJ621" s="304"/>
      <c r="AK621" s="308"/>
      <c r="AL621" s="308"/>
      <c r="AM621" s="304"/>
      <c r="AN621" s="308"/>
      <c r="AO621" s="313"/>
      <c r="AP621" s="304"/>
      <c r="AQ621" s="308"/>
      <c r="AR621" s="313"/>
      <c r="AS621" s="304"/>
      <c r="AT621" s="308"/>
      <c r="AU621" s="308"/>
      <c r="AV621" s="304"/>
      <c r="AW621" s="308"/>
      <c r="AX621" s="308"/>
      <c r="AY621" s="304"/>
      <c r="AZ621" s="308"/>
      <c r="BA621" s="313"/>
      <c r="BB621" s="304"/>
      <c r="BC621" s="308"/>
      <c r="BD621" s="308"/>
    </row>
    <row r="622">
      <c r="A622" s="301"/>
      <c r="B622" s="301"/>
      <c r="C622" s="303"/>
      <c r="D622" s="301"/>
      <c r="E622" s="309"/>
      <c r="F622" s="301"/>
      <c r="G622" s="301"/>
      <c r="H622" s="309"/>
      <c r="I622" s="327"/>
      <c r="J622" s="328"/>
      <c r="K622" s="326"/>
      <c r="L622" s="309"/>
      <c r="M622" s="308"/>
      <c r="N622" s="309"/>
      <c r="O622" s="322"/>
      <c r="P622" s="308"/>
      <c r="Q622" s="311"/>
      <c r="R622" s="309"/>
      <c r="S622" s="308"/>
      <c r="T622" s="309"/>
      <c r="U622" s="309"/>
      <c r="V622" s="308"/>
      <c r="W622" s="309"/>
      <c r="X622" s="309"/>
      <c r="Y622" s="308"/>
      <c r="Z622" s="309"/>
      <c r="AA622" s="312"/>
      <c r="AB622" s="308"/>
      <c r="AC622" s="308"/>
      <c r="AD622" s="312"/>
      <c r="AE622" s="308"/>
      <c r="AF622" s="313"/>
      <c r="AG622" s="304"/>
      <c r="AH622" s="308"/>
      <c r="AI622" s="313"/>
      <c r="AJ622" s="304"/>
      <c r="AK622" s="308"/>
      <c r="AL622" s="308"/>
      <c r="AM622" s="304"/>
      <c r="AN622" s="308"/>
      <c r="AO622" s="313"/>
      <c r="AP622" s="304"/>
      <c r="AQ622" s="308"/>
      <c r="AR622" s="313"/>
      <c r="AS622" s="304"/>
      <c r="AT622" s="308"/>
      <c r="AU622" s="308"/>
      <c r="AV622" s="304"/>
      <c r="AW622" s="308"/>
      <c r="AX622" s="308"/>
      <c r="AY622" s="304"/>
      <c r="AZ622" s="308"/>
      <c r="BA622" s="313"/>
      <c r="BB622" s="304"/>
      <c r="BC622" s="308"/>
      <c r="BD622" s="308"/>
    </row>
    <row r="623">
      <c r="A623" s="301"/>
      <c r="B623" s="301"/>
      <c r="C623" s="303"/>
      <c r="D623" s="301"/>
      <c r="E623" s="309"/>
      <c r="F623" s="301"/>
      <c r="G623" s="301"/>
      <c r="H623" s="309"/>
      <c r="I623" s="327"/>
      <c r="J623" s="328"/>
      <c r="K623" s="326"/>
      <c r="L623" s="309"/>
      <c r="M623" s="308"/>
      <c r="N623" s="309"/>
      <c r="O623" s="322"/>
      <c r="P623" s="308"/>
      <c r="Q623" s="311"/>
      <c r="R623" s="309"/>
      <c r="S623" s="308"/>
      <c r="T623" s="309"/>
      <c r="U623" s="309"/>
      <c r="V623" s="308"/>
      <c r="W623" s="309"/>
      <c r="X623" s="309"/>
      <c r="Y623" s="308"/>
      <c r="Z623" s="309"/>
      <c r="AA623" s="312"/>
      <c r="AB623" s="308"/>
      <c r="AC623" s="308"/>
      <c r="AD623" s="312"/>
      <c r="AE623" s="308"/>
      <c r="AF623" s="313"/>
      <c r="AG623" s="304"/>
      <c r="AH623" s="308"/>
      <c r="AI623" s="313"/>
      <c r="AJ623" s="304"/>
      <c r="AK623" s="308"/>
      <c r="AL623" s="308"/>
      <c r="AM623" s="304"/>
      <c r="AN623" s="308"/>
      <c r="AO623" s="313"/>
      <c r="AP623" s="304"/>
      <c r="AQ623" s="308"/>
      <c r="AR623" s="313"/>
      <c r="AS623" s="304"/>
      <c r="AT623" s="308"/>
      <c r="AU623" s="308"/>
      <c r="AV623" s="304"/>
      <c r="AW623" s="308"/>
      <c r="AX623" s="308"/>
      <c r="AY623" s="304"/>
      <c r="AZ623" s="308"/>
      <c r="BA623" s="313"/>
      <c r="BB623" s="304"/>
      <c r="BC623" s="308"/>
      <c r="BD623" s="308"/>
    </row>
    <row r="624">
      <c r="A624" s="301"/>
      <c r="B624" s="301"/>
      <c r="C624" s="303"/>
      <c r="D624" s="301"/>
      <c r="E624" s="309"/>
      <c r="F624" s="301"/>
      <c r="G624" s="301"/>
      <c r="H624" s="309"/>
      <c r="I624" s="327"/>
      <c r="J624" s="328"/>
      <c r="K624" s="326"/>
      <c r="L624" s="309"/>
      <c r="M624" s="308"/>
      <c r="N624" s="309"/>
      <c r="O624" s="322"/>
      <c r="P624" s="308"/>
      <c r="Q624" s="311"/>
      <c r="R624" s="309"/>
      <c r="S624" s="308"/>
      <c r="T624" s="309"/>
      <c r="U624" s="309"/>
      <c r="V624" s="308"/>
      <c r="W624" s="309"/>
      <c r="X624" s="309"/>
      <c r="Y624" s="308"/>
      <c r="Z624" s="309"/>
      <c r="AA624" s="312"/>
      <c r="AB624" s="308"/>
      <c r="AC624" s="308"/>
      <c r="AD624" s="312"/>
      <c r="AE624" s="308"/>
      <c r="AF624" s="313"/>
      <c r="AG624" s="304"/>
      <c r="AH624" s="308"/>
      <c r="AI624" s="313"/>
      <c r="AJ624" s="304"/>
      <c r="AK624" s="308"/>
      <c r="AL624" s="308"/>
      <c r="AM624" s="304"/>
      <c r="AN624" s="308"/>
      <c r="AO624" s="313"/>
      <c r="AP624" s="304"/>
      <c r="AQ624" s="308"/>
      <c r="AR624" s="313"/>
      <c r="AS624" s="304"/>
      <c r="AT624" s="308"/>
      <c r="AU624" s="308"/>
      <c r="AV624" s="304"/>
      <c r="AW624" s="308"/>
      <c r="AX624" s="308"/>
      <c r="AY624" s="304"/>
      <c r="AZ624" s="308"/>
      <c r="BA624" s="313"/>
      <c r="BB624" s="304"/>
      <c r="BC624" s="308"/>
      <c r="BD624" s="308"/>
    </row>
    <row r="625">
      <c r="A625" s="301"/>
      <c r="B625" s="301"/>
      <c r="C625" s="303"/>
      <c r="D625" s="301"/>
      <c r="E625" s="309"/>
      <c r="F625" s="301"/>
      <c r="G625" s="301"/>
      <c r="H625" s="309"/>
      <c r="I625" s="327"/>
      <c r="J625" s="328"/>
      <c r="K625" s="326"/>
      <c r="L625" s="309"/>
      <c r="M625" s="308"/>
      <c r="N625" s="309"/>
      <c r="O625" s="322"/>
      <c r="P625" s="308"/>
      <c r="Q625" s="311"/>
      <c r="R625" s="309"/>
      <c r="S625" s="308"/>
      <c r="T625" s="309"/>
      <c r="U625" s="309"/>
      <c r="V625" s="308"/>
      <c r="W625" s="309"/>
      <c r="X625" s="309"/>
      <c r="Y625" s="308"/>
      <c r="Z625" s="309"/>
      <c r="AA625" s="312"/>
      <c r="AB625" s="308"/>
      <c r="AC625" s="308"/>
      <c r="AD625" s="312"/>
      <c r="AE625" s="308"/>
      <c r="AF625" s="313"/>
      <c r="AG625" s="304"/>
      <c r="AH625" s="308"/>
      <c r="AI625" s="313"/>
      <c r="AJ625" s="304"/>
      <c r="AK625" s="308"/>
      <c r="AL625" s="308"/>
      <c r="AM625" s="304"/>
      <c r="AN625" s="308"/>
      <c r="AO625" s="313"/>
      <c r="AP625" s="304"/>
      <c r="AQ625" s="308"/>
      <c r="AR625" s="313"/>
      <c r="AS625" s="304"/>
      <c r="AT625" s="308"/>
      <c r="AU625" s="308"/>
      <c r="AV625" s="304"/>
      <c r="AW625" s="308"/>
      <c r="AX625" s="308"/>
      <c r="AY625" s="304"/>
      <c r="AZ625" s="308"/>
      <c r="BA625" s="313"/>
      <c r="BB625" s="304"/>
      <c r="BC625" s="308"/>
      <c r="BD625" s="308"/>
    </row>
    <row r="626">
      <c r="A626" s="301"/>
      <c r="B626" s="301"/>
      <c r="C626" s="303"/>
      <c r="D626" s="301"/>
      <c r="E626" s="309"/>
      <c r="F626" s="301"/>
      <c r="G626" s="301"/>
      <c r="H626" s="309"/>
      <c r="I626" s="327"/>
      <c r="J626" s="328"/>
      <c r="K626" s="326"/>
      <c r="L626" s="309"/>
      <c r="M626" s="308"/>
      <c r="N626" s="309"/>
      <c r="O626" s="322"/>
      <c r="P626" s="308"/>
      <c r="Q626" s="311"/>
      <c r="R626" s="309"/>
      <c r="S626" s="308"/>
      <c r="T626" s="309"/>
      <c r="U626" s="309"/>
      <c r="V626" s="308"/>
      <c r="W626" s="309"/>
      <c r="X626" s="309"/>
      <c r="Y626" s="308"/>
      <c r="Z626" s="309"/>
      <c r="AA626" s="312"/>
      <c r="AB626" s="308"/>
      <c r="AC626" s="308"/>
      <c r="AD626" s="312"/>
      <c r="AE626" s="308"/>
      <c r="AF626" s="313"/>
      <c r="AG626" s="304"/>
      <c r="AH626" s="308"/>
      <c r="AI626" s="313"/>
      <c r="AJ626" s="304"/>
      <c r="AK626" s="308"/>
      <c r="AL626" s="308"/>
      <c r="AM626" s="304"/>
      <c r="AN626" s="308"/>
      <c r="AO626" s="313"/>
      <c r="AP626" s="304"/>
      <c r="AQ626" s="308"/>
      <c r="AR626" s="313"/>
      <c r="AS626" s="304"/>
      <c r="AT626" s="308"/>
      <c r="AU626" s="308"/>
      <c r="AV626" s="304"/>
      <c r="AW626" s="308"/>
      <c r="AX626" s="308"/>
      <c r="AY626" s="304"/>
      <c r="AZ626" s="308"/>
      <c r="BA626" s="313"/>
      <c r="BB626" s="304"/>
      <c r="BC626" s="308"/>
      <c r="BD626" s="308"/>
    </row>
    <row r="627">
      <c r="A627" s="301"/>
      <c r="B627" s="301"/>
      <c r="C627" s="303"/>
      <c r="D627" s="301"/>
      <c r="E627" s="309"/>
      <c r="F627" s="301"/>
      <c r="G627" s="301"/>
      <c r="H627" s="309"/>
      <c r="I627" s="327"/>
      <c r="J627" s="328"/>
      <c r="K627" s="326"/>
      <c r="L627" s="309"/>
      <c r="M627" s="308"/>
      <c r="N627" s="309"/>
      <c r="O627" s="322"/>
      <c r="P627" s="308"/>
      <c r="Q627" s="311"/>
      <c r="R627" s="309"/>
      <c r="S627" s="308"/>
      <c r="T627" s="309"/>
      <c r="U627" s="309"/>
      <c r="V627" s="308"/>
      <c r="W627" s="309"/>
      <c r="X627" s="309"/>
      <c r="Y627" s="308"/>
      <c r="Z627" s="309"/>
      <c r="AA627" s="312"/>
      <c r="AB627" s="308"/>
      <c r="AC627" s="308"/>
      <c r="AD627" s="312"/>
      <c r="AE627" s="308"/>
      <c r="AF627" s="313"/>
      <c r="AG627" s="304"/>
      <c r="AH627" s="308"/>
      <c r="AI627" s="313"/>
      <c r="AJ627" s="304"/>
      <c r="AK627" s="308"/>
      <c r="AL627" s="308"/>
      <c r="AM627" s="304"/>
      <c r="AN627" s="308"/>
      <c r="AO627" s="313"/>
      <c r="AP627" s="304"/>
      <c r="AQ627" s="308"/>
      <c r="AR627" s="313"/>
      <c r="AS627" s="304"/>
      <c r="AT627" s="308"/>
      <c r="AU627" s="308"/>
      <c r="AV627" s="304"/>
      <c r="AW627" s="308"/>
      <c r="AX627" s="308"/>
      <c r="AY627" s="304"/>
      <c r="AZ627" s="308"/>
      <c r="BA627" s="313"/>
      <c r="BB627" s="304"/>
      <c r="BC627" s="308"/>
      <c r="BD627" s="308"/>
    </row>
    <row r="628">
      <c r="A628" s="301"/>
      <c r="B628" s="301"/>
      <c r="C628" s="303"/>
      <c r="D628" s="301"/>
      <c r="E628" s="309"/>
      <c r="F628" s="301"/>
      <c r="G628" s="301"/>
      <c r="H628" s="309"/>
      <c r="I628" s="327"/>
      <c r="J628" s="328"/>
      <c r="K628" s="326"/>
      <c r="L628" s="309"/>
      <c r="M628" s="308"/>
      <c r="N628" s="309"/>
      <c r="O628" s="322"/>
      <c r="P628" s="308"/>
      <c r="Q628" s="311"/>
      <c r="R628" s="309"/>
      <c r="S628" s="308"/>
      <c r="T628" s="309"/>
      <c r="U628" s="309"/>
      <c r="V628" s="308"/>
      <c r="W628" s="309"/>
      <c r="X628" s="309"/>
      <c r="Y628" s="308"/>
      <c r="Z628" s="309"/>
      <c r="AA628" s="312"/>
      <c r="AB628" s="308"/>
      <c r="AC628" s="308"/>
      <c r="AD628" s="312"/>
      <c r="AE628" s="308"/>
      <c r="AF628" s="313"/>
      <c r="AG628" s="304"/>
      <c r="AH628" s="308"/>
      <c r="AI628" s="313"/>
      <c r="AJ628" s="304"/>
      <c r="AK628" s="308"/>
      <c r="AL628" s="308"/>
      <c r="AM628" s="304"/>
      <c r="AN628" s="308"/>
      <c r="AO628" s="313"/>
      <c r="AP628" s="304"/>
      <c r="AQ628" s="308"/>
      <c r="AR628" s="313"/>
      <c r="AS628" s="304"/>
      <c r="AT628" s="308"/>
      <c r="AU628" s="308"/>
      <c r="AV628" s="304"/>
      <c r="AW628" s="308"/>
      <c r="AX628" s="308"/>
      <c r="AY628" s="304"/>
      <c r="AZ628" s="308"/>
      <c r="BA628" s="313"/>
      <c r="BB628" s="304"/>
      <c r="BC628" s="308"/>
      <c r="BD628" s="308"/>
    </row>
    <row r="629">
      <c r="A629" s="301"/>
      <c r="B629" s="301"/>
      <c r="C629" s="303"/>
      <c r="D629" s="301"/>
      <c r="E629" s="309"/>
      <c r="F629" s="301"/>
      <c r="G629" s="301"/>
      <c r="H629" s="309"/>
      <c r="I629" s="327"/>
      <c r="J629" s="328"/>
      <c r="K629" s="326"/>
      <c r="L629" s="309"/>
      <c r="M629" s="308"/>
      <c r="N629" s="309"/>
      <c r="O629" s="322"/>
      <c r="P629" s="308"/>
      <c r="Q629" s="311"/>
      <c r="R629" s="309"/>
      <c r="S629" s="308"/>
      <c r="T629" s="309"/>
      <c r="U629" s="309"/>
      <c r="V629" s="308"/>
      <c r="W629" s="309"/>
      <c r="X629" s="309"/>
      <c r="Y629" s="308"/>
      <c r="Z629" s="309"/>
      <c r="AA629" s="312"/>
      <c r="AB629" s="308"/>
      <c r="AC629" s="308"/>
      <c r="AD629" s="312"/>
      <c r="AE629" s="308"/>
      <c r="AF629" s="313"/>
      <c r="AG629" s="304"/>
      <c r="AH629" s="308"/>
      <c r="AI629" s="313"/>
      <c r="AJ629" s="304"/>
      <c r="AK629" s="308"/>
      <c r="AL629" s="308"/>
      <c r="AM629" s="304"/>
      <c r="AN629" s="308"/>
      <c r="AO629" s="313"/>
      <c r="AP629" s="304"/>
      <c r="AQ629" s="308"/>
      <c r="AR629" s="313"/>
      <c r="AS629" s="304"/>
      <c r="AT629" s="308"/>
      <c r="AU629" s="308"/>
      <c r="AV629" s="304"/>
      <c r="AW629" s="308"/>
      <c r="AX629" s="308"/>
      <c r="AY629" s="304"/>
      <c r="AZ629" s="308"/>
      <c r="BA629" s="313"/>
      <c r="BB629" s="304"/>
      <c r="BC629" s="308"/>
      <c r="BD629" s="308"/>
    </row>
    <row r="630">
      <c r="A630" s="301"/>
      <c r="B630" s="301"/>
      <c r="C630" s="303"/>
      <c r="D630" s="301"/>
      <c r="E630" s="309"/>
      <c r="F630" s="301"/>
      <c r="G630" s="301"/>
      <c r="H630" s="309"/>
      <c r="I630" s="327"/>
      <c r="J630" s="328"/>
      <c r="K630" s="326"/>
      <c r="L630" s="309"/>
      <c r="M630" s="308"/>
      <c r="N630" s="309"/>
      <c r="O630" s="322"/>
      <c r="P630" s="308"/>
      <c r="Q630" s="311"/>
      <c r="R630" s="309"/>
      <c r="S630" s="308"/>
      <c r="T630" s="309"/>
      <c r="U630" s="309"/>
      <c r="V630" s="308"/>
      <c r="W630" s="309"/>
      <c r="X630" s="309"/>
      <c r="Y630" s="308"/>
      <c r="Z630" s="309"/>
      <c r="AA630" s="312"/>
      <c r="AB630" s="308"/>
      <c r="AC630" s="308"/>
      <c r="AD630" s="312"/>
      <c r="AE630" s="308"/>
      <c r="AF630" s="313"/>
      <c r="AG630" s="304"/>
      <c r="AH630" s="308"/>
      <c r="AI630" s="313"/>
      <c r="AJ630" s="304"/>
      <c r="AK630" s="308"/>
      <c r="AL630" s="308"/>
      <c r="AM630" s="304"/>
      <c r="AN630" s="308"/>
      <c r="AO630" s="313"/>
      <c r="AP630" s="304"/>
      <c r="AQ630" s="308"/>
      <c r="AR630" s="313"/>
      <c r="AS630" s="304"/>
      <c r="AT630" s="308"/>
      <c r="AU630" s="308"/>
      <c r="AV630" s="304"/>
      <c r="AW630" s="308"/>
      <c r="AX630" s="308"/>
      <c r="AY630" s="304"/>
      <c r="AZ630" s="308"/>
      <c r="BA630" s="313"/>
      <c r="BB630" s="304"/>
      <c r="BC630" s="308"/>
      <c r="BD630" s="308"/>
    </row>
    <row r="631">
      <c r="A631" s="301"/>
      <c r="B631" s="301"/>
      <c r="C631" s="303"/>
      <c r="D631" s="301"/>
      <c r="E631" s="309"/>
      <c r="F631" s="301"/>
      <c r="G631" s="301"/>
      <c r="H631" s="309"/>
      <c r="I631" s="327"/>
      <c r="J631" s="328"/>
      <c r="K631" s="326"/>
      <c r="L631" s="309"/>
      <c r="M631" s="308"/>
      <c r="N631" s="309"/>
      <c r="O631" s="322"/>
      <c r="P631" s="308"/>
      <c r="Q631" s="311"/>
      <c r="R631" s="309"/>
      <c r="S631" s="308"/>
      <c r="T631" s="309"/>
      <c r="U631" s="309"/>
      <c r="V631" s="308"/>
      <c r="W631" s="309"/>
      <c r="X631" s="309"/>
      <c r="Y631" s="308"/>
      <c r="Z631" s="309"/>
      <c r="AA631" s="312"/>
      <c r="AB631" s="308"/>
      <c r="AC631" s="308"/>
      <c r="AD631" s="312"/>
      <c r="AE631" s="308"/>
      <c r="AF631" s="313"/>
      <c r="AG631" s="304"/>
      <c r="AH631" s="308"/>
      <c r="AI631" s="313"/>
      <c r="AJ631" s="304"/>
      <c r="AK631" s="308"/>
      <c r="AL631" s="308"/>
      <c r="AM631" s="304"/>
      <c r="AN631" s="308"/>
      <c r="AO631" s="313"/>
      <c r="AP631" s="304"/>
      <c r="AQ631" s="308"/>
      <c r="AR631" s="313"/>
      <c r="AS631" s="304"/>
      <c r="AT631" s="308"/>
      <c r="AU631" s="308"/>
      <c r="AV631" s="304"/>
      <c r="AW631" s="308"/>
      <c r="AX631" s="308"/>
      <c r="AY631" s="304"/>
      <c r="AZ631" s="308"/>
      <c r="BA631" s="313"/>
      <c r="BB631" s="304"/>
      <c r="BC631" s="308"/>
      <c r="BD631" s="308"/>
    </row>
    <row r="632">
      <c r="A632" s="301"/>
      <c r="B632" s="301"/>
      <c r="C632" s="303"/>
      <c r="D632" s="301"/>
      <c r="E632" s="309"/>
      <c r="F632" s="301"/>
      <c r="G632" s="301"/>
      <c r="H632" s="309"/>
      <c r="I632" s="327"/>
      <c r="J632" s="328"/>
      <c r="K632" s="326"/>
      <c r="L632" s="309"/>
      <c r="M632" s="308"/>
      <c r="N632" s="309"/>
      <c r="O632" s="322"/>
      <c r="P632" s="308"/>
      <c r="Q632" s="311"/>
      <c r="R632" s="309"/>
      <c r="S632" s="308"/>
      <c r="T632" s="309"/>
      <c r="U632" s="309"/>
      <c r="V632" s="308"/>
      <c r="W632" s="309"/>
      <c r="X632" s="309"/>
      <c r="Y632" s="308"/>
      <c r="Z632" s="309"/>
      <c r="AA632" s="312"/>
      <c r="AB632" s="308"/>
      <c r="AC632" s="308"/>
      <c r="AD632" s="312"/>
      <c r="AE632" s="308"/>
      <c r="AF632" s="313"/>
      <c r="AG632" s="304"/>
      <c r="AH632" s="308"/>
      <c r="AI632" s="313"/>
      <c r="AJ632" s="304"/>
      <c r="AK632" s="308"/>
      <c r="AL632" s="308"/>
      <c r="AM632" s="304"/>
      <c r="AN632" s="308"/>
      <c r="AO632" s="313"/>
      <c r="AP632" s="304"/>
      <c r="AQ632" s="308"/>
      <c r="AR632" s="313"/>
      <c r="AS632" s="304"/>
      <c r="AT632" s="308"/>
      <c r="AU632" s="308"/>
      <c r="AV632" s="304"/>
      <c r="AW632" s="308"/>
      <c r="AX632" s="308"/>
      <c r="AY632" s="304"/>
      <c r="AZ632" s="308"/>
      <c r="BA632" s="313"/>
      <c r="BB632" s="304"/>
      <c r="BC632" s="308"/>
      <c r="BD632" s="308"/>
    </row>
    <row r="633">
      <c r="A633" s="301"/>
      <c r="B633" s="301"/>
      <c r="C633" s="303"/>
      <c r="D633" s="301"/>
      <c r="E633" s="309"/>
      <c r="F633" s="301"/>
      <c r="G633" s="301"/>
      <c r="H633" s="309"/>
      <c r="I633" s="327"/>
      <c r="J633" s="328"/>
      <c r="K633" s="326"/>
      <c r="L633" s="309"/>
      <c r="M633" s="308"/>
      <c r="N633" s="309"/>
      <c r="O633" s="322"/>
      <c r="P633" s="308"/>
      <c r="Q633" s="311"/>
      <c r="R633" s="309"/>
      <c r="S633" s="308"/>
      <c r="T633" s="309"/>
      <c r="U633" s="309"/>
      <c r="V633" s="308"/>
      <c r="W633" s="309"/>
      <c r="X633" s="309"/>
      <c r="Y633" s="308"/>
      <c r="Z633" s="309"/>
      <c r="AA633" s="312"/>
      <c r="AB633" s="308"/>
      <c r="AC633" s="308"/>
      <c r="AD633" s="312"/>
      <c r="AE633" s="308"/>
      <c r="AF633" s="313"/>
      <c r="AG633" s="304"/>
      <c r="AH633" s="308"/>
      <c r="AI633" s="313"/>
      <c r="AJ633" s="304"/>
      <c r="AK633" s="308"/>
      <c r="AL633" s="308"/>
      <c r="AM633" s="304"/>
      <c r="AN633" s="308"/>
      <c r="AO633" s="313"/>
      <c r="AP633" s="304"/>
      <c r="AQ633" s="308"/>
      <c r="AR633" s="313"/>
      <c r="AS633" s="304"/>
      <c r="AT633" s="308"/>
      <c r="AU633" s="308"/>
      <c r="AV633" s="304"/>
      <c r="AW633" s="308"/>
      <c r="AX633" s="308"/>
      <c r="AY633" s="304"/>
      <c r="AZ633" s="308"/>
      <c r="BA633" s="313"/>
      <c r="BB633" s="304"/>
      <c r="BC633" s="308"/>
      <c r="BD633" s="308"/>
    </row>
    <row r="634">
      <c r="A634" s="301"/>
      <c r="B634" s="301"/>
      <c r="C634" s="303"/>
      <c r="D634" s="301"/>
      <c r="E634" s="309"/>
      <c r="F634" s="301"/>
      <c r="G634" s="301"/>
      <c r="H634" s="309"/>
      <c r="I634" s="327"/>
      <c r="J634" s="328"/>
      <c r="K634" s="326"/>
      <c r="L634" s="309"/>
      <c r="M634" s="308"/>
      <c r="N634" s="309"/>
      <c r="O634" s="322"/>
      <c r="P634" s="308"/>
      <c r="Q634" s="311"/>
      <c r="R634" s="309"/>
      <c r="S634" s="308"/>
      <c r="T634" s="309"/>
      <c r="U634" s="309"/>
      <c r="V634" s="308"/>
      <c r="W634" s="309"/>
      <c r="X634" s="309"/>
      <c r="Y634" s="308"/>
      <c r="Z634" s="309"/>
      <c r="AA634" s="312"/>
      <c r="AB634" s="308"/>
      <c r="AC634" s="308"/>
      <c r="AD634" s="312"/>
      <c r="AE634" s="308"/>
      <c r="AF634" s="313"/>
      <c r="AG634" s="304"/>
      <c r="AH634" s="308"/>
      <c r="AI634" s="313"/>
      <c r="AJ634" s="304"/>
      <c r="AK634" s="308"/>
      <c r="AL634" s="308"/>
      <c r="AM634" s="304"/>
      <c r="AN634" s="308"/>
      <c r="AO634" s="313"/>
      <c r="AP634" s="304"/>
      <c r="AQ634" s="308"/>
      <c r="AR634" s="313"/>
      <c r="AS634" s="304"/>
      <c r="AT634" s="308"/>
      <c r="AU634" s="308"/>
      <c r="AV634" s="304"/>
      <c r="AW634" s="308"/>
      <c r="AX634" s="308"/>
      <c r="AY634" s="304"/>
      <c r="AZ634" s="308"/>
      <c r="BA634" s="313"/>
      <c r="BB634" s="304"/>
      <c r="BC634" s="308"/>
      <c r="BD634" s="308"/>
    </row>
    <row r="635">
      <c r="A635" s="301"/>
      <c r="B635" s="301"/>
      <c r="C635" s="303"/>
      <c r="D635" s="301"/>
      <c r="E635" s="309"/>
      <c r="F635" s="301"/>
      <c r="G635" s="301"/>
      <c r="H635" s="309"/>
      <c r="I635" s="327"/>
      <c r="J635" s="328"/>
      <c r="K635" s="326"/>
      <c r="L635" s="309"/>
      <c r="M635" s="308"/>
      <c r="N635" s="309"/>
      <c r="O635" s="322"/>
      <c r="P635" s="308"/>
      <c r="Q635" s="311"/>
      <c r="R635" s="309"/>
      <c r="S635" s="308"/>
      <c r="T635" s="309"/>
      <c r="U635" s="309"/>
      <c r="V635" s="308"/>
      <c r="W635" s="309"/>
      <c r="X635" s="309"/>
      <c r="Y635" s="308"/>
      <c r="Z635" s="309"/>
      <c r="AA635" s="312"/>
      <c r="AB635" s="308"/>
      <c r="AC635" s="308"/>
      <c r="AD635" s="312"/>
      <c r="AE635" s="308"/>
      <c r="AF635" s="313"/>
      <c r="AG635" s="304"/>
      <c r="AH635" s="308"/>
      <c r="AI635" s="313"/>
      <c r="AJ635" s="304"/>
      <c r="AK635" s="308"/>
      <c r="AL635" s="308"/>
      <c r="AM635" s="304"/>
      <c r="AN635" s="308"/>
      <c r="AO635" s="313"/>
      <c r="AP635" s="304"/>
      <c r="AQ635" s="308"/>
      <c r="AR635" s="313"/>
      <c r="AS635" s="304"/>
      <c r="AT635" s="308"/>
      <c r="AU635" s="308"/>
      <c r="AV635" s="304"/>
      <c r="AW635" s="308"/>
      <c r="AX635" s="308"/>
      <c r="AY635" s="304"/>
      <c r="AZ635" s="308"/>
      <c r="BA635" s="313"/>
      <c r="BB635" s="304"/>
      <c r="BC635" s="308"/>
      <c r="BD635" s="308"/>
    </row>
    <row r="636">
      <c r="A636" s="301"/>
      <c r="B636" s="301"/>
      <c r="C636" s="303"/>
      <c r="D636" s="301"/>
      <c r="E636" s="309"/>
      <c r="F636" s="301"/>
      <c r="G636" s="301"/>
      <c r="H636" s="309"/>
      <c r="I636" s="327"/>
      <c r="J636" s="328"/>
      <c r="K636" s="326"/>
      <c r="L636" s="309"/>
      <c r="M636" s="308"/>
      <c r="N636" s="309"/>
      <c r="O636" s="322"/>
      <c r="P636" s="308"/>
      <c r="Q636" s="311"/>
      <c r="R636" s="309"/>
      <c r="S636" s="308"/>
      <c r="T636" s="309"/>
      <c r="U636" s="309"/>
      <c r="V636" s="308"/>
      <c r="W636" s="309"/>
      <c r="X636" s="309"/>
      <c r="Y636" s="308"/>
      <c r="Z636" s="309"/>
      <c r="AA636" s="312"/>
      <c r="AB636" s="308"/>
      <c r="AC636" s="308"/>
      <c r="AD636" s="312"/>
      <c r="AE636" s="308"/>
      <c r="AF636" s="313"/>
      <c r="AG636" s="304"/>
      <c r="AH636" s="308"/>
      <c r="AI636" s="313"/>
      <c r="AJ636" s="304"/>
      <c r="AK636" s="308"/>
      <c r="AL636" s="308"/>
      <c r="AM636" s="304"/>
      <c r="AN636" s="308"/>
      <c r="AO636" s="313"/>
      <c r="AP636" s="304"/>
      <c r="AQ636" s="308"/>
      <c r="AR636" s="313"/>
      <c r="AS636" s="304"/>
      <c r="AT636" s="308"/>
      <c r="AU636" s="308"/>
      <c r="AV636" s="304"/>
      <c r="AW636" s="308"/>
      <c r="AX636" s="308"/>
      <c r="AY636" s="304"/>
      <c r="AZ636" s="308"/>
      <c r="BA636" s="313"/>
      <c r="BB636" s="304"/>
      <c r="BC636" s="308"/>
      <c r="BD636" s="308"/>
    </row>
    <row r="637">
      <c r="A637" s="301"/>
      <c r="B637" s="301"/>
      <c r="C637" s="303"/>
      <c r="D637" s="301"/>
      <c r="E637" s="309"/>
      <c r="F637" s="301"/>
      <c r="G637" s="301"/>
      <c r="H637" s="309"/>
      <c r="I637" s="327"/>
      <c r="J637" s="328"/>
      <c r="K637" s="326"/>
      <c r="L637" s="309"/>
      <c r="M637" s="308"/>
      <c r="N637" s="309"/>
      <c r="O637" s="322"/>
      <c r="P637" s="308"/>
      <c r="Q637" s="311"/>
      <c r="R637" s="309"/>
      <c r="S637" s="308"/>
      <c r="T637" s="309"/>
      <c r="U637" s="309"/>
      <c r="V637" s="308"/>
      <c r="W637" s="309"/>
      <c r="X637" s="309"/>
      <c r="Y637" s="308"/>
      <c r="Z637" s="309"/>
      <c r="AA637" s="312"/>
      <c r="AB637" s="308"/>
      <c r="AC637" s="308"/>
      <c r="AD637" s="312"/>
      <c r="AE637" s="308"/>
      <c r="AF637" s="313"/>
      <c r="AG637" s="304"/>
      <c r="AH637" s="308"/>
      <c r="AI637" s="313"/>
      <c r="AJ637" s="304"/>
      <c r="AK637" s="308"/>
      <c r="AL637" s="308"/>
      <c r="AM637" s="304"/>
      <c r="AN637" s="308"/>
      <c r="AO637" s="313"/>
      <c r="AP637" s="304"/>
      <c r="AQ637" s="308"/>
      <c r="AR637" s="313"/>
      <c r="AS637" s="304"/>
      <c r="AT637" s="308"/>
      <c r="AU637" s="308"/>
      <c r="AV637" s="304"/>
      <c r="AW637" s="308"/>
      <c r="AX637" s="308"/>
      <c r="AY637" s="304"/>
      <c r="AZ637" s="308"/>
      <c r="BA637" s="313"/>
      <c r="BB637" s="304"/>
      <c r="BC637" s="308"/>
      <c r="BD637" s="308"/>
    </row>
    <row r="638">
      <c r="A638" s="301"/>
      <c r="B638" s="301"/>
      <c r="C638" s="303"/>
      <c r="D638" s="301"/>
      <c r="E638" s="309"/>
      <c r="F638" s="301"/>
      <c r="G638" s="301"/>
      <c r="H638" s="309"/>
      <c r="I638" s="327"/>
      <c r="J638" s="328"/>
      <c r="K638" s="326"/>
      <c r="L638" s="309"/>
      <c r="M638" s="308"/>
      <c r="N638" s="309"/>
      <c r="O638" s="322"/>
      <c r="P638" s="308"/>
      <c r="Q638" s="311"/>
      <c r="R638" s="309"/>
      <c r="S638" s="308"/>
      <c r="T638" s="309"/>
      <c r="U638" s="309"/>
      <c r="V638" s="308"/>
      <c r="W638" s="309"/>
      <c r="X638" s="309"/>
      <c r="Y638" s="308"/>
      <c r="Z638" s="309"/>
      <c r="AA638" s="312"/>
      <c r="AB638" s="308"/>
      <c r="AC638" s="308"/>
      <c r="AD638" s="312"/>
      <c r="AE638" s="308"/>
      <c r="AF638" s="313"/>
      <c r="AG638" s="304"/>
      <c r="AH638" s="308"/>
      <c r="AI638" s="313"/>
      <c r="AJ638" s="304"/>
      <c r="AK638" s="308"/>
      <c r="AL638" s="308"/>
      <c r="AM638" s="304"/>
      <c r="AN638" s="308"/>
      <c r="AO638" s="313"/>
      <c r="AP638" s="304"/>
      <c r="AQ638" s="308"/>
      <c r="AR638" s="313"/>
      <c r="AS638" s="304"/>
      <c r="AT638" s="308"/>
      <c r="AU638" s="308"/>
      <c r="AV638" s="304"/>
      <c r="AW638" s="308"/>
      <c r="AX638" s="308"/>
      <c r="AY638" s="304"/>
      <c r="AZ638" s="308"/>
      <c r="BA638" s="313"/>
      <c r="BB638" s="304"/>
      <c r="BC638" s="308"/>
      <c r="BD638" s="308"/>
    </row>
    <row r="639">
      <c r="A639" s="301"/>
      <c r="B639" s="301"/>
      <c r="C639" s="303"/>
      <c r="D639" s="301"/>
      <c r="E639" s="309"/>
      <c r="F639" s="301"/>
      <c r="G639" s="301"/>
      <c r="H639" s="309"/>
      <c r="I639" s="327"/>
      <c r="J639" s="328"/>
      <c r="K639" s="326"/>
      <c r="L639" s="309"/>
      <c r="M639" s="308"/>
      <c r="N639" s="309"/>
      <c r="O639" s="322"/>
      <c r="P639" s="308"/>
      <c r="Q639" s="311"/>
      <c r="R639" s="309"/>
      <c r="S639" s="308"/>
      <c r="T639" s="309"/>
      <c r="U639" s="309"/>
      <c r="V639" s="308"/>
      <c r="W639" s="309"/>
      <c r="X639" s="309"/>
      <c r="Y639" s="308"/>
      <c r="Z639" s="309"/>
      <c r="AA639" s="312"/>
      <c r="AB639" s="308"/>
      <c r="AC639" s="308"/>
      <c r="AD639" s="312"/>
      <c r="AE639" s="308"/>
      <c r="AF639" s="313"/>
      <c r="AG639" s="304"/>
      <c r="AH639" s="308"/>
      <c r="AI639" s="313"/>
      <c r="AJ639" s="304"/>
      <c r="AK639" s="308"/>
      <c r="AL639" s="308"/>
      <c r="AM639" s="304"/>
      <c r="AN639" s="308"/>
      <c r="AO639" s="313"/>
      <c r="AP639" s="304"/>
      <c r="AQ639" s="308"/>
      <c r="AR639" s="313"/>
      <c r="AS639" s="304"/>
      <c r="AT639" s="308"/>
      <c r="AU639" s="308"/>
      <c r="AV639" s="304"/>
      <c r="AW639" s="308"/>
      <c r="AX639" s="308"/>
      <c r="AY639" s="304"/>
      <c r="AZ639" s="308"/>
      <c r="BA639" s="313"/>
      <c r="BB639" s="304"/>
      <c r="BC639" s="308"/>
      <c r="BD639" s="308"/>
    </row>
    <row r="640">
      <c r="A640" s="301"/>
      <c r="B640" s="301"/>
      <c r="C640" s="303"/>
      <c r="D640" s="301"/>
      <c r="E640" s="309"/>
      <c r="F640" s="301"/>
      <c r="G640" s="301"/>
      <c r="H640" s="309"/>
      <c r="I640" s="327"/>
      <c r="J640" s="328"/>
      <c r="K640" s="326"/>
      <c r="L640" s="309"/>
      <c r="M640" s="308"/>
      <c r="N640" s="309"/>
      <c r="O640" s="322"/>
      <c r="P640" s="308"/>
      <c r="Q640" s="311"/>
      <c r="R640" s="309"/>
      <c r="S640" s="308"/>
      <c r="T640" s="309"/>
      <c r="U640" s="309"/>
      <c r="V640" s="308"/>
      <c r="W640" s="309"/>
      <c r="X640" s="309"/>
      <c r="Y640" s="308"/>
      <c r="Z640" s="309"/>
      <c r="AA640" s="312"/>
      <c r="AB640" s="308"/>
      <c r="AC640" s="308"/>
      <c r="AD640" s="312"/>
      <c r="AE640" s="308"/>
      <c r="AF640" s="313"/>
      <c r="AG640" s="304"/>
      <c r="AH640" s="308"/>
      <c r="AI640" s="313"/>
      <c r="AJ640" s="304"/>
      <c r="AK640" s="308"/>
      <c r="AL640" s="308"/>
      <c r="AM640" s="304"/>
      <c r="AN640" s="308"/>
      <c r="AO640" s="313"/>
      <c r="AP640" s="304"/>
      <c r="AQ640" s="308"/>
      <c r="AR640" s="313"/>
      <c r="AS640" s="304"/>
      <c r="AT640" s="308"/>
      <c r="AU640" s="308"/>
      <c r="AV640" s="304"/>
      <c r="AW640" s="308"/>
      <c r="AX640" s="308"/>
      <c r="AY640" s="304"/>
      <c r="AZ640" s="308"/>
      <c r="BA640" s="313"/>
      <c r="BB640" s="304"/>
      <c r="BC640" s="308"/>
      <c r="BD640" s="308"/>
    </row>
    <row r="641">
      <c r="A641" s="301"/>
      <c r="B641" s="301"/>
      <c r="C641" s="303"/>
      <c r="D641" s="301"/>
      <c r="E641" s="309"/>
      <c r="F641" s="301"/>
      <c r="G641" s="301"/>
      <c r="H641" s="309"/>
      <c r="I641" s="327"/>
      <c r="J641" s="328"/>
      <c r="K641" s="326"/>
      <c r="L641" s="309"/>
      <c r="M641" s="308"/>
      <c r="N641" s="309"/>
      <c r="O641" s="322"/>
      <c r="P641" s="308"/>
      <c r="Q641" s="311"/>
      <c r="R641" s="309"/>
      <c r="S641" s="308"/>
      <c r="T641" s="309"/>
      <c r="U641" s="309"/>
      <c r="V641" s="308"/>
      <c r="W641" s="309"/>
      <c r="X641" s="309"/>
      <c r="Y641" s="308"/>
      <c r="Z641" s="309"/>
      <c r="AA641" s="312"/>
      <c r="AB641" s="308"/>
      <c r="AC641" s="308"/>
      <c r="AD641" s="312"/>
      <c r="AE641" s="308"/>
      <c r="AF641" s="313"/>
      <c r="AG641" s="304"/>
      <c r="AH641" s="308"/>
      <c r="AI641" s="313"/>
      <c r="AJ641" s="304"/>
      <c r="AK641" s="308"/>
      <c r="AL641" s="308"/>
      <c r="AM641" s="304"/>
      <c r="AN641" s="308"/>
      <c r="AO641" s="313"/>
      <c r="AP641" s="304"/>
      <c r="AQ641" s="308"/>
      <c r="AR641" s="313"/>
      <c r="AS641" s="304"/>
      <c r="AT641" s="308"/>
      <c r="AU641" s="308"/>
      <c r="AV641" s="304"/>
      <c r="AW641" s="308"/>
      <c r="AX641" s="308"/>
      <c r="AY641" s="304"/>
      <c r="AZ641" s="308"/>
      <c r="BA641" s="313"/>
      <c r="BB641" s="304"/>
      <c r="BC641" s="308"/>
      <c r="BD641" s="308"/>
    </row>
    <row r="642">
      <c r="A642" s="301"/>
      <c r="B642" s="301"/>
      <c r="C642" s="303"/>
      <c r="D642" s="301"/>
      <c r="E642" s="309"/>
      <c r="F642" s="301"/>
      <c r="G642" s="301"/>
      <c r="H642" s="309"/>
      <c r="I642" s="327"/>
      <c r="J642" s="328"/>
      <c r="K642" s="326"/>
      <c r="L642" s="309"/>
      <c r="M642" s="308"/>
      <c r="N642" s="309"/>
      <c r="O642" s="322"/>
      <c r="P642" s="308"/>
      <c r="Q642" s="311"/>
      <c r="R642" s="309"/>
      <c r="S642" s="308"/>
      <c r="T642" s="309"/>
      <c r="U642" s="309"/>
      <c r="V642" s="308"/>
      <c r="W642" s="309"/>
      <c r="X642" s="309"/>
      <c r="Y642" s="308"/>
      <c r="Z642" s="309"/>
      <c r="AA642" s="312"/>
      <c r="AB642" s="308"/>
      <c r="AC642" s="308"/>
      <c r="AD642" s="312"/>
      <c r="AE642" s="308"/>
      <c r="AF642" s="313"/>
      <c r="AG642" s="304"/>
      <c r="AH642" s="308"/>
      <c r="AI642" s="313"/>
      <c r="AJ642" s="304"/>
      <c r="AK642" s="308"/>
      <c r="AL642" s="308"/>
      <c r="AM642" s="304"/>
      <c r="AN642" s="308"/>
      <c r="AO642" s="313"/>
      <c r="AP642" s="304"/>
      <c r="AQ642" s="308"/>
      <c r="AR642" s="313"/>
      <c r="AS642" s="304"/>
      <c r="AT642" s="308"/>
      <c r="AU642" s="308"/>
      <c r="AV642" s="304"/>
      <c r="AW642" s="308"/>
      <c r="AX642" s="308"/>
      <c r="AY642" s="304"/>
      <c r="AZ642" s="308"/>
      <c r="BA642" s="313"/>
      <c r="BB642" s="304"/>
      <c r="BC642" s="308"/>
      <c r="BD642" s="308"/>
    </row>
    <row r="643">
      <c r="A643" s="301"/>
      <c r="B643" s="301"/>
      <c r="C643" s="303"/>
      <c r="D643" s="301"/>
      <c r="E643" s="309"/>
      <c r="F643" s="301"/>
      <c r="G643" s="301"/>
      <c r="H643" s="309"/>
      <c r="I643" s="327"/>
      <c r="J643" s="328"/>
      <c r="K643" s="326"/>
      <c r="L643" s="309"/>
      <c r="M643" s="308"/>
      <c r="N643" s="309"/>
      <c r="O643" s="322"/>
      <c r="P643" s="308"/>
      <c r="Q643" s="311"/>
      <c r="R643" s="309"/>
      <c r="S643" s="308"/>
      <c r="T643" s="309"/>
      <c r="U643" s="309"/>
      <c r="V643" s="308"/>
      <c r="W643" s="309"/>
      <c r="X643" s="309"/>
      <c r="Y643" s="308"/>
      <c r="Z643" s="309"/>
      <c r="AA643" s="312"/>
      <c r="AB643" s="308"/>
      <c r="AC643" s="308"/>
      <c r="AD643" s="312"/>
      <c r="AE643" s="308"/>
      <c r="AF643" s="313"/>
      <c r="AG643" s="304"/>
      <c r="AH643" s="308"/>
      <c r="AI643" s="313"/>
      <c r="AJ643" s="304"/>
      <c r="AK643" s="308"/>
      <c r="AL643" s="308"/>
      <c r="AM643" s="304"/>
      <c r="AN643" s="308"/>
      <c r="AO643" s="313"/>
      <c r="AP643" s="304"/>
      <c r="AQ643" s="308"/>
      <c r="AR643" s="313"/>
      <c r="AS643" s="304"/>
      <c r="AT643" s="308"/>
      <c r="AU643" s="308"/>
      <c r="AV643" s="304"/>
      <c r="AW643" s="308"/>
      <c r="AX643" s="308"/>
      <c r="AY643" s="304"/>
      <c r="AZ643" s="308"/>
      <c r="BA643" s="313"/>
      <c r="BB643" s="304"/>
      <c r="BC643" s="308"/>
      <c r="BD643" s="308"/>
    </row>
    <row r="644">
      <c r="A644" s="301"/>
      <c r="B644" s="301"/>
      <c r="C644" s="303"/>
      <c r="D644" s="301"/>
      <c r="E644" s="309"/>
      <c r="F644" s="301"/>
      <c r="G644" s="301"/>
      <c r="H644" s="309"/>
      <c r="I644" s="327"/>
      <c r="J644" s="328"/>
      <c r="K644" s="326"/>
      <c r="L644" s="309"/>
      <c r="M644" s="308"/>
      <c r="N644" s="309"/>
      <c r="O644" s="322"/>
      <c r="P644" s="308"/>
      <c r="Q644" s="311"/>
      <c r="R644" s="309"/>
      <c r="S644" s="308"/>
      <c r="T644" s="309"/>
      <c r="U644" s="309"/>
      <c r="V644" s="308"/>
      <c r="W644" s="309"/>
      <c r="X644" s="309"/>
      <c r="Y644" s="308"/>
      <c r="Z644" s="309"/>
      <c r="AA644" s="312"/>
      <c r="AB644" s="308"/>
      <c r="AC644" s="308"/>
      <c r="AD644" s="312"/>
      <c r="AE644" s="308"/>
      <c r="AF644" s="313"/>
      <c r="AG644" s="304"/>
      <c r="AH644" s="308"/>
      <c r="AI644" s="313"/>
      <c r="AJ644" s="304"/>
      <c r="AK644" s="308"/>
      <c r="AL644" s="308"/>
      <c r="AM644" s="304"/>
      <c r="AN644" s="308"/>
      <c r="AO644" s="313"/>
      <c r="AP644" s="304"/>
      <c r="AQ644" s="308"/>
      <c r="AR644" s="313"/>
      <c r="AS644" s="304"/>
      <c r="AT644" s="308"/>
      <c r="AU644" s="308"/>
      <c r="AV644" s="304"/>
      <c r="AW644" s="308"/>
      <c r="AX644" s="308"/>
      <c r="AY644" s="304"/>
      <c r="AZ644" s="308"/>
      <c r="BA644" s="313"/>
      <c r="BB644" s="304"/>
      <c r="BC644" s="308"/>
      <c r="BD644" s="308"/>
    </row>
    <row r="645">
      <c r="A645" s="301"/>
      <c r="B645" s="301"/>
      <c r="C645" s="303"/>
      <c r="D645" s="301"/>
      <c r="E645" s="309"/>
      <c r="F645" s="301"/>
      <c r="G645" s="301"/>
      <c r="H645" s="309"/>
      <c r="I645" s="327"/>
      <c r="J645" s="328"/>
      <c r="K645" s="326"/>
      <c r="L645" s="309"/>
      <c r="M645" s="308"/>
      <c r="N645" s="309"/>
      <c r="O645" s="322"/>
      <c r="P645" s="308"/>
      <c r="Q645" s="311"/>
      <c r="R645" s="309"/>
      <c r="S645" s="308"/>
      <c r="T645" s="309"/>
      <c r="U645" s="309"/>
      <c r="V645" s="308"/>
      <c r="W645" s="309"/>
      <c r="X645" s="309"/>
      <c r="Y645" s="308"/>
      <c r="Z645" s="309"/>
      <c r="AA645" s="312"/>
      <c r="AB645" s="308"/>
      <c r="AC645" s="308"/>
      <c r="AD645" s="312"/>
      <c r="AE645" s="308"/>
      <c r="AF645" s="313"/>
      <c r="AG645" s="304"/>
      <c r="AH645" s="308"/>
      <c r="AI645" s="313"/>
      <c r="AJ645" s="304"/>
      <c r="AK645" s="308"/>
      <c r="AL645" s="308"/>
      <c r="AM645" s="304"/>
      <c r="AN645" s="308"/>
      <c r="AO645" s="313"/>
      <c r="AP645" s="304"/>
      <c r="AQ645" s="308"/>
      <c r="AR645" s="313"/>
      <c r="AS645" s="304"/>
      <c r="AT645" s="308"/>
      <c r="AU645" s="308"/>
      <c r="AV645" s="304"/>
      <c r="AW645" s="308"/>
      <c r="AX645" s="308"/>
      <c r="AY645" s="304"/>
      <c r="AZ645" s="308"/>
      <c r="BA645" s="313"/>
      <c r="BB645" s="304"/>
      <c r="BC645" s="308"/>
      <c r="BD645" s="308"/>
    </row>
    <row r="646">
      <c r="A646" s="301"/>
      <c r="B646" s="301"/>
      <c r="C646" s="303"/>
      <c r="D646" s="301"/>
      <c r="E646" s="309"/>
      <c r="F646" s="301"/>
      <c r="G646" s="301"/>
      <c r="H646" s="309"/>
      <c r="I646" s="327"/>
      <c r="J646" s="328"/>
      <c r="K646" s="326"/>
      <c r="L646" s="309"/>
      <c r="M646" s="308"/>
      <c r="N646" s="309"/>
      <c r="O646" s="322"/>
      <c r="P646" s="308"/>
      <c r="Q646" s="311"/>
      <c r="R646" s="309"/>
      <c r="S646" s="308"/>
      <c r="T646" s="309"/>
      <c r="U646" s="309"/>
      <c r="V646" s="308"/>
      <c r="W646" s="309"/>
      <c r="X646" s="309"/>
      <c r="Y646" s="308"/>
      <c r="Z646" s="309"/>
      <c r="AA646" s="312"/>
      <c r="AB646" s="308"/>
      <c r="AC646" s="308"/>
      <c r="AD646" s="312"/>
      <c r="AE646" s="308"/>
      <c r="AF646" s="313"/>
      <c r="AG646" s="304"/>
      <c r="AH646" s="308"/>
      <c r="AI646" s="313"/>
      <c r="AJ646" s="304"/>
      <c r="AK646" s="308"/>
      <c r="AL646" s="308"/>
      <c r="AM646" s="304"/>
      <c r="AN646" s="308"/>
      <c r="AO646" s="313"/>
      <c r="AP646" s="304"/>
      <c r="AQ646" s="308"/>
      <c r="AR646" s="313"/>
      <c r="AS646" s="304"/>
      <c r="AT646" s="308"/>
      <c r="AU646" s="308"/>
      <c r="AV646" s="304"/>
      <c r="AW646" s="308"/>
      <c r="AX646" s="308"/>
      <c r="AY646" s="304"/>
      <c r="AZ646" s="308"/>
      <c r="BA646" s="313"/>
      <c r="BB646" s="304"/>
      <c r="BC646" s="308"/>
      <c r="BD646" s="308"/>
    </row>
    <row r="647">
      <c r="A647" s="301"/>
      <c r="B647" s="301"/>
      <c r="C647" s="303"/>
      <c r="D647" s="301"/>
      <c r="E647" s="309"/>
      <c r="F647" s="301"/>
      <c r="G647" s="301"/>
      <c r="H647" s="309"/>
      <c r="I647" s="327"/>
      <c r="J647" s="328"/>
      <c r="K647" s="326"/>
      <c r="L647" s="309"/>
      <c r="M647" s="308"/>
      <c r="N647" s="309"/>
      <c r="O647" s="322"/>
      <c r="P647" s="308"/>
      <c r="Q647" s="311"/>
      <c r="R647" s="309"/>
      <c r="S647" s="308"/>
      <c r="T647" s="309"/>
      <c r="U647" s="309"/>
      <c r="V647" s="308"/>
      <c r="W647" s="309"/>
      <c r="X647" s="309"/>
      <c r="Y647" s="308"/>
      <c r="Z647" s="309"/>
      <c r="AA647" s="312"/>
      <c r="AB647" s="308"/>
      <c r="AC647" s="308"/>
      <c r="AD647" s="312"/>
      <c r="AE647" s="308"/>
      <c r="AF647" s="313"/>
      <c r="AG647" s="304"/>
      <c r="AH647" s="308"/>
      <c r="AI647" s="313"/>
      <c r="AJ647" s="304"/>
      <c r="AK647" s="308"/>
      <c r="AL647" s="308"/>
      <c r="AM647" s="304"/>
      <c r="AN647" s="308"/>
      <c r="AO647" s="313"/>
      <c r="AP647" s="304"/>
      <c r="AQ647" s="308"/>
      <c r="AR647" s="313"/>
      <c r="AS647" s="304"/>
      <c r="AT647" s="308"/>
      <c r="AU647" s="308"/>
      <c r="AV647" s="304"/>
      <c r="AW647" s="308"/>
      <c r="AX647" s="308"/>
      <c r="AY647" s="304"/>
      <c r="AZ647" s="308"/>
      <c r="BA647" s="313"/>
      <c r="BB647" s="304"/>
      <c r="BC647" s="308"/>
      <c r="BD647" s="308"/>
    </row>
    <row r="648">
      <c r="A648" s="301"/>
      <c r="B648" s="301"/>
      <c r="C648" s="303"/>
      <c r="D648" s="301"/>
      <c r="E648" s="309"/>
      <c r="F648" s="301"/>
      <c r="G648" s="301"/>
      <c r="H648" s="309"/>
      <c r="I648" s="327"/>
      <c r="J648" s="328"/>
      <c r="K648" s="326"/>
      <c r="L648" s="309"/>
      <c r="M648" s="308"/>
      <c r="N648" s="309"/>
      <c r="O648" s="322"/>
      <c r="P648" s="308"/>
      <c r="Q648" s="311"/>
      <c r="R648" s="309"/>
      <c r="S648" s="308"/>
      <c r="T648" s="309"/>
      <c r="U648" s="309"/>
      <c r="V648" s="308"/>
      <c r="W648" s="309"/>
      <c r="X648" s="309"/>
      <c r="Y648" s="308"/>
      <c r="Z648" s="309"/>
      <c r="AA648" s="312"/>
      <c r="AB648" s="308"/>
      <c r="AC648" s="308"/>
      <c r="AD648" s="312"/>
      <c r="AE648" s="308"/>
      <c r="AF648" s="313"/>
      <c r="AG648" s="304"/>
      <c r="AH648" s="308"/>
      <c r="AI648" s="313"/>
      <c r="AJ648" s="304"/>
      <c r="AK648" s="308"/>
      <c r="AL648" s="308"/>
      <c r="AM648" s="304"/>
      <c r="AN648" s="308"/>
      <c r="AO648" s="313"/>
      <c r="AP648" s="304"/>
      <c r="AQ648" s="308"/>
      <c r="AR648" s="313"/>
      <c r="AS648" s="304"/>
      <c r="AT648" s="308"/>
      <c r="AU648" s="308"/>
      <c r="AV648" s="304"/>
      <c r="AW648" s="308"/>
      <c r="AX648" s="308"/>
      <c r="AY648" s="304"/>
      <c r="AZ648" s="308"/>
      <c r="BA648" s="313"/>
      <c r="BB648" s="304"/>
      <c r="BC648" s="308"/>
      <c r="BD648" s="308"/>
    </row>
    <row r="649">
      <c r="A649" s="301"/>
      <c r="B649" s="301"/>
      <c r="C649" s="303"/>
      <c r="D649" s="301"/>
      <c r="E649" s="309"/>
      <c r="F649" s="301"/>
      <c r="G649" s="301"/>
      <c r="H649" s="309"/>
      <c r="I649" s="327"/>
      <c r="J649" s="328"/>
      <c r="K649" s="326"/>
      <c r="L649" s="309"/>
      <c r="M649" s="308"/>
      <c r="N649" s="309"/>
      <c r="O649" s="322"/>
      <c r="P649" s="308"/>
      <c r="Q649" s="311"/>
      <c r="R649" s="309"/>
      <c r="S649" s="308"/>
      <c r="T649" s="309"/>
      <c r="U649" s="309"/>
      <c r="V649" s="308"/>
      <c r="W649" s="309"/>
      <c r="X649" s="309"/>
      <c r="Y649" s="308"/>
      <c r="Z649" s="309"/>
      <c r="AA649" s="312"/>
      <c r="AB649" s="308"/>
      <c r="AC649" s="308"/>
      <c r="AD649" s="312"/>
      <c r="AE649" s="308"/>
      <c r="AF649" s="313"/>
      <c r="AG649" s="304"/>
      <c r="AH649" s="308"/>
      <c r="AI649" s="313"/>
      <c r="AJ649" s="304"/>
      <c r="AK649" s="308"/>
      <c r="AL649" s="308"/>
      <c r="AM649" s="304"/>
      <c r="AN649" s="308"/>
      <c r="AO649" s="313"/>
      <c r="AP649" s="304"/>
      <c r="AQ649" s="308"/>
      <c r="AR649" s="313"/>
      <c r="AS649" s="304"/>
      <c r="AT649" s="308"/>
      <c r="AU649" s="308"/>
      <c r="AV649" s="304"/>
      <c r="AW649" s="308"/>
      <c r="AX649" s="308"/>
      <c r="AY649" s="304"/>
      <c r="AZ649" s="308"/>
      <c r="BA649" s="313"/>
      <c r="BB649" s="304"/>
      <c r="BC649" s="308"/>
      <c r="BD649" s="308"/>
    </row>
    <row r="650">
      <c r="A650" s="301"/>
      <c r="B650" s="301"/>
      <c r="C650" s="303"/>
      <c r="D650" s="301"/>
      <c r="E650" s="309"/>
      <c r="F650" s="301"/>
      <c r="G650" s="301"/>
      <c r="H650" s="309"/>
      <c r="I650" s="327"/>
      <c r="J650" s="328"/>
      <c r="K650" s="326"/>
      <c r="L650" s="309"/>
      <c r="M650" s="308"/>
      <c r="N650" s="309"/>
      <c r="O650" s="322"/>
      <c r="P650" s="308"/>
      <c r="Q650" s="311"/>
      <c r="R650" s="309"/>
      <c r="S650" s="308"/>
      <c r="T650" s="309"/>
      <c r="U650" s="309"/>
      <c r="V650" s="308"/>
      <c r="W650" s="309"/>
      <c r="X650" s="309"/>
      <c r="Y650" s="308"/>
      <c r="Z650" s="309"/>
      <c r="AA650" s="312"/>
      <c r="AB650" s="308"/>
      <c r="AC650" s="308"/>
      <c r="AD650" s="312"/>
      <c r="AE650" s="308"/>
      <c r="AF650" s="313"/>
      <c r="AG650" s="304"/>
      <c r="AH650" s="308"/>
      <c r="AI650" s="313"/>
      <c r="AJ650" s="304"/>
      <c r="AK650" s="308"/>
      <c r="AL650" s="308"/>
      <c r="AM650" s="304"/>
      <c r="AN650" s="308"/>
      <c r="AO650" s="313"/>
      <c r="AP650" s="304"/>
      <c r="AQ650" s="308"/>
      <c r="AR650" s="313"/>
      <c r="AS650" s="304"/>
      <c r="AT650" s="308"/>
      <c r="AU650" s="308"/>
      <c r="AV650" s="304"/>
      <c r="AW650" s="308"/>
      <c r="AX650" s="308"/>
      <c r="AY650" s="304"/>
      <c r="AZ650" s="308"/>
      <c r="BA650" s="313"/>
      <c r="BB650" s="304"/>
      <c r="BC650" s="308"/>
      <c r="BD650" s="308"/>
    </row>
    <row r="651">
      <c r="A651" s="301"/>
      <c r="B651" s="301"/>
      <c r="C651" s="303"/>
      <c r="D651" s="301"/>
      <c r="E651" s="309"/>
      <c r="F651" s="301"/>
      <c r="G651" s="301"/>
      <c r="H651" s="309"/>
      <c r="I651" s="327"/>
      <c r="J651" s="328"/>
      <c r="K651" s="326"/>
      <c r="L651" s="309"/>
      <c r="M651" s="308"/>
      <c r="N651" s="309"/>
      <c r="O651" s="322"/>
      <c r="P651" s="308"/>
      <c r="Q651" s="311"/>
      <c r="R651" s="309"/>
      <c r="S651" s="308"/>
      <c r="T651" s="309"/>
      <c r="U651" s="309"/>
      <c r="V651" s="308"/>
      <c r="W651" s="309"/>
      <c r="X651" s="309"/>
      <c r="Y651" s="308"/>
      <c r="Z651" s="309"/>
      <c r="AA651" s="312"/>
      <c r="AB651" s="308"/>
      <c r="AC651" s="308"/>
      <c r="AD651" s="312"/>
      <c r="AE651" s="308"/>
      <c r="AF651" s="313"/>
      <c r="AG651" s="304"/>
      <c r="AH651" s="308"/>
      <c r="AI651" s="313"/>
      <c r="AJ651" s="304"/>
      <c r="AK651" s="308"/>
      <c r="AL651" s="308"/>
      <c r="AM651" s="304"/>
      <c r="AN651" s="308"/>
      <c r="AO651" s="313"/>
      <c r="AP651" s="304"/>
      <c r="AQ651" s="308"/>
      <c r="AR651" s="313"/>
      <c r="AS651" s="304"/>
      <c r="AT651" s="308"/>
      <c r="AU651" s="308"/>
      <c r="AV651" s="304"/>
      <c r="AW651" s="308"/>
      <c r="AX651" s="308"/>
      <c r="AY651" s="304"/>
      <c r="AZ651" s="308"/>
      <c r="BA651" s="313"/>
      <c r="BB651" s="304"/>
      <c r="BC651" s="308"/>
      <c r="BD651" s="308"/>
    </row>
    <row r="652">
      <c r="A652" s="301"/>
      <c r="B652" s="301"/>
      <c r="C652" s="303"/>
      <c r="D652" s="301"/>
      <c r="E652" s="309"/>
      <c r="F652" s="301"/>
      <c r="G652" s="301"/>
      <c r="H652" s="309"/>
      <c r="I652" s="327"/>
      <c r="J652" s="328"/>
      <c r="K652" s="326"/>
      <c r="L652" s="309"/>
      <c r="M652" s="308"/>
      <c r="N652" s="309"/>
      <c r="O652" s="322"/>
      <c r="P652" s="308"/>
      <c r="Q652" s="311"/>
      <c r="R652" s="309"/>
      <c r="S652" s="308"/>
      <c r="T652" s="309"/>
      <c r="U652" s="309"/>
      <c r="V652" s="308"/>
      <c r="W652" s="309"/>
      <c r="X652" s="309"/>
      <c r="Y652" s="308"/>
      <c r="Z652" s="309"/>
      <c r="AA652" s="312"/>
      <c r="AB652" s="308"/>
      <c r="AC652" s="308"/>
      <c r="AD652" s="312"/>
      <c r="AE652" s="308"/>
      <c r="AF652" s="313"/>
      <c r="AG652" s="304"/>
      <c r="AH652" s="308"/>
      <c r="AI652" s="313"/>
      <c r="AJ652" s="304"/>
      <c r="AK652" s="308"/>
      <c r="AL652" s="308"/>
      <c r="AM652" s="304"/>
      <c r="AN652" s="308"/>
      <c r="AO652" s="313"/>
      <c r="AP652" s="304"/>
      <c r="AQ652" s="308"/>
      <c r="AR652" s="313"/>
      <c r="AS652" s="304"/>
      <c r="AT652" s="308"/>
      <c r="AU652" s="308"/>
      <c r="AV652" s="304"/>
      <c r="AW652" s="308"/>
      <c r="AX652" s="308"/>
      <c r="AY652" s="304"/>
      <c r="AZ652" s="308"/>
      <c r="BA652" s="313"/>
      <c r="BB652" s="304"/>
      <c r="BC652" s="308"/>
      <c r="BD652" s="308"/>
    </row>
    <row r="653">
      <c r="A653" s="301"/>
      <c r="B653" s="301"/>
      <c r="C653" s="303"/>
      <c r="D653" s="301"/>
      <c r="E653" s="309"/>
      <c r="F653" s="301"/>
      <c r="G653" s="301"/>
      <c r="H653" s="309"/>
      <c r="I653" s="327"/>
      <c r="J653" s="328"/>
      <c r="K653" s="326"/>
      <c r="L653" s="309"/>
      <c r="M653" s="308"/>
      <c r="N653" s="309"/>
      <c r="O653" s="322"/>
      <c r="P653" s="308"/>
      <c r="Q653" s="311"/>
      <c r="R653" s="309"/>
      <c r="S653" s="308"/>
      <c r="T653" s="309"/>
      <c r="U653" s="309"/>
      <c r="V653" s="308"/>
      <c r="W653" s="309"/>
      <c r="X653" s="309"/>
      <c r="Y653" s="308"/>
      <c r="Z653" s="309"/>
      <c r="AA653" s="312"/>
      <c r="AB653" s="308"/>
      <c r="AC653" s="308"/>
      <c r="AD653" s="312"/>
      <c r="AE653" s="308"/>
      <c r="AF653" s="313"/>
      <c r="AG653" s="304"/>
      <c r="AH653" s="308"/>
      <c r="AI653" s="313"/>
      <c r="AJ653" s="304"/>
      <c r="AK653" s="308"/>
      <c r="AL653" s="308"/>
      <c r="AM653" s="304"/>
      <c r="AN653" s="308"/>
      <c r="AO653" s="313"/>
      <c r="AP653" s="304"/>
      <c r="AQ653" s="308"/>
      <c r="AR653" s="313"/>
      <c r="AS653" s="304"/>
      <c r="AT653" s="308"/>
      <c r="AU653" s="308"/>
      <c r="AV653" s="304"/>
      <c r="AW653" s="308"/>
      <c r="AX653" s="308"/>
      <c r="AY653" s="304"/>
      <c r="AZ653" s="308"/>
      <c r="BA653" s="313"/>
      <c r="BB653" s="304"/>
      <c r="BC653" s="308"/>
      <c r="BD653" s="308"/>
    </row>
    <row r="654">
      <c r="A654" s="301"/>
      <c r="B654" s="301"/>
      <c r="C654" s="303"/>
      <c r="D654" s="301"/>
      <c r="E654" s="309"/>
      <c r="F654" s="301"/>
      <c r="G654" s="301"/>
      <c r="H654" s="309"/>
      <c r="I654" s="327"/>
      <c r="J654" s="328"/>
      <c r="K654" s="326"/>
      <c r="L654" s="309"/>
      <c r="M654" s="308"/>
      <c r="N654" s="309"/>
      <c r="O654" s="322"/>
      <c r="P654" s="308"/>
      <c r="Q654" s="311"/>
      <c r="R654" s="309"/>
      <c r="S654" s="308"/>
      <c r="T654" s="309"/>
      <c r="U654" s="309"/>
      <c r="V654" s="308"/>
      <c r="W654" s="309"/>
      <c r="X654" s="309"/>
      <c r="Y654" s="308"/>
      <c r="Z654" s="309"/>
      <c r="AA654" s="312"/>
      <c r="AB654" s="308"/>
      <c r="AC654" s="308"/>
      <c r="AD654" s="312"/>
      <c r="AE654" s="308"/>
      <c r="AF654" s="313"/>
      <c r="AG654" s="304"/>
      <c r="AH654" s="308"/>
      <c r="AI654" s="313"/>
      <c r="AJ654" s="304"/>
      <c r="AK654" s="308"/>
      <c r="AL654" s="308"/>
      <c r="AM654" s="304"/>
      <c r="AN654" s="308"/>
      <c r="AO654" s="313"/>
      <c r="AP654" s="304"/>
      <c r="AQ654" s="308"/>
      <c r="AR654" s="313"/>
      <c r="AS654" s="304"/>
      <c r="AT654" s="308"/>
      <c r="AU654" s="308"/>
      <c r="AV654" s="304"/>
      <c r="AW654" s="308"/>
      <c r="AX654" s="308"/>
      <c r="AY654" s="304"/>
      <c r="AZ654" s="308"/>
      <c r="BA654" s="313"/>
      <c r="BB654" s="304"/>
      <c r="BC654" s="308"/>
      <c r="BD654" s="308"/>
    </row>
    <row r="655">
      <c r="A655" s="301"/>
      <c r="B655" s="301"/>
      <c r="C655" s="303"/>
      <c r="D655" s="301"/>
      <c r="E655" s="309"/>
      <c r="F655" s="301"/>
      <c r="G655" s="301"/>
      <c r="H655" s="309"/>
      <c r="I655" s="327"/>
      <c r="J655" s="328"/>
      <c r="K655" s="326"/>
      <c r="L655" s="309"/>
      <c r="M655" s="308"/>
      <c r="N655" s="309"/>
      <c r="O655" s="322"/>
      <c r="P655" s="308"/>
      <c r="Q655" s="311"/>
      <c r="R655" s="309"/>
      <c r="S655" s="308"/>
      <c r="T655" s="309"/>
      <c r="U655" s="309"/>
      <c r="V655" s="308"/>
      <c r="W655" s="309"/>
      <c r="X655" s="309"/>
      <c r="Y655" s="308"/>
      <c r="Z655" s="309"/>
      <c r="AA655" s="312"/>
      <c r="AB655" s="308"/>
      <c r="AC655" s="308"/>
      <c r="AD655" s="312"/>
      <c r="AE655" s="308"/>
      <c r="AF655" s="313"/>
      <c r="AG655" s="304"/>
      <c r="AH655" s="308"/>
      <c r="AI655" s="313"/>
      <c r="AJ655" s="304"/>
      <c r="AK655" s="308"/>
      <c r="AL655" s="308"/>
      <c r="AM655" s="304"/>
      <c r="AN655" s="308"/>
      <c r="AO655" s="313"/>
      <c r="AP655" s="304"/>
      <c r="AQ655" s="308"/>
      <c r="AR655" s="313"/>
      <c r="AS655" s="304"/>
      <c r="AT655" s="308"/>
      <c r="AU655" s="308"/>
      <c r="AV655" s="304"/>
      <c r="AW655" s="308"/>
      <c r="AX655" s="308"/>
      <c r="AY655" s="304"/>
      <c r="AZ655" s="308"/>
      <c r="BA655" s="313"/>
      <c r="BB655" s="304"/>
      <c r="BC655" s="308"/>
      <c r="BD655" s="308"/>
    </row>
    <row r="656">
      <c r="A656" s="301"/>
      <c r="B656" s="301"/>
      <c r="C656" s="303"/>
      <c r="D656" s="301"/>
      <c r="E656" s="309"/>
      <c r="F656" s="301"/>
      <c r="G656" s="301"/>
      <c r="H656" s="309"/>
      <c r="I656" s="327"/>
      <c r="J656" s="328"/>
      <c r="K656" s="326"/>
      <c r="L656" s="309"/>
      <c r="M656" s="308"/>
      <c r="N656" s="309"/>
      <c r="O656" s="322"/>
      <c r="P656" s="308"/>
      <c r="Q656" s="311"/>
      <c r="R656" s="309"/>
      <c r="S656" s="308"/>
      <c r="T656" s="309"/>
      <c r="U656" s="309"/>
      <c r="V656" s="308"/>
      <c r="W656" s="309"/>
      <c r="X656" s="309"/>
      <c r="Y656" s="308"/>
      <c r="Z656" s="309"/>
      <c r="AA656" s="312"/>
      <c r="AB656" s="308"/>
      <c r="AC656" s="308"/>
      <c r="AD656" s="312"/>
      <c r="AE656" s="308"/>
      <c r="AF656" s="313"/>
      <c r="AG656" s="304"/>
      <c r="AH656" s="308"/>
      <c r="AI656" s="313"/>
      <c r="AJ656" s="304"/>
      <c r="AK656" s="308"/>
      <c r="AL656" s="308"/>
      <c r="AM656" s="304"/>
      <c r="AN656" s="308"/>
      <c r="AO656" s="313"/>
      <c r="AP656" s="304"/>
      <c r="AQ656" s="308"/>
      <c r="AR656" s="313"/>
      <c r="AS656" s="304"/>
      <c r="AT656" s="308"/>
      <c r="AU656" s="308"/>
      <c r="AV656" s="304"/>
      <c r="AW656" s="308"/>
      <c r="AX656" s="308"/>
      <c r="AY656" s="304"/>
      <c r="AZ656" s="308"/>
      <c r="BA656" s="313"/>
      <c r="BB656" s="304"/>
      <c r="BC656" s="308"/>
      <c r="BD656" s="308"/>
    </row>
    <row r="657">
      <c r="A657" s="301"/>
      <c r="B657" s="301"/>
      <c r="C657" s="303"/>
      <c r="D657" s="301"/>
      <c r="E657" s="309"/>
      <c r="F657" s="301"/>
      <c r="G657" s="301"/>
      <c r="H657" s="309"/>
      <c r="I657" s="327"/>
      <c r="J657" s="328"/>
      <c r="K657" s="326"/>
      <c r="L657" s="309"/>
      <c r="M657" s="308"/>
      <c r="N657" s="309"/>
      <c r="O657" s="322"/>
      <c r="P657" s="308"/>
      <c r="Q657" s="311"/>
      <c r="R657" s="309"/>
      <c r="S657" s="308"/>
      <c r="T657" s="309"/>
      <c r="U657" s="309"/>
      <c r="V657" s="308"/>
      <c r="W657" s="309"/>
      <c r="X657" s="309"/>
      <c r="Y657" s="308"/>
      <c r="Z657" s="309"/>
      <c r="AA657" s="312"/>
      <c r="AB657" s="308"/>
      <c r="AC657" s="308"/>
      <c r="AD657" s="312"/>
      <c r="AE657" s="308"/>
      <c r="AF657" s="313"/>
      <c r="AG657" s="304"/>
      <c r="AH657" s="308"/>
      <c r="AI657" s="313"/>
      <c r="AJ657" s="304"/>
      <c r="AK657" s="308"/>
      <c r="AL657" s="308"/>
      <c r="AM657" s="304"/>
      <c r="AN657" s="308"/>
      <c r="AO657" s="313"/>
      <c r="AP657" s="304"/>
      <c r="AQ657" s="308"/>
      <c r="AR657" s="313"/>
      <c r="AS657" s="304"/>
      <c r="AT657" s="308"/>
      <c r="AU657" s="308"/>
      <c r="AV657" s="304"/>
      <c r="AW657" s="308"/>
      <c r="AX657" s="308"/>
      <c r="AY657" s="304"/>
      <c r="AZ657" s="308"/>
      <c r="BA657" s="313"/>
      <c r="BB657" s="304"/>
      <c r="BC657" s="308"/>
      <c r="BD657" s="308"/>
    </row>
    <row r="658">
      <c r="A658" s="301"/>
      <c r="B658" s="301"/>
      <c r="C658" s="303"/>
      <c r="D658" s="301"/>
      <c r="E658" s="309"/>
      <c r="F658" s="301"/>
      <c r="G658" s="301"/>
      <c r="H658" s="309"/>
      <c r="I658" s="327"/>
      <c r="J658" s="328"/>
      <c r="K658" s="326"/>
      <c r="L658" s="309"/>
      <c r="M658" s="308"/>
      <c r="N658" s="309"/>
      <c r="O658" s="322"/>
      <c r="P658" s="308"/>
      <c r="Q658" s="311"/>
      <c r="R658" s="309"/>
      <c r="S658" s="308"/>
      <c r="T658" s="309"/>
      <c r="U658" s="309"/>
      <c r="V658" s="308"/>
      <c r="W658" s="309"/>
      <c r="X658" s="309"/>
      <c r="Y658" s="308"/>
      <c r="Z658" s="309"/>
      <c r="AA658" s="312"/>
      <c r="AB658" s="308"/>
      <c r="AC658" s="308"/>
      <c r="AD658" s="312"/>
      <c r="AE658" s="308"/>
      <c r="AF658" s="313"/>
      <c r="AG658" s="304"/>
      <c r="AH658" s="308"/>
      <c r="AI658" s="313"/>
      <c r="AJ658" s="304"/>
      <c r="AK658" s="308"/>
      <c r="AL658" s="308"/>
      <c r="AM658" s="304"/>
      <c r="AN658" s="308"/>
      <c r="AO658" s="313"/>
      <c r="AP658" s="304"/>
      <c r="AQ658" s="308"/>
      <c r="AR658" s="313"/>
      <c r="AS658" s="304"/>
      <c r="AT658" s="308"/>
      <c r="AU658" s="308"/>
      <c r="AV658" s="304"/>
      <c r="AW658" s="308"/>
      <c r="AX658" s="308"/>
      <c r="AY658" s="304"/>
      <c r="AZ658" s="308"/>
      <c r="BA658" s="313"/>
      <c r="BB658" s="304"/>
      <c r="BC658" s="308"/>
      <c r="BD658" s="308"/>
    </row>
    <row r="659">
      <c r="A659" s="301"/>
      <c r="B659" s="301"/>
      <c r="C659" s="303"/>
      <c r="D659" s="301"/>
      <c r="E659" s="309"/>
      <c r="F659" s="301"/>
      <c r="G659" s="301"/>
      <c r="H659" s="309"/>
      <c r="I659" s="327"/>
      <c r="J659" s="328"/>
      <c r="K659" s="326"/>
      <c r="L659" s="309"/>
      <c r="M659" s="308"/>
      <c r="N659" s="309"/>
      <c r="O659" s="322"/>
      <c r="P659" s="308"/>
      <c r="Q659" s="311"/>
      <c r="R659" s="309"/>
      <c r="S659" s="308"/>
      <c r="T659" s="309"/>
      <c r="U659" s="309"/>
      <c r="V659" s="308"/>
      <c r="W659" s="309"/>
      <c r="X659" s="309"/>
      <c r="Y659" s="308"/>
      <c r="Z659" s="309"/>
      <c r="AA659" s="312"/>
      <c r="AB659" s="308"/>
      <c r="AC659" s="308"/>
      <c r="AD659" s="312"/>
      <c r="AE659" s="308"/>
      <c r="AF659" s="313"/>
      <c r="AG659" s="304"/>
      <c r="AH659" s="308"/>
      <c r="AI659" s="313"/>
      <c r="AJ659" s="304"/>
      <c r="AK659" s="308"/>
      <c r="AL659" s="308"/>
      <c r="AM659" s="304"/>
      <c r="AN659" s="308"/>
      <c r="AO659" s="313"/>
      <c r="AP659" s="304"/>
      <c r="AQ659" s="308"/>
      <c r="AR659" s="313"/>
      <c r="AS659" s="304"/>
      <c r="AT659" s="308"/>
      <c r="AU659" s="308"/>
      <c r="AV659" s="304"/>
      <c r="AW659" s="308"/>
      <c r="AX659" s="308"/>
      <c r="AY659" s="304"/>
      <c r="AZ659" s="308"/>
      <c r="BA659" s="313"/>
      <c r="BB659" s="304"/>
      <c r="BC659" s="308"/>
      <c r="BD659" s="308"/>
    </row>
    <row r="660">
      <c r="A660" s="301"/>
      <c r="B660" s="301"/>
      <c r="C660" s="303"/>
      <c r="D660" s="301"/>
      <c r="E660" s="309"/>
      <c r="F660" s="301"/>
      <c r="G660" s="301"/>
      <c r="H660" s="309"/>
      <c r="I660" s="327"/>
      <c r="J660" s="328"/>
      <c r="K660" s="326"/>
      <c r="L660" s="309"/>
      <c r="M660" s="308"/>
      <c r="N660" s="309"/>
      <c r="O660" s="322"/>
      <c r="P660" s="308"/>
      <c r="Q660" s="311"/>
      <c r="R660" s="309"/>
      <c r="S660" s="308"/>
      <c r="T660" s="309"/>
      <c r="U660" s="309"/>
      <c r="V660" s="308"/>
      <c r="W660" s="309"/>
      <c r="X660" s="309"/>
      <c r="Y660" s="308"/>
      <c r="Z660" s="309"/>
      <c r="AA660" s="312"/>
      <c r="AB660" s="308"/>
      <c r="AC660" s="308"/>
      <c r="AD660" s="312"/>
      <c r="AE660" s="308"/>
      <c r="AF660" s="313"/>
      <c r="AG660" s="304"/>
      <c r="AH660" s="308"/>
      <c r="AI660" s="313"/>
      <c r="AJ660" s="304"/>
      <c r="AK660" s="308"/>
      <c r="AL660" s="308"/>
      <c r="AM660" s="304"/>
      <c r="AN660" s="308"/>
      <c r="AO660" s="313"/>
      <c r="AP660" s="304"/>
      <c r="AQ660" s="308"/>
      <c r="AR660" s="313"/>
      <c r="AS660" s="304"/>
      <c r="AT660" s="308"/>
      <c r="AU660" s="308"/>
      <c r="AV660" s="304"/>
      <c r="AW660" s="308"/>
      <c r="AX660" s="308"/>
      <c r="AY660" s="304"/>
      <c r="AZ660" s="308"/>
      <c r="BA660" s="313"/>
      <c r="BB660" s="304"/>
      <c r="BC660" s="308"/>
      <c r="BD660" s="308"/>
    </row>
    <row r="661">
      <c r="A661" s="301"/>
      <c r="B661" s="301"/>
      <c r="C661" s="303"/>
      <c r="D661" s="301"/>
      <c r="E661" s="309"/>
      <c r="F661" s="301"/>
      <c r="G661" s="301"/>
      <c r="H661" s="309"/>
      <c r="I661" s="327"/>
      <c r="J661" s="328"/>
      <c r="K661" s="326"/>
      <c r="L661" s="309"/>
      <c r="M661" s="308"/>
      <c r="N661" s="309"/>
      <c r="O661" s="322"/>
      <c r="P661" s="308"/>
      <c r="Q661" s="311"/>
      <c r="R661" s="309"/>
      <c r="S661" s="308"/>
      <c r="T661" s="309"/>
      <c r="U661" s="309"/>
      <c r="V661" s="308"/>
      <c r="W661" s="309"/>
      <c r="X661" s="309"/>
      <c r="Y661" s="308"/>
      <c r="Z661" s="309"/>
      <c r="AA661" s="312"/>
      <c r="AB661" s="308"/>
      <c r="AC661" s="308"/>
      <c r="AD661" s="312"/>
      <c r="AE661" s="308"/>
      <c r="AF661" s="313"/>
      <c r="AG661" s="304"/>
      <c r="AH661" s="308"/>
      <c r="AI661" s="313"/>
      <c r="AJ661" s="304"/>
      <c r="AK661" s="308"/>
      <c r="AL661" s="308"/>
      <c r="AM661" s="304"/>
      <c r="AN661" s="308"/>
      <c r="AO661" s="313"/>
      <c r="AP661" s="304"/>
      <c r="AQ661" s="308"/>
      <c r="AR661" s="313"/>
      <c r="AS661" s="304"/>
      <c r="AT661" s="308"/>
      <c r="AU661" s="308"/>
      <c r="AV661" s="304"/>
      <c r="AW661" s="308"/>
      <c r="AX661" s="308"/>
      <c r="AY661" s="304"/>
      <c r="AZ661" s="308"/>
      <c r="BA661" s="313"/>
      <c r="BB661" s="304"/>
      <c r="BC661" s="308"/>
      <c r="BD661" s="308"/>
    </row>
    <row r="662">
      <c r="A662" s="301"/>
      <c r="B662" s="301"/>
      <c r="C662" s="303"/>
      <c r="D662" s="301"/>
      <c r="E662" s="309"/>
      <c r="F662" s="301"/>
      <c r="G662" s="301"/>
      <c r="H662" s="309"/>
      <c r="I662" s="327"/>
      <c r="J662" s="328"/>
      <c r="K662" s="326"/>
      <c r="L662" s="309"/>
      <c r="M662" s="308"/>
      <c r="N662" s="309"/>
      <c r="O662" s="322"/>
      <c r="P662" s="308"/>
      <c r="Q662" s="311"/>
      <c r="R662" s="309"/>
      <c r="S662" s="308"/>
      <c r="T662" s="309"/>
      <c r="U662" s="309"/>
      <c r="V662" s="308"/>
      <c r="W662" s="309"/>
      <c r="X662" s="309"/>
      <c r="Y662" s="308"/>
      <c r="Z662" s="309"/>
      <c r="AA662" s="312"/>
      <c r="AB662" s="308"/>
      <c r="AC662" s="308"/>
      <c r="AD662" s="312"/>
      <c r="AE662" s="308"/>
      <c r="AF662" s="313"/>
      <c r="AG662" s="304"/>
      <c r="AH662" s="308"/>
      <c r="AI662" s="313"/>
      <c r="AJ662" s="304"/>
      <c r="AK662" s="308"/>
      <c r="AL662" s="308"/>
      <c r="AM662" s="304"/>
      <c r="AN662" s="308"/>
      <c r="AO662" s="313"/>
      <c r="AP662" s="304"/>
      <c r="AQ662" s="308"/>
      <c r="AR662" s="313"/>
      <c r="AS662" s="304"/>
      <c r="AT662" s="308"/>
      <c r="AU662" s="308"/>
      <c r="AV662" s="304"/>
      <c r="AW662" s="308"/>
      <c r="AX662" s="308"/>
      <c r="AY662" s="304"/>
      <c r="AZ662" s="308"/>
      <c r="BA662" s="313"/>
      <c r="BB662" s="304"/>
      <c r="BC662" s="308"/>
      <c r="BD662" s="308"/>
    </row>
    <row r="663">
      <c r="A663" s="301"/>
      <c r="B663" s="301"/>
      <c r="C663" s="303"/>
      <c r="D663" s="301"/>
      <c r="E663" s="309"/>
      <c r="F663" s="301"/>
      <c r="G663" s="301"/>
      <c r="H663" s="309"/>
      <c r="I663" s="327"/>
      <c r="J663" s="328"/>
      <c r="K663" s="326"/>
      <c r="L663" s="309"/>
      <c r="M663" s="308"/>
      <c r="N663" s="309"/>
      <c r="O663" s="322"/>
      <c r="P663" s="308"/>
      <c r="Q663" s="311"/>
      <c r="R663" s="309"/>
      <c r="S663" s="308"/>
      <c r="T663" s="309"/>
      <c r="U663" s="309"/>
      <c r="V663" s="308"/>
      <c r="W663" s="309"/>
      <c r="X663" s="309"/>
      <c r="Y663" s="308"/>
      <c r="Z663" s="309"/>
      <c r="AA663" s="312"/>
      <c r="AB663" s="308"/>
      <c r="AC663" s="308"/>
      <c r="AD663" s="312"/>
      <c r="AE663" s="308"/>
      <c r="AF663" s="313"/>
      <c r="AG663" s="304"/>
      <c r="AH663" s="308"/>
      <c r="AI663" s="313"/>
      <c r="AJ663" s="304"/>
      <c r="AK663" s="308"/>
      <c r="AL663" s="308"/>
      <c r="AM663" s="304"/>
      <c r="AN663" s="308"/>
      <c r="AO663" s="313"/>
      <c r="AP663" s="304"/>
      <c r="AQ663" s="308"/>
      <c r="AR663" s="313"/>
      <c r="AS663" s="304"/>
      <c r="AT663" s="308"/>
      <c r="AU663" s="308"/>
      <c r="AV663" s="304"/>
      <c r="AW663" s="308"/>
      <c r="AX663" s="308"/>
      <c r="AY663" s="304"/>
      <c r="AZ663" s="308"/>
      <c r="BA663" s="313"/>
      <c r="BB663" s="304"/>
      <c r="BC663" s="308"/>
      <c r="BD663" s="308"/>
    </row>
    <row r="664">
      <c r="A664" s="301"/>
      <c r="B664" s="301"/>
      <c r="C664" s="303"/>
      <c r="D664" s="301"/>
      <c r="E664" s="309"/>
      <c r="F664" s="301"/>
      <c r="G664" s="301"/>
      <c r="H664" s="309"/>
      <c r="I664" s="327"/>
      <c r="J664" s="328"/>
      <c r="K664" s="326"/>
      <c r="L664" s="309"/>
      <c r="M664" s="308"/>
      <c r="N664" s="309"/>
      <c r="O664" s="322"/>
      <c r="P664" s="308"/>
      <c r="Q664" s="311"/>
      <c r="R664" s="309"/>
      <c r="S664" s="308"/>
      <c r="T664" s="309"/>
      <c r="U664" s="309"/>
      <c r="V664" s="308"/>
      <c r="W664" s="309"/>
      <c r="X664" s="309"/>
      <c r="Y664" s="308"/>
      <c r="Z664" s="309"/>
      <c r="AA664" s="312"/>
      <c r="AB664" s="308"/>
      <c r="AC664" s="308"/>
      <c r="AD664" s="312"/>
      <c r="AE664" s="308"/>
      <c r="AF664" s="313"/>
      <c r="AG664" s="304"/>
      <c r="AH664" s="308"/>
      <c r="AI664" s="313"/>
      <c r="AJ664" s="304"/>
      <c r="AK664" s="308"/>
      <c r="AL664" s="308"/>
      <c r="AM664" s="304"/>
      <c r="AN664" s="308"/>
      <c r="AO664" s="313"/>
      <c r="AP664" s="304"/>
      <c r="AQ664" s="308"/>
      <c r="AR664" s="313"/>
      <c r="AS664" s="304"/>
      <c r="AT664" s="308"/>
      <c r="AU664" s="308"/>
      <c r="AV664" s="304"/>
      <c r="AW664" s="308"/>
      <c r="AX664" s="308"/>
      <c r="AY664" s="304"/>
      <c r="AZ664" s="308"/>
      <c r="BA664" s="313"/>
      <c r="BB664" s="304"/>
      <c r="BC664" s="308"/>
      <c r="BD664" s="308"/>
    </row>
    <row r="665">
      <c r="A665" s="301"/>
      <c r="B665" s="301"/>
      <c r="C665" s="303"/>
      <c r="D665" s="301"/>
      <c r="E665" s="309"/>
      <c r="F665" s="301"/>
      <c r="G665" s="301"/>
      <c r="H665" s="309"/>
      <c r="I665" s="327"/>
      <c r="J665" s="328"/>
      <c r="K665" s="326"/>
      <c r="L665" s="309"/>
      <c r="M665" s="308"/>
      <c r="N665" s="309"/>
      <c r="O665" s="322"/>
      <c r="P665" s="308"/>
      <c r="Q665" s="311"/>
      <c r="R665" s="309"/>
      <c r="S665" s="308"/>
      <c r="T665" s="309"/>
      <c r="U665" s="309"/>
      <c r="V665" s="308"/>
      <c r="W665" s="309"/>
      <c r="X665" s="309"/>
      <c r="Y665" s="308"/>
      <c r="Z665" s="309"/>
      <c r="AA665" s="312"/>
      <c r="AB665" s="308"/>
      <c r="AC665" s="308"/>
      <c r="AD665" s="312"/>
      <c r="AE665" s="308"/>
      <c r="AF665" s="313"/>
      <c r="AG665" s="304"/>
      <c r="AH665" s="308"/>
      <c r="AI665" s="313"/>
      <c r="AJ665" s="304"/>
      <c r="AK665" s="308"/>
      <c r="AL665" s="308"/>
      <c r="AM665" s="304"/>
      <c r="AN665" s="308"/>
      <c r="AO665" s="313"/>
      <c r="AP665" s="304"/>
      <c r="AQ665" s="308"/>
      <c r="AR665" s="313"/>
      <c r="AS665" s="304"/>
      <c r="AT665" s="308"/>
      <c r="AU665" s="308"/>
      <c r="AV665" s="304"/>
      <c r="AW665" s="308"/>
      <c r="AX665" s="308"/>
      <c r="AY665" s="304"/>
      <c r="AZ665" s="308"/>
      <c r="BA665" s="313"/>
      <c r="BB665" s="304"/>
      <c r="BC665" s="308"/>
      <c r="BD665" s="308"/>
    </row>
    <row r="666">
      <c r="A666" s="301"/>
      <c r="B666" s="301"/>
      <c r="C666" s="303"/>
      <c r="D666" s="301"/>
      <c r="E666" s="309"/>
      <c r="F666" s="301"/>
      <c r="G666" s="301"/>
      <c r="H666" s="309"/>
      <c r="I666" s="327"/>
      <c r="J666" s="328"/>
      <c r="K666" s="326"/>
      <c r="L666" s="309"/>
      <c r="M666" s="308"/>
      <c r="N666" s="309"/>
      <c r="O666" s="322"/>
      <c r="P666" s="308"/>
      <c r="Q666" s="311"/>
      <c r="R666" s="309"/>
      <c r="S666" s="308"/>
      <c r="T666" s="309"/>
      <c r="U666" s="309"/>
      <c r="V666" s="308"/>
      <c r="W666" s="309"/>
      <c r="X666" s="309"/>
      <c r="Y666" s="308"/>
      <c r="Z666" s="309"/>
      <c r="AA666" s="312"/>
      <c r="AB666" s="308"/>
      <c r="AC666" s="308"/>
      <c r="AD666" s="312"/>
      <c r="AE666" s="308"/>
      <c r="AF666" s="313"/>
      <c r="AG666" s="304"/>
      <c r="AH666" s="308"/>
      <c r="AI666" s="313"/>
      <c r="AJ666" s="304"/>
      <c r="AK666" s="308"/>
      <c r="AL666" s="308"/>
      <c r="AM666" s="304"/>
      <c r="AN666" s="308"/>
      <c r="AO666" s="313"/>
      <c r="AP666" s="304"/>
      <c r="AQ666" s="308"/>
      <c r="AR666" s="313"/>
      <c r="AS666" s="304"/>
      <c r="AT666" s="308"/>
      <c r="AU666" s="308"/>
      <c r="AV666" s="304"/>
      <c r="AW666" s="308"/>
      <c r="AX666" s="308"/>
      <c r="AY666" s="304"/>
      <c r="AZ666" s="308"/>
      <c r="BA666" s="313"/>
      <c r="BB666" s="304"/>
      <c r="BC666" s="308"/>
      <c r="BD666" s="308"/>
    </row>
    <row r="667">
      <c r="A667" s="301"/>
      <c r="B667" s="301"/>
      <c r="C667" s="303"/>
      <c r="D667" s="301"/>
      <c r="E667" s="309"/>
      <c r="F667" s="301"/>
      <c r="G667" s="301"/>
      <c r="H667" s="309"/>
      <c r="I667" s="327"/>
      <c r="J667" s="328"/>
      <c r="K667" s="326"/>
      <c r="L667" s="309"/>
      <c r="M667" s="308"/>
      <c r="N667" s="309"/>
      <c r="O667" s="322"/>
      <c r="P667" s="308"/>
      <c r="Q667" s="311"/>
      <c r="R667" s="309"/>
      <c r="S667" s="308"/>
      <c r="T667" s="309"/>
      <c r="U667" s="309"/>
      <c r="V667" s="308"/>
      <c r="W667" s="309"/>
      <c r="X667" s="309"/>
      <c r="Y667" s="308"/>
      <c r="Z667" s="309"/>
      <c r="AA667" s="312"/>
      <c r="AB667" s="308"/>
      <c r="AC667" s="308"/>
      <c r="AD667" s="312"/>
      <c r="AE667" s="308"/>
      <c r="AF667" s="313"/>
      <c r="AG667" s="304"/>
      <c r="AH667" s="308"/>
      <c r="AI667" s="313"/>
      <c r="AJ667" s="304"/>
      <c r="AK667" s="308"/>
      <c r="AL667" s="308"/>
      <c r="AM667" s="304"/>
      <c r="AN667" s="308"/>
      <c r="AO667" s="313"/>
      <c r="AP667" s="304"/>
      <c r="AQ667" s="308"/>
      <c r="AR667" s="313"/>
      <c r="AS667" s="304"/>
      <c r="AT667" s="308"/>
      <c r="AU667" s="308"/>
      <c r="AV667" s="304"/>
      <c r="AW667" s="308"/>
      <c r="AX667" s="308"/>
      <c r="AY667" s="304"/>
      <c r="AZ667" s="308"/>
      <c r="BA667" s="313"/>
      <c r="BB667" s="304"/>
      <c r="BC667" s="308"/>
      <c r="BD667" s="308"/>
    </row>
    <row r="668">
      <c r="A668" s="301"/>
      <c r="B668" s="301"/>
      <c r="C668" s="303"/>
      <c r="D668" s="301"/>
      <c r="E668" s="309"/>
      <c r="F668" s="301"/>
      <c r="G668" s="301"/>
      <c r="H668" s="309"/>
      <c r="I668" s="327"/>
      <c r="J668" s="328"/>
      <c r="K668" s="326"/>
      <c r="L668" s="309"/>
      <c r="M668" s="308"/>
      <c r="N668" s="309"/>
      <c r="O668" s="322"/>
      <c r="P668" s="308"/>
      <c r="Q668" s="311"/>
      <c r="R668" s="309"/>
      <c r="S668" s="308"/>
      <c r="T668" s="309"/>
      <c r="U668" s="309"/>
      <c r="V668" s="308"/>
      <c r="W668" s="309"/>
      <c r="X668" s="309"/>
      <c r="Y668" s="308"/>
      <c r="Z668" s="309"/>
      <c r="AA668" s="312"/>
      <c r="AB668" s="308"/>
      <c r="AC668" s="308"/>
      <c r="AD668" s="312"/>
      <c r="AE668" s="308"/>
      <c r="AF668" s="313"/>
      <c r="AG668" s="304"/>
      <c r="AH668" s="308"/>
      <c r="AI668" s="313"/>
      <c r="AJ668" s="304"/>
      <c r="AK668" s="308"/>
      <c r="AL668" s="308"/>
      <c r="AM668" s="304"/>
      <c r="AN668" s="308"/>
      <c r="AO668" s="313"/>
      <c r="AP668" s="304"/>
      <c r="AQ668" s="308"/>
      <c r="AR668" s="313"/>
      <c r="AS668" s="304"/>
      <c r="AT668" s="308"/>
      <c r="AU668" s="308"/>
      <c r="AV668" s="304"/>
      <c r="AW668" s="308"/>
      <c r="AX668" s="308"/>
      <c r="AY668" s="304"/>
      <c r="AZ668" s="308"/>
      <c r="BA668" s="313"/>
      <c r="BB668" s="304"/>
      <c r="BC668" s="308"/>
      <c r="BD668" s="308"/>
    </row>
    <row r="669">
      <c r="A669" s="301"/>
      <c r="B669" s="301"/>
      <c r="C669" s="303"/>
      <c r="D669" s="301"/>
      <c r="E669" s="309"/>
      <c r="F669" s="301"/>
      <c r="G669" s="301"/>
      <c r="H669" s="309"/>
      <c r="I669" s="327"/>
      <c r="J669" s="328"/>
      <c r="K669" s="326"/>
      <c r="L669" s="309"/>
      <c r="M669" s="308"/>
      <c r="N669" s="309"/>
      <c r="O669" s="322"/>
      <c r="P669" s="308"/>
      <c r="Q669" s="311"/>
      <c r="R669" s="309"/>
      <c r="S669" s="308"/>
      <c r="T669" s="309"/>
      <c r="U669" s="309"/>
      <c r="V669" s="308"/>
      <c r="W669" s="309"/>
      <c r="X669" s="309"/>
      <c r="Y669" s="308"/>
      <c r="Z669" s="309"/>
      <c r="AA669" s="312"/>
      <c r="AB669" s="308"/>
      <c r="AC669" s="308"/>
      <c r="AD669" s="312"/>
      <c r="AE669" s="308"/>
      <c r="AF669" s="313"/>
      <c r="AG669" s="304"/>
      <c r="AH669" s="308"/>
      <c r="AI669" s="313"/>
      <c r="AJ669" s="304"/>
      <c r="AK669" s="308"/>
      <c r="AL669" s="308"/>
      <c r="AM669" s="304"/>
      <c r="AN669" s="308"/>
      <c r="AO669" s="313"/>
      <c r="AP669" s="304"/>
      <c r="AQ669" s="308"/>
      <c r="AR669" s="313"/>
      <c r="AS669" s="304"/>
      <c r="AT669" s="308"/>
      <c r="AU669" s="308"/>
      <c r="AV669" s="304"/>
      <c r="AW669" s="308"/>
      <c r="AX669" s="308"/>
      <c r="AY669" s="304"/>
      <c r="AZ669" s="308"/>
      <c r="BA669" s="313"/>
      <c r="BB669" s="304"/>
      <c r="BC669" s="308"/>
      <c r="BD669" s="308"/>
    </row>
    <row r="670">
      <c r="A670" s="301"/>
      <c r="B670" s="301"/>
      <c r="C670" s="303"/>
      <c r="D670" s="301"/>
      <c r="E670" s="309"/>
      <c r="F670" s="301"/>
      <c r="G670" s="301"/>
      <c r="H670" s="309"/>
      <c r="I670" s="327"/>
      <c r="J670" s="328"/>
      <c r="K670" s="326"/>
      <c r="L670" s="309"/>
      <c r="M670" s="308"/>
      <c r="N670" s="309"/>
      <c r="O670" s="322"/>
      <c r="P670" s="308"/>
      <c r="Q670" s="311"/>
      <c r="R670" s="309"/>
      <c r="S670" s="308"/>
      <c r="T670" s="309"/>
      <c r="U670" s="309"/>
      <c r="V670" s="308"/>
      <c r="W670" s="309"/>
      <c r="X670" s="309"/>
      <c r="Y670" s="308"/>
      <c r="Z670" s="309"/>
      <c r="AA670" s="312"/>
      <c r="AB670" s="308"/>
      <c r="AC670" s="308"/>
      <c r="AD670" s="312"/>
      <c r="AE670" s="308"/>
      <c r="AF670" s="313"/>
      <c r="AG670" s="304"/>
      <c r="AH670" s="308"/>
      <c r="AI670" s="313"/>
      <c r="AJ670" s="304"/>
      <c r="AK670" s="308"/>
      <c r="AL670" s="308"/>
      <c r="AM670" s="304"/>
      <c r="AN670" s="308"/>
      <c r="AO670" s="313"/>
      <c r="AP670" s="304"/>
      <c r="AQ670" s="308"/>
      <c r="AR670" s="313"/>
      <c r="AS670" s="304"/>
      <c r="AT670" s="308"/>
      <c r="AU670" s="308"/>
      <c r="AV670" s="304"/>
      <c r="AW670" s="308"/>
      <c r="AX670" s="308"/>
      <c r="AY670" s="304"/>
      <c r="AZ670" s="308"/>
      <c r="BA670" s="313"/>
      <c r="BB670" s="304"/>
      <c r="BC670" s="308"/>
      <c r="BD670" s="308"/>
    </row>
    <row r="671">
      <c r="A671" s="301"/>
      <c r="B671" s="301"/>
      <c r="C671" s="303"/>
      <c r="D671" s="301"/>
      <c r="E671" s="309"/>
      <c r="F671" s="301"/>
      <c r="G671" s="301"/>
      <c r="H671" s="309"/>
      <c r="I671" s="327"/>
      <c r="J671" s="328"/>
      <c r="K671" s="326"/>
      <c r="L671" s="309"/>
      <c r="M671" s="308"/>
      <c r="N671" s="309"/>
      <c r="O671" s="322"/>
      <c r="P671" s="308"/>
      <c r="Q671" s="311"/>
      <c r="R671" s="309"/>
      <c r="S671" s="308"/>
      <c r="T671" s="309"/>
      <c r="U671" s="309"/>
      <c r="V671" s="308"/>
      <c r="W671" s="309"/>
      <c r="X671" s="309"/>
      <c r="Y671" s="308"/>
      <c r="Z671" s="309"/>
      <c r="AA671" s="312"/>
      <c r="AB671" s="308"/>
      <c r="AC671" s="308"/>
      <c r="AD671" s="312"/>
      <c r="AE671" s="308"/>
      <c r="AF671" s="313"/>
      <c r="AG671" s="304"/>
      <c r="AH671" s="308"/>
      <c r="AI671" s="313"/>
      <c r="AJ671" s="304"/>
      <c r="AK671" s="308"/>
      <c r="AL671" s="308"/>
      <c r="AM671" s="304"/>
      <c r="AN671" s="308"/>
      <c r="AO671" s="313"/>
      <c r="AP671" s="304"/>
      <c r="AQ671" s="308"/>
      <c r="AR671" s="313"/>
      <c r="AS671" s="304"/>
      <c r="AT671" s="308"/>
      <c r="AU671" s="308"/>
      <c r="AV671" s="304"/>
      <c r="AW671" s="308"/>
      <c r="AX671" s="308"/>
      <c r="AY671" s="304"/>
      <c r="AZ671" s="308"/>
      <c r="BA671" s="313"/>
      <c r="BB671" s="304"/>
      <c r="BC671" s="308"/>
      <c r="BD671" s="308"/>
    </row>
    <row r="672">
      <c r="A672" s="301"/>
      <c r="B672" s="301"/>
      <c r="C672" s="303"/>
      <c r="D672" s="301"/>
      <c r="E672" s="309"/>
      <c r="F672" s="301"/>
      <c r="G672" s="301"/>
      <c r="H672" s="309"/>
      <c r="I672" s="327"/>
      <c r="J672" s="328"/>
      <c r="K672" s="326"/>
      <c r="L672" s="309"/>
      <c r="M672" s="308"/>
      <c r="N672" s="309"/>
      <c r="O672" s="322"/>
      <c r="P672" s="308"/>
      <c r="Q672" s="311"/>
      <c r="R672" s="309"/>
      <c r="S672" s="308"/>
      <c r="T672" s="309"/>
      <c r="U672" s="309"/>
      <c r="V672" s="308"/>
      <c r="W672" s="309"/>
      <c r="X672" s="309"/>
      <c r="Y672" s="308"/>
      <c r="Z672" s="309"/>
      <c r="AA672" s="312"/>
      <c r="AB672" s="308"/>
      <c r="AC672" s="308"/>
      <c r="AD672" s="312"/>
      <c r="AE672" s="308"/>
      <c r="AF672" s="313"/>
      <c r="AG672" s="304"/>
      <c r="AH672" s="308"/>
      <c r="AI672" s="313"/>
      <c r="AJ672" s="304"/>
      <c r="AK672" s="308"/>
      <c r="AL672" s="308"/>
      <c r="AM672" s="304"/>
      <c r="AN672" s="308"/>
      <c r="AO672" s="313"/>
      <c r="AP672" s="304"/>
      <c r="AQ672" s="308"/>
      <c r="AR672" s="313"/>
      <c r="AS672" s="304"/>
      <c r="AT672" s="308"/>
      <c r="AU672" s="308"/>
      <c r="AV672" s="304"/>
      <c r="AW672" s="308"/>
      <c r="AX672" s="308"/>
      <c r="AY672" s="304"/>
      <c r="AZ672" s="308"/>
      <c r="BA672" s="313"/>
      <c r="BB672" s="304"/>
      <c r="BC672" s="308"/>
      <c r="BD672" s="308"/>
    </row>
    <row r="673">
      <c r="A673" s="301"/>
      <c r="B673" s="301"/>
      <c r="C673" s="303"/>
      <c r="D673" s="301"/>
      <c r="E673" s="309"/>
      <c r="F673" s="301"/>
      <c r="G673" s="301"/>
      <c r="H673" s="309"/>
      <c r="I673" s="327"/>
      <c r="J673" s="328"/>
      <c r="K673" s="326"/>
      <c r="L673" s="309"/>
      <c r="M673" s="308"/>
      <c r="N673" s="309"/>
      <c r="O673" s="322"/>
      <c r="P673" s="308"/>
      <c r="Q673" s="311"/>
      <c r="R673" s="309"/>
      <c r="S673" s="308"/>
      <c r="T673" s="309"/>
      <c r="U673" s="309"/>
      <c r="V673" s="308"/>
      <c r="W673" s="309"/>
      <c r="X673" s="309"/>
      <c r="Y673" s="308"/>
      <c r="Z673" s="309"/>
      <c r="AA673" s="312"/>
      <c r="AB673" s="308"/>
      <c r="AC673" s="308"/>
      <c r="AD673" s="312"/>
      <c r="AE673" s="308"/>
      <c r="AF673" s="313"/>
      <c r="AG673" s="304"/>
      <c r="AH673" s="308"/>
      <c r="AI673" s="313"/>
      <c r="AJ673" s="304"/>
      <c r="AK673" s="308"/>
      <c r="AL673" s="308"/>
      <c r="AM673" s="304"/>
      <c r="AN673" s="308"/>
      <c r="AO673" s="313"/>
      <c r="AP673" s="304"/>
      <c r="AQ673" s="308"/>
      <c r="AR673" s="313"/>
      <c r="AS673" s="304"/>
      <c r="AT673" s="308"/>
      <c r="AU673" s="308"/>
      <c r="AV673" s="304"/>
      <c r="AW673" s="308"/>
      <c r="AX673" s="308"/>
      <c r="AY673" s="304"/>
      <c r="AZ673" s="308"/>
      <c r="BA673" s="313"/>
      <c r="BB673" s="304"/>
      <c r="BC673" s="308"/>
      <c r="BD673" s="308"/>
    </row>
    <row r="674">
      <c r="A674" s="301"/>
      <c r="B674" s="301"/>
      <c r="C674" s="303"/>
      <c r="D674" s="301"/>
      <c r="E674" s="309"/>
      <c r="F674" s="301"/>
      <c r="G674" s="301"/>
      <c r="H674" s="309"/>
      <c r="I674" s="327"/>
      <c r="J674" s="328"/>
      <c r="K674" s="326"/>
      <c r="L674" s="309"/>
      <c r="M674" s="308"/>
      <c r="N674" s="309"/>
      <c r="O674" s="322"/>
      <c r="P674" s="308"/>
      <c r="Q674" s="311"/>
      <c r="R674" s="309"/>
      <c r="S674" s="308"/>
      <c r="T674" s="309"/>
      <c r="U674" s="309"/>
      <c r="V674" s="308"/>
      <c r="W674" s="309"/>
      <c r="X674" s="309"/>
      <c r="Y674" s="308"/>
      <c r="Z674" s="309"/>
      <c r="AA674" s="312"/>
      <c r="AB674" s="308"/>
      <c r="AC674" s="308"/>
      <c r="AD674" s="312"/>
      <c r="AE674" s="308"/>
      <c r="AF674" s="313"/>
      <c r="AG674" s="304"/>
      <c r="AH674" s="308"/>
      <c r="AI674" s="313"/>
      <c r="AJ674" s="304"/>
      <c r="AK674" s="308"/>
      <c r="AL674" s="308"/>
      <c r="AM674" s="304"/>
      <c r="AN674" s="308"/>
      <c r="AO674" s="313"/>
      <c r="AP674" s="304"/>
      <c r="AQ674" s="308"/>
      <c r="AR674" s="313"/>
      <c r="AS674" s="304"/>
      <c r="AT674" s="308"/>
      <c r="AU674" s="308"/>
      <c r="AV674" s="304"/>
      <c r="AW674" s="308"/>
      <c r="AX674" s="308"/>
      <c r="AY674" s="304"/>
      <c r="AZ674" s="308"/>
      <c r="BA674" s="313"/>
      <c r="BB674" s="304"/>
      <c r="BC674" s="308"/>
      <c r="BD674" s="308"/>
    </row>
    <row r="675">
      <c r="A675" s="301"/>
      <c r="B675" s="301"/>
      <c r="C675" s="303"/>
      <c r="D675" s="301"/>
      <c r="E675" s="309"/>
      <c r="F675" s="301"/>
      <c r="G675" s="301"/>
      <c r="H675" s="309"/>
      <c r="I675" s="327"/>
      <c r="J675" s="328"/>
      <c r="K675" s="326"/>
      <c r="L675" s="309"/>
      <c r="M675" s="308"/>
      <c r="N675" s="309"/>
      <c r="O675" s="322"/>
      <c r="P675" s="308"/>
      <c r="Q675" s="311"/>
      <c r="R675" s="309"/>
      <c r="S675" s="308"/>
      <c r="T675" s="309"/>
      <c r="U675" s="309"/>
      <c r="V675" s="308"/>
      <c r="W675" s="309"/>
      <c r="X675" s="309"/>
      <c r="Y675" s="308"/>
      <c r="Z675" s="309"/>
      <c r="AA675" s="312"/>
      <c r="AB675" s="308"/>
      <c r="AC675" s="308"/>
      <c r="AD675" s="312"/>
      <c r="AE675" s="308"/>
      <c r="AF675" s="313"/>
      <c r="AG675" s="304"/>
      <c r="AH675" s="308"/>
      <c r="AI675" s="313"/>
      <c r="AJ675" s="304"/>
      <c r="AK675" s="308"/>
      <c r="AL675" s="308"/>
      <c r="AM675" s="304"/>
      <c r="AN675" s="308"/>
      <c r="AO675" s="313"/>
      <c r="AP675" s="304"/>
      <c r="AQ675" s="308"/>
      <c r="AR675" s="313"/>
      <c r="AS675" s="304"/>
      <c r="AT675" s="308"/>
      <c r="AU675" s="308"/>
      <c r="AV675" s="304"/>
      <c r="AW675" s="308"/>
      <c r="AX675" s="308"/>
      <c r="AY675" s="304"/>
      <c r="AZ675" s="308"/>
      <c r="BA675" s="313"/>
      <c r="BB675" s="304"/>
      <c r="BC675" s="308"/>
      <c r="BD675" s="308"/>
    </row>
    <row r="676">
      <c r="A676" s="301"/>
      <c r="B676" s="301"/>
      <c r="C676" s="303"/>
      <c r="D676" s="301"/>
      <c r="E676" s="309"/>
      <c r="F676" s="301"/>
      <c r="G676" s="301"/>
      <c r="H676" s="309"/>
      <c r="I676" s="327"/>
      <c r="J676" s="328"/>
      <c r="K676" s="326"/>
      <c r="L676" s="309"/>
      <c r="M676" s="308"/>
      <c r="N676" s="309"/>
      <c r="O676" s="322"/>
      <c r="P676" s="308"/>
      <c r="Q676" s="311"/>
      <c r="R676" s="309"/>
      <c r="S676" s="308"/>
      <c r="T676" s="309"/>
      <c r="U676" s="309"/>
      <c r="V676" s="308"/>
      <c r="W676" s="309"/>
      <c r="X676" s="309"/>
      <c r="Y676" s="308"/>
      <c r="Z676" s="309"/>
      <c r="AA676" s="312"/>
      <c r="AB676" s="308"/>
      <c r="AC676" s="308"/>
      <c r="AD676" s="312"/>
      <c r="AE676" s="308"/>
      <c r="AF676" s="313"/>
      <c r="AG676" s="304"/>
      <c r="AH676" s="308"/>
      <c r="AI676" s="313"/>
      <c r="AJ676" s="304"/>
      <c r="AK676" s="308"/>
      <c r="AL676" s="308"/>
      <c r="AM676" s="304"/>
      <c r="AN676" s="308"/>
      <c r="AO676" s="313"/>
      <c r="AP676" s="304"/>
      <c r="AQ676" s="308"/>
      <c r="AR676" s="313"/>
      <c r="AS676" s="304"/>
      <c r="AT676" s="308"/>
      <c r="AU676" s="308"/>
      <c r="AV676" s="304"/>
      <c r="AW676" s="308"/>
      <c r="AX676" s="308"/>
      <c r="AY676" s="304"/>
      <c r="AZ676" s="308"/>
      <c r="BA676" s="313"/>
      <c r="BB676" s="304"/>
      <c r="BC676" s="308"/>
      <c r="BD676" s="308"/>
    </row>
    <row r="677">
      <c r="A677" s="301"/>
      <c r="B677" s="301"/>
      <c r="C677" s="303"/>
      <c r="D677" s="301"/>
      <c r="E677" s="309"/>
      <c r="F677" s="301"/>
      <c r="G677" s="301"/>
      <c r="H677" s="309"/>
      <c r="I677" s="327"/>
      <c r="J677" s="328"/>
      <c r="K677" s="326"/>
      <c r="L677" s="309"/>
      <c r="M677" s="308"/>
      <c r="N677" s="309"/>
      <c r="O677" s="322"/>
      <c r="P677" s="308"/>
      <c r="Q677" s="311"/>
      <c r="R677" s="309"/>
      <c r="S677" s="308"/>
      <c r="T677" s="309"/>
      <c r="U677" s="309"/>
      <c r="V677" s="308"/>
      <c r="W677" s="309"/>
      <c r="X677" s="309"/>
      <c r="Y677" s="308"/>
      <c r="Z677" s="309"/>
      <c r="AA677" s="312"/>
      <c r="AB677" s="308"/>
      <c r="AC677" s="308"/>
      <c r="AD677" s="312"/>
      <c r="AE677" s="308"/>
      <c r="AF677" s="313"/>
      <c r="AG677" s="304"/>
      <c r="AH677" s="308"/>
      <c r="AI677" s="313"/>
      <c r="AJ677" s="304"/>
      <c r="AK677" s="308"/>
      <c r="AL677" s="308"/>
      <c r="AM677" s="304"/>
      <c r="AN677" s="308"/>
      <c r="AO677" s="313"/>
      <c r="AP677" s="304"/>
      <c r="AQ677" s="308"/>
      <c r="AR677" s="313"/>
      <c r="AS677" s="304"/>
      <c r="AT677" s="308"/>
      <c r="AU677" s="308"/>
      <c r="AV677" s="304"/>
      <c r="AW677" s="308"/>
      <c r="AX677" s="308"/>
      <c r="AY677" s="304"/>
      <c r="AZ677" s="308"/>
      <c r="BA677" s="313"/>
      <c r="BB677" s="304"/>
      <c r="BC677" s="308"/>
      <c r="BD677" s="308"/>
    </row>
    <row r="678">
      <c r="A678" s="301"/>
      <c r="B678" s="301"/>
      <c r="C678" s="303"/>
      <c r="D678" s="301"/>
      <c r="E678" s="309"/>
      <c r="F678" s="301"/>
      <c r="G678" s="301"/>
      <c r="H678" s="309"/>
      <c r="I678" s="327"/>
      <c r="J678" s="328"/>
      <c r="K678" s="326"/>
      <c r="L678" s="309"/>
      <c r="M678" s="308"/>
      <c r="N678" s="309"/>
      <c r="O678" s="322"/>
      <c r="P678" s="308"/>
      <c r="Q678" s="311"/>
      <c r="R678" s="309"/>
      <c r="S678" s="308"/>
      <c r="T678" s="309"/>
      <c r="U678" s="309"/>
      <c r="V678" s="308"/>
      <c r="W678" s="309"/>
      <c r="X678" s="309"/>
      <c r="Y678" s="308"/>
      <c r="Z678" s="309"/>
      <c r="AA678" s="312"/>
      <c r="AB678" s="308"/>
      <c r="AC678" s="308"/>
      <c r="AD678" s="312"/>
      <c r="AE678" s="308"/>
      <c r="AF678" s="313"/>
      <c r="AG678" s="304"/>
      <c r="AH678" s="308"/>
      <c r="AI678" s="313"/>
      <c r="AJ678" s="304"/>
      <c r="AK678" s="308"/>
      <c r="AL678" s="308"/>
      <c r="AM678" s="304"/>
      <c r="AN678" s="308"/>
      <c r="AO678" s="313"/>
      <c r="AP678" s="304"/>
      <c r="AQ678" s="308"/>
      <c r="AR678" s="313"/>
      <c r="AS678" s="304"/>
      <c r="AT678" s="308"/>
      <c r="AU678" s="308"/>
      <c r="AV678" s="304"/>
      <c r="AW678" s="308"/>
      <c r="AX678" s="308"/>
      <c r="AY678" s="304"/>
      <c r="AZ678" s="308"/>
      <c r="BA678" s="313"/>
      <c r="BB678" s="304"/>
      <c r="BC678" s="308"/>
      <c r="BD678" s="308"/>
    </row>
    <row r="679">
      <c r="A679" s="301"/>
      <c r="B679" s="301"/>
      <c r="C679" s="303"/>
      <c r="D679" s="301"/>
      <c r="E679" s="309"/>
      <c r="F679" s="301"/>
      <c r="G679" s="301"/>
      <c r="H679" s="309"/>
      <c r="I679" s="327"/>
      <c r="J679" s="328"/>
      <c r="K679" s="326"/>
      <c r="L679" s="309"/>
      <c r="M679" s="308"/>
      <c r="N679" s="309"/>
      <c r="O679" s="322"/>
      <c r="P679" s="308"/>
      <c r="Q679" s="311"/>
      <c r="R679" s="309"/>
      <c r="S679" s="308"/>
      <c r="T679" s="309"/>
      <c r="U679" s="309"/>
      <c r="V679" s="308"/>
      <c r="W679" s="309"/>
      <c r="X679" s="309"/>
      <c r="Y679" s="308"/>
      <c r="Z679" s="309"/>
      <c r="AA679" s="312"/>
      <c r="AB679" s="308"/>
      <c r="AC679" s="308"/>
      <c r="AD679" s="312"/>
      <c r="AE679" s="308"/>
      <c r="AF679" s="313"/>
      <c r="AG679" s="304"/>
      <c r="AH679" s="308"/>
      <c r="AI679" s="313"/>
      <c r="AJ679" s="304"/>
      <c r="AK679" s="308"/>
      <c r="AL679" s="308"/>
      <c r="AM679" s="304"/>
      <c r="AN679" s="308"/>
      <c r="AO679" s="313"/>
      <c r="AP679" s="304"/>
      <c r="AQ679" s="308"/>
      <c r="AR679" s="313"/>
      <c r="AS679" s="304"/>
      <c r="AT679" s="308"/>
      <c r="AU679" s="308"/>
      <c r="AV679" s="304"/>
      <c r="AW679" s="308"/>
      <c r="AX679" s="308"/>
      <c r="AY679" s="304"/>
      <c r="AZ679" s="308"/>
      <c r="BA679" s="313"/>
      <c r="BB679" s="304"/>
      <c r="BC679" s="308"/>
      <c r="BD679" s="308"/>
    </row>
    <row r="680">
      <c r="A680" s="301"/>
      <c r="B680" s="301"/>
      <c r="C680" s="303"/>
      <c r="D680" s="301"/>
      <c r="E680" s="309"/>
      <c r="F680" s="301"/>
      <c r="G680" s="301"/>
      <c r="H680" s="309"/>
      <c r="I680" s="327"/>
      <c r="J680" s="328"/>
      <c r="K680" s="326"/>
      <c r="L680" s="309"/>
      <c r="M680" s="308"/>
      <c r="N680" s="309"/>
      <c r="O680" s="322"/>
      <c r="P680" s="308"/>
      <c r="Q680" s="311"/>
      <c r="R680" s="309"/>
      <c r="S680" s="308"/>
      <c r="T680" s="309"/>
      <c r="U680" s="309"/>
      <c r="V680" s="308"/>
      <c r="W680" s="309"/>
      <c r="X680" s="309"/>
      <c r="Y680" s="308"/>
      <c r="Z680" s="309"/>
      <c r="AA680" s="312"/>
      <c r="AB680" s="308"/>
      <c r="AC680" s="308"/>
      <c r="AD680" s="312"/>
      <c r="AE680" s="308"/>
      <c r="AF680" s="313"/>
      <c r="AG680" s="304"/>
      <c r="AH680" s="308"/>
      <c r="AI680" s="313"/>
      <c r="AJ680" s="304"/>
      <c r="AK680" s="308"/>
      <c r="AL680" s="308"/>
      <c r="AM680" s="304"/>
      <c r="AN680" s="308"/>
      <c r="AO680" s="313"/>
      <c r="AP680" s="304"/>
      <c r="AQ680" s="308"/>
      <c r="AR680" s="313"/>
      <c r="AS680" s="304"/>
      <c r="AT680" s="308"/>
      <c r="AU680" s="308"/>
      <c r="AV680" s="304"/>
      <c r="AW680" s="308"/>
      <c r="AX680" s="308"/>
      <c r="AY680" s="304"/>
      <c r="AZ680" s="308"/>
      <c r="BA680" s="313"/>
      <c r="BB680" s="304"/>
      <c r="BC680" s="308"/>
      <c r="BD680" s="308"/>
    </row>
    <row r="681">
      <c r="A681" s="301"/>
      <c r="B681" s="301"/>
      <c r="C681" s="303"/>
      <c r="D681" s="301"/>
      <c r="E681" s="309"/>
      <c r="F681" s="301"/>
      <c r="G681" s="301"/>
      <c r="H681" s="309"/>
      <c r="I681" s="327"/>
      <c r="J681" s="328"/>
      <c r="K681" s="326"/>
      <c r="L681" s="309"/>
      <c r="M681" s="308"/>
      <c r="N681" s="309"/>
      <c r="O681" s="322"/>
      <c r="P681" s="308"/>
      <c r="Q681" s="311"/>
      <c r="R681" s="309"/>
      <c r="S681" s="308"/>
      <c r="T681" s="309"/>
      <c r="U681" s="309"/>
      <c r="V681" s="308"/>
      <c r="W681" s="309"/>
      <c r="X681" s="309"/>
      <c r="Y681" s="308"/>
      <c r="Z681" s="309"/>
      <c r="AA681" s="312"/>
      <c r="AB681" s="308"/>
      <c r="AC681" s="308"/>
      <c r="AD681" s="312"/>
      <c r="AE681" s="308"/>
      <c r="AF681" s="313"/>
      <c r="AG681" s="304"/>
      <c r="AH681" s="308"/>
      <c r="AI681" s="313"/>
      <c r="AJ681" s="304"/>
      <c r="AK681" s="308"/>
      <c r="AL681" s="308"/>
      <c r="AM681" s="304"/>
      <c r="AN681" s="308"/>
      <c r="AO681" s="313"/>
      <c r="AP681" s="304"/>
      <c r="AQ681" s="308"/>
      <c r="AR681" s="313"/>
      <c r="AS681" s="304"/>
      <c r="AT681" s="308"/>
      <c r="AU681" s="308"/>
      <c r="AV681" s="304"/>
      <c r="AW681" s="308"/>
      <c r="AX681" s="308"/>
      <c r="AY681" s="304"/>
      <c r="AZ681" s="308"/>
      <c r="BA681" s="313"/>
      <c r="BB681" s="304"/>
      <c r="BC681" s="308"/>
      <c r="BD681" s="308"/>
    </row>
    <row r="682">
      <c r="A682" s="301"/>
      <c r="B682" s="301"/>
      <c r="C682" s="303"/>
      <c r="D682" s="301"/>
      <c r="E682" s="309"/>
      <c r="F682" s="301"/>
      <c r="G682" s="301"/>
      <c r="H682" s="309"/>
      <c r="I682" s="327"/>
      <c r="J682" s="328"/>
      <c r="K682" s="326"/>
      <c r="L682" s="309"/>
      <c r="M682" s="308"/>
      <c r="N682" s="309"/>
      <c r="O682" s="322"/>
      <c r="P682" s="308"/>
      <c r="Q682" s="311"/>
      <c r="R682" s="309"/>
      <c r="S682" s="308"/>
      <c r="T682" s="309"/>
      <c r="U682" s="309"/>
      <c r="V682" s="308"/>
      <c r="W682" s="309"/>
      <c r="X682" s="309"/>
      <c r="Y682" s="308"/>
      <c r="Z682" s="309"/>
      <c r="AA682" s="312"/>
      <c r="AB682" s="308"/>
      <c r="AC682" s="308"/>
      <c r="AD682" s="312"/>
      <c r="AE682" s="308"/>
      <c r="AF682" s="313"/>
      <c r="AG682" s="304"/>
      <c r="AH682" s="308"/>
      <c r="AI682" s="313"/>
      <c r="AJ682" s="304"/>
      <c r="AK682" s="308"/>
      <c r="AL682" s="308"/>
      <c r="AM682" s="304"/>
      <c r="AN682" s="308"/>
      <c r="AO682" s="313"/>
      <c r="AP682" s="304"/>
      <c r="AQ682" s="308"/>
      <c r="AR682" s="313"/>
      <c r="AS682" s="304"/>
      <c r="AT682" s="308"/>
      <c r="AU682" s="308"/>
      <c r="AV682" s="304"/>
      <c r="AW682" s="308"/>
      <c r="AX682" s="308"/>
      <c r="AY682" s="304"/>
      <c r="AZ682" s="308"/>
      <c r="BA682" s="313"/>
      <c r="BB682" s="304"/>
      <c r="BC682" s="308"/>
      <c r="BD682" s="308"/>
    </row>
    <row r="683">
      <c r="A683" s="301"/>
      <c r="B683" s="301"/>
      <c r="C683" s="303"/>
      <c r="D683" s="301"/>
      <c r="E683" s="309"/>
      <c r="F683" s="301"/>
      <c r="G683" s="301"/>
      <c r="H683" s="309"/>
      <c r="I683" s="327"/>
      <c r="J683" s="328"/>
      <c r="K683" s="326"/>
      <c r="L683" s="309"/>
      <c r="M683" s="308"/>
      <c r="N683" s="309"/>
      <c r="O683" s="322"/>
      <c r="P683" s="308"/>
      <c r="Q683" s="311"/>
      <c r="R683" s="309"/>
      <c r="S683" s="308"/>
      <c r="T683" s="309"/>
      <c r="U683" s="309"/>
      <c r="V683" s="308"/>
      <c r="W683" s="309"/>
      <c r="X683" s="309"/>
      <c r="Y683" s="308"/>
      <c r="Z683" s="309"/>
      <c r="AA683" s="312"/>
      <c r="AB683" s="308"/>
      <c r="AC683" s="308"/>
      <c r="AD683" s="312"/>
      <c r="AE683" s="308"/>
      <c r="AF683" s="313"/>
      <c r="AG683" s="304"/>
      <c r="AH683" s="308"/>
      <c r="AI683" s="313"/>
      <c r="AJ683" s="304"/>
      <c r="AK683" s="308"/>
      <c r="AL683" s="308"/>
      <c r="AM683" s="304"/>
      <c r="AN683" s="308"/>
      <c r="AO683" s="313"/>
      <c r="AP683" s="304"/>
      <c r="AQ683" s="308"/>
      <c r="AR683" s="313"/>
      <c r="AS683" s="304"/>
      <c r="AT683" s="308"/>
      <c r="AU683" s="308"/>
      <c r="AV683" s="304"/>
      <c r="AW683" s="308"/>
      <c r="AX683" s="308"/>
      <c r="AY683" s="304"/>
      <c r="AZ683" s="308"/>
      <c r="BA683" s="313"/>
      <c r="BB683" s="304"/>
      <c r="BC683" s="308"/>
      <c r="BD683" s="308"/>
    </row>
    <row r="684">
      <c r="A684" s="301"/>
      <c r="B684" s="301"/>
      <c r="C684" s="303"/>
      <c r="D684" s="301"/>
      <c r="E684" s="309"/>
      <c r="F684" s="301"/>
      <c r="G684" s="301"/>
      <c r="H684" s="309"/>
      <c r="I684" s="327"/>
      <c r="J684" s="328"/>
      <c r="K684" s="326"/>
      <c r="L684" s="309"/>
      <c r="M684" s="308"/>
      <c r="N684" s="309"/>
      <c r="O684" s="322"/>
      <c r="P684" s="308"/>
      <c r="Q684" s="311"/>
      <c r="R684" s="309"/>
      <c r="S684" s="308"/>
      <c r="T684" s="309"/>
      <c r="U684" s="309"/>
      <c r="V684" s="308"/>
      <c r="W684" s="309"/>
      <c r="X684" s="309"/>
      <c r="Y684" s="308"/>
      <c r="Z684" s="309"/>
      <c r="AA684" s="312"/>
      <c r="AB684" s="308"/>
      <c r="AC684" s="308"/>
      <c r="AD684" s="312"/>
      <c r="AE684" s="308"/>
      <c r="AF684" s="313"/>
      <c r="AG684" s="304"/>
      <c r="AH684" s="308"/>
      <c r="AI684" s="313"/>
      <c r="AJ684" s="304"/>
      <c r="AK684" s="308"/>
      <c r="AL684" s="308"/>
      <c r="AM684" s="304"/>
      <c r="AN684" s="308"/>
      <c r="AO684" s="313"/>
      <c r="AP684" s="304"/>
      <c r="AQ684" s="308"/>
      <c r="AR684" s="313"/>
      <c r="AS684" s="304"/>
      <c r="AT684" s="308"/>
      <c r="AU684" s="308"/>
      <c r="AV684" s="304"/>
      <c r="AW684" s="308"/>
      <c r="AX684" s="308"/>
      <c r="AY684" s="304"/>
      <c r="AZ684" s="308"/>
      <c r="BA684" s="313"/>
      <c r="BB684" s="304"/>
      <c r="BC684" s="308"/>
      <c r="BD684" s="308"/>
    </row>
    <row r="685">
      <c r="A685" s="301"/>
      <c r="B685" s="301"/>
      <c r="C685" s="303"/>
      <c r="D685" s="301"/>
      <c r="E685" s="309"/>
      <c r="F685" s="301"/>
      <c r="G685" s="301"/>
      <c r="H685" s="309"/>
      <c r="I685" s="327"/>
      <c r="J685" s="328"/>
      <c r="K685" s="326"/>
      <c r="L685" s="309"/>
      <c r="M685" s="308"/>
      <c r="N685" s="309"/>
      <c r="O685" s="322"/>
      <c r="P685" s="308"/>
      <c r="Q685" s="311"/>
      <c r="R685" s="309"/>
      <c r="S685" s="308"/>
      <c r="T685" s="309"/>
      <c r="U685" s="309"/>
      <c r="V685" s="308"/>
      <c r="W685" s="309"/>
      <c r="X685" s="309"/>
      <c r="Y685" s="308"/>
      <c r="Z685" s="309"/>
      <c r="AA685" s="312"/>
      <c r="AB685" s="308"/>
      <c r="AC685" s="308"/>
      <c r="AD685" s="312"/>
      <c r="AE685" s="308"/>
      <c r="AF685" s="313"/>
      <c r="AG685" s="304"/>
      <c r="AH685" s="308"/>
      <c r="AI685" s="313"/>
      <c r="AJ685" s="304"/>
      <c r="AK685" s="308"/>
      <c r="AL685" s="308"/>
      <c r="AM685" s="304"/>
      <c r="AN685" s="308"/>
      <c r="AO685" s="313"/>
      <c r="AP685" s="304"/>
      <c r="AQ685" s="308"/>
      <c r="AR685" s="313"/>
      <c r="AS685" s="304"/>
      <c r="AT685" s="308"/>
      <c r="AU685" s="308"/>
      <c r="AV685" s="304"/>
      <c r="AW685" s="308"/>
      <c r="AX685" s="308"/>
      <c r="AY685" s="304"/>
      <c r="AZ685" s="308"/>
      <c r="BA685" s="313"/>
      <c r="BB685" s="304"/>
      <c r="BC685" s="308"/>
      <c r="BD685" s="308"/>
    </row>
    <row r="686">
      <c r="A686" s="301"/>
      <c r="B686" s="301"/>
      <c r="C686" s="303"/>
      <c r="D686" s="301"/>
      <c r="E686" s="309"/>
      <c r="F686" s="301"/>
      <c r="G686" s="301"/>
      <c r="H686" s="309"/>
      <c r="I686" s="327"/>
      <c r="J686" s="328"/>
      <c r="K686" s="326"/>
      <c r="L686" s="309"/>
      <c r="M686" s="308"/>
      <c r="N686" s="309"/>
      <c r="O686" s="322"/>
      <c r="P686" s="308"/>
      <c r="Q686" s="311"/>
      <c r="R686" s="309"/>
      <c r="S686" s="308"/>
      <c r="T686" s="309"/>
      <c r="U686" s="309"/>
      <c r="V686" s="308"/>
      <c r="W686" s="309"/>
      <c r="X686" s="309"/>
      <c r="Y686" s="308"/>
      <c r="Z686" s="309"/>
      <c r="AA686" s="312"/>
      <c r="AB686" s="308"/>
      <c r="AC686" s="308"/>
      <c r="AD686" s="312"/>
      <c r="AE686" s="308"/>
      <c r="AF686" s="313"/>
      <c r="AG686" s="304"/>
      <c r="AH686" s="308"/>
      <c r="AI686" s="313"/>
      <c r="AJ686" s="304"/>
      <c r="AK686" s="308"/>
      <c r="AL686" s="308"/>
      <c r="AM686" s="304"/>
      <c r="AN686" s="308"/>
      <c r="AO686" s="313"/>
      <c r="AP686" s="304"/>
      <c r="AQ686" s="308"/>
      <c r="AR686" s="313"/>
      <c r="AS686" s="304"/>
      <c r="AT686" s="308"/>
      <c r="AU686" s="308"/>
      <c r="AV686" s="304"/>
      <c r="AW686" s="308"/>
      <c r="AX686" s="308"/>
      <c r="AY686" s="304"/>
      <c r="AZ686" s="308"/>
      <c r="BA686" s="313"/>
      <c r="BB686" s="304"/>
      <c r="BC686" s="308"/>
      <c r="BD686" s="308"/>
    </row>
    <row r="687">
      <c r="A687" s="301"/>
      <c r="B687" s="301"/>
      <c r="C687" s="303"/>
      <c r="D687" s="301"/>
      <c r="E687" s="309"/>
      <c r="F687" s="301"/>
      <c r="G687" s="301"/>
      <c r="H687" s="309"/>
      <c r="I687" s="327"/>
      <c r="J687" s="328"/>
      <c r="K687" s="326"/>
      <c r="L687" s="309"/>
      <c r="M687" s="308"/>
      <c r="N687" s="309"/>
      <c r="O687" s="322"/>
      <c r="P687" s="308"/>
      <c r="Q687" s="311"/>
      <c r="R687" s="309"/>
      <c r="S687" s="308"/>
      <c r="T687" s="309"/>
      <c r="U687" s="309"/>
      <c r="V687" s="308"/>
      <c r="W687" s="309"/>
      <c r="X687" s="309"/>
      <c r="Y687" s="308"/>
      <c r="Z687" s="309"/>
      <c r="AA687" s="312"/>
      <c r="AB687" s="308"/>
      <c r="AC687" s="308"/>
      <c r="AD687" s="312"/>
      <c r="AE687" s="308"/>
      <c r="AF687" s="313"/>
      <c r="AG687" s="304"/>
      <c r="AH687" s="308"/>
      <c r="AI687" s="313"/>
      <c r="AJ687" s="304"/>
      <c r="AK687" s="308"/>
      <c r="AL687" s="308"/>
      <c r="AM687" s="304"/>
      <c r="AN687" s="308"/>
      <c r="AO687" s="313"/>
      <c r="AP687" s="304"/>
      <c r="AQ687" s="308"/>
      <c r="AR687" s="313"/>
      <c r="AS687" s="304"/>
      <c r="AT687" s="308"/>
      <c r="AU687" s="308"/>
      <c r="AV687" s="304"/>
      <c r="AW687" s="308"/>
      <c r="AX687" s="308"/>
      <c r="AY687" s="304"/>
      <c r="AZ687" s="308"/>
      <c r="BA687" s="313"/>
      <c r="BB687" s="304"/>
      <c r="BC687" s="308"/>
      <c r="BD687" s="308"/>
    </row>
    <row r="688">
      <c r="A688" s="301"/>
      <c r="B688" s="301"/>
      <c r="C688" s="303"/>
      <c r="D688" s="301"/>
      <c r="E688" s="309"/>
      <c r="F688" s="301"/>
      <c r="G688" s="301"/>
      <c r="H688" s="309"/>
      <c r="I688" s="327"/>
      <c r="J688" s="328"/>
      <c r="K688" s="326"/>
      <c r="L688" s="309"/>
      <c r="M688" s="308"/>
      <c r="N688" s="309"/>
      <c r="O688" s="322"/>
      <c r="P688" s="308"/>
      <c r="Q688" s="311"/>
      <c r="R688" s="309"/>
      <c r="S688" s="308"/>
      <c r="T688" s="309"/>
      <c r="U688" s="309"/>
      <c r="V688" s="308"/>
      <c r="W688" s="309"/>
      <c r="X688" s="309"/>
      <c r="Y688" s="308"/>
      <c r="Z688" s="309"/>
      <c r="AA688" s="312"/>
      <c r="AB688" s="308"/>
      <c r="AC688" s="308"/>
      <c r="AD688" s="312"/>
      <c r="AE688" s="308"/>
      <c r="AF688" s="313"/>
      <c r="AG688" s="304"/>
      <c r="AH688" s="308"/>
      <c r="AI688" s="313"/>
      <c r="AJ688" s="304"/>
      <c r="AK688" s="308"/>
      <c r="AL688" s="308"/>
      <c r="AM688" s="304"/>
      <c r="AN688" s="308"/>
      <c r="AO688" s="313"/>
      <c r="AP688" s="304"/>
      <c r="AQ688" s="308"/>
      <c r="AR688" s="313"/>
      <c r="AS688" s="304"/>
      <c r="AT688" s="308"/>
      <c r="AU688" s="308"/>
      <c r="AV688" s="304"/>
      <c r="AW688" s="308"/>
      <c r="AX688" s="308"/>
      <c r="AY688" s="304"/>
      <c r="AZ688" s="308"/>
      <c r="BA688" s="313"/>
      <c r="BB688" s="304"/>
      <c r="BC688" s="308"/>
      <c r="BD688" s="308"/>
    </row>
    <row r="689">
      <c r="A689" s="301"/>
      <c r="B689" s="301"/>
      <c r="C689" s="303"/>
      <c r="D689" s="301"/>
      <c r="E689" s="309"/>
      <c r="F689" s="301"/>
      <c r="G689" s="301"/>
      <c r="H689" s="309"/>
      <c r="I689" s="327"/>
      <c r="J689" s="328"/>
      <c r="K689" s="326"/>
      <c r="L689" s="309"/>
      <c r="M689" s="308"/>
      <c r="N689" s="309"/>
      <c r="O689" s="322"/>
      <c r="P689" s="308"/>
      <c r="Q689" s="311"/>
      <c r="R689" s="309"/>
      <c r="S689" s="308"/>
      <c r="T689" s="309"/>
      <c r="U689" s="309"/>
      <c r="V689" s="308"/>
      <c r="W689" s="309"/>
      <c r="X689" s="309"/>
      <c r="Y689" s="308"/>
      <c r="Z689" s="309"/>
      <c r="AA689" s="312"/>
      <c r="AB689" s="308"/>
      <c r="AC689" s="308"/>
      <c r="AD689" s="312"/>
      <c r="AE689" s="308"/>
      <c r="AF689" s="313"/>
      <c r="AG689" s="304"/>
      <c r="AH689" s="308"/>
      <c r="AI689" s="313"/>
      <c r="AJ689" s="304"/>
      <c r="AK689" s="308"/>
      <c r="AL689" s="308"/>
      <c r="AM689" s="304"/>
      <c r="AN689" s="308"/>
      <c r="AO689" s="313"/>
      <c r="AP689" s="304"/>
      <c r="AQ689" s="308"/>
      <c r="AR689" s="313"/>
      <c r="AS689" s="304"/>
      <c r="AT689" s="308"/>
      <c r="AU689" s="308"/>
      <c r="AV689" s="304"/>
      <c r="AW689" s="308"/>
      <c r="AX689" s="308"/>
      <c r="AY689" s="304"/>
      <c r="AZ689" s="308"/>
      <c r="BA689" s="313"/>
      <c r="BB689" s="304"/>
      <c r="BC689" s="308"/>
      <c r="BD689" s="308"/>
    </row>
    <row r="690">
      <c r="A690" s="301"/>
      <c r="B690" s="301"/>
      <c r="C690" s="303"/>
      <c r="D690" s="301"/>
      <c r="E690" s="309"/>
      <c r="F690" s="301"/>
      <c r="G690" s="301"/>
      <c r="H690" s="309"/>
      <c r="I690" s="327"/>
      <c r="J690" s="328"/>
      <c r="K690" s="326"/>
      <c r="L690" s="309"/>
      <c r="M690" s="308"/>
      <c r="N690" s="309"/>
      <c r="O690" s="322"/>
      <c r="P690" s="308"/>
      <c r="Q690" s="311"/>
      <c r="R690" s="309"/>
      <c r="S690" s="308"/>
      <c r="T690" s="309"/>
      <c r="U690" s="309"/>
      <c r="V690" s="308"/>
      <c r="W690" s="309"/>
      <c r="X690" s="309"/>
      <c r="Y690" s="308"/>
      <c r="Z690" s="309"/>
      <c r="AA690" s="312"/>
      <c r="AB690" s="308"/>
      <c r="AC690" s="308"/>
      <c r="AD690" s="312"/>
      <c r="AE690" s="308"/>
      <c r="AF690" s="313"/>
      <c r="AG690" s="304"/>
      <c r="AH690" s="308"/>
      <c r="AI690" s="313"/>
      <c r="AJ690" s="304"/>
      <c r="AK690" s="308"/>
      <c r="AL690" s="308"/>
      <c r="AM690" s="304"/>
      <c r="AN690" s="308"/>
      <c r="AO690" s="313"/>
      <c r="AP690" s="304"/>
      <c r="AQ690" s="308"/>
      <c r="AR690" s="313"/>
      <c r="AS690" s="304"/>
      <c r="AT690" s="308"/>
      <c r="AU690" s="308"/>
      <c r="AV690" s="304"/>
      <c r="AW690" s="308"/>
      <c r="AX690" s="308"/>
      <c r="AY690" s="304"/>
      <c r="AZ690" s="308"/>
      <c r="BA690" s="313"/>
      <c r="BB690" s="304"/>
      <c r="BC690" s="308"/>
      <c r="BD690" s="308"/>
    </row>
    <row r="691">
      <c r="A691" s="301"/>
      <c r="B691" s="301"/>
      <c r="C691" s="303"/>
      <c r="D691" s="301"/>
      <c r="E691" s="309"/>
      <c r="F691" s="301"/>
      <c r="G691" s="301"/>
      <c r="H691" s="309"/>
      <c r="I691" s="327"/>
      <c r="J691" s="328"/>
      <c r="K691" s="326"/>
      <c r="L691" s="309"/>
      <c r="M691" s="308"/>
      <c r="N691" s="309"/>
      <c r="O691" s="322"/>
      <c r="P691" s="308"/>
      <c r="Q691" s="311"/>
      <c r="R691" s="309"/>
      <c r="S691" s="308"/>
      <c r="T691" s="309"/>
      <c r="U691" s="309"/>
      <c r="V691" s="308"/>
      <c r="W691" s="309"/>
      <c r="X691" s="309"/>
      <c r="Y691" s="308"/>
      <c r="Z691" s="309"/>
      <c r="AA691" s="312"/>
      <c r="AB691" s="308"/>
      <c r="AC691" s="308"/>
      <c r="AD691" s="312"/>
      <c r="AE691" s="308"/>
      <c r="AF691" s="313"/>
      <c r="AG691" s="304"/>
      <c r="AH691" s="308"/>
      <c r="AI691" s="313"/>
      <c r="AJ691" s="304"/>
      <c r="AK691" s="308"/>
      <c r="AL691" s="308"/>
      <c r="AM691" s="304"/>
      <c r="AN691" s="308"/>
      <c r="AO691" s="313"/>
      <c r="AP691" s="304"/>
      <c r="AQ691" s="308"/>
      <c r="AR691" s="313"/>
      <c r="AS691" s="304"/>
      <c r="AT691" s="308"/>
      <c r="AU691" s="308"/>
      <c r="AV691" s="304"/>
      <c r="AW691" s="308"/>
      <c r="AX691" s="308"/>
      <c r="AY691" s="304"/>
      <c r="AZ691" s="308"/>
      <c r="BA691" s="313"/>
      <c r="BB691" s="304"/>
      <c r="BC691" s="308"/>
      <c r="BD691" s="308"/>
    </row>
    <row r="692">
      <c r="A692" s="301"/>
      <c r="B692" s="301"/>
      <c r="C692" s="303"/>
      <c r="D692" s="301"/>
      <c r="E692" s="309"/>
      <c r="F692" s="301"/>
      <c r="G692" s="301"/>
      <c r="H692" s="309"/>
      <c r="I692" s="327"/>
      <c r="J692" s="328"/>
      <c r="K692" s="326"/>
      <c r="L692" s="309"/>
      <c r="M692" s="308"/>
      <c r="N692" s="309"/>
      <c r="O692" s="322"/>
      <c r="P692" s="308"/>
      <c r="Q692" s="311"/>
      <c r="R692" s="309"/>
      <c r="S692" s="308"/>
      <c r="T692" s="309"/>
      <c r="U692" s="309"/>
      <c r="V692" s="308"/>
      <c r="W692" s="309"/>
      <c r="X692" s="309"/>
      <c r="Y692" s="308"/>
      <c r="Z692" s="309"/>
      <c r="AA692" s="312"/>
      <c r="AB692" s="308"/>
      <c r="AC692" s="308"/>
      <c r="AD692" s="312"/>
      <c r="AE692" s="308"/>
      <c r="AF692" s="313"/>
      <c r="AG692" s="304"/>
      <c r="AH692" s="308"/>
      <c r="AI692" s="313"/>
      <c r="AJ692" s="304"/>
      <c r="AK692" s="308"/>
      <c r="AL692" s="308"/>
      <c r="AM692" s="304"/>
      <c r="AN692" s="308"/>
      <c r="AO692" s="313"/>
      <c r="AP692" s="304"/>
      <c r="AQ692" s="308"/>
      <c r="AR692" s="313"/>
      <c r="AS692" s="304"/>
      <c r="AT692" s="308"/>
      <c r="AU692" s="308"/>
      <c r="AV692" s="304"/>
      <c r="AW692" s="308"/>
      <c r="AX692" s="308"/>
      <c r="AY692" s="304"/>
      <c r="AZ692" s="308"/>
      <c r="BA692" s="313"/>
      <c r="BB692" s="304"/>
      <c r="BC692" s="308"/>
      <c r="BD692" s="308"/>
    </row>
    <row r="693">
      <c r="A693" s="301"/>
      <c r="B693" s="301"/>
      <c r="C693" s="303"/>
      <c r="D693" s="301"/>
      <c r="E693" s="309"/>
      <c r="F693" s="301"/>
      <c r="G693" s="301"/>
      <c r="H693" s="309"/>
      <c r="I693" s="327"/>
      <c r="J693" s="328"/>
      <c r="K693" s="326"/>
      <c r="L693" s="309"/>
      <c r="M693" s="308"/>
      <c r="N693" s="309"/>
      <c r="O693" s="322"/>
      <c r="P693" s="308"/>
      <c r="Q693" s="311"/>
      <c r="R693" s="309"/>
      <c r="S693" s="308"/>
      <c r="T693" s="309"/>
      <c r="U693" s="309"/>
      <c r="V693" s="308"/>
      <c r="W693" s="309"/>
      <c r="X693" s="309"/>
      <c r="Y693" s="308"/>
      <c r="Z693" s="309"/>
      <c r="AA693" s="312"/>
      <c r="AB693" s="308"/>
      <c r="AC693" s="308"/>
      <c r="AD693" s="312"/>
      <c r="AE693" s="308"/>
      <c r="AF693" s="313"/>
      <c r="AG693" s="304"/>
      <c r="AH693" s="308"/>
      <c r="AI693" s="313"/>
      <c r="AJ693" s="304"/>
      <c r="AK693" s="308"/>
      <c r="AL693" s="308"/>
      <c r="AM693" s="304"/>
      <c r="AN693" s="308"/>
      <c r="AO693" s="313"/>
      <c r="AP693" s="304"/>
      <c r="AQ693" s="308"/>
      <c r="AR693" s="313"/>
      <c r="AS693" s="304"/>
      <c r="AT693" s="308"/>
      <c r="AU693" s="308"/>
      <c r="AV693" s="304"/>
      <c r="AW693" s="308"/>
      <c r="AX693" s="308"/>
      <c r="AY693" s="304"/>
      <c r="AZ693" s="308"/>
      <c r="BA693" s="313"/>
      <c r="BB693" s="304"/>
      <c r="BC693" s="308"/>
      <c r="BD693" s="308"/>
    </row>
    <row r="694">
      <c r="A694" s="301"/>
      <c r="B694" s="301"/>
      <c r="C694" s="303"/>
      <c r="D694" s="301"/>
      <c r="E694" s="309"/>
      <c r="F694" s="301"/>
      <c r="G694" s="301"/>
      <c r="H694" s="309"/>
      <c r="I694" s="327"/>
      <c r="J694" s="328"/>
      <c r="K694" s="326"/>
      <c r="L694" s="309"/>
      <c r="M694" s="308"/>
      <c r="N694" s="309"/>
      <c r="O694" s="322"/>
      <c r="P694" s="308"/>
      <c r="Q694" s="311"/>
      <c r="R694" s="309"/>
      <c r="S694" s="308"/>
      <c r="T694" s="309"/>
      <c r="U694" s="309"/>
      <c r="V694" s="308"/>
      <c r="W694" s="309"/>
      <c r="X694" s="309"/>
      <c r="Y694" s="308"/>
      <c r="Z694" s="309"/>
      <c r="AA694" s="312"/>
      <c r="AB694" s="308"/>
      <c r="AC694" s="308"/>
      <c r="AD694" s="312"/>
      <c r="AE694" s="308"/>
      <c r="AF694" s="313"/>
      <c r="AG694" s="304"/>
      <c r="AH694" s="308"/>
      <c r="AI694" s="313"/>
      <c r="AJ694" s="304"/>
      <c r="AK694" s="308"/>
      <c r="AL694" s="308"/>
      <c r="AM694" s="304"/>
      <c r="AN694" s="308"/>
      <c r="AO694" s="313"/>
      <c r="AP694" s="304"/>
      <c r="AQ694" s="308"/>
      <c r="AR694" s="313"/>
      <c r="AS694" s="304"/>
      <c r="AT694" s="308"/>
      <c r="AU694" s="308"/>
      <c r="AV694" s="304"/>
      <c r="AW694" s="308"/>
      <c r="AX694" s="308"/>
      <c r="AY694" s="304"/>
      <c r="AZ694" s="308"/>
      <c r="BA694" s="313"/>
      <c r="BB694" s="304"/>
      <c r="BC694" s="308"/>
      <c r="BD694" s="308"/>
    </row>
    <row r="695">
      <c r="A695" s="301"/>
      <c r="B695" s="301"/>
      <c r="C695" s="303"/>
      <c r="D695" s="301"/>
      <c r="E695" s="309"/>
      <c r="F695" s="301"/>
      <c r="G695" s="301"/>
      <c r="H695" s="309"/>
      <c r="I695" s="327"/>
      <c r="J695" s="328"/>
      <c r="K695" s="326"/>
      <c r="L695" s="309"/>
      <c r="M695" s="308"/>
      <c r="N695" s="309"/>
      <c r="O695" s="322"/>
      <c r="P695" s="308"/>
      <c r="Q695" s="311"/>
      <c r="R695" s="309"/>
      <c r="S695" s="308"/>
      <c r="T695" s="309"/>
      <c r="U695" s="309"/>
      <c r="V695" s="308"/>
      <c r="W695" s="309"/>
      <c r="X695" s="309"/>
      <c r="Y695" s="308"/>
      <c r="Z695" s="309"/>
      <c r="AA695" s="312"/>
      <c r="AB695" s="308"/>
      <c r="AC695" s="308"/>
      <c r="AD695" s="312"/>
      <c r="AE695" s="308"/>
      <c r="AF695" s="313"/>
      <c r="AG695" s="304"/>
      <c r="AH695" s="308"/>
      <c r="AI695" s="313"/>
      <c r="AJ695" s="304"/>
      <c r="AK695" s="308"/>
      <c r="AL695" s="308"/>
      <c r="AM695" s="304"/>
      <c r="AN695" s="308"/>
      <c r="AO695" s="313"/>
      <c r="AP695" s="304"/>
      <c r="AQ695" s="308"/>
      <c r="AR695" s="313"/>
      <c r="AS695" s="304"/>
      <c r="AT695" s="308"/>
      <c r="AU695" s="308"/>
      <c r="AV695" s="304"/>
      <c r="AW695" s="308"/>
      <c r="AX695" s="308"/>
      <c r="AY695" s="304"/>
      <c r="AZ695" s="308"/>
      <c r="BA695" s="313"/>
      <c r="BB695" s="304"/>
      <c r="BC695" s="308"/>
      <c r="BD695" s="308"/>
    </row>
    <row r="696">
      <c r="A696" s="301"/>
      <c r="B696" s="301"/>
      <c r="C696" s="303"/>
      <c r="D696" s="301"/>
      <c r="E696" s="309"/>
      <c r="F696" s="301"/>
      <c r="G696" s="301"/>
      <c r="H696" s="309"/>
      <c r="I696" s="327"/>
      <c r="J696" s="328"/>
      <c r="K696" s="326"/>
      <c r="L696" s="309"/>
      <c r="M696" s="308"/>
      <c r="N696" s="309"/>
      <c r="O696" s="322"/>
      <c r="P696" s="308"/>
      <c r="Q696" s="311"/>
      <c r="R696" s="309"/>
      <c r="S696" s="308"/>
      <c r="T696" s="309"/>
      <c r="U696" s="309"/>
      <c r="V696" s="308"/>
      <c r="W696" s="309"/>
      <c r="X696" s="309"/>
      <c r="Y696" s="308"/>
      <c r="Z696" s="309"/>
      <c r="AA696" s="312"/>
      <c r="AB696" s="308"/>
      <c r="AC696" s="308"/>
      <c r="AD696" s="312"/>
      <c r="AE696" s="308"/>
      <c r="AF696" s="313"/>
      <c r="AG696" s="304"/>
      <c r="AH696" s="308"/>
      <c r="AI696" s="313"/>
      <c r="AJ696" s="304"/>
      <c r="AK696" s="308"/>
      <c r="AL696" s="308"/>
      <c r="AM696" s="304"/>
      <c r="AN696" s="308"/>
      <c r="AO696" s="313"/>
      <c r="AP696" s="304"/>
      <c r="AQ696" s="308"/>
      <c r="AR696" s="313"/>
      <c r="AS696" s="304"/>
      <c r="AT696" s="308"/>
      <c r="AU696" s="308"/>
      <c r="AV696" s="304"/>
      <c r="AW696" s="308"/>
      <c r="AX696" s="308"/>
      <c r="AY696" s="304"/>
      <c r="AZ696" s="308"/>
      <c r="BA696" s="313"/>
      <c r="BB696" s="304"/>
      <c r="BC696" s="308"/>
      <c r="BD696" s="308"/>
    </row>
    <row r="697">
      <c r="A697" s="301"/>
      <c r="B697" s="301"/>
      <c r="C697" s="303"/>
      <c r="D697" s="301"/>
      <c r="E697" s="309"/>
      <c r="F697" s="301"/>
      <c r="G697" s="301"/>
      <c r="H697" s="309"/>
      <c r="I697" s="327"/>
      <c r="J697" s="328"/>
      <c r="K697" s="326"/>
      <c r="L697" s="309"/>
      <c r="M697" s="308"/>
      <c r="N697" s="309"/>
      <c r="O697" s="322"/>
      <c r="P697" s="308"/>
      <c r="Q697" s="311"/>
      <c r="R697" s="309"/>
      <c r="S697" s="308"/>
      <c r="T697" s="309"/>
      <c r="U697" s="309"/>
      <c r="V697" s="308"/>
      <c r="W697" s="309"/>
      <c r="X697" s="309"/>
      <c r="Y697" s="308"/>
      <c r="Z697" s="309"/>
      <c r="AA697" s="312"/>
      <c r="AB697" s="308"/>
      <c r="AC697" s="308"/>
      <c r="AD697" s="312"/>
      <c r="AE697" s="308"/>
      <c r="AF697" s="313"/>
      <c r="AG697" s="304"/>
      <c r="AH697" s="308"/>
      <c r="AI697" s="313"/>
      <c r="AJ697" s="304"/>
      <c r="AK697" s="308"/>
      <c r="AL697" s="308"/>
      <c r="AM697" s="304"/>
      <c r="AN697" s="308"/>
      <c r="AO697" s="313"/>
      <c r="AP697" s="304"/>
      <c r="AQ697" s="308"/>
      <c r="AR697" s="313"/>
      <c r="AS697" s="304"/>
      <c r="AT697" s="308"/>
      <c r="AU697" s="308"/>
      <c r="AV697" s="304"/>
      <c r="AW697" s="308"/>
      <c r="AX697" s="308"/>
      <c r="AY697" s="304"/>
      <c r="AZ697" s="308"/>
      <c r="BA697" s="313"/>
      <c r="BB697" s="304"/>
      <c r="BC697" s="308"/>
      <c r="BD697" s="308"/>
    </row>
    <row r="698">
      <c r="A698" s="301"/>
      <c r="B698" s="301"/>
      <c r="C698" s="303"/>
      <c r="D698" s="301"/>
      <c r="E698" s="309"/>
      <c r="F698" s="301"/>
      <c r="G698" s="301"/>
      <c r="H698" s="309"/>
      <c r="I698" s="327"/>
      <c r="J698" s="328"/>
      <c r="K698" s="326"/>
      <c r="L698" s="309"/>
      <c r="M698" s="308"/>
      <c r="N698" s="309"/>
      <c r="O698" s="322"/>
      <c r="P698" s="308"/>
      <c r="Q698" s="311"/>
      <c r="R698" s="309"/>
      <c r="S698" s="308"/>
      <c r="T698" s="309"/>
      <c r="U698" s="309"/>
      <c r="V698" s="308"/>
      <c r="W698" s="309"/>
      <c r="X698" s="309"/>
      <c r="Y698" s="308"/>
      <c r="Z698" s="309"/>
      <c r="AA698" s="312"/>
      <c r="AB698" s="308"/>
      <c r="AC698" s="308"/>
      <c r="AD698" s="312"/>
      <c r="AE698" s="308"/>
      <c r="AF698" s="313"/>
      <c r="AG698" s="304"/>
      <c r="AH698" s="308"/>
      <c r="AI698" s="313"/>
      <c r="AJ698" s="304"/>
      <c r="AK698" s="308"/>
      <c r="AL698" s="308"/>
      <c r="AM698" s="304"/>
      <c r="AN698" s="308"/>
      <c r="AO698" s="313"/>
      <c r="AP698" s="304"/>
      <c r="AQ698" s="308"/>
      <c r="AR698" s="313"/>
      <c r="AS698" s="304"/>
      <c r="AT698" s="308"/>
      <c r="AU698" s="308"/>
      <c r="AV698" s="304"/>
      <c r="AW698" s="308"/>
      <c r="AX698" s="308"/>
      <c r="AY698" s="304"/>
      <c r="AZ698" s="308"/>
      <c r="BA698" s="313"/>
      <c r="BB698" s="304"/>
      <c r="BC698" s="308"/>
      <c r="BD698" s="308"/>
    </row>
    <row r="699">
      <c r="A699" s="301"/>
      <c r="B699" s="301"/>
      <c r="C699" s="303"/>
      <c r="D699" s="301"/>
      <c r="E699" s="309"/>
      <c r="F699" s="301"/>
      <c r="G699" s="301"/>
      <c r="H699" s="309"/>
      <c r="I699" s="327"/>
      <c r="J699" s="328"/>
      <c r="K699" s="326"/>
      <c r="L699" s="309"/>
      <c r="M699" s="308"/>
      <c r="N699" s="309"/>
      <c r="O699" s="322"/>
      <c r="P699" s="308"/>
      <c r="Q699" s="311"/>
      <c r="R699" s="309"/>
      <c r="S699" s="308"/>
      <c r="T699" s="309"/>
      <c r="U699" s="309"/>
      <c r="V699" s="308"/>
      <c r="W699" s="309"/>
      <c r="X699" s="309"/>
      <c r="Y699" s="308"/>
      <c r="Z699" s="309"/>
      <c r="AA699" s="312"/>
      <c r="AB699" s="308"/>
      <c r="AC699" s="308"/>
      <c r="AD699" s="312"/>
      <c r="AE699" s="308"/>
      <c r="AF699" s="313"/>
      <c r="AG699" s="304"/>
      <c r="AH699" s="308"/>
      <c r="AI699" s="313"/>
      <c r="AJ699" s="304"/>
      <c r="AK699" s="308"/>
      <c r="AL699" s="308"/>
      <c r="AM699" s="304"/>
      <c r="AN699" s="308"/>
      <c r="AO699" s="313"/>
      <c r="AP699" s="304"/>
      <c r="AQ699" s="308"/>
      <c r="AR699" s="313"/>
      <c r="AS699" s="304"/>
      <c r="AT699" s="308"/>
      <c r="AU699" s="308"/>
      <c r="AV699" s="304"/>
      <c r="AW699" s="308"/>
      <c r="AX699" s="308"/>
      <c r="AY699" s="304"/>
      <c r="AZ699" s="308"/>
      <c r="BA699" s="313"/>
      <c r="BB699" s="304"/>
      <c r="BC699" s="308"/>
      <c r="BD699" s="308"/>
    </row>
    <row r="700">
      <c r="A700" s="301"/>
      <c r="B700" s="301"/>
      <c r="C700" s="303"/>
      <c r="D700" s="301"/>
      <c r="E700" s="309"/>
      <c r="F700" s="301"/>
      <c r="G700" s="301"/>
      <c r="H700" s="309"/>
      <c r="I700" s="327"/>
      <c r="J700" s="328"/>
      <c r="K700" s="326"/>
      <c r="L700" s="309"/>
      <c r="M700" s="308"/>
      <c r="N700" s="309"/>
      <c r="O700" s="322"/>
      <c r="P700" s="308"/>
      <c r="Q700" s="311"/>
      <c r="R700" s="309"/>
      <c r="S700" s="308"/>
      <c r="T700" s="309"/>
      <c r="U700" s="309"/>
      <c r="V700" s="308"/>
      <c r="W700" s="309"/>
      <c r="X700" s="309"/>
      <c r="Y700" s="308"/>
      <c r="Z700" s="309"/>
      <c r="AA700" s="312"/>
      <c r="AB700" s="308"/>
      <c r="AC700" s="308"/>
      <c r="AD700" s="312"/>
      <c r="AE700" s="308"/>
      <c r="AF700" s="313"/>
      <c r="AG700" s="304"/>
      <c r="AH700" s="308"/>
      <c r="AI700" s="313"/>
      <c r="AJ700" s="304"/>
      <c r="AK700" s="308"/>
      <c r="AL700" s="308"/>
      <c r="AM700" s="304"/>
      <c r="AN700" s="308"/>
      <c r="AO700" s="313"/>
      <c r="AP700" s="304"/>
      <c r="AQ700" s="308"/>
      <c r="AR700" s="313"/>
      <c r="AS700" s="304"/>
      <c r="AT700" s="308"/>
      <c r="AU700" s="308"/>
      <c r="AV700" s="304"/>
      <c r="AW700" s="308"/>
      <c r="AX700" s="308"/>
      <c r="AY700" s="304"/>
      <c r="AZ700" s="308"/>
      <c r="BA700" s="313"/>
      <c r="BB700" s="304"/>
      <c r="BC700" s="308"/>
      <c r="BD700" s="308"/>
    </row>
    <row r="701">
      <c r="A701" s="301"/>
      <c r="B701" s="301"/>
      <c r="C701" s="303"/>
      <c r="D701" s="301"/>
      <c r="E701" s="309"/>
      <c r="F701" s="301"/>
      <c r="G701" s="301"/>
      <c r="H701" s="309"/>
      <c r="I701" s="327"/>
      <c r="J701" s="328"/>
      <c r="K701" s="326"/>
      <c r="L701" s="309"/>
      <c r="M701" s="308"/>
      <c r="N701" s="309"/>
      <c r="O701" s="322"/>
      <c r="P701" s="308"/>
      <c r="Q701" s="311"/>
      <c r="R701" s="309"/>
      <c r="S701" s="308"/>
      <c r="T701" s="309"/>
      <c r="U701" s="309"/>
      <c r="V701" s="308"/>
      <c r="W701" s="309"/>
      <c r="X701" s="309"/>
      <c r="Y701" s="308"/>
      <c r="Z701" s="309"/>
      <c r="AA701" s="312"/>
      <c r="AB701" s="308"/>
      <c r="AC701" s="308"/>
      <c r="AD701" s="312"/>
      <c r="AE701" s="308"/>
      <c r="AF701" s="313"/>
      <c r="AG701" s="304"/>
      <c r="AH701" s="308"/>
      <c r="AI701" s="313"/>
      <c r="AJ701" s="304"/>
      <c r="AK701" s="308"/>
      <c r="AL701" s="308"/>
      <c r="AM701" s="304"/>
      <c r="AN701" s="308"/>
      <c r="AO701" s="313"/>
      <c r="AP701" s="304"/>
      <c r="AQ701" s="308"/>
      <c r="AR701" s="313"/>
      <c r="AS701" s="304"/>
      <c r="AT701" s="308"/>
      <c r="AU701" s="308"/>
      <c r="AV701" s="304"/>
      <c r="AW701" s="308"/>
      <c r="AX701" s="308"/>
      <c r="AY701" s="304"/>
      <c r="AZ701" s="308"/>
      <c r="BA701" s="313"/>
      <c r="BB701" s="304"/>
      <c r="BC701" s="308"/>
      <c r="BD701" s="308"/>
    </row>
    <row r="702">
      <c r="A702" s="301"/>
      <c r="B702" s="301"/>
      <c r="C702" s="303"/>
      <c r="D702" s="301"/>
      <c r="E702" s="309"/>
      <c r="F702" s="301"/>
      <c r="G702" s="301"/>
      <c r="H702" s="309"/>
      <c r="I702" s="327"/>
      <c r="J702" s="328"/>
      <c r="K702" s="326"/>
      <c r="L702" s="309"/>
      <c r="M702" s="308"/>
      <c r="N702" s="309"/>
      <c r="O702" s="322"/>
      <c r="P702" s="308"/>
      <c r="Q702" s="311"/>
      <c r="R702" s="309"/>
      <c r="S702" s="308"/>
      <c r="T702" s="309"/>
      <c r="U702" s="309"/>
      <c r="V702" s="308"/>
      <c r="W702" s="309"/>
      <c r="X702" s="309"/>
      <c r="Y702" s="308"/>
      <c r="Z702" s="309"/>
      <c r="AA702" s="312"/>
      <c r="AB702" s="308"/>
      <c r="AC702" s="308"/>
      <c r="AD702" s="312"/>
      <c r="AE702" s="308"/>
      <c r="AF702" s="313"/>
      <c r="AG702" s="304"/>
      <c r="AH702" s="308"/>
      <c r="AI702" s="313"/>
      <c r="AJ702" s="304"/>
      <c r="AK702" s="308"/>
      <c r="AL702" s="308"/>
      <c r="AM702" s="304"/>
      <c r="AN702" s="308"/>
      <c r="AO702" s="313"/>
      <c r="AP702" s="304"/>
      <c r="AQ702" s="308"/>
      <c r="AR702" s="313"/>
      <c r="AS702" s="304"/>
      <c r="AT702" s="308"/>
      <c r="AU702" s="308"/>
      <c r="AV702" s="304"/>
      <c r="AW702" s="308"/>
      <c r="AX702" s="308"/>
      <c r="AY702" s="304"/>
      <c r="AZ702" s="308"/>
      <c r="BA702" s="313"/>
      <c r="BB702" s="304"/>
      <c r="BC702" s="308"/>
      <c r="BD702" s="308"/>
    </row>
    <row r="703">
      <c r="A703" s="301"/>
      <c r="B703" s="301"/>
      <c r="C703" s="303"/>
      <c r="D703" s="301"/>
      <c r="E703" s="309"/>
      <c r="F703" s="301"/>
      <c r="G703" s="301"/>
      <c r="H703" s="309"/>
      <c r="I703" s="327"/>
      <c r="J703" s="328"/>
      <c r="K703" s="326"/>
      <c r="L703" s="309"/>
      <c r="M703" s="308"/>
      <c r="N703" s="309"/>
      <c r="O703" s="322"/>
      <c r="P703" s="308"/>
      <c r="Q703" s="311"/>
      <c r="R703" s="309"/>
      <c r="S703" s="308"/>
      <c r="T703" s="309"/>
      <c r="U703" s="309"/>
      <c r="V703" s="308"/>
      <c r="W703" s="309"/>
      <c r="X703" s="309"/>
      <c r="Y703" s="308"/>
      <c r="Z703" s="309"/>
      <c r="AA703" s="312"/>
      <c r="AB703" s="308"/>
      <c r="AC703" s="308"/>
      <c r="AD703" s="312"/>
      <c r="AE703" s="308"/>
      <c r="AF703" s="313"/>
      <c r="AG703" s="304"/>
      <c r="AH703" s="308"/>
      <c r="AI703" s="313"/>
      <c r="AJ703" s="304"/>
      <c r="AK703" s="308"/>
      <c r="AL703" s="308"/>
      <c r="AM703" s="304"/>
      <c r="AN703" s="308"/>
      <c r="AO703" s="313"/>
      <c r="AP703" s="304"/>
      <c r="AQ703" s="308"/>
      <c r="AR703" s="313"/>
      <c r="AS703" s="304"/>
      <c r="AT703" s="308"/>
      <c r="AU703" s="308"/>
      <c r="AV703" s="304"/>
      <c r="AW703" s="308"/>
      <c r="AX703" s="308"/>
      <c r="AY703" s="304"/>
      <c r="AZ703" s="308"/>
      <c r="BA703" s="313"/>
      <c r="BB703" s="304"/>
      <c r="BC703" s="308"/>
      <c r="BD703" s="308"/>
    </row>
    <row r="704">
      <c r="A704" s="301"/>
      <c r="B704" s="301"/>
      <c r="C704" s="303"/>
      <c r="D704" s="301"/>
      <c r="E704" s="309"/>
      <c r="F704" s="301"/>
      <c r="G704" s="301"/>
      <c r="H704" s="309"/>
      <c r="I704" s="327"/>
      <c r="J704" s="328"/>
      <c r="K704" s="326"/>
      <c r="L704" s="309"/>
      <c r="M704" s="308"/>
      <c r="N704" s="309"/>
      <c r="O704" s="322"/>
      <c r="P704" s="308"/>
      <c r="Q704" s="311"/>
      <c r="R704" s="309"/>
      <c r="S704" s="308"/>
      <c r="T704" s="309"/>
      <c r="U704" s="309"/>
      <c r="V704" s="308"/>
      <c r="W704" s="309"/>
      <c r="X704" s="309"/>
      <c r="Y704" s="308"/>
      <c r="Z704" s="309"/>
      <c r="AA704" s="312"/>
      <c r="AB704" s="308"/>
      <c r="AC704" s="308"/>
      <c r="AD704" s="312"/>
      <c r="AE704" s="308"/>
      <c r="AF704" s="313"/>
      <c r="AG704" s="304"/>
      <c r="AH704" s="308"/>
      <c r="AI704" s="313"/>
      <c r="AJ704" s="304"/>
      <c r="AK704" s="308"/>
      <c r="AL704" s="308"/>
      <c r="AM704" s="304"/>
      <c r="AN704" s="308"/>
      <c r="AO704" s="313"/>
      <c r="AP704" s="304"/>
      <c r="AQ704" s="308"/>
      <c r="AR704" s="313"/>
      <c r="AS704" s="304"/>
      <c r="AT704" s="308"/>
      <c r="AU704" s="308"/>
      <c r="AV704" s="304"/>
      <c r="AW704" s="308"/>
      <c r="AX704" s="308"/>
      <c r="AY704" s="304"/>
      <c r="AZ704" s="308"/>
      <c r="BA704" s="313"/>
      <c r="BB704" s="304"/>
      <c r="BC704" s="308"/>
      <c r="BD704" s="308"/>
    </row>
    <row r="705">
      <c r="A705" s="301"/>
      <c r="B705" s="301"/>
      <c r="C705" s="303"/>
      <c r="D705" s="301"/>
      <c r="E705" s="309"/>
      <c r="F705" s="301"/>
      <c r="G705" s="301"/>
      <c r="H705" s="309"/>
      <c r="I705" s="327"/>
      <c r="J705" s="328"/>
      <c r="K705" s="326"/>
      <c r="L705" s="309"/>
      <c r="M705" s="308"/>
      <c r="N705" s="309"/>
      <c r="O705" s="322"/>
      <c r="P705" s="308"/>
      <c r="Q705" s="311"/>
      <c r="R705" s="309"/>
      <c r="S705" s="308"/>
      <c r="T705" s="309"/>
      <c r="U705" s="309"/>
      <c r="V705" s="308"/>
      <c r="W705" s="309"/>
      <c r="X705" s="309"/>
      <c r="Y705" s="308"/>
      <c r="Z705" s="309"/>
      <c r="AA705" s="312"/>
      <c r="AB705" s="308"/>
      <c r="AC705" s="308"/>
      <c r="AD705" s="312"/>
      <c r="AE705" s="308"/>
      <c r="AF705" s="313"/>
      <c r="AG705" s="304"/>
      <c r="AH705" s="308"/>
      <c r="AI705" s="313"/>
      <c r="AJ705" s="304"/>
      <c r="AK705" s="308"/>
      <c r="AL705" s="308"/>
      <c r="AM705" s="304"/>
      <c r="AN705" s="308"/>
      <c r="AO705" s="313"/>
      <c r="AP705" s="304"/>
      <c r="AQ705" s="308"/>
      <c r="AR705" s="313"/>
      <c r="AS705" s="304"/>
      <c r="AT705" s="308"/>
      <c r="AU705" s="308"/>
      <c r="AV705" s="304"/>
      <c r="AW705" s="308"/>
      <c r="AX705" s="308"/>
      <c r="AY705" s="304"/>
      <c r="AZ705" s="308"/>
      <c r="BA705" s="313"/>
      <c r="BB705" s="304"/>
      <c r="BC705" s="308"/>
      <c r="BD705" s="308"/>
    </row>
    <row r="706">
      <c r="A706" s="301"/>
      <c r="B706" s="301"/>
      <c r="C706" s="303"/>
      <c r="D706" s="301"/>
      <c r="E706" s="309"/>
      <c r="F706" s="301"/>
      <c r="G706" s="301"/>
      <c r="H706" s="309"/>
      <c r="I706" s="327"/>
      <c r="J706" s="328"/>
      <c r="K706" s="326"/>
      <c r="L706" s="309"/>
      <c r="M706" s="308"/>
      <c r="N706" s="309"/>
      <c r="O706" s="322"/>
      <c r="P706" s="308"/>
      <c r="Q706" s="311"/>
      <c r="R706" s="309"/>
      <c r="S706" s="308"/>
      <c r="T706" s="309"/>
      <c r="U706" s="309"/>
      <c r="V706" s="308"/>
      <c r="W706" s="309"/>
      <c r="X706" s="309"/>
      <c r="Y706" s="308"/>
      <c r="Z706" s="309"/>
      <c r="AA706" s="312"/>
      <c r="AB706" s="308"/>
      <c r="AC706" s="308"/>
      <c r="AD706" s="312"/>
      <c r="AE706" s="308"/>
      <c r="AF706" s="313"/>
      <c r="AG706" s="304"/>
      <c r="AH706" s="308"/>
      <c r="AI706" s="313"/>
      <c r="AJ706" s="304"/>
      <c r="AK706" s="308"/>
      <c r="AL706" s="308"/>
      <c r="AM706" s="304"/>
      <c r="AN706" s="308"/>
      <c r="AO706" s="313"/>
      <c r="AP706" s="304"/>
      <c r="AQ706" s="308"/>
      <c r="AR706" s="313"/>
      <c r="AS706" s="304"/>
      <c r="AT706" s="308"/>
      <c r="AU706" s="308"/>
      <c r="AV706" s="304"/>
      <c r="AW706" s="308"/>
      <c r="AX706" s="308"/>
      <c r="AY706" s="304"/>
      <c r="AZ706" s="308"/>
      <c r="BA706" s="313"/>
      <c r="BB706" s="304"/>
      <c r="BC706" s="308"/>
      <c r="BD706" s="308"/>
    </row>
    <row r="707">
      <c r="A707" s="301"/>
      <c r="B707" s="301"/>
      <c r="C707" s="303"/>
      <c r="D707" s="301"/>
      <c r="E707" s="309"/>
      <c r="F707" s="301"/>
      <c r="G707" s="301"/>
      <c r="H707" s="309"/>
      <c r="I707" s="327"/>
      <c r="J707" s="328"/>
      <c r="K707" s="326"/>
      <c r="L707" s="309"/>
      <c r="M707" s="308"/>
      <c r="N707" s="309"/>
      <c r="O707" s="322"/>
      <c r="P707" s="308"/>
      <c r="Q707" s="311"/>
      <c r="R707" s="309"/>
      <c r="S707" s="308"/>
      <c r="T707" s="309"/>
      <c r="U707" s="309"/>
      <c r="V707" s="308"/>
      <c r="W707" s="309"/>
      <c r="X707" s="309"/>
      <c r="Y707" s="308"/>
      <c r="Z707" s="309"/>
      <c r="AA707" s="312"/>
      <c r="AB707" s="308"/>
      <c r="AC707" s="308"/>
      <c r="AD707" s="312"/>
      <c r="AE707" s="308"/>
      <c r="AF707" s="313"/>
      <c r="AG707" s="304"/>
      <c r="AH707" s="308"/>
      <c r="AI707" s="313"/>
      <c r="AJ707" s="304"/>
      <c r="AK707" s="308"/>
      <c r="AL707" s="308"/>
      <c r="AM707" s="304"/>
      <c r="AN707" s="308"/>
      <c r="AO707" s="313"/>
      <c r="AP707" s="304"/>
      <c r="AQ707" s="308"/>
      <c r="AR707" s="313"/>
      <c r="AS707" s="304"/>
      <c r="AT707" s="308"/>
      <c r="AU707" s="308"/>
      <c r="AV707" s="304"/>
      <c r="AW707" s="308"/>
      <c r="AX707" s="308"/>
      <c r="AY707" s="304"/>
      <c r="AZ707" s="308"/>
      <c r="BA707" s="313"/>
      <c r="BB707" s="304"/>
      <c r="BC707" s="308"/>
      <c r="BD707" s="308"/>
    </row>
    <row r="708">
      <c r="A708" s="301"/>
      <c r="B708" s="301"/>
      <c r="C708" s="303"/>
      <c r="D708" s="301"/>
      <c r="E708" s="309"/>
      <c r="F708" s="301"/>
      <c r="G708" s="301"/>
      <c r="H708" s="309"/>
      <c r="I708" s="327"/>
      <c r="J708" s="328"/>
      <c r="K708" s="326"/>
      <c r="L708" s="309"/>
      <c r="M708" s="308"/>
      <c r="N708" s="309"/>
      <c r="O708" s="322"/>
      <c r="P708" s="308"/>
      <c r="Q708" s="311"/>
      <c r="R708" s="309"/>
      <c r="S708" s="308"/>
      <c r="T708" s="309"/>
      <c r="U708" s="309"/>
      <c r="V708" s="308"/>
      <c r="W708" s="309"/>
      <c r="X708" s="309"/>
      <c r="Y708" s="308"/>
      <c r="Z708" s="309"/>
      <c r="AA708" s="312"/>
      <c r="AB708" s="308"/>
      <c r="AC708" s="308"/>
      <c r="AD708" s="312"/>
      <c r="AE708" s="308"/>
      <c r="AF708" s="313"/>
      <c r="AG708" s="304"/>
      <c r="AH708" s="308"/>
      <c r="AI708" s="313"/>
      <c r="AJ708" s="304"/>
      <c r="AK708" s="308"/>
      <c r="AL708" s="308"/>
      <c r="AM708" s="304"/>
      <c r="AN708" s="308"/>
      <c r="AO708" s="313"/>
      <c r="AP708" s="304"/>
      <c r="AQ708" s="308"/>
      <c r="AR708" s="313"/>
      <c r="AS708" s="304"/>
      <c r="AT708" s="308"/>
      <c r="AU708" s="308"/>
      <c r="AV708" s="304"/>
      <c r="AW708" s="308"/>
      <c r="AX708" s="308"/>
      <c r="AY708" s="304"/>
      <c r="AZ708" s="308"/>
      <c r="BA708" s="313"/>
      <c r="BB708" s="304"/>
      <c r="BC708" s="308"/>
      <c r="BD708" s="308"/>
    </row>
    <row r="709">
      <c r="A709" s="301"/>
      <c r="B709" s="301"/>
      <c r="C709" s="303"/>
      <c r="D709" s="301"/>
      <c r="E709" s="309"/>
      <c r="F709" s="301"/>
      <c r="G709" s="301"/>
      <c r="H709" s="309"/>
      <c r="I709" s="327"/>
      <c r="J709" s="328"/>
      <c r="K709" s="326"/>
      <c r="L709" s="309"/>
      <c r="M709" s="308"/>
      <c r="N709" s="309"/>
      <c r="O709" s="322"/>
      <c r="P709" s="308"/>
      <c r="Q709" s="311"/>
      <c r="R709" s="309"/>
      <c r="S709" s="308"/>
      <c r="T709" s="309"/>
      <c r="U709" s="309"/>
      <c r="V709" s="308"/>
      <c r="W709" s="309"/>
      <c r="X709" s="309"/>
      <c r="Y709" s="308"/>
      <c r="Z709" s="309"/>
      <c r="AA709" s="312"/>
      <c r="AB709" s="308"/>
      <c r="AC709" s="308"/>
      <c r="AD709" s="312"/>
      <c r="AE709" s="308"/>
      <c r="AF709" s="313"/>
      <c r="AG709" s="304"/>
      <c r="AH709" s="308"/>
      <c r="AI709" s="313"/>
      <c r="AJ709" s="304"/>
      <c r="AK709" s="308"/>
      <c r="AL709" s="308"/>
      <c r="AM709" s="304"/>
      <c r="AN709" s="308"/>
      <c r="AO709" s="313"/>
      <c r="AP709" s="304"/>
      <c r="AQ709" s="308"/>
      <c r="AR709" s="313"/>
      <c r="AS709" s="304"/>
      <c r="AT709" s="308"/>
      <c r="AU709" s="308"/>
      <c r="AV709" s="304"/>
      <c r="AW709" s="308"/>
      <c r="AX709" s="308"/>
      <c r="AY709" s="304"/>
      <c r="AZ709" s="308"/>
      <c r="BA709" s="313"/>
      <c r="BB709" s="304"/>
      <c r="BC709" s="308"/>
      <c r="BD709" s="308"/>
    </row>
    <row r="710">
      <c r="A710" s="301"/>
      <c r="B710" s="301"/>
      <c r="C710" s="303"/>
      <c r="D710" s="301"/>
      <c r="E710" s="309"/>
      <c r="F710" s="301"/>
      <c r="G710" s="301"/>
      <c r="H710" s="309"/>
      <c r="I710" s="327"/>
      <c r="J710" s="328"/>
      <c r="K710" s="326"/>
      <c r="L710" s="309"/>
      <c r="M710" s="308"/>
      <c r="N710" s="309"/>
      <c r="O710" s="322"/>
      <c r="P710" s="308"/>
      <c r="Q710" s="311"/>
      <c r="R710" s="309"/>
      <c r="S710" s="308"/>
      <c r="T710" s="309"/>
      <c r="U710" s="309"/>
      <c r="V710" s="308"/>
      <c r="W710" s="309"/>
      <c r="X710" s="309"/>
      <c r="Y710" s="308"/>
      <c r="Z710" s="309"/>
      <c r="AA710" s="312"/>
      <c r="AB710" s="308"/>
      <c r="AC710" s="308"/>
      <c r="AD710" s="312"/>
      <c r="AE710" s="308"/>
      <c r="AF710" s="313"/>
      <c r="AG710" s="304"/>
      <c r="AH710" s="308"/>
      <c r="AI710" s="313"/>
      <c r="AJ710" s="304"/>
      <c r="AK710" s="308"/>
      <c r="AL710" s="308"/>
      <c r="AM710" s="304"/>
      <c r="AN710" s="308"/>
      <c r="AO710" s="313"/>
      <c r="AP710" s="304"/>
      <c r="AQ710" s="308"/>
      <c r="AR710" s="313"/>
      <c r="AS710" s="304"/>
      <c r="AT710" s="308"/>
      <c r="AU710" s="308"/>
      <c r="AV710" s="304"/>
      <c r="AW710" s="308"/>
      <c r="AX710" s="308"/>
      <c r="AY710" s="304"/>
      <c r="AZ710" s="308"/>
      <c r="BA710" s="313"/>
      <c r="BB710" s="304"/>
      <c r="BC710" s="308"/>
      <c r="BD710" s="308"/>
    </row>
    <row r="711">
      <c r="A711" s="301"/>
      <c r="B711" s="301"/>
      <c r="C711" s="303"/>
      <c r="D711" s="301"/>
      <c r="E711" s="309"/>
      <c r="F711" s="301"/>
      <c r="G711" s="301"/>
      <c r="H711" s="309"/>
      <c r="I711" s="327"/>
      <c r="J711" s="328"/>
      <c r="K711" s="326"/>
      <c r="L711" s="309"/>
      <c r="M711" s="308"/>
      <c r="N711" s="309"/>
      <c r="O711" s="322"/>
      <c r="P711" s="308"/>
      <c r="Q711" s="311"/>
      <c r="R711" s="309"/>
      <c r="S711" s="308"/>
      <c r="T711" s="309"/>
      <c r="U711" s="309"/>
      <c r="V711" s="308"/>
      <c r="W711" s="309"/>
      <c r="X711" s="309"/>
      <c r="Y711" s="308"/>
      <c r="Z711" s="309"/>
      <c r="AA711" s="312"/>
      <c r="AB711" s="308"/>
      <c r="AC711" s="308"/>
      <c r="AD711" s="312"/>
      <c r="AE711" s="308"/>
      <c r="AF711" s="313"/>
      <c r="AG711" s="304"/>
      <c r="AH711" s="308"/>
      <c r="AI711" s="313"/>
      <c r="AJ711" s="304"/>
      <c r="AK711" s="308"/>
      <c r="AL711" s="308"/>
      <c r="AM711" s="304"/>
      <c r="AN711" s="308"/>
      <c r="AO711" s="313"/>
      <c r="AP711" s="304"/>
      <c r="AQ711" s="308"/>
      <c r="AR711" s="313"/>
      <c r="AS711" s="304"/>
      <c r="AT711" s="308"/>
      <c r="AU711" s="308"/>
      <c r="AV711" s="304"/>
      <c r="AW711" s="308"/>
      <c r="AX711" s="308"/>
      <c r="AY711" s="304"/>
      <c r="AZ711" s="308"/>
      <c r="BA711" s="313"/>
      <c r="BB711" s="304"/>
      <c r="BC711" s="308"/>
      <c r="BD711" s="308"/>
    </row>
    <row r="712">
      <c r="A712" s="301"/>
      <c r="B712" s="301"/>
      <c r="C712" s="303"/>
      <c r="D712" s="301"/>
      <c r="E712" s="309"/>
      <c r="F712" s="301"/>
      <c r="G712" s="301"/>
      <c r="H712" s="309"/>
      <c r="I712" s="327"/>
      <c r="J712" s="328"/>
      <c r="K712" s="326"/>
      <c r="L712" s="309"/>
      <c r="M712" s="308"/>
      <c r="N712" s="309"/>
      <c r="O712" s="322"/>
      <c r="P712" s="308"/>
      <c r="Q712" s="311"/>
      <c r="R712" s="309"/>
      <c r="S712" s="308"/>
      <c r="T712" s="309"/>
      <c r="U712" s="309"/>
      <c r="V712" s="308"/>
      <c r="W712" s="309"/>
      <c r="X712" s="309"/>
      <c r="Y712" s="308"/>
      <c r="Z712" s="309"/>
      <c r="AA712" s="312"/>
      <c r="AB712" s="308"/>
      <c r="AC712" s="308"/>
      <c r="AD712" s="312"/>
      <c r="AE712" s="308"/>
      <c r="AF712" s="313"/>
      <c r="AG712" s="304"/>
      <c r="AH712" s="308"/>
      <c r="AI712" s="313"/>
      <c r="AJ712" s="304"/>
      <c r="AK712" s="308"/>
      <c r="AL712" s="308"/>
      <c r="AM712" s="304"/>
      <c r="AN712" s="308"/>
      <c r="AO712" s="313"/>
      <c r="AP712" s="304"/>
      <c r="AQ712" s="308"/>
      <c r="AR712" s="313"/>
      <c r="AS712" s="304"/>
      <c r="AT712" s="308"/>
      <c r="AU712" s="308"/>
      <c r="AV712" s="304"/>
      <c r="AW712" s="308"/>
      <c r="AX712" s="308"/>
      <c r="AY712" s="304"/>
      <c r="AZ712" s="308"/>
      <c r="BA712" s="313"/>
      <c r="BB712" s="304"/>
      <c r="BC712" s="308"/>
      <c r="BD712" s="308"/>
    </row>
    <row r="713">
      <c r="A713" s="301"/>
      <c r="B713" s="301"/>
      <c r="C713" s="303"/>
      <c r="D713" s="301"/>
      <c r="E713" s="309"/>
      <c r="F713" s="301"/>
      <c r="G713" s="301"/>
      <c r="H713" s="309"/>
      <c r="I713" s="327"/>
      <c r="J713" s="328"/>
      <c r="K713" s="326"/>
      <c r="L713" s="309"/>
      <c r="M713" s="308"/>
      <c r="N713" s="309"/>
      <c r="O713" s="322"/>
      <c r="P713" s="308"/>
      <c r="Q713" s="311"/>
      <c r="R713" s="309"/>
      <c r="S713" s="308"/>
      <c r="T713" s="309"/>
      <c r="U713" s="309"/>
      <c r="V713" s="308"/>
      <c r="W713" s="309"/>
      <c r="X713" s="309"/>
      <c r="Y713" s="308"/>
      <c r="Z713" s="309"/>
      <c r="AA713" s="312"/>
      <c r="AB713" s="308"/>
      <c r="AC713" s="308"/>
      <c r="AD713" s="312"/>
      <c r="AE713" s="308"/>
      <c r="AF713" s="313"/>
      <c r="AG713" s="304"/>
      <c r="AH713" s="308"/>
      <c r="AI713" s="313"/>
      <c r="AJ713" s="304"/>
      <c r="AK713" s="308"/>
      <c r="AL713" s="308"/>
      <c r="AM713" s="304"/>
      <c r="AN713" s="308"/>
      <c r="AO713" s="313"/>
      <c r="AP713" s="304"/>
      <c r="AQ713" s="308"/>
      <c r="AR713" s="313"/>
      <c r="AS713" s="304"/>
      <c r="AT713" s="308"/>
      <c r="AU713" s="308"/>
      <c r="AV713" s="304"/>
      <c r="AW713" s="308"/>
      <c r="AX713" s="308"/>
      <c r="AY713" s="304"/>
      <c r="AZ713" s="308"/>
      <c r="BA713" s="313"/>
      <c r="BB713" s="304"/>
      <c r="BC713" s="308"/>
      <c r="BD713" s="308"/>
    </row>
    <row r="714">
      <c r="A714" s="301"/>
      <c r="B714" s="301"/>
      <c r="C714" s="303"/>
      <c r="D714" s="301"/>
      <c r="E714" s="309"/>
      <c r="F714" s="301"/>
      <c r="G714" s="301"/>
      <c r="H714" s="309"/>
      <c r="I714" s="327"/>
      <c r="J714" s="328"/>
      <c r="K714" s="326"/>
      <c r="L714" s="309"/>
      <c r="M714" s="308"/>
      <c r="N714" s="309"/>
      <c r="O714" s="322"/>
      <c r="P714" s="308"/>
      <c r="Q714" s="311"/>
      <c r="R714" s="309"/>
      <c r="S714" s="308"/>
      <c r="T714" s="309"/>
      <c r="U714" s="309"/>
      <c r="V714" s="308"/>
      <c r="W714" s="309"/>
      <c r="X714" s="309"/>
      <c r="Y714" s="308"/>
      <c r="Z714" s="309"/>
      <c r="AA714" s="312"/>
      <c r="AB714" s="308"/>
      <c r="AC714" s="308"/>
      <c r="AD714" s="312"/>
      <c r="AE714" s="308"/>
      <c r="AF714" s="313"/>
      <c r="AG714" s="304"/>
      <c r="AH714" s="308"/>
      <c r="AI714" s="313"/>
      <c r="AJ714" s="304"/>
      <c r="AK714" s="308"/>
      <c r="AL714" s="308"/>
      <c r="AM714" s="304"/>
      <c r="AN714" s="308"/>
      <c r="AO714" s="313"/>
      <c r="AP714" s="304"/>
      <c r="AQ714" s="308"/>
      <c r="AR714" s="313"/>
      <c r="AS714" s="304"/>
      <c r="AT714" s="308"/>
      <c r="AU714" s="308"/>
      <c r="AV714" s="304"/>
      <c r="AW714" s="308"/>
      <c r="AX714" s="308"/>
      <c r="AY714" s="304"/>
      <c r="AZ714" s="308"/>
      <c r="BA714" s="313"/>
      <c r="BB714" s="304"/>
      <c r="BC714" s="308"/>
      <c r="BD714" s="308"/>
    </row>
    <row r="715">
      <c r="A715" s="301"/>
      <c r="B715" s="301"/>
      <c r="C715" s="303"/>
      <c r="D715" s="301"/>
      <c r="E715" s="309"/>
      <c r="F715" s="301"/>
      <c r="G715" s="301"/>
      <c r="H715" s="309"/>
      <c r="I715" s="327"/>
      <c r="J715" s="328"/>
      <c r="K715" s="326"/>
      <c r="L715" s="309"/>
      <c r="M715" s="308"/>
      <c r="N715" s="309"/>
      <c r="O715" s="322"/>
      <c r="P715" s="308"/>
      <c r="Q715" s="311"/>
      <c r="R715" s="309"/>
      <c r="S715" s="308"/>
      <c r="T715" s="309"/>
      <c r="U715" s="309"/>
      <c r="V715" s="308"/>
      <c r="W715" s="309"/>
      <c r="X715" s="309"/>
      <c r="Y715" s="308"/>
      <c r="Z715" s="309"/>
      <c r="AA715" s="312"/>
      <c r="AB715" s="308"/>
      <c r="AC715" s="308"/>
      <c r="AD715" s="312"/>
      <c r="AE715" s="308"/>
      <c r="AF715" s="313"/>
      <c r="AG715" s="304"/>
      <c r="AH715" s="308"/>
      <c r="AI715" s="313"/>
      <c r="AJ715" s="304"/>
      <c r="AK715" s="308"/>
      <c r="AL715" s="308"/>
      <c r="AM715" s="304"/>
      <c r="AN715" s="308"/>
      <c r="AO715" s="313"/>
      <c r="AP715" s="304"/>
      <c r="AQ715" s="308"/>
      <c r="AR715" s="313"/>
      <c r="AS715" s="304"/>
      <c r="AT715" s="308"/>
      <c r="AU715" s="308"/>
      <c r="AV715" s="304"/>
      <c r="AW715" s="308"/>
      <c r="AX715" s="308"/>
      <c r="AY715" s="304"/>
      <c r="AZ715" s="308"/>
      <c r="BA715" s="313"/>
      <c r="BB715" s="304"/>
      <c r="BC715" s="308"/>
      <c r="BD715" s="308"/>
    </row>
    <row r="716">
      <c r="A716" s="301"/>
      <c r="B716" s="301"/>
      <c r="C716" s="303"/>
      <c r="D716" s="301"/>
      <c r="E716" s="309"/>
      <c r="F716" s="301"/>
      <c r="G716" s="301"/>
      <c r="H716" s="309"/>
      <c r="I716" s="327"/>
      <c r="J716" s="328"/>
      <c r="K716" s="326"/>
      <c r="L716" s="309"/>
      <c r="M716" s="308"/>
      <c r="N716" s="309"/>
      <c r="O716" s="322"/>
      <c r="P716" s="308"/>
      <c r="Q716" s="311"/>
      <c r="R716" s="309"/>
      <c r="S716" s="308"/>
      <c r="T716" s="309"/>
      <c r="U716" s="309"/>
      <c r="V716" s="308"/>
      <c r="W716" s="309"/>
      <c r="X716" s="309"/>
      <c r="Y716" s="308"/>
      <c r="Z716" s="309"/>
      <c r="AA716" s="312"/>
      <c r="AB716" s="308"/>
      <c r="AC716" s="308"/>
      <c r="AD716" s="312"/>
      <c r="AE716" s="308"/>
      <c r="AF716" s="313"/>
      <c r="AG716" s="304"/>
      <c r="AH716" s="308"/>
      <c r="AI716" s="313"/>
      <c r="AJ716" s="304"/>
      <c r="AK716" s="308"/>
      <c r="AL716" s="308"/>
      <c r="AM716" s="304"/>
      <c r="AN716" s="308"/>
      <c r="AO716" s="313"/>
      <c r="AP716" s="304"/>
      <c r="AQ716" s="308"/>
      <c r="AR716" s="313"/>
      <c r="AS716" s="304"/>
      <c r="AT716" s="308"/>
      <c r="AU716" s="308"/>
      <c r="AV716" s="304"/>
      <c r="AW716" s="308"/>
      <c r="AX716" s="308"/>
      <c r="AY716" s="304"/>
      <c r="AZ716" s="308"/>
      <c r="BA716" s="313"/>
      <c r="BB716" s="304"/>
      <c r="BC716" s="308"/>
      <c r="BD716" s="308"/>
    </row>
    <row r="717">
      <c r="A717" s="301"/>
      <c r="B717" s="301"/>
      <c r="C717" s="303"/>
      <c r="D717" s="301"/>
      <c r="E717" s="309"/>
      <c r="F717" s="301"/>
      <c r="G717" s="301"/>
      <c r="H717" s="309"/>
      <c r="I717" s="327"/>
      <c r="J717" s="328"/>
      <c r="K717" s="326"/>
      <c r="L717" s="309"/>
      <c r="M717" s="308"/>
      <c r="N717" s="309"/>
      <c r="O717" s="322"/>
      <c r="P717" s="308"/>
      <c r="Q717" s="311"/>
      <c r="R717" s="309"/>
      <c r="S717" s="308"/>
      <c r="T717" s="309"/>
      <c r="U717" s="309"/>
      <c r="V717" s="308"/>
      <c r="W717" s="309"/>
      <c r="X717" s="309"/>
      <c r="Y717" s="308"/>
      <c r="Z717" s="309"/>
      <c r="AA717" s="312"/>
      <c r="AB717" s="308"/>
      <c r="AC717" s="308"/>
      <c r="AD717" s="312"/>
      <c r="AE717" s="308"/>
      <c r="AF717" s="313"/>
      <c r="AG717" s="304"/>
      <c r="AH717" s="308"/>
      <c r="AI717" s="313"/>
      <c r="AJ717" s="304"/>
      <c r="AK717" s="308"/>
      <c r="AL717" s="308"/>
      <c r="AM717" s="304"/>
      <c r="AN717" s="308"/>
      <c r="AO717" s="313"/>
      <c r="AP717" s="304"/>
      <c r="AQ717" s="308"/>
      <c r="AR717" s="313"/>
      <c r="AS717" s="304"/>
      <c r="AT717" s="308"/>
      <c r="AU717" s="308"/>
      <c r="AV717" s="304"/>
      <c r="AW717" s="308"/>
      <c r="AX717" s="308"/>
      <c r="AY717" s="304"/>
      <c r="AZ717" s="308"/>
      <c r="BA717" s="313"/>
      <c r="BB717" s="304"/>
      <c r="BC717" s="308"/>
      <c r="BD717" s="308"/>
    </row>
    <row r="718">
      <c r="A718" s="301"/>
      <c r="B718" s="301"/>
      <c r="C718" s="303"/>
      <c r="D718" s="301"/>
      <c r="E718" s="309"/>
      <c r="F718" s="301"/>
      <c r="G718" s="301"/>
      <c r="H718" s="309"/>
      <c r="I718" s="327"/>
      <c r="J718" s="328"/>
      <c r="K718" s="326"/>
      <c r="L718" s="309"/>
      <c r="M718" s="308"/>
      <c r="N718" s="309"/>
      <c r="O718" s="322"/>
      <c r="P718" s="308"/>
      <c r="Q718" s="311"/>
      <c r="R718" s="309"/>
      <c r="S718" s="308"/>
      <c r="T718" s="309"/>
      <c r="U718" s="309"/>
      <c r="V718" s="308"/>
      <c r="W718" s="309"/>
      <c r="X718" s="309"/>
      <c r="Y718" s="308"/>
      <c r="Z718" s="309"/>
      <c r="AA718" s="312"/>
      <c r="AB718" s="308"/>
      <c r="AC718" s="308"/>
      <c r="AD718" s="312"/>
      <c r="AE718" s="308"/>
      <c r="AF718" s="313"/>
      <c r="AG718" s="304"/>
      <c r="AH718" s="308"/>
      <c r="AI718" s="313"/>
      <c r="AJ718" s="304"/>
      <c r="AK718" s="308"/>
      <c r="AL718" s="308"/>
      <c r="AM718" s="304"/>
      <c r="AN718" s="308"/>
      <c r="AO718" s="313"/>
      <c r="AP718" s="304"/>
      <c r="AQ718" s="308"/>
      <c r="AR718" s="313"/>
      <c r="AS718" s="304"/>
      <c r="AT718" s="308"/>
      <c r="AU718" s="308"/>
      <c r="AV718" s="304"/>
      <c r="AW718" s="308"/>
      <c r="AX718" s="308"/>
      <c r="AY718" s="304"/>
      <c r="AZ718" s="308"/>
      <c r="BA718" s="313"/>
      <c r="BB718" s="304"/>
      <c r="BC718" s="308"/>
      <c r="BD718" s="308"/>
    </row>
    <row r="719">
      <c r="A719" s="301"/>
      <c r="B719" s="301"/>
      <c r="C719" s="303"/>
      <c r="D719" s="301"/>
      <c r="E719" s="309"/>
      <c r="F719" s="301"/>
      <c r="G719" s="301"/>
      <c r="H719" s="309"/>
      <c r="I719" s="327"/>
      <c r="J719" s="328"/>
      <c r="K719" s="326"/>
      <c r="L719" s="309"/>
      <c r="M719" s="308"/>
      <c r="N719" s="309"/>
      <c r="O719" s="322"/>
      <c r="P719" s="308"/>
      <c r="Q719" s="311"/>
      <c r="R719" s="309"/>
      <c r="S719" s="308"/>
      <c r="T719" s="309"/>
      <c r="U719" s="309"/>
      <c r="V719" s="308"/>
      <c r="W719" s="309"/>
      <c r="X719" s="309"/>
      <c r="Y719" s="308"/>
      <c r="Z719" s="309"/>
      <c r="AA719" s="312"/>
      <c r="AB719" s="308"/>
      <c r="AC719" s="308"/>
      <c r="AD719" s="312"/>
      <c r="AE719" s="308"/>
      <c r="AF719" s="313"/>
      <c r="AG719" s="304"/>
      <c r="AH719" s="308"/>
      <c r="AI719" s="313"/>
      <c r="AJ719" s="304"/>
      <c r="AK719" s="308"/>
      <c r="AL719" s="308"/>
      <c r="AM719" s="304"/>
      <c r="AN719" s="308"/>
      <c r="AO719" s="313"/>
      <c r="AP719" s="304"/>
      <c r="AQ719" s="308"/>
      <c r="AR719" s="313"/>
      <c r="AS719" s="304"/>
      <c r="AT719" s="308"/>
      <c r="AU719" s="308"/>
      <c r="AV719" s="304"/>
      <c r="AW719" s="308"/>
      <c r="AX719" s="308"/>
      <c r="AY719" s="304"/>
      <c r="AZ719" s="308"/>
      <c r="BA719" s="313"/>
      <c r="BB719" s="304"/>
      <c r="BC719" s="308"/>
      <c r="BD719" s="308"/>
    </row>
    <row r="720">
      <c r="A720" s="301"/>
      <c r="B720" s="301"/>
      <c r="C720" s="303"/>
      <c r="D720" s="301"/>
      <c r="E720" s="309"/>
      <c r="F720" s="301"/>
      <c r="G720" s="301"/>
      <c r="H720" s="309"/>
      <c r="I720" s="327"/>
      <c r="J720" s="328"/>
      <c r="K720" s="326"/>
      <c r="L720" s="309"/>
      <c r="M720" s="308"/>
      <c r="N720" s="309"/>
      <c r="O720" s="322"/>
      <c r="P720" s="308"/>
      <c r="Q720" s="311"/>
      <c r="R720" s="309"/>
      <c r="S720" s="308"/>
      <c r="T720" s="309"/>
      <c r="U720" s="309"/>
      <c r="V720" s="308"/>
      <c r="W720" s="309"/>
      <c r="X720" s="309"/>
      <c r="Y720" s="308"/>
      <c r="Z720" s="309"/>
      <c r="AA720" s="312"/>
      <c r="AB720" s="308"/>
      <c r="AC720" s="308"/>
      <c r="AD720" s="312"/>
      <c r="AE720" s="308"/>
      <c r="AF720" s="313"/>
      <c r="AG720" s="304"/>
      <c r="AH720" s="308"/>
      <c r="AI720" s="313"/>
      <c r="AJ720" s="304"/>
      <c r="AK720" s="308"/>
      <c r="AL720" s="308"/>
      <c r="AM720" s="304"/>
      <c r="AN720" s="308"/>
      <c r="AO720" s="313"/>
      <c r="AP720" s="304"/>
      <c r="AQ720" s="308"/>
      <c r="AR720" s="313"/>
      <c r="AS720" s="304"/>
      <c r="AT720" s="308"/>
      <c r="AU720" s="308"/>
      <c r="AV720" s="304"/>
      <c r="AW720" s="308"/>
      <c r="AX720" s="308"/>
      <c r="AY720" s="304"/>
      <c r="AZ720" s="308"/>
      <c r="BA720" s="313"/>
      <c r="BB720" s="304"/>
      <c r="BC720" s="308"/>
      <c r="BD720" s="308"/>
    </row>
    <row r="721">
      <c r="A721" s="301"/>
      <c r="B721" s="301"/>
      <c r="C721" s="303"/>
      <c r="D721" s="301"/>
      <c r="E721" s="309"/>
      <c r="F721" s="301"/>
      <c r="G721" s="301"/>
      <c r="H721" s="309"/>
      <c r="I721" s="327"/>
      <c r="J721" s="328"/>
      <c r="K721" s="326"/>
      <c r="L721" s="309"/>
      <c r="M721" s="308"/>
      <c r="N721" s="309"/>
      <c r="O721" s="322"/>
      <c r="P721" s="308"/>
      <c r="Q721" s="311"/>
      <c r="R721" s="309"/>
      <c r="S721" s="308"/>
      <c r="T721" s="309"/>
      <c r="U721" s="309"/>
      <c r="V721" s="308"/>
      <c r="W721" s="309"/>
      <c r="X721" s="309"/>
      <c r="Y721" s="308"/>
      <c r="Z721" s="309"/>
      <c r="AA721" s="312"/>
      <c r="AB721" s="308"/>
      <c r="AC721" s="308"/>
      <c r="AD721" s="312"/>
      <c r="AE721" s="308"/>
      <c r="AF721" s="313"/>
      <c r="AG721" s="304"/>
      <c r="AH721" s="308"/>
      <c r="AI721" s="313"/>
      <c r="AJ721" s="304"/>
      <c r="AK721" s="308"/>
      <c r="AL721" s="308"/>
      <c r="AM721" s="304"/>
      <c r="AN721" s="308"/>
      <c r="AO721" s="313"/>
      <c r="AP721" s="304"/>
      <c r="AQ721" s="308"/>
      <c r="AR721" s="313"/>
      <c r="AS721" s="304"/>
      <c r="AT721" s="308"/>
      <c r="AU721" s="308"/>
      <c r="AV721" s="304"/>
      <c r="AW721" s="308"/>
      <c r="AX721" s="308"/>
      <c r="AY721" s="304"/>
      <c r="AZ721" s="308"/>
      <c r="BA721" s="313"/>
      <c r="BB721" s="304"/>
      <c r="BC721" s="308"/>
      <c r="BD721" s="308"/>
    </row>
    <row r="722">
      <c r="A722" s="301"/>
      <c r="B722" s="301"/>
      <c r="C722" s="303"/>
      <c r="D722" s="301"/>
      <c r="E722" s="309"/>
      <c r="F722" s="301"/>
      <c r="G722" s="301"/>
      <c r="H722" s="309"/>
      <c r="I722" s="327"/>
      <c r="J722" s="328"/>
      <c r="K722" s="326"/>
      <c r="L722" s="309"/>
      <c r="M722" s="308"/>
      <c r="N722" s="309"/>
      <c r="O722" s="322"/>
      <c r="P722" s="308"/>
      <c r="Q722" s="311"/>
      <c r="R722" s="309"/>
      <c r="S722" s="308"/>
      <c r="T722" s="309"/>
      <c r="U722" s="309"/>
      <c r="V722" s="308"/>
      <c r="W722" s="309"/>
      <c r="X722" s="309"/>
      <c r="Y722" s="308"/>
      <c r="Z722" s="309"/>
      <c r="AA722" s="312"/>
      <c r="AB722" s="308"/>
      <c r="AC722" s="308"/>
      <c r="AD722" s="312"/>
      <c r="AE722" s="308"/>
      <c r="AF722" s="313"/>
      <c r="AG722" s="304"/>
      <c r="AH722" s="308"/>
      <c r="AI722" s="313"/>
      <c r="AJ722" s="304"/>
      <c r="AK722" s="308"/>
      <c r="AL722" s="308"/>
      <c r="AM722" s="304"/>
      <c r="AN722" s="308"/>
      <c r="AO722" s="313"/>
      <c r="AP722" s="304"/>
      <c r="AQ722" s="308"/>
      <c r="AR722" s="313"/>
      <c r="AS722" s="304"/>
      <c r="AT722" s="308"/>
      <c r="AU722" s="308"/>
      <c r="AV722" s="304"/>
      <c r="AW722" s="308"/>
      <c r="AX722" s="308"/>
      <c r="AY722" s="304"/>
      <c r="AZ722" s="308"/>
      <c r="BA722" s="313"/>
      <c r="BB722" s="304"/>
      <c r="BC722" s="308"/>
      <c r="BD722" s="308"/>
    </row>
    <row r="723">
      <c r="A723" s="301"/>
      <c r="B723" s="301"/>
      <c r="C723" s="303"/>
      <c r="D723" s="301"/>
      <c r="E723" s="309"/>
      <c r="F723" s="301"/>
      <c r="G723" s="301"/>
      <c r="H723" s="309"/>
      <c r="I723" s="327"/>
      <c r="J723" s="328"/>
      <c r="K723" s="326"/>
      <c r="L723" s="309"/>
      <c r="M723" s="308"/>
      <c r="N723" s="309"/>
      <c r="O723" s="322"/>
      <c r="P723" s="308"/>
      <c r="Q723" s="311"/>
      <c r="R723" s="309"/>
      <c r="S723" s="308"/>
      <c r="T723" s="309"/>
      <c r="U723" s="309"/>
      <c r="V723" s="308"/>
      <c r="W723" s="309"/>
      <c r="X723" s="309"/>
      <c r="Y723" s="308"/>
      <c r="Z723" s="309"/>
      <c r="AA723" s="312"/>
      <c r="AB723" s="308"/>
      <c r="AC723" s="308"/>
      <c r="AD723" s="312"/>
      <c r="AE723" s="308"/>
      <c r="AF723" s="313"/>
      <c r="AG723" s="304"/>
      <c r="AH723" s="308"/>
      <c r="AI723" s="313"/>
      <c r="AJ723" s="304"/>
      <c r="AK723" s="308"/>
      <c r="AL723" s="308"/>
      <c r="AM723" s="304"/>
      <c r="AN723" s="308"/>
      <c r="AO723" s="313"/>
      <c r="AP723" s="304"/>
      <c r="AQ723" s="308"/>
      <c r="AR723" s="313"/>
      <c r="AS723" s="304"/>
      <c r="AT723" s="308"/>
      <c r="AU723" s="308"/>
      <c r="AV723" s="304"/>
      <c r="AW723" s="308"/>
      <c r="AX723" s="308"/>
      <c r="AY723" s="304"/>
      <c r="AZ723" s="308"/>
      <c r="BA723" s="313"/>
      <c r="BB723" s="304"/>
      <c r="BC723" s="308"/>
      <c r="BD723" s="308"/>
    </row>
    <row r="724">
      <c r="A724" s="301"/>
      <c r="B724" s="301"/>
      <c r="C724" s="303"/>
      <c r="D724" s="301"/>
      <c r="E724" s="309"/>
      <c r="F724" s="301"/>
      <c r="G724" s="301"/>
      <c r="H724" s="309"/>
      <c r="I724" s="327"/>
      <c r="J724" s="328"/>
      <c r="K724" s="326"/>
      <c r="L724" s="309"/>
      <c r="M724" s="308"/>
      <c r="N724" s="309"/>
      <c r="O724" s="322"/>
      <c r="P724" s="308"/>
      <c r="Q724" s="311"/>
      <c r="R724" s="309"/>
      <c r="S724" s="308"/>
      <c r="T724" s="309"/>
      <c r="U724" s="309"/>
      <c r="V724" s="308"/>
      <c r="W724" s="309"/>
      <c r="X724" s="309"/>
      <c r="Y724" s="308"/>
      <c r="Z724" s="309"/>
      <c r="AA724" s="312"/>
      <c r="AB724" s="308"/>
      <c r="AC724" s="308"/>
      <c r="AD724" s="312"/>
      <c r="AE724" s="308"/>
      <c r="AF724" s="313"/>
      <c r="AG724" s="304"/>
      <c r="AH724" s="308"/>
      <c r="AI724" s="313"/>
      <c r="AJ724" s="304"/>
      <c r="AK724" s="308"/>
      <c r="AL724" s="308"/>
      <c r="AM724" s="304"/>
      <c r="AN724" s="308"/>
      <c r="AO724" s="313"/>
      <c r="AP724" s="304"/>
      <c r="AQ724" s="308"/>
      <c r="AR724" s="313"/>
      <c r="AS724" s="304"/>
      <c r="AT724" s="308"/>
      <c r="AU724" s="308"/>
      <c r="AV724" s="304"/>
      <c r="AW724" s="308"/>
      <c r="AX724" s="308"/>
      <c r="AY724" s="304"/>
      <c r="AZ724" s="308"/>
      <c r="BA724" s="313"/>
      <c r="BB724" s="304"/>
      <c r="BC724" s="308"/>
      <c r="BD724" s="308"/>
    </row>
    <row r="725">
      <c r="A725" s="301"/>
      <c r="B725" s="301"/>
      <c r="C725" s="303"/>
      <c r="D725" s="301"/>
      <c r="E725" s="309"/>
      <c r="F725" s="301"/>
      <c r="G725" s="301"/>
      <c r="H725" s="309"/>
      <c r="I725" s="327"/>
      <c r="J725" s="328"/>
      <c r="K725" s="326"/>
      <c r="L725" s="309"/>
      <c r="M725" s="308"/>
      <c r="N725" s="309"/>
      <c r="O725" s="322"/>
      <c r="P725" s="308"/>
      <c r="Q725" s="311"/>
      <c r="R725" s="309"/>
      <c r="S725" s="308"/>
      <c r="T725" s="309"/>
      <c r="U725" s="309"/>
      <c r="V725" s="308"/>
      <c r="W725" s="309"/>
      <c r="X725" s="309"/>
      <c r="Y725" s="308"/>
      <c r="Z725" s="309"/>
      <c r="AA725" s="312"/>
      <c r="AB725" s="308"/>
      <c r="AC725" s="308"/>
      <c r="AD725" s="312"/>
      <c r="AE725" s="308"/>
      <c r="AF725" s="313"/>
      <c r="AG725" s="304"/>
      <c r="AH725" s="308"/>
      <c r="AI725" s="313"/>
      <c r="AJ725" s="304"/>
      <c r="AK725" s="308"/>
      <c r="AL725" s="308"/>
      <c r="AM725" s="304"/>
      <c r="AN725" s="308"/>
      <c r="AO725" s="313"/>
      <c r="AP725" s="304"/>
      <c r="AQ725" s="308"/>
      <c r="AR725" s="313"/>
      <c r="AS725" s="304"/>
      <c r="AT725" s="308"/>
      <c r="AU725" s="308"/>
      <c r="AV725" s="304"/>
      <c r="AW725" s="308"/>
      <c r="AX725" s="308"/>
      <c r="AY725" s="304"/>
      <c r="AZ725" s="308"/>
      <c r="BA725" s="313"/>
      <c r="BB725" s="304"/>
      <c r="BC725" s="308"/>
      <c r="BD725" s="308"/>
    </row>
    <row r="726">
      <c r="A726" s="301"/>
      <c r="B726" s="301"/>
      <c r="C726" s="303"/>
      <c r="D726" s="301"/>
      <c r="E726" s="309"/>
      <c r="F726" s="301"/>
      <c r="G726" s="301"/>
      <c r="H726" s="309"/>
      <c r="I726" s="327"/>
      <c r="J726" s="328"/>
      <c r="K726" s="326"/>
      <c r="L726" s="309"/>
      <c r="M726" s="308"/>
      <c r="N726" s="309"/>
      <c r="O726" s="322"/>
      <c r="P726" s="308"/>
      <c r="Q726" s="311"/>
      <c r="R726" s="309"/>
      <c r="S726" s="308"/>
      <c r="T726" s="309"/>
      <c r="U726" s="309"/>
      <c r="V726" s="308"/>
      <c r="W726" s="309"/>
      <c r="X726" s="309"/>
      <c r="Y726" s="308"/>
      <c r="Z726" s="309"/>
      <c r="AA726" s="312"/>
      <c r="AB726" s="308"/>
      <c r="AC726" s="308"/>
      <c r="AD726" s="312"/>
      <c r="AE726" s="308"/>
      <c r="AF726" s="313"/>
      <c r="AG726" s="304"/>
      <c r="AH726" s="308"/>
      <c r="AI726" s="313"/>
      <c r="AJ726" s="304"/>
      <c r="AK726" s="308"/>
      <c r="AL726" s="308"/>
      <c r="AM726" s="304"/>
      <c r="AN726" s="308"/>
      <c r="AO726" s="313"/>
      <c r="AP726" s="304"/>
      <c r="AQ726" s="308"/>
      <c r="AR726" s="313"/>
      <c r="AS726" s="304"/>
      <c r="AT726" s="308"/>
      <c r="AU726" s="308"/>
      <c r="AV726" s="304"/>
      <c r="AW726" s="308"/>
      <c r="AX726" s="308"/>
      <c r="AY726" s="304"/>
      <c r="AZ726" s="308"/>
      <c r="BA726" s="313"/>
      <c r="BB726" s="304"/>
      <c r="BC726" s="308"/>
      <c r="BD726" s="308"/>
    </row>
    <row r="727">
      <c r="A727" s="301"/>
      <c r="B727" s="301"/>
      <c r="C727" s="303"/>
      <c r="D727" s="301"/>
      <c r="E727" s="309"/>
      <c r="F727" s="301"/>
      <c r="G727" s="301"/>
      <c r="H727" s="309"/>
      <c r="I727" s="327"/>
      <c r="J727" s="328"/>
      <c r="K727" s="326"/>
      <c r="L727" s="309"/>
      <c r="M727" s="308"/>
      <c r="N727" s="309"/>
      <c r="O727" s="322"/>
      <c r="P727" s="308"/>
      <c r="Q727" s="311"/>
      <c r="R727" s="309"/>
      <c r="S727" s="308"/>
      <c r="T727" s="309"/>
      <c r="U727" s="309"/>
      <c r="V727" s="308"/>
      <c r="W727" s="309"/>
      <c r="X727" s="309"/>
      <c r="Y727" s="308"/>
      <c r="Z727" s="309"/>
      <c r="AA727" s="312"/>
      <c r="AB727" s="308"/>
      <c r="AC727" s="308"/>
      <c r="AD727" s="312"/>
      <c r="AE727" s="308"/>
      <c r="AF727" s="313"/>
      <c r="AG727" s="304"/>
      <c r="AH727" s="308"/>
      <c r="AI727" s="313"/>
      <c r="AJ727" s="304"/>
      <c r="AK727" s="308"/>
      <c r="AL727" s="308"/>
      <c r="AM727" s="304"/>
      <c r="AN727" s="308"/>
      <c r="AO727" s="313"/>
      <c r="AP727" s="304"/>
      <c r="AQ727" s="308"/>
      <c r="AR727" s="313"/>
      <c r="AS727" s="304"/>
      <c r="AT727" s="308"/>
      <c r="AU727" s="308"/>
      <c r="AV727" s="304"/>
      <c r="AW727" s="308"/>
      <c r="AX727" s="308"/>
      <c r="AY727" s="304"/>
      <c r="AZ727" s="308"/>
      <c r="BA727" s="313"/>
      <c r="BB727" s="304"/>
      <c r="BC727" s="308"/>
      <c r="BD727" s="308"/>
    </row>
    <row r="728">
      <c r="A728" s="301"/>
      <c r="B728" s="301"/>
      <c r="C728" s="303"/>
      <c r="D728" s="301"/>
      <c r="E728" s="309"/>
      <c r="F728" s="301"/>
      <c r="G728" s="301"/>
      <c r="H728" s="309"/>
      <c r="I728" s="327"/>
      <c r="J728" s="328"/>
      <c r="K728" s="326"/>
      <c r="L728" s="309"/>
      <c r="M728" s="308"/>
      <c r="N728" s="309"/>
      <c r="O728" s="322"/>
      <c r="P728" s="308"/>
      <c r="Q728" s="311"/>
      <c r="R728" s="309"/>
      <c r="S728" s="308"/>
      <c r="T728" s="309"/>
      <c r="U728" s="309"/>
      <c r="V728" s="308"/>
      <c r="W728" s="309"/>
      <c r="X728" s="309"/>
      <c r="Y728" s="308"/>
      <c r="Z728" s="309"/>
      <c r="AA728" s="312"/>
      <c r="AB728" s="308"/>
      <c r="AC728" s="308"/>
      <c r="AD728" s="312"/>
      <c r="AE728" s="308"/>
      <c r="AF728" s="313"/>
      <c r="AG728" s="304"/>
      <c r="AH728" s="308"/>
      <c r="AI728" s="313"/>
      <c r="AJ728" s="304"/>
      <c r="AK728" s="308"/>
      <c r="AL728" s="308"/>
      <c r="AM728" s="304"/>
      <c r="AN728" s="308"/>
      <c r="AO728" s="313"/>
      <c r="AP728" s="304"/>
      <c r="AQ728" s="308"/>
      <c r="AR728" s="313"/>
      <c r="AS728" s="304"/>
      <c r="AT728" s="308"/>
      <c r="AU728" s="308"/>
      <c r="AV728" s="304"/>
      <c r="AW728" s="308"/>
      <c r="AX728" s="308"/>
      <c r="AY728" s="304"/>
      <c r="AZ728" s="308"/>
      <c r="BA728" s="313"/>
      <c r="BB728" s="304"/>
      <c r="BC728" s="308"/>
      <c r="BD728" s="308"/>
    </row>
    <row r="729">
      <c r="A729" s="301"/>
      <c r="B729" s="301"/>
      <c r="C729" s="303"/>
      <c r="D729" s="301"/>
      <c r="E729" s="309"/>
      <c r="F729" s="301"/>
      <c r="G729" s="301"/>
      <c r="H729" s="309"/>
      <c r="I729" s="327"/>
      <c r="J729" s="328"/>
      <c r="K729" s="326"/>
      <c r="L729" s="309"/>
      <c r="M729" s="308"/>
      <c r="N729" s="309"/>
      <c r="O729" s="322"/>
      <c r="P729" s="308"/>
      <c r="Q729" s="311"/>
      <c r="R729" s="309"/>
      <c r="S729" s="308"/>
      <c r="T729" s="309"/>
      <c r="U729" s="309"/>
      <c r="V729" s="308"/>
      <c r="W729" s="309"/>
      <c r="X729" s="309"/>
      <c r="Y729" s="308"/>
      <c r="Z729" s="309"/>
      <c r="AA729" s="312"/>
      <c r="AB729" s="308"/>
      <c r="AC729" s="308"/>
      <c r="AD729" s="312"/>
      <c r="AE729" s="308"/>
      <c r="AF729" s="313"/>
      <c r="AG729" s="304"/>
      <c r="AH729" s="308"/>
      <c r="AI729" s="313"/>
      <c r="AJ729" s="304"/>
      <c r="AK729" s="308"/>
      <c r="AL729" s="308"/>
      <c r="AM729" s="304"/>
      <c r="AN729" s="308"/>
      <c r="AO729" s="313"/>
      <c r="AP729" s="304"/>
      <c r="AQ729" s="308"/>
      <c r="AR729" s="313"/>
      <c r="AS729" s="304"/>
      <c r="AT729" s="308"/>
      <c r="AU729" s="308"/>
      <c r="AV729" s="304"/>
      <c r="AW729" s="308"/>
      <c r="AX729" s="308"/>
      <c r="AY729" s="304"/>
      <c r="AZ729" s="308"/>
      <c r="BA729" s="313"/>
      <c r="BB729" s="304"/>
      <c r="BC729" s="308"/>
      <c r="BD729" s="308"/>
    </row>
    <row r="730">
      <c r="A730" s="301"/>
      <c r="B730" s="301"/>
      <c r="C730" s="303"/>
      <c r="D730" s="301"/>
      <c r="E730" s="309"/>
      <c r="F730" s="301"/>
      <c r="G730" s="301"/>
      <c r="H730" s="309"/>
      <c r="I730" s="327"/>
      <c r="J730" s="328"/>
      <c r="K730" s="326"/>
      <c r="L730" s="309"/>
      <c r="M730" s="308"/>
      <c r="N730" s="309"/>
      <c r="O730" s="322"/>
      <c r="P730" s="308"/>
      <c r="Q730" s="311"/>
      <c r="R730" s="309"/>
      <c r="S730" s="308"/>
      <c r="T730" s="309"/>
      <c r="U730" s="309"/>
      <c r="V730" s="308"/>
      <c r="W730" s="309"/>
      <c r="X730" s="309"/>
      <c r="Y730" s="308"/>
      <c r="Z730" s="309"/>
      <c r="AA730" s="312"/>
      <c r="AB730" s="308"/>
      <c r="AC730" s="308"/>
      <c r="AD730" s="312"/>
      <c r="AE730" s="308"/>
      <c r="AF730" s="313"/>
      <c r="AG730" s="304"/>
      <c r="AH730" s="308"/>
      <c r="AI730" s="313"/>
      <c r="AJ730" s="304"/>
      <c r="AK730" s="308"/>
      <c r="AL730" s="308"/>
      <c r="AM730" s="304"/>
      <c r="AN730" s="308"/>
      <c r="AO730" s="313"/>
      <c r="AP730" s="304"/>
      <c r="AQ730" s="308"/>
      <c r="AR730" s="313"/>
      <c r="AS730" s="304"/>
      <c r="AT730" s="308"/>
      <c r="AU730" s="308"/>
      <c r="AV730" s="304"/>
      <c r="AW730" s="308"/>
      <c r="AX730" s="308"/>
      <c r="AY730" s="304"/>
      <c r="AZ730" s="308"/>
      <c r="BA730" s="313"/>
      <c r="BB730" s="304"/>
      <c r="BC730" s="308"/>
      <c r="BD730" s="308"/>
    </row>
    <row r="731">
      <c r="A731" s="301"/>
      <c r="B731" s="301"/>
      <c r="C731" s="303"/>
      <c r="D731" s="301"/>
      <c r="E731" s="309"/>
      <c r="F731" s="301"/>
      <c r="G731" s="301"/>
      <c r="H731" s="309"/>
      <c r="I731" s="327"/>
      <c r="J731" s="328"/>
      <c r="K731" s="326"/>
      <c r="L731" s="309"/>
      <c r="M731" s="308"/>
      <c r="N731" s="309"/>
      <c r="O731" s="322"/>
      <c r="P731" s="308"/>
      <c r="Q731" s="311"/>
      <c r="R731" s="309"/>
      <c r="S731" s="308"/>
      <c r="T731" s="309"/>
      <c r="U731" s="309"/>
      <c r="V731" s="308"/>
      <c r="W731" s="309"/>
      <c r="X731" s="309"/>
      <c r="Y731" s="308"/>
      <c r="Z731" s="309"/>
      <c r="AA731" s="312"/>
      <c r="AB731" s="308"/>
      <c r="AC731" s="308"/>
      <c r="AD731" s="312"/>
      <c r="AE731" s="308"/>
      <c r="AF731" s="313"/>
      <c r="AG731" s="304"/>
      <c r="AH731" s="308"/>
      <c r="AI731" s="313"/>
      <c r="AJ731" s="304"/>
      <c r="AK731" s="308"/>
      <c r="AL731" s="308"/>
      <c r="AM731" s="304"/>
      <c r="AN731" s="308"/>
      <c r="AO731" s="313"/>
      <c r="AP731" s="304"/>
      <c r="AQ731" s="308"/>
      <c r="AR731" s="313"/>
      <c r="AS731" s="304"/>
      <c r="AT731" s="308"/>
      <c r="AU731" s="308"/>
      <c r="AV731" s="304"/>
      <c r="AW731" s="308"/>
      <c r="AX731" s="308"/>
      <c r="AY731" s="304"/>
      <c r="AZ731" s="308"/>
      <c r="BA731" s="313"/>
      <c r="BB731" s="304"/>
      <c r="BC731" s="308"/>
      <c r="BD731" s="308"/>
    </row>
    <row r="732">
      <c r="A732" s="301"/>
      <c r="B732" s="301"/>
      <c r="C732" s="303"/>
      <c r="D732" s="301"/>
      <c r="E732" s="309"/>
      <c r="F732" s="301"/>
      <c r="G732" s="301"/>
      <c r="H732" s="309"/>
      <c r="I732" s="327"/>
      <c r="J732" s="328"/>
      <c r="K732" s="326"/>
      <c r="L732" s="309"/>
      <c r="M732" s="308"/>
      <c r="N732" s="309"/>
      <c r="O732" s="322"/>
      <c r="P732" s="308"/>
      <c r="Q732" s="311"/>
      <c r="R732" s="309"/>
      <c r="S732" s="308"/>
      <c r="T732" s="309"/>
      <c r="U732" s="309"/>
      <c r="V732" s="308"/>
      <c r="W732" s="309"/>
      <c r="X732" s="309"/>
      <c r="Y732" s="308"/>
      <c r="Z732" s="309"/>
      <c r="AA732" s="312"/>
      <c r="AB732" s="308"/>
      <c r="AC732" s="308"/>
      <c r="AD732" s="312"/>
      <c r="AE732" s="308"/>
      <c r="AF732" s="313"/>
      <c r="AG732" s="304"/>
      <c r="AH732" s="308"/>
      <c r="AI732" s="313"/>
      <c r="AJ732" s="304"/>
      <c r="AK732" s="308"/>
      <c r="AL732" s="308"/>
      <c r="AM732" s="304"/>
      <c r="AN732" s="308"/>
      <c r="AO732" s="313"/>
      <c r="AP732" s="304"/>
      <c r="AQ732" s="308"/>
      <c r="AR732" s="313"/>
      <c r="AS732" s="304"/>
      <c r="AT732" s="308"/>
      <c r="AU732" s="308"/>
      <c r="AV732" s="304"/>
      <c r="AW732" s="308"/>
      <c r="AX732" s="308"/>
      <c r="AY732" s="304"/>
      <c r="AZ732" s="308"/>
      <c r="BA732" s="313"/>
      <c r="BB732" s="304"/>
      <c r="BC732" s="308"/>
      <c r="BD732" s="308"/>
    </row>
    <row r="733">
      <c r="A733" s="301"/>
      <c r="B733" s="301"/>
      <c r="C733" s="303"/>
      <c r="D733" s="301"/>
      <c r="E733" s="309"/>
      <c r="F733" s="301"/>
      <c r="G733" s="301"/>
      <c r="H733" s="309"/>
      <c r="I733" s="327"/>
      <c r="J733" s="328"/>
      <c r="K733" s="326"/>
      <c r="L733" s="309"/>
      <c r="M733" s="308"/>
      <c r="N733" s="309"/>
      <c r="O733" s="322"/>
      <c r="P733" s="308"/>
      <c r="Q733" s="311"/>
      <c r="R733" s="309"/>
      <c r="S733" s="308"/>
      <c r="T733" s="309"/>
      <c r="U733" s="309"/>
      <c r="V733" s="308"/>
      <c r="W733" s="309"/>
      <c r="X733" s="309"/>
      <c r="Y733" s="308"/>
      <c r="Z733" s="309"/>
      <c r="AA733" s="312"/>
      <c r="AB733" s="308"/>
      <c r="AC733" s="308"/>
      <c r="AD733" s="312"/>
      <c r="AE733" s="308"/>
      <c r="AF733" s="313"/>
      <c r="AG733" s="304"/>
      <c r="AH733" s="308"/>
      <c r="AI733" s="313"/>
      <c r="AJ733" s="304"/>
      <c r="AK733" s="308"/>
      <c r="AL733" s="308"/>
      <c r="AM733" s="304"/>
      <c r="AN733" s="308"/>
      <c r="AO733" s="313"/>
      <c r="AP733" s="304"/>
      <c r="AQ733" s="308"/>
      <c r="AR733" s="313"/>
      <c r="AS733" s="304"/>
      <c r="AT733" s="308"/>
      <c r="AU733" s="308"/>
      <c r="AV733" s="304"/>
      <c r="AW733" s="308"/>
      <c r="AX733" s="308"/>
      <c r="AY733" s="304"/>
      <c r="AZ733" s="308"/>
      <c r="BA733" s="313"/>
      <c r="BB733" s="304"/>
      <c r="BC733" s="308"/>
      <c r="BD733" s="308"/>
    </row>
    <row r="734">
      <c r="A734" s="301"/>
      <c r="B734" s="301"/>
      <c r="C734" s="303"/>
      <c r="D734" s="301"/>
      <c r="E734" s="309"/>
      <c r="F734" s="301"/>
      <c r="G734" s="301"/>
      <c r="H734" s="309"/>
      <c r="I734" s="327"/>
      <c r="J734" s="328"/>
      <c r="K734" s="326"/>
      <c r="L734" s="309"/>
      <c r="M734" s="308"/>
      <c r="N734" s="309"/>
      <c r="O734" s="322"/>
      <c r="P734" s="308"/>
      <c r="Q734" s="311"/>
      <c r="R734" s="309"/>
      <c r="S734" s="308"/>
      <c r="T734" s="309"/>
      <c r="U734" s="309"/>
      <c r="V734" s="308"/>
      <c r="W734" s="309"/>
      <c r="X734" s="309"/>
      <c r="Y734" s="308"/>
      <c r="Z734" s="309"/>
      <c r="AA734" s="312"/>
      <c r="AB734" s="308"/>
      <c r="AC734" s="308"/>
      <c r="AD734" s="312"/>
      <c r="AE734" s="308"/>
      <c r="AF734" s="313"/>
      <c r="AG734" s="304"/>
      <c r="AH734" s="308"/>
      <c r="AI734" s="313"/>
      <c r="AJ734" s="304"/>
      <c r="AK734" s="308"/>
      <c r="AL734" s="308"/>
      <c r="AM734" s="304"/>
      <c r="AN734" s="308"/>
      <c r="AO734" s="313"/>
      <c r="AP734" s="304"/>
      <c r="AQ734" s="308"/>
      <c r="AR734" s="313"/>
      <c r="AS734" s="304"/>
      <c r="AT734" s="308"/>
      <c r="AU734" s="308"/>
      <c r="AV734" s="304"/>
      <c r="AW734" s="308"/>
      <c r="AX734" s="308"/>
      <c r="AY734" s="304"/>
      <c r="AZ734" s="308"/>
      <c r="BA734" s="313"/>
      <c r="BB734" s="304"/>
      <c r="BC734" s="308"/>
      <c r="BD734" s="308"/>
    </row>
    <row r="735">
      <c r="A735" s="301"/>
      <c r="B735" s="301"/>
      <c r="C735" s="303"/>
      <c r="D735" s="301"/>
      <c r="E735" s="309"/>
      <c r="F735" s="301"/>
      <c r="G735" s="301"/>
      <c r="H735" s="309"/>
      <c r="I735" s="327"/>
      <c r="J735" s="328"/>
      <c r="K735" s="326"/>
      <c r="L735" s="309"/>
      <c r="M735" s="308"/>
      <c r="N735" s="309"/>
      <c r="O735" s="322"/>
      <c r="P735" s="308"/>
      <c r="Q735" s="311"/>
      <c r="R735" s="309"/>
      <c r="S735" s="308"/>
      <c r="T735" s="309"/>
      <c r="U735" s="309"/>
      <c r="V735" s="308"/>
      <c r="W735" s="309"/>
      <c r="X735" s="309"/>
      <c r="Y735" s="308"/>
      <c r="Z735" s="309"/>
      <c r="AA735" s="312"/>
      <c r="AB735" s="308"/>
      <c r="AC735" s="308"/>
      <c r="AD735" s="312"/>
      <c r="AE735" s="308"/>
      <c r="AF735" s="313"/>
      <c r="AG735" s="304"/>
      <c r="AH735" s="308"/>
      <c r="AI735" s="313"/>
      <c r="AJ735" s="304"/>
      <c r="AK735" s="308"/>
      <c r="AL735" s="308"/>
      <c r="AM735" s="304"/>
      <c r="AN735" s="308"/>
      <c r="AO735" s="313"/>
      <c r="AP735" s="304"/>
      <c r="AQ735" s="308"/>
      <c r="AR735" s="313"/>
      <c r="AS735" s="304"/>
      <c r="AT735" s="308"/>
      <c r="AU735" s="308"/>
      <c r="AV735" s="304"/>
      <c r="AW735" s="308"/>
      <c r="AX735" s="308"/>
      <c r="AY735" s="304"/>
      <c r="AZ735" s="308"/>
      <c r="BA735" s="313"/>
      <c r="BB735" s="304"/>
      <c r="BC735" s="308"/>
      <c r="BD735" s="308"/>
    </row>
    <row r="736">
      <c r="A736" s="301"/>
      <c r="B736" s="301"/>
      <c r="C736" s="303"/>
      <c r="D736" s="301"/>
      <c r="E736" s="309"/>
      <c r="F736" s="301"/>
      <c r="G736" s="301"/>
      <c r="H736" s="309"/>
      <c r="I736" s="327"/>
      <c r="J736" s="328"/>
      <c r="K736" s="326"/>
      <c r="L736" s="309"/>
      <c r="M736" s="308"/>
      <c r="N736" s="309"/>
      <c r="O736" s="322"/>
      <c r="P736" s="308"/>
      <c r="Q736" s="311"/>
      <c r="R736" s="309"/>
      <c r="S736" s="308"/>
      <c r="T736" s="309"/>
      <c r="U736" s="309"/>
      <c r="V736" s="308"/>
      <c r="W736" s="309"/>
      <c r="X736" s="309"/>
      <c r="Y736" s="308"/>
      <c r="Z736" s="309"/>
      <c r="AA736" s="312"/>
      <c r="AB736" s="308"/>
      <c r="AC736" s="308"/>
      <c r="AD736" s="312"/>
      <c r="AE736" s="308"/>
      <c r="AF736" s="313"/>
      <c r="AG736" s="304"/>
      <c r="AH736" s="308"/>
      <c r="AI736" s="313"/>
      <c r="AJ736" s="304"/>
      <c r="AK736" s="308"/>
      <c r="AL736" s="308"/>
      <c r="AM736" s="304"/>
      <c r="AN736" s="308"/>
      <c r="AO736" s="313"/>
      <c r="AP736" s="304"/>
      <c r="AQ736" s="308"/>
      <c r="AR736" s="313"/>
      <c r="AS736" s="304"/>
      <c r="AT736" s="308"/>
      <c r="AU736" s="308"/>
      <c r="AV736" s="304"/>
      <c r="AW736" s="308"/>
      <c r="AX736" s="308"/>
      <c r="AY736" s="304"/>
      <c r="AZ736" s="308"/>
      <c r="BA736" s="313"/>
      <c r="BB736" s="304"/>
      <c r="BC736" s="308"/>
      <c r="BD736" s="308"/>
    </row>
    <row r="737">
      <c r="A737" s="301"/>
      <c r="B737" s="301"/>
      <c r="C737" s="303"/>
      <c r="D737" s="301"/>
      <c r="E737" s="309"/>
      <c r="F737" s="301"/>
      <c r="G737" s="301"/>
      <c r="H737" s="309"/>
      <c r="I737" s="327"/>
      <c r="J737" s="328"/>
      <c r="K737" s="326"/>
      <c r="L737" s="309"/>
      <c r="M737" s="308"/>
      <c r="N737" s="309"/>
      <c r="O737" s="322"/>
      <c r="P737" s="308"/>
      <c r="Q737" s="311"/>
      <c r="R737" s="309"/>
      <c r="S737" s="308"/>
      <c r="T737" s="309"/>
      <c r="U737" s="309"/>
      <c r="V737" s="308"/>
      <c r="W737" s="309"/>
      <c r="X737" s="309"/>
      <c r="Y737" s="308"/>
      <c r="Z737" s="309"/>
      <c r="AA737" s="312"/>
      <c r="AB737" s="308"/>
      <c r="AC737" s="308"/>
      <c r="AD737" s="312"/>
      <c r="AE737" s="308"/>
      <c r="AF737" s="313"/>
      <c r="AG737" s="304"/>
      <c r="AH737" s="308"/>
      <c r="AI737" s="313"/>
      <c r="AJ737" s="304"/>
      <c r="AK737" s="308"/>
      <c r="AL737" s="308"/>
      <c r="AM737" s="304"/>
      <c r="AN737" s="308"/>
      <c r="AO737" s="313"/>
      <c r="AP737" s="304"/>
      <c r="AQ737" s="308"/>
      <c r="AR737" s="313"/>
      <c r="AS737" s="304"/>
      <c r="AT737" s="308"/>
      <c r="AU737" s="308"/>
      <c r="AV737" s="304"/>
      <c r="AW737" s="308"/>
      <c r="AX737" s="308"/>
      <c r="AY737" s="304"/>
      <c r="AZ737" s="308"/>
      <c r="BA737" s="313"/>
      <c r="BB737" s="304"/>
      <c r="BC737" s="308"/>
      <c r="BD737" s="308"/>
    </row>
    <row r="738">
      <c r="A738" s="301"/>
      <c r="B738" s="301"/>
      <c r="C738" s="303"/>
      <c r="D738" s="301"/>
      <c r="E738" s="309"/>
      <c r="F738" s="301"/>
      <c r="G738" s="301"/>
      <c r="H738" s="309"/>
      <c r="I738" s="327"/>
      <c r="J738" s="328"/>
      <c r="K738" s="326"/>
      <c r="L738" s="309"/>
      <c r="M738" s="308"/>
      <c r="N738" s="309"/>
      <c r="O738" s="322"/>
      <c r="P738" s="308"/>
      <c r="Q738" s="311"/>
      <c r="R738" s="309"/>
      <c r="S738" s="308"/>
      <c r="T738" s="309"/>
      <c r="U738" s="309"/>
      <c r="V738" s="308"/>
      <c r="W738" s="309"/>
      <c r="X738" s="309"/>
      <c r="Y738" s="308"/>
      <c r="Z738" s="309"/>
      <c r="AA738" s="312"/>
      <c r="AB738" s="308"/>
      <c r="AC738" s="308"/>
      <c r="AD738" s="312"/>
      <c r="AE738" s="308"/>
      <c r="AF738" s="313"/>
      <c r="AG738" s="304"/>
      <c r="AH738" s="308"/>
      <c r="AI738" s="313"/>
      <c r="AJ738" s="304"/>
      <c r="AK738" s="308"/>
      <c r="AL738" s="308"/>
      <c r="AM738" s="304"/>
      <c r="AN738" s="308"/>
      <c r="AO738" s="313"/>
      <c r="AP738" s="304"/>
      <c r="AQ738" s="308"/>
      <c r="AR738" s="313"/>
      <c r="AS738" s="304"/>
      <c r="AT738" s="308"/>
      <c r="AU738" s="308"/>
      <c r="AV738" s="304"/>
      <c r="AW738" s="308"/>
      <c r="AX738" s="308"/>
      <c r="AY738" s="304"/>
      <c r="AZ738" s="308"/>
      <c r="BA738" s="313"/>
      <c r="BB738" s="304"/>
      <c r="BC738" s="308"/>
      <c r="BD738" s="308"/>
    </row>
    <row r="739">
      <c r="A739" s="301"/>
      <c r="B739" s="301"/>
      <c r="C739" s="303"/>
      <c r="D739" s="301"/>
      <c r="E739" s="309"/>
      <c r="F739" s="301"/>
      <c r="G739" s="301"/>
      <c r="H739" s="309"/>
      <c r="I739" s="327"/>
      <c r="J739" s="328"/>
      <c r="K739" s="326"/>
      <c r="L739" s="309"/>
      <c r="M739" s="308"/>
      <c r="N739" s="309"/>
      <c r="O739" s="322"/>
      <c r="P739" s="308"/>
      <c r="Q739" s="311"/>
      <c r="R739" s="309"/>
      <c r="S739" s="308"/>
      <c r="T739" s="309"/>
      <c r="U739" s="309"/>
      <c r="V739" s="308"/>
      <c r="W739" s="309"/>
      <c r="X739" s="309"/>
      <c r="Y739" s="308"/>
      <c r="Z739" s="309"/>
      <c r="AA739" s="312"/>
      <c r="AB739" s="308"/>
      <c r="AC739" s="308"/>
      <c r="AD739" s="312"/>
      <c r="AE739" s="308"/>
      <c r="AF739" s="313"/>
      <c r="AG739" s="304"/>
      <c r="AH739" s="308"/>
      <c r="AI739" s="313"/>
      <c r="AJ739" s="304"/>
      <c r="AK739" s="308"/>
      <c r="AL739" s="308"/>
      <c r="AM739" s="304"/>
      <c r="AN739" s="308"/>
      <c r="AO739" s="313"/>
      <c r="AP739" s="304"/>
      <c r="AQ739" s="308"/>
      <c r="AR739" s="313"/>
      <c r="AS739" s="304"/>
      <c r="AT739" s="308"/>
      <c r="AU739" s="308"/>
      <c r="AV739" s="304"/>
      <c r="AW739" s="308"/>
      <c r="AX739" s="308"/>
      <c r="AY739" s="304"/>
      <c r="AZ739" s="308"/>
      <c r="BA739" s="313"/>
      <c r="BB739" s="304"/>
      <c r="BC739" s="308"/>
      <c r="BD739" s="308"/>
    </row>
    <row r="740">
      <c r="A740" s="301"/>
      <c r="B740" s="301"/>
      <c r="C740" s="303"/>
      <c r="D740" s="301"/>
      <c r="E740" s="309"/>
      <c r="F740" s="301"/>
      <c r="G740" s="301"/>
      <c r="H740" s="309"/>
      <c r="I740" s="327"/>
      <c r="J740" s="328"/>
      <c r="K740" s="326"/>
      <c r="L740" s="309"/>
      <c r="M740" s="308"/>
      <c r="N740" s="309"/>
      <c r="O740" s="322"/>
      <c r="P740" s="308"/>
      <c r="Q740" s="311"/>
      <c r="R740" s="309"/>
      <c r="S740" s="308"/>
      <c r="T740" s="309"/>
      <c r="U740" s="309"/>
      <c r="V740" s="308"/>
      <c r="W740" s="309"/>
      <c r="X740" s="309"/>
      <c r="Y740" s="308"/>
      <c r="Z740" s="309"/>
      <c r="AA740" s="312"/>
      <c r="AB740" s="308"/>
      <c r="AC740" s="308"/>
      <c r="AD740" s="312"/>
      <c r="AE740" s="308"/>
      <c r="AF740" s="313"/>
      <c r="AG740" s="304"/>
      <c r="AH740" s="308"/>
      <c r="AI740" s="313"/>
      <c r="AJ740" s="304"/>
      <c r="AK740" s="308"/>
      <c r="AL740" s="308"/>
      <c r="AM740" s="304"/>
      <c r="AN740" s="308"/>
      <c r="AO740" s="313"/>
      <c r="AP740" s="304"/>
      <c r="AQ740" s="308"/>
      <c r="AR740" s="313"/>
      <c r="AS740" s="304"/>
      <c r="AT740" s="308"/>
      <c r="AU740" s="308"/>
      <c r="AV740" s="304"/>
      <c r="AW740" s="308"/>
      <c r="AX740" s="308"/>
      <c r="AY740" s="304"/>
      <c r="AZ740" s="308"/>
      <c r="BA740" s="313"/>
      <c r="BB740" s="304"/>
      <c r="BC740" s="308"/>
      <c r="BD740" s="308"/>
    </row>
    <row r="741">
      <c r="A741" s="301"/>
      <c r="B741" s="301"/>
      <c r="C741" s="303"/>
      <c r="D741" s="301"/>
      <c r="E741" s="309"/>
      <c r="F741" s="301"/>
      <c r="G741" s="301"/>
      <c r="H741" s="309"/>
      <c r="I741" s="327"/>
      <c r="J741" s="328"/>
      <c r="K741" s="326"/>
      <c r="L741" s="309"/>
      <c r="M741" s="308"/>
      <c r="N741" s="309"/>
      <c r="O741" s="322"/>
      <c r="P741" s="308"/>
      <c r="Q741" s="311"/>
      <c r="R741" s="309"/>
      <c r="S741" s="308"/>
      <c r="T741" s="309"/>
      <c r="U741" s="309"/>
      <c r="V741" s="308"/>
      <c r="W741" s="309"/>
      <c r="X741" s="309"/>
      <c r="Y741" s="308"/>
      <c r="Z741" s="309"/>
      <c r="AA741" s="312"/>
      <c r="AB741" s="308"/>
      <c r="AC741" s="308"/>
      <c r="AD741" s="312"/>
      <c r="AE741" s="308"/>
      <c r="AF741" s="313"/>
      <c r="AG741" s="304"/>
      <c r="AH741" s="308"/>
      <c r="AI741" s="313"/>
      <c r="AJ741" s="304"/>
      <c r="AK741" s="308"/>
      <c r="AL741" s="308"/>
      <c r="AM741" s="304"/>
      <c r="AN741" s="308"/>
      <c r="AO741" s="313"/>
      <c r="AP741" s="304"/>
      <c r="AQ741" s="308"/>
      <c r="AR741" s="313"/>
      <c r="AS741" s="304"/>
      <c r="AT741" s="308"/>
      <c r="AU741" s="308"/>
      <c r="AV741" s="304"/>
      <c r="AW741" s="308"/>
      <c r="AX741" s="308"/>
      <c r="AY741" s="304"/>
      <c r="AZ741" s="308"/>
      <c r="BA741" s="313"/>
      <c r="BB741" s="304"/>
      <c r="BC741" s="308"/>
      <c r="BD741" s="308"/>
    </row>
    <row r="742">
      <c r="A742" s="301"/>
      <c r="B742" s="301"/>
      <c r="C742" s="303"/>
      <c r="D742" s="301"/>
      <c r="E742" s="309"/>
      <c r="F742" s="301"/>
      <c r="G742" s="301"/>
      <c r="H742" s="309"/>
      <c r="I742" s="327"/>
      <c r="J742" s="328"/>
      <c r="K742" s="326"/>
      <c r="L742" s="309"/>
      <c r="M742" s="308"/>
      <c r="N742" s="309"/>
      <c r="O742" s="322"/>
      <c r="P742" s="308"/>
      <c r="Q742" s="311"/>
      <c r="R742" s="309"/>
      <c r="S742" s="308"/>
      <c r="T742" s="309"/>
      <c r="U742" s="309"/>
      <c r="V742" s="308"/>
      <c r="W742" s="309"/>
      <c r="X742" s="309"/>
      <c r="Y742" s="308"/>
      <c r="Z742" s="309"/>
      <c r="AA742" s="312"/>
      <c r="AB742" s="308"/>
      <c r="AC742" s="308"/>
      <c r="AD742" s="312"/>
      <c r="AE742" s="308"/>
      <c r="AF742" s="313"/>
      <c r="AG742" s="304"/>
      <c r="AH742" s="308"/>
      <c r="AI742" s="313"/>
      <c r="AJ742" s="304"/>
      <c r="AK742" s="308"/>
      <c r="AL742" s="308"/>
      <c r="AM742" s="304"/>
      <c r="AN742" s="308"/>
      <c r="AO742" s="313"/>
      <c r="AP742" s="304"/>
      <c r="AQ742" s="308"/>
      <c r="AR742" s="313"/>
      <c r="AS742" s="304"/>
      <c r="AT742" s="308"/>
      <c r="AU742" s="308"/>
      <c r="AV742" s="304"/>
      <c r="AW742" s="308"/>
      <c r="AX742" s="308"/>
      <c r="AY742" s="304"/>
      <c r="AZ742" s="308"/>
      <c r="BA742" s="313"/>
      <c r="BB742" s="304"/>
      <c r="BC742" s="308"/>
      <c r="BD742" s="308"/>
    </row>
    <row r="743">
      <c r="A743" s="301"/>
      <c r="B743" s="301"/>
      <c r="C743" s="303"/>
      <c r="D743" s="301"/>
      <c r="E743" s="309"/>
      <c r="F743" s="301"/>
      <c r="G743" s="301"/>
      <c r="H743" s="309"/>
      <c r="I743" s="327"/>
      <c r="J743" s="328"/>
      <c r="K743" s="326"/>
      <c r="L743" s="309"/>
      <c r="M743" s="308"/>
      <c r="N743" s="309"/>
      <c r="O743" s="322"/>
      <c r="P743" s="308"/>
      <c r="Q743" s="311"/>
      <c r="R743" s="309"/>
      <c r="S743" s="308"/>
      <c r="T743" s="309"/>
      <c r="U743" s="309"/>
      <c r="V743" s="308"/>
      <c r="W743" s="309"/>
      <c r="X743" s="309"/>
      <c r="Y743" s="308"/>
      <c r="Z743" s="309"/>
      <c r="AA743" s="312"/>
      <c r="AB743" s="308"/>
      <c r="AC743" s="308"/>
      <c r="AD743" s="312"/>
      <c r="AE743" s="308"/>
      <c r="AF743" s="313"/>
      <c r="AG743" s="304"/>
      <c r="AH743" s="308"/>
      <c r="AI743" s="313"/>
      <c r="AJ743" s="304"/>
      <c r="AK743" s="308"/>
      <c r="AL743" s="308"/>
      <c r="AM743" s="304"/>
      <c r="AN743" s="308"/>
      <c r="AO743" s="313"/>
      <c r="AP743" s="304"/>
      <c r="AQ743" s="308"/>
      <c r="AR743" s="313"/>
      <c r="AS743" s="304"/>
      <c r="AT743" s="308"/>
      <c r="AU743" s="308"/>
      <c r="AV743" s="304"/>
      <c r="AW743" s="308"/>
      <c r="AX743" s="308"/>
      <c r="AY743" s="304"/>
      <c r="AZ743" s="308"/>
      <c r="BA743" s="313"/>
      <c r="BB743" s="304"/>
      <c r="BC743" s="308"/>
      <c r="BD743" s="308"/>
    </row>
    <row r="744">
      <c r="A744" s="301"/>
      <c r="B744" s="301"/>
      <c r="C744" s="303"/>
      <c r="D744" s="301"/>
      <c r="E744" s="309"/>
      <c r="F744" s="301"/>
      <c r="G744" s="301"/>
      <c r="H744" s="309"/>
      <c r="I744" s="327"/>
      <c r="J744" s="328"/>
      <c r="K744" s="326"/>
      <c r="L744" s="309"/>
      <c r="M744" s="308"/>
      <c r="N744" s="309"/>
      <c r="O744" s="322"/>
      <c r="P744" s="308"/>
      <c r="Q744" s="311"/>
      <c r="R744" s="309"/>
      <c r="S744" s="308"/>
      <c r="T744" s="309"/>
      <c r="U744" s="309"/>
      <c r="V744" s="308"/>
      <c r="W744" s="309"/>
      <c r="X744" s="309"/>
      <c r="Y744" s="308"/>
      <c r="Z744" s="309"/>
      <c r="AA744" s="312"/>
      <c r="AB744" s="308"/>
      <c r="AC744" s="308"/>
      <c r="AD744" s="312"/>
      <c r="AE744" s="308"/>
      <c r="AF744" s="313"/>
      <c r="AG744" s="304"/>
      <c r="AH744" s="308"/>
      <c r="AI744" s="313"/>
      <c r="AJ744" s="304"/>
      <c r="AK744" s="308"/>
      <c r="AL744" s="308"/>
      <c r="AM744" s="304"/>
      <c r="AN744" s="308"/>
      <c r="AO744" s="313"/>
      <c r="AP744" s="304"/>
      <c r="AQ744" s="308"/>
      <c r="AR744" s="313"/>
      <c r="AS744" s="304"/>
      <c r="AT744" s="308"/>
      <c r="AU744" s="308"/>
      <c r="AV744" s="304"/>
      <c r="AW744" s="308"/>
      <c r="AX744" s="308"/>
      <c r="AY744" s="304"/>
      <c r="AZ744" s="308"/>
      <c r="BA744" s="313"/>
      <c r="BB744" s="304"/>
      <c r="BC744" s="308"/>
      <c r="BD744" s="308"/>
    </row>
    <row r="745">
      <c r="A745" s="301"/>
      <c r="B745" s="301"/>
      <c r="C745" s="303"/>
      <c r="D745" s="301"/>
      <c r="E745" s="309"/>
      <c r="F745" s="301"/>
      <c r="G745" s="301"/>
      <c r="H745" s="309"/>
      <c r="I745" s="327"/>
      <c r="J745" s="328"/>
      <c r="K745" s="326"/>
      <c r="L745" s="309"/>
      <c r="M745" s="308"/>
      <c r="N745" s="309"/>
      <c r="O745" s="322"/>
      <c r="P745" s="308"/>
      <c r="Q745" s="311"/>
      <c r="R745" s="309"/>
      <c r="S745" s="308"/>
      <c r="T745" s="309"/>
      <c r="U745" s="309"/>
      <c r="V745" s="308"/>
      <c r="W745" s="309"/>
      <c r="X745" s="309"/>
      <c r="Y745" s="308"/>
      <c r="Z745" s="309"/>
      <c r="AA745" s="312"/>
      <c r="AB745" s="308"/>
      <c r="AC745" s="308"/>
      <c r="AD745" s="312"/>
      <c r="AE745" s="308"/>
      <c r="AF745" s="313"/>
      <c r="AG745" s="304"/>
      <c r="AH745" s="308"/>
      <c r="AI745" s="313"/>
      <c r="AJ745" s="304"/>
      <c r="AK745" s="308"/>
      <c r="AL745" s="308"/>
      <c r="AM745" s="304"/>
      <c r="AN745" s="308"/>
      <c r="AO745" s="313"/>
      <c r="AP745" s="304"/>
      <c r="AQ745" s="308"/>
      <c r="AR745" s="313"/>
      <c r="AS745" s="304"/>
      <c r="AT745" s="308"/>
      <c r="AU745" s="308"/>
      <c r="AV745" s="304"/>
      <c r="AW745" s="308"/>
      <c r="AX745" s="308"/>
      <c r="AY745" s="304"/>
      <c r="AZ745" s="308"/>
      <c r="BA745" s="313"/>
      <c r="BB745" s="304"/>
      <c r="BC745" s="308"/>
      <c r="BD745" s="308"/>
    </row>
    <row r="746">
      <c r="A746" s="301"/>
      <c r="B746" s="301"/>
      <c r="C746" s="303"/>
      <c r="D746" s="301"/>
      <c r="E746" s="309"/>
      <c r="F746" s="301"/>
      <c r="G746" s="301"/>
      <c r="H746" s="309"/>
      <c r="I746" s="327"/>
      <c r="J746" s="328"/>
      <c r="K746" s="326"/>
      <c r="L746" s="309"/>
      <c r="M746" s="308"/>
      <c r="N746" s="309"/>
      <c r="O746" s="322"/>
      <c r="P746" s="308"/>
      <c r="Q746" s="311"/>
      <c r="R746" s="309"/>
      <c r="S746" s="308"/>
      <c r="T746" s="309"/>
      <c r="U746" s="309"/>
      <c r="V746" s="308"/>
      <c r="W746" s="309"/>
      <c r="X746" s="309"/>
      <c r="Y746" s="308"/>
      <c r="Z746" s="309"/>
      <c r="AA746" s="312"/>
      <c r="AB746" s="308"/>
      <c r="AC746" s="308"/>
      <c r="AD746" s="312"/>
      <c r="AE746" s="308"/>
      <c r="AF746" s="313"/>
      <c r="AG746" s="304"/>
      <c r="AH746" s="308"/>
      <c r="AI746" s="313"/>
      <c r="AJ746" s="304"/>
      <c r="AK746" s="308"/>
      <c r="AL746" s="308"/>
      <c r="AM746" s="304"/>
      <c r="AN746" s="308"/>
      <c r="AO746" s="313"/>
      <c r="AP746" s="304"/>
      <c r="AQ746" s="308"/>
      <c r="AR746" s="313"/>
      <c r="AS746" s="304"/>
      <c r="AT746" s="308"/>
      <c r="AU746" s="308"/>
      <c r="AV746" s="304"/>
      <c r="AW746" s="308"/>
      <c r="AX746" s="308"/>
      <c r="AY746" s="304"/>
      <c r="AZ746" s="308"/>
      <c r="BA746" s="313"/>
      <c r="BB746" s="304"/>
      <c r="BC746" s="308"/>
      <c r="BD746" s="308"/>
    </row>
    <row r="747">
      <c r="A747" s="301"/>
      <c r="B747" s="301"/>
      <c r="C747" s="303"/>
      <c r="D747" s="301"/>
      <c r="E747" s="309"/>
      <c r="F747" s="301"/>
      <c r="G747" s="301"/>
      <c r="H747" s="309"/>
      <c r="I747" s="327"/>
      <c r="J747" s="328"/>
      <c r="K747" s="326"/>
      <c r="L747" s="309"/>
      <c r="M747" s="308"/>
      <c r="N747" s="309"/>
      <c r="O747" s="322"/>
      <c r="P747" s="308"/>
      <c r="Q747" s="311"/>
      <c r="R747" s="309"/>
      <c r="S747" s="308"/>
      <c r="T747" s="309"/>
      <c r="U747" s="309"/>
      <c r="V747" s="308"/>
      <c r="W747" s="309"/>
      <c r="X747" s="309"/>
      <c r="Y747" s="308"/>
      <c r="Z747" s="309"/>
      <c r="AA747" s="312"/>
      <c r="AB747" s="308"/>
      <c r="AC747" s="308"/>
      <c r="AD747" s="312"/>
      <c r="AE747" s="308"/>
      <c r="AF747" s="313"/>
      <c r="AG747" s="304"/>
      <c r="AH747" s="308"/>
      <c r="AI747" s="313"/>
      <c r="AJ747" s="304"/>
      <c r="AK747" s="308"/>
      <c r="AL747" s="308"/>
      <c r="AM747" s="304"/>
      <c r="AN747" s="308"/>
      <c r="AO747" s="313"/>
      <c r="AP747" s="304"/>
      <c r="AQ747" s="308"/>
      <c r="AR747" s="313"/>
      <c r="AS747" s="304"/>
      <c r="AT747" s="308"/>
      <c r="AU747" s="308"/>
      <c r="AV747" s="304"/>
      <c r="AW747" s="308"/>
      <c r="AX747" s="308"/>
      <c r="AY747" s="304"/>
      <c r="AZ747" s="308"/>
      <c r="BA747" s="313"/>
      <c r="BB747" s="304"/>
      <c r="BC747" s="308"/>
      <c r="BD747" s="308"/>
    </row>
    <row r="748">
      <c r="A748" s="301"/>
      <c r="B748" s="301"/>
      <c r="C748" s="303"/>
      <c r="D748" s="301"/>
      <c r="E748" s="309"/>
      <c r="F748" s="301"/>
      <c r="G748" s="301"/>
      <c r="H748" s="309"/>
      <c r="I748" s="327"/>
      <c r="J748" s="328"/>
      <c r="K748" s="326"/>
      <c r="L748" s="309"/>
      <c r="M748" s="308"/>
      <c r="N748" s="309"/>
      <c r="O748" s="322"/>
      <c r="P748" s="308"/>
      <c r="Q748" s="311"/>
      <c r="R748" s="309"/>
      <c r="S748" s="308"/>
      <c r="T748" s="309"/>
      <c r="U748" s="309"/>
      <c r="V748" s="308"/>
      <c r="W748" s="309"/>
      <c r="X748" s="309"/>
      <c r="Y748" s="308"/>
      <c r="Z748" s="309"/>
      <c r="AA748" s="312"/>
      <c r="AB748" s="308"/>
      <c r="AC748" s="308"/>
      <c r="AD748" s="312"/>
      <c r="AE748" s="308"/>
      <c r="AF748" s="313"/>
      <c r="AG748" s="304"/>
      <c r="AH748" s="308"/>
      <c r="AI748" s="313"/>
      <c r="AJ748" s="304"/>
      <c r="AK748" s="308"/>
      <c r="AL748" s="308"/>
      <c r="AM748" s="304"/>
      <c r="AN748" s="308"/>
      <c r="AO748" s="313"/>
      <c r="AP748" s="304"/>
      <c r="AQ748" s="308"/>
      <c r="AR748" s="313"/>
      <c r="AS748" s="304"/>
      <c r="AT748" s="308"/>
      <c r="AU748" s="308"/>
      <c r="AV748" s="304"/>
      <c r="AW748" s="308"/>
      <c r="AX748" s="308"/>
      <c r="AY748" s="304"/>
      <c r="AZ748" s="308"/>
      <c r="BA748" s="313"/>
      <c r="BB748" s="304"/>
      <c r="BC748" s="308"/>
      <c r="BD748" s="308"/>
    </row>
    <row r="749">
      <c r="A749" s="301"/>
      <c r="B749" s="301"/>
      <c r="C749" s="303"/>
      <c r="D749" s="301"/>
      <c r="E749" s="309"/>
      <c r="F749" s="301"/>
      <c r="G749" s="301"/>
      <c r="H749" s="309"/>
      <c r="I749" s="327"/>
      <c r="J749" s="328"/>
      <c r="K749" s="326"/>
      <c r="L749" s="309"/>
      <c r="M749" s="308"/>
      <c r="N749" s="309"/>
      <c r="O749" s="322"/>
      <c r="P749" s="308"/>
      <c r="Q749" s="311"/>
      <c r="R749" s="309"/>
      <c r="S749" s="308"/>
      <c r="T749" s="309"/>
      <c r="U749" s="309"/>
      <c r="V749" s="308"/>
      <c r="W749" s="309"/>
      <c r="X749" s="309"/>
      <c r="Y749" s="308"/>
      <c r="Z749" s="309"/>
      <c r="AA749" s="312"/>
      <c r="AB749" s="308"/>
      <c r="AC749" s="308"/>
      <c r="AD749" s="312"/>
      <c r="AE749" s="308"/>
      <c r="AF749" s="313"/>
      <c r="AG749" s="304"/>
      <c r="AH749" s="308"/>
      <c r="AI749" s="313"/>
      <c r="AJ749" s="304"/>
      <c r="AK749" s="308"/>
      <c r="AL749" s="308"/>
      <c r="AM749" s="304"/>
      <c r="AN749" s="308"/>
      <c r="AO749" s="313"/>
      <c r="AP749" s="304"/>
      <c r="AQ749" s="308"/>
      <c r="AR749" s="313"/>
      <c r="AS749" s="304"/>
      <c r="AT749" s="308"/>
      <c r="AU749" s="308"/>
      <c r="AV749" s="304"/>
      <c r="AW749" s="308"/>
      <c r="AX749" s="308"/>
      <c r="AY749" s="304"/>
      <c r="AZ749" s="308"/>
      <c r="BA749" s="313"/>
      <c r="BB749" s="304"/>
      <c r="BC749" s="308"/>
      <c r="BD749" s="308"/>
    </row>
    <row r="750">
      <c r="A750" s="301"/>
      <c r="B750" s="301"/>
      <c r="C750" s="303"/>
      <c r="D750" s="301"/>
      <c r="E750" s="309"/>
      <c r="F750" s="301"/>
      <c r="G750" s="301"/>
      <c r="H750" s="309"/>
      <c r="I750" s="327"/>
      <c r="J750" s="328"/>
      <c r="K750" s="326"/>
      <c r="L750" s="309"/>
      <c r="M750" s="308"/>
      <c r="N750" s="309"/>
      <c r="O750" s="322"/>
      <c r="P750" s="308"/>
      <c r="Q750" s="311"/>
      <c r="R750" s="309"/>
      <c r="S750" s="308"/>
      <c r="T750" s="309"/>
      <c r="U750" s="309"/>
      <c r="V750" s="308"/>
      <c r="W750" s="309"/>
      <c r="X750" s="309"/>
      <c r="Y750" s="308"/>
      <c r="Z750" s="309"/>
      <c r="AA750" s="312"/>
      <c r="AB750" s="308"/>
      <c r="AC750" s="308"/>
      <c r="AD750" s="312"/>
      <c r="AE750" s="308"/>
      <c r="AF750" s="313"/>
      <c r="AG750" s="304"/>
      <c r="AH750" s="308"/>
      <c r="AI750" s="313"/>
      <c r="AJ750" s="304"/>
      <c r="AK750" s="308"/>
      <c r="AL750" s="308"/>
      <c r="AM750" s="304"/>
      <c r="AN750" s="308"/>
      <c r="AO750" s="313"/>
      <c r="AP750" s="304"/>
      <c r="AQ750" s="308"/>
      <c r="AR750" s="313"/>
      <c r="AS750" s="304"/>
      <c r="AT750" s="308"/>
      <c r="AU750" s="308"/>
      <c r="AV750" s="304"/>
      <c r="AW750" s="308"/>
      <c r="AX750" s="308"/>
      <c r="AY750" s="304"/>
      <c r="AZ750" s="308"/>
      <c r="BA750" s="313"/>
      <c r="BB750" s="304"/>
      <c r="BC750" s="308"/>
      <c r="BD750" s="308"/>
    </row>
    <row r="751">
      <c r="A751" s="301"/>
      <c r="B751" s="301"/>
      <c r="C751" s="303"/>
      <c r="D751" s="301"/>
      <c r="E751" s="309"/>
      <c r="F751" s="301"/>
      <c r="G751" s="301"/>
      <c r="H751" s="309"/>
      <c r="I751" s="327"/>
      <c r="J751" s="328"/>
      <c r="K751" s="326"/>
      <c r="L751" s="309"/>
      <c r="M751" s="308"/>
      <c r="N751" s="309"/>
      <c r="O751" s="322"/>
      <c r="P751" s="308"/>
      <c r="Q751" s="311"/>
      <c r="R751" s="309"/>
      <c r="S751" s="308"/>
      <c r="T751" s="309"/>
      <c r="U751" s="309"/>
      <c r="V751" s="308"/>
      <c r="W751" s="309"/>
      <c r="X751" s="309"/>
      <c r="Y751" s="308"/>
      <c r="Z751" s="309"/>
      <c r="AA751" s="312"/>
      <c r="AB751" s="308"/>
      <c r="AC751" s="308"/>
      <c r="AD751" s="312"/>
      <c r="AE751" s="308"/>
      <c r="AF751" s="313"/>
      <c r="AG751" s="304"/>
      <c r="AH751" s="308"/>
      <c r="AI751" s="313"/>
      <c r="AJ751" s="304"/>
      <c r="AK751" s="308"/>
      <c r="AL751" s="308"/>
      <c r="AM751" s="304"/>
      <c r="AN751" s="308"/>
      <c r="AO751" s="313"/>
      <c r="AP751" s="304"/>
      <c r="AQ751" s="308"/>
      <c r="AR751" s="313"/>
      <c r="AS751" s="304"/>
      <c r="AT751" s="308"/>
      <c r="AU751" s="308"/>
      <c r="AV751" s="304"/>
      <c r="AW751" s="308"/>
      <c r="AX751" s="308"/>
      <c r="AY751" s="304"/>
      <c r="AZ751" s="308"/>
      <c r="BA751" s="313"/>
      <c r="BB751" s="304"/>
      <c r="BC751" s="308"/>
      <c r="BD751" s="308"/>
    </row>
    <row r="752">
      <c r="A752" s="301"/>
      <c r="B752" s="301"/>
      <c r="C752" s="303"/>
      <c r="D752" s="301"/>
      <c r="E752" s="309"/>
      <c r="F752" s="301"/>
      <c r="G752" s="301"/>
      <c r="H752" s="309"/>
      <c r="I752" s="327"/>
      <c r="J752" s="328"/>
      <c r="K752" s="326"/>
      <c r="L752" s="309"/>
      <c r="M752" s="308"/>
      <c r="N752" s="309"/>
      <c r="O752" s="322"/>
      <c r="P752" s="308"/>
      <c r="Q752" s="311"/>
      <c r="R752" s="309"/>
      <c r="S752" s="308"/>
      <c r="T752" s="309"/>
      <c r="U752" s="309"/>
      <c r="V752" s="308"/>
      <c r="W752" s="309"/>
      <c r="X752" s="309"/>
      <c r="Y752" s="308"/>
      <c r="Z752" s="309"/>
      <c r="AA752" s="312"/>
      <c r="AB752" s="308"/>
      <c r="AC752" s="308"/>
      <c r="AD752" s="312"/>
      <c r="AE752" s="308"/>
      <c r="AF752" s="313"/>
      <c r="AG752" s="304"/>
      <c r="AH752" s="308"/>
      <c r="AI752" s="313"/>
      <c r="AJ752" s="304"/>
      <c r="AK752" s="308"/>
      <c r="AL752" s="308"/>
      <c r="AM752" s="304"/>
      <c r="AN752" s="308"/>
      <c r="AO752" s="313"/>
      <c r="AP752" s="304"/>
      <c r="AQ752" s="308"/>
      <c r="AR752" s="313"/>
      <c r="AS752" s="304"/>
      <c r="AT752" s="308"/>
      <c r="AU752" s="308"/>
      <c r="AV752" s="304"/>
      <c r="AW752" s="308"/>
      <c r="AX752" s="308"/>
      <c r="AY752" s="304"/>
      <c r="AZ752" s="308"/>
      <c r="BA752" s="313"/>
      <c r="BB752" s="304"/>
      <c r="BC752" s="308"/>
      <c r="BD752" s="308"/>
    </row>
    <row r="753">
      <c r="A753" s="301"/>
      <c r="B753" s="301"/>
      <c r="C753" s="303"/>
      <c r="D753" s="301"/>
      <c r="E753" s="309"/>
      <c r="F753" s="301"/>
      <c r="G753" s="301"/>
      <c r="H753" s="309"/>
      <c r="I753" s="327"/>
      <c r="J753" s="328"/>
      <c r="K753" s="326"/>
      <c r="L753" s="309"/>
      <c r="M753" s="308"/>
      <c r="N753" s="309"/>
      <c r="O753" s="322"/>
      <c r="P753" s="308"/>
      <c r="Q753" s="311"/>
      <c r="R753" s="309"/>
      <c r="S753" s="308"/>
      <c r="T753" s="309"/>
      <c r="U753" s="309"/>
      <c r="V753" s="308"/>
      <c r="W753" s="309"/>
      <c r="X753" s="309"/>
      <c r="Y753" s="308"/>
      <c r="Z753" s="309"/>
      <c r="AA753" s="312"/>
      <c r="AB753" s="308"/>
      <c r="AC753" s="308"/>
      <c r="AD753" s="312"/>
      <c r="AE753" s="308"/>
      <c r="AF753" s="313"/>
      <c r="AG753" s="304"/>
      <c r="AH753" s="308"/>
      <c r="AI753" s="313"/>
      <c r="AJ753" s="304"/>
      <c r="AK753" s="308"/>
      <c r="AL753" s="308"/>
      <c r="AM753" s="304"/>
      <c r="AN753" s="308"/>
      <c r="AO753" s="313"/>
      <c r="AP753" s="304"/>
      <c r="AQ753" s="308"/>
      <c r="AR753" s="313"/>
      <c r="AS753" s="304"/>
      <c r="AT753" s="308"/>
      <c r="AU753" s="308"/>
      <c r="AV753" s="304"/>
      <c r="AW753" s="308"/>
      <c r="AX753" s="308"/>
      <c r="AY753" s="304"/>
      <c r="AZ753" s="308"/>
      <c r="BA753" s="313"/>
      <c r="BB753" s="304"/>
      <c r="BC753" s="308"/>
      <c r="BD753" s="308"/>
    </row>
    <row r="754">
      <c r="A754" s="301"/>
      <c r="B754" s="301"/>
      <c r="C754" s="303"/>
      <c r="D754" s="301"/>
      <c r="E754" s="309"/>
      <c r="F754" s="301"/>
      <c r="G754" s="301"/>
      <c r="H754" s="309"/>
      <c r="I754" s="327"/>
      <c r="J754" s="328"/>
      <c r="K754" s="326"/>
      <c r="L754" s="309"/>
      <c r="M754" s="308"/>
      <c r="N754" s="309"/>
      <c r="O754" s="322"/>
      <c r="P754" s="308"/>
      <c r="Q754" s="311"/>
      <c r="R754" s="309"/>
      <c r="S754" s="308"/>
      <c r="T754" s="309"/>
      <c r="U754" s="309"/>
      <c r="V754" s="308"/>
      <c r="W754" s="309"/>
      <c r="X754" s="309"/>
      <c r="Y754" s="308"/>
      <c r="Z754" s="309"/>
      <c r="AA754" s="312"/>
      <c r="AB754" s="308"/>
      <c r="AC754" s="308"/>
      <c r="AD754" s="312"/>
      <c r="AE754" s="308"/>
      <c r="AF754" s="313"/>
      <c r="AG754" s="304"/>
      <c r="AH754" s="308"/>
      <c r="AI754" s="313"/>
      <c r="AJ754" s="304"/>
      <c r="AK754" s="308"/>
      <c r="AL754" s="308"/>
      <c r="AM754" s="304"/>
      <c r="AN754" s="308"/>
      <c r="AO754" s="313"/>
      <c r="AP754" s="304"/>
      <c r="AQ754" s="308"/>
      <c r="AR754" s="313"/>
      <c r="AS754" s="304"/>
      <c r="AT754" s="308"/>
      <c r="AU754" s="308"/>
      <c r="AV754" s="304"/>
      <c r="AW754" s="308"/>
      <c r="AX754" s="308"/>
      <c r="AY754" s="304"/>
      <c r="AZ754" s="308"/>
      <c r="BA754" s="313"/>
      <c r="BB754" s="304"/>
      <c r="BC754" s="308"/>
      <c r="BD754" s="308"/>
    </row>
    <row r="755">
      <c r="A755" s="301"/>
      <c r="B755" s="301"/>
      <c r="C755" s="303"/>
      <c r="D755" s="301"/>
      <c r="E755" s="309"/>
      <c r="F755" s="301"/>
      <c r="G755" s="301"/>
      <c r="H755" s="309"/>
      <c r="I755" s="327"/>
      <c r="J755" s="328"/>
      <c r="K755" s="326"/>
      <c r="L755" s="309"/>
      <c r="M755" s="308"/>
      <c r="N755" s="309"/>
      <c r="O755" s="322"/>
      <c r="P755" s="308"/>
      <c r="Q755" s="311"/>
      <c r="R755" s="309"/>
      <c r="S755" s="308"/>
      <c r="T755" s="309"/>
      <c r="U755" s="309"/>
      <c r="V755" s="308"/>
      <c r="W755" s="309"/>
      <c r="X755" s="309"/>
      <c r="Y755" s="308"/>
      <c r="Z755" s="309"/>
      <c r="AA755" s="312"/>
      <c r="AB755" s="308"/>
      <c r="AC755" s="308"/>
      <c r="AD755" s="312"/>
      <c r="AE755" s="308"/>
      <c r="AF755" s="313"/>
      <c r="AG755" s="304"/>
      <c r="AH755" s="308"/>
      <c r="AI755" s="313"/>
      <c r="AJ755" s="304"/>
      <c r="AK755" s="308"/>
      <c r="AL755" s="308"/>
      <c r="AM755" s="304"/>
      <c r="AN755" s="308"/>
      <c r="AO755" s="313"/>
      <c r="AP755" s="304"/>
      <c r="AQ755" s="308"/>
      <c r="AR755" s="313"/>
      <c r="AS755" s="304"/>
      <c r="AT755" s="308"/>
      <c r="AU755" s="308"/>
      <c r="AV755" s="304"/>
      <c r="AW755" s="308"/>
      <c r="AX755" s="308"/>
      <c r="AY755" s="304"/>
      <c r="AZ755" s="308"/>
      <c r="BA755" s="313"/>
      <c r="BB755" s="304"/>
      <c r="BC755" s="308"/>
      <c r="BD755" s="308"/>
    </row>
    <row r="756">
      <c r="A756" s="301"/>
      <c r="B756" s="301"/>
      <c r="C756" s="303"/>
      <c r="D756" s="301"/>
      <c r="E756" s="309"/>
      <c r="F756" s="301"/>
      <c r="G756" s="301"/>
      <c r="H756" s="309"/>
      <c r="I756" s="327"/>
      <c r="J756" s="328"/>
      <c r="K756" s="326"/>
      <c r="L756" s="309"/>
      <c r="M756" s="308"/>
      <c r="N756" s="309"/>
      <c r="O756" s="322"/>
      <c r="P756" s="308"/>
      <c r="Q756" s="311"/>
      <c r="R756" s="309"/>
      <c r="S756" s="308"/>
      <c r="T756" s="309"/>
      <c r="U756" s="309"/>
      <c r="V756" s="308"/>
      <c r="W756" s="309"/>
      <c r="X756" s="309"/>
      <c r="Y756" s="308"/>
      <c r="Z756" s="309"/>
      <c r="AA756" s="312"/>
      <c r="AB756" s="308"/>
      <c r="AC756" s="308"/>
      <c r="AD756" s="312"/>
      <c r="AE756" s="308"/>
      <c r="AF756" s="313"/>
      <c r="AG756" s="304"/>
      <c r="AH756" s="308"/>
      <c r="AI756" s="313"/>
      <c r="AJ756" s="304"/>
      <c r="AK756" s="308"/>
      <c r="AL756" s="308"/>
      <c r="AM756" s="304"/>
      <c r="AN756" s="308"/>
      <c r="AO756" s="313"/>
      <c r="AP756" s="304"/>
      <c r="AQ756" s="308"/>
      <c r="AR756" s="313"/>
      <c r="AS756" s="304"/>
      <c r="AT756" s="308"/>
      <c r="AU756" s="308"/>
      <c r="AV756" s="304"/>
      <c r="AW756" s="308"/>
      <c r="AX756" s="308"/>
      <c r="AY756" s="304"/>
      <c r="AZ756" s="308"/>
      <c r="BA756" s="313"/>
      <c r="BB756" s="304"/>
      <c r="BC756" s="308"/>
      <c r="BD756" s="308"/>
    </row>
    <row r="757">
      <c r="A757" s="301"/>
      <c r="B757" s="301"/>
      <c r="C757" s="303"/>
      <c r="D757" s="301"/>
      <c r="E757" s="309"/>
      <c r="F757" s="301"/>
      <c r="G757" s="301"/>
      <c r="H757" s="309"/>
      <c r="I757" s="327"/>
      <c r="J757" s="328"/>
      <c r="K757" s="326"/>
      <c r="L757" s="309"/>
      <c r="M757" s="308"/>
      <c r="N757" s="309"/>
      <c r="O757" s="322"/>
      <c r="P757" s="308"/>
      <c r="Q757" s="311"/>
      <c r="R757" s="309"/>
      <c r="S757" s="308"/>
      <c r="T757" s="309"/>
      <c r="U757" s="309"/>
      <c r="V757" s="308"/>
      <c r="W757" s="309"/>
      <c r="X757" s="309"/>
      <c r="Y757" s="308"/>
      <c r="Z757" s="309"/>
      <c r="AA757" s="312"/>
      <c r="AB757" s="308"/>
      <c r="AC757" s="308"/>
      <c r="AD757" s="312"/>
      <c r="AE757" s="308"/>
      <c r="AF757" s="313"/>
      <c r="AG757" s="304"/>
      <c r="AH757" s="308"/>
      <c r="AI757" s="313"/>
      <c r="AJ757" s="304"/>
      <c r="AK757" s="308"/>
      <c r="AL757" s="308"/>
      <c r="AM757" s="304"/>
      <c r="AN757" s="308"/>
      <c r="AO757" s="313"/>
      <c r="AP757" s="304"/>
      <c r="AQ757" s="308"/>
      <c r="AR757" s="313"/>
      <c r="AS757" s="304"/>
      <c r="AT757" s="308"/>
      <c r="AU757" s="308"/>
      <c r="AV757" s="304"/>
      <c r="AW757" s="308"/>
      <c r="AX757" s="308"/>
      <c r="AY757" s="304"/>
      <c r="AZ757" s="308"/>
      <c r="BA757" s="313"/>
      <c r="BB757" s="304"/>
      <c r="BC757" s="308"/>
      <c r="BD757" s="308"/>
    </row>
    <row r="758">
      <c r="A758" s="301"/>
      <c r="B758" s="301"/>
      <c r="C758" s="303"/>
      <c r="D758" s="301"/>
      <c r="E758" s="309"/>
      <c r="F758" s="301"/>
      <c r="G758" s="301"/>
      <c r="H758" s="309"/>
      <c r="I758" s="327"/>
      <c r="J758" s="328"/>
      <c r="K758" s="326"/>
      <c r="L758" s="309"/>
      <c r="M758" s="308"/>
      <c r="N758" s="309"/>
      <c r="O758" s="322"/>
      <c r="P758" s="308"/>
      <c r="Q758" s="311"/>
      <c r="R758" s="309"/>
      <c r="S758" s="308"/>
      <c r="T758" s="309"/>
      <c r="U758" s="309"/>
      <c r="V758" s="308"/>
      <c r="W758" s="309"/>
      <c r="X758" s="309"/>
      <c r="Y758" s="308"/>
      <c r="Z758" s="309"/>
      <c r="AA758" s="312"/>
      <c r="AB758" s="308"/>
      <c r="AC758" s="308"/>
      <c r="AD758" s="312"/>
      <c r="AE758" s="308"/>
      <c r="AF758" s="313"/>
      <c r="AG758" s="304"/>
      <c r="AH758" s="308"/>
      <c r="AI758" s="313"/>
      <c r="AJ758" s="304"/>
      <c r="AK758" s="308"/>
      <c r="AL758" s="308"/>
      <c r="AM758" s="304"/>
      <c r="AN758" s="308"/>
      <c r="AO758" s="313"/>
      <c r="AP758" s="304"/>
      <c r="AQ758" s="308"/>
      <c r="AR758" s="313"/>
      <c r="AS758" s="304"/>
      <c r="AT758" s="308"/>
      <c r="AU758" s="308"/>
      <c r="AV758" s="304"/>
      <c r="AW758" s="308"/>
      <c r="AX758" s="308"/>
      <c r="AY758" s="304"/>
      <c r="AZ758" s="308"/>
      <c r="BA758" s="313"/>
      <c r="BB758" s="304"/>
      <c r="BC758" s="308"/>
      <c r="BD758" s="308"/>
    </row>
    <row r="759">
      <c r="A759" s="301"/>
      <c r="B759" s="301"/>
      <c r="C759" s="303"/>
      <c r="D759" s="301"/>
      <c r="E759" s="309"/>
      <c r="F759" s="301"/>
      <c r="G759" s="301"/>
      <c r="H759" s="309"/>
      <c r="I759" s="327"/>
      <c r="J759" s="328"/>
      <c r="K759" s="326"/>
      <c r="L759" s="309"/>
      <c r="M759" s="308"/>
      <c r="N759" s="309"/>
      <c r="O759" s="322"/>
      <c r="P759" s="308"/>
      <c r="Q759" s="311"/>
      <c r="R759" s="309"/>
      <c r="S759" s="308"/>
      <c r="T759" s="309"/>
      <c r="U759" s="309"/>
      <c r="V759" s="308"/>
      <c r="W759" s="309"/>
      <c r="X759" s="309"/>
      <c r="Y759" s="308"/>
      <c r="Z759" s="309"/>
      <c r="AA759" s="312"/>
      <c r="AB759" s="308"/>
      <c r="AC759" s="308"/>
      <c r="AD759" s="312"/>
      <c r="AE759" s="308"/>
      <c r="AF759" s="313"/>
      <c r="AG759" s="304"/>
      <c r="AH759" s="308"/>
      <c r="AI759" s="313"/>
      <c r="AJ759" s="304"/>
      <c r="AK759" s="308"/>
      <c r="AL759" s="308"/>
      <c r="AM759" s="304"/>
      <c r="AN759" s="308"/>
      <c r="AO759" s="313"/>
      <c r="AP759" s="304"/>
      <c r="AQ759" s="308"/>
      <c r="AR759" s="313"/>
      <c r="AS759" s="304"/>
      <c r="AT759" s="308"/>
      <c r="AU759" s="308"/>
      <c r="AV759" s="304"/>
      <c r="AW759" s="308"/>
      <c r="AX759" s="308"/>
      <c r="AY759" s="304"/>
      <c r="AZ759" s="308"/>
      <c r="BA759" s="313"/>
      <c r="BB759" s="304"/>
      <c r="BC759" s="308"/>
      <c r="BD759" s="308"/>
    </row>
    <row r="760">
      <c r="A760" s="301"/>
      <c r="B760" s="301"/>
      <c r="C760" s="303"/>
      <c r="D760" s="301"/>
      <c r="E760" s="309"/>
      <c r="F760" s="301"/>
      <c r="G760" s="301"/>
      <c r="H760" s="309"/>
      <c r="I760" s="327"/>
      <c r="J760" s="328"/>
      <c r="K760" s="326"/>
      <c r="L760" s="309"/>
      <c r="M760" s="308"/>
      <c r="N760" s="309"/>
      <c r="O760" s="322"/>
      <c r="P760" s="308"/>
      <c r="Q760" s="311"/>
      <c r="R760" s="309"/>
      <c r="S760" s="308"/>
      <c r="T760" s="309"/>
      <c r="U760" s="309"/>
      <c r="V760" s="308"/>
      <c r="W760" s="309"/>
      <c r="X760" s="309"/>
      <c r="Y760" s="308"/>
      <c r="Z760" s="309"/>
      <c r="AA760" s="312"/>
      <c r="AB760" s="308"/>
      <c r="AC760" s="308"/>
      <c r="AD760" s="312"/>
      <c r="AE760" s="308"/>
      <c r="AF760" s="313"/>
      <c r="AG760" s="304"/>
      <c r="AH760" s="308"/>
      <c r="AI760" s="313"/>
      <c r="AJ760" s="304"/>
      <c r="AK760" s="308"/>
      <c r="AL760" s="308"/>
      <c r="AM760" s="304"/>
      <c r="AN760" s="308"/>
      <c r="AO760" s="313"/>
      <c r="AP760" s="304"/>
      <c r="AQ760" s="308"/>
      <c r="AR760" s="313"/>
      <c r="AS760" s="304"/>
      <c r="AT760" s="308"/>
      <c r="AU760" s="308"/>
      <c r="AV760" s="304"/>
      <c r="AW760" s="308"/>
      <c r="AX760" s="308"/>
      <c r="AY760" s="304"/>
      <c r="AZ760" s="308"/>
      <c r="BA760" s="313"/>
      <c r="BB760" s="304"/>
      <c r="BC760" s="308"/>
      <c r="BD760" s="308"/>
    </row>
    <row r="761">
      <c r="A761" s="301"/>
      <c r="B761" s="301"/>
      <c r="C761" s="303"/>
      <c r="D761" s="301"/>
      <c r="E761" s="309"/>
      <c r="F761" s="301"/>
      <c r="G761" s="301"/>
      <c r="H761" s="309"/>
      <c r="I761" s="327"/>
      <c r="J761" s="328"/>
      <c r="K761" s="326"/>
      <c r="L761" s="309"/>
      <c r="M761" s="308"/>
      <c r="N761" s="309"/>
      <c r="O761" s="322"/>
      <c r="P761" s="308"/>
      <c r="Q761" s="311"/>
      <c r="R761" s="309"/>
      <c r="S761" s="308"/>
      <c r="T761" s="309"/>
      <c r="U761" s="309"/>
      <c r="V761" s="308"/>
      <c r="W761" s="309"/>
      <c r="X761" s="309"/>
      <c r="Y761" s="308"/>
      <c r="Z761" s="309"/>
      <c r="AA761" s="312"/>
      <c r="AB761" s="308"/>
      <c r="AC761" s="308"/>
      <c r="AD761" s="312"/>
      <c r="AE761" s="308"/>
      <c r="AF761" s="313"/>
      <c r="AG761" s="304"/>
      <c r="AH761" s="308"/>
      <c r="AI761" s="313"/>
      <c r="AJ761" s="304"/>
      <c r="AK761" s="308"/>
      <c r="AL761" s="308"/>
      <c r="AM761" s="304"/>
      <c r="AN761" s="308"/>
      <c r="AO761" s="313"/>
      <c r="AP761" s="304"/>
      <c r="AQ761" s="308"/>
      <c r="AR761" s="313"/>
      <c r="AS761" s="304"/>
      <c r="AT761" s="308"/>
      <c r="AU761" s="308"/>
      <c r="AV761" s="304"/>
      <c r="AW761" s="308"/>
      <c r="AX761" s="308"/>
      <c r="AY761" s="304"/>
      <c r="AZ761" s="308"/>
      <c r="BA761" s="313"/>
      <c r="BB761" s="304"/>
      <c r="BC761" s="308"/>
      <c r="BD761" s="308"/>
    </row>
    <row r="762">
      <c r="A762" s="301"/>
      <c r="B762" s="301"/>
      <c r="C762" s="303"/>
      <c r="D762" s="301"/>
      <c r="E762" s="309"/>
      <c r="F762" s="301"/>
      <c r="G762" s="301"/>
      <c r="H762" s="309"/>
      <c r="I762" s="327"/>
      <c r="J762" s="328"/>
      <c r="K762" s="326"/>
      <c r="L762" s="309"/>
      <c r="M762" s="308"/>
      <c r="N762" s="309"/>
      <c r="O762" s="322"/>
      <c r="P762" s="308"/>
      <c r="Q762" s="311"/>
      <c r="R762" s="309"/>
      <c r="S762" s="308"/>
      <c r="T762" s="309"/>
      <c r="U762" s="309"/>
      <c r="V762" s="308"/>
      <c r="W762" s="309"/>
      <c r="X762" s="309"/>
      <c r="Y762" s="308"/>
      <c r="Z762" s="309"/>
      <c r="AA762" s="312"/>
      <c r="AB762" s="308"/>
      <c r="AC762" s="308"/>
      <c r="AD762" s="312"/>
      <c r="AE762" s="308"/>
      <c r="AF762" s="313"/>
      <c r="AG762" s="304"/>
      <c r="AH762" s="308"/>
      <c r="AI762" s="313"/>
      <c r="AJ762" s="304"/>
      <c r="AK762" s="308"/>
      <c r="AL762" s="308"/>
      <c r="AM762" s="304"/>
      <c r="AN762" s="308"/>
      <c r="AO762" s="313"/>
      <c r="AP762" s="304"/>
      <c r="AQ762" s="308"/>
      <c r="AR762" s="313"/>
      <c r="AS762" s="304"/>
      <c r="AT762" s="308"/>
      <c r="AU762" s="308"/>
      <c r="AV762" s="304"/>
      <c r="AW762" s="308"/>
      <c r="AX762" s="308"/>
      <c r="AY762" s="304"/>
      <c r="AZ762" s="308"/>
      <c r="BA762" s="313"/>
      <c r="BB762" s="304"/>
      <c r="BC762" s="308"/>
      <c r="BD762" s="308"/>
    </row>
    <row r="763">
      <c r="A763" s="301"/>
      <c r="B763" s="301"/>
      <c r="C763" s="303"/>
      <c r="D763" s="301"/>
      <c r="E763" s="309"/>
      <c r="F763" s="301"/>
      <c r="G763" s="301"/>
      <c r="H763" s="309"/>
      <c r="I763" s="327"/>
      <c r="J763" s="328"/>
      <c r="K763" s="326"/>
      <c r="L763" s="309"/>
      <c r="M763" s="308"/>
      <c r="N763" s="309"/>
      <c r="O763" s="322"/>
      <c r="P763" s="308"/>
      <c r="Q763" s="311"/>
      <c r="R763" s="309"/>
      <c r="S763" s="308"/>
      <c r="T763" s="309"/>
      <c r="U763" s="309"/>
      <c r="V763" s="308"/>
      <c r="W763" s="309"/>
      <c r="X763" s="309"/>
      <c r="Y763" s="308"/>
      <c r="Z763" s="309"/>
      <c r="AA763" s="312"/>
      <c r="AB763" s="308"/>
      <c r="AC763" s="308"/>
      <c r="AD763" s="312"/>
      <c r="AE763" s="308"/>
      <c r="AF763" s="313"/>
      <c r="AG763" s="304"/>
      <c r="AH763" s="308"/>
      <c r="AI763" s="313"/>
      <c r="AJ763" s="304"/>
      <c r="AK763" s="308"/>
      <c r="AL763" s="308"/>
      <c r="AM763" s="304"/>
      <c r="AN763" s="308"/>
      <c r="AO763" s="313"/>
      <c r="AP763" s="304"/>
      <c r="AQ763" s="308"/>
      <c r="AR763" s="313"/>
      <c r="AS763" s="304"/>
      <c r="AT763" s="308"/>
      <c r="AU763" s="308"/>
      <c r="AV763" s="304"/>
      <c r="AW763" s="308"/>
      <c r="AX763" s="308"/>
      <c r="AY763" s="304"/>
      <c r="AZ763" s="308"/>
      <c r="BA763" s="313"/>
      <c r="BB763" s="304"/>
      <c r="BC763" s="308"/>
      <c r="BD763" s="308"/>
    </row>
    <row r="764">
      <c r="A764" s="301"/>
      <c r="B764" s="301"/>
      <c r="C764" s="303"/>
      <c r="D764" s="301"/>
      <c r="E764" s="309"/>
      <c r="F764" s="301"/>
      <c r="G764" s="301"/>
      <c r="H764" s="309"/>
      <c r="I764" s="327"/>
      <c r="J764" s="328"/>
      <c r="K764" s="326"/>
      <c r="L764" s="309"/>
      <c r="M764" s="308"/>
      <c r="N764" s="309"/>
      <c r="O764" s="322"/>
      <c r="P764" s="308"/>
      <c r="Q764" s="311"/>
      <c r="R764" s="309"/>
      <c r="S764" s="308"/>
      <c r="T764" s="309"/>
      <c r="U764" s="309"/>
      <c r="V764" s="308"/>
      <c r="W764" s="309"/>
      <c r="X764" s="309"/>
      <c r="Y764" s="308"/>
      <c r="Z764" s="309"/>
      <c r="AA764" s="312"/>
      <c r="AB764" s="308"/>
      <c r="AC764" s="308"/>
      <c r="AD764" s="312"/>
      <c r="AE764" s="308"/>
      <c r="AF764" s="313"/>
      <c r="AG764" s="304"/>
      <c r="AH764" s="308"/>
      <c r="AI764" s="313"/>
      <c r="AJ764" s="304"/>
      <c r="AK764" s="308"/>
      <c r="AL764" s="308"/>
      <c r="AM764" s="304"/>
      <c r="AN764" s="308"/>
      <c r="AO764" s="313"/>
      <c r="AP764" s="304"/>
      <c r="AQ764" s="308"/>
      <c r="AR764" s="313"/>
      <c r="AS764" s="304"/>
      <c r="AT764" s="308"/>
      <c r="AU764" s="308"/>
      <c r="AV764" s="304"/>
      <c r="AW764" s="308"/>
      <c r="AX764" s="308"/>
      <c r="AY764" s="304"/>
      <c r="AZ764" s="308"/>
      <c r="BA764" s="313"/>
      <c r="BB764" s="304"/>
      <c r="BC764" s="308"/>
      <c r="BD764" s="308"/>
    </row>
    <row r="765">
      <c r="A765" s="301"/>
      <c r="B765" s="301"/>
      <c r="C765" s="303"/>
      <c r="D765" s="301"/>
      <c r="E765" s="309"/>
      <c r="F765" s="301"/>
      <c r="G765" s="301"/>
      <c r="H765" s="309"/>
      <c r="I765" s="327"/>
      <c r="J765" s="328"/>
      <c r="K765" s="326"/>
      <c r="L765" s="309"/>
      <c r="M765" s="308"/>
      <c r="N765" s="309"/>
      <c r="O765" s="322"/>
      <c r="P765" s="308"/>
      <c r="Q765" s="311"/>
      <c r="R765" s="309"/>
      <c r="S765" s="308"/>
      <c r="T765" s="309"/>
      <c r="U765" s="309"/>
      <c r="V765" s="308"/>
      <c r="W765" s="309"/>
      <c r="X765" s="309"/>
      <c r="Y765" s="308"/>
      <c r="Z765" s="309"/>
      <c r="AA765" s="312"/>
      <c r="AB765" s="308"/>
      <c r="AC765" s="308"/>
      <c r="AD765" s="312"/>
      <c r="AE765" s="308"/>
      <c r="AF765" s="313"/>
      <c r="AG765" s="304"/>
      <c r="AH765" s="308"/>
      <c r="AI765" s="313"/>
      <c r="AJ765" s="304"/>
      <c r="AK765" s="308"/>
      <c r="AL765" s="308"/>
      <c r="AM765" s="304"/>
      <c r="AN765" s="308"/>
      <c r="AO765" s="313"/>
      <c r="AP765" s="304"/>
      <c r="AQ765" s="308"/>
      <c r="AR765" s="313"/>
      <c r="AS765" s="304"/>
      <c r="AT765" s="308"/>
      <c r="AU765" s="308"/>
      <c r="AV765" s="304"/>
      <c r="AW765" s="308"/>
      <c r="AX765" s="308"/>
      <c r="AY765" s="304"/>
      <c r="AZ765" s="308"/>
      <c r="BA765" s="313"/>
      <c r="BB765" s="304"/>
      <c r="BC765" s="308"/>
      <c r="BD765" s="308"/>
    </row>
    <row r="766">
      <c r="A766" s="301"/>
      <c r="B766" s="301"/>
      <c r="C766" s="303"/>
      <c r="D766" s="301"/>
      <c r="E766" s="309"/>
      <c r="F766" s="301"/>
      <c r="G766" s="301"/>
      <c r="H766" s="309"/>
      <c r="I766" s="327"/>
      <c r="J766" s="328"/>
      <c r="K766" s="326"/>
      <c r="L766" s="309"/>
      <c r="M766" s="308"/>
      <c r="N766" s="309"/>
      <c r="O766" s="322"/>
      <c r="P766" s="308"/>
      <c r="Q766" s="311"/>
      <c r="R766" s="309"/>
      <c r="S766" s="308"/>
      <c r="T766" s="309"/>
      <c r="U766" s="309"/>
      <c r="V766" s="308"/>
      <c r="W766" s="309"/>
      <c r="X766" s="309"/>
      <c r="Y766" s="308"/>
      <c r="Z766" s="309"/>
      <c r="AA766" s="312"/>
      <c r="AB766" s="308"/>
      <c r="AC766" s="308"/>
      <c r="AD766" s="312"/>
      <c r="AE766" s="308"/>
      <c r="AF766" s="313"/>
      <c r="AG766" s="304"/>
      <c r="AH766" s="308"/>
      <c r="AI766" s="313"/>
      <c r="AJ766" s="304"/>
      <c r="AK766" s="308"/>
      <c r="AL766" s="308"/>
      <c r="AM766" s="304"/>
      <c r="AN766" s="308"/>
      <c r="AO766" s="313"/>
      <c r="AP766" s="304"/>
      <c r="AQ766" s="308"/>
      <c r="AR766" s="313"/>
      <c r="AS766" s="304"/>
      <c r="AT766" s="308"/>
      <c r="AU766" s="308"/>
      <c r="AV766" s="304"/>
      <c r="AW766" s="308"/>
      <c r="AX766" s="308"/>
      <c r="AY766" s="304"/>
      <c r="AZ766" s="308"/>
      <c r="BA766" s="313"/>
      <c r="BB766" s="304"/>
      <c r="BC766" s="308"/>
      <c r="BD766" s="308"/>
    </row>
    <row r="767">
      <c r="A767" s="301"/>
      <c r="B767" s="301"/>
      <c r="C767" s="303"/>
      <c r="D767" s="301"/>
      <c r="E767" s="309"/>
      <c r="F767" s="301"/>
      <c r="G767" s="301"/>
      <c r="H767" s="309"/>
      <c r="I767" s="327"/>
      <c r="J767" s="328"/>
      <c r="K767" s="326"/>
      <c r="L767" s="309"/>
      <c r="M767" s="308"/>
      <c r="N767" s="309"/>
      <c r="O767" s="322"/>
      <c r="P767" s="308"/>
      <c r="Q767" s="311"/>
      <c r="R767" s="309"/>
      <c r="S767" s="308"/>
      <c r="T767" s="309"/>
      <c r="U767" s="309"/>
      <c r="V767" s="308"/>
      <c r="W767" s="309"/>
      <c r="X767" s="309"/>
      <c r="Y767" s="308"/>
      <c r="Z767" s="309"/>
      <c r="AA767" s="312"/>
      <c r="AB767" s="308"/>
      <c r="AC767" s="308"/>
      <c r="AD767" s="312"/>
      <c r="AE767" s="308"/>
      <c r="AF767" s="313"/>
      <c r="AG767" s="304"/>
      <c r="AH767" s="308"/>
      <c r="AI767" s="313"/>
      <c r="AJ767" s="304"/>
      <c r="AK767" s="308"/>
      <c r="AL767" s="308"/>
      <c r="AM767" s="304"/>
      <c r="AN767" s="308"/>
      <c r="AO767" s="313"/>
      <c r="AP767" s="304"/>
      <c r="AQ767" s="308"/>
      <c r="AR767" s="313"/>
      <c r="AS767" s="304"/>
      <c r="AT767" s="308"/>
      <c r="AU767" s="308"/>
      <c r="AV767" s="304"/>
      <c r="AW767" s="308"/>
      <c r="AX767" s="308"/>
      <c r="AY767" s="304"/>
      <c r="AZ767" s="308"/>
      <c r="BA767" s="313"/>
      <c r="BB767" s="304"/>
      <c r="BC767" s="308"/>
      <c r="BD767" s="308"/>
    </row>
    <row r="768">
      <c r="A768" s="301"/>
      <c r="B768" s="301"/>
      <c r="C768" s="303"/>
      <c r="D768" s="301"/>
      <c r="E768" s="309"/>
      <c r="F768" s="301"/>
      <c r="G768" s="301"/>
      <c r="H768" s="309"/>
      <c r="I768" s="327"/>
      <c r="J768" s="328"/>
      <c r="K768" s="326"/>
      <c r="L768" s="309"/>
      <c r="M768" s="308"/>
      <c r="N768" s="309"/>
      <c r="O768" s="322"/>
      <c r="P768" s="308"/>
      <c r="Q768" s="311"/>
      <c r="R768" s="309"/>
      <c r="S768" s="308"/>
      <c r="T768" s="309"/>
      <c r="U768" s="309"/>
      <c r="V768" s="308"/>
      <c r="W768" s="309"/>
      <c r="X768" s="309"/>
      <c r="Y768" s="308"/>
      <c r="Z768" s="309"/>
      <c r="AA768" s="312"/>
      <c r="AB768" s="308"/>
      <c r="AC768" s="308"/>
      <c r="AD768" s="312"/>
      <c r="AE768" s="308"/>
      <c r="AF768" s="313"/>
      <c r="AG768" s="304"/>
      <c r="AH768" s="308"/>
      <c r="AI768" s="313"/>
      <c r="AJ768" s="304"/>
      <c r="AK768" s="308"/>
      <c r="AL768" s="308"/>
      <c r="AM768" s="304"/>
      <c r="AN768" s="308"/>
      <c r="AO768" s="313"/>
      <c r="AP768" s="304"/>
      <c r="AQ768" s="308"/>
      <c r="AR768" s="313"/>
      <c r="AS768" s="304"/>
      <c r="AT768" s="308"/>
      <c r="AU768" s="308"/>
      <c r="AV768" s="304"/>
      <c r="AW768" s="308"/>
      <c r="AX768" s="308"/>
      <c r="AY768" s="304"/>
      <c r="AZ768" s="308"/>
      <c r="BA768" s="313"/>
      <c r="BB768" s="304"/>
      <c r="BC768" s="308"/>
      <c r="BD768" s="308"/>
    </row>
    <row r="769">
      <c r="A769" s="301"/>
      <c r="B769" s="301"/>
      <c r="C769" s="303"/>
      <c r="D769" s="301"/>
      <c r="E769" s="309"/>
      <c r="F769" s="301"/>
      <c r="G769" s="301"/>
      <c r="H769" s="309"/>
      <c r="I769" s="327"/>
      <c r="J769" s="328"/>
      <c r="K769" s="326"/>
      <c r="L769" s="309"/>
      <c r="M769" s="308"/>
      <c r="N769" s="309"/>
      <c r="O769" s="322"/>
      <c r="P769" s="308"/>
      <c r="Q769" s="311"/>
      <c r="R769" s="309"/>
      <c r="S769" s="308"/>
      <c r="T769" s="309"/>
      <c r="U769" s="309"/>
      <c r="V769" s="308"/>
      <c r="W769" s="309"/>
      <c r="X769" s="309"/>
      <c r="Y769" s="308"/>
      <c r="Z769" s="309"/>
      <c r="AA769" s="312"/>
      <c r="AB769" s="308"/>
      <c r="AC769" s="308"/>
      <c r="AD769" s="312"/>
      <c r="AE769" s="308"/>
      <c r="AF769" s="313"/>
      <c r="AG769" s="304"/>
      <c r="AH769" s="308"/>
      <c r="AI769" s="313"/>
      <c r="AJ769" s="304"/>
      <c r="AK769" s="308"/>
      <c r="AL769" s="308"/>
      <c r="AM769" s="304"/>
      <c r="AN769" s="308"/>
      <c r="AO769" s="313"/>
      <c r="AP769" s="304"/>
      <c r="AQ769" s="308"/>
      <c r="AR769" s="313"/>
      <c r="AS769" s="304"/>
      <c r="AT769" s="308"/>
      <c r="AU769" s="308"/>
      <c r="AV769" s="304"/>
      <c r="AW769" s="308"/>
      <c r="AX769" s="308"/>
      <c r="AY769" s="304"/>
      <c r="AZ769" s="308"/>
      <c r="BA769" s="313"/>
      <c r="BB769" s="304"/>
      <c r="BC769" s="308"/>
      <c r="BD769" s="308"/>
    </row>
    <row r="770">
      <c r="A770" s="301"/>
      <c r="B770" s="301"/>
      <c r="C770" s="303"/>
      <c r="D770" s="301"/>
      <c r="E770" s="309"/>
      <c r="F770" s="301"/>
      <c r="G770" s="301"/>
      <c r="H770" s="309"/>
      <c r="I770" s="327"/>
      <c r="J770" s="328"/>
      <c r="K770" s="326"/>
      <c r="L770" s="309"/>
      <c r="M770" s="308"/>
      <c r="N770" s="309"/>
      <c r="O770" s="322"/>
      <c r="P770" s="308"/>
      <c r="Q770" s="311"/>
      <c r="R770" s="309"/>
      <c r="S770" s="308"/>
      <c r="T770" s="309"/>
      <c r="U770" s="309"/>
      <c r="V770" s="308"/>
      <c r="W770" s="309"/>
      <c r="X770" s="309"/>
      <c r="Y770" s="308"/>
      <c r="Z770" s="309"/>
      <c r="AA770" s="312"/>
      <c r="AB770" s="308"/>
      <c r="AC770" s="308"/>
      <c r="AD770" s="312"/>
      <c r="AE770" s="308"/>
      <c r="AF770" s="313"/>
      <c r="AG770" s="304"/>
      <c r="AH770" s="308"/>
      <c r="AI770" s="313"/>
      <c r="AJ770" s="304"/>
      <c r="AK770" s="308"/>
      <c r="AL770" s="308"/>
      <c r="AM770" s="304"/>
      <c r="AN770" s="308"/>
      <c r="AO770" s="313"/>
      <c r="AP770" s="304"/>
      <c r="AQ770" s="308"/>
      <c r="AR770" s="313"/>
      <c r="AS770" s="304"/>
      <c r="AT770" s="308"/>
      <c r="AU770" s="308"/>
      <c r="AV770" s="304"/>
      <c r="AW770" s="308"/>
      <c r="AX770" s="308"/>
      <c r="AY770" s="304"/>
      <c r="AZ770" s="308"/>
      <c r="BA770" s="313"/>
      <c r="BB770" s="304"/>
      <c r="BC770" s="308"/>
      <c r="BD770" s="308"/>
    </row>
    <row r="771">
      <c r="A771" s="301"/>
      <c r="B771" s="301"/>
      <c r="C771" s="303"/>
      <c r="D771" s="301"/>
      <c r="E771" s="309"/>
      <c r="F771" s="301"/>
      <c r="G771" s="301"/>
      <c r="H771" s="309"/>
      <c r="I771" s="327"/>
      <c r="J771" s="328"/>
      <c r="K771" s="326"/>
      <c r="L771" s="309"/>
      <c r="M771" s="308"/>
      <c r="N771" s="309"/>
      <c r="O771" s="322"/>
      <c r="P771" s="308"/>
      <c r="Q771" s="311"/>
      <c r="R771" s="309"/>
      <c r="S771" s="308"/>
      <c r="T771" s="309"/>
      <c r="U771" s="309"/>
      <c r="V771" s="308"/>
      <c r="W771" s="309"/>
      <c r="X771" s="309"/>
      <c r="Y771" s="308"/>
      <c r="Z771" s="309"/>
      <c r="AA771" s="312"/>
      <c r="AB771" s="308"/>
      <c r="AC771" s="308"/>
      <c r="AD771" s="312"/>
      <c r="AE771" s="308"/>
      <c r="AF771" s="313"/>
      <c r="AG771" s="304"/>
      <c r="AH771" s="308"/>
      <c r="AI771" s="313"/>
      <c r="AJ771" s="304"/>
      <c r="AK771" s="308"/>
      <c r="AL771" s="308"/>
      <c r="AM771" s="304"/>
      <c r="AN771" s="308"/>
      <c r="AO771" s="313"/>
      <c r="AP771" s="304"/>
      <c r="AQ771" s="308"/>
      <c r="AR771" s="313"/>
      <c r="AS771" s="304"/>
      <c r="AT771" s="308"/>
      <c r="AU771" s="308"/>
      <c r="AV771" s="304"/>
      <c r="AW771" s="308"/>
      <c r="AX771" s="308"/>
      <c r="AY771" s="304"/>
      <c r="AZ771" s="308"/>
      <c r="BA771" s="313"/>
      <c r="BB771" s="304"/>
      <c r="BC771" s="308"/>
      <c r="BD771" s="308"/>
    </row>
    <row r="772">
      <c r="A772" s="301"/>
      <c r="B772" s="301"/>
      <c r="C772" s="303"/>
      <c r="D772" s="301"/>
      <c r="E772" s="309"/>
      <c r="F772" s="301"/>
      <c r="G772" s="301"/>
      <c r="H772" s="309"/>
      <c r="I772" s="327"/>
      <c r="J772" s="328"/>
      <c r="K772" s="326"/>
      <c r="L772" s="309"/>
      <c r="M772" s="308"/>
      <c r="N772" s="309"/>
      <c r="O772" s="322"/>
      <c r="P772" s="308"/>
      <c r="Q772" s="311"/>
      <c r="R772" s="309"/>
      <c r="S772" s="308"/>
      <c r="T772" s="309"/>
      <c r="U772" s="309"/>
      <c r="V772" s="308"/>
      <c r="W772" s="309"/>
      <c r="X772" s="309"/>
      <c r="Y772" s="308"/>
      <c r="Z772" s="309"/>
      <c r="AA772" s="312"/>
      <c r="AB772" s="308"/>
      <c r="AC772" s="308"/>
      <c r="AD772" s="312"/>
      <c r="AE772" s="308"/>
      <c r="AF772" s="313"/>
      <c r="AG772" s="304"/>
      <c r="AH772" s="308"/>
      <c r="AI772" s="313"/>
      <c r="AJ772" s="304"/>
      <c r="AK772" s="308"/>
      <c r="AL772" s="308"/>
      <c r="AM772" s="304"/>
      <c r="AN772" s="308"/>
      <c r="AO772" s="313"/>
      <c r="AP772" s="304"/>
      <c r="AQ772" s="308"/>
      <c r="AR772" s="313"/>
      <c r="AS772" s="304"/>
      <c r="AT772" s="308"/>
      <c r="AU772" s="308"/>
      <c r="AV772" s="304"/>
      <c r="AW772" s="308"/>
      <c r="AX772" s="308"/>
      <c r="AY772" s="304"/>
      <c r="AZ772" s="308"/>
      <c r="BA772" s="313"/>
      <c r="BB772" s="304"/>
      <c r="BC772" s="308"/>
      <c r="BD772" s="308"/>
    </row>
    <row r="773">
      <c r="A773" s="301"/>
      <c r="B773" s="301"/>
      <c r="C773" s="303"/>
      <c r="D773" s="301"/>
      <c r="E773" s="309"/>
      <c r="F773" s="301"/>
      <c r="G773" s="301"/>
      <c r="H773" s="309"/>
      <c r="I773" s="327"/>
      <c r="J773" s="328"/>
      <c r="K773" s="326"/>
      <c r="L773" s="309"/>
      <c r="M773" s="308"/>
      <c r="N773" s="309"/>
      <c r="O773" s="322"/>
      <c r="P773" s="308"/>
      <c r="Q773" s="311"/>
      <c r="R773" s="309"/>
      <c r="S773" s="308"/>
      <c r="T773" s="309"/>
      <c r="U773" s="309"/>
      <c r="V773" s="308"/>
      <c r="W773" s="309"/>
      <c r="X773" s="309"/>
      <c r="Y773" s="308"/>
      <c r="Z773" s="309"/>
      <c r="AA773" s="312"/>
      <c r="AB773" s="308"/>
      <c r="AC773" s="308"/>
      <c r="AD773" s="312"/>
      <c r="AE773" s="308"/>
      <c r="AF773" s="313"/>
      <c r="AG773" s="304"/>
      <c r="AH773" s="308"/>
      <c r="AI773" s="313"/>
      <c r="AJ773" s="304"/>
      <c r="AK773" s="308"/>
      <c r="AL773" s="308"/>
      <c r="AM773" s="304"/>
      <c r="AN773" s="308"/>
      <c r="AO773" s="313"/>
      <c r="AP773" s="304"/>
      <c r="AQ773" s="308"/>
      <c r="AR773" s="313"/>
      <c r="AS773" s="304"/>
      <c r="AT773" s="308"/>
      <c r="AU773" s="308"/>
      <c r="AV773" s="304"/>
      <c r="AW773" s="308"/>
      <c r="AX773" s="308"/>
      <c r="AY773" s="304"/>
      <c r="AZ773" s="308"/>
      <c r="BA773" s="313"/>
      <c r="BB773" s="304"/>
      <c r="BC773" s="308"/>
      <c r="BD773" s="308"/>
    </row>
    <row r="774">
      <c r="A774" s="301"/>
      <c r="B774" s="301"/>
      <c r="C774" s="303"/>
      <c r="D774" s="301"/>
      <c r="E774" s="309"/>
      <c r="F774" s="301"/>
      <c r="G774" s="301"/>
      <c r="H774" s="309"/>
      <c r="I774" s="327"/>
      <c r="J774" s="328"/>
      <c r="K774" s="326"/>
      <c r="L774" s="309"/>
      <c r="M774" s="308"/>
      <c r="N774" s="309"/>
      <c r="O774" s="322"/>
      <c r="P774" s="308"/>
      <c r="Q774" s="311"/>
      <c r="R774" s="309"/>
      <c r="S774" s="308"/>
      <c r="T774" s="309"/>
      <c r="U774" s="309"/>
      <c r="V774" s="308"/>
      <c r="W774" s="309"/>
      <c r="X774" s="309"/>
      <c r="Y774" s="308"/>
      <c r="Z774" s="309"/>
      <c r="AA774" s="312"/>
      <c r="AB774" s="308"/>
      <c r="AC774" s="308"/>
      <c r="AD774" s="312"/>
      <c r="AE774" s="308"/>
      <c r="AF774" s="313"/>
      <c r="AG774" s="304"/>
      <c r="AH774" s="308"/>
      <c r="AI774" s="313"/>
      <c r="AJ774" s="304"/>
      <c r="AK774" s="308"/>
      <c r="AL774" s="308"/>
      <c r="AM774" s="304"/>
      <c r="AN774" s="308"/>
      <c r="AO774" s="313"/>
      <c r="AP774" s="304"/>
      <c r="AQ774" s="308"/>
      <c r="AR774" s="313"/>
      <c r="AS774" s="304"/>
      <c r="AT774" s="308"/>
      <c r="AU774" s="308"/>
      <c r="AV774" s="304"/>
      <c r="AW774" s="308"/>
      <c r="AX774" s="308"/>
      <c r="AY774" s="304"/>
      <c r="AZ774" s="308"/>
      <c r="BA774" s="313"/>
      <c r="BB774" s="304"/>
      <c r="BC774" s="308"/>
      <c r="BD774" s="308"/>
    </row>
    <row r="775">
      <c r="A775" s="301"/>
      <c r="B775" s="301"/>
      <c r="C775" s="303"/>
      <c r="D775" s="301"/>
      <c r="E775" s="309"/>
      <c r="F775" s="301"/>
      <c r="G775" s="301"/>
      <c r="H775" s="309"/>
      <c r="I775" s="327"/>
      <c r="J775" s="328"/>
      <c r="K775" s="326"/>
      <c r="L775" s="309"/>
      <c r="M775" s="308"/>
      <c r="N775" s="309"/>
      <c r="O775" s="322"/>
      <c r="P775" s="308"/>
      <c r="Q775" s="311"/>
      <c r="R775" s="309"/>
      <c r="S775" s="308"/>
      <c r="T775" s="309"/>
      <c r="U775" s="309"/>
      <c r="V775" s="308"/>
      <c r="W775" s="309"/>
      <c r="X775" s="309"/>
      <c r="Y775" s="308"/>
      <c r="Z775" s="309"/>
      <c r="AA775" s="312"/>
      <c r="AB775" s="308"/>
      <c r="AC775" s="308"/>
      <c r="AD775" s="312"/>
      <c r="AE775" s="308"/>
      <c r="AF775" s="313"/>
      <c r="AG775" s="304"/>
      <c r="AH775" s="308"/>
      <c r="AI775" s="313"/>
      <c r="AJ775" s="304"/>
      <c r="AK775" s="308"/>
      <c r="AL775" s="308"/>
      <c r="AM775" s="304"/>
      <c r="AN775" s="308"/>
      <c r="AO775" s="313"/>
      <c r="AP775" s="304"/>
      <c r="AQ775" s="308"/>
      <c r="AR775" s="313"/>
      <c r="AS775" s="304"/>
      <c r="AT775" s="308"/>
      <c r="AU775" s="308"/>
      <c r="AV775" s="304"/>
      <c r="AW775" s="308"/>
      <c r="AX775" s="308"/>
      <c r="AY775" s="304"/>
      <c r="AZ775" s="308"/>
      <c r="BA775" s="313"/>
      <c r="BB775" s="304"/>
      <c r="BC775" s="308"/>
      <c r="BD775" s="308"/>
    </row>
    <row r="776">
      <c r="A776" s="301"/>
      <c r="B776" s="301"/>
      <c r="C776" s="303"/>
      <c r="D776" s="301"/>
      <c r="E776" s="309"/>
      <c r="F776" s="301"/>
      <c r="G776" s="301"/>
      <c r="H776" s="309"/>
      <c r="I776" s="327"/>
      <c r="J776" s="328"/>
      <c r="K776" s="326"/>
      <c r="L776" s="309"/>
      <c r="M776" s="308"/>
      <c r="N776" s="309"/>
      <c r="O776" s="322"/>
      <c r="P776" s="308"/>
      <c r="Q776" s="311"/>
      <c r="R776" s="309"/>
      <c r="S776" s="308"/>
      <c r="T776" s="309"/>
      <c r="U776" s="309"/>
      <c r="V776" s="308"/>
      <c r="W776" s="309"/>
      <c r="X776" s="309"/>
      <c r="Y776" s="308"/>
      <c r="Z776" s="309"/>
      <c r="AA776" s="312"/>
      <c r="AB776" s="308"/>
      <c r="AC776" s="308"/>
      <c r="AD776" s="312"/>
      <c r="AE776" s="308"/>
      <c r="AF776" s="313"/>
      <c r="AG776" s="304"/>
      <c r="AH776" s="308"/>
      <c r="AI776" s="313"/>
      <c r="AJ776" s="304"/>
      <c r="AK776" s="308"/>
      <c r="AL776" s="308"/>
      <c r="AM776" s="304"/>
      <c r="AN776" s="308"/>
      <c r="AO776" s="313"/>
      <c r="AP776" s="304"/>
      <c r="AQ776" s="308"/>
      <c r="AR776" s="313"/>
      <c r="AS776" s="304"/>
      <c r="AT776" s="308"/>
      <c r="AU776" s="308"/>
      <c r="AV776" s="304"/>
      <c r="AW776" s="308"/>
      <c r="AX776" s="308"/>
      <c r="AY776" s="304"/>
      <c r="AZ776" s="308"/>
      <c r="BA776" s="313"/>
      <c r="BB776" s="304"/>
      <c r="BC776" s="308"/>
      <c r="BD776" s="308"/>
    </row>
    <row r="777">
      <c r="A777" s="301"/>
      <c r="B777" s="301"/>
      <c r="C777" s="303"/>
      <c r="D777" s="301"/>
      <c r="E777" s="309"/>
      <c r="F777" s="301"/>
      <c r="G777" s="301"/>
      <c r="H777" s="309"/>
      <c r="I777" s="327"/>
      <c r="J777" s="328"/>
      <c r="K777" s="326"/>
      <c r="L777" s="309"/>
      <c r="M777" s="308"/>
      <c r="N777" s="309"/>
      <c r="O777" s="322"/>
      <c r="P777" s="308"/>
      <c r="Q777" s="311"/>
      <c r="R777" s="309"/>
      <c r="S777" s="308"/>
      <c r="T777" s="309"/>
      <c r="U777" s="309"/>
      <c r="V777" s="308"/>
      <c r="W777" s="309"/>
      <c r="X777" s="309"/>
      <c r="Y777" s="308"/>
      <c r="Z777" s="309"/>
      <c r="AA777" s="312"/>
      <c r="AB777" s="308"/>
      <c r="AC777" s="308"/>
      <c r="AD777" s="312"/>
      <c r="AE777" s="308"/>
      <c r="AF777" s="313"/>
      <c r="AG777" s="304"/>
      <c r="AH777" s="308"/>
      <c r="AI777" s="313"/>
      <c r="AJ777" s="304"/>
      <c r="AK777" s="308"/>
      <c r="AL777" s="308"/>
      <c r="AM777" s="304"/>
      <c r="AN777" s="308"/>
      <c r="AO777" s="313"/>
      <c r="AP777" s="304"/>
      <c r="AQ777" s="308"/>
      <c r="AR777" s="313"/>
      <c r="AS777" s="304"/>
      <c r="AT777" s="308"/>
      <c r="AU777" s="308"/>
      <c r="AV777" s="304"/>
      <c r="AW777" s="308"/>
      <c r="AX777" s="308"/>
      <c r="AY777" s="304"/>
      <c r="AZ777" s="308"/>
      <c r="BA777" s="313"/>
      <c r="BB777" s="304"/>
      <c r="BC777" s="308"/>
      <c r="BD777" s="308"/>
    </row>
    <row r="778">
      <c r="A778" s="301"/>
      <c r="B778" s="301"/>
      <c r="C778" s="303"/>
      <c r="D778" s="301"/>
      <c r="E778" s="309"/>
      <c r="F778" s="301"/>
      <c r="G778" s="301"/>
      <c r="H778" s="309"/>
      <c r="I778" s="327"/>
      <c r="J778" s="328"/>
      <c r="K778" s="326"/>
      <c r="L778" s="309"/>
      <c r="M778" s="308"/>
      <c r="N778" s="309"/>
      <c r="O778" s="322"/>
      <c r="P778" s="308"/>
      <c r="Q778" s="311"/>
      <c r="R778" s="309"/>
      <c r="S778" s="308"/>
      <c r="T778" s="309"/>
      <c r="U778" s="309"/>
      <c r="V778" s="308"/>
      <c r="W778" s="309"/>
      <c r="X778" s="309"/>
      <c r="Y778" s="308"/>
      <c r="Z778" s="309"/>
      <c r="AA778" s="312"/>
      <c r="AB778" s="308"/>
      <c r="AC778" s="308"/>
      <c r="AD778" s="312"/>
      <c r="AE778" s="308"/>
      <c r="AF778" s="313"/>
      <c r="AG778" s="304"/>
      <c r="AH778" s="308"/>
      <c r="AI778" s="313"/>
      <c r="AJ778" s="304"/>
      <c r="AK778" s="308"/>
      <c r="AL778" s="308"/>
      <c r="AM778" s="304"/>
      <c r="AN778" s="308"/>
      <c r="AO778" s="313"/>
      <c r="AP778" s="304"/>
      <c r="AQ778" s="308"/>
      <c r="AR778" s="313"/>
      <c r="AS778" s="304"/>
      <c r="AT778" s="308"/>
      <c r="AU778" s="308"/>
      <c r="AV778" s="304"/>
      <c r="AW778" s="308"/>
      <c r="AX778" s="308"/>
      <c r="AY778" s="304"/>
      <c r="AZ778" s="308"/>
      <c r="BA778" s="313"/>
      <c r="BB778" s="304"/>
      <c r="BC778" s="308"/>
      <c r="BD778" s="308"/>
    </row>
    <row r="779">
      <c r="A779" s="301"/>
      <c r="B779" s="301"/>
      <c r="C779" s="303"/>
      <c r="D779" s="301"/>
      <c r="E779" s="309"/>
      <c r="F779" s="301"/>
      <c r="G779" s="301"/>
      <c r="H779" s="309"/>
      <c r="I779" s="327"/>
      <c r="J779" s="328"/>
      <c r="K779" s="326"/>
      <c r="L779" s="309"/>
      <c r="M779" s="308"/>
      <c r="N779" s="309"/>
      <c r="O779" s="322"/>
      <c r="P779" s="308"/>
      <c r="Q779" s="311"/>
      <c r="R779" s="309"/>
      <c r="S779" s="308"/>
      <c r="T779" s="309"/>
      <c r="U779" s="309"/>
      <c r="V779" s="308"/>
      <c r="W779" s="309"/>
      <c r="X779" s="309"/>
      <c r="Y779" s="308"/>
      <c r="Z779" s="309"/>
      <c r="AA779" s="312"/>
      <c r="AB779" s="308"/>
      <c r="AC779" s="308"/>
      <c r="AD779" s="312"/>
      <c r="AE779" s="308"/>
      <c r="AF779" s="313"/>
      <c r="AG779" s="304"/>
      <c r="AH779" s="308"/>
      <c r="AI779" s="313"/>
      <c r="AJ779" s="304"/>
      <c r="AK779" s="308"/>
      <c r="AL779" s="308"/>
      <c r="AM779" s="304"/>
      <c r="AN779" s="308"/>
      <c r="AO779" s="313"/>
      <c r="AP779" s="304"/>
      <c r="AQ779" s="308"/>
      <c r="AR779" s="313"/>
      <c r="AS779" s="304"/>
      <c r="AT779" s="308"/>
      <c r="AU779" s="308"/>
      <c r="AV779" s="304"/>
      <c r="AW779" s="308"/>
      <c r="AX779" s="308"/>
      <c r="AY779" s="304"/>
      <c r="AZ779" s="308"/>
      <c r="BA779" s="313"/>
      <c r="BB779" s="304"/>
      <c r="BC779" s="308"/>
      <c r="BD779" s="308"/>
    </row>
    <row r="780">
      <c r="A780" s="301"/>
      <c r="B780" s="301"/>
      <c r="C780" s="303"/>
      <c r="D780" s="301"/>
      <c r="E780" s="309"/>
      <c r="F780" s="301"/>
      <c r="G780" s="301"/>
      <c r="H780" s="309"/>
      <c r="I780" s="327"/>
      <c r="J780" s="328"/>
      <c r="K780" s="326"/>
      <c r="L780" s="309"/>
      <c r="M780" s="308"/>
      <c r="N780" s="309"/>
      <c r="O780" s="322"/>
      <c r="P780" s="308"/>
      <c r="Q780" s="311"/>
      <c r="R780" s="309"/>
      <c r="S780" s="308"/>
      <c r="T780" s="309"/>
      <c r="U780" s="309"/>
      <c r="V780" s="308"/>
      <c r="W780" s="309"/>
      <c r="X780" s="309"/>
      <c r="Y780" s="308"/>
      <c r="Z780" s="309"/>
      <c r="AA780" s="312"/>
      <c r="AB780" s="308"/>
      <c r="AC780" s="308"/>
      <c r="AD780" s="312"/>
      <c r="AE780" s="308"/>
      <c r="AF780" s="313"/>
      <c r="AG780" s="304"/>
      <c r="AH780" s="308"/>
      <c r="AI780" s="313"/>
      <c r="AJ780" s="304"/>
      <c r="AK780" s="308"/>
      <c r="AL780" s="308"/>
      <c r="AM780" s="304"/>
      <c r="AN780" s="308"/>
      <c r="AO780" s="313"/>
      <c r="AP780" s="304"/>
      <c r="AQ780" s="308"/>
      <c r="AR780" s="313"/>
      <c r="AS780" s="304"/>
      <c r="AT780" s="308"/>
      <c r="AU780" s="308"/>
      <c r="AV780" s="304"/>
      <c r="AW780" s="308"/>
      <c r="AX780" s="308"/>
      <c r="AY780" s="304"/>
      <c r="AZ780" s="308"/>
      <c r="BA780" s="313"/>
      <c r="BB780" s="304"/>
      <c r="BC780" s="308"/>
      <c r="BD780" s="308"/>
    </row>
    <row r="781">
      <c r="A781" s="301"/>
      <c r="B781" s="301"/>
      <c r="C781" s="303"/>
      <c r="D781" s="301"/>
      <c r="E781" s="309"/>
      <c r="F781" s="301"/>
      <c r="G781" s="301"/>
      <c r="H781" s="309"/>
      <c r="I781" s="327"/>
      <c r="J781" s="328"/>
      <c r="K781" s="326"/>
      <c r="L781" s="309"/>
      <c r="M781" s="308"/>
      <c r="N781" s="309"/>
      <c r="O781" s="322"/>
      <c r="P781" s="308"/>
      <c r="Q781" s="311"/>
      <c r="R781" s="309"/>
      <c r="S781" s="308"/>
      <c r="T781" s="309"/>
      <c r="U781" s="309"/>
      <c r="V781" s="308"/>
      <c r="W781" s="309"/>
      <c r="X781" s="309"/>
      <c r="Y781" s="308"/>
      <c r="Z781" s="309"/>
      <c r="AA781" s="312"/>
      <c r="AB781" s="308"/>
      <c r="AC781" s="308"/>
      <c r="AD781" s="312"/>
      <c r="AE781" s="308"/>
      <c r="AF781" s="313"/>
      <c r="AG781" s="304"/>
      <c r="AH781" s="308"/>
      <c r="AI781" s="313"/>
      <c r="AJ781" s="304"/>
      <c r="AK781" s="308"/>
      <c r="AL781" s="308"/>
      <c r="AM781" s="304"/>
      <c r="AN781" s="308"/>
      <c r="AO781" s="313"/>
      <c r="AP781" s="304"/>
      <c r="AQ781" s="308"/>
      <c r="AR781" s="313"/>
      <c r="AS781" s="304"/>
      <c r="AT781" s="308"/>
      <c r="AU781" s="308"/>
      <c r="AV781" s="304"/>
      <c r="AW781" s="308"/>
      <c r="AX781" s="308"/>
      <c r="AY781" s="304"/>
      <c r="AZ781" s="308"/>
      <c r="BA781" s="313"/>
      <c r="BB781" s="304"/>
      <c r="BC781" s="308"/>
      <c r="BD781" s="308"/>
    </row>
    <row r="782">
      <c r="A782" s="301"/>
      <c r="B782" s="301"/>
      <c r="C782" s="303"/>
      <c r="D782" s="301"/>
      <c r="E782" s="309"/>
      <c r="F782" s="301"/>
      <c r="G782" s="301"/>
      <c r="H782" s="309"/>
      <c r="I782" s="327"/>
      <c r="J782" s="328"/>
      <c r="K782" s="326"/>
      <c r="L782" s="309"/>
      <c r="M782" s="308"/>
      <c r="N782" s="309"/>
      <c r="O782" s="322"/>
      <c r="P782" s="308"/>
      <c r="Q782" s="311"/>
      <c r="R782" s="309"/>
      <c r="S782" s="308"/>
      <c r="T782" s="309"/>
      <c r="U782" s="309"/>
      <c r="V782" s="308"/>
      <c r="W782" s="309"/>
      <c r="X782" s="309"/>
      <c r="Y782" s="308"/>
      <c r="Z782" s="309"/>
      <c r="AA782" s="312"/>
      <c r="AB782" s="308"/>
      <c r="AC782" s="308"/>
      <c r="AD782" s="312"/>
      <c r="AE782" s="308"/>
      <c r="AF782" s="313"/>
      <c r="AG782" s="304"/>
      <c r="AH782" s="308"/>
      <c r="AI782" s="313"/>
      <c r="AJ782" s="304"/>
      <c r="AK782" s="308"/>
      <c r="AL782" s="308"/>
      <c r="AM782" s="304"/>
      <c r="AN782" s="308"/>
      <c r="AO782" s="313"/>
      <c r="AP782" s="304"/>
      <c r="AQ782" s="308"/>
      <c r="AR782" s="313"/>
      <c r="AS782" s="304"/>
      <c r="AT782" s="308"/>
      <c r="AU782" s="308"/>
      <c r="AV782" s="304"/>
      <c r="AW782" s="308"/>
      <c r="AX782" s="308"/>
      <c r="AY782" s="304"/>
      <c r="AZ782" s="308"/>
      <c r="BA782" s="313"/>
      <c r="BB782" s="304"/>
      <c r="BC782" s="308"/>
      <c r="BD782" s="308"/>
    </row>
    <row r="783">
      <c r="A783" s="301"/>
      <c r="B783" s="301"/>
      <c r="C783" s="303"/>
      <c r="D783" s="301"/>
      <c r="E783" s="309"/>
      <c r="F783" s="301"/>
      <c r="G783" s="301"/>
      <c r="H783" s="309"/>
      <c r="I783" s="327"/>
      <c r="J783" s="328"/>
      <c r="K783" s="326"/>
      <c r="L783" s="309"/>
      <c r="M783" s="308"/>
      <c r="N783" s="309"/>
      <c r="O783" s="322"/>
      <c r="P783" s="308"/>
      <c r="Q783" s="311"/>
      <c r="R783" s="309"/>
      <c r="S783" s="308"/>
      <c r="T783" s="309"/>
      <c r="U783" s="309"/>
      <c r="V783" s="308"/>
      <c r="W783" s="309"/>
      <c r="X783" s="309"/>
      <c r="Y783" s="308"/>
      <c r="Z783" s="309"/>
      <c r="AA783" s="312"/>
      <c r="AB783" s="308"/>
      <c r="AC783" s="308"/>
      <c r="AD783" s="312"/>
      <c r="AE783" s="308"/>
      <c r="AF783" s="313"/>
      <c r="AG783" s="304"/>
      <c r="AH783" s="308"/>
      <c r="AI783" s="313"/>
      <c r="AJ783" s="304"/>
      <c r="AK783" s="308"/>
      <c r="AL783" s="308"/>
      <c r="AM783" s="304"/>
      <c r="AN783" s="308"/>
      <c r="AO783" s="313"/>
      <c r="AP783" s="304"/>
      <c r="AQ783" s="308"/>
      <c r="AR783" s="313"/>
      <c r="AS783" s="304"/>
      <c r="AT783" s="308"/>
      <c r="AU783" s="308"/>
      <c r="AV783" s="304"/>
      <c r="AW783" s="308"/>
      <c r="AX783" s="308"/>
      <c r="AY783" s="304"/>
      <c r="AZ783" s="308"/>
      <c r="BA783" s="313"/>
      <c r="BB783" s="304"/>
      <c r="BC783" s="308"/>
      <c r="BD783" s="308"/>
    </row>
    <row r="784">
      <c r="A784" s="301"/>
      <c r="B784" s="301"/>
      <c r="C784" s="303"/>
      <c r="D784" s="301"/>
      <c r="E784" s="309"/>
      <c r="F784" s="301"/>
      <c r="G784" s="301"/>
      <c r="H784" s="309"/>
      <c r="I784" s="327"/>
      <c r="J784" s="328"/>
      <c r="K784" s="326"/>
      <c r="L784" s="309"/>
      <c r="M784" s="308"/>
      <c r="N784" s="309"/>
      <c r="O784" s="322"/>
      <c r="P784" s="308"/>
      <c r="Q784" s="311"/>
      <c r="R784" s="309"/>
      <c r="S784" s="308"/>
      <c r="T784" s="309"/>
      <c r="U784" s="309"/>
      <c r="V784" s="308"/>
      <c r="W784" s="309"/>
      <c r="X784" s="309"/>
      <c r="Y784" s="308"/>
      <c r="Z784" s="309"/>
      <c r="AA784" s="312"/>
      <c r="AB784" s="308"/>
      <c r="AC784" s="308"/>
      <c r="AD784" s="312"/>
      <c r="AE784" s="308"/>
      <c r="AF784" s="313"/>
      <c r="AG784" s="304"/>
      <c r="AH784" s="308"/>
      <c r="AI784" s="313"/>
      <c r="AJ784" s="304"/>
      <c r="AK784" s="308"/>
      <c r="AL784" s="308"/>
      <c r="AM784" s="304"/>
      <c r="AN784" s="308"/>
      <c r="AO784" s="313"/>
      <c r="AP784" s="304"/>
      <c r="AQ784" s="308"/>
      <c r="AR784" s="313"/>
      <c r="AS784" s="304"/>
      <c r="AT784" s="308"/>
      <c r="AU784" s="308"/>
      <c r="AV784" s="304"/>
      <c r="AW784" s="308"/>
      <c r="AX784" s="308"/>
      <c r="AY784" s="304"/>
      <c r="AZ784" s="308"/>
      <c r="BA784" s="313"/>
      <c r="BB784" s="304"/>
      <c r="BC784" s="308"/>
      <c r="BD784" s="308"/>
    </row>
    <row r="785">
      <c r="A785" s="301"/>
      <c r="B785" s="301"/>
      <c r="C785" s="303"/>
      <c r="D785" s="301"/>
      <c r="E785" s="309"/>
      <c r="F785" s="301"/>
      <c r="G785" s="301"/>
      <c r="H785" s="309"/>
      <c r="I785" s="327"/>
      <c r="J785" s="328"/>
      <c r="K785" s="326"/>
      <c r="L785" s="309"/>
      <c r="M785" s="308"/>
      <c r="N785" s="309"/>
      <c r="O785" s="322"/>
      <c r="P785" s="308"/>
      <c r="Q785" s="311"/>
      <c r="R785" s="309"/>
      <c r="S785" s="308"/>
      <c r="T785" s="309"/>
      <c r="U785" s="309"/>
      <c r="V785" s="308"/>
      <c r="W785" s="309"/>
      <c r="X785" s="309"/>
      <c r="Y785" s="308"/>
      <c r="Z785" s="309"/>
      <c r="AA785" s="312"/>
      <c r="AB785" s="308"/>
      <c r="AC785" s="308"/>
      <c r="AD785" s="312"/>
      <c r="AE785" s="308"/>
      <c r="AF785" s="313"/>
      <c r="AG785" s="304"/>
      <c r="AH785" s="308"/>
      <c r="AI785" s="313"/>
      <c r="AJ785" s="304"/>
      <c r="AK785" s="308"/>
      <c r="AL785" s="308"/>
      <c r="AM785" s="304"/>
      <c r="AN785" s="308"/>
      <c r="AO785" s="313"/>
      <c r="AP785" s="304"/>
      <c r="AQ785" s="308"/>
      <c r="AR785" s="313"/>
      <c r="AS785" s="304"/>
      <c r="AT785" s="308"/>
      <c r="AU785" s="308"/>
      <c r="AV785" s="304"/>
      <c r="AW785" s="308"/>
      <c r="AX785" s="308"/>
      <c r="AY785" s="304"/>
      <c r="AZ785" s="308"/>
      <c r="BA785" s="313"/>
      <c r="BB785" s="304"/>
      <c r="BC785" s="308"/>
      <c r="BD785" s="308"/>
    </row>
    <row r="786">
      <c r="A786" s="301"/>
      <c r="B786" s="301"/>
      <c r="C786" s="303"/>
      <c r="D786" s="301"/>
      <c r="E786" s="309"/>
      <c r="F786" s="301"/>
      <c r="G786" s="301"/>
      <c r="H786" s="309"/>
      <c r="I786" s="327"/>
      <c r="J786" s="328"/>
      <c r="K786" s="326"/>
      <c r="L786" s="309"/>
      <c r="M786" s="308"/>
      <c r="N786" s="309"/>
      <c r="O786" s="322"/>
      <c r="P786" s="308"/>
      <c r="Q786" s="311"/>
      <c r="R786" s="309"/>
      <c r="S786" s="308"/>
      <c r="T786" s="309"/>
      <c r="U786" s="309"/>
      <c r="V786" s="308"/>
      <c r="W786" s="309"/>
      <c r="X786" s="309"/>
      <c r="Y786" s="308"/>
      <c r="Z786" s="309"/>
      <c r="AA786" s="312"/>
      <c r="AB786" s="308"/>
      <c r="AC786" s="308"/>
      <c r="AD786" s="312"/>
      <c r="AE786" s="308"/>
      <c r="AF786" s="313"/>
      <c r="AG786" s="304"/>
      <c r="AH786" s="308"/>
      <c r="AI786" s="313"/>
      <c r="AJ786" s="304"/>
      <c r="AK786" s="308"/>
      <c r="AL786" s="308"/>
      <c r="AM786" s="304"/>
      <c r="AN786" s="308"/>
      <c r="AO786" s="313"/>
      <c r="AP786" s="304"/>
      <c r="AQ786" s="308"/>
      <c r="AR786" s="313"/>
      <c r="AS786" s="304"/>
      <c r="AT786" s="308"/>
      <c r="AU786" s="308"/>
      <c r="AV786" s="304"/>
      <c r="AW786" s="308"/>
      <c r="AX786" s="308"/>
      <c r="AY786" s="304"/>
      <c r="AZ786" s="308"/>
      <c r="BA786" s="313"/>
      <c r="BB786" s="304"/>
      <c r="BC786" s="308"/>
      <c r="BD786" s="308"/>
    </row>
    <row r="787">
      <c r="A787" s="301"/>
      <c r="B787" s="301"/>
      <c r="C787" s="303"/>
      <c r="D787" s="301"/>
      <c r="E787" s="309"/>
      <c r="F787" s="301"/>
      <c r="G787" s="301"/>
      <c r="H787" s="309"/>
      <c r="I787" s="327"/>
      <c r="J787" s="328"/>
      <c r="K787" s="326"/>
      <c r="L787" s="309"/>
      <c r="M787" s="308"/>
      <c r="N787" s="309"/>
      <c r="O787" s="322"/>
      <c r="P787" s="308"/>
      <c r="Q787" s="311"/>
      <c r="R787" s="309"/>
      <c r="S787" s="308"/>
      <c r="T787" s="309"/>
      <c r="U787" s="309"/>
      <c r="V787" s="308"/>
      <c r="W787" s="309"/>
      <c r="X787" s="309"/>
      <c r="Y787" s="308"/>
      <c r="Z787" s="309"/>
      <c r="AA787" s="312"/>
      <c r="AB787" s="308"/>
      <c r="AC787" s="308"/>
      <c r="AD787" s="312"/>
      <c r="AE787" s="308"/>
      <c r="AF787" s="313"/>
      <c r="AG787" s="304"/>
      <c r="AH787" s="308"/>
      <c r="AI787" s="313"/>
      <c r="AJ787" s="304"/>
      <c r="AK787" s="308"/>
      <c r="AL787" s="308"/>
      <c r="AM787" s="304"/>
      <c r="AN787" s="308"/>
      <c r="AO787" s="313"/>
      <c r="AP787" s="304"/>
      <c r="AQ787" s="308"/>
      <c r="AR787" s="313"/>
      <c r="AS787" s="304"/>
      <c r="AT787" s="308"/>
      <c r="AU787" s="308"/>
      <c r="AV787" s="304"/>
      <c r="AW787" s="308"/>
      <c r="AX787" s="308"/>
      <c r="AY787" s="304"/>
      <c r="AZ787" s="308"/>
      <c r="BA787" s="313"/>
      <c r="BB787" s="304"/>
      <c r="BC787" s="308"/>
      <c r="BD787" s="308"/>
    </row>
    <row r="788">
      <c r="A788" s="301"/>
      <c r="B788" s="301"/>
      <c r="C788" s="303"/>
      <c r="D788" s="301"/>
      <c r="E788" s="309"/>
      <c r="F788" s="301"/>
      <c r="G788" s="301"/>
      <c r="H788" s="309"/>
      <c r="I788" s="327"/>
      <c r="J788" s="328"/>
      <c r="K788" s="326"/>
      <c r="L788" s="309"/>
      <c r="M788" s="308"/>
      <c r="N788" s="309"/>
      <c r="O788" s="322"/>
      <c r="P788" s="308"/>
      <c r="Q788" s="311"/>
      <c r="R788" s="309"/>
      <c r="S788" s="308"/>
      <c r="T788" s="309"/>
      <c r="U788" s="309"/>
      <c r="V788" s="308"/>
      <c r="W788" s="309"/>
      <c r="X788" s="309"/>
      <c r="Y788" s="308"/>
      <c r="Z788" s="309"/>
      <c r="AA788" s="312"/>
      <c r="AB788" s="308"/>
      <c r="AC788" s="308"/>
      <c r="AD788" s="312"/>
      <c r="AE788" s="308"/>
      <c r="AF788" s="313"/>
      <c r="AG788" s="304"/>
      <c r="AH788" s="308"/>
      <c r="AI788" s="313"/>
      <c r="AJ788" s="304"/>
      <c r="AK788" s="308"/>
      <c r="AL788" s="308"/>
      <c r="AM788" s="304"/>
      <c r="AN788" s="308"/>
      <c r="AO788" s="313"/>
      <c r="AP788" s="304"/>
      <c r="AQ788" s="308"/>
      <c r="AR788" s="313"/>
      <c r="AS788" s="304"/>
      <c r="AT788" s="308"/>
      <c r="AU788" s="308"/>
      <c r="AV788" s="304"/>
      <c r="AW788" s="308"/>
      <c r="AX788" s="308"/>
      <c r="AY788" s="304"/>
      <c r="AZ788" s="308"/>
      <c r="BA788" s="313"/>
      <c r="BB788" s="304"/>
      <c r="BC788" s="308"/>
      <c r="BD788" s="308"/>
    </row>
    <row r="789">
      <c r="A789" s="301"/>
      <c r="B789" s="301"/>
      <c r="C789" s="303"/>
      <c r="D789" s="301"/>
      <c r="E789" s="309"/>
      <c r="F789" s="301"/>
      <c r="G789" s="301"/>
      <c r="H789" s="309"/>
      <c r="I789" s="327"/>
      <c r="J789" s="328"/>
      <c r="K789" s="326"/>
      <c r="L789" s="309"/>
      <c r="M789" s="308"/>
      <c r="N789" s="309"/>
      <c r="O789" s="322"/>
      <c r="P789" s="308"/>
      <c r="Q789" s="311"/>
      <c r="R789" s="309"/>
      <c r="S789" s="308"/>
      <c r="T789" s="309"/>
      <c r="U789" s="309"/>
      <c r="V789" s="308"/>
      <c r="W789" s="309"/>
      <c r="X789" s="309"/>
      <c r="Y789" s="308"/>
      <c r="Z789" s="309"/>
      <c r="AA789" s="312"/>
      <c r="AB789" s="308"/>
      <c r="AC789" s="308"/>
      <c r="AD789" s="312"/>
      <c r="AE789" s="308"/>
      <c r="AF789" s="313"/>
      <c r="AG789" s="304"/>
      <c r="AH789" s="308"/>
      <c r="AI789" s="313"/>
      <c r="AJ789" s="304"/>
      <c r="AK789" s="308"/>
      <c r="AL789" s="308"/>
      <c r="AM789" s="304"/>
      <c r="AN789" s="308"/>
      <c r="AO789" s="313"/>
      <c r="AP789" s="304"/>
      <c r="AQ789" s="308"/>
      <c r="AR789" s="313"/>
      <c r="AS789" s="304"/>
      <c r="AT789" s="308"/>
      <c r="AU789" s="308"/>
      <c r="AV789" s="304"/>
      <c r="AW789" s="308"/>
      <c r="AX789" s="308"/>
      <c r="AY789" s="304"/>
      <c r="AZ789" s="308"/>
      <c r="BA789" s="313"/>
      <c r="BB789" s="304"/>
      <c r="BC789" s="308"/>
      <c r="BD789" s="308"/>
    </row>
    <row r="790">
      <c r="A790" s="301"/>
      <c r="B790" s="301"/>
      <c r="C790" s="303"/>
      <c r="D790" s="301"/>
      <c r="E790" s="309"/>
      <c r="F790" s="301"/>
      <c r="G790" s="301"/>
      <c r="H790" s="309"/>
      <c r="I790" s="327"/>
      <c r="J790" s="328"/>
      <c r="K790" s="326"/>
      <c r="L790" s="309"/>
      <c r="M790" s="308"/>
      <c r="N790" s="309"/>
      <c r="O790" s="322"/>
      <c r="P790" s="308"/>
      <c r="Q790" s="311"/>
      <c r="R790" s="309"/>
      <c r="S790" s="308"/>
      <c r="T790" s="309"/>
      <c r="U790" s="309"/>
      <c r="V790" s="308"/>
      <c r="W790" s="309"/>
      <c r="X790" s="309"/>
      <c r="Y790" s="308"/>
      <c r="Z790" s="309"/>
      <c r="AA790" s="312"/>
      <c r="AB790" s="308"/>
      <c r="AC790" s="308"/>
      <c r="AD790" s="312"/>
      <c r="AE790" s="308"/>
      <c r="AF790" s="313"/>
      <c r="AG790" s="304"/>
      <c r="AH790" s="308"/>
      <c r="AI790" s="313"/>
      <c r="AJ790" s="304"/>
      <c r="AK790" s="308"/>
      <c r="AL790" s="308"/>
      <c r="AM790" s="304"/>
      <c r="AN790" s="308"/>
      <c r="AO790" s="313"/>
      <c r="AP790" s="304"/>
      <c r="AQ790" s="308"/>
      <c r="AR790" s="313"/>
      <c r="AS790" s="304"/>
      <c r="AT790" s="308"/>
      <c r="AU790" s="308"/>
      <c r="AV790" s="304"/>
      <c r="AW790" s="308"/>
      <c r="AX790" s="308"/>
      <c r="AY790" s="304"/>
      <c r="AZ790" s="308"/>
      <c r="BA790" s="313"/>
      <c r="BB790" s="304"/>
      <c r="BC790" s="308"/>
      <c r="BD790" s="308"/>
    </row>
    <row r="791">
      <c r="A791" s="301"/>
      <c r="B791" s="301"/>
      <c r="C791" s="303"/>
      <c r="D791" s="301"/>
      <c r="E791" s="309"/>
      <c r="F791" s="301"/>
      <c r="G791" s="301"/>
      <c r="H791" s="309"/>
      <c r="I791" s="327"/>
      <c r="J791" s="328"/>
      <c r="K791" s="326"/>
      <c r="L791" s="309"/>
      <c r="M791" s="308"/>
      <c r="N791" s="309"/>
      <c r="O791" s="322"/>
      <c r="P791" s="308"/>
      <c r="Q791" s="311"/>
      <c r="R791" s="309"/>
      <c r="S791" s="308"/>
      <c r="T791" s="309"/>
      <c r="U791" s="309"/>
      <c r="V791" s="308"/>
      <c r="W791" s="309"/>
      <c r="X791" s="309"/>
      <c r="Y791" s="308"/>
      <c r="Z791" s="309"/>
      <c r="AA791" s="312"/>
      <c r="AB791" s="308"/>
      <c r="AC791" s="308"/>
      <c r="AD791" s="312"/>
      <c r="AE791" s="308"/>
      <c r="AF791" s="313"/>
      <c r="AG791" s="304"/>
      <c r="AH791" s="308"/>
      <c r="AI791" s="313"/>
      <c r="AJ791" s="304"/>
      <c r="AK791" s="308"/>
      <c r="AL791" s="308"/>
      <c r="AM791" s="304"/>
      <c r="AN791" s="308"/>
      <c r="AO791" s="313"/>
      <c r="AP791" s="304"/>
      <c r="AQ791" s="308"/>
      <c r="AR791" s="313"/>
      <c r="AS791" s="304"/>
      <c r="AT791" s="308"/>
      <c r="AU791" s="308"/>
      <c r="AV791" s="304"/>
      <c r="AW791" s="308"/>
      <c r="AX791" s="308"/>
      <c r="AY791" s="304"/>
      <c r="AZ791" s="308"/>
      <c r="BA791" s="313"/>
      <c r="BB791" s="304"/>
      <c r="BC791" s="308"/>
      <c r="BD791" s="308"/>
    </row>
    <row r="792">
      <c r="A792" s="301"/>
      <c r="B792" s="301"/>
      <c r="C792" s="303"/>
      <c r="D792" s="301"/>
      <c r="E792" s="309"/>
      <c r="F792" s="301"/>
      <c r="G792" s="301"/>
      <c r="H792" s="309"/>
      <c r="I792" s="327"/>
      <c r="J792" s="328"/>
      <c r="K792" s="326"/>
      <c r="L792" s="309"/>
      <c r="M792" s="308"/>
      <c r="N792" s="309"/>
      <c r="O792" s="322"/>
      <c r="P792" s="308"/>
      <c r="Q792" s="311"/>
      <c r="R792" s="309"/>
      <c r="S792" s="308"/>
      <c r="T792" s="309"/>
      <c r="U792" s="309"/>
      <c r="V792" s="308"/>
      <c r="W792" s="309"/>
      <c r="X792" s="309"/>
      <c r="Y792" s="308"/>
      <c r="Z792" s="309"/>
      <c r="AA792" s="312"/>
      <c r="AB792" s="308"/>
      <c r="AC792" s="308"/>
      <c r="AD792" s="312"/>
      <c r="AE792" s="308"/>
      <c r="AF792" s="313"/>
      <c r="AG792" s="304"/>
      <c r="AH792" s="308"/>
      <c r="AI792" s="313"/>
      <c r="AJ792" s="304"/>
      <c r="AK792" s="308"/>
      <c r="AL792" s="308"/>
      <c r="AM792" s="304"/>
      <c r="AN792" s="308"/>
      <c r="AO792" s="313"/>
      <c r="AP792" s="304"/>
      <c r="AQ792" s="308"/>
      <c r="AR792" s="313"/>
      <c r="AS792" s="304"/>
      <c r="AT792" s="308"/>
      <c r="AU792" s="308"/>
      <c r="AV792" s="304"/>
      <c r="AW792" s="308"/>
      <c r="AX792" s="308"/>
      <c r="AY792" s="304"/>
      <c r="AZ792" s="308"/>
      <c r="BA792" s="313"/>
      <c r="BB792" s="304"/>
      <c r="BC792" s="308"/>
      <c r="BD792" s="308"/>
    </row>
    <row r="793">
      <c r="A793" s="301"/>
      <c r="B793" s="301"/>
      <c r="C793" s="303"/>
      <c r="D793" s="301"/>
      <c r="E793" s="309"/>
      <c r="F793" s="301"/>
      <c r="G793" s="301"/>
      <c r="H793" s="309"/>
      <c r="I793" s="327"/>
      <c r="J793" s="328"/>
      <c r="K793" s="326"/>
      <c r="L793" s="309"/>
      <c r="M793" s="308"/>
      <c r="N793" s="309"/>
      <c r="O793" s="322"/>
      <c r="P793" s="308"/>
      <c r="Q793" s="311"/>
      <c r="R793" s="309"/>
      <c r="S793" s="308"/>
      <c r="T793" s="309"/>
      <c r="U793" s="309"/>
      <c r="V793" s="308"/>
      <c r="W793" s="309"/>
      <c r="X793" s="309"/>
      <c r="Y793" s="308"/>
      <c r="Z793" s="309"/>
      <c r="AA793" s="312"/>
      <c r="AB793" s="308"/>
      <c r="AC793" s="308"/>
      <c r="AD793" s="312"/>
      <c r="AE793" s="308"/>
      <c r="AF793" s="313"/>
      <c r="AG793" s="304"/>
      <c r="AH793" s="308"/>
      <c r="AI793" s="313"/>
      <c r="AJ793" s="304"/>
      <c r="AK793" s="308"/>
      <c r="AL793" s="308"/>
      <c r="AM793" s="304"/>
      <c r="AN793" s="308"/>
      <c r="AO793" s="313"/>
      <c r="AP793" s="304"/>
      <c r="AQ793" s="308"/>
      <c r="AR793" s="313"/>
      <c r="AS793" s="304"/>
      <c r="AT793" s="308"/>
      <c r="AU793" s="308"/>
      <c r="AV793" s="304"/>
      <c r="AW793" s="308"/>
      <c r="AX793" s="308"/>
      <c r="AY793" s="304"/>
      <c r="AZ793" s="308"/>
      <c r="BA793" s="313"/>
      <c r="BB793" s="304"/>
      <c r="BC793" s="308"/>
      <c r="BD793" s="308"/>
    </row>
    <row r="794">
      <c r="A794" s="301"/>
      <c r="B794" s="301"/>
      <c r="C794" s="303"/>
      <c r="D794" s="301"/>
      <c r="E794" s="309"/>
      <c r="F794" s="301"/>
      <c r="G794" s="301"/>
      <c r="H794" s="309"/>
      <c r="I794" s="327"/>
      <c r="J794" s="328"/>
      <c r="K794" s="326"/>
      <c r="L794" s="309"/>
      <c r="M794" s="308"/>
      <c r="N794" s="309"/>
      <c r="O794" s="322"/>
      <c r="P794" s="308"/>
      <c r="Q794" s="311"/>
      <c r="R794" s="309"/>
      <c r="S794" s="308"/>
      <c r="T794" s="309"/>
      <c r="U794" s="309"/>
      <c r="V794" s="308"/>
      <c r="W794" s="309"/>
      <c r="X794" s="309"/>
      <c r="Y794" s="308"/>
      <c r="Z794" s="309"/>
      <c r="AA794" s="312"/>
      <c r="AB794" s="308"/>
      <c r="AC794" s="308"/>
      <c r="AD794" s="312"/>
      <c r="AE794" s="308"/>
      <c r="AF794" s="313"/>
      <c r="AG794" s="304"/>
      <c r="AH794" s="308"/>
      <c r="AI794" s="313"/>
      <c r="AJ794" s="304"/>
      <c r="AK794" s="308"/>
      <c r="AL794" s="308"/>
      <c r="AM794" s="304"/>
      <c r="AN794" s="308"/>
      <c r="AO794" s="313"/>
      <c r="AP794" s="304"/>
      <c r="AQ794" s="308"/>
      <c r="AR794" s="313"/>
      <c r="AS794" s="304"/>
      <c r="AT794" s="308"/>
      <c r="AU794" s="308"/>
      <c r="AV794" s="304"/>
      <c r="AW794" s="308"/>
      <c r="AX794" s="308"/>
      <c r="AY794" s="304"/>
      <c r="AZ794" s="308"/>
      <c r="BA794" s="313"/>
      <c r="BB794" s="304"/>
      <c r="BC794" s="308"/>
      <c r="BD794" s="308"/>
    </row>
    <row r="795">
      <c r="A795" s="301"/>
      <c r="B795" s="301"/>
      <c r="C795" s="303"/>
      <c r="D795" s="301"/>
      <c r="E795" s="309"/>
      <c r="F795" s="301"/>
      <c r="G795" s="301"/>
      <c r="H795" s="309"/>
      <c r="I795" s="327"/>
      <c r="J795" s="328"/>
      <c r="K795" s="326"/>
      <c r="L795" s="309"/>
      <c r="M795" s="308"/>
      <c r="N795" s="309"/>
      <c r="O795" s="322"/>
      <c r="P795" s="308"/>
      <c r="Q795" s="311"/>
      <c r="R795" s="309"/>
      <c r="S795" s="308"/>
      <c r="T795" s="309"/>
      <c r="U795" s="309"/>
      <c r="V795" s="308"/>
      <c r="W795" s="309"/>
      <c r="X795" s="309"/>
      <c r="Y795" s="308"/>
      <c r="Z795" s="309"/>
      <c r="AA795" s="312"/>
      <c r="AB795" s="308"/>
      <c r="AC795" s="308"/>
      <c r="AD795" s="312"/>
      <c r="AE795" s="308"/>
      <c r="AF795" s="313"/>
      <c r="AG795" s="304"/>
      <c r="AH795" s="308"/>
      <c r="AI795" s="313"/>
      <c r="AJ795" s="304"/>
      <c r="AK795" s="308"/>
      <c r="AL795" s="308"/>
      <c r="AM795" s="304"/>
      <c r="AN795" s="308"/>
      <c r="AO795" s="313"/>
      <c r="AP795" s="304"/>
      <c r="AQ795" s="308"/>
      <c r="AR795" s="313"/>
      <c r="AS795" s="304"/>
      <c r="AT795" s="308"/>
      <c r="AU795" s="308"/>
      <c r="AV795" s="304"/>
      <c r="AW795" s="308"/>
      <c r="AX795" s="308"/>
      <c r="AY795" s="304"/>
      <c r="AZ795" s="308"/>
      <c r="BA795" s="313"/>
      <c r="BB795" s="304"/>
      <c r="BC795" s="308"/>
      <c r="BD795" s="308"/>
    </row>
    <row r="796">
      <c r="A796" s="301"/>
      <c r="B796" s="301"/>
      <c r="C796" s="303"/>
      <c r="D796" s="301"/>
      <c r="E796" s="309"/>
      <c r="F796" s="301"/>
      <c r="G796" s="301"/>
      <c r="H796" s="309"/>
      <c r="I796" s="327"/>
      <c r="J796" s="328"/>
      <c r="K796" s="326"/>
      <c r="L796" s="309"/>
      <c r="M796" s="308"/>
      <c r="N796" s="309"/>
      <c r="O796" s="322"/>
      <c r="P796" s="308"/>
      <c r="Q796" s="311"/>
      <c r="R796" s="309"/>
      <c r="S796" s="308"/>
      <c r="T796" s="309"/>
      <c r="U796" s="309"/>
      <c r="V796" s="308"/>
      <c r="W796" s="309"/>
      <c r="X796" s="309"/>
      <c r="Y796" s="308"/>
      <c r="Z796" s="309"/>
      <c r="AA796" s="312"/>
      <c r="AB796" s="308"/>
      <c r="AC796" s="308"/>
      <c r="AD796" s="312"/>
      <c r="AE796" s="308"/>
      <c r="AF796" s="313"/>
      <c r="AG796" s="304"/>
      <c r="AH796" s="308"/>
      <c r="AI796" s="313"/>
      <c r="AJ796" s="304"/>
      <c r="AK796" s="308"/>
      <c r="AL796" s="308"/>
      <c r="AM796" s="304"/>
      <c r="AN796" s="308"/>
      <c r="AO796" s="313"/>
      <c r="AP796" s="304"/>
      <c r="AQ796" s="308"/>
      <c r="AR796" s="313"/>
      <c r="AS796" s="304"/>
      <c r="AT796" s="308"/>
      <c r="AU796" s="308"/>
      <c r="AV796" s="304"/>
      <c r="AW796" s="308"/>
      <c r="AX796" s="308"/>
      <c r="AY796" s="304"/>
      <c r="AZ796" s="308"/>
      <c r="BA796" s="313"/>
      <c r="BB796" s="304"/>
      <c r="BC796" s="308"/>
      <c r="BD796" s="308"/>
    </row>
    <row r="797">
      <c r="A797" s="301"/>
      <c r="B797" s="301"/>
      <c r="C797" s="303"/>
      <c r="D797" s="301"/>
      <c r="E797" s="309"/>
      <c r="F797" s="301"/>
      <c r="G797" s="301"/>
      <c r="H797" s="309"/>
      <c r="I797" s="327"/>
      <c r="J797" s="328"/>
      <c r="K797" s="326"/>
      <c r="L797" s="309"/>
      <c r="M797" s="308"/>
      <c r="N797" s="309"/>
      <c r="O797" s="322"/>
      <c r="P797" s="308"/>
      <c r="Q797" s="311"/>
      <c r="R797" s="309"/>
      <c r="S797" s="308"/>
      <c r="T797" s="309"/>
      <c r="U797" s="309"/>
      <c r="V797" s="308"/>
      <c r="W797" s="309"/>
      <c r="X797" s="309"/>
      <c r="Y797" s="308"/>
      <c r="Z797" s="309"/>
      <c r="AA797" s="312"/>
      <c r="AB797" s="308"/>
      <c r="AC797" s="308"/>
      <c r="AD797" s="312"/>
      <c r="AE797" s="308"/>
      <c r="AF797" s="313"/>
      <c r="AG797" s="304"/>
      <c r="AH797" s="308"/>
      <c r="AI797" s="313"/>
      <c r="AJ797" s="304"/>
      <c r="AK797" s="308"/>
      <c r="AL797" s="308"/>
      <c r="AM797" s="304"/>
      <c r="AN797" s="308"/>
      <c r="AO797" s="313"/>
      <c r="AP797" s="304"/>
      <c r="AQ797" s="308"/>
      <c r="AR797" s="313"/>
      <c r="AS797" s="304"/>
      <c r="AT797" s="308"/>
      <c r="AU797" s="308"/>
      <c r="AV797" s="304"/>
      <c r="AW797" s="308"/>
      <c r="AX797" s="308"/>
      <c r="AY797" s="304"/>
      <c r="AZ797" s="308"/>
      <c r="BA797" s="313"/>
      <c r="BB797" s="304"/>
      <c r="BC797" s="308"/>
      <c r="BD797" s="308"/>
    </row>
    <row r="798">
      <c r="A798" s="301"/>
      <c r="B798" s="301"/>
      <c r="C798" s="303"/>
      <c r="D798" s="301"/>
      <c r="E798" s="309"/>
      <c r="F798" s="301"/>
      <c r="G798" s="301"/>
      <c r="H798" s="309"/>
      <c r="I798" s="327"/>
      <c r="J798" s="328"/>
      <c r="K798" s="326"/>
      <c r="L798" s="309"/>
      <c r="M798" s="308"/>
      <c r="N798" s="309"/>
      <c r="O798" s="322"/>
      <c r="P798" s="308"/>
      <c r="Q798" s="311"/>
      <c r="R798" s="309"/>
      <c r="S798" s="308"/>
      <c r="T798" s="309"/>
      <c r="U798" s="309"/>
      <c r="V798" s="308"/>
      <c r="W798" s="309"/>
      <c r="X798" s="309"/>
      <c r="Y798" s="308"/>
      <c r="Z798" s="309"/>
      <c r="AA798" s="312"/>
      <c r="AB798" s="308"/>
      <c r="AC798" s="308"/>
      <c r="AD798" s="312"/>
      <c r="AE798" s="308"/>
      <c r="AF798" s="313"/>
      <c r="AG798" s="304"/>
      <c r="AH798" s="308"/>
      <c r="AI798" s="313"/>
      <c r="AJ798" s="304"/>
      <c r="AK798" s="308"/>
      <c r="AL798" s="308"/>
      <c r="AM798" s="304"/>
      <c r="AN798" s="308"/>
      <c r="AO798" s="313"/>
      <c r="AP798" s="304"/>
      <c r="AQ798" s="308"/>
      <c r="AR798" s="313"/>
      <c r="AS798" s="304"/>
      <c r="AT798" s="308"/>
      <c r="AU798" s="308"/>
      <c r="AV798" s="304"/>
      <c r="AW798" s="308"/>
      <c r="AX798" s="308"/>
      <c r="AY798" s="304"/>
      <c r="AZ798" s="308"/>
      <c r="BA798" s="313"/>
      <c r="BB798" s="304"/>
      <c r="BC798" s="308"/>
      <c r="BD798" s="308"/>
    </row>
    <row r="799">
      <c r="A799" s="301"/>
      <c r="B799" s="301"/>
      <c r="C799" s="303"/>
      <c r="D799" s="301"/>
      <c r="E799" s="309"/>
      <c r="F799" s="301"/>
      <c r="G799" s="301"/>
      <c r="H799" s="309"/>
      <c r="I799" s="327"/>
      <c r="J799" s="328"/>
      <c r="K799" s="326"/>
      <c r="L799" s="309"/>
      <c r="M799" s="308"/>
      <c r="N799" s="309"/>
      <c r="O799" s="322"/>
      <c r="P799" s="308"/>
      <c r="Q799" s="311"/>
      <c r="R799" s="309"/>
      <c r="S799" s="308"/>
      <c r="T799" s="309"/>
      <c r="U799" s="309"/>
      <c r="V799" s="308"/>
      <c r="W799" s="309"/>
      <c r="X799" s="309"/>
      <c r="Y799" s="308"/>
      <c r="Z799" s="309"/>
      <c r="AA799" s="312"/>
      <c r="AB799" s="308"/>
      <c r="AC799" s="308"/>
      <c r="AD799" s="312"/>
      <c r="AE799" s="308"/>
      <c r="AF799" s="313"/>
      <c r="AG799" s="304"/>
      <c r="AH799" s="308"/>
      <c r="AI799" s="313"/>
      <c r="AJ799" s="304"/>
      <c r="AK799" s="308"/>
      <c r="AL799" s="308"/>
      <c r="AM799" s="304"/>
      <c r="AN799" s="308"/>
      <c r="AO799" s="313"/>
      <c r="AP799" s="304"/>
      <c r="AQ799" s="308"/>
      <c r="AR799" s="313"/>
      <c r="AS799" s="304"/>
      <c r="AT799" s="308"/>
      <c r="AU799" s="308"/>
      <c r="AV799" s="304"/>
      <c r="AW799" s="308"/>
      <c r="AX799" s="308"/>
      <c r="AY799" s="304"/>
      <c r="AZ799" s="308"/>
      <c r="BA799" s="313"/>
      <c r="BB799" s="304"/>
      <c r="BC799" s="308"/>
      <c r="BD799" s="308"/>
    </row>
    <row r="800">
      <c r="A800" s="301"/>
      <c r="B800" s="301"/>
      <c r="C800" s="303"/>
      <c r="D800" s="301"/>
      <c r="E800" s="309"/>
      <c r="F800" s="301"/>
      <c r="G800" s="301"/>
      <c r="H800" s="309"/>
      <c r="I800" s="327"/>
      <c r="J800" s="328"/>
      <c r="K800" s="326"/>
      <c r="L800" s="309"/>
      <c r="M800" s="308"/>
      <c r="N800" s="309"/>
      <c r="O800" s="322"/>
      <c r="P800" s="308"/>
      <c r="Q800" s="311"/>
      <c r="R800" s="309"/>
      <c r="S800" s="308"/>
      <c r="T800" s="309"/>
      <c r="U800" s="309"/>
      <c r="V800" s="308"/>
      <c r="W800" s="309"/>
      <c r="X800" s="309"/>
      <c r="Y800" s="308"/>
      <c r="Z800" s="309"/>
      <c r="AA800" s="312"/>
      <c r="AB800" s="308"/>
      <c r="AC800" s="308"/>
      <c r="AD800" s="312"/>
      <c r="AE800" s="308"/>
      <c r="AF800" s="313"/>
      <c r="AG800" s="304"/>
      <c r="AH800" s="308"/>
      <c r="AI800" s="313"/>
      <c r="AJ800" s="304"/>
      <c r="AK800" s="308"/>
      <c r="AL800" s="308"/>
      <c r="AM800" s="304"/>
      <c r="AN800" s="308"/>
      <c r="AO800" s="313"/>
      <c r="AP800" s="304"/>
      <c r="AQ800" s="308"/>
      <c r="AR800" s="313"/>
      <c r="AS800" s="304"/>
      <c r="AT800" s="308"/>
      <c r="AU800" s="308"/>
      <c r="AV800" s="304"/>
      <c r="AW800" s="308"/>
      <c r="AX800" s="308"/>
      <c r="AY800" s="304"/>
      <c r="AZ800" s="308"/>
      <c r="BA800" s="313"/>
      <c r="BB800" s="304"/>
      <c r="BC800" s="308"/>
      <c r="BD800" s="308"/>
    </row>
    <row r="801">
      <c r="A801" s="301"/>
      <c r="B801" s="301"/>
      <c r="C801" s="303"/>
      <c r="D801" s="301"/>
      <c r="E801" s="309"/>
      <c r="F801" s="301"/>
      <c r="G801" s="301"/>
      <c r="H801" s="309"/>
      <c r="I801" s="327"/>
      <c r="J801" s="328"/>
      <c r="K801" s="326"/>
      <c r="L801" s="309"/>
      <c r="M801" s="308"/>
      <c r="N801" s="309"/>
      <c r="O801" s="322"/>
      <c r="P801" s="308"/>
      <c r="Q801" s="311"/>
      <c r="R801" s="309"/>
      <c r="S801" s="308"/>
      <c r="T801" s="309"/>
      <c r="U801" s="309"/>
      <c r="V801" s="308"/>
      <c r="W801" s="309"/>
      <c r="X801" s="309"/>
      <c r="Y801" s="308"/>
      <c r="Z801" s="309"/>
      <c r="AA801" s="312"/>
      <c r="AB801" s="308"/>
      <c r="AC801" s="308"/>
      <c r="AD801" s="312"/>
      <c r="AE801" s="308"/>
      <c r="AF801" s="313"/>
      <c r="AG801" s="304"/>
      <c r="AH801" s="308"/>
      <c r="AI801" s="313"/>
      <c r="AJ801" s="304"/>
      <c r="AK801" s="308"/>
      <c r="AL801" s="308"/>
      <c r="AM801" s="304"/>
      <c r="AN801" s="308"/>
      <c r="AO801" s="313"/>
      <c r="AP801" s="304"/>
      <c r="AQ801" s="308"/>
      <c r="AR801" s="313"/>
      <c r="AS801" s="304"/>
      <c r="AT801" s="308"/>
      <c r="AU801" s="308"/>
      <c r="AV801" s="304"/>
      <c r="AW801" s="308"/>
      <c r="AX801" s="308"/>
      <c r="AY801" s="304"/>
      <c r="AZ801" s="308"/>
      <c r="BA801" s="313"/>
      <c r="BB801" s="304"/>
      <c r="BC801" s="308"/>
      <c r="BD801" s="308"/>
    </row>
    <row r="802">
      <c r="A802" s="301"/>
      <c r="B802" s="301"/>
      <c r="C802" s="303"/>
      <c r="D802" s="301"/>
      <c r="E802" s="309"/>
      <c r="F802" s="301"/>
      <c r="G802" s="301"/>
      <c r="H802" s="309"/>
      <c r="I802" s="327"/>
      <c r="J802" s="328"/>
      <c r="K802" s="326"/>
      <c r="L802" s="309"/>
      <c r="M802" s="308"/>
      <c r="N802" s="309"/>
      <c r="O802" s="322"/>
      <c r="P802" s="308"/>
      <c r="Q802" s="311"/>
      <c r="R802" s="309"/>
      <c r="S802" s="308"/>
      <c r="T802" s="309"/>
      <c r="U802" s="309"/>
      <c r="V802" s="308"/>
      <c r="W802" s="309"/>
      <c r="X802" s="309"/>
      <c r="Y802" s="308"/>
      <c r="Z802" s="309"/>
      <c r="AA802" s="312"/>
      <c r="AB802" s="308"/>
      <c r="AC802" s="308"/>
      <c r="AD802" s="312"/>
      <c r="AE802" s="308"/>
      <c r="AF802" s="313"/>
      <c r="AG802" s="304"/>
      <c r="AH802" s="308"/>
      <c r="AI802" s="313"/>
      <c r="AJ802" s="304"/>
      <c r="AK802" s="308"/>
      <c r="AL802" s="308"/>
      <c r="AM802" s="304"/>
      <c r="AN802" s="308"/>
      <c r="AO802" s="313"/>
      <c r="AP802" s="304"/>
      <c r="AQ802" s="308"/>
      <c r="AR802" s="313"/>
      <c r="AS802" s="304"/>
      <c r="AT802" s="308"/>
      <c r="AU802" s="308"/>
      <c r="AV802" s="304"/>
      <c r="AW802" s="308"/>
      <c r="AX802" s="308"/>
      <c r="AY802" s="304"/>
      <c r="AZ802" s="308"/>
      <c r="BA802" s="313"/>
      <c r="BB802" s="304"/>
      <c r="BC802" s="308"/>
      <c r="BD802" s="308"/>
    </row>
    <row r="803">
      <c r="A803" s="301"/>
      <c r="B803" s="301"/>
      <c r="C803" s="303"/>
      <c r="D803" s="301"/>
      <c r="E803" s="309"/>
      <c r="F803" s="301"/>
      <c r="G803" s="301"/>
      <c r="H803" s="309"/>
      <c r="I803" s="327"/>
      <c r="J803" s="328"/>
      <c r="K803" s="326"/>
      <c r="L803" s="309"/>
      <c r="M803" s="308"/>
      <c r="N803" s="309"/>
      <c r="O803" s="322"/>
      <c r="P803" s="308"/>
      <c r="Q803" s="311"/>
      <c r="R803" s="309"/>
      <c r="S803" s="308"/>
      <c r="T803" s="309"/>
      <c r="U803" s="309"/>
      <c r="V803" s="308"/>
      <c r="W803" s="309"/>
      <c r="X803" s="309"/>
      <c r="Y803" s="308"/>
      <c r="Z803" s="309"/>
      <c r="AA803" s="312"/>
      <c r="AB803" s="308"/>
      <c r="AC803" s="308"/>
      <c r="AD803" s="312"/>
      <c r="AE803" s="308"/>
      <c r="AF803" s="313"/>
      <c r="AG803" s="304"/>
      <c r="AH803" s="308"/>
      <c r="AI803" s="313"/>
      <c r="AJ803" s="304"/>
      <c r="AK803" s="308"/>
      <c r="AL803" s="308"/>
      <c r="AM803" s="304"/>
      <c r="AN803" s="308"/>
      <c r="AO803" s="313"/>
      <c r="AP803" s="304"/>
      <c r="AQ803" s="308"/>
      <c r="AR803" s="313"/>
      <c r="AS803" s="304"/>
      <c r="AT803" s="308"/>
      <c r="AU803" s="308"/>
      <c r="AV803" s="304"/>
      <c r="AW803" s="308"/>
      <c r="AX803" s="308"/>
      <c r="AY803" s="304"/>
      <c r="AZ803" s="308"/>
      <c r="BA803" s="313"/>
      <c r="BB803" s="304"/>
      <c r="BC803" s="308"/>
      <c r="BD803" s="308"/>
    </row>
    <row r="804">
      <c r="A804" s="301"/>
      <c r="B804" s="301"/>
      <c r="C804" s="303"/>
      <c r="D804" s="301"/>
      <c r="E804" s="309"/>
      <c r="F804" s="301"/>
      <c r="G804" s="301"/>
      <c r="H804" s="309"/>
      <c r="I804" s="327"/>
      <c r="J804" s="328"/>
      <c r="K804" s="326"/>
      <c r="L804" s="309"/>
      <c r="M804" s="308"/>
      <c r="N804" s="309"/>
      <c r="O804" s="322"/>
      <c r="P804" s="308"/>
      <c r="Q804" s="311"/>
      <c r="R804" s="309"/>
      <c r="S804" s="308"/>
      <c r="T804" s="309"/>
      <c r="U804" s="309"/>
      <c r="V804" s="308"/>
      <c r="W804" s="309"/>
      <c r="X804" s="309"/>
      <c r="Y804" s="308"/>
      <c r="Z804" s="309"/>
      <c r="AA804" s="312"/>
      <c r="AB804" s="308"/>
      <c r="AC804" s="308"/>
      <c r="AD804" s="312"/>
      <c r="AE804" s="308"/>
      <c r="AF804" s="313"/>
      <c r="AG804" s="304"/>
      <c r="AH804" s="308"/>
      <c r="AI804" s="313"/>
      <c r="AJ804" s="304"/>
      <c r="AK804" s="308"/>
      <c r="AL804" s="308"/>
      <c r="AM804" s="304"/>
      <c r="AN804" s="308"/>
      <c r="AO804" s="313"/>
      <c r="AP804" s="304"/>
      <c r="AQ804" s="308"/>
      <c r="AR804" s="313"/>
      <c r="AS804" s="304"/>
      <c r="AT804" s="308"/>
      <c r="AU804" s="308"/>
      <c r="AV804" s="304"/>
      <c r="AW804" s="308"/>
      <c r="AX804" s="308"/>
      <c r="AY804" s="304"/>
      <c r="AZ804" s="308"/>
      <c r="BA804" s="313"/>
      <c r="BB804" s="304"/>
      <c r="BC804" s="308"/>
      <c r="BD804" s="308"/>
    </row>
    <row r="805">
      <c r="A805" s="301"/>
      <c r="B805" s="301"/>
      <c r="C805" s="303"/>
      <c r="D805" s="301"/>
      <c r="E805" s="309"/>
      <c r="F805" s="301"/>
      <c r="G805" s="301"/>
      <c r="H805" s="309"/>
      <c r="I805" s="327"/>
      <c r="J805" s="328"/>
      <c r="K805" s="326"/>
      <c r="L805" s="309"/>
      <c r="M805" s="308"/>
      <c r="N805" s="309"/>
      <c r="O805" s="322"/>
      <c r="P805" s="308"/>
      <c r="Q805" s="311"/>
      <c r="R805" s="309"/>
      <c r="S805" s="308"/>
      <c r="T805" s="309"/>
      <c r="U805" s="309"/>
      <c r="V805" s="308"/>
      <c r="W805" s="309"/>
      <c r="X805" s="309"/>
      <c r="Y805" s="308"/>
      <c r="Z805" s="309"/>
      <c r="AA805" s="312"/>
      <c r="AB805" s="308"/>
      <c r="AC805" s="308"/>
      <c r="AD805" s="312"/>
      <c r="AE805" s="308"/>
      <c r="AF805" s="313"/>
      <c r="AG805" s="304"/>
      <c r="AH805" s="308"/>
      <c r="AI805" s="313"/>
      <c r="AJ805" s="304"/>
      <c r="AK805" s="308"/>
      <c r="AL805" s="308"/>
      <c r="AM805" s="304"/>
      <c r="AN805" s="308"/>
      <c r="AO805" s="313"/>
      <c r="AP805" s="304"/>
      <c r="AQ805" s="308"/>
      <c r="AR805" s="313"/>
      <c r="AS805" s="304"/>
      <c r="AT805" s="308"/>
      <c r="AU805" s="308"/>
      <c r="AV805" s="304"/>
      <c r="AW805" s="308"/>
      <c r="AX805" s="308"/>
      <c r="AY805" s="304"/>
      <c r="AZ805" s="308"/>
      <c r="BA805" s="313"/>
      <c r="BB805" s="304"/>
      <c r="BC805" s="308"/>
      <c r="BD805" s="308"/>
    </row>
    <row r="806">
      <c r="A806" s="301"/>
      <c r="B806" s="301"/>
      <c r="C806" s="303"/>
      <c r="D806" s="301"/>
      <c r="E806" s="309"/>
      <c r="F806" s="301"/>
      <c r="G806" s="301"/>
      <c r="H806" s="309"/>
      <c r="I806" s="327"/>
      <c r="J806" s="328"/>
      <c r="K806" s="326"/>
      <c r="L806" s="309"/>
      <c r="M806" s="308"/>
      <c r="N806" s="309"/>
      <c r="O806" s="322"/>
      <c r="P806" s="308"/>
      <c r="Q806" s="311"/>
      <c r="R806" s="309"/>
      <c r="S806" s="308"/>
      <c r="T806" s="309"/>
      <c r="U806" s="309"/>
      <c r="V806" s="308"/>
      <c r="W806" s="309"/>
      <c r="X806" s="309"/>
      <c r="Y806" s="308"/>
      <c r="Z806" s="309"/>
      <c r="AA806" s="312"/>
      <c r="AB806" s="308"/>
      <c r="AC806" s="308"/>
      <c r="AD806" s="312"/>
      <c r="AE806" s="308"/>
      <c r="AF806" s="313"/>
      <c r="AG806" s="304"/>
      <c r="AH806" s="308"/>
      <c r="AI806" s="313"/>
      <c r="AJ806" s="304"/>
      <c r="AK806" s="308"/>
      <c r="AL806" s="308"/>
      <c r="AM806" s="304"/>
      <c r="AN806" s="308"/>
      <c r="AO806" s="313"/>
      <c r="AP806" s="304"/>
      <c r="AQ806" s="308"/>
      <c r="AR806" s="313"/>
      <c r="AS806" s="304"/>
      <c r="AT806" s="308"/>
      <c r="AU806" s="308"/>
      <c r="AV806" s="304"/>
      <c r="AW806" s="308"/>
      <c r="AX806" s="308"/>
      <c r="AY806" s="304"/>
      <c r="AZ806" s="308"/>
      <c r="BA806" s="313"/>
      <c r="BB806" s="304"/>
      <c r="BC806" s="308"/>
      <c r="BD806" s="308"/>
    </row>
    <row r="807">
      <c r="A807" s="301"/>
      <c r="B807" s="301"/>
      <c r="C807" s="303"/>
      <c r="D807" s="301"/>
      <c r="E807" s="309"/>
      <c r="F807" s="301"/>
      <c r="G807" s="301"/>
      <c r="H807" s="309"/>
      <c r="I807" s="327"/>
      <c r="J807" s="328"/>
      <c r="K807" s="326"/>
      <c r="L807" s="309"/>
      <c r="M807" s="308"/>
      <c r="N807" s="309"/>
      <c r="O807" s="322"/>
      <c r="P807" s="308"/>
      <c r="Q807" s="311"/>
      <c r="R807" s="309"/>
      <c r="S807" s="308"/>
      <c r="T807" s="309"/>
      <c r="U807" s="309"/>
      <c r="V807" s="308"/>
      <c r="W807" s="309"/>
      <c r="X807" s="309"/>
      <c r="Y807" s="308"/>
      <c r="Z807" s="309"/>
      <c r="AA807" s="312"/>
      <c r="AB807" s="308"/>
      <c r="AC807" s="308"/>
      <c r="AD807" s="312"/>
      <c r="AE807" s="308"/>
      <c r="AF807" s="313"/>
      <c r="AG807" s="304"/>
      <c r="AH807" s="308"/>
      <c r="AI807" s="313"/>
      <c r="AJ807" s="304"/>
      <c r="AK807" s="308"/>
      <c r="AL807" s="308"/>
      <c r="AM807" s="304"/>
      <c r="AN807" s="308"/>
      <c r="AO807" s="313"/>
      <c r="AP807" s="304"/>
      <c r="AQ807" s="308"/>
      <c r="AR807" s="313"/>
      <c r="AS807" s="304"/>
      <c r="AT807" s="308"/>
      <c r="AU807" s="308"/>
      <c r="AV807" s="304"/>
      <c r="AW807" s="308"/>
      <c r="AX807" s="308"/>
      <c r="AY807" s="304"/>
      <c r="AZ807" s="308"/>
      <c r="BA807" s="313"/>
      <c r="BB807" s="304"/>
      <c r="BC807" s="308"/>
      <c r="BD807" s="308"/>
    </row>
    <row r="808">
      <c r="A808" s="301"/>
      <c r="B808" s="301"/>
      <c r="C808" s="303"/>
      <c r="D808" s="301"/>
      <c r="E808" s="309"/>
      <c r="F808" s="301"/>
      <c r="G808" s="301"/>
      <c r="H808" s="309"/>
      <c r="I808" s="327"/>
      <c r="J808" s="328"/>
      <c r="K808" s="326"/>
      <c r="L808" s="309"/>
      <c r="M808" s="308"/>
      <c r="N808" s="309"/>
      <c r="O808" s="322"/>
      <c r="P808" s="308"/>
      <c r="Q808" s="311"/>
      <c r="R808" s="309"/>
      <c r="S808" s="308"/>
      <c r="T808" s="309"/>
      <c r="U808" s="309"/>
      <c r="V808" s="308"/>
      <c r="W808" s="309"/>
      <c r="X808" s="309"/>
      <c r="Y808" s="308"/>
      <c r="Z808" s="309"/>
      <c r="AA808" s="312"/>
      <c r="AB808" s="308"/>
      <c r="AC808" s="308"/>
      <c r="AD808" s="312"/>
      <c r="AE808" s="308"/>
      <c r="AF808" s="313"/>
      <c r="AG808" s="304"/>
      <c r="AH808" s="308"/>
      <c r="AI808" s="313"/>
      <c r="AJ808" s="304"/>
      <c r="AK808" s="308"/>
      <c r="AL808" s="308"/>
      <c r="AM808" s="304"/>
      <c r="AN808" s="308"/>
      <c r="AO808" s="313"/>
      <c r="AP808" s="304"/>
      <c r="AQ808" s="308"/>
      <c r="AR808" s="313"/>
      <c r="AS808" s="304"/>
      <c r="AT808" s="308"/>
      <c r="AU808" s="308"/>
      <c r="AV808" s="304"/>
      <c r="AW808" s="308"/>
      <c r="AX808" s="308"/>
      <c r="AY808" s="304"/>
      <c r="AZ808" s="308"/>
      <c r="BA808" s="313"/>
      <c r="BB808" s="304"/>
      <c r="BC808" s="308"/>
      <c r="BD808" s="308"/>
    </row>
    <row r="809">
      <c r="A809" s="301"/>
      <c r="B809" s="301"/>
      <c r="C809" s="303"/>
      <c r="D809" s="301"/>
      <c r="E809" s="309"/>
      <c r="F809" s="301"/>
      <c r="G809" s="301"/>
      <c r="H809" s="309"/>
      <c r="I809" s="327"/>
      <c r="J809" s="328"/>
      <c r="K809" s="326"/>
      <c r="L809" s="309"/>
      <c r="M809" s="308"/>
      <c r="N809" s="309"/>
      <c r="O809" s="322"/>
      <c r="P809" s="308"/>
      <c r="Q809" s="311"/>
      <c r="R809" s="309"/>
      <c r="S809" s="308"/>
      <c r="T809" s="309"/>
      <c r="U809" s="309"/>
      <c r="V809" s="308"/>
      <c r="W809" s="309"/>
      <c r="X809" s="309"/>
      <c r="Y809" s="308"/>
      <c r="Z809" s="309"/>
      <c r="AA809" s="312"/>
      <c r="AB809" s="308"/>
      <c r="AC809" s="308"/>
      <c r="AD809" s="312"/>
      <c r="AE809" s="308"/>
      <c r="AF809" s="313"/>
      <c r="AG809" s="304"/>
      <c r="AH809" s="308"/>
      <c r="AI809" s="313"/>
      <c r="AJ809" s="304"/>
      <c r="AK809" s="308"/>
      <c r="AL809" s="308"/>
      <c r="AM809" s="304"/>
      <c r="AN809" s="308"/>
      <c r="AO809" s="313"/>
      <c r="AP809" s="304"/>
      <c r="AQ809" s="308"/>
      <c r="AR809" s="313"/>
      <c r="AS809" s="304"/>
      <c r="AT809" s="308"/>
      <c r="AU809" s="308"/>
      <c r="AV809" s="304"/>
      <c r="AW809" s="308"/>
      <c r="AX809" s="308"/>
      <c r="AY809" s="304"/>
      <c r="AZ809" s="308"/>
      <c r="BA809" s="313"/>
      <c r="BB809" s="304"/>
      <c r="BC809" s="308"/>
      <c r="BD809" s="308"/>
    </row>
    <row r="810">
      <c r="A810" s="301"/>
      <c r="B810" s="301"/>
      <c r="C810" s="303"/>
      <c r="D810" s="301"/>
      <c r="E810" s="309"/>
      <c r="F810" s="301"/>
      <c r="G810" s="301"/>
      <c r="H810" s="309"/>
      <c r="I810" s="327"/>
      <c r="J810" s="328"/>
      <c r="K810" s="326"/>
      <c r="L810" s="309"/>
      <c r="M810" s="308"/>
      <c r="N810" s="309"/>
      <c r="O810" s="322"/>
      <c r="P810" s="308"/>
      <c r="Q810" s="311"/>
      <c r="R810" s="309"/>
      <c r="S810" s="308"/>
      <c r="T810" s="309"/>
      <c r="U810" s="309"/>
      <c r="V810" s="308"/>
      <c r="W810" s="309"/>
      <c r="X810" s="309"/>
      <c r="Y810" s="308"/>
      <c r="Z810" s="309"/>
      <c r="AA810" s="312"/>
      <c r="AB810" s="308"/>
      <c r="AC810" s="308"/>
      <c r="AD810" s="312"/>
      <c r="AE810" s="308"/>
      <c r="AF810" s="313"/>
      <c r="AG810" s="304"/>
      <c r="AH810" s="308"/>
      <c r="AI810" s="313"/>
      <c r="AJ810" s="304"/>
      <c r="AK810" s="308"/>
      <c r="AL810" s="308"/>
      <c r="AM810" s="304"/>
      <c r="AN810" s="308"/>
      <c r="AO810" s="313"/>
      <c r="AP810" s="304"/>
      <c r="AQ810" s="308"/>
      <c r="AR810" s="313"/>
      <c r="AS810" s="304"/>
      <c r="AT810" s="308"/>
      <c r="AU810" s="308"/>
      <c r="AV810" s="304"/>
      <c r="AW810" s="308"/>
      <c r="AX810" s="308"/>
      <c r="AY810" s="304"/>
      <c r="AZ810" s="308"/>
      <c r="BA810" s="313"/>
      <c r="BB810" s="304"/>
      <c r="BC810" s="308"/>
      <c r="BD810" s="308"/>
    </row>
    <row r="811">
      <c r="A811" s="301"/>
      <c r="B811" s="301"/>
      <c r="C811" s="303"/>
      <c r="D811" s="301"/>
      <c r="E811" s="309"/>
      <c r="F811" s="301"/>
      <c r="G811" s="301"/>
      <c r="H811" s="309"/>
      <c r="I811" s="327"/>
      <c r="J811" s="328"/>
      <c r="K811" s="326"/>
      <c r="L811" s="309"/>
      <c r="M811" s="308"/>
      <c r="N811" s="309"/>
      <c r="O811" s="322"/>
      <c r="P811" s="308"/>
      <c r="Q811" s="311"/>
      <c r="R811" s="309"/>
      <c r="S811" s="308"/>
      <c r="T811" s="309"/>
      <c r="U811" s="309"/>
      <c r="V811" s="308"/>
      <c r="W811" s="309"/>
      <c r="X811" s="309"/>
      <c r="Y811" s="308"/>
      <c r="Z811" s="309"/>
      <c r="AA811" s="312"/>
      <c r="AB811" s="308"/>
      <c r="AC811" s="308"/>
      <c r="AD811" s="312"/>
      <c r="AE811" s="308"/>
      <c r="AF811" s="313"/>
      <c r="AG811" s="304"/>
      <c r="AH811" s="308"/>
      <c r="AI811" s="313"/>
      <c r="AJ811" s="304"/>
      <c r="AK811" s="308"/>
      <c r="AL811" s="308"/>
      <c r="AM811" s="304"/>
      <c r="AN811" s="308"/>
      <c r="AO811" s="313"/>
      <c r="AP811" s="304"/>
      <c r="AQ811" s="308"/>
      <c r="AR811" s="313"/>
      <c r="AS811" s="304"/>
      <c r="AT811" s="308"/>
      <c r="AU811" s="308"/>
      <c r="AV811" s="304"/>
      <c r="AW811" s="308"/>
      <c r="AX811" s="308"/>
      <c r="AY811" s="304"/>
      <c r="AZ811" s="308"/>
      <c r="BA811" s="313"/>
      <c r="BB811" s="304"/>
      <c r="BC811" s="308"/>
      <c r="BD811" s="308"/>
    </row>
    <row r="812">
      <c r="A812" s="301"/>
      <c r="B812" s="301"/>
      <c r="C812" s="303"/>
      <c r="D812" s="301"/>
      <c r="E812" s="309"/>
      <c r="F812" s="301"/>
      <c r="G812" s="301"/>
      <c r="H812" s="309"/>
      <c r="I812" s="327"/>
      <c r="J812" s="328"/>
      <c r="K812" s="326"/>
      <c r="L812" s="309"/>
      <c r="M812" s="308"/>
      <c r="N812" s="309"/>
      <c r="O812" s="322"/>
      <c r="P812" s="308"/>
      <c r="Q812" s="311"/>
      <c r="R812" s="309"/>
      <c r="S812" s="308"/>
      <c r="T812" s="309"/>
      <c r="U812" s="309"/>
      <c r="V812" s="308"/>
      <c r="W812" s="309"/>
      <c r="X812" s="309"/>
      <c r="Y812" s="308"/>
      <c r="Z812" s="309"/>
      <c r="AA812" s="312"/>
      <c r="AB812" s="308"/>
      <c r="AC812" s="308"/>
      <c r="AD812" s="312"/>
      <c r="AE812" s="308"/>
      <c r="AF812" s="313"/>
      <c r="AG812" s="304"/>
      <c r="AH812" s="308"/>
      <c r="AI812" s="313"/>
      <c r="AJ812" s="304"/>
      <c r="AK812" s="308"/>
      <c r="AL812" s="308"/>
      <c r="AM812" s="304"/>
      <c r="AN812" s="308"/>
      <c r="AO812" s="313"/>
      <c r="AP812" s="304"/>
      <c r="AQ812" s="308"/>
      <c r="AR812" s="313"/>
      <c r="AS812" s="304"/>
      <c r="AT812" s="308"/>
      <c r="AU812" s="308"/>
      <c r="AV812" s="304"/>
      <c r="AW812" s="308"/>
      <c r="AX812" s="308"/>
      <c r="AY812" s="304"/>
      <c r="AZ812" s="308"/>
      <c r="BA812" s="313"/>
      <c r="BB812" s="304"/>
      <c r="BC812" s="308"/>
      <c r="BD812" s="308"/>
    </row>
    <row r="813">
      <c r="A813" s="301"/>
      <c r="B813" s="301"/>
      <c r="C813" s="303"/>
      <c r="D813" s="301"/>
      <c r="E813" s="309"/>
      <c r="F813" s="301"/>
      <c r="G813" s="301"/>
      <c r="H813" s="309"/>
      <c r="I813" s="327"/>
      <c r="J813" s="328"/>
      <c r="K813" s="326"/>
      <c r="L813" s="309"/>
      <c r="M813" s="308"/>
      <c r="N813" s="309"/>
      <c r="O813" s="322"/>
      <c r="P813" s="308"/>
      <c r="Q813" s="311"/>
      <c r="R813" s="309"/>
      <c r="S813" s="308"/>
      <c r="T813" s="309"/>
      <c r="U813" s="309"/>
      <c r="V813" s="308"/>
      <c r="W813" s="309"/>
      <c r="X813" s="309"/>
      <c r="Y813" s="308"/>
      <c r="Z813" s="309"/>
      <c r="AA813" s="312"/>
      <c r="AB813" s="308"/>
      <c r="AC813" s="308"/>
      <c r="AD813" s="312"/>
      <c r="AE813" s="308"/>
      <c r="AF813" s="313"/>
      <c r="AG813" s="304"/>
      <c r="AH813" s="308"/>
      <c r="AI813" s="313"/>
      <c r="AJ813" s="304"/>
      <c r="AK813" s="308"/>
      <c r="AL813" s="308"/>
      <c r="AM813" s="304"/>
      <c r="AN813" s="308"/>
      <c r="AO813" s="313"/>
      <c r="AP813" s="304"/>
      <c r="AQ813" s="308"/>
      <c r="AR813" s="313"/>
      <c r="AS813" s="304"/>
      <c r="AT813" s="308"/>
      <c r="AU813" s="308"/>
      <c r="AV813" s="304"/>
      <c r="AW813" s="308"/>
      <c r="AX813" s="308"/>
      <c r="AY813" s="304"/>
      <c r="AZ813" s="308"/>
      <c r="BA813" s="313"/>
      <c r="BB813" s="304"/>
      <c r="BC813" s="308"/>
      <c r="BD813" s="308"/>
    </row>
    <row r="814">
      <c r="A814" s="301"/>
      <c r="B814" s="301"/>
      <c r="C814" s="303"/>
      <c r="D814" s="301"/>
      <c r="E814" s="309"/>
      <c r="F814" s="301"/>
      <c r="G814" s="301"/>
      <c r="H814" s="309"/>
      <c r="I814" s="327"/>
      <c r="J814" s="328"/>
      <c r="K814" s="326"/>
      <c r="L814" s="309"/>
      <c r="M814" s="308"/>
      <c r="N814" s="309"/>
      <c r="O814" s="322"/>
      <c r="P814" s="308"/>
      <c r="Q814" s="311"/>
      <c r="R814" s="309"/>
      <c r="S814" s="308"/>
      <c r="T814" s="309"/>
      <c r="U814" s="309"/>
      <c r="V814" s="308"/>
      <c r="W814" s="309"/>
      <c r="X814" s="309"/>
      <c r="Y814" s="308"/>
      <c r="Z814" s="309"/>
      <c r="AA814" s="312"/>
      <c r="AB814" s="308"/>
      <c r="AC814" s="308"/>
      <c r="AD814" s="312"/>
      <c r="AE814" s="308"/>
      <c r="AF814" s="313"/>
      <c r="AG814" s="304"/>
      <c r="AH814" s="308"/>
      <c r="AI814" s="313"/>
      <c r="AJ814" s="304"/>
      <c r="AK814" s="308"/>
      <c r="AL814" s="308"/>
      <c r="AM814" s="304"/>
      <c r="AN814" s="308"/>
      <c r="AO814" s="313"/>
      <c r="AP814" s="304"/>
      <c r="AQ814" s="308"/>
      <c r="AR814" s="313"/>
      <c r="AS814" s="304"/>
      <c r="AT814" s="308"/>
      <c r="AU814" s="308"/>
      <c r="AV814" s="304"/>
      <c r="AW814" s="308"/>
      <c r="AX814" s="308"/>
      <c r="AY814" s="304"/>
      <c r="AZ814" s="308"/>
      <c r="BA814" s="313"/>
      <c r="BB814" s="304"/>
      <c r="BC814" s="308"/>
      <c r="BD814" s="308"/>
    </row>
    <row r="815">
      <c r="A815" s="301"/>
      <c r="B815" s="301"/>
      <c r="C815" s="303"/>
      <c r="D815" s="301"/>
      <c r="E815" s="309"/>
      <c r="F815" s="301"/>
      <c r="G815" s="301"/>
      <c r="H815" s="309"/>
      <c r="I815" s="327"/>
      <c r="J815" s="328"/>
      <c r="K815" s="326"/>
      <c r="L815" s="309"/>
      <c r="M815" s="308"/>
      <c r="N815" s="309"/>
      <c r="O815" s="322"/>
      <c r="P815" s="308"/>
      <c r="Q815" s="311"/>
      <c r="R815" s="309"/>
      <c r="S815" s="308"/>
      <c r="T815" s="309"/>
      <c r="U815" s="309"/>
      <c r="V815" s="308"/>
      <c r="W815" s="309"/>
      <c r="X815" s="309"/>
      <c r="Y815" s="308"/>
      <c r="Z815" s="309"/>
      <c r="AA815" s="312"/>
      <c r="AB815" s="308"/>
      <c r="AC815" s="308"/>
      <c r="AD815" s="312"/>
      <c r="AE815" s="308"/>
      <c r="AF815" s="313"/>
      <c r="AG815" s="304"/>
      <c r="AH815" s="308"/>
      <c r="AI815" s="313"/>
      <c r="AJ815" s="304"/>
      <c r="AK815" s="308"/>
      <c r="AL815" s="308"/>
      <c r="AM815" s="304"/>
      <c r="AN815" s="308"/>
      <c r="AO815" s="313"/>
      <c r="AP815" s="304"/>
      <c r="AQ815" s="308"/>
      <c r="AR815" s="313"/>
      <c r="AS815" s="304"/>
      <c r="AT815" s="308"/>
      <c r="AU815" s="308"/>
      <c r="AV815" s="304"/>
      <c r="AW815" s="308"/>
      <c r="AX815" s="308"/>
      <c r="AY815" s="304"/>
      <c r="AZ815" s="308"/>
      <c r="BA815" s="313"/>
      <c r="BB815" s="304"/>
      <c r="BC815" s="308"/>
      <c r="BD815" s="308"/>
    </row>
    <row r="816">
      <c r="A816" s="301"/>
      <c r="B816" s="301"/>
      <c r="C816" s="303"/>
      <c r="D816" s="301"/>
      <c r="E816" s="309"/>
      <c r="F816" s="301"/>
      <c r="G816" s="301"/>
      <c r="H816" s="309"/>
      <c r="I816" s="327"/>
      <c r="J816" s="328"/>
      <c r="K816" s="326"/>
      <c r="L816" s="309"/>
      <c r="M816" s="308"/>
      <c r="N816" s="309"/>
      <c r="O816" s="322"/>
      <c r="P816" s="308"/>
      <c r="Q816" s="311"/>
      <c r="R816" s="309"/>
      <c r="S816" s="308"/>
      <c r="T816" s="309"/>
      <c r="U816" s="309"/>
      <c r="V816" s="308"/>
      <c r="W816" s="309"/>
      <c r="X816" s="309"/>
      <c r="Y816" s="308"/>
      <c r="Z816" s="309"/>
      <c r="AA816" s="312"/>
      <c r="AB816" s="308"/>
      <c r="AC816" s="308"/>
      <c r="AD816" s="312"/>
      <c r="AE816" s="308"/>
      <c r="AF816" s="313"/>
      <c r="AG816" s="304"/>
      <c r="AH816" s="308"/>
      <c r="AI816" s="313"/>
      <c r="AJ816" s="304"/>
      <c r="AK816" s="308"/>
      <c r="AL816" s="308"/>
      <c r="AM816" s="304"/>
      <c r="AN816" s="308"/>
      <c r="AO816" s="313"/>
      <c r="AP816" s="304"/>
      <c r="AQ816" s="308"/>
      <c r="AR816" s="313"/>
      <c r="AS816" s="304"/>
      <c r="AT816" s="308"/>
      <c r="AU816" s="308"/>
      <c r="AV816" s="304"/>
      <c r="AW816" s="308"/>
      <c r="AX816" s="308"/>
      <c r="AY816" s="304"/>
      <c r="AZ816" s="308"/>
      <c r="BA816" s="313"/>
      <c r="BB816" s="304"/>
      <c r="BC816" s="308"/>
      <c r="BD816" s="308"/>
    </row>
    <row r="817">
      <c r="A817" s="301"/>
      <c r="B817" s="301"/>
      <c r="C817" s="303"/>
      <c r="D817" s="301"/>
      <c r="E817" s="309"/>
      <c r="F817" s="301"/>
      <c r="G817" s="301"/>
      <c r="H817" s="309"/>
      <c r="I817" s="327"/>
      <c r="J817" s="328"/>
      <c r="K817" s="326"/>
      <c r="L817" s="309"/>
      <c r="M817" s="308"/>
      <c r="N817" s="309"/>
      <c r="O817" s="322"/>
      <c r="P817" s="308"/>
      <c r="Q817" s="311"/>
      <c r="R817" s="309"/>
      <c r="S817" s="308"/>
      <c r="T817" s="309"/>
      <c r="U817" s="309"/>
      <c r="V817" s="308"/>
      <c r="W817" s="309"/>
      <c r="X817" s="309"/>
      <c r="Y817" s="308"/>
      <c r="Z817" s="309"/>
      <c r="AA817" s="312"/>
      <c r="AB817" s="308"/>
      <c r="AC817" s="308"/>
      <c r="AD817" s="312"/>
      <c r="AE817" s="308"/>
      <c r="AF817" s="313"/>
      <c r="AG817" s="304"/>
      <c r="AH817" s="308"/>
      <c r="AI817" s="313"/>
      <c r="AJ817" s="304"/>
      <c r="AK817" s="308"/>
      <c r="AL817" s="308"/>
      <c r="AM817" s="304"/>
      <c r="AN817" s="308"/>
      <c r="AO817" s="313"/>
      <c r="AP817" s="304"/>
      <c r="AQ817" s="308"/>
      <c r="AR817" s="313"/>
      <c r="AS817" s="304"/>
      <c r="AT817" s="308"/>
      <c r="AU817" s="308"/>
      <c r="AV817" s="304"/>
      <c r="AW817" s="308"/>
      <c r="AX817" s="308"/>
      <c r="AY817" s="304"/>
      <c r="AZ817" s="308"/>
      <c r="BA817" s="313"/>
      <c r="BB817" s="304"/>
      <c r="BC817" s="308"/>
      <c r="BD817" s="308"/>
    </row>
    <row r="818">
      <c r="A818" s="301"/>
      <c r="B818" s="301"/>
      <c r="C818" s="303"/>
      <c r="D818" s="301"/>
      <c r="E818" s="309"/>
      <c r="F818" s="301"/>
      <c r="G818" s="301"/>
      <c r="H818" s="309"/>
      <c r="I818" s="327"/>
      <c r="J818" s="328"/>
      <c r="K818" s="326"/>
      <c r="L818" s="309"/>
      <c r="M818" s="308"/>
      <c r="N818" s="309"/>
      <c r="O818" s="322"/>
      <c r="P818" s="308"/>
      <c r="Q818" s="311"/>
      <c r="R818" s="309"/>
      <c r="S818" s="308"/>
      <c r="T818" s="309"/>
      <c r="U818" s="309"/>
      <c r="V818" s="308"/>
      <c r="W818" s="309"/>
      <c r="X818" s="309"/>
      <c r="Y818" s="308"/>
      <c r="Z818" s="309"/>
      <c r="AA818" s="312"/>
      <c r="AB818" s="308"/>
      <c r="AC818" s="308"/>
      <c r="AD818" s="312"/>
      <c r="AE818" s="308"/>
      <c r="AF818" s="313"/>
      <c r="AG818" s="304"/>
      <c r="AH818" s="308"/>
      <c r="AI818" s="313"/>
      <c r="AJ818" s="304"/>
      <c r="AK818" s="308"/>
      <c r="AL818" s="308"/>
      <c r="AM818" s="304"/>
      <c r="AN818" s="308"/>
      <c r="AO818" s="313"/>
      <c r="AP818" s="304"/>
      <c r="AQ818" s="308"/>
      <c r="AR818" s="313"/>
      <c r="AS818" s="304"/>
      <c r="AT818" s="308"/>
      <c r="AU818" s="308"/>
      <c r="AV818" s="304"/>
      <c r="AW818" s="308"/>
      <c r="AX818" s="308"/>
      <c r="AY818" s="304"/>
      <c r="AZ818" s="308"/>
      <c r="BA818" s="313"/>
      <c r="BB818" s="304"/>
      <c r="BC818" s="308"/>
      <c r="BD818" s="308"/>
    </row>
    <row r="819">
      <c r="A819" s="301"/>
      <c r="B819" s="301"/>
      <c r="C819" s="303"/>
      <c r="D819" s="301"/>
      <c r="E819" s="309"/>
      <c r="F819" s="301"/>
      <c r="G819" s="301"/>
      <c r="H819" s="309"/>
      <c r="I819" s="327"/>
      <c r="J819" s="328"/>
      <c r="K819" s="326"/>
      <c r="L819" s="309"/>
      <c r="M819" s="308"/>
      <c r="N819" s="309"/>
      <c r="O819" s="322"/>
      <c r="P819" s="308"/>
      <c r="Q819" s="311"/>
      <c r="R819" s="309"/>
      <c r="S819" s="308"/>
      <c r="T819" s="309"/>
      <c r="U819" s="309"/>
      <c r="V819" s="308"/>
      <c r="W819" s="309"/>
      <c r="X819" s="309"/>
      <c r="Y819" s="308"/>
      <c r="Z819" s="309"/>
      <c r="AA819" s="312"/>
      <c r="AB819" s="308"/>
      <c r="AC819" s="308"/>
      <c r="AD819" s="312"/>
      <c r="AE819" s="308"/>
      <c r="AF819" s="313"/>
      <c r="AG819" s="304"/>
      <c r="AH819" s="308"/>
      <c r="AI819" s="313"/>
      <c r="AJ819" s="304"/>
      <c r="AK819" s="308"/>
      <c r="AL819" s="308"/>
      <c r="AM819" s="304"/>
      <c r="AN819" s="308"/>
      <c r="AO819" s="313"/>
      <c r="AP819" s="304"/>
      <c r="AQ819" s="308"/>
      <c r="AR819" s="313"/>
      <c r="AS819" s="304"/>
      <c r="AT819" s="308"/>
      <c r="AU819" s="308"/>
      <c r="AV819" s="304"/>
      <c r="AW819" s="308"/>
      <c r="AX819" s="308"/>
      <c r="AY819" s="304"/>
      <c r="AZ819" s="308"/>
      <c r="BA819" s="313"/>
      <c r="BB819" s="304"/>
      <c r="BC819" s="308"/>
      <c r="BD819" s="308"/>
    </row>
    <row r="820">
      <c r="A820" s="301"/>
      <c r="B820" s="301"/>
      <c r="C820" s="303"/>
      <c r="D820" s="301"/>
      <c r="E820" s="309"/>
      <c r="F820" s="301"/>
      <c r="G820" s="301"/>
      <c r="H820" s="309"/>
      <c r="I820" s="327"/>
      <c r="J820" s="328"/>
      <c r="K820" s="326"/>
      <c r="L820" s="309"/>
      <c r="M820" s="308"/>
      <c r="N820" s="309"/>
      <c r="O820" s="322"/>
      <c r="P820" s="308"/>
      <c r="Q820" s="311"/>
      <c r="R820" s="309"/>
      <c r="S820" s="308"/>
      <c r="T820" s="309"/>
      <c r="U820" s="309"/>
      <c r="V820" s="308"/>
      <c r="W820" s="309"/>
      <c r="X820" s="309"/>
      <c r="Y820" s="308"/>
      <c r="Z820" s="309"/>
      <c r="AA820" s="312"/>
      <c r="AB820" s="308"/>
      <c r="AC820" s="308"/>
      <c r="AD820" s="312"/>
      <c r="AE820" s="308"/>
      <c r="AF820" s="313"/>
      <c r="AG820" s="304"/>
      <c r="AH820" s="308"/>
      <c r="AI820" s="313"/>
      <c r="AJ820" s="304"/>
      <c r="AK820" s="308"/>
      <c r="AL820" s="308"/>
      <c r="AM820" s="304"/>
      <c r="AN820" s="308"/>
      <c r="AO820" s="313"/>
      <c r="AP820" s="304"/>
      <c r="AQ820" s="308"/>
      <c r="AR820" s="313"/>
      <c r="AS820" s="304"/>
      <c r="AT820" s="308"/>
      <c r="AU820" s="308"/>
      <c r="AV820" s="304"/>
      <c r="AW820" s="308"/>
      <c r="AX820" s="308"/>
      <c r="AY820" s="304"/>
      <c r="AZ820" s="308"/>
      <c r="BA820" s="313"/>
      <c r="BB820" s="304"/>
      <c r="BC820" s="308"/>
      <c r="BD820" s="308"/>
    </row>
    <row r="821">
      <c r="A821" s="301"/>
      <c r="B821" s="301"/>
      <c r="C821" s="303"/>
      <c r="D821" s="301"/>
      <c r="E821" s="309"/>
      <c r="F821" s="301"/>
      <c r="G821" s="301"/>
      <c r="H821" s="309"/>
      <c r="I821" s="327"/>
      <c r="J821" s="328"/>
      <c r="K821" s="326"/>
      <c r="L821" s="309"/>
      <c r="M821" s="308"/>
      <c r="N821" s="309"/>
      <c r="O821" s="322"/>
      <c r="P821" s="308"/>
      <c r="Q821" s="311"/>
      <c r="R821" s="309"/>
      <c r="S821" s="308"/>
      <c r="T821" s="309"/>
      <c r="U821" s="309"/>
      <c r="V821" s="308"/>
      <c r="W821" s="309"/>
      <c r="X821" s="309"/>
      <c r="Y821" s="308"/>
      <c r="Z821" s="309"/>
      <c r="AA821" s="312"/>
      <c r="AB821" s="308"/>
      <c r="AC821" s="308"/>
      <c r="AD821" s="312"/>
      <c r="AE821" s="308"/>
      <c r="AF821" s="313"/>
      <c r="AG821" s="304"/>
      <c r="AH821" s="308"/>
      <c r="AI821" s="313"/>
      <c r="AJ821" s="304"/>
      <c r="AK821" s="308"/>
      <c r="AL821" s="308"/>
      <c r="AM821" s="304"/>
      <c r="AN821" s="308"/>
      <c r="AO821" s="313"/>
      <c r="AP821" s="304"/>
      <c r="AQ821" s="308"/>
      <c r="AR821" s="313"/>
      <c r="AS821" s="304"/>
      <c r="AT821" s="308"/>
      <c r="AU821" s="308"/>
      <c r="AV821" s="304"/>
      <c r="AW821" s="308"/>
      <c r="AX821" s="308"/>
      <c r="AY821" s="304"/>
      <c r="AZ821" s="308"/>
      <c r="BA821" s="313"/>
      <c r="BB821" s="304"/>
      <c r="BC821" s="308"/>
      <c r="BD821" s="308"/>
    </row>
    <row r="822">
      <c r="A822" s="301"/>
      <c r="B822" s="301"/>
      <c r="C822" s="303"/>
      <c r="D822" s="301"/>
      <c r="E822" s="309"/>
      <c r="F822" s="301"/>
      <c r="G822" s="301"/>
      <c r="H822" s="309"/>
      <c r="I822" s="327"/>
      <c r="J822" s="328"/>
      <c r="K822" s="326"/>
      <c r="L822" s="309"/>
      <c r="M822" s="308"/>
      <c r="N822" s="309"/>
      <c r="O822" s="322"/>
      <c r="P822" s="308"/>
      <c r="Q822" s="311"/>
      <c r="R822" s="309"/>
      <c r="S822" s="308"/>
      <c r="T822" s="309"/>
      <c r="U822" s="309"/>
      <c r="V822" s="308"/>
      <c r="W822" s="309"/>
      <c r="X822" s="309"/>
      <c r="Y822" s="308"/>
      <c r="Z822" s="309"/>
      <c r="AA822" s="312"/>
      <c r="AB822" s="308"/>
      <c r="AC822" s="308"/>
      <c r="AD822" s="312"/>
      <c r="AE822" s="308"/>
      <c r="AF822" s="313"/>
      <c r="AG822" s="304"/>
      <c r="AH822" s="308"/>
      <c r="AI822" s="313"/>
      <c r="AJ822" s="304"/>
      <c r="AK822" s="308"/>
      <c r="AL822" s="308"/>
      <c r="AM822" s="304"/>
      <c r="AN822" s="308"/>
      <c r="AO822" s="313"/>
      <c r="AP822" s="304"/>
      <c r="AQ822" s="308"/>
      <c r="AR822" s="313"/>
      <c r="AS822" s="304"/>
      <c r="AT822" s="308"/>
      <c r="AU822" s="308"/>
      <c r="AV822" s="304"/>
      <c r="AW822" s="308"/>
      <c r="AX822" s="308"/>
      <c r="AY822" s="304"/>
      <c r="AZ822" s="308"/>
      <c r="BA822" s="313"/>
      <c r="BB822" s="304"/>
      <c r="BC822" s="308"/>
      <c r="BD822" s="308"/>
    </row>
    <row r="823">
      <c r="A823" s="301"/>
      <c r="B823" s="301"/>
      <c r="C823" s="303"/>
      <c r="D823" s="301"/>
      <c r="E823" s="309"/>
      <c r="F823" s="301"/>
      <c r="G823" s="301"/>
      <c r="H823" s="309"/>
      <c r="I823" s="327"/>
      <c r="J823" s="328"/>
      <c r="K823" s="326"/>
      <c r="L823" s="309"/>
      <c r="M823" s="308"/>
      <c r="N823" s="309"/>
      <c r="O823" s="322"/>
      <c r="P823" s="308"/>
      <c r="Q823" s="311"/>
      <c r="R823" s="309"/>
      <c r="S823" s="308"/>
      <c r="T823" s="309"/>
      <c r="U823" s="309"/>
      <c r="V823" s="308"/>
      <c r="W823" s="309"/>
      <c r="X823" s="309"/>
      <c r="Y823" s="308"/>
      <c r="Z823" s="309"/>
      <c r="AA823" s="312"/>
      <c r="AB823" s="308"/>
      <c r="AC823" s="308"/>
      <c r="AD823" s="312"/>
      <c r="AE823" s="308"/>
      <c r="AF823" s="313"/>
      <c r="AG823" s="304"/>
      <c r="AH823" s="308"/>
      <c r="AI823" s="313"/>
      <c r="AJ823" s="304"/>
      <c r="AK823" s="308"/>
      <c r="AL823" s="308"/>
      <c r="AM823" s="304"/>
      <c r="AN823" s="308"/>
      <c r="AO823" s="313"/>
      <c r="AP823" s="304"/>
      <c r="AQ823" s="308"/>
      <c r="AR823" s="313"/>
      <c r="AS823" s="304"/>
      <c r="AT823" s="308"/>
      <c r="AU823" s="308"/>
      <c r="AV823" s="304"/>
      <c r="AW823" s="308"/>
      <c r="AX823" s="308"/>
      <c r="AY823" s="304"/>
      <c r="AZ823" s="308"/>
      <c r="BA823" s="313"/>
      <c r="BB823" s="304"/>
      <c r="BC823" s="308"/>
      <c r="BD823" s="308"/>
    </row>
    <row r="824">
      <c r="A824" s="301"/>
      <c r="B824" s="301"/>
      <c r="C824" s="303"/>
      <c r="D824" s="301"/>
      <c r="E824" s="309"/>
      <c r="F824" s="301"/>
      <c r="G824" s="301"/>
      <c r="H824" s="309"/>
      <c r="I824" s="327"/>
      <c r="J824" s="328"/>
      <c r="K824" s="326"/>
      <c r="L824" s="309"/>
      <c r="M824" s="308"/>
      <c r="N824" s="309"/>
      <c r="O824" s="322"/>
      <c r="P824" s="308"/>
      <c r="Q824" s="311"/>
      <c r="R824" s="309"/>
      <c r="S824" s="308"/>
      <c r="T824" s="309"/>
      <c r="U824" s="309"/>
      <c r="V824" s="308"/>
      <c r="W824" s="309"/>
      <c r="X824" s="309"/>
      <c r="Y824" s="308"/>
      <c r="Z824" s="309"/>
      <c r="AA824" s="312"/>
      <c r="AB824" s="308"/>
      <c r="AC824" s="308"/>
      <c r="AD824" s="312"/>
      <c r="AE824" s="308"/>
      <c r="AF824" s="313"/>
      <c r="AG824" s="304"/>
      <c r="AH824" s="308"/>
      <c r="AI824" s="313"/>
      <c r="AJ824" s="304"/>
      <c r="AK824" s="308"/>
      <c r="AL824" s="308"/>
      <c r="AM824" s="304"/>
      <c r="AN824" s="308"/>
      <c r="AO824" s="313"/>
      <c r="AP824" s="304"/>
      <c r="AQ824" s="308"/>
      <c r="AR824" s="313"/>
      <c r="AS824" s="304"/>
      <c r="AT824" s="308"/>
      <c r="AU824" s="308"/>
      <c r="AV824" s="304"/>
      <c r="AW824" s="308"/>
      <c r="AX824" s="308"/>
      <c r="AY824" s="304"/>
      <c r="AZ824" s="308"/>
      <c r="BA824" s="313"/>
      <c r="BB824" s="304"/>
      <c r="BC824" s="308"/>
      <c r="BD824" s="308"/>
    </row>
    <row r="825">
      <c r="A825" s="301"/>
      <c r="B825" s="301"/>
      <c r="C825" s="303"/>
      <c r="D825" s="301"/>
      <c r="E825" s="309"/>
      <c r="F825" s="301"/>
      <c r="G825" s="301"/>
      <c r="H825" s="309"/>
      <c r="I825" s="327"/>
      <c r="J825" s="328"/>
      <c r="K825" s="326"/>
      <c r="L825" s="309"/>
      <c r="M825" s="308"/>
      <c r="N825" s="309"/>
      <c r="O825" s="322"/>
      <c r="P825" s="308"/>
      <c r="Q825" s="311"/>
      <c r="R825" s="309"/>
      <c r="S825" s="308"/>
      <c r="T825" s="309"/>
      <c r="U825" s="309"/>
      <c r="V825" s="308"/>
      <c r="W825" s="309"/>
      <c r="X825" s="309"/>
      <c r="Y825" s="308"/>
      <c r="Z825" s="309"/>
      <c r="AA825" s="312"/>
      <c r="AB825" s="308"/>
      <c r="AC825" s="308"/>
      <c r="AD825" s="312"/>
      <c r="AE825" s="308"/>
      <c r="AF825" s="313"/>
      <c r="AG825" s="304"/>
      <c r="AH825" s="308"/>
      <c r="AI825" s="313"/>
      <c r="AJ825" s="304"/>
      <c r="AK825" s="308"/>
      <c r="AL825" s="308"/>
      <c r="AM825" s="304"/>
      <c r="AN825" s="308"/>
      <c r="AO825" s="313"/>
      <c r="AP825" s="304"/>
      <c r="AQ825" s="308"/>
      <c r="AR825" s="313"/>
      <c r="AS825" s="304"/>
      <c r="AT825" s="308"/>
      <c r="AU825" s="308"/>
      <c r="AV825" s="304"/>
      <c r="AW825" s="308"/>
      <c r="AX825" s="308"/>
      <c r="AY825" s="304"/>
      <c r="AZ825" s="308"/>
      <c r="BA825" s="313"/>
      <c r="BB825" s="304"/>
      <c r="BC825" s="308"/>
      <c r="BD825" s="308"/>
    </row>
    <row r="826">
      <c r="A826" s="301"/>
      <c r="B826" s="301"/>
      <c r="C826" s="303"/>
      <c r="D826" s="301"/>
      <c r="E826" s="309"/>
      <c r="F826" s="301"/>
      <c r="G826" s="301"/>
      <c r="H826" s="309"/>
      <c r="I826" s="327"/>
      <c r="J826" s="328"/>
      <c r="K826" s="326"/>
      <c r="L826" s="309"/>
      <c r="M826" s="308"/>
      <c r="N826" s="309"/>
      <c r="O826" s="322"/>
      <c r="P826" s="308"/>
      <c r="Q826" s="311"/>
      <c r="R826" s="309"/>
      <c r="S826" s="308"/>
      <c r="T826" s="309"/>
      <c r="U826" s="309"/>
      <c r="V826" s="308"/>
      <c r="W826" s="309"/>
      <c r="X826" s="309"/>
      <c r="Y826" s="308"/>
      <c r="Z826" s="309"/>
      <c r="AA826" s="312"/>
      <c r="AB826" s="308"/>
      <c r="AC826" s="308"/>
      <c r="AD826" s="312"/>
      <c r="AE826" s="308"/>
      <c r="AF826" s="313"/>
      <c r="AG826" s="304"/>
      <c r="AH826" s="308"/>
      <c r="AI826" s="313"/>
      <c r="AJ826" s="304"/>
      <c r="AK826" s="308"/>
      <c r="AL826" s="308"/>
      <c r="AM826" s="304"/>
      <c r="AN826" s="308"/>
      <c r="AO826" s="313"/>
      <c r="AP826" s="304"/>
      <c r="AQ826" s="308"/>
      <c r="AR826" s="313"/>
      <c r="AS826" s="304"/>
      <c r="AT826" s="308"/>
      <c r="AU826" s="308"/>
      <c r="AV826" s="304"/>
      <c r="AW826" s="308"/>
      <c r="AX826" s="308"/>
      <c r="AY826" s="304"/>
      <c r="AZ826" s="308"/>
      <c r="BA826" s="313"/>
      <c r="BB826" s="304"/>
      <c r="BC826" s="308"/>
      <c r="BD826" s="308"/>
    </row>
    <row r="827">
      <c r="A827" s="301"/>
      <c r="B827" s="301"/>
      <c r="C827" s="303"/>
      <c r="D827" s="301"/>
      <c r="E827" s="309"/>
      <c r="F827" s="301"/>
      <c r="G827" s="301"/>
      <c r="H827" s="309"/>
      <c r="I827" s="327"/>
      <c r="J827" s="328"/>
      <c r="K827" s="326"/>
      <c r="L827" s="309"/>
      <c r="M827" s="308"/>
      <c r="N827" s="309"/>
      <c r="O827" s="322"/>
      <c r="P827" s="308"/>
      <c r="Q827" s="311"/>
      <c r="R827" s="309"/>
      <c r="S827" s="308"/>
      <c r="T827" s="309"/>
      <c r="U827" s="309"/>
      <c r="V827" s="308"/>
      <c r="W827" s="309"/>
      <c r="X827" s="309"/>
      <c r="Y827" s="308"/>
      <c r="Z827" s="309"/>
      <c r="AA827" s="312"/>
      <c r="AB827" s="308"/>
      <c r="AC827" s="308"/>
      <c r="AD827" s="312"/>
      <c r="AE827" s="308"/>
      <c r="AF827" s="313"/>
      <c r="AG827" s="304"/>
      <c r="AH827" s="308"/>
      <c r="AI827" s="313"/>
      <c r="AJ827" s="304"/>
      <c r="AK827" s="308"/>
      <c r="AL827" s="308"/>
      <c r="AM827" s="304"/>
      <c r="AN827" s="308"/>
      <c r="AO827" s="313"/>
      <c r="AP827" s="304"/>
      <c r="AQ827" s="308"/>
      <c r="AR827" s="313"/>
      <c r="AS827" s="304"/>
      <c r="AT827" s="308"/>
      <c r="AU827" s="308"/>
      <c r="AV827" s="304"/>
      <c r="AW827" s="308"/>
      <c r="AX827" s="308"/>
      <c r="AY827" s="304"/>
      <c r="AZ827" s="308"/>
      <c r="BA827" s="313"/>
      <c r="BB827" s="304"/>
      <c r="BC827" s="308"/>
      <c r="BD827" s="308"/>
    </row>
    <row r="828">
      <c r="A828" s="301"/>
      <c r="B828" s="301"/>
      <c r="C828" s="303"/>
      <c r="D828" s="301"/>
      <c r="E828" s="309"/>
      <c r="F828" s="301"/>
      <c r="G828" s="301"/>
      <c r="H828" s="309"/>
      <c r="I828" s="327"/>
      <c r="J828" s="328"/>
      <c r="K828" s="326"/>
      <c r="L828" s="309"/>
      <c r="M828" s="308"/>
      <c r="N828" s="309"/>
      <c r="O828" s="322"/>
      <c r="P828" s="308"/>
      <c r="Q828" s="311"/>
      <c r="R828" s="309"/>
      <c r="S828" s="308"/>
      <c r="T828" s="309"/>
      <c r="U828" s="309"/>
      <c r="V828" s="308"/>
      <c r="W828" s="309"/>
      <c r="X828" s="309"/>
      <c r="Y828" s="308"/>
      <c r="Z828" s="309"/>
      <c r="AA828" s="312"/>
      <c r="AB828" s="308"/>
      <c r="AC828" s="308"/>
      <c r="AD828" s="312"/>
      <c r="AE828" s="308"/>
      <c r="AF828" s="313"/>
      <c r="AG828" s="304"/>
      <c r="AH828" s="308"/>
      <c r="AI828" s="313"/>
      <c r="AJ828" s="304"/>
      <c r="AK828" s="308"/>
      <c r="AL828" s="308"/>
      <c r="AM828" s="304"/>
      <c r="AN828" s="308"/>
      <c r="AO828" s="313"/>
      <c r="AP828" s="304"/>
      <c r="AQ828" s="308"/>
      <c r="AR828" s="313"/>
      <c r="AS828" s="304"/>
      <c r="AT828" s="308"/>
      <c r="AU828" s="308"/>
      <c r="AV828" s="304"/>
      <c r="AW828" s="308"/>
      <c r="AX828" s="308"/>
      <c r="AY828" s="304"/>
      <c r="AZ828" s="308"/>
      <c r="BA828" s="313"/>
      <c r="BB828" s="304"/>
      <c r="BC828" s="308"/>
      <c r="BD828" s="308"/>
    </row>
    <row r="829">
      <c r="A829" s="301"/>
      <c r="B829" s="301"/>
      <c r="C829" s="303"/>
      <c r="D829" s="301"/>
      <c r="E829" s="309"/>
      <c r="F829" s="301"/>
      <c r="G829" s="301"/>
      <c r="H829" s="309"/>
      <c r="I829" s="327"/>
      <c r="J829" s="328"/>
      <c r="K829" s="326"/>
      <c r="L829" s="309"/>
      <c r="M829" s="308"/>
      <c r="N829" s="309"/>
      <c r="O829" s="322"/>
      <c r="P829" s="308"/>
      <c r="Q829" s="311"/>
      <c r="R829" s="309"/>
      <c r="S829" s="308"/>
      <c r="T829" s="309"/>
      <c r="U829" s="309"/>
      <c r="V829" s="308"/>
      <c r="W829" s="309"/>
      <c r="X829" s="309"/>
      <c r="Y829" s="308"/>
      <c r="Z829" s="309"/>
      <c r="AA829" s="312"/>
      <c r="AB829" s="308"/>
      <c r="AC829" s="308"/>
      <c r="AD829" s="312"/>
      <c r="AE829" s="308"/>
      <c r="AF829" s="313"/>
      <c r="AG829" s="304"/>
      <c r="AH829" s="308"/>
      <c r="AI829" s="313"/>
      <c r="AJ829" s="304"/>
      <c r="AK829" s="308"/>
      <c r="AL829" s="308"/>
      <c r="AM829" s="304"/>
      <c r="AN829" s="308"/>
      <c r="AO829" s="313"/>
      <c r="AP829" s="304"/>
      <c r="AQ829" s="308"/>
      <c r="AR829" s="313"/>
      <c r="AS829" s="304"/>
      <c r="AT829" s="308"/>
      <c r="AU829" s="308"/>
      <c r="AV829" s="304"/>
      <c r="AW829" s="308"/>
      <c r="AX829" s="308"/>
      <c r="AY829" s="304"/>
      <c r="AZ829" s="308"/>
      <c r="BA829" s="313"/>
      <c r="BB829" s="304"/>
      <c r="BC829" s="308"/>
      <c r="BD829" s="308"/>
    </row>
    <row r="830">
      <c r="A830" s="301"/>
      <c r="B830" s="301"/>
      <c r="C830" s="303"/>
      <c r="D830" s="301"/>
      <c r="E830" s="309"/>
      <c r="F830" s="301"/>
      <c r="G830" s="301"/>
      <c r="H830" s="309"/>
      <c r="I830" s="327"/>
      <c r="J830" s="328"/>
      <c r="K830" s="326"/>
      <c r="L830" s="309"/>
      <c r="M830" s="308"/>
      <c r="N830" s="309"/>
      <c r="O830" s="322"/>
      <c r="P830" s="308"/>
      <c r="Q830" s="311"/>
      <c r="R830" s="309"/>
      <c r="S830" s="308"/>
      <c r="T830" s="309"/>
      <c r="U830" s="309"/>
      <c r="V830" s="308"/>
      <c r="W830" s="309"/>
      <c r="X830" s="309"/>
      <c r="Y830" s="308"/>
      <c r="Z830" s="309"/>
      <c r="AA830" s="312"/>
      <c r="AB830" s="308"/>
      <c r="AC830" s="308"/>
      <c r="AD830" s="312"/>
      <c r="AE830" s="308"/>
      <c r="AF830" s="313"/>
      <c r="AG830" s="304"/>
      <c r="AH830" s="308"/>
      <c r="AI830" s="313"/>
      <c r="AJ830" s="304"/>
      <c r="AK830" s="308"/>
      <c r="AL830" s="308"/>
      <c r="AM830" s="304"/>
      <c r="AN830" s="308"/>
      <c r="AO830" s="313"/>
      <c r="AP830" s="304"/>
      <c r="AQ830" s="308"/>
      <c r="AR830" s="313"/>
      <c r="AS830" s="304"/>
      <c r="AT830" s="308"/>
      <c r="AU830" s="308"/>
      <c r="AV830" s="304"/>
      <c r="AW830" s="308"/>
      <c r="AX830" s="308"/>
      <c r="AY830" s="304"/>
      <c r="AZ830" s="308"/>
      <c r="BA830" s="313"/>
      <c r="BB830" s="304"/>
      <c r="BC830" s="308"/>
      <c r="BD830" s="308"/>
    </row>
    <row r="831">
      <c r="A831" s="301"/>
      <c r="B831" s="301"/>
      <c r="C831" s="303"/>
      <c r="D831" s="301"/>
      <c r="E831" s="309"/>
      <c r="F831" s="301"/>
      <c r="G831" s="301"/>
      <c r="H831" s="309"/>
      <c r="I831" s="327"/>
      <c r="J831" s="328"/>
      <c r="K831" s="326"/>
      <c r="L831" s="309"/>
      <c r="M831" s="308"/>
      <c r="N831" s="309"/>
      <c r="O831" s="322"/>
      <c r="P831" s="308"/>
      <c r="Q831" s="311"/>
      <c r="R831" s="309"/>
      <c r="S831" s="308"/>
      <c r="T831" s="309"/>
      <c r="U831" s="309"/>
      <c r="V831" s="308"/>
      <c r="W831" s="309"/>
      <c r="X831" s="309"/>
      <c r="Y831" s="308"/>
      <c r="Z831" s="309"/>
      <c r="AA831" s="312"/>
      <c r="AB831" s="308"/>
      <c r="AC831" s="308"/>
      <c r="AD831" s="312"/>
      <c r="AE831" s="308"/>
      <c r="AF831" s="313"/>
      <c r="AG831" s="304"/>
      <c r="AH831" s="308"/>
      <c r="AI831" s="313"/>
      <c r="AJ831" s="304"/>
      <c r="AK831" s="308"/>
      <c r="AL831" s="308"/>
      <c r="AM831" s="304"/>
      <c r="AN831" s="308"/>
      <c r="AO831" s="313"/>
      <c r="AP831" s="304"/>
      <c r="AQ831" s="308"/>
      <c r="AR831" s="313"/>
      <c r="AS831" s="304"/>
      <c r="AT831" s="308"/>
      <c r="AU831" s="308"/>
      <c r="AV831" s="304"/>
      <c r="AW831" s="308"/>
      <c r="AX831" s="308"/>
      <c r="AY831" s="304"/>
      <c r="AZ831" s="308"/>
      <c r="BA831" s="313"/>
      <c r="BB831" s="304"/>
      <c r="BC831" s="308"/>
      <c r="BD831" s="308"/>
    </row>
    <row r="832">
      <c r="A832" s="301"/>
      <c r="B832" s="301"/>
      <c r="C832" s="303"/>
      <c r="D832" s="301"/>
      <c r="E832" s="309"/>
      <c r="F832" s="301"/>
      <c r="G832" s="301"/>
      <c r="H832" s="309"/>
      <c r="I832" s="327"/>
      <c r="J832" s="328"/>
      <c r="K832" s="326"/>
      <c r="L832" s="309"/>
      <c r="M832" s="308"/>
      <c r="N832" s="309"/>
      <c r="O832" s="322"/>
      <c r="P832" s="308"/>
      <c r="Q832" s="311"/>
      <c r="R832" s="309"/>
      <c r="S832" s="308"/>
      <c r="T832" s="309"/>
      <c r="U832" s="309"/>
      <c r="V832" s="308"/>
      <c r="W832" s="309"/>
      <c r="X832" s="309"/>
      <c r="Y832" s="308"/>
      <c r="Z832" s="309"/>
      <c r="AA832" s="312"/>
      <c r="AB832" s="308"/>
      <c r="AC832" s="308"/>
      <c r="AD832" s="312"/>
      <c r="AE832" s="308"/>
      <c r="AF832" s="313"/>
      <c r="AG832" s="304"/>
      <c r="AH832" s="308"/>
      <c r="AI832" s="313"/>
      <c r="AJ832" s="304"/>
      <c r="AK832" s="308"/>
      <c r="AL832" s="308"/>
      <c r="AM832" s="304"/>
      <c r="AN832" s="308"/>
      <c r="AO832" s="313"/>
      <c r="AP832" s="304"/>
      <c r="AQ832" s="308"/>
      <c r="AR832" s="313"/>
      <c r="AS832" s="304"/>
      <c r="AT832" s="308"/>
      <c r="AU832" s="308"/>
      <c r="AV832" s="304"/>
      <c r="AW832" s="308"/>
      <c r="AX832" s="308"/>
      <c r="AY832" s="304"/>
      <c r="AZ832" s="308"/>
      <c r="BA832" s="313"/>
      <c r="BB832" s="304"/>
      <c r="BC832" s="308"/>
      <c r="BD832" s="308"/>
    </row>
    <row r="833">
      <c r="A833" s="301"/>
      <c r="B833" s="301"/>
      <c r="C833" s="303"/>
      <c r="D833" s="301"/>
      <c r="E833" s="309"/>
      <c r="F833" s="301"/>
      <c r="G833" s="301"/>
      <c r="H833" s="309"/>
      <c r="I833" s="327"/>
      <c r="J833" s="328"/>
      <c r="K833" s="326"/>
      <c r="L833" s="309"/>
      <c r="M833" s="308"/>
      <c r="N833" s="309"/>
      <c r="O833" s="322"/>
      <c r="P833" s="308"/>
      <c r="Q833" s="311"/>
      <c r="R833" s="309"/>
      <c r="S833" s="308"/>
      <c r="T833" s="309"/>
      <c r="U833" s="309"/>
      <c r="V833" s="308"/>
      <c r="W833" s="309"/>
      <c r="X833" s="309"/>
      <c r="Y833" s="308"/>
      <c r="Z833" s="309"/>
      <c r="AA833" s="312"/>
      <c r="AB833" s="308"/>
      <c r="AC833" s="308"/>
      <c r="AD833" s="312"/>
      <c r="AE833" s="308"/>
      <c r="AF833" s="313"/>
      <c r="AG833" s="304"/>
      <c r="AH833" s="308"/>
      <c r="AI833" s="313"/>
      <c r="AJ833" s="304"/>
      <c r="AK833" s="308"/>
      <c r="AL833" s="308"/>
      <c r="AM833" s="304"/>
      <c r="AN833" s="308"/>
      <c r="AO833" s="313"/>
      <c r="AP833" s="304"/>
      <c r="AQ833" s="308"/>
      <c r="AR833" s="313"/>
      <c r="AS833" s="304"/>
      <c r="AT833" s="308"/>
      <c r="AU833" s="308"/>
      <c r="AV833" s="304"/>
      <c r="AW833" s="308"/>
      <c r="AX833" s="308"/>
      <c r="AY833" s="304"/>
      <c r="AZ833" s="308"/>
      <c r="BA833" s="313"/>
      <c r="BB833" s="304"/>
      <c r="BC833" s="308"/>
      <c r="BD833" s="308"/>
    </row>
    <row r="834">
      <c r="A834" s="301"/>
      <c r="B834" s="301"/>
      <c r="C834" s="303"/>
      <c r="D834" s="301"/>
      <c r="E834" s="309"/>
      <c r="F834" s="301"/>
      <c r="G834" s="301"/>
      <c r="H834" s="309"/>
      <c r="I834" s="327"/>
      <c r="J834" s="328"/>
      <c r="K834" s="326"/>
      <c r="L834" s="309"/>
      <c r="M834" s="308"/>
      <c r="N834" s="309"/>
      <c r="O834" s="322"/>
      <c r="P834" s="308"/>
      <c r="Q834" s="311"/>
      <c r="R834" s="309"/>
      <c r="S834" s="308"/>
      <c r="T834" s="309"/>
      <c r="U834" s="309"/>
      <c r="V834" s="308"/>
      <c r="W834" s="309"/>
      <c r="X834" s="309"/>
      <c r="Y834" s="308"/>
      <c r="Z834" s="309"/>
      <c r="AA834" s="312"/>
      <c r="AB834" s="308"/>
      <c r="AC834" s="308"/>
      <c r="AD834" s="312"/>
      <c r="AE834" s="308"/>
      <c r="AF834" s="313"/>
      <c r="AG834" s="304"/>
      <c r="AH834" s="308"/>
      <c r="AI834" s="313"/>
      <c r="AJ834" s="304"/>
      <c r="AK834" s="308"/>
      <c r="AL834" s="308"/>
      <c r="AM834" s="304"/>
      <c r="AN834" s="308"/>
      <c r="AO834" s="313"/>
      <c r="AP834" s="304"/>
      <c r="AQ834" s="308"/>
      <c r="AR834" s="313"/>
      <c r="AS834" s="304"/>
      <c r="AT834" s="308"/>
      <c r="AU834" s="308"/>
      <c r="AV834" s="304"/>
      <c r="AW834" s="308"/>
      <c r="AX834" s="308"/>
      <c r="AY834" s="304"/>
      <c r="AZ834" s="308"/>
      <c r="BA834" s="313"/>
      <c r="BB834" s="304"/>
      <c r="BC834" s="308"/>
      <c r="BD834" s="308"/>
    </row>
    <row r="835">
      <c r="A835" s="301"/>
      <c r="B835" s="301"/>
      <c r="C835" s="303"/>
      <c r="D835" s="301"/>
      <c r="E835" s="309"/>
      <c r="F835" s="301"/>
      <c r="G835" s="301"/>
      <c r="H835" s="309"/>
      <c r="I835" s="327"/>
      <c r="J835" s="328"/>
      <c r="K835" s="326"/>
      <c r="L835" s="309"/>
      <c r="M835" s="308"/>
      <c r="N835" s="309"/>
      <c r="O835" s="322"/>
      <c r="P835" s="308"/>
      <c r="Q835" s="311"/>
      <c r="R835" s="309"/>
      <c r="S835" s="308"/>
      <c r="T835" s="309"/>
      <c r="U835" s="309"/>
      <c r="V835" s="308"/>
      <c r="W835" s="309"/>
      <c r="X835" s="309"/>
      <c r="Y835" s="308"/>
      <c r="Z835" s="309"/>
      <c r="AA835" s="312"/>
      <c r="AB835" s="308"/>
      <c r="AC835" s="308"/>
      <c r="AD835" s="312"/>
      <c r="AE835" s="308"/>
      <c r="AF835" s="313"/>
      <c r="AG835" s="304"/>
      <c r="AH835" s="308"/>
      <c r="AI835" s="313"/>
      <c r="AJ835" s="304"/>
      <c r="AK835" s="308"/>
      <c r="AL835" s="308"/>
      <c r="AM835" s="304"/>
      <c r="AN835" s="308"/>
      <c r="AO835" s="313"/>
      <c r="AP835" s="304"/>
      <c r="AQ835" s="308"/>
      <c r="AR835" s="313"/>
      <c r="AS835" s="304"/>
      <c r="AT835" s="308"/>
      <c r="AU835" s="308"/>
      <c r="AV835" s="304"/>
      <c r="AW835" s="308"/>
      <c r="AX835" s="308"/>
      <c r="AY835" s="304"/>
      <c r="AZ835" s="308"/>
      <c r="BA835" s="313"/>
      <c r="BB835" s="304"/>
      <c r="BC835" s="308"/>
      <c r="BD835" s="308"/>
    </row>
    <row r="836">
      <c r="A836" s="301"/>
      <c r="B836" s="301"/>
      <c r="C836" s="303"/>
      <c r="D836" s="301"/>
      <c r="E836" s="309"/>
      <c r="F836" s="301"/>
      <c r="G836" s="301"/>
      <c r="H836" s="309"/>
      <c r="I836" s="327"/>
      <c r="J836" s="328"/>
      <c r="K836" s="326"/>
      <c r="L836" s="309"/>
      <c r="M836" s="308"/>
      <c r="N836" s="309"/>
      <c r="O836" s="322"/>
      <c r="P836" s="308"/>
      <c r="Q836" s="311"/>
      <c r="R836" s="309"/>
      <c r="S836" s="308"/>
      <c r="T836" s="309"/>
      <c r="U836" s="309"/>
      <c r="V836" s="308"/>
      <c r="W836" s="309"/>
      <c r="X836" s="309"/>
      <c r="Y836" s="308"/>
      <c r="Z836" s="309"/>
      <c r="AA836" s="312"/>
      <c r="AB836" s="308"/>
      <c r="AC836" s="308"/>
      <c r="AD836" s="312"/>
      <c r="AE836" s="308"/>
      <c r="AF836" s="313"/>
      <c r="AG836" s="304"/>
      <c r="AH836" s="308"/>
      <c r="AI836" s="313"/>
      <c r="AJ836" s="304"/>
      <c r="AK836" s="308"/>
      <c r="AL836" s="308"/>
      <c r="AM836" s="304"/>
      <c r="AN836" s="308"/>
      <c r="AO836" s="313"/>
      <c r="AP836" s="304"/>
      <c r="AQ836" s="308"/>
      <c r="AR836" s="313"/>
      <c r="AS836" s="304"/>
      <c r="AT836" s="308"/>
      <c r="AU836" s="308"/>
      <c r="AV836" s="304"/>
      <c r="AW836" s="308"/>
      <c r="AX836" s="308"/>
      <c r="AY836" s="304"/>
      <c r="AZ836" s="308"/>
      <c r="BA836" s="313"/>
      <c r="BB836" s="304"/>
      <c r="BC836" s="308"/>
      <c r="BD836" s="308"/>
    </row>
    <row r="837">
      <c r="A837" s="301"/>
      <c r="B837" s="301"/>
      <c r="C837" s="303"/>
      <c r="D837" s="301"/>
      <c r="E837" s="309"/>
      <c r="F837" s="301"/>
      <c r="G837" s="301"/>
      <c r="H837" s="309"/>
      <c r="I837" s="327"/>
      <c r="J837" s="328"/>
      <c r="K837" s="326"/>
      <c r="L837" s="309"/>
      <c r="M837" s="308"/>
      <c r="N837" s="309"/>
      <c r="O837" s="322"/>
      <c r="P837" s="308"/>
      <c r="Q837" s="311"/>
      <c r="R837" s="309"/>
      <c r="S837" s="308"/>
      <c r="T837" s="309"/>
      <c r="U837" s="309"/>
      <c r="V837" s="308"/>
      <c r="W837" s="309"/>
      <c r="X837" s="309"/>
      <c r="Y837" s="308"/>
      <c r="Z837" s="309"/>
      <c r="AA837" s="312"/>
      <c r="AB837" s="308"/>
      <c r="AC837" s="308"/>
      <c r="AD837" s="312"/>
      <c r="AE837" s="308"/>
      <c r="AF837" s="313"/>
      <c r="AG837" s="304"/>
      <c r="AH837" s="308"/>
      <c r="AI837" s="313"/>
      <c r="AJ837" s="304"/>
      <c r="AK837" s="308"/>
      <c r="AL837" s="308"/>
      <c r="AM837" s="304"/>
      <c r="AN837" s="308"/>
      <c r="AO837" s="313"/>
      <c r="AP837" s="304"/>
      <c r="AQ837" s="308"/>
      <c r="AR837" s="313"/>
      <c r="AS837" s="304"/>
      <c r="AT837" s="308"/>
      <c r="AU837" s="308"/>
      <c r="AV837" s="304"/>
      <c r="AW837" s="308"/>
      <c r="AX837" s="308"/>
      <c r="AY837" s="304"/>
      <c r="AZ837" s="308"/>
      <c r="BA837" s="313"/>
      <c r="BB837" s="304"/>
      <c r="BC837" s="308"/>
      <c r="BD837" s="308"/>
    </row>
    <row r="838">
      <c r="A838" s="301"/>
      <c r="B838" s="301"/>
      <c r="C838" s="303"/>
      <c r="D838" s="301"/>
      <c r="E838" s="309"/>
      <c r="F838" s="301"/>
      <c r="G838" s="301"/>
      <c r="H838" s="309"/>
      <c r="I838" s="327"/>
      <c r="J838" s="328"/>
      <c r="K838" s="326"/>
      <c r="L838" s="309"/>
      <c r="M838" s="308"/>
      <c r="N838" s="309"/>
      <c r="O838" s="322"/>
      <c r="P838" s="308"/>
      <c r="Q838" s="311"/>
      <c r="R838" s="309"/>
      <c r="S838" s="308"/>
      <c r="T838" s="309"/>
      <c r="U838" s="309"/>
      <c r="V838" s="308"/>
      <c r="W838" s="309"/>
      <c r="X838" s="309"/>
      <c r="Y838" s="308"/>
      <c r="Z838" s="309"/>
      <c r="AA838" s="312"/>
      <c r="AB838" s="308"/>
      <c r="AC838" s="308"/>
      <c r="AD838" s="312"/>
      <c r="AE838" s="308"/>
      <c r="AF838" s="313"/>
      <c r="AG838" s="304"/>
      <c r="AH838" s="308"/>
      <c r="AI838" s="313"/>
      <c r="AJ838" s="304"/>
      <c r="AK838" s="308"/>
      <c r="AL838" s="308"/>
      <c r="AM838" s="304"/>
      <c r="AN838" s="308"/>
      <c r="AO838" s="313"/>
      <c r="AP838" s="304"/>
      <c r="AQ838" s="308"/>
      <c r="AR838" s="313"/>
      <c r="AS838" s="304"/>
      <c r="AT838" s="308"/>
      <c r="AU838" s="308"/>
      <c r="AV838" s="304"/>
      <c r="AW838" s="308"/>
      <c r="AX838" s="308"/>
      <c r="AY838" s="304"/>
      <c r="AZ838" s="308"/>
      <c r="BA838" s="313"/>
      <c r="BB838" s="304"/>
      <c r="BC838" s="308"/>
      <c r="BD838" s="308"/>
    </row>
    <row r="839">
      <c r="A839" s="301"/>
      <c r="B839" s="301"/>
      <c r="C839" s="303"/>
      <c r="D839" s="301"/>
      <c r="E839" s="309"/>
      <c r="F839" s="301"/>
      <c r="G839" s="301"/>
      <c r="H839" s="309"/>
      <c r="I839" s="327"/>
      <c r="J839" s="328"/>
      <c r="K839" s="326"/>
      <c r="L839" s="309"/>
      <c r="M839" s="308"/>
      <c r="N839" s="309"/>
      <c r="O839" s="322"/>
      <c r="P839" s="308"/>
      <c r="Q839" s="311"/>
      <c r="R839" s="309"/>
      <c r="S839" s="308"/>
      <c r="T839" s="309"/>
      <c r="U839" s="309"/>
      <c r="V839" s="308"/>
      <c r="W839" s="309"/>
      <c r="X839" s="309"/>
      <c r="Y839" s="308"/>
      <c r="Z839" s="309"/>
      <c r="AA839" s="312"/>
      <c r="AB839" s="308"/>
      <c r="AC839" s="308"/>
      <c r="AD839" s="312"/>
      <c r="AE839" s="308"/>
      <c r="AF839" s="313"/>
      <c r="AG839" s="304"/>
      <c r="AH839" s="308"/>
      <c r="AI839" s="313"/>
      <c r="AJ839" s="304"/>
      <c r="AK839" s="308"/>
      <c r="AL839" s="308"/>
      <c r="AM839" s="304"/>
      <c r="AN839" s="308"/>
      <c r="AO839" s="313"/>
      <c r="AP839" s="304"/>
      <c r="AQ839" s="308"/>
      <c r="AR839" s="313"/>
      <c r="AS839" s="304"/>
      <c r="AT839" s="308"/>
      <c r="AU839" s="308"/>
      <c r="AV839" s="304"/>
      <c r="AW839" s="308"/>
      <c r="AX839" s="308"/>
      <c r="AY839" s="304"/>
      <c r="AZ839" s="308"/>
      <c r="BA839" s="313"/>
      <c r="BB839" s="304"/>
      <c r="BC839" s="308"/>
      <c r="BD839" s="308"/>
    </row>
    <row r="840">
      <c r="A840" s="301"/>
      <c r="B840" s="301"/>
      <c r="C840" s="303"/>
      <c r="D840" s="301"/>
      <c r="E840" s="309"/>
      <c r="F840" s="301"/>
      <c r="G840" s="301"/>
      <c r="H840" s="309"/>
      <c r="I840" s="327"/>
      <c r="J840" s="328"/>
      <c r="K840" s="326"/>
      <c r="L840" s="309"/>
      <c r="M840" s="308"/>
      <c r="N840" s="309"/>
      <c r="O840" s="322"/>
      <c r="P840" s="308"/>
      <c r="Q840" s="311"/>
      <c r="R840" s="309"/>
      <c r="S840" s="308"/>
      <c r="T840" s="309"/>
      <c r="U840" s="309"/>
      <c r="V840" s="308"/>
      <c r="W840" s="309"/>
      <c r="X840" s="309"/>
      <c r="Y840" s="308"/>
      <c r="Z840" s="309"/>
      <c r="AA840" s="312"/>
      <c r="AB840" s="308"/>
      <c r="AC840" s="308"/>
      <c r="AD840" s="312"/>
      <c r="AE840" s="308"/>
      <c r="AF840" s="313"/>
      <c r="AG840" s="304"/>
      <c r="AH840" s="308"/>
      <c r="AI840" s="313"/>
      <c r="AJ840" s="304"/>
      <c r="AK840" s="308"/>
      <c r="AL840" s="308"/>
      <c r="AM840" s="304"/>
      <c r="AN840" s="308"/>
      <c r="AO840" s="313"/>
      <c r="AP840" s="304"/>
      <c r="AQ840" s="308"/>
      <c r="AR840" s="313"/>
      <c r="AS840" s="304"/>
      <c r="AT840" s="308"/>
      <c r="AU840" s="308"/>
      <c r="AV840" s="304"/>
      <c r="AW840" s="308"/>
      <c r="AX840" s="308"/>
      <c r="AY840" s="304"/>
      <c r="AZ840" s="308"/>
      <c r="BA840" s="313"/>
      <c r="BB840" s="304"/>
      <c r="BC840" s="308"/>
      <c r="BD840" s="308"/>
    </row>
    <row r="841">
      <c r="A841" s="301"/>
      <c r="B841" s="301"/>
      <c r="C841" s="303"/>
      <c r="D841" s="301"/>
      <c r="E841" s="309"/>
      <c r="F841" s="301"/>
      <c r="G841" s="301"/>
      <c r="H841" s="309"/>
      <c r="I841" s="327"/>
      <c r="J841" s="328"/>
      <c r="K841" s="326"/>
      <c r="L841" s="309"/>
      <c r="M841" s="308"/>
      <c r="N841" s="309"/>
      <c r="O841" s="322"/>
      <c r="P841" s="308"/>
      <c r="Q841" s="311"/>
      <c r="R841" s="309"/>
      <c r="S841" s="308"/>
      <c r="T841" s="309"/>
      <c r="U841" s="309"/>
      <c r="V841" s="308"/>
      <c r="W841" s="309"/>
      <c r="X841" s="309"/>
      <c r="Y841" s="308"/>
      <c r="Z841" s="309"/>
      <c r="AA841" s="312"/>
      <c r="AB841" s="308"/>
      <c r="AC841" s="308"/>
      <c r="AD841" s="312"/>
      <c r="AE841" s="308"/>
      <c r="AF841" s="313"/>
      <c r="AG841" s="304"/>
      <c r="AH841" s="308"/>
      <c r="AI841" s="313"/>
      <c r="AJ841" s="304"/>
      <c r="AK841" s="308"/>
      <c r="AL841" s="308"/>
      <c r="AM841" s="304"/>
      <c r="AN841" s="308"/>
      <c r="AO841" s="313"/>
      <c r="AP841" s="304"/>
      <c r="AQ841" s="308"/>
      <c r="AR841" s="313"/>
      <c r="AS841" s="304"/>
      <c r="AT841" s="308"/>
      <c r="AU841" s="308"/>
      <c r="AV841" s="304"/>
      <c r="AW841" s="308"/>
      <c r="AX841" s="308"/>
      <c r="AY841" s="304"/>
      <c r="AZ841" s="308"/>
      <c r="BA841" s="313"/>
      <c r="BB841" s="304"/>
      <c r="BC841" s="308"/>
      <c r="BD841" s="308"/>
    </row>
    <row r="842">
      <c r="A842" s="301"/>
      <c r="B842" s="301"/>
      <c r="C842" s="303"/>
      <c r="D842" s="301"/>
      <c r="E842" s="309"/>
      <c r="F842" s="301"/>
      <c r="G842" s="301"/>
      <c r="H842" s="309"/>
      <c r="I842" s="327"/>
      <c r="J842" s="328"/>
      <c r="K842" s="326"/>
      <c r="L842" s="309"/>
      <c r="M842" s="308"/>
      <c r="N842" s="309"/>
      <c r="O842" s="322"/>
      <c r="P842" s="308"/>
      <c r="Q842" s="311"/>
      <c r="R842" s="309"/>
      <c r="S842" s="308"/>
      <c r="T842" s="309"/>
      <c r="U842" s="309"/>
      <c r="V842" s="308"/>
      <c r="W842" s="309"/>
      <c r="X842" s="309"/>
      <c r="Y842" s="308"/>
      <c r="Z842" s="309"/>
      <c r="AA842" s="312"/>
      <c r="AB842" s="308"/>
      <c r="AC842" s="308"/>
      <c r="AD842" s="312"/>
      <c r="AE842" s="308"/>
      <c r="AF842" s="313"/>
      <c r="AG842" s="304"/>
      <c r="AH842" s="308"/>
      <c r="AI842" s="313"/>
      <c r="AJ842" s="304"/>
      <c r="AK842" s="308"/>
      <c r="AL842" s="308"/>
      <c r="AM842" s="304"/>
      <c r="AN842" s="308"/>
      <c r="AO842" s="313"/>
      <c r="AP842" s="304"/>
      <c r="AQ842" s="308"/>
      <c r="AR842" s="313"/>
      <c r="AS842" s="304"/>
      <c r="AT842" s="308"/>
      <c r="AU842" s="308"/>
      <c r="AV842" s="304"/>
      <c r="AW842" s="308"/>
      <c r="AX842" s="308"/>
      <c r="AY842" s="304"/>
      <c r="AZ842" s="308"/>
      <c r="BA842" s="313"/>
      <c r="BB842" s="304"/>
      <c r="BC842" s="308"/>
      <c r="BD842" s="308"/>
    </row>
    <row r="843">
      <c r="A843" s="301"/>
      <c r="B843" s="301"/>
      <c r="C843" s="303"/>
      <c r="D843" s="301"/>
      <c r="E843" s="309"/>
      <c r="F843" s="301"/>
      <c r="G843" s="301"/>
      <c r="H843" s="309"/>
      <c r="I843" s="327"/>
      <c r="J843" s="328"/>
      <c r="K843" s="326"/>
      <c r="L843" s="309"/>
      <c r="M843" s="308"/>
      <c r="N843" s="309"/>
      <c r="O843" s="322"/>
      <c r="P843" s="308"/>
      <c r="Q843" s="311"/>
      <c r="R843" s="309"/>
      <c r="S843" s="308"/>
      <c r="T843" s="309"/>
      <c r="U843" s="309"/>
      <c r="V843" s="308"/>
      <c r="W843" s="309"/>
      <c r="X843" s="309"/>
      <c r="Y843" s="308"/>
      <c r="Z843" s="309"/>
      <c r="AA843" s="312"/>
      <c r="AB843" s="308"/>
      <c r="AC843" s="308"/>
      <c r="AD843" s="312"/>
      <c r="AE843" s="308"/>
      <c r="AF843" s="313"/>
      <c r="AG843" s="304"/>
      <c r="AH843" s="308"/>
      <c r="AI843" s="313"/>
      <c r="AJ843" s="304"/>
      <c r="AK843" s="308"/>
      <c r="AL843" s="308"/>
      <c r="AM843" s="304"/>
      <c r="AN843" s="308"/>
      <c r="AO843" s="313"/>
      <c r="AP843" s="304"/>
      <c r="AQ843" s="308"/>
      <c r="AR843" s="313"/>
      <c r="AS843" s="304"/>
      <c r="AT843" s="308"/>
      <c r="AU843" s="308"/>
      <c r="AV843" s="304"/>
      <c r="AW843" s="308"/>
      <c r="AX843" s="308"/>
      <c r="AY843" s="304"/>
      <c r="AZ843" s="308"/>
      <c r="BA843" s="313"/>
      <c r="BB843" s="304"/>
      <c r="BC843" s="308"/>
      <c r="BD843" s="308"/>
    </row>
    <row r="844">
      <c r="A844" s="301"/>
      <c r="B844" s="301"/>
      <c r="C844" s="303"/>
      <c r="D844" s="301"/>
      <c r="E844" s="309"/>
      <c r="F844" s="301"/>
      <c r="G844" s="301"/>
      <c r="H844" s="309"/>
      <c r="I844" s="327"/>
      <c r="J844" s="328"/>
      <c r="K844" s="326"/>
      <c r="L844" s="309"/>
      <c r="M844" s="308"/>
      <c r="N844" s="309"/>
      <c r="O844" s="322"/>
      <c r="P844" s="308"/>
      <c r="Q844" s="311"/>
      <c r="R844" s="309"/>
      <c r="S844" s="308"/>
      <c r="T844" s="309"/>
      <c r="U844" s="309"/>
      <c r="V844" s="308"/>
      <c r="W844" s="309"/>
      <c r="X844" s="309"/>
      <c r="Y844" s="308"/>
      <c r="Z844" s="309"/>
      <c r="AA844" s="312"/>
      <c r="AB844" s="308"/>
      <c r="AC844" s="308"/>
      <c r="AD844" s="312"/>
      <c r="AE844" s="308"/>
      <c r="AF844" s="313"/>
      <c r="AG844" s="304"/>
      <c r="AH844" s="308"/>
      <c r="AI844" s="313"/>
      <c r="AJ844" s="304"/>
      <c r="AK844" s="308"/>
      <c r="AL844" s="308"/>
      <c r="AM844" s="304"/>
      <c r="AN844" s="308"/>
      <c r="AO844" s="313"/>
      <c r="AP844" s="304"/>
      <c r="AQ844" s="308"/>
      <c r="AR844" s="313"/>
      <c r="AS844" s="304"/>
      <c r="AT844" s="308"/>
      <c r="AU844" s="308"/>
      <c r="AV844" s="304"/>
      <c r="AW844" s="308"/>
      <c r="AX844" s="308"/>
      <c r="AY844" s="304"/>
      <c r="AZ844" s="308"/>
      <c r="BA844" s="313"/>
      <c r="BB844" s="304"/>
      <c r="BC844" s="308"/>
      <c r="BD844" s="308"/>
    </row>
    <row r="845">
      <c r="A845" s="301"/>
      <c r="B845" s="301"/>
      <c r="C845" s="303"/>
      <c r="D845" s="301"/>
      <c r="E845" s="309"/>
      <c r="F845" s="301"/>
      <c r="G845" s="301"/>
      <c r="H845" s="309"/>
      <c r="I845" s="327"/>
      <c r="J845" s="328"/>
      <c r="K845" s="326"/>
      <c r="L845" s="309"/>
      <c r="M845" s="308"/>
      <c r="N845" s="309"/>
      <c r="O845" s="322"/>
      <c r="P845" s="308"/>
      <c r="Q845" s="311"/>
      <c r="R845" s="309"/>
      <c r="S845" s="308"/>
      <c r="T845" s="309"/>
      <c r="U845" s="309"/>
      <c r="V845" s="308"/>
      <c r="W845" s="309"/>
      <c r="X845" s="309"/>
      <c r="Y845" s="308"/>
      <c r="Z845" s="309"/>
      <c r="AA845" s="312"/>
      <c r="AB845" s="308"/>
      <c r="AC845" s="308"/>
      <c r="AD845" s="312"/>
      <c r="AE845" s="308"/>
      <c r="AF845" s="313"/>
      <c r="AG845" s="304"/>
      <c r="AH845" s="308"/>
      <c r="AI845" s="313"/>
      <c r="AJ845" s="304"/>
      <c r="AK845" s="308"/>
      <c r="AL845" s="308"/>
      <c r="AM845" s="304"/>
      <c r="AN845" s="308"/>
      <c r="AO845" s="313"/>
      <c r="AP845" s="304"/>
      <c r="AQ845" s="308"/>
      <c r="AR845" s="313"/>
      <c r="AS845" s="304"/>
      <c r="AT845" s="308"/>
      <c r="AU845" s="308"/>
      <c r="AV845" s="304"/>
      <c r="AW845" s="308"/>
      <c r="AX845" s="308"/>
      <c r="AY845" s="304"/>
      <c r="AZ845" s="308"/>
      <c r="BA845" s="313"/>
      <c r="BB845" s="304"/>
      <c r="BC845" s="308"/>
      <c r="BD845" s="308"/>
    </row>
    <row r="846">
      <c r="A846" s="301"/>
      <c r="B846" s="301"/>
      <c r="C846" s="303"/>
      <c r="D846" s="301"/>
      <c r="E846" s="309"/>
      <c r="F846" s="301"/>
      <c r="G846" s="301"/>
      <c r="H846" s="309"/>
      <c r="I846" s="327"/>
      <c r="J846" s="328"/>
      <c r="K846" s="326"/>
      <c r="L846" s="309"/>
      <c r="M846" s="308"/>
      <c r="N846" s="309"/>
      <c r="O846" s="322"/>
      <c r="P846" s="308"/>
      <c r="Q846" s="311"/>
      <c r="R846" s="309"/>
      <c r="S846" s="308"/>
      <c r="T846" s="309"/>
      <c r="U846" s="309"/>
      <c r="V846" s="308"/>
      <c r="W846" s="309"/>
      <c r="X846" s="309"/>
      <c r="Y846" s="308"/>
      <c r="Z846" s="309"/>
      <c r="AA846" s="312"/>
      <c r="AB846" s="308"/>
      <c r="AC846" s="308"/>
      <c r="AD846" s="312"/>
      <c r="AE846" s="308"/>
      <c r="AF846" s="313"/>
      <c r="AG846" s="304"/>
      <c r="AH846" s="308"/>
      <c r="AI846" s="313"/>
      <c r="AJ846" s="304"/>
      <c r="AK846" s="308"/>
      <c r="AL846" s="308"/>
      <c r="AM846" s="304"/>
      <c r="AN846" s="308"/>
      <c r="AO846" s="313"/>
      <c r="AP846" s="304"/>
      <c r="AQ846" s="308"/>
      <c r="AR846" s="313"/>
      <c r="AS846" s="304"/>
      <c r="AT846" s="308"/>
      <c r="AU846" s="308"/>
      <c r="AV846" s="304"/>
      <c r="AW846" s="308"/>
      <c r="AX846" s="308"/>
      <c r="AY846" s="304"/>
      <c r="AZ846" s="308"/>
      <c r="BA846" s="313"/>
      <c r="BB846" s="304"/>
      <c r="BC846" s="308"/>
      <c r="BD846" s="308"/>
    </row>
    <row r="847">
      <c r="A847" s="301"/>
      <c r="B847" s="301"/>
      <c r="C847" s="303"/>
      <c r="D847" s="301"/>
      <c r="E847" s="309"/>
      <c r="F847" s="301"/>
      <c r="G847" s="301"/>
      <c r="H847" s="309"/>
      <c r="I847" s="327"/>
      <c r="J847" s="328"/>
      <c r="K847" s="326"/>
      <c r="L847" s="309"/>
      <c r="M847" s="308"/>
      <c r="N847" s="309"/>
      <c r="O847" s="322"/>
      <c r="P847" s="308"/>
      <c r="Q847" s="311"/>
      <c r="R847" s="309"/>
      <c r="S847" s="308"/>
      <c r="T847" s="309"/>
      <c r="U847" s="309"/>
      <c r="V847" s="308"/>
      <c r="W847" s="309"/>
      <c r="X847" s="309"/>
      <c r="Y847" s="308"/>
      <c r="Z847" s="309"/>
      <c r="AA847" s="312"/>
      <c r="AB847" s="308"/>
      <c r="AC847" s="308"/>
      <c r="AD847" s="312"/>
      <c r="AE847" s="308"/>
      <c r="AF847" s="313"/>
      <c r="AG847" s="304"/>
      <c r="AH847" s="308"/>
      <c r="AI847" s="313"/>
      <c r="AJ847" s="304"/>
      <c r="AK847" s="308"/>
      <c r="AL847" s="308"/>
      <c r="AM847" s="304"/>
      <c r="AN847" s="308"/>
      <c r="AO847" s="313"/>
      <c r="AP847" s="304"/>
      <c r="AQ847" s="308"/>
      <c r="AR847" s="313"/>
      <c r="AS847" s="304"/>
      <c r="AT847" s="308"/>
      <c r="AU847" s="308"/>
      <c r="AV847" s="304"/>
      <c r="AW847" s="308"/>
      <c r="AX847" s="308"/>
      <c r="AY847" s="304"/>
      <c r="AZ847" s="308"/>
      <c r="BA847" s="313"/>
      <c r="BB847" s="304"/>
      <c r="BC847" s="308"/>
      <c r="BD847" s="308"/>
    </row>
    <row r="848">
      <c r="A848" s="301"/>
      <c r="B848" s="301"/>
      <c r="C848" s="303"/>
      <c r="D848" s="301"/>
      <c r="E848" s="309"/>
      <c r="F848" s="301"/>
      <c r="G848" s="301"/>
      <c r="H848" s="309"/>
      <c r="I848" s="327"/>
      <c r="J848" s="328"/>
      <c r="K848" s="326"/>
      <c r="L848" s="309"/>
      <c r="M848" s="308"/>
      <c r="N848" s="309"/>
      <c r="O848" s="322"/>
      <c r="P848" s="308"/>
      <c r="Q848" s="311"/>
      <c r="R848" s="309"/>
      <c r="S848" s="308"/>
      <c r="T848" s="309"/>
      <c r="U848" s="309"/>
      <c r="V848" s="308"/>
      <c r="W848" s="309"/>
      <c r="X848" s="309"/>
      <c r="Y848" s="308"/>
      <c r="Z848" s="309"/>
      <c r="AA848" s="312"/>
      <c r="AB848" s="308"/>
      <c r="AC848" s="308"/>
      <c r="AD848" s="312"/>
      <c r="AE848" s="308"/>
      <c r="AF848" s="313"/>
      <c r="AG848" s="304"/>
      <c r="AH848" s="308"/>
      <c r="AI848" s="313"/>
      <c r="AJ848" s="304"/>
      <c r="AK848" s="308"/>
      <c r="AL848" s="308"/>
      <c r="AM848" s="304"/>
      <c r="AN848" s="308"/>
      <c r="AO848" s="313"/>
      <c r="AP848" s="304"/>
      <c r="AQ848" s="308"/>
      <c r="AR848" s="313"/>
      <c r="AS848" s="304"/>
      <c r="AT848" s="308"/>
      <c r="AU848" s="308"/>
      <c r="AV848" s="304"/>
      <c r="AW848" s="308"/>
      <c r="AX848" s="308"/>
      <c r="AY848" s="304"/>
      <c r="AZ848" s="308"/>
      <c r="BA848" s="313"/>
      <c r="BB848" s="304"/>
      <c r="BC848" s="308"/>
      <c r="BD848" s="308"/>
    </row>
    <row r="849">
      <c r="A849" s="301"/>
      <c r="B849" s="301"/>
      <c r="C849" s="303"/>
      <c r="D849" s="301"/>
      <c r="E849" s="309"/>
      <c r="F849" s="301"/>
      <c r="G849" s="301"/>
      <c r="H849" s="309"/>
      <c r="I849" s="327"/>
      <c r="J849" s="328"/>
      <c r="K849" s="326"/>
      <c r="L849" s="309"/>
      <c r="M849" s="308"/>
      <c r="N849" s="309"/>
      <c r="O849" s="322"/>
      <c r="P849" s="308"/>
      <c r="Q849" s="311"/>
      <c r="R849" s="309"/>
      <c r="S849" s="308"/>
      <c r="T849" s="309"/>
      <c r="U849" s="309"/>
      <c r="V849" s="308"/>
      <c r="W849" s="309"/>
      <c r="X849" s="309"/>
      <c r="Y849" s="308"/>
      <c r="Z849" s="309"/>
      <c r="AA849" s="312"/>
      <c r="AB849" s="308"/>
      <c r="AC849" s="308"/>
      <c r="AD849" s="312"/>
      <c r="AE849" s="308"/>
      <c r="AF849" s="313"/>
      <c r="AG849" s="304"/>
      <c r="AH849" s="308"/>
      <c r="AI849" s="313"/>
      <c r="AJ849" s="304"/>
      <c r="AK849" s="308"/>
      <c r="AL849" s="308"/>
      <c r="AM849" s="304"/>
      <c r="AN849" s="308"/>
      <c r="AO849" s="313"/>
      <c r="AP849" s="304"/>
      <c r="AQ849" s="308"/>
      <c r="AR849" s="313"/>
      <c r="AS849" s="304"/>
      <c r="AT849" s="308"/>
      <c r="AU849" s="308"/>
      <c r="AV849" s="304"/>
      <c r="AW849" s="308"/>
      <c r="AX849" s="308"/>
      <c r="AY849" s="304"/>
      <c r="AZ849" s="308"/>
      <c r="BA849" s="313"/>
      <c r="BB849" s="304"/>
      <c r="BC849" s="308"/>
      <c r="BD849" s="308"/>
    </row>
    <row r="850">
      <c r="A850" s="301"/>
      <c r="B850" s="301"/>
      <c r="C850" s="303"/>
      <c r="D850" s="301"/>
      <c r="E850" s="309"/>
      <c r="F850" s="301"/>
      <c r="G850" s="301"/>
      <c r="H850" s="309"/>
      <c r="I850" s="327"/>
      <c r="J850" s="328"/>
      <c r="K850" s="326"/>
      <c r="L850" s="309"/>
      <c r="M850" s="308"/>
      <c r="N850" s="309"/>
      <c r="O850" s="322"/>
      <c r="P850" s="308"/>
      <c r="Q850" s="311"/>
      <c r="R850" s="309"/>
      <c r="S850" s="308"/>
      <c r="T850" s="309"/>
      <c r="U850" s="309"/>
      <c r="V850" s="308"/>
      <c r="W850" s="309"/>
      <c r="X850" s="309"/>
      <c r="Y850" s="308"/>
      <c r="Z850" s="309"/>
      <c r="AA850" s="312"/>
      <c r="AB850" s="308"/>
      <c r="AC850" s="308"/>
      <c r="AD850" s="312"/>
      <c r="AE850" s="308"/>
      <c r="AF850" s="313"/>
      <c r="AG850" s="304"/>
      <c r="AH850" s="308"/>
      <c r="AI850" s="313"/>
      <c r="AJ850" s="304"/>
      <c r="AK850" s="308"/>
      <c r="AL850" s="308"/>
      <c r="AM850" s="304"/>
      <c r="AN850" s="308"/>
      <c r="AO850" s="313"/>
      <c r="AP850" s="304"/>
      <c r="AQ850" s="308"/>
      <c r="AR850" s="313"/>
      <c r="AS850" s="304"/>
      <c r="AT850" s="308"/>
      <c r="AU850" s="308"/>
      <c r="AV850" s="304"/>
      <c r="AW850" s="308"/>
      <c r="AX850" s="308"/>
      <c r="AY850" s="304"/>
      <c r="AZ850" s="308"/>
      <c r="BA850" s="313"/>
      <c r="BB850" s="304"/>
      <c r="BC850" s="308"/>
      <c r="BD850" s="308"/>
    </row>
    <row r="851">
      <c r="A851" s="301"/>
      <c r="B851" s="301"/>
      <c r="C851" s="303"/>
      <c r="D851" s="301"/>
      <c r="E851" s="309"/>
      <c r="F851" s="301"/>
      <c r="G851" s="301"/>
      <c r="H851" s="309"/>
      <c r="I851" s="327"/>
      <c r="J851" s="328"/>
      <c r="K851" s="326"/>
      <c r="L851" s="309"/>
      <c r="M851" s="308"/>
      <c r="N851" s="309"/>
      <c r="O851" s="322"/>
      <c r="P851" s="308"/>
      <c r="Q851" s="311"/>
      <c r="R851" s="309"/>
      <c r="S851" s="308"/>
      <c r="T851" s="309"/>
      <c r="U851" s="309"/>
      <c r="V851" s="308"/>
      <c r="W851" s="309"/>
      <c r="X851" s="309"/>
      <c r="Y851" s="308"/>
      <c r="Z851" s="309"/>
      <c r="AA851" s="312"/>
      <c r="AB851" s="308"/>
      <c r="AC851" s="308"/>
      <c r="AD851" s="312"/>
      <c r="AE851" s="308"/>
      <c r="AF851" s="313"/>
      <c r="AG851" s="304"/>
      <c r="AH851" s="308"/>
      <c r="AI851" s="313"/>
      <c r="AJ851" s="304"/>
      <c r="AK851" s="308"/>
      <c r="AL851" s="308"/>
      <c r="AM851" s="304"/>
      <c r="AN851" s="308"/>
      <c r="AO851" s="313"/>
      <c r="AP851" s="304"/>
      <c r="AQ851" s="308"/>
      <c r="AR851" s="313"/>
      <c r="AS851" s="304"/>
      <c r="AT851" s="308"/>
      <c r="AU851" s="308"/>
      <c r="AV851" s="304"/>
      <c r="AW851" s="308"/>
      <c r="AX851" s="308"/>
      <c r="AY851" s="304"/>
      <c r="AZ851" s="308"/>
      <c r="BA851" s="313"/>
      <c r="BB851" s="304"/>
      <c r="BC851" s="308"/>
      <c r="BD851" s="308"/>
    </row>
    <row r="852">
      <c r="A852" s="301"/>
      <c r="B852" s="301"/>
      <c r="C852" s="303"/>
      <c r="D852" s="301"/>
      <c r="E852" s="309"/>
      <c r="F852" s="301"/>
      <c r="G852" s="301"/>
      <c r="H852" s="309"/>
      <c r="I852" s="327"/>
      <c r="J852" s="328"/>
      <c r="K852" s="326"/>
      <c r="L852" s="309"/>
      <c r="M852" s="308"/>
      <c r="N852" s="309"/>
      <c r="O852" s="322"/>
      <c r="P852" s="308"/>
      <c r="Q852" s="311"/>
      <c r="R852" s="309"/>
      <c r="S852" s="308"/>
      <c r="T852" s="309"/>
      <c r="U852" s="309"/>
      <c r="V852" s="308"/>
      <c r="W852" s="309"/>
      <c r="X852" s="309"/>
      <c r="Y852" s="308"/>
      <c r="Z852" s="309"/>
      <c r="AA852" s="312"/>
      <c r="AB852" s="308"/>
      <c r="AC852" s="308"/>
      <c r="AD852" s="312"/>
      <c r="AE852" s="308"/>
      <c r="AF852" s="313"/>
      <c r="AG852" s="304"/>
      <c r="AH852" s="308"/>
      <c r="AI852" s="313"/>
      <c r="AJ852" s="304"/>
      <c r="AK852" s="308"/>
      <c r="AL852" s="308"/>
      <c r="AM852" s="304"/>
      <c r="AN852" s="308"/>
      <c r="AO852" s="313"/>
      <c r="AP852" s="304"/>
      <c r="AQ852" s="308"/>
      <c r="AR852" s="313"/>
      <c r="AS852" s="304"/>
      <c r="AT852" s="308"/>
      <c r="AU852" s="308"/>
      <c r="AV852" s="304"/>
      <c r="AW852" s="308"/>
      <c r="AX852" s="308"/>
      <c r="AY852" s="304"/>
      <c r="AZ852" s="308"/>
      <c r="BA852" s="313"/>
      <c r="BB852" s="304"/>
      <c r="BC852" s="308"/>
      <c r="BD852" s="308"/>
    </row>
    <row r="853">
      <c r="A853" s="301"/>
      <c r="B853" s="301"/>
      <c r="C853" s="303"/>
      <c r="D853" s="301"/>
      <c r="E853" s="309"/>
      <c r="F853" s="301"/>
      <c r="G853" s="301"/>
      <c r="H853" s="309"/>
      <c r="I853" s="327"/>
      <c r="J853" s="328"/>
      <c r="K853" s="326"/>
      <c r="L853" s="309"/>
      <c r="M853" s="308"/>
      <c r="N853" s="309"/>
      <c r="O853" s="322"/>
      <c r="P853" s="308"/>
      <c r="Q853" s="311"/>
      <c r="R853" s="309"/>
      <c r="S853" s="308"/>
      <c r="T853" s="309"/>
      <c r="U853" s="309"/>
      <c r="V853" s="308"/>
      <c r="W853" s="309"/>
      <c r="X853" s="309"/>
      <c r="Y853" s="308"/>
      <c r="Z853" s="309"/>
      <c r="AA853" s="312"/>
      <c r="AB853" s="308"/>
      <c r="AC853" s="308"/>
      <c r="AD853" s="312"/>
      <c r="AE853" s="308"/>
      <c r="AF853" s="313"/>
      <c r="AG853" s="304"/>
      <c r="AH853" s="308"/>
      <c r="AI853" s="313"/>
      <c r="AJ853" s="304"/>
      <c r="AK853" s="308"/>
      <c r="AL853" s="308"/>
      <c r="AM853" s="304"/>
      <c r="AN853" s="308"/>
      <c r="AO853" s="313"/>
      <c r="AP853" s="304"/>
      <c r="AQ853" s="308"/>
      <c r="AR853" s="313"/>
      <c r="AS853" s="304"/>
      <c r="AT853" s="308"/>
      <c r="AU853" s="308"/>
      <c r="AV853" s="304"/>
      <c r="AW853" s="308"/>
      <c r="AX853" s="308"/>
      <c r="AY853" s="304"/>
      <c r="AZ853" s="308"/>
      <c r="BA853" s="313"/>
      <c r="BB853" s="304"/>
      <c r="BC853" s="308"/>
      <c r="BD853" s="308"/>
    </row>
    <row r="854">
      <c r="A854" s="301"/>
      <c r="B854" s="301"/>
      <c r="C854" s="303"/>
      <c r="D854" s="301"/>
      <c r="E854" s="309"/>
      <c r="F854" s="301"/>
      <c r="G854" s="301"/>
      <c r="H854" s="309"/>
      <c r="I854" s="327"/>
      <c r="J854" s="328"/>
      <c r="K854" s="326"/>
      <c r="L854" s="309"/>
      <c r="M854" s="308"/>
      <c r="N854" s="309"/>
      <c r="O854" s="322"/>
      <c r="P854" s="308"/>
      <c r="Q854" s="311"/>
      <c r="R854" s="309"/>
      <c r="S854" s="308"/>
      <c r="T854" s="309"/>
      <c r="U854" s="309"/>
      <c r="V854" s="308"/>
      <c r="W854" s="309"/>
      <c r="X854" s="309"/>
      <c r="Y854" s="308"/>
      <c r="Z854" s="309"/>
      <c r="AA854" s="312"/>
      <c r="AB854" s="308"/>
      <c r="AC854" s="308"/>
      <c r="AD854" s="312"/>
      <c r="AE854" s="308"/>
      <c r="AF854" s="313"/>
      <c r="AG854" s="304"/>
      <c r="AH854" s="308"/>
      <c r="AI854" s="313"/>
      <c r="AJ854" s="304"/>
      <c r="AK854" s="308"/>
      <c r="AL854" s="308"/>
      <c r="AM854" s="304"/>
      <c r="AN854" s="308"/>
      <c r="AO854" s="313"/>
      <c r="AP854" s="304"/>
      <c r="AQ854" s="308"/>
      <c r="AR854" s="313"/>
      <c r="AS854" s="304"/>
      <c r="AT854" s="308"/>
      <c r="AU854" s="308"/>
      <c r="AV854" s="304"/>
      <c r="AW854" s="308"/>
      <c r="AX854" s="308"/>
      <c r="AY854" s="304"/>
      <c r="AZ854" s="308"/>
      <c r="BA854" s="313"/>
      <c r="BB854" s="304"/>
      <c r="BC854" s="308"/>
      <c r="BD854" s="308"/>
    </row>
    <row r="855">
      <c r="A855" s="301"/>
      <c r="B855" s="301"/>
      <c r="C855" s="303"/>
      <c r="D855" s="301"/>
      <c r="E855" s="309"/>
      <c r="F855" s="301"/>
      <c r="G855" s="301"/>
      <c r="H855" s="309"/>
      <c r="I855" s="327"/>
      <c r="J855" s="328"/>
      <c r="K855" s="326"/>
      <c r="L855" s="309"/>
      <c r="M855" s="308"/>
      <c r="N855" s="309"/>
      <c r="O855" s="322"/>
      <c r="P855" s="308"/>
      <c r="Q855" s="311"/>
      <c r="R855" s="309"/>
      <c r="S855" s="308"/>
      <c r="T855" s="309"/>
      <c r="U855" s="309"/>
      <c r="V855" s="308"/>
      <c r="W855" s="309"/>
      <c r="X855" s="309"/>
      <c r="Y855" s="308"/>
      <c r="Z855" s="309"/>
      <c r="AA855" s="312"/>
      <c r="AB855" s="308"/>
      <c r="AC855" s="308"/>
      <c r="AD855" s="312"/>
      <c r="AE855" s="308"/>
      <c r="AF855" s="313"/>
      <c r="AG855" s="304"/>
      <c r="AH855" s="308"/>
      <c r="AI855" s="313"/>
      <c r="AJ855" s="304"/>
      <c r="AK855" s="308"/>
      <c r="AL855" s="308"/>
      <c r="AM855" s="304"/>
      <c r="AN855" s="308"/>
      <c r="AO855" s="313"/>
      <c r="AP855" s="304"/>
      <c r="AQ855" s="308"/>
      <c r="AR855" s="313"/>
      <c r="AS855" s="304"/>
      <c r="AT855" s="308"/>
      <c r="AU855" s="308"/>
      <c r="AV855" s="304"/>
      <c r="AW855" s="308"/>
      <c r="AX855" s="308"/>
      <c r="AY855" s="304"/>
      <c r="AZ855" s="308"/>
      <c r="BA855" s="313"/>
      <c r="BB855" s="304"/>
      <c r="BC855" s="308"/>
      <c r="BD855" s="308"/>
    </row>
    <row r="856">
      <c r="A856" s="301"/>
      <c r="B856" s="301"/>
      <c r="C856" s="303"/>
      <c r="D856" s="301"/>
      <c r="E856" s="309"/>
      <c r="F856" s="301"/>
      <c r="G856" s="301"/>
      <c r="H856" s="309"/>
      <c r="I856" s="327"/>
      <c r="J856" s="328"/>
      <c r="K856" s="326"/>
      <c r="L856" s="309"/>
      <c r="M856" s="308"/>
      <c r="N856" s="309"/>
      <c r="O856" s="322"/>
      <c r="P856" s="308"/>
      <c r="Q856" s="311"/>
      <c r="R856" s="309"/>
      <c r="S856" s="308"/>
      <c r="T856" s="309"/>
      <c r="U856" s="309"/>
      <c r="V856" s="308"/>
      <c r="W856" s="309"/>
      <c r="X856" s="309"/>
      <c r="Y856" s="308"/>
      <c r="Z856" s="309"/>
      <c r="AA856" s="312"/>
      <c r="AB856" s="308"/>
      <c r="AC856" s="308"/>
      <c r="AD856" s="312"/>
      <c r="AE856" s="308"/>
      <c r="AF856" s="313"/>
      <c r="AG856" s="304"/>
      <c r="AH856" s="308"/>
      <c r="AI856" s="313"/>
      <c r="AJ856" s="304"/>
      <c r="AK856" s="308"/>
      <c r="AL856" s="308"/>
      <c r="AM856" s="304"/>
      <c r="AN856" s="308"/>
      <c r="AO856" s="313"/>
      <c r="AP856" s="304"/>
      <c r="AQ856" s="308"/>
      <c r="AR856" s="313"/>
      <c r="AS856" s="304"/>
      <c r="AT856" s="308"/>
      <c r="AU856" s="308"/>
      <c r="AV856" s="304"/>
      <c r="AW856" s="308"/>
      <c r="AX856" s="308"/>
      <c r="AY856" s="304"/>
      <c r="AZ856" s="308"/>
      <c r="BA856" s="313"/>
      <c r="BB856" s="304"/>
      <c r="BC856" s="308"/>
      <c r="BD856" s="308"/>
    </row>
    <row r="857">
      <c r="A857" s="301"/>
      <c r="B857" s="301"/>
      <c r="C857" s="303"/>
      <c r="D857" s="301"/>
      <c r="E857" s="309"/>
      <c r="F857" s="301"/>
      <c r="G857" s="301"/>
      <c r="H857" s="309"/>
      <c r="I857" s="327"/>
      <c r="J857" s="328"/>
      <c r="K857" s="326"/>
      <c r="L857" s="309"/>
      <c r="M857" s="308"/>
      <c r="N857" s="309"/>
      <c r="O857" s="322"/>
      <c r="P857" s="308"/>
      <c r="Q857" s="311"/>
      <c r="R857" s="309"/>
      <c r="S857" s="308"/>
      <c r="T857" s="309"/>
      <c r="U857" s="309"/>
      <c r="V857" s="308"/>
      <c r="W857" s="309"/>
      <c r="X857" s="309"/>
      <c r="Y857" s="308"/>
      <c r="Z857" s="309"/>
      <c r="AA857" s="312"/>
      <c r="AB857" s="308"/>
      <c r="AC857" s="308"/>
      <c r="AD857" s="312"/>
      <c r="AE857" s="308"/>
      <c r="AF857" s="313"/>
      <c r="AG857" s="304"/>
      <c r="AH857" s="308"/>
      <c r="AI857" s="313"/>
      <c r="AJ857" s="304"/>
      <c r="AK857" s="308"/>
      <c r="AL857" s="308"/>
      <c r="AM857" s="304"/>
      <c r="AN857" s="308"/>
      <c r="AO857" s="313"/>
      <c r="AP857" s="304"/>
      <c r="AQ857" s="308"/>
      <c r="AR857" s="313"/>
      <c r="AS857" s="304"/>
      <c r="AT857" s="308"/>
      <c r="AU857" s="308"/>
      <c r="AV857" s="304"/>
      <c r="AW857" s="308"/>
      <c r="AX857" s="308"/>
      <c r="AY857" s="304"/>
      <c r="AZ857" s="308"/>
      <c r="BA857" s="313"/>
      <c r="BB857" s="304"/>
      <c r="BC857" s="308"/>
      <c r="BD857" s="308"/>
    </row>
    <row r="858">
      <c r="A858" s="301"/>
      <c r="B858" s="301"/>
      <c r="C858" s="303"/>
      <c r="D858" s="301"/>
      <c r="E858" s="309"/>
      <c r="F858" s="301"/>
      <c r="G858" s="301"/>
      <c r="H858" s="309"/>
      <c r="I858" s="327"/>
      <c r="J858" s="328"/>
      <c r="K858" s="326"/>
      <c r="L858" s="309"/>
      <c r="M858" s="308"/>
      <c r="N858" s="309"/>
      <c r="O858" s="322"/>
      <c r="P858" s="308"/>
      <c r="Q858" s="311"/>
      <c r="R858" s="309"/>
      <c r="S858" s="308"/>
      <c r="T858" s="309"/>
      <c r="U858" s="309"/>
      <c r="V858" s="308"/>
      <c r="W858" s="309"/>
      <c r="X858" s="309"/>
      <c r="Y858" s="308"/>
      <c r="Z858" s="309"/>
      <c r="AA858" s="312"/>
      <c r="AB858" s="308"/>
      <c r="AC858" s="308"/>
      <c r="AD858" s="312"/>
      <c r="AE858" s="308"/>
      <c r="AF858" s="313"/>
      <c r="AG858" s="304"/>
      <c r="AH858" s="308"/>
      <c r="AI858" s="313"/>
      <c r="AJ858" s="304"/>
      <c r="AK858" s="308"/>
      <c r="AL858" s="308"/>
      <c r="AM858" s="304"/>
      <c r="AN858" s="308"/>
      <c r="AO858" s="313"/>
      <c r="AP858" s="304"/>
      <c r="AQ858" s="308"/>
      <c r="AR858" s="313"/>
      <c r="AS858" s="304"/>
      <c r="AT858" s="308"/>
      <c r="AU858" s="308"/>
      <c r="AV858" s="304"/>
      <c r="AW858" s="308"/>
      <c r="AX858" s="308"/>
      <c r="AY858" s="304"/>
      <c r="AZ858" s="308"/>
      <c r="BA858" s="313"/>
      <c r="BB858" s="304"/>
      <c r="BC858" s="308"/>
      <c r="BD858" s="308"/>
    </row>
    <row r="859">
      <c r="A859" s="301"/>
      <c r="B859" s="301"/>
      <c r="C859" s="303"/>
      <c r="D859" s="301"/>
      <c r="E859" s="309"/>
      <c r="F859" s="301"/>
      <c r="G859" s="301"/>
      <c r="H859" s="309"/>
      <c r="I859" s="327"/>
      <c r="J859" s="328"/>
      <c r="K859" s="326"/>
      <c r="L859" s="309"/>
      <c r="M859" s="308"/>
      <c r="N859" s="309"/>
      <c r="O859" s="322"/>
      <c r="P859" s="308"/>
      <c r="Q859" s="311"/>
      <c r="R859" s="309"/>
      <c r="S859" s="308"/>
      <c r="T859" s="309"/>
      <c r="U859" s="309"/>
      <c r="V859" s="308"/>
      <c r="W859" s="309"/>
      <c r="X859" s="309"/>
      <c r="Y859" s="308"/>
      <c r="Z859" s="309"/>
      <c r="AA859" s="312"/>
      <c r="AB859" s="308"/>
      <c r="AC859" s="308"/>
      <c r="AD859" s="312"/>
      <c r="AE859" s="308"/>
      <c r="AF859" s="313"/>
      <c r="AG859" s="304"/>
      <c r="AH859" s="308"/>
      <c r="AI859" s="313"/>
      <c r="AJ859" s="304"/>
      <c r="AK859" s="308"/>
      <c r="AL859" s="308"/>
      <c r="AM859" s="304"/>
      <c r="AN859" s="308"/>
      <c r="AO859" s="313"/>
      <c r="AP859" s="304"/>
      <c r="AQ859" s="308"/>
      <c r="AR859" s="313"/>
      <c r="AS859" s="304"/>
      <c r="AT859" s="308"/>
      <c r="AU859" s="308"/>
      <c r="AV859" s="304"/>
      <c r="AW859" s="308"/>
      <c r="AX859" s="308"/>
      <c r="AY859" s="304"/>
      <c r="AZ859" s="308"/>
      <c r="BA859" s="313"/>
      <c r="BB859" s="304"/>
      <c r="BC859" s="308"/>
      <c r="BD859" s="308"/>
    </row>
    <row r="860">
      <c r="A860" s="301"/>
      <c r="B860" s="301"/>
      <c r="C860" s="303"/>
      <c r="D860" s="301"/>
      <c r="E860" s="309"/>
      <c r="F860" s="301"/>
      <c r="G860" s="301"/>
      <c r="H860" s="309"/>
      <c r="I860" s="327"/>
      <c r="J860" s="328"/>
      <c r="K860" s="326"/>
      <c r="L860" s="309"/>
      <c r="M860" s="308"/>
      <c r="N860" s="309"/>
      <c r="O860" s="322"/>
      <c r="P860" s="308"/>
      <c r="Q860" s="311"/>
      <c r="R860" s="309"/>
      <c r="S860" s="308"/>
      <c r="T860" s="309"/>
      <c r="U860" s="309"/>
      <c r="V860" s="308"/>
      <c r="W860" s="309"/>
      <c r="X860" s="309"/>
      <c r="Y860" s="308"/>
      <c r="Z860" s="309"/>
      <c r="AA860" s="312"/>
      <c r="AB860" s="308"/>
      <c r="AC860" s="308"/>
      <c r="AD860" s="312"/>
      <c r="AE860" s="308"/>
      <c r="AF860" s="313"/>
      <c r="AG860" s="304"/>
      <c r="AH860" s="308"/>
      <c r="AI860" s="313"/>
      <c r="AJ860" s="304"/>
      <c r="AK860" s="308"/>
      <c r="AL860" s="308"/>
      <c r="AM860" s="304"/>
      <c r="AN860" s="308"/>
      <c r="AO860" s="313"/>
      <c r="AP860" s="304"/>
      <c r="AQ860" s="308"/>
      <c r="AR860" s="313"/>
      <c r="AS860" s="304"/>
      <c r="AT860" s="308"/>
      <c r="AU860" s="308"/>
      <c r="AV860" s="304"/>
      <c r="AW860" s="308"/>
      <c r="AX860" s="308"/>
      <c r="AY860" s="304"/>
      <c r="AZ860" s="308"/>
      <c r="BA860" s="313"/>
      <c r="BB860" s="304"/>
      <c r="BC860" s="308"/>
      <c r="BD860" s="308"/>
    </row>
    <row r="861">
      <c r="A861" s="301"/>
      <c r="B861" s="301"/>
      <c r="C861" s="303"/>
      <c r="D861" s="301"/>
      <c r="E861" s="309"/>
      <c r="F861" s="301"/>
      <c r="G861" s="301"/>
      <c r="H861" s="309"/>
      <c r="I861" s="327"/>
      <c r="J861" s="328"/>
      <c r="K861" s="326"/>
      <c r="L861" s="309"/>
      <c r="M861" s="308"/>
      <c r="N861" s="309"/>
      <c r="O861" s="322"/>
      <c r="P861" s="308"/>
      <c r="Q861" s="311"/>
      <c r="R861" s="309"/>
      <c r="S861" s="308"/>
      <c r="T861" s="309"/>
      <c r="U861" s="309"/>
      <c r="V861" s="308"/>
      <c r="W861" s="309"/>
      <c r="X861" s="309"/>
      <c r="Y861" s="308"/>
      <c r="Z861" s="309"/>
      <c r="AA861" s="312"/>
      <c r="AB861" s="308"/>
      <c r="AC861" s="308"/>
      <c r="AD861" s="312"/>
      <c r="AE861" s="308"/>
      <c r="AF861" s="313"/>
      <c r="AG861" s="304"/>
      <c r="AH861" s="308"/>
      <c r="AI861" s="313"/>
      <c r="AJ861" s="304"/>
      <c r="AK861" s="308"/>
      <c r="AL861" s="308"/>
      <c r="AM861" s="304"/>
      <c r="AN861" s="308"/>
      <c r="AO861" s="313"/>
      <c r="AP861" s="304"/>
      <c r="AQ861" s="308"/>
      <c r="AR861" s="313"/>
      <c r="AS861" s="304"/>
      <c r="AT861" s="308"/>
      <c r="AU861" s="308"/>
      <c r="AV861" s="304"/>
      <c r="AW861" s="308"/>
      <c r="AX861" s="308"/>
      <c r="AY861" s="304"/>
      <c r="AZ861" s="308"/>
      <c r="BA861" s="313"/>
      <c r="BB861" s="304"/>
      <c r="BC861" s="308"/>
      <c r="BD861" s="308"/>
    </row>
    <row r="862">
      <c r="A862" s="301"/>
      <c r="B862" s="301"/>
      <c r="C862" s="303"/>
      <c r="D862" s="301"/>
      <c r="E862" s="309"/>
      <c r="F862" s="301"/>
      <c r="G862" s="301"/>
      <c r="H862" s="309"/>
      <c r="I862" s="327"/>
      <c r="J862" s="328"/>
      <c r="K862" s="326"/>
      <c r="L862" s="309"/>
      <c r="M862" s="308"/>
      <c r="N862" s="309"/>
      <c r="O862" s="322"/>
      <c r="P862" s="308"/>
      <c r="Q862" s="311"/>
      <c r="R862" s="309"/>
      <c r="S862" s="308"/>
      <c r="T862" s="309"/>
      <c r="U862" s="309"/>
      <c r="V862" s="308"/>
      <c r="W862" s="309"/>
      <c r="X862" s="309"/>
      <c r="Y862" s="308"/>
      <c r="Z862" s="309"/>
      <c r="AA862" s="312"/>
      <c r="AB862" s="308"/>
      <c r="AC862" s="308"/>
      <c r="AD862" s="312"/>
      <c r="AE862" s="308"/>
      <c r="AF862" s="313"/>
      <c r="AG862" s="304"/>
      <c r="AH862" s="308"/>
      <c r="AI862" s="313"/>
      <c r="AJ862" s="304"/>
      <c r="AK862" s="308"/>
      <c r="AL862" s="308"/>
      <c r="AM862" s="304"/>
      <c r="AN862" s="308"/>
      <c r="AO862" s="313"/>
      <c r="AP862" s="304"/>
      <c r="AQ862" s="308"/>
      <c r="AR862" s="313"/>
      <c r="AS862" s="304"/>
      <c r="AT862" s="308"/>
      <c r="AU862" s="308"/>
      <c r="AV862" s="304"/>
      <c r="AW862" s="308"/>
      <c r="AX862" s="308"/>
      <c r="AY862" s="304"/>
      <c r="AZ862" s="308"/>
      <c r="BA862" s="313"/>
      <c r="BB862" s="304"/>
      <c r="BC862" s="308"/>
      <c r="BD862" s="308"/>
    </row>
    <row r="863">
      <c r="A863" s="301"/>
      <c r="B863" s="301"/>
      <c r="C863" s="303"/>
      <c r="D863" s="301"/>
      <c r="E863" s="309"/>
      <c r="F863" s="301"/>
      <c r="G863" s="301"/>
      <c r="H863" s="309"/>
      <c r="I863" s="327"/>
      <c r="J863" s="328"/>
      <c r="K863" s="326"/>
      <c r="L863" s="309"/>
      <c r="M863" s="308"/>
      <c r="N863" s="309"/>
      <c r="O863" s="322"/>
      <c r="P863" s="308"/>
      <c r="Q863" s="311"/>
      <c r="R863" s="309"/>
      <c r="S863" s="308"/>
      <c r="T863" s="309"/>
      <c r="U863" s="309"/>
      <c r="V863" s="308"/>
      <c r="W863" s="309"/>
      <c r="X863" s="309"/>
      <c r="Y863" s="308"/>
      <c r="Z863" s="309"/>
      <c r="AA863" s="312"/>
      <c r="AB863" s="308"/>
      <c r="AC863" s="308"/>
      <c r="AD863" s="312"/>
      <c r="AE863" s="308"/>
      <c r="AF863" s="313"/>
      <c r="AG863" s="304"/>
      <c r="AH863" s="308"/>
      <c r="AI863" s="313"/>
      <c r="AJ863" s="304"/>
      <c r="AK863" s="308"/>
      <c r="AL863" s="308"/>
      <c r="AM863" s="304"/>
      <c r="AN863" s="308"/>
      <c r="AO863" s="313"/>
      <c r="AP863" s="304"/>
      <c r="AQ863" s="308"/>
      <c r="AR863" s="313"/>
      <c r="AS863" s="304"/>
      <c r="AT863" s="308"/>
      <c r="AU863" s="308"/>
      <c r="AV863" s="304"/>
      <c r="AW863" s="308"/>
      <c r="AX863" s="308"/>
      <c r="AY863" s="304"/>
      <c r="AZ863" s="308"/>
      <c r="BA863" s="313"/>
      <c r="BB863" s="304"/>
      <c r="BC863" s="308"/>
      <c r="BD863" s="308"/>
    </row>
    <row r="864">
      <c r="A864" s="301"/>
      <c r="B864" s="301"/>
      <c r="C864" s="303"/>
      <c r="D864" s="301"/>
      <c r="E864" s="309"/>
      <c r="F864" s="301"/>
      <c r="G864" s="301"/>
      <c r="H864" s="309"/>
      <c r="I864" s="327"/>
      <c r="J864" s="328"/>
      <c r="K864" s="326"/>
      <c r="L864" s="309"/>
      <c r="M864" s="308"/>
      <c r="N864" s="309"/>
      <c r="O864" s="322"/>
      <c r="P864" s="308"/>
      <c r="Q864" s="311"/>
      <c r="R864" s="309"/>
      <c r="S864" s="308"/>
      <c r="T864" s="309"/>
      <c r="U864" s="309"/>
      <c r="V864" s="308"/>
      <c r="W864" s="309"/>
      <c r="X864" s="309"/>
      <c r="Y864" s="308"/>
      <c r="Z864" s="309"/>
      <c r="AA864" s="312"/>
      <c r="AB864" s="308"/>
      <c r="AC864" s="308"/>
      <c r="AD864" s="312"/>
      <c r="AE864" s="308"/>
      <c r="AF864" s="313"/>
      <c r="AG864" s="304"/>
      <c r="AH864" s="308"/>
      <c r="AI864" s="313"/>
      <c r="AJ864" s="304"/>
      <c r="AK864" s="308"/>
      <c r="AL864" s="308"/>
      <c r="AM864" s="304"/>
      <c r="AN864" s="308"/>
      <c r="AO864" s="313"/>
      <c r="AP864" s="304"/>
      <c r="AQ864" s="308"/>
      <c r="AR864" s="313"/>
      <c r="AS864" s="304"/>
      <c r="AT864" s="308"/>
      <c r="AU864" s="308"/>
      <c r="AV864" s="304"/>
      <c r="AW864" s="308"/>
      <c r="AX864" s="308"/>
      <c r="AY864" s="304"/>
      <c r="AZ864" s="308"/>
      <c r="BA864" s="313"/>
      <c r="BB864" s="304"/>
      <c r="BC864" s="308"/>
      <c r="BD864" s="308"/>
    </row>
    <row r="865">
      <c r="A865" s="301"/>
      <c r="B865" s="301"/>
      <c r="C865" s="303"/>
      <c r="D865" s="301"/>
      <c r="E865" s="309"/>
      <c r="F865" s="301"/>
      <c r="G865" s="301"/>
      <c r="H865" s="309"/>
      <c r="I865" s="327"/>
      <c r="J865" s="328"/>
      <c r="K865" s="326"/>
      <c r="L865" s="309"/>
      <c r="M865" s="308"/>
      <c r="N865" s="309"/>
      <c r="O865" s="322"/>
      <c r="P865" s="308"/>
      <c r="Q865" s="311"/>
      <c r="R865" s="309"/>
      <c r="S865" s="308"/>
      <c r="T865" s="309"/>
      <c r="U865" s="309"/>
      <c r="V865" s="308"/>
      <c r="W865" s="309"/>
      <c r="X865" s="309"/>
      <c r="Y865" s="308"/>
      <c r="Z865" s="309"/>
      <c r="AA865" s="312"/>
      <c r="AB865" s="308"/>
      <c r="AC865" s="308"/>
      <c r="AD865" s="312"/>
      <c r="AE865" s="308"/>
      <c r="AF865" s="313"/>
      <c r="AG865" s="304"/>
      <c r="AH865" s="308"/>
      <c r="AI865" s="313"/>
      <c r="AJ865" s="304"/>
      <c r="AK865" s="308"/>
      <c r="AL865" s="308"/>
      <c r="AM865" s="304"/>
      <c r="AN865" s="308"/>
      <c r="AO865" s="313"/>
      <c r="AP865" s="304"/>
      <c r="AQ865" s="308"/>
      <c r="AR865" s="313"/>
      <c r="AS865" s="304"/>
      <c r="AT865" s="308"/>
      <c r="AU865" s="308"/>
      <c r="AV865" s="304"/>
      <c r="AW865" s="308"/>
      <c r="AX865" s="308"/>
      <c r="AY865" s="304"/>
      <c r="AZ865" s="308"/>
      <c r="BA865" s="313"/>
      <c r="BB865" s="304"/>
      <c r="BC865" s="308"/>
      <c r="BD865" s="308"/>
    </row>
    <row r="866">
      <c r="A866" s="301"/>
      <c r="B866" s="301"/>
      <c r="C866" s="303"/>
      <c r="D866" s="301"/>
      <c r="E866" s="309"/>
      <c r="F866" s="301"/>
      <c r="G866" s="301"/>
      <c r="H866" s="309"/>
      <c r="I866" s="327"/>
      <c r="J866" s="328"/>
      <c r="K866" s="326"/>
      <c r="L866" s="309"/>
      <c r="M866" s="308"/>
      <c r="N866" s="309"/>
      <c r="O866" s="322"/>
      <c r="P866" s="308"/>
      <c r="Q866" s="311"/>
      <c r="R866" s="309"/>
      <c r="S866" s="308"/>
      <c r="T866" s="309"/>
      <c r="U866" s="309"/>
      <c r="V866" s="308"/>
      <c r="W866" s="309"/>
      <c r="X866" s="309"/>
      <c r="Y866" s="308"/>
      <c r="Z866" s="309"/>
      <c r="AA866" s="312"/>
      <c r="AB866" s="308"/>
      <c r="AC866" s="308"/>
      <c r="AD866" s="312"/>
      <c r="AE866" s="308"/>
      <c r="AF866" s="313"/>
      <c r="AG866" s="304"/>
      <c r="AH866" s="308"/>
      <c r="AI866" s="313"/>
      <c r="AJ866" s="304"/>
      <c r="AK866" s="308"/>
      <c r="AL866" s="308"/>
      <c r="AM866" s="304"/>
      <c r="AN866" s="308"/>
      <c r="AO866" s="313"/>
      <c r="AP866" s="304"/>
      <c r="AQ866" s="308"/>
      <c r="AR866" s="313"/>
      <c r="AS866" s="304"/>
      <c r="AT866" s="308"/>
      <c r="AU866" s="308"/>
      <c r="AV866" s="304"/>
      <c r="AW866" s="308"/>
      <c r="AX866" s="308"/>
      <c r="AY866" s="304"/>
      <c r="AZ866" s="308"/>
      <c r="BA866" s="313"/>
      <c r="BB866" s="304"/>
      <c r="BC866" s="308"/>
      <c r="BD866" s="308"/>
    </row>
    <row r="867">
      <c r="A867" s="301"/>
      <c r="B867" s="301"/>
      <c r="C867" s="303"/>
      <c r="D867" s="301"/>
      <c r="E867" s="309"/>
      <c r="F867" s="301"/>
      <c r="G867" s="301"/>
      <c r="H867" s="309"/>
      <c r="I867" s="327"/>
      <c r="J867" s="328"/>
      <c r="K867" s="326"/>
      <c r="L867" s="309"/>
      <c r="M867" s="308"/>
      <c r="N867" s="309"/>
      <c r="O867" s="322"/>
      <c r="P867" s="308"/>
      <c r="Q867" s="311"/>
      <c r="R867" s="309"/>
      <c r="S867" s="308"/>
      <c r="T867" s="309"/>
      <c r="U867" s="309"/>
      <c r="V867" s="308"/>
      <c r="W867" s="309"/>
      <c r="X867" s="309"/>
      <c r="Y867" s="308"/>
      <c r="Z867" s="309"/>
      <c r="AA867" s="312"/>
      <c r="AB867" s="308"/>
      <c r="AC867" s="308"/>
      <c r="AD867" s="312"/>
      <c r="AE867" s="308"/>
      <c r="AF867" s="313"/>
      <c r="AG867" s="304"/>
      <c r="AH867" s="308"/>
      <c r="AI867" s="313"/>
      <c r="AJ867" s="304"/>
      <c r="AK867" s="308"/>
      <c r="AL867" s="308"/>
      <c r="AM867" s="304"/>
      <c r="AN867" s="308"/>
      <c r="AO867" s="313"/>
      <c r="AP867" s="304"/>
      <c r="AQ867" s="308"/>
      <c r="AR867" s="313"/>
      <c r="AS867" s="304"/>
      <c r="AT867" s="308"/>
      <c r="AU867" s="308"/>
      <c r="AV867" s="304"/>
      <c r="AW867" s="308"/>
      <c r="AX867" s="308"/>
      <c r="AY867" s="304"/>
      <c r="AZ867" s="308"/>
      <c r="BA867" s="313"/>
      <c r="BB867" s="304"/>
      <c r="BC867" s="308"/>
      <c r="BD867" s="308"/>
    </row>
    <row r="868">
      <c r="A868" s="301"/>
      <c r="B868" s="301"/>
      <c r="C868" s="303"/>
      <c r="D868" s="301"/>
      <c r="E868" s="309"/>
      <c r="F868" s="301"/>
      <c r="G868" s="301"/>
      <c r="H868" s="309"/>
      <c r="I868" s="327"/>
      <c r="J868" s="328"/>
      <c r="K868" s="326"/>
      <c r="L868" s="309"/>
      <c r="M868" s="308"/>
      <c r="N868" s="309"/>
      <c r="O868" s="322"/>
      <c r="P868" s="308"/>
      <c r="Q868" s="311"/>
      <c r="R868" s="309"/>
      <c r="S868" s="308"/>
      <c r="T868" s="309"/>
      <c r="U868" s="309"/>
      <c r="V868" s="308"/>
      <c r="W868" s="309"/>
      <c r="X868" s="309"/>
      <c r="Y868" s="308"/>
      <c r="Z868" s="309"/>
      <c r="AA868" s="312"/>
      <c r="AB868" s="308"/>
      <c r="AC868" s="308"/>
      <c r="AD868" s="312"/>
      <c r="AE868" s="308"/>
      <c r="AF868" s="313"/>
      <c r="AG868" s="304"/>
      <c r="AH868" s="308"/>
      <c r="AI868" s="313"/>
      <c r="AJ868" s="304"/>
      <c r="AK868" s="308"/>
      <c r="AL868" s="308"/>
      <c r="AM868" s="304"/>
      <c r="AN868" s="308"/>
      <c r="AO868" s="313"/>
      <c r="AP868" s="304"/>
      <c r="AQ868" s="308"/>
      <c r="AR868" s="313"/>
      <c r="AS868" s="304"/>
      <c r="AT868" s="308"/>
      <c r="AU868" s="308"/>
      <c r="AV868" s="304"/>
      <c r="AW868" s="308"/>
      <c r="AX868" s="308"/>
      <c r="AY868" s="304"/>
      <c r="AZ868" s="308"/>
      <c r="BA868" s="313"/>
      <c r="BB868" s="304"/>
      <c r="BC868" s="308"/>
      <c r="BD868" s="308"/>
    </row>
    <row r="869">
      <c r="A869" s="301"/>
      <c r="B869" s="301"/>
      <c r="C869" s="303"/>
      <c r="D869" s="301"/>
      <c r="E869" s="309"/>
      <c r="F869" s="301"/>
      <c r="G869" s="301"/>
      <c r="H869" s="309"/>
      <c r="I869" s="327"/>
      <c r="J869" s="328"/>
      <c r="K869" s="326"/>
      <c r="L869" s="309"/>
      <c r="M869" s="308"/>
      <c r="N869" s="309"/>
      <c r="O869" s="322"/>
      <c r="P869" s="308"/>
      <c r="Q869" s="311"/>
      <c r="R869" s="309"/>
      <c r="S869" s="308"/>
      <c r="T869" s="309"/>
      <c r="U869" s="309"/>
      <c r="V869" s="308"/>
      <c r="W869" s="309"/>
      <c r="X869" s="309"/>
      <c r="Y869" s="308"/>
      <c r="Z869" s="309"/>
      <c r="AA869" s="312"/>
      <c r="AB869" s="308"/>
      <c r="AC869" s="308"/>
      <c r="AD869" s="312"/>
      <c r="AE869" s="308"/>
      <c r="AF869" s="313"/>
      <c r="AG869" s="304"/>
      <c r="AH869" s="308"/>
      <c r="AI869" s="313"/>
      <c r="AJ869" s="304"/>
      <c r="AK869" s="308"/>
      <c r="AL869" s="308"/>
      <c r="AM869" s="304"/>
      <c r="AN869" s="308"/>
      <c r="AO869" s="313"/>
      <c r="AP869" s="304"/>
      <c r="AQ869" s="308"/>
      <c r="AR869" s="313"/>
      <c r="AS869" s="304"/>
      <c r="AT869" s="308"/>
      <c r="AU869" s="308"/>
      <c r="AV869" s="304"/>
      <c r="AW869" s="308"/>
      <c r="AX869" s="308"/>
      <c r="AY869" s="304"/>
      <c r="AZ869" s="308"/>
      <c r="BA869" s="313"/>
      <c r="BB869" s="304"/>
      <c r="BC869" s="308"/>
      <c r="BD869" s="308"/>
    </row>
    <row r="870">
      <c r="A870" s="301"/>
      <c r="B870" s="301"/>
      <c r="C870" s="303"/>
      <c r="D870" s="301"/>
      <c r="E870" s="309"/>
      <c r="F870" s="301"/>
      <c r="G870" s="301"/>
      <c r="H870" s="309"/>
      <c r="I870" s="327"/>
      <c r="J870" s="328"/>
      <c r="K870" s="326"/>
      <c r="L870" s="309"/>
      <c r="M870" s="308"/>
      <c r="N870" s="309"/>
      <c r="O870" s="322"/>
      <c r="P870" s="308"/>
      <c r="Q870" s="311"/>
      <c r="R870" s="309"/>
      <c r="S870" s="308"/>
      <c r="T870" s="309"/>
      <c r="U870" s="309"/>
      <c r="V870" s="308"/>
      <c r="W870" s="309"/>
      <c r="X870" s="309"/>
      <c r="Y870" s="308"/>
      <c r="Z870" s="309"/>
      <c r="AA870" s="312"/>
      <c r="AB870" s="308"/>
      <c r="AC870" s="308"/>
      <c r="AD870" s="312"/>
      <c r="AE870" s="308"/>
      <c r="AF870" s="313"/>
      <c r="AG870" s="304"/>
      <c r="AH870" s="308"/>
      <c r="AI870" s="313"/>
      <c r="AJ870" s="304"/>
      <c r="AK870" s="308"/>
      <c r="AL870" s="308"/>
      <c r="AM870" s="304"/>
      <c r="AN870" s="308"/>
      <c r="AO870" s="313"/>
      <c r="AP870" s="304"/>
      <c r="AQ870" s="308"/>
      <c r="AR870" s="313"/>
      <c r="AS870" s="304"/>
      <c r="AT870" s="308"/>
      <c r="AU870" s="308"/>
      <c r="AV870" s="304"/>
      <c r="AW870" s="308"/>
      <c r="AX870" s="308"/>
      <c r="AY870" s="304"/>
      <c r="AZ870" s="308"/>
      <c r="BA870" s="313"/>
      <c r="BB870" s="304"/>
      <c r="BC870" s="308"/>
      <c r="BD870" s="308"/>
    </row>
    <row r="871">
      <c r="A871" s="301"/>
      <c r="B871" s="301"/>
      <c r="C871" s="303"/>
      <c r="D871" s="301"/>
      <c r="E871" s="309"/>
      <c r="F871" s="301"/>
      <c r="G871" s="301"/>
      <c r="H871" s="309"/>
      <c r="I871" s="327"/>
      <c r="J871" s="328"/>
      <c r="K871" s="326"/>
      <c r="L871" s="309"/>
      <c r="M871" s="308"/>
      <c r="N871" s="309"/>
      <c r="O871" s="322"/>
      <c r="P871" s="308"/>
      <c r="Q871" s="311"/>
      <c r="R871" s="309"/>
      <c r="S871" s="308"/>
      <c r="T871" s="309"/>
      <c r="U871" s="309"/>
      <c r="V871" s="308"/>
      <c r="W871" s="309"/>
      <c r="X871" s="309"/>
      <c r="Y871" s="308"/>
      <c r="Z871" s="309"/>
      <c r="AA871" s="312"/>
      <c r="AB871" s="308"/>
      <c r="AC871" s="308"/>
      <c r="AD871" s="312"/>
      <c r="AE871" s="308"/>
      <c r="AF871" s="313"/>
      <c r="AG871" s="304"/>
      <c r="AH871" s="308"/>
      <c r="AI871" s="313"/>
      <c r="AJ871" s="304"/>
      <c r="AK871" s="308"/>
      <c r="AL871" s="308"/>
      <c r="AM871" s="304"/>
      <c r="AN871" s="308"/>
      <c r="AO871" s="313"/>
      <c r="AP871" s="304"/>
      <c r="AQ871" s="308"/>
      <c r="AR871" s="313"/>
      <c r="AS871" s="304"/>
      <c r="AT871" s="308"/>
      <c r="AU871" s="308"/>
      <c r="AV871" s="304"/>
      <c r="AW871" s="308"/>
      <c r="AX871" s="308"/>
      <c r="AY871" s="304"/>
      <c r="AZ871" s="308"/>
      <c r="BA871" s="313"/>
      <c r="BB871" s="304"/>
      <c r="BC871" s="308"/>
      <c r="BD871" s="308"/>
    </row>
    <row r="872">
      <c r="A872" s="301"/>
      <c r="B872" s="301"/>
      <c r="C872" s="303"/>
      <c r="D872" s="301"/>
      <c r="E872" s="309"/>
      <c r="F872" s="301"/>
      <c r="G872" s="301"/>
      <c r="H872" s="309"/>
      <c r="I872" s="327"/>
      <c r="J872" s="328"/>
      <c r="K872" s="326"/>
      <c r="L872" s="309"/>
      <c r="M872" s="308"/>
      <c r="N872" s="309"/>
      <c r="O872" s="322"/>
      <c r="P872" s="308"/>
      <c r="Q872" s="311"/>
      <c r="R872" s="309"/>
      <c r="S872" s="308"/>
      <c r="T872" s="309"/>
      <c r="U872" s="309"/>
      <c r="V872" s="308"/>
      <c r="W872" s="309"/>
      <c r="X872" s="309"/>
      <c r="Y872" s="308"/>
      <c r="Z872" s="309"/>
      <c r="AA872" s="312"/>
      <c r="AB872" s="308"/>
      <c r="AC872" s="308"/>
      <c r="AD872" s="312"/>
      <c r="AE872" s="308"/>
      <c r="AF872" s="313"/>
      <c r="AG872" s="304"/>
      <c r="AH872" s="308"/>
      <c r="AI872" s="313"/>
      <c r="AJ872" s="304"/>
      <c r="AK872" s="308"/>
      <c r="AL872" s="308"/>
      <c r="AM872" s="304"/>
      <c r="AN872" s="308"/>
      <c r="AO872" s="313"/>
      <c r="AP872" s="304"/>
      <c r="AQ872" s="308"/>
      <c r="AR872" s="313"/>
      <c r="AS872" s="304"/>
      <c r="AT872" s="308"/>
      <c r="AU872" s="308"/>
      <c r="AV872" s="304"/>
      <c r="AW872" s="308"/>
      <c r="AX872" s="308"/>
      <c r="AY872" s="304"/>
      <c r="AZ872" s="308"/>
      <c r="BA872" s="313"/>
      <c r="BB872" s="304"/>
      <c r="BC872" s="308"/>
      <c r="BD872" s="308"/>
    </row>
    <row r="873">
      <c r="A873" s="301"/>
      <c r="B873" s="301"/>
      <c r="C873" s="303"/>
      <c r="D873" s="301"/>
      <c r="E873" s="309"/>
      <c r="F873" s="301"/>
      <c r="G873" s="301"/>
      <c r="H873" s="309"/>
      <c r="I873" s="327"/>
      <c r="J873" s="328"/>
      <c r="K873" s="326"/>
      <c r="L873" s="309"/>
      <c r="M873" s="308"/>
      <c r="N873" s="309"/>
      <c r="O873" s="322"/>
      <c r="P873" s="308"/>
      <c r="Q873" s="311"/>
      <c r="R873" s="309"/>
      <c r="S873" s="308"/>
      <c r="T873" s="309"/>
      <c r="U873" s="309"/>
      <c r="V873" s="308"/>
      <c r="W873" s="309"/>
      <c r="X873" s="309"/>
      <c r="Y873" s="308"/>
      <c r="Z873" s="309"/>
      <c r="AA873" s="312"/>
      <c r="AB873" s="308"/>
      <c r="AC873" s="308"/>
      <c r="AD873" s="312"/>
      <c r="AE873" s="308"/>
      <c r="AF873" s="313"/>
      <c r="AG873" s="304"/>
      <c r="AH873" s="308"/>
      <c r="AI873" s="313"/>
      <c r="AJ873" s="304"/>
      <c r="AK873" s="308"/>
      <c r="AL873" s="308"/>
      <c r="AM873" s="304"/>
      <c r="AN873" s="308"/>
      <c r="AO873" s="313"/>
      <c r="AP873" s="304"/>
      <c r="AQ873" s="308"/>
      <c r="AR873" s="313"/>
      <c r="AS873" s="304"/>
      <c r="AT873" s="308"/>
      <c r="AU873" s="308"/>
      <c r="AV873" s="304"/>
      <c r="AW873" s="308"/>
      <c r="AX873" s="308"/>
      <c r="AY873" s="304"/>
      <c r="AZ873" s="308"/>
      <c r="BA873" s="313"/>
      <c r="BB873" s="304"/>
      <c r="BC873" s="308"/>
      <c r="BD873" s="308"/>
    </row>
    <row r="874">
      <c r="A874" s="301"/>
      <c r="B874" s="301"/>
      <c r="C874" s="303"/>
      <c r="D874" s="301"/>
      <c r="E874" s="309"/>
      <c r="F874" s="301"/>
      <c r="G874" s="301"/>
      <c r="H874" s="309"/>
      <c r="I874" s="327"/>
      <c r="J874" s="328"/>
      <c r="K874" s="326"/>
      <c r="L874" s="309"/>
      <c r="M874" s="308"/>
      <c r="N874" s="309"/>
      <c r="O874" s="322"/>
      <c r="P874" s="308"/>
      <c r="Q874" s="311"/>
      <c r="R874" s="309"/>
      <c r="S874" s="308"/>
      <c r="T874" s="309"/>
      <c r="U874" s="309"/>
      <c r="V874" s="308"/>
      <c r="W874" s="309"/>
      <c r="X874" s="309"/>
      <c r="Y874" s="308"/>
      <c r="Z874" s="309"/>
      <c r="AA874" s="312"/>
      <c r="AB874" s="308"/>
      <c r="AC874" s="308"/>
      <c r="AD874" s="312"/>
      <c r="AE874" s="308"/>
      <c r="AF874" s="313"/>
      <c r="AG874" s="304"/>
      <c r="AH874" s="308"/>
      <c r="AI874" s="313"/>
      <c r="AJ874" s="304"/>
      <c r="AK874" s="308"/>
      <c r="AL874" s="308"/>
      <c r="AM874" s="304"/>
      <c r="AN874" s="308"/>
      <c r="AO874" s="313"/>
      <c r="AP874" s="304"/>
      <c r="AQ874" s="308"/>
      <c r="AR874" s="313"/>
      <c r="AS874" s="304"/>
      <c r="AT874" s="308"/>
      <c r="AU874" s="308"/>
      <c r="AV874" s="304"/>
      <c r="AW874" s="308"/>
      <c r="AX874" s="308"/>
      <c r="AY874" s="304"/>
      <c r="AZ874" s="308"/>
      <c r="BA874" s="313"/>
      <c r="BB874" s="304"/>
      <c r="BC874" s="308"/>
      <c r="BD874" s="308"/>
    </row>
    <row r="875">
      <c r="A875" s="301"/>
      <c r="B875" s="301"/>
      <c r="C875" s="303"/>
      <c r="D875" s="301"/>
      <c r="E875" s="309"/>
      <c r="F875" s="301"/>
      <c r="G875" s="301"/>
      <c r="H875" s="309"/>
      <c r="I875" s="327"/>
      <c r="J875" s="328"/>
      <c r="K875" s="326"/>
      <c r="L875" s="309"/>
      <c r="M875" s="308"/>
      <c r="N875" s="309"/>
      <c r="O875" s="322"/>
      <c r="P875" s="308"/>
      <c r="Q875" s="311"/>
      <c r="R875" s="309"/>
      <c r="S875" s="308"/>
      <c r="T875" s="309"/>
      <c r="U875" s="309"/>
      <c r="V875" s="308"/>
      <c r="W875" s="309"/>
      <c r="X875" s="309"/>
      <c r="Y875" s="308"/>
      <c r="Z875" s="309"/>
      <c r="AA875" s="312"/>
      <c r="AB875" s="308"/>
      <c r="AC875" s="308"/>
      <c r="AD875" s="312"/>
      <c r="AE875" s="308"/>
      <c r="AF875" s="313"/>
      <c r="AG875" s="304"/>
      <c r="AH875" s="308"/>
      <c r="AI875" s="313"/>
      <c r="AJ875" s="304"/>
      <c r="AK875" s="308"/>
      <c r="AL875" s="308"/>
      <c r="AM875" s="304"/>
      <c r="AN875" s="308"/>
      <c r="AO875" s="313"/>
      <c r="AP875" s="304"/>
      <c r="AQ875" s="308"/>
      <c r="AR875" s="313"/>
      <c r="AS875" s="304"/>
      <c r="AT875" s="308"/>
      <c r="AU875" s="308"/>
      <c r="AV875" s="304"/>
      <c r="AW875" s="308"/>
      <c r="AX875" s="308"/>
      <c r="AY875" s="304"/>
      <c r="AZ875" s="308"/>
      <c r="BA875" s="313"/>
      <c r="BB875" s="304"/>
      <c r="BC875" s="308"/>
      <c r="BD875" s="308"/>
    </row>
    <row r="876">
      <c r="A876" s="301"/>
      <c r="B876" s="301"/>
      <c r="C876" s="303"/>
      <c r="D876" s="301"/>
      <c r="E876" s="309"/>
      <c r="F876" s="301"/>
      <c r="G876" s="301"/>
      <c r="H876" s="309"/>
      <c r="I876" s="327"/>
      <c r="J876" s="328"/>
      <c r="K876" s="326"/>
      <c r="L876" s="309"/>
      <c r="M876" s="308"/>
      <c r="N876" s="309"/>
      <c r="O876" s="322"/>
      <c r="P876" s="308"/>
      <c r="Q876" s="311"/>
      <c r="R876" s="309"/>
      <c r="S876" s="308"/>
      <c r="T876" s="309"/>
      <c r="U876" s="309"/>
      <c r="V876" s="308"/>
      <c r="W876" s="309"/>
      <c r="X876" s="309"/>
      <c r="Y876" s="308"/>
      <c r="Z876" s="309"/>
      <c r="AA876" s="312"/>
      <c r="AB876" s="308"/>
      <c r="AC876" s="308"/>
      <c r="AD876" s="312"/>
      <c r="AE876" s="308"/>
      <c r="AF876" s="313"/>
      <c r="AG876" s="304"/>
      <c r="AH876" s="308"/>
      <c r="AI876" s="313"/>
      <c r="AJ876" s="304"/>
      <c r="AK876" s="308"/>
      <c r="AL876" s="308"/>
      <c r="AM876" s="304"/>
      <c r="AN876" s="308"/>
      <c r="AO876" s="313"/>
      <c r="AP876" s="304"/>
      <c r="AQ876" s="308"/>
      <c r="AR876" s="313"/>
      <c r="AS876" s="304"/>
      <c r="AT876" s="308"/>
      <c r="AU876" s="308"/>
      <c r="AV876" s="304"/>
      <c r="AW876" s="308"/>
      <c r="AX876" s="308"/>
      <c r="AY876" s="304"/>
      <c r="AZ876" s="308"/>
      <c r="BA876" s="313"/>
      <c r="BB876" s="304"/>
      <c r="BC876" s="308"/>
      <c r="BD876" s="308"/>
    </row>
    <row r="877">
      <c r="A877" s="301"/>
      <c r="B877" s="301"/>
      <c r="C877" s="303"/>
      <c r="D877" s="301"/>
      <c r="E877" s="309"/>
      <c r="F877" s="301"/>
      <c r="G877" s="301"/>
      <c r="H877" s="309"/>
      <c r="I877" s="327"/>
      <c r="J877" s="328"/>
      <c r="K877" s="326"/>
      <c r="L877" s="309"/>
      <c r="M877" s="308"/>
      <c r="N877" s="309"/>
      <c r="O877" s="322"/>
      <c r="P877" s="308"/>
      <c r="Q877" s="311"/>
      <c r="R877" s="309"/>
      <c r="S877" s="308"/>
      <c r="T877" s="309"/>
      <c r="U877" s="309"/>
      <c r="V877" s="308"/>
      <c r="W877" s="309"/>
      <c r="X877" s="309"/>
      <c r="Y877" s="308"/>
      <c r="Z877" s="309"/>
      <c r="AA877" s="312"/>
      <c r="AB877" s="308"/>
      <c r="AC877" s="308"/>
      <c r="AD877" s="312"/>
      <c r="AE877" s="308"/>
      <c r="AF877" s="313"/>
      <c r="AG877" s="304"/>
      <c r="AH877" s="308"/>
      <c r="AI877" s="313"/>
      <c r="AJ877" s="304"/>
      <c r="AK877" s="308"/>
      <c r="AL877" s="308"/>
      <c r="AM877" s="304"/>
      <c r="AN877" s="308"/>
      <c r="AO877" s="313"/>
      <c r="AP877" s="304"/>
      <c r="AQ877" s="308"/>
      <c r="AR877" s="313"/>
      <c r="AS877" s="304"/>
      <c r="AT877" s="308"/>
      <c r="AU877" s="308"/>
      <c r="AV877" s="304"/>
      <c r="AW877" s="308"/>
      <c r="AX877" s="308"/>
      <c r="AY877" s="304"/>
      <c r="AZ877" s="308"/>
      <c r="BA877" s="313"/>
      <c r="BB877" s="304"/>
      <c r="BC877" s="308"/>
      <c r="BD877" s="308"/>
    </row>
    <row r="878">
      <c r="A878" s="301"/>
      <c r="B878" s="301"/>
      <c r="C878" s="303"/>
      <c r="D878" s="301"/>
      <c r="E878" s="309"/>
      <c r="F878" s="301"/>
      <c r="G878" s="301"/>
      <c r="H878" s="309"/>
      <c r="I878" s="327"/>
      <c r="J878" s="328"/>
      <c r="K878" s="326"/>
      <c r="L878" s="309"/>
      <c r="M878" s="308"/>
      <c r="N878" s="309"/>
      <c r="O878" s="322"/>
      <c r="P878" s="308"/>
      <c r="Q878" s="311"/>
      <c r="R878" s="309"/>
      <c r="S878" s="308"/>
      <c r="T878" s="309"/>
      <c r="U878" s="309"/>
      <c r="V878" s="308"/>
      <c r="W878" s="309"/>
      <c r="X878" s="309"/>
      <c r="Y878" s="308"/>
      <c r="Z878" s="309"/>
      <c r="AA878" s="312"/>
      <c r="AB878" s="308"/>
      <c r="AC878" s="308"/>
      <c r="AD878" s="312"/>
      <c r="AE878" s="308"/>
      <c r="AF878" s="313"/>
      <c r="AG878" s="304"/>
      <c r="AH878" s="308"/>
      <c r="AI878" s="313"/>
      <c r="AJ878" s="304"/>
      <c r="AK878" s="308"/>
      <c r="AL878" s="308"/>
      <c r="AM878" s="304"/>
      <c r="AN878" s="308"/>
      <c r="AO878" s="313"/>
      <c r="AP878" s="304"/>
      <c r="AQ878" s="308"/>
      <c r="AR878" s="313"/>
      <c r="AS878" s="304"/>
      <c r="AT878" s="308"/>
      <c r="AU878" s="308"/>
      <c r="AV878" s="304"/>
      <c r="AW878" s="308"/>
      <c r="AX878" s="308"/>
      <c r="AY878" s="304"/>
      <c r="AZ878" s="308"/>
      <c r="BA878" s="313"/>
      <c r="BB878" s="304"/>
      <c r="BC878" s="308"/>
      <c r="BD878" s="308"/>
    </row>
    <row r="879">
      <c r="A879" s="301"/>
      <c r="B879" s="301"/>
      <c r="C879" s="303"/>
      <c r="D879" s="301"/>
      <c r="E879" s="309"/>
      <c r="F879" s="301"/>
      <c r="G879" s="301"/>
      <c r="H879" s="309"/>
      <c r="I879" s="327"/>
      <c r="J879" s="328"/>
      <c r="K879" s="326"/>
      <c r="L879" s="309"/>
      <c r="M879" s="308"/>
      <c r="N879" s="309"/>
      <c r="O879" s="322"/>
      <c r="P879" s="308"/>
      <c r="Q879" s="311"/>
      <c r="R879" s="309"/>
      <c r="S879" s="308"/>
      <c r="T879" s="309"/>
      <c r="U879" s="309"/>
      <c r="V879" s="308"/>
      <c r="W879" s="309"/>
      <c r="X879" s="309"/>
      <c r="Y879" s="308"/>
      <c r="Z879" s="309"/>
      <c r="AA879" s="312"/>
      <c r="AB879" s="308"/>
      <c r="AC879" s="308"/>
      <c r="AD879" s="312"/>
      <c r="AE879" s="308"/>
      <c r="AF879" s="313"/>
      <c r="AG879" s="304"/>
      <c r="AH879" s="308"/>
      <c r="AI879" s="313"/>
      <c r="AJ879" s="304"/>
      <c r="AK879" s="308"/>
      <c r="AL879" s="308"/>
      <c r="AM879" s="304"/>
      <c r="AN879" s="308"/>
      <c r="AO879" s="313"/>
      <c r="AP879" s="304"/>
      <c r="AQ879" s="308"/>
      <c r="AR879" s="313"/>
      <c r="AS879" s="304"/>
      <c r="AT879" s="308"/>
      <c r="AU879" s="308"/>
      <c r="AV879" s="304"/>
      <c r="AW879" s="308"/>
      <c r="AX879" s="308"/>
      <c r="AY879" s="304"/>
      <c r="AZ879" s="308"/>
      <c r="BA879" s="313"/>
      <c r="BB879" s="304"/>
      <c r="BC879" s="308"/>
      <c r="BD879" s="308"/>
    </row>
    <row r="880">
      <c r="A880" s="301"/>
      <c r="B880" s="301"/>
      <c r="C880" s="303"/>
      <c r="D880" s="301"/>
      <c r="E880" s="309"/>
      <c r="F880" s="301"/>
      <c r="G880" s="301"/>
      <c r="H880" s="309"/>
      <c r="I880" s="327"/>
      <c r="J880" s="328"/>
      <c r="K880" s="326"/>
      <c r="L880" s="309"/>
      <c r="M880" s="308"/>
      <c r="N880" s="309"/>
      <c r="O880" s="322"/>
      <c r="P880" s="308"/>
      <c r="Q880" s="311"/>
      <c r="R880" s="309"/>
      <c r="S880" s="308"/>
      <c r="T880" s="309"/>
      <c r="U880" s="309"/>
      <c r="V880" s="308"/>
      <c r="W880" s="309"/>
      <c r="X880" s="309"/>
      <c r="Y880" s="308"/>
      <c r="Z880" s="309"/>
      <c r="AA880" s="312"/>
      <c r="AB880" s="308"/>
      <c r="AC880" s="308"/>
      <c r="AD880" s="312"/>
      <c r="AE880" s="308"/>
      <c r="AF880" s="313"/>
      <c r="AG880" s="304"/>
      <c r="AH880" s="308"/>
      <c r="AI880" s="313"/>
      <c r="AJ880" s="304"/>
      <c r="AK880" s="308"/>
      <c r="AL880" s="308"/>
      <c r="AM880" s="304"/>
      <c r="AN880" s="308"/>
      <c r="AO880" s="313"/>
      <c r="AP880" s="304"/>
      <c r="AQ880" s="308"/>
      <c r="AR880" s="313"/>
      <c r="AS880" s="304"/>
      <c r="AT880" s="308"/>
      <c r="AU880" s="308"/>
      <c r="AV880" s="304"/>
      <c r="AW880" s="308"/>
      <c r="AX880" s="308"/>
      <c r="AY880" s="304"/>
      <c r="AZ880" s="308"/>
      <c r="BA880" s="313"/>
      <c r="BB880" s="304"/>
      <c r="BC880" s="308"/>
      <c r="BD880" s="308"/>
    </row>
    <row r="881">
      <c r="A881" s="301"/>
      <c r="B881" s="301"/>
      <c r="C881" s="303"/>
      <c r="D881" s="301"/>
      <c r="E881" s="309"/>
      <c r="F881" s="301"/>
      <c r="G881" s="301"/>
      <c r="H881" s="309"/>
      <c r="I881" s="327"/>
      <c r="J881" s="328"/>
      <c r="K881" s="326"/>
      <c r="L881" s="309"/>
      <c r="M881" s="308"/>
      <c r="N881" s="309"/>
      <c r="O881" s="322"/>
      <c r="P881" s="308"/>
      <c r="Q881" s="311"/>
      <c r="R881" s="309"/>
      <c r="S881" s="308"/>
      <c r="T881" s="309"/>
      <c r="U881" s="309"/>
      <c r="V881" s="308"/>
      <c r="W881" s="309"/>
      <c r="X881" s="309"/>
      <c r="Y881" s="308"/>
      <c r="Z881" s="309"/>
      <c r="AA881" s="312"/>
      <c r="AB881" s="308"/>
      <c r="AC881" s="308"/>
      <c r="AD881" s="312"/>
      <c r="AE881" s="308"/>
      <c r="AF881" s="313"/>
      <c r="AG881" s="304"/>
      <c r="AH881" s="308"/>
      <c r="AI881" s="313"/>
      <c r="AJ881" s="304"/>
      <c r="AK881" s="308"/>
      <c r="AL881" s="308"/>
      <c r="AM881" s="304"/>
      <c r="AN881" s="308"/>
      <c r="AO881" s="313"/>
      <c r="AP881" s="304"/>
      <c r="AQ881" s="308"/>
      <c r="AR881" s="313"/>
      <c r="AS881" s="304"/>
      <c r="AT881" s="308"/>
      <c r="AU881" s="308"/>
      <c r="AV881" s="304"/>
      <c r="AW881" s="308"/>
      <c r="AX881" s="308"/>
      <c r="AY881" s="304"/>
      <c r="AZ881" s="308"/>
      <c r="BA881" s="313"/>
      <c r="BB881" s="304"/>
      <c r="BC881" s="308"/>
      <c r="BD881" s="308"/>
    </row>
    <row r="882">
      <c r="A882" s="301"/>
      <c r="B882" s="301"/>
      <c r="C882" s="303"/>
      <c r="D882" s="301"/>
      <c r="E882" s="309"/>
      <c r="F882" s="301"/>
      <c r="G882" s="301"/>
      <c r="H882" s="309"/>
      <c r="I882" s="327"/>
      <c r="J882" s="328"/>
      <c r="K882" s="326"/>
      <c r="L882" s="309"/>
      <c r="M882" s="308"/>
      <c r="N882" s="309"/>
      <c r="O882" s="322"/>
      <c r="P882" s="308"/>
      <c r="Q882" s="311"/>
      <c r="R882" s="309"/>
      <c r="S882" s="308"/>
      <c r="T882" s="309"/>
      <c r="U882" s="309"/>
      <c r="V882" s="308"/>
      <c r="W882" s="309"/>
      <c r="X882" s="309"/>
      <c r="Y882" s="308"/>
      <c r="Z882" s="309"/>
      <c r="AA882" s="312"/>
      <c r="AB882" s="308"/>
      <c r="AC882" s="308"/>
      <c r="AD882" s="312"/>
      <c r="AE882" s="308"/>
      <c r="AF882" s="313"/>
      <c r="AG882" s="304"/>
      <c r="AH882" s="308"/>
      <c r="AI882" s="313"/>
      <c r="AJ882" s="304"/>
      <c r="AK882" s="308"/>
      <c r="AL882" s="308"/>
      <c r="AM882" s="304"/>
      <c r="AN882" s="308"/>
      <c r="AO882" s="313"/>
      <c r="AP882" s="304"/>
      <c r="AQ882" s="308"/>
      <c r="AR882" s="313"/>
      <c r="AS882" s="304"/>
      <c r="AT882" s="308"/>
      <c r="AU882" s="308"/>
      <c r="AV882" s="304"/>
      <c r="AW882" s="308"/>
      <c r="AX882" s="308"/>
      <c r="AY882" s="304"/>
      <c r="AZ882" s="308"/>
      <c r="BA882" s="313"/>
      <c r="BB882" s="304"/>
      <c r="BC882" s="308"/>
      <c r="BD882" s="308"/>
    </row>
    <row r="883">
      <c r="A883" s="301"/>
      <c r="B883" s="301"/>
      <c r="C883" s="303"/>
      <c r="D883" s="301"/>
      <c r="E883" s="309"/>
      <c r="F883" s="301"/>
      <c r="G883" s="301"/>
      <c r="H883" s="309"/>
      <c r="I883" s="327"/>
      <c r="J883" s="328"/>
      <c r="K883" s="326"/>
      <c r="L883" s="309"/>
      <c r="M883" s="308"/>
      <c r="N883" s="309"/>
      <c r="O883" s="322"/>
      <c r="P883" s="308"/>
      <c r="Q883" s="311"/>
      <c r="R883" s="309"/>
      <c r="S883" s="308"/>
      <c r="T883" s="309"/>
      <c r="U883" s="309"/>
      <c r="V883" s="308"/>
      <c r="W883" s="309"/>
      <c r="X883" s="309"/>
      <c r="Y883" s="308"/>
      <c r="Z883" s="309"/>
      <c r="AA883" s="312"/>
      <c r="AB883" s="308"/>
      <c r="AC883" s="308"/>
      <c r="AD883" s="312"/>
      <c r="AE883" s="308"/>
      <c r="AF883" s="313"/>
      <c r="AG883" s="304"/>
      <c r="AH883" s="308"/>
      <c r="AI883" s="313"/>
      <c r="AJ883" s="304"/>
      <c r="AK883" s="308"/>
      <c r="AL883" s="308"/>
      <c r="AM883" s="304"/>
      <c r="AN883" s="308"/>
      <c r="AO883" s="313"/>
      <c r="AP883" s="304"/>
      <c r="AQ883" s="308"/>
      <c r="AR883" s="313"/>
      <c r="AS883" s="304"/>
      <c r="AT883" s="308"/>
      <c r="AU883" s="308"/>
      <c r="AV883" s="304"/>
      <c r="AW883" s="308"/>
      <c r="AX883" s="308"/>
      <c r="AY883" s="304"/>
      <c r="AZ883" s="308"/>
      <c r="BA883" s="313"/>
      <c r="BB883" s="304"/>
      <c r="BC883" s="308"/>
      <c r="BD883" s="308"/>
    </row>
    <row r="884">
      <c r="A884" s="301"/>
      <c r="B884" s="301"/>
      <c r="C884" s="303"/>
      <c r="D884" s="301"/>
      <c r="E884" s="309"/>
      <c r="F884" s="301"/>
      <c r="G884" s="301"/>
      <c r="H884" s="309"/>
      <c r="I884" s="327"/>
      <c r="J884" s="328"/>
      <c r="K884" s="326"/>
      <c r="L884" s="309"/>
      <c r="M884" s="308"/>
      <c r="N884" s="309"/>
      <c r="O884" s="322"/>
      <c r="P884" s="308"/>
      <c r="Q884" s="311"/>
      <c r="R884" s="309"/>
      <c r="S884" s="308"/>
      <c r="T884" s="309"/>
      <c r="U884" s="309"/>
      <c r="V884" s="308"/>
      <c r="W884" s="309"/>
      <c r="X884" s="309"/>
      <c r="Y884" s="308"/>
      <c r="Z884" s="309"/>
      <c r="AA884" s="312"/>
      <c r="AB884" s="308"/>
      <c r="AC884" s="308"/>
      <c r="AD884" s="312"/>
      <c r="AE884" s="308"/>
      <c r="AF884" s="313"/>
      <c r="AG884" s="304"/>
      <c r="AH884" s="308"/>
      <c r="AI884" s="313"/>
      <c r="AJ884" s="304"/>
      <c r="AK884" s="308"/>
      <c r="AL884" s="308"/>
      <c r="AM884" s="304"/>
      <c r="AN884" s="308"/>
      <c r="AO884" s="313"/>
      <c r="AP884" s="304"/>
      <c r="AQ884" s="308"/>
      <c r="AR884" s="313"/>
      <c r="AS884" s="304"/>
      <c r="AT884" s="308"/>
      <c r="AU884" s="308"/>
      <c r="AV884" s="304"/>
      <c r="AW884" s="308"/>
      <c r="AX884" s="308"/>
      <c r="AY884" s="304"/>
      <c r="AZ884" s="308"/>
      <c r="BA884" s="313"/>
      <c r="BB884" s="304"/>
      <c r="BC884" s="308"/>
      <c r="BD884" s="308"/>
    </row>
    <row r="885">
      <c r="A885" s="301"/>
      <c r="B885" s="301"/>
      <c r="C885" s="303"/>
      <c r="D885" s="301"/>
      <c r="E885" s="309"/>
      <c r="F885" s="301"/>
      <c r="G885" s="301"/>
      <c r="H885" s="309"/>
      <c r="I885" s="327"/>
      <c r="J885" s="328"/>
      <c r="K885" s="326"/>
      <c r="L885" s="309"/>
      <c r="M885" s="308"/>
      <c r="N885" s="309"/>
      <c r="O885" s="322"/>
      <c r="P885" s="308"/>
      <c r="Q885" s="311"/>
      <c r="R885" s="309"/>
      <c r="S885" s="308"/>
      <c r="T885" s="309"/>
      <c r="U885" s="309"/>
      <c r="V885" s="308"/>
      <c r="W885" s="309"/>
      <c r="X885" s="309"/>
      <c r="Y885" s="308"/>
      <c r="Z885" s="309"/>
      <c r="AA885" s="312"/>
      <c r="AB885" s="308"/>
      <c r="AC885" s="308"/>
      <c r="AD885" s="312"/>
      <c r="AE885" s="308"/>
      <c r="AF885" s="313"/>
      <c r="AG885" s="304"/>
      <c r="AH885" s="308"/>
      <c r="AI885" s="313"/>
      <c r="AJ885" s="304"/>
      <c r="AK885" s="308"/>
      <c r="AL885" s="308"/>
      <c r="AM885" s="304"/>
      <c r="AN885" s="308"/>
      <c r="AO885" s="313"/>
      <c r="AP885" s="304"/>
      <c r="AQ885" s="308"/>
      <c r="AR885" s="313"/>
      <c r="AS885" s="304"/>
      <c r="AT885" s="308"/>
      <c r="AU885" s="308"/>
      <c r="AV885" s="304"/>
      <c r="AW885" s="308"/>
      <c r="AX885" s="308"/>
      <c r="AY885" s="304"/>
      <c r="AZ885" s="308"/>
      <c r="BA885" s="313"/>
      <c r="BB885" s="304"/>
      <c r="BC885" s="308"/>
      <c r="BD885" s="308"/>
    </row>
    <row r="886">
      <c r="A886" s="301"/>
      <c r="B886" s="301"/>
      <c r="C886" s="303"/>
      <c r="D886" s="301"/>
      <c r="E886" s="309"/>
      <c r="F886" s="301"/>
      <c r="G886" s="301"/>
      <c r="H886" s="309"/>
      <c r="I886" s="327"/>
      <c r="J886" s="328"/>
      <c r="K886" s="326"/>
      <c r="L886" s="309"/>
      <c r="M886" s="308"/>
      <c r="N886" s="309"/>
      <c r="O886" s="322"/>
      <c r="P886" s="308"/>
      <c r="Q886" s="311"/>
      <c r="R886" s="309"/>
      <c r="S886" s="308"/>
      <c r="T886" s="309"/>
      <c r="U886" s="309"/>
      <c r="V886" s="308"/>
      <c r="W886" s="309"/>
      <c r="X886" s="309"/>
      <c r="Y886" s="308"/>
      <c r="Z886" s="309"/>
      <c r="AA886" s="312"/>
      <c r="AB886" s="308"/>
      <c r="AC886" s="308"/>
      <c r="AD886" s="312"/>
      <c r="AE886" s="308"/>
      <c r="AF886" s="313"/>
      <c r="AG886" s="304"/>
      <c r="AH886" s="308"/>
      <c r="AI886" s="313"/>
      <c r="AJ886" s="304"/>
      <c r="AK886" s="308"/>
      <c r="AL886" s="308"/>
      <c r="AM886" s="304"/>
      <c r="AN886" s="308"/>
      <c r="AO886" s="313"/>
      <c r="AP886" s="304"/>
      <c r="AQ886" s="308"/>
      <c r="AR886" s="313"/>
      <c r="AS886" s="304"/>
      <c r="AT886" s="308"/>
      <c r="AU886" s="308"/>
      <c r="AV886" s="304"/>
      <c r="AW886" s="308"/>
      <c r="AX886" s="308"/>
      <c r="AY886" s="304"/>
      <c r="AZ886" s="308"/>
      <c r="BA886" s="313"/>
      <c r="BB886" s="304"/>
      <c r="BC886" s="308"/>
      <c r="BD886" s="308"/>
    </row>
    <row r="887">
      <c r="A887" s="301"/>
      <c r="B887" s="301"/>
      <c r="C887" s="303"/>
      <c r="D887" s="301"/>
      <c r="E887" s="309"/>
      <c r="F887" s="301"/>
      <c r="G887" s="301"/>
      <c r="H887" s="309"/>
      <c r="I887" s="327"/>
      <c r="J887" s="328"/>
      <c r="K887" s="326"/>
      <c r="L887" s="309"/>
      <c r="M887" s="308"/>
      <c r="N887" s="309"/>
      <c r="O887" s="322"/>
      <c r="P887" s="308"/>
      <c r="Q887" s="311"/>
      <c r="R887" s="309"/>
      <c r="S887" s="308"/>
      <c r="T887" s="309"/>
      <c r="U887" s="309"/>
      <c r="V887" s="308"/>
      <c r="W887" s="309"/>
      <c r="X887" s="309"/>
      <c r="Y887" s="308"/>
      <c r="Z887" s="309"/>
      <c r="AA887" s="312"/>
      <c r="AB887" s="308"/>
      <c r="AC887" s="308"/>
      <c r="AD887" s="312"/>
      <c r="AE887" s="308"/>
      <c r="AF887" s="313"/>
      <c r="AG887" s="304"/>
      <c r="AH887" s="308"/>
      <c r="AI887" s="313"/>
      <c r="AJ887" s="304"/>
      <c r="AK887" s="308"/>
      <c r="AL887" s="308"/>
      <c r="AM887" s="304"/>
      <c r="AN887" s="308"/>
      <c r="AO887" s="313"/>
      <c r="AP887" s="304"/>
      <c r="AQ887" s="308"/>
      <c r="AR887" s="313"/>
      <c r="AS887" s="304"/>
      <c r="AT887" s="308"/>
      <c r="AU887" s="308"/>
      <c r="AV887" s="304"/>
      <c r="AW887" s="308"/>
      <c r="AX887" s="308"/>
      <c r="AY887" s="304"/>
      <c r="AZ887" s="308"/>
      <c r="BA887" s="313"/>
      <c r="BB887" s="304"/>
      <c r="BC887" s="308"/>
      <c r="BD887" s="308"/>
    </row>
    <row r="888">
      <c r="A888" s="301"/>
      <c r="B888" s="301"/>
      <c r="C888" s="303"/>
      <c r="D888" s="301"/>
      <c r="E888" s="309"/>
      <c r="F888" s="301"/>
      <c r="G888" s="301"/>
      <c r="H888" s="309"/>
      <c r="I888" s="327"/>
      <c r="J888" s="328"/>
      <c r="K888" s="326"/>
      <c r="L888" s="309"/>
      <c r="M888" s="308"/>
      <c r="N888" s="309"/>
      <c r="O888" s="322"/>
      <c r="P888" s="308"/>
      <c r="Q888" s="311"/>
      <c r="R888" s="309"/>
      <c r="S888" s="308"/>
      <c r="T888" s="309"/>
      <c r="U888" s="309"/>
      <c r="V888" s="308"/>
      <c r="W888" s="309"/>
      <c r="X888" s="309"/>
      <c r="Y888" s="308"/>
      <c r="Z888" s="309"/>
      <c r="AA888" s="312"/>
      <c r="AB888" s="308"/>
      <c r="AC888" s="308"/>
      <c r="AD888" s="312"/>
      <c r="AE888" s="308"/>
      <c r="AF888" s="313"/>
      <c r="AG888" s="304"/>
      <c r="AH888" s="308"/>
      <c r="AI888" s="313"/>
      <c r="AJ888" s="304"/>
      <c r="AK888" s="308"/>
      <c r="AL888" s="308"/>
      <c r="AM888" s="304"/>
      <c r="AN888" s="308"/>
      <c r="AO888" s="313"/>
      <c r="AP888" s="304"/>
      <c r="AQ888" s="308"/>
      <c r="AR888" s="313"/>
      <c r="AS888" s="304"/>
      <c r="AT888" s="308"/>
      <c r="AU888" s="308"/>
      <c r="AV888" s="304"/>
      <c r="AW888" s="308"/>
      <c r="AX888" s="308"/>
      <c r="AY888" s="304"/>
      <c r="AZ888" s="308"/>
      <c r="BA888" s="313"/>
      <c r="BB888" s="304"/>
      <c r="BC888" s="308"/>
      <c r="BD888" s="308"/>
    </row>
    <row r="889">
      <c r="A889" s="301"/>
      <c r="B889" s="301"/>
      <c r="C889" s="303"/>
      <c r="D889" s="301"/>
      <c r="E889" s="309"/>
      <c r="F889" s="301"/>
      <c r="G889" s="301"/>
      <c r="H889" s="309"/>
      <c r="I889" s="327"/>
      <c r="J889" s="328"/>
      <c r="K889" s="326"/>
      <c r="L889" s="309"/>
      <c r="M889" s="308"/>
      <c r="N889" s="309"/>
      <c r="O889" s="322"/>
      <c r="P889" s="308"/>
      <c r="Q889" s="311"/>
      <c r="R889" s="309"/>
      <c r="S889" s="308"/>
      <c r="T889" s="309"/>
      <c r="U889" s="309"/>
      <c r="V889" s="308"/>
      <c r="W889" s="309"/>
      <c r="X889" s="309"/>
      <c r="Y889" s="308"/>
      <c r="Z889" s="309"/>
      <c r="AA889" s="312"/>
      <c r="AB889" s="308"/>
      <c r="AC889" s="308"/>
      <c r="AD889" s="312"/>
      <c r="AE889" s="308"/>
      <c r="AF889" s="313"/>
      <c r="AG889" s="304"/>
      <c r="AH889" s="308"/>
      <c r="AI889" s="313"/>
      <c r="AJ889" s="304"/>
      <c r="AK889" s="308"/>
      <c r="AL889" s="308"/>
      <c r="AM889" s="304"/>
      <c r="AN889" s="308"/>
      <c r="AO889" s="313"/>
      <c r="AP889" s="304"/>
      <c r="AQ889" s="308"/>
      <c r="AR889" s="313"/>
      <c r="AS889" s="304"/>
      <c r="AT889" s="308"/>
      <c r="AU889" s="308"/>
      <c r="AV889" s="304"/>
      <c r="AW889" s="308"/>
      <c r="AX889" s="308"/>
      <c r="AY889" s="304"/>
      <c r="AZ889" s="308"/>
      <c r="BA889" s="313"/>
      <c r="BB889" s="304"/>
      <c r="BC889" s="308"/>
      <c r="BD889" s="308"/>
    </row>
    <row r="890">
      <c r="A890" s="301"/>
      <c r="B890" s="301"/>
      <c r="C890" s="303"/>
      <c r="D890" s="301"/>
      <c r="E890" s="309"/>
      <c r="F890" s="301"/>
      <c r="G890" s="301"/>
      <c r="H890" s="309"/>
      <c r="I890" s="327"/>
      <c r="J890" s="328"/>
      <c r="K890" s="326"/>
      <c r="L890" s="309"/>
      <c r="M890" s="308"/>
      <c r="N890" s="309"/>
      <c r="O890" s="322"/>
      <c r="P890" s="308"/>
      <c r="Q890" s="311"/>
      <c r="R890" s="309"/>
      <c r="S890" s="308"/>
      <c r="T890" s="309"/>
      <c r="U890" s="309"/>
      <c r="V890" s="308"/>
      <c r="W890" s="309"/>
      <c r="X890" s="309"/>
      <c r="Y890" s="308"/>
      <c r="Z890" s="309"/>
      <c r="AA890" s="312"/>
      <c r="AB890" s="308"/>
      <c r="AC890" s="308"/>
      <c r="AD890" s="312"/>
      <c r="AE890" s="308"/>
      <c r="AF890" s="313"/>
      <c r="AG890" s="304"/>
      <c r="AH890" s="308"/>
      <c r="AI890" s="313"/>
      <c r="AJ890" s="304"/>
      <c r="AK890" s="308"/>
      <c r="AL890" s="308"/>
      <c r="AM890" s="304"/>
      <c r="AN890" s="308"/>
      <c r="AO890" s="313"/>
      <c r="AP890" s="304"/>
      <c r="AQ890" s="308"/>
      <c r="AR890" s="313"/>
      <c r="AS890" s="304"/>
      <c r="AT890" s="308"/>
      <c r="AU890" s="308"/>
      <c r="AV890" s="304"/>
      <c r="AW890" s="308"/>
      <c r="AX890" s="308"/>
      <c r="AY890" s="304"/>
      <c r="AZ890" s="308"/>
      <c r="BA890" s="313"/>
      <c r="BB890" s="304"/>
      <c r="BC890" s="308"/>
      <c r="BD890" s="308"/>
    </row>
    <row r="891">
      <c r="A891" s="301"/>
      <c r="B891" s="301"/>
      <c r="C891" s="303"/>
      <c r="D891" s="301"/>
      <c r="E891" s="309"/>
      <c r="F891" s="301"/>
      <c r="G891" s="301"/>
      <c r="H891" s="309"/>
      <c r="I891" s="327"/>
      <c r="J891" s="328"/>
      <c r="K891" s="326"/>
      <c r="L891" s="309"/>
      <c r="M891" s="308"/>
      <c r="N891" s="309"/>
      <c r="O891" s="322"/>
      <c r="P891" s="308"/>
      <c r="Q891" s="311"/>
      <c r="R891" s="309"/>
      <c r="S891" s="308"/>
      <c r="T891" s="309"/>
      <c r="U891" s="309"/>
      <c r="V891" s="308"/>
      <c r="W891" s="309"/>
      <c r="X891" s="309"/>
      <c r="Y891" s="308"/>
      <c r="Z891" s="309"/>
      <c r="AA891" s="312"/>
      <c r="AB891" s="308"/>
      <c r="AC891" s="308"/>
      <c r="AD891" s="312"/>
      <c r="AE891" s="308"/>
      <c r="AF891" s="313"/>
      <c r="AG891" s="304"/>
      <c r="AH891" s="308"/>
      <c r="AI891" s="313"/>
      <c r="AJ891" s="304"/>
      <c r="AK891" s="308"/>
      <c r="AL891" s="308"/>
      <c r="AM891" s="304"/>
      <c r="AN891" s="308"/>
      <c r="AO891" s="313"/>
      <c r="AP891" s="304"/>
      <c r="AQ891" s="308"/>
      <c r="AR891" s="313"/>
      <c r="AS891" s="304"/>
      <c r="AT891" s="308"/>
      <c r="AU891" s="308"/>
      <c r="AV891" s="304"/>
      <c r="AW891" s="308"/>
      <c r="AX891" s="308"/>
      <c r="AY891" s="304"/>
      <c r="AZ891" s="308"/>
      <c r="BA891" s="313"/>
      <c r="BB891" s="304"/>
      <c r="BC891" s="308"/>
      <c r="BD891" s="308"/>
    </row>
    <row r="892">
      <c r="A892" s="301"/>
      <c r="B892" s="301"/>
      <c r="C892" s="303"/>
      <c r="D892" s="301"/>
      <c r="E892" s="309"/>
      <c r="F892" s="301"/>
      <c r="G892" s="301"/>
      <c r="H892" s="309"/>
      <c r="I892" s="327"/>
      <c r="J892" s="328"/>
      <c r="K892" s="326"/>
      <c r="L892" s="309"/>
      <c r="M892" s="308"/>
      <c r="N892" s="309"/>
      <c r="O892" s="322"/>
      <c r="P892" s="308"/>
      <c r="Q892" s="311"/>
      <c r="R892" s="309"/>
      <c r="S892" s="308"/>
      <c r="T892" s="309"/>
      <c r="U892" s="309"/>
      <c r="V892" s="308"/>
      <c r="W892" s="309"/>
      <c r="X892" s="309"/>
      <c r="Y892" s="308"/>
      <c r="Z892" s="309"/>
      <c r="AA892" s="312"/>
      <c r="AB892" s="308"/>
      <c r="AC892" s="308"/>
      <c r="AD892" s="312"/>
      <c r="AE892" s="308"/>
      <c r="AF892" s="313"/>
      <c r="AG892" s="304"/>
      <c r="AH892" s="308"/>
      <c r="AI892" s="313"/>
      <c r="AJ892" s="304"/>
      <c r="AK892" s="308"/>
      <c r="AL892" s="308"/>
      <c r="AM892" s="304"/>
      <c r="AN892" s="308"/>
      <c r="AO892" s="313"/>
      <c r="AP892" s="304"/>
      <c r="AQ892" s="308"/>
      <c r="AR892" s="313"/>
      <c r="AS892" s="304"/>
      <c r="AT892" s="308"/>
      <c r="AU892" s="308"/>
      <c r="AV892" s="304"/>
      <c r="AW892" s="308"/>
      <c r="AX892" s="308"/>
      <c r="AY892" s="304"/>
      <c r="AZ892" s="308"/>
      <c r="BA892" s="313"/>
      <c r="BB892" s="304"/>
      <c r="BC892" s="308"/>
      <c r="BD892" s="308"/>
    </row>
    <row r="893">
      <c r="A893" s="301"/>
      <c r="B893" s="301"/>
      <c r="C893" s="303"/>
      <c r="D893" s="301"/>
      <c r="E893" s="309"/>
      <c r="F893" s="301"/>
      <c r="G893" s="301"/>
      <c r="H893" s="309"/>
      <c r="I893" s="327"/>
      <c r="J893" s="328"/>
      <c r="K893" s="326"/>
      <c r="L893" s="309"/>
      <c r="M893" s="308"/>
      <c r="N893" s="309"/>
      <c r="O893" s="322"/>
      <c r="P893" s="308"/>
      <c r="Q893" s="311"/>
      <c r="R893" s="309"/>
      <c r="S893" s="308"/>
      <c r="T893" s="309"/>
      <c r="U893" s="309"/>
      <c r="V893" s="308"/>
      <c r="W893" s="309"/>
      <c r="X893" s="309"/>
      <c r="Y893" s="308"/>
      <c r="Z893" s="309"/>
      <c r="AA893" s="312"/>
      <c r="AB893" s="308"/>
      <c r="AC893" s="308"/>
      <c r="AD893" s="312"/>
      <c r="AE893" s="308"/>
      <c r="AF893" s="313"/>
      <c r="AG893" s="304"/>
      <c r="AH893" s="308"/>
      <c r="AI893" s="313"/>
      <c r="AJ893" s="304"/>
      <c r="AK893" s="308"/>
      <c r="AL893" s="308"/>
      <c r="AM893" s="304"/>
      <c r="AN893" s="308"/>
      <c r="AO893" s="313"/>
      <c r="AP893" s="304"/>
      <c r="AQ893" s="308"/>
      <c r="AR893" s="313"/>
      <c r="AS893" s="304"/>
      <c r="AT893" s="308"/>
      <c r="AU893" s="308"/>
      <c r="AV893" s="304"/>
      <c r="AW893" s="308"/>
      <c r="AX893" s="308"/>
      <c r="AY893" s="304"/>
      <c r="AZ893" s="308"/>
      <c r="BA893" s="313"/>
      <c r="BB893" s="304"/>
      <c r="BC893" s="308"/>
      <c r="BD893" s="308"/>
    </row>
    <row r="894">
      <c r="A894" s="301"/>
      <c r="B894" s="301"/>
      <c r="C894" s="303"/>
      <c r="D894" s="301"/>
      <c r="E894" s="309"/>
      <c r="F894" s="301"/>
      <c r="G894" s="301"/>
      <c r="H894" s="309"/>
      <c r="I894" s="327"/>
      <c r="J894" s="328"/>
      <c r="K894" s="326"/>
      <c r="L894" s="309"/>
      <c r="M894" s="308"/>
      <c r="N894" s="309"/>
      <c r="O894" s="322"/>
      <c r="P894" s="308"/>
      <c r="Q894" s="311"/>
      <c r="R894" s="309"/>
      <c r="S894" s="308"/>
      <c r="T894" s="309"/>
      <c r="U894" s="309"/>
      <c r="V894" s="308"/>
      <c r="W894" s="309"/>
      <c r="X894" s="309"/>
      <c r="Y894" s="308"/>
      <c r="Z894" s="309"/>
      <c r="AA894" s="312"/>
      <c r="AB894" s="308"/>
      <c r="AC894" s="308"/>
      <c r="AD894" s="312"/>
      <c r="AE894" s="308"/>
      <c r="AF894" s="313"/>
      <c r="AG894" s="304"/>
      <c r="AH894" s="308"/>
      <c r="AI894" s="313"/>
      <c r="AJ894" s="304"/>
      <c r="AK894" s="308"/>
      <c r="AL894" s="308"/>
      <c r="AM894" s="304"/>
      <c r="AN894" s="308"/>
      <c r="AO894" s="313"/>
      <c r="AP894" s="304"/>
      <c r="AQ894" s="308"/>
      <c r="AR894" s="313"/>
      <c r="AS894" s="304"/>
      <c r="AT894" s="308"/>
      <c r="AU894" s="308"/>
      <c r="AV894" s="304"/>
      <c r="AW894" s="308"/>
      <c r="AX894" s="308"/>
      <c r="AY894" s="304"/>
      <c r="AZ894" s="308"/>
      <c r="BA894" s="313"/>
      <c r="BB894" s="304"/>
      <c r="BC894" s="308"/>
      <c r="BD894" s="308"/>
    </row>
    <row r="895">
      <c r="A895" s="301"/>
      <c r="B895" s="301"/>
      <c r="C895" s="303"/>
      <c r="D895" s="301"/>
      <c r="E895" s="309"/>
      <c r="F895" s="301"/>
      <c r="G895" s="301"/>
      <c r="H895" s="309"/>
      <c r="I895" s="327"/>
      <c r="J895" s="328"/>
      <c r="K895" s="326"/>
      <c r="L895" s="309"/>
      <c r="M895" s="308"/>
      <c r="N895" s="309"/>
      <c r="O895" s="322"/>
      <c r="P895" s="308"/>
      <c r="Q895" s="311"/>
      <c r="R895" s="309"/>
      <c r="S895" s="308"/>
      <c r="T895" s="309"/>
      <c r="U895" s="309"/>
      <c r="V895" s="308"/>
      <c r="W895" s="309"/>
      <c r="X895" s="309"/>
      <c r="Y895" s="308"/>
      <c r="Z895" s="309"/>
      <c r="AA895" s="312"/>
      <c r="AB895" s="308"/>
      <c r="AC895" s="308"/>
      <c r="AD895" s="312"/>
      <c r="AE895" s="308"/>
      <c r="AF895" s="313"/>
      <c r="AG895" s="304"/>
      <c r="AH895" s="308"/>
      <c r="AI895" s="313"/>
      <c r="AJ895" s="304"/>
      <c r="AK895" s="308"/>
      <c r="AL895" s="308"/>
      <c r="AM895" s="304"/>
      <c r="AN895" s="308"/>
      <c r="AO895" s="313"/>
      <c r="AP895" s="304"/>
      <c r="AQ895" s="308"/>
      <c r="AR895" s="313"/>
      <c r="AS895" s="304"/>
      <c r="AT895" s="308"/>
      <c r="AU895" s="308"/>
      <c r="AV895" s="304"/>
      <c r="AW895" s="308"/>
      <c r="AX895" s="308"/>
      <c r="AY895" s="304"/>
      <c r="AZ895" s="308"/>
      <c r="BA895" s="313"/>
      <c r="BB895" s="304"/>
      <c r="BC895" s="308"/>
      <c r="BD895" s="308"/>
    </row>
    <row r="896">
      <c r="A896" s="301"/>
      <c r="B896" s="301"/>
      <c r="C896" s="303"/>
      <c r="D896" s="301"/>
      <c r="E896" s="309"/>
      <c r="F896" s="301"/>
      <c r="G896" s="301"/>
      <c r="H896" s="309"/>
      <c r="I896" s="327"/>
      <c r="J896" s="328"/>
      <c r="K896" s="326"/>
      <c r="L896" s="309"/>
      <c r="M896" s="308"/>
      <c r="N896" s="309"/>
      <c r="O896" s="322"/>
      <c r="P896" s="308"/>
      <c r="Q896" s="311"/>
      <c r="R896" s="309"/>
      <c r="S896" s="308"/>
      <c r="T896" s="309"/>
      <c r="U896" s="309"/>
      <c r="V896" s="308"/>
      <c r="W896" s="309"/>
      <c r="X896" s="309"/>
      <c r="Y896" s="308"/>
      <c r="Z896" s="309"/>
      <c r="AA896" s="312"/>
      <c r="AB896" s="308"/>
      <c r="AC896" s="308"/>
      <c r="AD896" s="312"/>
      <c r="AE896" s="308"/>
      <c r="AF896" s="313"/>
      <c r="AG896" s="304"/>
      <c r="AH896" s="308"/>
      <c r="AI896" s="313"/>
      <c r="AJ896" s="304"/>
      <c r="AK896" s="308"/>
      <c r="AL896" s="308"/>
      <c r="AM896" s="304"/>
      <c r="AN896" s="308"/>
      <c r="AO896" s="313"/>
      <c r="AP896" s="304"/>
      <c r="AQ896" s="308"/>
      <c r="AR896" s="313"/>
      <c r="AS896" s="304"/>
      <c r="AT896" s="308"/>
      <c r="AU896" s="308"/>
      <c r="AV896" s="304"/>
      <c r="AW896" s="308"/>
      <c r="AX896" s="308"/>
      <c r="AY896" s="304"/>
      <c r="AZ896" s="308"/>
      <c r="BA896" s="313"/>
      <c r="BB896" s="304"/>
      <c r="BC896" s="308"/>
      <c r="BD896" s="308"/>
    </row>
    <row r="897">
      <c r="A897" s="301"/>
      <c r="B897" s="301"/>
      <c r="C897" s="303"/>
      <c r="D897" s="301"/>
      <c r="E897" s="309"/>
      <c r="F897" s="301"/>
      <c r="G897" s="301"/>
      <c r="H897" s="309"/>
      <c r="I897" s="327"/>
      <c r="J897" s="328"/>
      <c r="K897" s="326"/>
      <c r="L897" s="309"/>
      <c r="M897" s="308"/>
      <c r="N897" s="309"/>
      <c r="O897" s="322"/>
      <c r="P897" s="308"/>
      <c r="Q897" s="311"/>
      <c r="R897" s="309"/>
      <c r="S897" s="308"/>
      <c r="T897" s="309"/>
      <c r="U897" s="309"/>
      <c r="V897" s="308"/>
      <c r="W897" s="309"/>
      <c r="X897" s="309"/>
      <c r="Y897" s="308"/>
      <c r="Z897" s="309"/>
      <c r="AA897" s="312"/>
      <c r="AB897" s="308"/>
      <c r="AC897" s="308"/>
      <c r="AD897" s="312"/>
      <c r="AE897" s="308"/>
      <c r="AF897" s="313"/>
      <c r="AG897" s="304"/>
      <c r="AH897" s="308"/>
      <c r="AI897" s="313"/>
      <c r="AJ897" s="304"/>
      <c r="AK897" s="308"/>
      <c r="AL897" s="308"/>
      <c r="AM897" s="304"/>
      <c r="AN897" s="308"/>
      <c r="AO897" s="313"/>
      <c r="AP897" s="304"/>
      <c r="AQ897" s="308"/>
      <c r="AR897" s="313"/>
      <c r="AS897" s="304"/>
      <c r="AT897" s="308"/>
      <c r="AU897" s="308"/>
      <c r="AV897" s="304"/>
      <c r="AW897" s="308"/>
      <c r="AX897" s="308"/>
      <c r="AY897" s="304"/>
      <c r="AZ897" s="308"/>
      <c r="BA897" s="313"/>
      <c r="BB897" s="304"/>
      <c r="BC897" s="308"/>
      <c r="BD897" s="308"/>
    </row>
    <row r="898">
      <c r="A898" s="301"/>
      <c r="B898" s="301"/>
      <c r="C898" s="303"/>
      <c r="D898" s="301"/>
      <c r="E898" s="309"/>
      <c r="F898" s="301"/>
      <c r="G898" s="301"/>
      <c r="H898" s="309"/>
      <c r="I898" s="327"/>
      <c r="J898" s="328"/>
      <c r="K898" s="326"/>
      <c r="L898" s="309"/>
      <c r="M898" s="308"/>
      <c r="N898" s="309"/>
      <c r="O898" s="322"/>
      <c r="P898" s="308"/>
      <c r="Q898" s="311"/>
      <c r="R898" s="309"/>
      <c r="S898" s="308"/>
      <c r="T898" s="309"/>
      <c r="U898" s="309"/>
      <c r="V898" s="308"/>
      <c r="W898" s="309"/>
      <c r="X898" s="309"/>
      <c r="Y898" s="308"/>
      <c r="Z898" s="309"/>
      <c r="AA898" s="312"/>
      <c r="AB898" s="308"/>
      <c r="AC898" s="308"/>
      <c r="AD898" s="312"/>
      <c r="AE898" s="308"/>
      <c r="AF898" s="313"/>
      <c r="AG898" s="304"/>
      <c r="AH898" s="308"/>
      <c r="AI898" s="313"/>
      <c r="AJ898" s="304"/>
      <c r="AK898" s="308"/>
      <c r="AL898" s="308"/>
      <c r="AM898" s="304"/>
      <c r="AN898" s="308"/>
      <c r="AO898" s="313"/>
      <c r="AP898" s="304"/>
      <c r="AQ898" s="308"/>
      <c r="AR898" s="313"/>
      <c r="AS898" s="304"/>
      <c r="AT898" s="308"/>
      <c r="AU898" s="308"/>
      <c r="AV898" s="304"/>
      <c r="AW898" s="308"/>
      <c r="AX898" s="308"/>
      <c r="AY898" s="304"/>
      <c r="AZ898" s="308"/>
      <c r="BA898" s="313"/>
      <c r="BB898" s="304"/>
      <c r="BC898" s="308"/>
      <c r="BD898" s="308"/>
    </row>
    <row r="899">
      <c r="A899" s="301"/>
      <c r="B899" s="301"/>
      <c r="C899" s="303"/>
      <c r="D899" s="301"/>
      <c r="E899" s="309"/>
      <c r="F899" s="301"/>
      <c r="G899" s="301"/>
      <c r="H899" s="309"/>
      <c r="I899" s="327"/>
      <c r="J899" s="328"/>
      <c r="K899" s="326"/>
      <c r="L899" s="309"/>
      <c r="M899" s="308"/>
      <c r="N899" s="309"/>
      <c r="O899" s="322"/>
      <c r="P899" s="308"/>
      <c r="Q899" s="311"/>
      <c r="R899" s="309"/>
      <c r="S899" s="308"/>
      <c r="T899" s="309"/>
      <c r="U899" s="309"/>
      <c r="V899" s="308"/>
      <c r="W899" s="309"/>
      <c r="X899" s="309"/>
      <c r="Y899" s="308"/>
      <c r="Z899" s="309"/>
      <c r="AA899" s="312"/>
      <c r="AB899" s="308"/>
      <c r="AC899" s="308"/>
      <c r="AD899" s="312"/>
      <c r="AE899" s="308"/>
      <c r="AF899" s="313"/>
      <c r="AG899" s="304"/>
      <c r="AH899" s="308"/>
      <c r="AI899" s="313"/>
      <c r="AJ899" s="304"/>
      <c r="AK899" s="308"/>
      <c r="AL899" s="308"/>
      <c r="AM899" s="304"/>
      <c r="AN899" s="308"/>
      <c r="AO899" s="313"/>
      <c r="AP899" s="304"/>
      <c r="AQ899" s="308"/>
      <c r="AR899" s="313"/>
      <c r="AS899" s="304"/>
      <c r="AT899" s="308"/>
      <c r="AU899" s="308"/>
      <c r="AV899" s="304"/>
      <c r="AW899" s="308"/>
      <c r="AX899" s="308"/>
      <c r="AY899" s="304"/>
      <c r="AZ899" s="308"/>
      <c r="BA899" s="313"/>
      <c r="BB899" s="304"/>
      <c r="BC899" s="308"/>
      <c r="BD899" s="308"/>
    </row>
    <row r="900">
      <c r="A900" s="301"/>
      <c r="B900" s="301"/>
      <c r="C900" s="303"/>
      <c r="D900" s="301"/>
      <c r="E900" s="309"/>
      <c r="F900" s="301"/>
      <c r="G900" s="301"/>
      <c r="H900" s="309"/>
      <c r="I900" s="327"/>
      <c r="J900" s="328"/>
      <c r="K900" s="326"/>
      <c r="L900" s="309"/>
      <c r="M900" s="308"/>
      <c r="N900" s="309"/>
      <c r="O900" s="322"/>
      <c r="P900" s="308"/>
      <c r="Q900" s="311"/>
      <c r="R900" s="309"/>
      <c r="S900" s="308"/>
      <c r="T900" s="309"/>
      <c r="U900" s="309"/>
      <c r="V900" s="308"/>
      <c r="W900" s="309"/>
      <c r="X900" s="309"/>
      <c r="Y900" s="308"/>
      <c r="Z900" s="309"/>
      <c r="AA900" s="312"/>
      <c r="AB900" s="308"/>
      <c r="AC900" s="308"/>
      <c r="AD900" s="312"/>
      <c r="AE900" s="308"/>
      <c r="AF900" s="313"/>
      <c r="AG900" s="304"/>
      <c r="AH900" s="308"/>
      <c r="AI900" s="313"/>
      <c r="AJ900" s="304"/>
      <c r="AK900" s="308"/>
      <c r="AL900" s="308"/>
      <c r="AM900" s="304"/>
      <c r="AN900" s="308"/>
      <c r="AO900" s="313"/>
      <c r="AP900" s="304"/>
      <c r="AQ900" s="308"/>
      <c r="AR900" s="313"/>
      <c r="AS900" s="304"/>
      <c r="AT900" s="308"/>
      <c r="AU900" s="308"/>
      <c r="AV900" s="304"/>
      <c r="AW900" s="308"/>
      <c r="AX900" s="308"/>
      <c r="AY900" s="304"/>
      <c r="AZ900" s="308"/>
      <c r="BA900" s="313"/>
      <c r="BB900" s="304"/>
      <c r="BC900" s="308"/>
      <c r="BD900" s="308"/>
    </row>
    <row r="901">
      <c r="A901" s="301"/>
      <c r="B901" s="301"/>
      <c r="C901" s="303"/>
      <c r="D901" s="301"/>
      <c r="E901" s="309"/>
      <c r="F901" s="301"/>
      <c r="G901" s="301"/>
      <c r="H901" s="309"/>
      <c r="I901" s="327"/>
      <c r="J901" s="328"/>
      <c r="K901" s="326"/>
      <c r="L901" s="309"/>
      <c r="M901" s="308"/>
      <c r="N901" s="309"/>
      <c r="O901" s="322"/>
      <c r="P901" s="308"/>
      <c r="Q901" s="311"/>
      <c r="R901" s="309"/>
      <c r="S901" s="308"/>
      <c r="T901" s="309"/>
      <c r="U901" s="309"/>
      <c r="V901" s="308"/>
      <c r="W901" s="309"/>
      <c r="X901" s="309"/>
      <c r="Y901" s="308"/>
      <c r="Z901" s="309"/>
      <c r="AA901" s="312"/>
      <c r="AB901" s="308"/>
      <c r="AC901" s="308"/>
      <c r="AD901" s="312"/>
      <c r="AE901" s="308"/>
      <c r="AF901" s="313"/>
      <c r="AG901" s="304"/>
      <c r="AH901" s="308"/>
      <c r="AI901" s="313"/>
      <c r="AJ901" s="304"/>
      <c r="AK901" s="308"/>
      <c r="AL901" s="308"/>
      <c r="AM901" s="304"/>
      <c r="AN901" s="308"/>
      <c r="AO901" s="313"/>
      <c r="AP901" s="304"/>
      <c r="AQ901" s="308"/>
      <c r="AR901" s="313"/>
      <c r="AS901" s="304"/>
      <c r="AT901" s="308"/>
      <c r="AU901" s="308"/>
      <c r="AV901" s="304"/>
      <c r="AW901" s="308"/>
      <c r="AX901" s="308"/>
      <c r="AY901" s="304"/>
      <c r="AZ901" s="308"/>
      <c r="BA901" s="313"/>
      <c r="BB901" s="304"/>
      <c r="BC901" s="308"/>
      <c r="BD901" s="308"/>
    </row>
    <row r="902">
      <c r="A902" s="301"/>
      <c r="B902" s="301"/>
      <c r="C902" s="303"/>
      <c r="D902" s="301"/>
      <c r="E902" s="309"/>
      <c r="F902" s="301"/>
      <c r="G902" s="301"/>
      <c r="H902" s="309"/>
      <c r="I902" s="327"/>
      <c r="J902" s="328"/>
      <c r="K902" s="326"/>
      <c r="L902" s="309"/>
      <c r="M902" s="308"/>
      <c r="N902" s="309"/>
      <c r="O902" s="322"/>
      <c r="P902" s="308"/>
      <c r="Q902" s="311"/>
      <c r="R902" s="309"/>
      <c r="S902" s="308"/>
      <c r="T902" s="309"/>
      <c r="U902" s="309"/>
      <c r="V902" s="308"/>
      <c r="W902" s="309"/>
      <c r="X902" s="309"/>
      <c r="Y902" s="308"/>
      <c r="Z902" s="309"/>
      <c r="AA902" s="312"/>
      <c r="AB902" s="308"/>
      <c r="AC902" s="308"/>
      <c r="AD902" s="312"/>
      <c r="AE902" s="308"/>
      <c r="AF902" s="313"/>
      <c r="AG902" s="304"/>
      <c r="AH902" s="308"/>
      <c r="AI902" s="313"/>
      <c r="AJ902" s="304"/>
      <c r="AK902" s="308"/>
      <c r="AL902" s="308"/>
      <c r="AM902" s="304"/>
      <c r="AN902" s="308"/>
      <c r="AO902" s="313"/>
      <c r="AP902" s="304"/>
      <c r="AQ902" s="308"/>
      <c r="AR902" s="313"/>
      <c r="AS902" s="304"/>
      <c r="AT902" s="308"/>
      <c r="AU902" s="308"/>
      <c r="AV902" s="304"/>
      <c r="AW902" s="308"/>
      <c r="AX902" s="308"/>
      <c r="AY902" s="304"/>
      <c r="AZ902" s="308"/>
      <c r="BA902" s="313"/>
      <c r="BB902" s="304"/>
      <c r="BC902" s="308"/>
      <c r="BD902" s="308"/>
    </row>
    <row r="903">
      <c r="A903" s="301"/>
      <c r="B903" s="301"/>
      <c r="C903" s="303"/>
      <c r="D903" s="301"/>
      <c r="E903" s="309"/>
      <c r="F903" s="301"/>
      <c r="G903" s="301"/>
      <c r="H903" s="309"/>
      <c r="I903" s="327"/>
      <c r="J903" s="328"/>
      <c r="K903" s="326"/>
      <c r="L903" s="309"/>
      <c r="M903" s="308"/>
      <c r="N903" s="309"/>
      <c r="O903" s="322"/>
      <c r="P903" s="308"/>
      <c r="Q903" s="311"/>
      <c r="R903" s="309"/>
      <c r="S903" s="308"/>
      <c r="T903" s="309"/>
      <c r="U903" s="309"/>
      <c r="V903" s="308"/>
      <c r="W903" s="309"/>
      <c r="X903" s="309"/>
      <c r="Y903" s="308"/>
      <c r="Z903" s="309"/>
      <c r="AA903" s="312"/>
      <c r="AB903" s="308"/>
      <c r="AC903" s="308"/>
      <c r="AD903" s="312"/>
      <c r="AE903" s="308"/>
      <c r="AF903" s="313"/>
      <c r="AG903" s="304"/>
      <c r="AH903" s="308"/>
      <c r="AI903" s="313"/>
      <c r="AJ903" s="304"/>
      <c r="AK903" s="308"/>
      <c r="AL903" s="308"/>
      <c r="AM903" s="304"/>
      <c r="AN903" s="308"/>
      <c r="AO903" s="313"/>
      <c r="AP903" s="304"/>
      <c r="AQ903" s="308"/>
      <c r="AR903" s="313"/>
      <c r="AS903" s="304"/>
      <c r="AT903" s="308"/>
      <c r="AU903" s="308"/>
      <c r="AV903" s="304"/>
      <c r="AW903" s="308"/>
      <c r="AX903" s="308"/>
      <c r="AY903" s="304"/>
      <c r="AZ903" s="308"/>
      <c r="BA903" s="313"/>
      <c r="BB903" s="304"/>
      <c r="BC903" s="308"/>
      <c r="BD903" s="308"/>
    </row>
    <row r="904">
      <c r="A904" s="301"/>
      <c r="B904" s="301"/>
      <c r="C904" s="303"/>
      <c r="D904" s="301"/>
      <c r="E904" s="309"/>
      <c r="F904" s="301"/>
      <c r="G904" s="301"/>
      <c r="H904" s="309"/>
      <c r="I904" s="327"/>
      <c r="J904" s="328"/>
      <c r="K904" s="326"/>
      <c r="L904" s="309"/>
      <c r="M904" s="308"/>
      <c r="N904" s="309"/>
      <c r="O904" s="322"/>
      <c r="P904" s="308"/>
      <c r="Q904" s="311"/>
      <c r="R904" s="309"/>
      <c r="S904" s="308"/>
      <c r="T904" s="309"/>
      <c r="U904" s="309"/>
      <c r="V904" s="308"/>
      <c r="W904" s="309"/>
      <c r="X904" s="309"/>
      <c r="Y904" s="308"/>
      <c r="Z904" s="309"/>
      <c r="AA904" s="312"/>
      <c r="AB904" s="308"/>
      <c r="AC904" s="308"/>
      <c r="AD904" s="312"/>
      <c r="AE904" s="308"/>
      <c r="AF904" s="313"/>
      <c r="AG904" s="304"/>
      <c r="AH904" s="308"/>
      <c r="AI904" s="313"/>
      <c r="AJ904" s="304"/>
      <c r="AK904" s="308"/>
      <c r="AL904" s="308"/>
      <c r="AM904" s="304"/>
      <c r="AN904" s="308"/>
      <c r="AO904" s="313"/>
      <c r="AP904" s="304"/>
      <c r="AQ904" s="308"/>
      <c r="AR904" s="313"/>
      <c r="AS904" s="304"/>
      <c r="AT904" s="308"/>
      <c r="AU904" s="308"/>
      <c r="AV904" s="304"/>
      <c r="AW904" s="308"/>
      <c r="AX904" s="308"/>
      <c r="AY904" s="304"/>
      <c r="AZ904" s="308"/>
      <c r="BA904" s="313"/>
      <c r="BB904" s="304"/>
      <c r="BC904" s="308"/>
      <c r="BD904" s="308"/>
    </row>
    <row r="905">
      <c r="A905" s="301"/>
      <c r="B905" s="301"/>
      <c r="C905" s="303"/>
      <c r="D905" s="301"/>
      <c r="E905" s="309"/>
      <c r="F905" s="301"/>
      <c r="G905" s="301"/>
      <c r="H905" s="309"/>
      <c r="I905" s="327"/>
      <c r="J905" s="328"/>
      <c r="K905" s="326"/>
      <c r="L905" s="309"/>
      <c r="M905" s="308"/>
      <c r="N905" s="309"/>
      <c r="O905" s="322"/>
      <c r="P905" s="308"/>
      <c r="Q905" s="311"/>
      <c r="R905" s="309"/>
      <c r="S905" s="308"/>
      <c r="T905" s="309"/>
      <c r="U905" s="309"/>
      <c r="V905" s="308"/>
      <c r="W905" s="309"/>
      <c r="X905" s="309"/>
      <c r="Y905" s="308"/>
      <c r="Z905" s="309"/>
      <c r="AA905" s="312"/>
      <c r="AB905" s="308"/>
      <c r="AC905" s="308"/>
      <c r="AD905" s="312"/>
      <c r="AE905" s="308"/>
      <c r="AF905" s="313"/>
      <c r="AG905" s="304"/>
      <c r="AH905" s="308"/>
      <c r="AI905" s="313"/>
      <c r="AJ905" s="304"/>
      <c r="AK905" s="308"/>
      <c r="AL905" s="308"/>
      <c r="AM905" s="304"/>
      <c r="AN905" s="308"/>
      <c r="AO905" s="313"/>
      <c r="AP905" s="304"/>
      <c r="AQ905" s="308"/>
      <c r="AR905" s="313"/>
      <c r="AS905" s="304"/>
      <c r="AT905" s="308"/>
      <c r="AU905" s="308"/>
      <c r="AV905" s="304"/>
      <c r="AW905" s="308"/>
      <c r="AX905" s="308"/>
      <c r="AY905" s="304"/>
      <c r="AZ905" s="308"/>
      <c r="BA905" s="313"/>
      <c r="BB905" s="304"/>
      <c r="BC905" s="308"/>
      <c r="BD905" s="308"/>
    </row>
    <row r="906">
      <c r="A906" s="301"/>
      <c r="B906" s="301"/>
      <c r="C906" s="303"/>
      <c r="D906" s="301"/>
      <c r="E906" s="309"/>
      <c r="F906" s="301"/>
      <c r="G906" s="301"/>
      <c r="H906" s="309"/>
      <c r="I906" s="327"/>
      <c r="J906" s="328"/>
      <c r="K906" s="326"/>
      <c r="L906" s="309"/>
      <c r="M906" s="308"/>
      <c r="N906" s="309"/>
      <c r="O906" s="322"/>
      <c r="P906" s="308"/>
      <c r="Q906" s="311"/>
      <c r="R906" s="309"/>
      <c r="S906" s="308"/>
      <c r="T906" s="309"/>
      <c r="U906" s="309"/>
      <c r="V906" s="308"/>
      <c r="W906" s="309"/>
      <c r="X906" s="309"/>
      <c r="Y906" s="308"/>
      <c r="Z906" s="309"/>
      <c r="AA906" s="312"/>
      <c r="AB906" s="308"/>
      <c r="AC906" s="308"/>
      <c r="AD906" s="312"/>
      <c r="AE906" s="308"/>
      <c r="AF906" s="313"/>
      <c r="AG906" s="304"/>
      <c r="AH906" s="308"/>
      <c r="AI906" s="313"/>
      <c r="AJ906" s="304"/>
      <c r="AK906" s="308"/>
      <c r="AL906" s="308"/>
      <c r="AM906" s="304"/>
      <c r="AN906" s="308"/>
      <c r="AO906" s="313"/>
      <c r="AP906" s="304"/>
      <c r="AQ906" s="308"/>
      <c r="AR906" s="313"/>
      <c r="AS906" s="304"/>
      <c r="AT906" s="308"/>
      <c r="AU906" s="308"/>
      <c r="AV906" s="304"/>
      <c r="AW906" s="308"/>
      <c r="AX906" s="308"/>
      <c r="AY906" s="304"/>
      <c r="AZ906" s="308"/>
      <c r="BA906" s="313"/>
      <c r="BB906" s="304"/>
      <c r="BC906" s="308"/>
      <c r="BD906" s="308"/>
    </row>
    <row r="907">
      <c r="A907" s="301"/>
      <c r="B907" s="301"/>
      <c r="C907" s="303"/>
      <c r="D907" s="301"/>
      <c r="E907" s="309"/>
      <c r="F907" s="301"/>
      <c r="G907" s="301"/>
      <c r="H907" s="309"/>
      <c r="I907" s="327"/>
      <c r="J907" s="328"/>
      <c r="K907" s="326"/>
      <c r="L907" s="309"/>
      <c r="M907" s="308"/>
      <c r="N907" s="309"/>
      <c r="O907" s="322"/>
      <c r="P907" s="308"/>
      <c r="Q907" s="311"/>
      <c r="R907" s="309"/>
      <c r="S907" s="308"/>
      <c r="T907" s="309"/>
      <c r="U907" s="309"/>
      <c r="V907" s="308"/>
      <c r="W907" s="309"/>
      <c r="X907" s="309"/>
      <c r="Y907" s="308"/>
      <c r="Z907" s="309"/>
      <c r="AA907" s="312"/>
      <c r="AB907" s="308"/>
      <c r="AC907" s="308"/>
      <c r="AD907" s="312"/>
      <c r="AE907" s="308"/>
      <c r="AF907" s="313"/>
      <c r="AG907" s="304"/>
      <c r="AH907" s="308"/>
      <c r="AI907" s="313"/>
      <c r="AJ907" s="304"/>
      <c r="AK907" s="308"/>
      <c r="AL907" s="308"/>
      <c r="AM907" s="304"/>
      <c r="AN907" s="308"/>
      <c r="AO907" s="313"/>
      <c r="AP907" s="304"/>
      <c r="AQ907" s="308"/>
      <c r="AR907" s="313"/>
      <c r="AS907" s="304"/>
      <c r="AT907" s="308"/>
      <c r="AU907" s="308"/>
      <c r="AV907" s="304"/>
      <c r="AW907" s="308"/>
      <c r="AX907" s="308"/>
      <c r="AY907" s="304"/>
      <c r="AZ907" s="308"/>
      <c r="BA907" s="313"/>
      <c r="BB907" s="304"/>
      <c r="BC907" s="308"/>
      <c r="BD907" s="308"/>
    </row>
    <row r="908">
      <c r="A908" s="301"/>
      <c r="B908" s="301"/>
      <c r="C908" s="303"/>
      <c r="D908" s="301"/>
      <c r="E908" s="309"/>
      <c r="F908" s="301"/>
      <c r="G908" s="301"/>
      <c r="H908" s="309"/>
      <c r="I908" s="327"/>
      <c r="J908" s="328"/>
      <c r="K908" s="326"/>
      <c r="L908" s="309"/>
      <c r="M908" s="308"/>
      <c r="N908" s="309"/>
      <c r="O908" s="322"/>
      <c r="P908" s="308"/>
      <c r="Q908" s="311"/>
      <c r="R908" s="309"/>
      <c r="S908" s="308"/>
      <c r="T908" s="309"/>
      <c r="U908" s="309"/>
      <c r="V908" s="308"/>
      <c r="W908" s="309"/>
      <c r="X908" s="309"/>
      <c r="Y908" s="308"/>
      <c r="Z908" s="309"/>
      <c r="AA908" s="312"/>
      <c r="AB908" s="308"/>
      <c r="AC908" s="308"/>
      <c r="AD908" s="312"/>
      <c r="AE908" s="308"/>
      <c r="AF908" s="313"/>
      <c r="AG908" s="304"/>
      <c r="AH908" s="308"/>
      <c r="AI908" s="313"/>
      <c r="AJ908" s="304"/>
      <c r="AK908" s="308"/>
      <c r="AL908" s="308"/>
      <c r="AM908" s="304"/>
      <c r="AN908" s="308"/>
      <c r="AO908" s="313"/>
      <c r="AP908" s="304"/>
      <c r="AQ908" s="308"/>
      <c r="AR908" s="313"/>
      <c r="AS908" s="304"/>
      <c r="AT908" s="308"/>
      <c r="AU908" s="308"/>
      <c r="AV908" s="304"/>
      <c r="AW908" s="308"/>
      <c r="AX908" s="308"/>
      <c r="AY908" s="304"/>
      <c r="AZ908" s="308"/>
      <c r="BA908" s="313"/>
      <c r="BB908" s="304"/>
      <c r="BC908" s="308"/>
      <c r="BD908" s="308"/>
    </row>
    <row r="909">
      <c r="A909" s="301"/>
      <c r="B909" s="301"/>
      <c r="C909" s="303"/>
      <c r="D909" s="301"/>
      <c r="E909" s="309"/>
      <c r="F909" s="301"/>
      <c r="G909" s="301"/>
      <c r="H909" s="309"/>
      <c r="I909" s="327"/>
      <c r="J909" s="328"/>
      <c r="K909" s="326"/>
      <c r="L909" s="309"/>
      <c r="M909" s="308"/>
      <c r="N909" s="309"/>
      <c r="O909" s="322"/>
      <c r="P909" s="308"/>
      <c r="Q909" s="311"/>
      <c r="R909" s="309"/>
      <c r="S909" s="308"/>
      <c r="T909" s="309"/>
      <c r="U909" s="309"/>
      <c r="V909" s="308"/>
      <c r="W909" s="309"/>
      <c r="X909" s="309"/>
      <c r="Y909" s="308"/>
      <c r="Z909" s="309"/>
      <c r="AA909" s="312"/>
      <c r="AB909" s="308"/>
      <c r="AC909" s="308"/>
      <c r="AD909" s="312"/>
      <c r="AE909" s="308"/>
      <c r="AF909" s="313"/>
      <c r="AG909" s="304"/>
      <c r="AH909" s="308"/>
      <c r="AI909" s="313"/>
      <c r="AJ909" s="304"/>
      <c r="AK909" s="308"/>
      <c r="AL909" s="308"/>
      <c r="AM909" s="304"/>
      <c r="AN909" s="308"/>
      <c r="AO909" s="313"/>
      <c r="AP909" s="304"/>
      <c r="AQ909" s="308"/>
      <c r="AR909" s="313"/>
      <c r="AS909" s="304"/>
      <c r="AT909" s="308"/>
      <c r="AU909" s="308"/>
      <c r="AV909" s="304"/>
      <c r="AW909" s="308"/>
      <c r="AX909" s="308"/>
      <c r="AY909" s="304"/>
      <c r="AZ909" s="308"/>
      <c r="BA909" s="313"/>
      <c r="BB909" s="304"/>
      <c r="BC909" s="308"/>
      <c r="BD909" s="308"/>
    </row>
    <row r="910">
      <c r="A910" s="301"/>
      <c r="B910" s="301"/>
      <c r="C910" s="303"/>
      <c r="D910" s="301"/>
      <c r="E910" s="309"/>
      <c r="F910" s="301"/>
      <c r="G910" s="301"/>
      <c r="H910" s="309"/>
      <c r="I910" s="327"/>
      <c r="J910" s="328"/>
      <c r="K910" s="326"/>
      <c r="L910" s="309"/>
      <c r="M910" s="308"/>
      <c r="N910" s="309"/>
      <c r="O910" s="322"/>
      <c r="P910" s="308"/>
      <c r="Q910" s="311"/>
      <c r="R910" s="309"/>
      <c r="S910" s="308"/>
      <c r="T910" s="309"/>
      <c r="U910" s="309"/>
      <c r="V910" s="308"/>
      <c r="W910" s="309"/>
      <c r="X910" s="309"/>
      <c r="Y910" s="308"/>
      <c r="Z910" s="309"/>
      <c r="AA910" s="312"/>
      <c r="AB910" s="308"/>
      <c r="AC910" s="308"/>
      <c r="AD910" s="312"/>
      <c r="AE910" s="308"/>
      <c r="AF910" s="313"/>
      <c r="AG910" s="304"/>
      <c r="AH910" s="308"/>
      <c r="AI910" s="313"/>
      <c r="AJ910" s="304"/>
      <c r="AK910" s="308"/>
      <c r="AL910" s="308"/>
      <c r="AM910" s="304"/>
      <c r="AN910" s="308"/>
      <c r="AO910" s="313"/>
      <c r="AP910" s="304"/>
      <c r="AQ910" s="308"/>
      <c r="AR910" s="313"/>
      <c r="AS910" s="304"/>
      <c r="AT910" s="308"/>
      <c r="AU910" s="308"/>
      <c r="AV910" s="304"/>
      <c r="AW910" s="308"/>
      <c r="AX910" s="308"/>
      <c r="AY910" s="304"/>
      <c r="AZ910" s="308"/>
      <c r="BA910" s="313"/>
      <c r="BB910" s="304"/>
      <c r="BC910" s="308"/>
      <c r="BD910" s="308"/>
    </row>
    <row r="911">
      <c r="A911" s="301"/>
      <c r="B911" s="301"/>
      <c r="C911" s="303"/>
      <c r="D911" s="301"/>
      <c r="E911" s="309"/>
      <c r="F911" s="301"/>
      <c r="G911" s="301"/>
      <c r="H911" s="309"/>
      <c r="I911" s="327"/>
      <c r="J911" s="328"/>
      <c r="K911" s="326"/>
      <c r="L911" s="309"/>
      <c r="M911" s="308"/>
      <c r="N911" s="309"/>
      <c r="O911" s="322"/>
      <c r="P911" s="308"/>
      <c r="Q911" s="311"/>
      <c r="R911" s="309"/>
      <c r="S911" s="308"/>
      <c r="T911" s="309"/>
      <c r="U911" s="309"/>
      <c r="V911" s="308"/>
      <c r="W911" s="309"/>
      <c r="X911" s="309"/>
      <c r="Y911" s="308"/>
      <c r="Z911" s="309"/>
      <c r="AA911" s="312"/>
      <c r="AB911" s="308"/>
      <c r="AC911" s="308"/>
      <c r="AD911" s="312"/>
      <c r="AE911" s="308"/>
      <c r="AF911" s="313"/>
      <c r="AG911" s="304"/>
      <c r="AH911" s="308"/>
      <c r="AI911" s="313"/>
      <c r="AJ911" s="304"/>
      <c r="AK911" s="308"/>
      <c r="AL911" s="308"/>
      <c r="AM911" s="304"/>
      <c r="AN911" s="308"/>
      <c r="AO911" s="313"/>
      <c r="AP911" s="304"/>
      <c r="AQ911" s="308"/>
      <c r="AR911" s="313"/>
      <c r="AS911" s="304"/>
      <c r="AT911" s="308"/>
      <c r="AU911" s="308"/>
      <c r="AV911" s="304"/>
      <c r="AW911" s="308"/>
      <c r="AX911" s="308"/>
      <c r="AY911" s="304"/>
      <c r="AZ911" s="308"/>
      <c r="BA911" s="313"/>
      <c r="BB911" s="304"/>
      <c r="BC911" s="308"/>
      <c r="BD911" s="308"/>
    </row>
    <row r="912">
      <c r="A912" s="301"/>
      <c r="B912" s="301"/>
      <c r="C912" s="303"/>
      <c r="D912" s="301"/>
      <c r="E912" s="309"/>
      <c r="F912" s="301"/>
      <c r="G912" s="301"/>
      <c r="H912" s="309"/>
      <c r="I912" s="327"/>
      <c r="J912" s="328"/>
      <c r="K912" s="326"/>
      <c r="L912" s="309"/>
      <c r="M912" s="308"/>
      <c r="N912" s="309"/>
      <c r="O912" s="322"/>
      <c r="P912" s="308"/>
      <c r="Q912" s="311"/>
      <c r="R912" s="309"/>
      <c r="S912" s="308"/>
      <c r="T912" s="309"/>
      <c r="U912" s="309"/>
      <c r="V912" s="308"/>
      <c r="W912" s="309"/>
      <c r="X912" s="309"/>
      <c r="Y912" s="308"/>
      <c r="Z912" s="309"/>
      <c r="AA912" s="312"/>
      <c r="AB912" s="308"/>
      <c r="AC912" s="308"/>
      <c r="AD912" s="312"/>
      <c r="AE912" s="308"/>
      <c r="AF912" s="313"/>
      <c r="AG912" s="304"/>
      <c r="AH912" s="308"/>
      <c r="AI912" s="313"/>
      <c r="AJ912" s="304"/>
      <c r="AK912" s="308"/>
      <c r="AL912" s="308"/>
      <c r="AM912" s="304"/>
      <c r="AN912" s="308"/>
      <c r="AO912" s="313"/>
      <c r="AP912" s="304"/>
      <c r="AQ912" s="308"/>
      <c r="AR912" s="313"/>
      <c r="AS912" s="304"/>
      <c r="AT912" s="308"/>
      <c r="AU912" s="308"/>
      <c r="AV912" s="304"/>
      <c r="AW912" s="308"/>
      <c r="AX912" s="308"/>
      <c r="AY912" s="304"/>
      <c r="AZ912" s="308"/>
      <c r="BA912" s="313"/>
      <c r="BB912" s="304"/>
      <c r="BC912" s="308"/>
      <c r="BD912" s="308"/>
    </row>
    <row r="913">
      <c r="A913" s="301"/>
      <c r="B913" s="301"/>
      <c r="C913" s="303"/>
      <c r="D913" s="301"/>
      <c r="E913" s="309"/>
      <c r="F913" s="301"/>
      <c r="G913" s="301"/>
      <c r="H913" s="309"/>
      <c r="I913" s="327"/>
      <c r="J913" s="328"/>
      <c r="K913" s="326"/>
      <c r="L913" s="309"/>
      <c r="M913" s="308"/>
      <c r="N913" s="309"/>
      <c r="O913" s="322"/>
      <c r="P913" s="308"/>
      <c r="Q913" s="311"/>
      <c r="R913" s="309"/>
      <c r="S913" s="308"/>
      <c r="T913" s="309"/>
      <c r="U913" s="309"/>
      <c r="V913" s="308"/>
      <c r="W913" s="309"/>
      <c r="X913" s="309"/>
      <c r="Y913" s="308"/>
      <c r="Z913" s="309"/>
      <c r="AA913" s="312"/>
      <c r="AB913" s="308"/>
      <c r="AC913" s="308"/>
      <c r="AD913" s="312"/>
      <c r="AE913" s="308"/>
      <c r="AF913" s="313"/>
      <c r="AG913" s="304"/>
      <c r="AH913" s="308"/>
      <c r="AI913" s="313"/>
      <c r="AJ913" s="304"/>
      <c r="AK913" s="308"/>
      <c r="AL913" s="308"/>
      <c r="AM913" s="304"/>
      <c r="AN913" s="308"/>
      <c r="AO913" s="313"/>
      <c r="AP913" s="304"/>
      <c r="AQ913" s="308"/>
      <c r="AR913" s="313"/>
      <c r="AS913" s="304"/>
      <c r="AT913" s="308"/>
      <c r="AU913" s="308"/>
      <c r="AV913" s="304"/>
      <c r="AW913" s="308"/>
      <c r="AX913" s="308"/>
      <c r="AY913" s="304"/>
      <c r="AZ913" s="308"/>
      <c r="BA913" s="313"/>
      <c r="BB913" s="304"/>
      <c r="BC913" s="308"/>
      <c r="BD913" s="308"/>
    </row>
    <row r="914">
      <c r="A914" s="301"/>
      <c r="B914" s="301"/>
      <c r="C914" s="303"/>
      <c r="D914" s="301"/>
      <c r="E914" s="309"/>
      <c r="F914" s="301"/>
      <c r="G914" s="301"/>
      <c r="H914" s="309"/>
      <c r="I914" s="327"/>
      <c r="J914" s="328"/>
      <c r="K914" s="326"/>
      <c r="L914" s="309"/>
      <c r="M914" s="308"/>
      <c r="N914" s="309"/>
      <c r="O914" s="322"/>
      <c r="P914" s="308"/>
      <c r="Q914" s="311"/>
      <c r="R914" s="309"/>
      <c r="S914" s="308"/>
      <c r="T914" s="309"/>
      <c r="U914" s="309"/>
      <c r="V914" s="308"/>
      <c r="W914" s="309"/>
      <c r="X914" s="309"/>
      <c r="Y914" s="308"/>
      <c r="Z914" s="309"/>
      <c r="AA914" s="312"/>
      <c r="AB914" s="308"/>
      <c r="AC914" s="308"/>
      <c r="AD914" s="312"/>
      <c r="AE914" s="308"/>
      <c r="AF914" s="313"/>
      <c r="AG914" s="304"/>
      <c r="AH914" s="308"/>
      <c r="AI914" s="313"/>
      <c r="AJ914" s="304"/>
      <c r="AK914" s="308"/>
      <c r="AL914" s="308"/>
      <c r="AM914" s="304"/>
      <c r="AN914" s="308"/>
      <c r="AO914" s="313"/>
      <c r="AP914" s="304"/>
      <c r="AQ914" s="308"/>
      <c r="AR914" s="313"/>
      <c r="AS914" s="304"/>
      <c r="AT914" s="308"/>
      <c r="AU914" s="308"/>
      <c r="AV914" s="304"/>
      <c r="AW914" s="308"/>
      <c r="AX914" s="308"/>
      <c r="AY914" s="304"/>
      <c r="AZ914" s="308"/>
      <c r="BA914" s="313"/>
      <c r="BB914" s="304"/>
      <c r="BC914" s="308"/>
      <c r="BD914" s="308"/>
    </row>
    <row r="915">
      <c r="A915" s="301"/>
      <c r="B915" s="301"/>
      <c r="C915" s="303"/>
      <c r="D915" s="301"/>
      <c r="E915" s="309"/>
      <c r="F915" s="301"/>
      <c r="G915" s="301"/>
      <c r="H915" s="309"/>
      <c r="I915" s="327"/>
      <c r="J915" s="328"/>
      <c r="K915" s="326"/>
      <c r="L915" s="309"/>
      <c r="M915" s="308"/>
      <c r="N915" s="309"/>
      <c r="O915" s="322"/>
      <c r="P915" s="308"/>
      <c r="Q915" s="311"/>
      <c r="R915" s="309"/>
      <c r="S915" s="308"/>
      <c r="T915" s="309"/>
      <c r="U915" s="309"/>
      <c r="V915" s="308"/>
      <c r="W915" s="309"/>
      <c r="X915" s="309"/>
      <c r="Y915" s="308"/>
      <c r="Z915" s="309"/>
      <c r="AA915" s="312"/>
      <c r="AB915" s="308"/>
      <c r="AC915" s="308"/>
      <c r="AD915" s="312"/>
      <c r="AE915" s="308"/>
      <c r="AF915" s="313"/>
      <c r="AG915" s="304"/>
      <c r="AH915" s="308"/>
      <c r="AI915" s="313"/>
      <c r="AJ915" s="304"/>
      <c r="AK915" s="308"/>
      <c r="AL915" s="308"/>
      <c r="AM915" s="304"/>
      <c r="AN915" s="308"/>
      <c r="AO915" s="313"/>
      <c r="AP915" s="304"/>
      <c r="AQ915" s="308"/>
      <c r="AR915" s="313"/>
      <c r="AS915" s="304"/>
      <c r="AT915" s="308"/>
      <c r="AU915" s="308"/>
      <c r="AV915" s="304"/>
      <c r="AW915" s="308"/>
      <c r="AX915" s="308"/>
      <c r="AY915" s="304"/>
      <c r="AZ915" s="308"/>
      <c r="BA915" s="313"/>
      <c r="BB915" s="304"/>
      <c r="BC915" s="308"/>
      <c r="BD915" s="308"/>
    </row>
    <row r="916">
      <c r="A916" s="301"/>
      <c r="B916" s="301"/>
      <c r="C916" s="303"/>
      <c r="D916" s="301"/>
      <c r="E916" s="309"/>
      <c r="F916" s="301"/>
      <c r="G916" s="301"/>
      <c r="H916" s="309"/>
      <c r="I916" s="327"/>
      <c r="J916" s="328"/>
      <c r="K916" s="326"/>
      <c r="L916" s="309"/>
      <c r="M916" s="308"/>
      <c r="N916" s="309"/>
      <c r="O916" s="322"/>
      <c r="P916" s="308"/>
      <c r="Q916" s="311"/>
      <c r="R916" s="309"/>
      <c r="S916" s="308"/>
      <c r="T916" s="309"/>
      <c r="U916" s="309"/>
      <c r="V916" s="308"/>
      <c r="W916" s="309"/>
      <c r="X916" s="309"/>
      <c r="Y916" s="308"/>
      <c r="Z916" s="309"/>
      <c r="AA916" s="312"/>
      <c r="AB916" s="308"/>
      <c r="AC916" s="308"/>
      <c r="AD916" s="312"/>
      <c r="AE916" s="308"/>
      <c r="AF916" s="313"/>
      <c r="AG916" s="304"/>
      <c r="AH916" s="308"/>
      <c r="AI916" s="313"/>
      <c r="AJ916" s="304"/>
      <c r="AK916" s="308"/>
      <c r="AL916" s="308"/>
      <c r="AM916" s="304"/>
      <c r="AN916" s="308"/>
      <c r="AO916" s="313"/>
      <c r="AP916" s="304"/>
      <c r="AQ916" s="308"/>
      <c r="AR916" s="313"/>
      <c r="AS916" s="304"/>
      <c r="AT916" s="308"/>
      <c r="AU916" s="308"/>
      <c r="AV916" s="304"/>
      <c r="AW916" s="308"/>
      <c r="AX916" s="308"/>
      <c r="AY916" s="304"/>
      <c r="AZ916" s="308"/>
      <c r="BA916" s="313"/>
      <c r="BB916" s="304"/>
      <c r="BC916" s="308"/>
      <c r="BD916" s="308"/>
    </row>
    <row r="917">
      <c r="A917" s="301"/>
      <c r="B917" s="301"/>
      <c r="C917" s="303"/>
      <c r="D917" s="301"/>
      <c r="E917" s="309"/>
      <c r="F917" s="301"/>
      <c r="G917" s="301"/>
      <c r="H917" s="309"/>
      <c r="I917" s="327"/>
      <c r="J917" s="328"/>
      <c r="K917" s="326"/>
      <c r="L917" s="309"/>
      <c r="M917" s="308"/>
      <c r="N917" s="309"/>
      <c r="O917" s="322"/>
      <c r="P917" s="308"/>
      <c r="Q917" s="311"/>
      <c r="R917" s="309"/>
      <c r="S917" s="308"/>
      <c r="T917" s="309"/>
      <c r="U917" s="309"/>
      <c r="V917" s="308"/>
      <c r="W917" s="309"/>
      <c r="X917" s="309"/>
      <c r="Y917" s="308"/>
      <c r="Z917" s="309"/>
      <c r="AA917" s="312"/>
      <c r="AB917" s="308"/>
      <c r="AC917" s="308"/>
      <c r="AD917" s="312"/>
      <c r="AE917" s="308"/>
      <c r="AF917" s="313"/>
      <c r="AG917" s="304"/>
      <c r="AH917" s="308"/>
      <c r="AI917" s="313"/>
      <c r="AJ917" s="304"/>
      <c r="AK917" s="308"/>
      <c r="AL917" s="308"/>
      <c r="AM917" s="304"/>
      <c r="AN917" s="308"/>
      <c r="AO917" s="313"/>
      <c r="AP917" s="304"/>
      <c r="AQ917" s="308"/>
      <c r="AR917" s="313"/>
      <c r="AS917" s="304"/>
      <c r="AT917" s="308"/>
      <c r="AU917" s="308"/>
      <c r="AV917" s="304"/>
      <c r="AW917" s="308"/>
      <c r="AX917" s="308"/>
      <c r="AY917" s="304"/>
      <c r="AZ917" s="308"/>
      <c r="BA917" s="313"/>
      <c r="BB917" s="304"/>
      <c r="BC917" s="308"/>
      <c r="BD917" s="308"/>
    </row>
    <row r="918">
      <c r="A918" s="301"/>
      <c r="B918" s="301"/>
      <c r="C918" s="303"/>
      <c r="D918" s="301"/>
      <c r="E918" s="309"/>
      <c r="F918" s="301"/>
      <c r="G918" s="301"/>
      <c r="H918" s="309"/>
      <c r="I918" s="327"/>
      <c r="J918" s="328"/>
      <c r="K918" s="326"/>
      <c r="L918" s="309"/>
      <c r="M918" s="308"/>
      <c r="N918" s="309"/>
      <c r="O918" s="322"/>
      <c r="P918" s="308"/>
      <c r="Q918" s="311"/>
      <c r="R918" s="309"/>
      <c r="S918" s="308"/>
      <c r="T918" s="309"/>
      <c r="U918" s="309"/>
      <c r="V918" s="308"/>
      <c r="W918" s="309"/>
      <c r="X918" s="309"/>
      <c r="Y918" s="308"/>
      <c r="Z918" s="309"/>
      <c r="AA918" s="312"/>
      <c r="AB918" s="308"/>
      <c r="AC918" s="308"/>
      <c r="AD918" s="312"/>
      <c r="AE918" s="308"/>
      <c r="AF918" s="313"/>
      <c r="AG918" s="304"/>
      <c r="AH918" s="308"/>
      <c r="AI918" s="313"/>
      <c r="AJ918" s="304"/>
      <c r="AK918" s="308"/>
      <c r="AL918" s="308"/>
      <c r="AM918" s="304"/>
      <c r="AN918" s="308"/>
      <c r="AO918" s="313"/>
      <c r="AP918" s="304"/>
      <c r="AQ918" s="308"/>
      <c r="AR918" s="313"/>
      <c r="AS918" s="304"/>
      <c r="AT918" s="308"/>
      <c r="AU918" s="308"/>
      <c r="AV918" s="304"/>
      <c r="AW918" s="308"/>
      <c r="AX918" s="308"/>
      <c r="AY918" s="304"/>
      <c r="AZ918" s="308"/>
      <c r="BA918" s="313"/>
      <c r="BB918" s="304"/>
      <c r="BC918" s="308"/>
      <c r="BD918" s="308"/>
    </row>
    <row r="919">
      <c r="A919" s="301"/>
      <c r="B919" s="301"/>
      <c r="C919" s="303"/>
      <c r="D919" s="301"/>
      <c r="E919" s="309"/>
      <c r="F919" s="301"/>
      <c r="G919" s="301"/>
      <c r="H919" s="309"/>
      <c r="I919" s="327"/>
      <c r="J919" s="328"/>
      <c r="K919" s="326"/>
      <c r="L919" s="309"/>
      <c r="M919" s="308"/>
      <c r="N919" s="309"/>
      <c r="O919" s="322"/>
      <c r="P919" s="308"/>
      <c r="Q919" s="311"/>
      <c r="R919" s="309"/>
      <c r="S919" s="308"/>
      <c r="T919" s="309"/>
      <c r="U919" s="309"/>
      <c r="V919" s="308"/>
      <c r="W919" s="309"/>
      <c r="X919" s="309"/>
      <c r="Y919" s="308"/>
      <c r="Z919" s="309"/>
      <c r="AA919" s="312"/>
      <c r="AB919" s="308"/>
      <c r="AC919" s="308"/>
      <c r="AD919" s="312"/>
      <c r="AE919" s="308"/>
      <c r="AF919" s="313"/>
      <c r="AG919" s="304"/>
      <c r="AH919" s="308"/>
      <c r="AI919" s="313"/>
      <c r="AJ919" s="304"/>
      <c r="AK919" s="308"/>
      <c r="AL919" s="308"/>
      <c r="AM919" s="304"/>
      <c r="AN919" s="308"/>
      <c r="AO919" s="313"/>
      <c r="AP919" s="304"/>
      <c r="AQ919" s="308"/>
      <c r="AR919" s="313"/>
      <c r="AS919" s="304"/>
      <c r="AT919" s="308"/>
      <c r="AU919" s="308"/>
      <c r="AV919" s="304"/>
      <c r="AW919" s="308"/>
      <c r="AX919" s="308"/>
      <c r="AY919" s="304"/>
      <c r="AZ919" s="308"/>
      <c r="BA919" s="313"/>
      <c r="BB919" s="304"/>
      <c r="BC919" s="308"/>
      <c r="BD919" s="308"/>
    </row>
    <row r="920">
      <c r="A920" s="301"/>
      <c r="B920" s="301"/>
      <c r="C920" s="303"/>
      <c r="D920" s="301"/>
      <c r="E920" s="309"/>
      <c r="F920" s="301"/>
      <c r="G920" s="301"/>
      <c r="H920" s="309"/>
      <c r="I920" s="327"/>
      <c r="J920" s="328"/>
      <c r="K920" s="326"/>
      <c r="L920" s="309"/>
      <c r="M920" s="308"/>
      <c r="N920" s="309"/>
      <c r="O920" s="322"/>
      <c r="P920" s="308"/>
      <c r="Q920" s="311"/>
      <c r="R920" s="309"/>
      <c r="S920" s="308"/>
      <c r="T920" s="309"/>
      <c r="U920" s="309"/>
      <c r="V920" s="308"/>
      <c r="W920" s="309"/>
      <c r="X920" s="309"/>
      <c r="Y920" s="308"/>
      <c r="Z920" s="309"/>
      <c r="AA920" s="312"/>
      <c r="AB920" s="308"/>
      <c r="AC920" s="308"/>
      <c r="AD920" s="312"/>
      <c r="AE920" s="308"/>
      <c r="AF920" s="313"/>
      <c r="AG920" s="304"/>
      <c r="AH920" s="308"/>
      <c r="AI920" s="313"/>
      <c r="AJ920" s="304"/>
      <c r="AK920" s="308"/>
      <c r="AL920" s="308"/>
      <c r="AM920" s="304"/>
      <c r="AN920" s="308"/>
      <c r="AO920" s="313"/>
      <c r="AP920" s="304"/>
      <c r="AQ920" s="308"/>
      <c r="AR920" s="313"/>
      <c r="AS920" s="304"/>
      <c r="AT920" s="308"/>
      <c r="AU920" s="308"/>
      <c r="AV920" s="304"/>
      <c r="AW920" s="308"/>
      <c r="AX920" s="308"/>
      <c r="AY920" s="304"/>
      <c r="AZ920" s="308"/>
      <c r="BA920" s="313"/>
      <c r="BB920" s="304"/>
      <c r="BC920" s="308"/>
      <c r="BD920" s="308"/>
    </row>
    <row r="921">
      <c r="A921" s="301"/>
      <c r="B921" s="301"/>
      <c r="C921" s="303"/>
      <c r="D921" s="301"/>
      <c r="E921" s="309"/>
      <c r="F921" s="301"/>
      <c r="G921" s="301"/>
      <c r="H921" s="309"/>
      <c r="I921" s="327"/>
      <c r="J921" s="328"/>
      <c r="K921" s="326"/>
      <c r="L921" s="309"/>
      <c r="M921" s="308"/>
      <c r="N921" s="309"/>
      <c r="O921" s="322"/>
      <c r="P921" s="308"/>
      <c r="Q921" s="311"/>
      <c r="R921" s="309"/>
      <c r="S921" s="308"/>
      <c r="T921" s="309"/>
      <c r="U921" s="309"/>
      <c r="V921" s="308"/>
      <c r="W921" s="309"/>
      <c r="X921" s="309"/>
      <c r="Y921" s="308"/>
      <c r="Z921" s="309"/>
      <c r="AA921" s="312"/>
      <c r="AB921" s="308"/>
      <c r="AC921" s="308"/>
      <c r="AD921" s="312"/>
      <c r="AE921" s="308"/>
      <c r="AF921" s="313"/>
      <c r="AG921" s="304"/>
      <c r="AH921" s="308"/>
      <c r="AI921" s="313"/>
      <c r="AJ921" s="304"/>
      <c r="AK921" s="308"/>
      <c r="AL921" s="308"/>
      <c r="AM921" s="304"/>
      <c r="AN921" s="308"/>
      <c r="AO921" s="313"/>
      <c r="AP921" s="304"/>
      <c r="AQ921" s="308"/>
      <c r="AR921" s="313"/>
      <c r="AS921" s="304"/>
      <c r="AT921" s="308"/>
      <c r="AU921" s="308"/>
      <c r="AV921" s="304"/>
      <c r="AW921" s="308"/>
      <c r="AX921" s="308"/>
      <c r="AY921" s="304"/>
      <c r="AZ921" s="308"/>
      <c r="BA921" s="313"/>
      <c r="BB921" s="304"/>
      <c r="BC921" s="308"/>
      <c r="BD921" s="308"/>
    </row>
    <row r="922">
      <c r="A922" s="301"/>
      <c r="B922" s="301"/>
      <c r="C922" s="303"/>
      <c r="D922" s="301"/>
      <c r="E922" s="309"/>
      <c r="F922" s="301"/>
      <c r="G922" s="301"/>
      <c r="H922" s="309"/>
      <c r="I922" s="327"/>
      <c r="J922" s="328"/>
      <c r="K922" s="326"/>
      <c r="L922" s="309"/>
      <c r="M922" s="308"/>
      <c r="N922" s="309"/>
      <c r="O922" s="322"/>
      <c r="P922" s="308"/>
      <c r="Q922" s="311"/>
      <c r="R922" s="309"/>
      <c r="S922" s="308"/>
      <c r="T922" s="309"/>
      <c r="U922" s="309"/>
      <c r="V922" s="308"/>
      <c r="W922" s="309"/>
      <c r="X922" s="309"/>
      <c r="Y922" s="308"/>
      <c r="Z922" s="309"/>
      <c r="AA922" s="312"/>
      <c r="AB922" s="308"/>
      <c r="AC922" s="308"/>
      <c r="AD922" s="312"/>
      <c r="AE922" s="308"/>
      <c r="AF922" s="313"/>
      <c r="AG922" s="304"/>
      <c r="AH922" s="308"/>
      <c r="AI922" s="313"/>
      <c r="AJ922" s="304"/>
      <c r="AK922" s="308"/>
      <c r="AL922" s="308"/>
      <c r="AM922" s="304"/>
      <c r="AN922" s="308"/>
      <c r="AO922" s="313"/>
      <c r="AP922" s="304"/>
      <c r="AQ922" s="308"/>
      <c r="AR922" s="313"/>
      <c r="AS922" s="304"/>
      <c r="AT922" s="308"/>
      <c r="AU922" s="308"/>
      <c r="AV922" s="304"/>
      <c r="AW922" s="308"/>
      <c r="AX922" s="308"/>
      <c r="AY922" s="304"/>
      <c r="AZ922" s="308"/>
      <c r="BA922" s="313"/>
      <c r="BB922" s="304"/>
      <c r="BC922" s="308"/>
      <c r="BD922" s="308"/>
    </row>
    <row r="923">
      <c r="A923" s="301"/>
      <c r="B923" s="301"/>
      <c r="C923" s="303"/>
      <c r="D923" s="301"/>
      <c r="E923" s="309"/>
      <c r="F923" s="301"/>
      <c r="G923" s="301"/>
      <c r="H923" s="309"/>
      <c r="I923" s="327"/>
      <c r="J923" s="328"/>
      <c r="K923" s="326"/>
      <c r="L923" s="309"/>
      <c r="M923" s="308"/>
      <c r="N923" s="309"/>
      <c r="O923" s="322"/>
      <c r="P923" s="308"/>
      <c r="Q923" s="311"/>
      <c r="R923" s="309"/>
      <c r="S923" s="308"/>
      <c r="T923" s="309"/>
      <c r="U923" s="309"/>
      <c r="V923" s="308"/>
      <c r="W923" s="309"/>
      <c r="X923" s="309"/>
      <c r="Y923" s="308"/>
      <c r="Z923" s="309"/>
      <c r="AA923" s="312"/>
      <c r="AB923" s="308"/>
      <c r="AC923" s="308"/>
      <c r="AD923" s="312"/>
      <c r="AE923" s="308"/>
      <c r="AF923" s="313"/>
      <c r="AG923" s="304"/>
      <c r="AH923" s="308"/>
      <c r="AI923" s="313"/>
      <c r="AJ923" s="304"/>
      <c r="AK923" s="308"/>
      <c r="AL923" s="308"/>
      <c r="AM923" s="304"/>
      <c r="AN923" s="308"/>
      <c r="AO923" s="313"/>
      <c r="AP923" s="304"/>
      <c r="AQ923" s="308"/>
      <c r="AR923" s="313"/>
      <c r="AS923" s="304"/>
      <c r="AT923" s="308"/>
      <c r="AU923" s="308"/>
      <c r="AV923" s="304"/>
      <c r="AW923" s="308"/>
      <c r="AX923" s="308"/>
      <c r="AY923" s="304"/>
      <c r="AZ923" s="308"/>
      <c r="BA923" s="313"/>
      <c r="BB923" s="304"/>
      <c r="BC923" s="308"/>
      <c r="BD923" s="308"/>
    </row>
    <row r="924">
      <c r="A924" s="301"/>
      <c r="B924" s="301"/>
      <c r="C924" s="303"/>
      <c r="D924" s="301"/>
      <c r="E924" s="309"/>
      <c r="F924" s="301"/>
      <c r="G924" s="301"/>
      <c r="H924" s="309"/>
      <c r="I924" s="327"/>
      <c r="J924" s="328"/>
      <c r="K924" s="326"/>
      <c r="L924" s="309"/>
      <c r="M924" s="308"/>
      <c r="N924" s="309"/>
      <c r="O924" s="322"/>
      <c r="P924" s="308"/>
      <c r="Q924" s="311"/>
      <c r="R924" s="309"/>
      <c r="S924" s="308"/>
      <c r="T924" s="309"/>
      <c r="U924" s="309"/>
      <c r="V924" s="308"/>
      <c r="W924" s="309"/>
      <c r="X924" s="309"/>
      <c r="Y924" s="308"/>
      <c r="Z924" s="309"/>
      <c r="AA924" s="312"/>
      <c r="AB924" s="308"/>
      <c r="AC924" s="308"/>
      <c r="AD924" s="312"/>
      <c r="AE924" s="308"/>
      <c r="AF924" s="313"/>
      <c r="AG924" s="304"/>
      <c r="AH924" s="308"/>
      <c r="AI924" s="313"/>
      <c r="AJ924" s="304"/>
      <c r="AK924" s="308"/>
      <c r="AL924" s="308"/>
      <c r="AM924" s="304"/>
      <c r="AN924" s="308"/>
      <c r="AO924" s="313"/>
      <c r="AP924" s="304"/>
      <c r="AQ924" s="308"/>
      <c r="AR924" s="313"/>
      <c r="AS924" s="304"/>
      <c r="AT924" s="308"/>
      <c r="AU924" s="308"/>
      <c r="AV924" s="304"/>
      <c r="AW924" s="308"/>
      <c r="AX924" s="308"/>
      <c r="AY924" s="304"/>
      <c r="AZ924" s="308"/>
      <c r="BA924" s="313"/>
      <c r="BB924" s="304"/>
      <c r="BC924" s="308"/>
      <c r="BD924" s="308"/>
    </row>
    <row r="925">
      <c r="A925" s="301"/>
      <c r="B925" s="301"/>
      <c r="C925" s="303"/>
      <c r="D925" s="301"/>
      <c r="E925" s="309"/>
      <c r="F925" s="301"/>
      <c r="G925" s="301"/>
      <c r="H925" s="309"/>
      <c r="I925" s="327"/>
      <c r="J925" s="328"/>
      <c r="K925" s="326"/>
      <c r="L925" s="309"/>
      <c r="M925" s="308"/>
      <c r="N925" s="309"/>
      <c r="O925" s="322"/>
      <c r="P925" s="308"/>
      <c r="Q925" s="311"/>
      <c r="R925" s="309"/>
      <c r="S925" s="308"/>
      <c r="T925" s="309"/>
      <c r="U925" s="309"/>
      <c r="V925" s="308"/>
      <c r="W925" s="309"/>
      <c r="X925" s="309"/>
      <c r="Y925" s="308"/>
      <c r="Z925" s="309"/>
      <c r="AA925" s="312"/>
      <c r="AB925" s="308"/>
      <c r="AC925" s="308"/>
      <c r="AD925" s="312"/>
      <c r="AE925" s="308"/>
      <c r="AF925" s="313"/>
      <c r="AG925" s="304"/>
      <c r="AH925" s="308"/>
      <c r="AI925" s="313"/>
      <c r="AJ925" s="304"/>
      <c r="AK925" s="308"/>
      <c r="AL925" s="308"/>
      <c r="AM925" s="304"/>
      <c r="AN925" s="308"/>
      <c r="AO925" s="313"/>
      <c r="AP925" s="304"/>
      <c r="AQ925" s="308"/>
      <c r="AR925" s="313"/>
      <c r="AS925" s="304"/>
      <c r="AT925" s="308"/>
      <c r="AU925" s="308"/>
      <c r="AV925" s="304"/>
      <c r="AW925" s="308"/>
      <c r="AX925" s="308"/>
      <c r="AY925" s="304"/>
      <c r="AZ925" s="308"/>
      <c r="BA925" s="313"/>
      <c r="BB925" s="304"/>
      <c r="BC925" s="308"/>
      <c r="BD925" s="308"/>
    </row>
    <row r="926">
      <c r="A926" s="301"/>
      <c r="B926" s="301"/>
      <c r="C926" s="303"/>
      <c r="D926" s="301"/>
      <c r="E926" s="309"/>
      <c r="F926" s="301"/>
      <c r="G926" s="301"/>
      <c r="H926" s="309"/>
      <c r="I926" s="327"/>
      <c r="J926" s="328"/>
      <c r="K926" s="326"/>
      <c r="L926" s="309"/>
      <c r="M926" s="308"/>
      <c r="N926" s="309"/>
      <c r="O926" s="322"/>
      <c r="P926" s="308"/>
      <c r="Q926" s="311"/>
      <c r="R926" s="309"/>
      <c r="S926" s="308"/>
      <c r="T926" s="309"/>
      <c r="U926" s="309"/>
      <c r="V926" s="308"/>
      <c r="W926" s="309"/>
      <c r="X926" s="309"/>
      <c r="Y926" s="308"/>
      <c r="Z926" s="309"/>
      <c r="AA926" s="312"/>
      <c r="AB926" s="308"/>
      <c r="AC926" s="308"/>
      <c r="AD926" s="312"/>
      <c r="AE926" s="308"/>
      <c r="AF926" s="313"/>
      <c r="AG926" s="304"/>
      <c r="AH926" s="308"/>
      <c r="AI926" s="313"/>
      <c r="AJ926" s="304"/>
      <c r="AK926" s="308"/>
      <c r="AL926" s="308"/>
      <c r="AM926" s="304"/>
      <c r="AN926" s="308"/>
      <c r="AO926" s="313"/>
      <c r="AP926" s="304"/>
      <c r="AQ926" s="308"/>
      <c r="AR926" s="313"/>
      <c r="AS926" s="304"/>
      <c r="AT926" s="308"/>
      <c r="AU926" s="308"/>
      <c r="AV926" s="304"/>
      <c r="AW926" s="308"/>
      <c r="AX926" s="308"/>
      <c r="AY926" s="304"/>
      <c r="AZ926" s="308"/>
      <c r="BA926" s="313"/>
      <c r="BB926" s="304"/>
      <c r="BC926" s="308"/>
      <c r="BD926" s="308"/>
    </row>
    <row r="927">
      <c r="A927" s="301"/>
      <c r="B927" s="301"/>
      <c r="C927" s="303"/>
      <c r="D927" s="301"/>
      <c r="E927" s="309"/>
      <c r="F927" s="301"/>
      <c r="G927" s="301"/>
      <c r="H927" s="309"/>
      <c r="I927" s="327"/>
      <c r="J927" s="328"/>
      <c r="K927" s="326"/>
      <c r="L927" s="309"/>
      <c r="M927" s="308"/>
      <c r="N927" s="309"/>
      <c r="O927" s="322"/>
      <c r="P927" s="308"/>
      <c r="Q927" s="311"/>
      <c r="R927" s="309"/>
      <c r="S927" s="308"/>
      <c r="T927" s="309"/>
      <c r="U927" s="309"/>
      <c r="V927" s="308"/>
      <c r="W927" s="309"/>
      <c r="X927" s="309"/>
      <c r="Y927" s="308"/>
      <c r="Z927" s="309"/>
      <c r="AA927" s="312"/>
      <c r="AB927" s="308"/>
      <c r="AC927" s="308"/>
      <c r="AD927" s="312"/>
      <c r="AE927" s="308"/>
      <c r="AF927" s="313"/>
      <c r="AG927" s="304"/>
      <c r="AH927" s="308"/>
      <c r="AI927" s="313"/>
      <c r="AJ927" s="304"/>
      <c r="AK927" s="308"/>
      <c r="AL927" s="308"/>
      <c r="AM927" s="304"/>
      <c r="AN927" s="308"/>
      <c r="AO927" s="313"/>
      <c r="AP927" s="304"/>
      <c r="AQ927" s="308"/>
      <c r="AR927" s="313"/>
      <c r="AS927" s="304"/>
      <c r="AT927" s="308"/>
      <c r="AU927" s="308"/>
      <c r="AV927" s="304"/>
      <c r="AW927" s="308"/>
      <c r="AX927" s="308"/>
      <c r="AY927" s="304"/>
      <c r="AZ927" s="308"/>
      <c r="BA927" s="313"/>
      <c r="BB927" s="304"/>
      <c r="BC927" s="308"/>
      <c r="BD927" s="308"/>
    </row>
    <row r="928">
      <c r="A928" s="301"/>
      <c r="B928" s="301"/>
      <c r="C928" s="303"/>
      <c r="D928" s="301"/>
      <c r="E928" s="309"/>
      <c r="F928" s="301"/>
      <c r="G928" s="301"/>
      <c r="H928" s="309"/>
      <c r="I928" s="327"/>
      <c r="J928" s="328"/>
      <c r="K928" s="326"/>
      <c r="L928" s="309"/>
      <c r="M928" s="308"/>
      <c r="N928" s="309"/>
      <c r="O928" s="322"/>
      <c r="P928" s="308"/>
      <c r="Q928" s="311"/>
      <c r="R928" s="309"/>
      <c r="S928" s="308"/>
      <c r="T928" s="309"/>
      <c r="U928" s="309"/>
      <c r="V928" s="308"/>
      <c r="W928" s="309"/>
      <c r="X928" s="309"/>
      <c r="Y928" s="308"/>
      <c r="Z928" s="309"/>
      <c r="AA928" s="312"/>
      <c r="AB928" s="308"/>
      <c r="AC928" s="308"/>
      <c r="AD928" s="312"/>
      <c r="AE928" s="308"/>
      <c r="AF928" s="313"/>
      <c r="AG928" s="304"/>
      <c r="AH928" s="308"/>
      <c r="AI928" s="313"/>
      <c r="AJ928" s="304"/>
      <c r="AK928" s="308"/>
      <c r="AL928" s="308"/>
      <c r="AM928" s="304"/>
      <c r="AN928" s="308"/>
      <c r="AO928" s="313"/>
      <c r="AP928" s="304"/>
      <c r="AQ928" s="308"/>
      <c r="AR928" s="313"/>
      <c r="AS928" s="304"/>
      <c r="AT928" s="308"/>
      <c r="AU928" s="308"/>
      <c r="AV928" s="304"/>
      <c r="AW928" s="308"/>
      <c r="AX928" s="308"/>
      <c r="AY928" s="304"/>
      <c r="AZ928" s="308"/>
      <c r="BA928" s="313"/>
      <c r="BB928" s="304"/>
      <c r="BC928" s="308"/>
      <c r="BD928" s="308"/>
    </row>
    <row r="929">
      <c r="A929" s="301"/>
      <c r="B929" s="301"/>
      <c r="C929" s="303"/>
      <c r="D929" s="301"/>
      <c r="E929" s="309"/>
      <c r="F929" s="301"/>
      <c r="G929" s="301"/>
      <c r="H929" s="309"/>
      <c r="I929" s="327"/>
      <c r="J929" s="328"/>
      <c r="K929" s="326"/>
      <c r="L929" s="309"/>
      <c r="M929" s="308"/>
      <c r="N929" s="309"/>
      <c r="O929" s="322"/>
      <c r="P929" s="308"/>
      <c r="Q929" s="311"/>
      <c r="R929" s="309"/>
      <c r="S929" s="308"/>
      <c r="T929" s="309"/>
      <c r="U929" s="309"/>
      <c r="V929" s="308"/>
      <c r="W929" s="309"/>
      <c r="X929" s="309"/>
      <c r="Y929" s="308"/>
      <c r="Z929" s="309"/>
      <c r="AA929" s="312"/>
      <c r="AB929" s="308"/>
      <c r="AC929" s="308"/>
      <c r="AD929" s="312"/>
      <c r="AE929" s="308"/>
      <c r="AF929" s="313"/>
      <c r="AG929" s="304"/>
      <c r="AH929" s="308"/>
      <c r="AI929" s="313"/>
      <c r="AJ929" s="304"/>
      <c r="AK929" s="308"/>
      <c r="AL929" s="308"/>
      <c r="AM929" s="304"/>
      <c r="AN929" s="308"/>
      <c r="AO929" s="313"/>
      <c r="AP929" s="304"/>
      <c r="AQ929" s="308"/>
      <c r="AR929" s="313"/>
      <c r="AS929" s="304"/>
      <c r="AT929" s="308"/>
      <c r="AU929" s="308"/>
      <c r="AV929" s="304"/>
      <c r="AW929" s="308"/>
      <c r="AX929" s="308"/>
      <c r="AY929" s="304"/>
      <c r="AZ929" s="308"/>
      <c r="BA929" s="313"/>
      <c r="BB929" s="304"/>
      <c r="BC929" s="308"/>
      <c r="BD929" s="308"/>
    </row>
    <row r="930">
      <c r="A930" s="301"/>
      <c r="B930" s="301"/>
      <c r="C930" s="303"/>
      <c r="D930" s="301"/>
      <c r="E930" s="309"/>
      <c r="F930" s="301"/>
      <c r="G930" s="301"/>
      <c r="H930" s="309"/>
      <c r="I930" s="327"/>
      <c r="J930" s="328"/>
      <c r="K930" s="326"/>
      <c r="L930" s="309"/>
      <c r="M930" s="308"/>
      <c r="N930" s="309"/>
      <c r="O930" s="322"/>
      <c r="P930" s="308"/>
      <c r="Q930" s="311"/>
      <c r="R930" s="309"/>
      <c r="S930" s="308"/>
      <c r="T930" s="309"/>
      <c r="U930" s="309"/>
      <c r="V930" s="308"/>
      <c r="W930" s="309"/>
      <c r="X930" s="309"/>
      <c r="Y930" s="308"/>
      <c r="Z930" s="309"/>
      <c r="AA930" s="312"/>
      <c r="AB930" s="308"/>
      <c r="AC930" s="308"/>
      <c r="AD930" s="312"/>
      <c r="AE930" s="308"/>
      <c r="AF930" s="313"/>
      <c r="AG930" s="304"/>
      <c r="AH930" s="308"/>
      <c r="AI930" s="313"/>
      <c r="AJ930" s="304"/>
      <c r="AK930" s="308"/>
      <c r="AL930" s="308"/>
      <c r="AM930" s="304"/>
      <c r="AN930" s="308"/>
      <c r="AO930" s="313"/>
      <c r="AP930" s="304"/>
      <c r="AQ930" s="308"/>
      <c r="AR930" s="313"/>
      <c r="AS930" s="304"/>
      <c r="AT930" s="308"/>
      <c r="AU930" s="308"/>
      <c r="AV930" s="304"/>
      <c r="AW930" s="308"/>
      <c r="AX930" s="308"/>
      <c r="AY930" s="304"/>
      <c r="AZ930" s="308"/>
      <c r="BA930" s="313"/>
      <c r="BB930" s="304"/>
      <c r="BC930" s="308"/>
      <c r="BD930" s="308"/>
    </row>
    <row r="931">
      <c r="A931" s="301"/>
      <c r="B931" s="301"/>
      <c r="C931" s="303"/>
      <c r="D931" s="301"/>
      <c r="E931" s="309"/>
      <c r="F931" s="301"/>
      <c r="G931" s="301"/>
      <c r="H931" s="309"/>
      <c r="I931" s="327"/>
      <c r="J931" s="328"/>
      <c r="K931" s="326"/>
      <c r="L931" s="309"/>
      <c r="M931" s="308"/>
      <c r="N931" s="309"/>
      <c r="O931" s="322"/>
      <c r="P931" s="308"/>
      <c r="Q931" s="311"/>
      <c r="R931" s="309"/>
      <c r="S931" s="308"/>
      <c r="T931" s="309"/>
      <c r="U931" s="309"/>
      <c r="V931" s="308"/>
      <c r="W931" s="309"/>
      <c r="X931" s="309"/>
      <c r="Y931" s="308"/>
      <c r="Z931" s="309"/>
      <c r="AA931" s="312"/>
      <c r="AB931" s="308"/>
      <c r="AC931" s="308"/>
      <c r="AD931" s="312"/>
      <c r="AE931" s="308"/>
      <c r="AF931" s="313"/>
      <c r="AG931" s="304"/>
      <c r="AH931" s="308"/>
      <c r="AI931" s="313"/>
      <c r="AJ931" s="304"/>
      <c r="AK931" s="308"/>
      <c r="AL931" s="308"/>
      <c r="AM931" s="304"/>
      <c r="AN931" s="308"/>
      <c r="AO931" s="313"/>
      <c r="AP931" s="304"/>
      <c r="AQ931" s="308"/>
      <c r="AR931" s="313"/>
      <c r="AS931" s="304"/>
      <c r="AT931" s="308"/>
      <c r="AU931" s="308"/>
      <c r="AV931" s="304"/>
      <c r="AW931" s="308"/>
      <c r="AX931" s="308"/>
      <c r="AY931" s="304"/>
      <c r="AZ931" s="308"/>
      <c r="BA931" s="313"/>
      <c r="BB931" s="304"/>
      <c r="BC931" s="308"/>
      <c r="BD931" s="308"/>
    </row>
    <row r="932">
      <c r="A932" s="301"/>
      <c r="B932" s="301"/>
      <c r="C932" s="303"/>
      <c r="D932" s="301"/>
      <c r="E932" s="309"/>
      <c r="F932" s="301"/>
      <c r="G932" s="301"/>
      <c r="H932" s="309"/>
      <c r="I932" s="327"/>
      <c r="J932" s="328"/>
      <c r="K932" s="326"/>
      <c r="L932" s="309"/>
      <c r="M932" s="308"/>
      <c r="N932" s="309"/>
      <c r="O932" s="322"/>
      <c r="P932" s="308"/>
      <c r="Q932" s="311"/>
      <c r="R932" s="309"/>
      <c r="S932" s="308"/>
      <c r="T932" s="309"/>
      <c r="U932" s="309"/>
      <c r="V932" s="308"/>
      <c r="W932" s="309"/>
      <c r="X932" s="309"/>
      <c r="Y932" s="308"/>
      <c r="Z932" s="309"/>
      <c r="AA932" s="312"/>
      <c r="AB932" s="308"/>
      <c r="AC932" s="308"/>
      <c r="AD932" s="312"/>
      <c r="AE932" s="308"/>
      <c r="AF932" s="313"/>
      <c r="AG932" s="304"/>
      <c r="AH932" s="308"/>
      <c r="AI932" s="313"/>
      <c r="AJ932" s="304"/>
      <c r="AK932" s="308"/>
      <c r="AL932" s="308"/>
      <c r="AM932" s="304"/>
      <c r="AN932" s="308"/>
      <c r="AO932" s="313"/>
      <c r="AP932" s="304"/>
      <c r="AQ932" s="308"/>
      <c r="AR932" s="313"/>
      <c r="AS932" s="304"/>
      <c r="AT932" s="308"/>
      <c r="AU932" s="308"/>
      <c r="AV932" s="304"/>
      <c r="AW932" s="308"/>
      <c r="AX932" s="308"/>
      <c r="AY932" s="304"/>
      <c r="AZ932" s="308"/>
      <c r="BA932" s="313"/>
      <c r="BB932" s="304"/>
      <c r="BC932" s="308"/>
      <c r="BD932" s="308"/>
    </row>
    <row r="933">
      <c r="A933" s="301"/>
      <c r="B933" s="301"/>
      <c r="C933" s="303"/>
      <c r="D933" s="301"/>
      <c r="E933" s="309"/>
      <c r="F933" s="301"/>
      <c r="G933" s="301"/>
      <c r="H933" s="309"/>
      <c r="I933" s="327"/>
      <c r="J933" s="328"/>
      <c r="K933" s="326"/>
      <c r="L933" s="309"/>
      <c r="M933" s="308"/>
      <c r="N933" s="309"/>
      <c r="O933" s="322"/>
      <c r="P933" s="308"/>
      <c r="Q933" s="311"/>
      <c r="R933" s="309"/>
      <c r="S933" s="308"/>
      <c r="T933" s="309"/>
      <c r="U933" s="309"/>
      <c r="V933" s="308"/>
      <c r="W933" s="309"/>
      <c r="X933" s="309"/>
      <c r="Y933" s="308"/>
      <c r="Z933" s="309"/>
      <c r="AA933" s="312"/>
      <c r="AB933" s="308"/>
      <c r="AC933" s="308"/>
      <c r="AD933" s="312"/>
      <c r="AE933" s="308"/>
      <c r="AF933" s="313"/>
      <c r="AG933" s="304"/>
      <c r="AH933" s="308"/>
      <c r="AI933" s="313"/>
      <c r="AJ933" s="304"/>
      <c r="AK933" s="308"/>
      <c r="AL933" s="308"/>
      <c r="AM933" s="304"/>
      <c r="AN933" s="308"/>
      <c r="AO933" s="313"/>
      <c r="AP933" s="304"/>
      <c r="AQ933" s="308"/>
      <c r="AR933" s="313"/>
      <c r="AS933" s="304"/>
      <c r="AT933" s="308"/>
      <c r="AU933" s="308"/>
      <c r="AV933" s="304"/>
      <c r="AW933" s="308"/>
      <c r="AX933" s="308"/>
      <c r="AY933" s="304"/>
      <c r="AZ933" s="308"/>
      <c r="BA933" s="313"/>
      <c r="BB933" s="304"/>
      <c r="BC933" s="308"/>
      <c r="BD933" s="308"/>
    </row>
    <row r="934">
      <c r="A934" s="301"/>
      <c r="B934" s="301"/>
      <c r="C934" s="303"/>
      <c r="D934" s="301"/>
      <c r="E934" s="309"/>
      <c r="F934" s="301"/>
      <c r="G934" s="301"/>
      <c r="H934" s="309"/>
      <c r="I934" s="327"/>
      <c r="J934" s="328"/>
      <c r="K934" s="326"/>
      <c r="L934" s="309"/>
      <c r="M934" s="308"/>
      <c r="N934" s="309"/>
      <c r="O934" s="322"/>
      <c r="P934" s="308"/>
      <c r="Q934" s="311"/>
      <c r="R934" s="309"/>
      <c r="S934" s="308"/>
      <c r="T934" s="309"/>
      <c r="U934" s="309"/>
      <c r="V934" s="308"/>
      <c r="W934" s="309"/>
      <c r="X934" s="309"/>
      <c r="Y934" s="308"/>
      <c r="Z934" s="309"/>
      <c r="AA934" s="312"/>
      <c r="AB934" s="308"/>
      <c r="AC934" s="308"/>
      <c r="AD934" s="312"/>
      <c r="AE934" s="308"/>
      <c r="AF934" s="313"/>
      <c r="AG934" s="304"/>
      <c r="AH934" s="308"/>
      <c r="AI934" s="313"/>
      <c r="AJ934" s="304"/>
      <c r="AK934" s="308"/>
      <c r="AL934" s="308"/>
      <c r="AM934" s="304"/>
      <c r="AN934" s="308"/>
      <c r="AO934" s="313"/>
      <c r="AP934" s="304"/>
      <c r="AQ934" s="308"/>
      <c r="AR934" s="313"/>
      <c r="AS934" s="304"/>
      <c r="AT934" s="308"/>
      <c r="AU934" s="308"/>
      <c r="AV934" s="304"/>
      <c r="AW934" s="308"/>
      <c r="AX934" s="308"/>
      <c r="AY934" s="304"/>
      <c r="AZ934" s="308"/>
      <c r="BA934" s="313"/>
      <c r="BB934" s="304"/>
      <c r="BC934" s="308"/>
      <c r="BD934" s="308"/>
    </row>
    <row r="935">
      <c r="A935" s="301"/>
      <c r="B935" s="301"/>
      <c r="C935" s="303"/>
      <c r="D935" s="301"/>
      <c r="E935" s="309"/>
      <c r="F935" s="301"/>
      <c r="G935" s="301"/>
      <c r="H935" s="309"/>
      <c r="I935" s="327"/>
      <c r="J935" s="328"/>
      <c r="K935" s="326"/>
      <c r="L935" s="309"/>
      <c r="M935" s="308"/>
      <c r="N935" s="309"/>
      <c r="O935" s="322"/>
      <c r="P935" s="308"/>
      <c r="Q935" s="311"/>
      <c r="R935" s="309"/>
      <c r="S935" s="308"/>
      <c r="T935" s="309"/>
      <c r="U935" s="309"/>
      <c r="V935" s="308"/>
      <c r="W935" s="309"/>
      <c r="X935" s="309"/>
      <c r="Y935" s="308"/>
      <c r="Z935" s="309"/>
      <c r="AA935" s="312"/>
      <c r="AB935" s="308"/>
      <c r="AC935" s="308"/>
      <c r="AD935" s="312"/>
      <c r="AE935" s="308"/>
      <c r="AF935" s="313"/>
      <c r="AG935" s="304"/>
      <c r="AH935" s="308"/>
      <c r="AI935" s="313"/>
      <c r="AJ935" s="304"/>
      <c r="AK935" s="308"/>
      <c r="AL935" s="308"/>
      <c r="AM935" s="304"/>
      <c r="AN935" s="308"/>
      <c r="AO935" s="313"/>
      <c r="AP935" s="304"/>
      <c r="AQ935" s="308"/>
      <c r="AR935" s="313"/>
      <c r="AS935" s="304"/>
      <c r="AT935" s="308"/>
      <c r="AU935" s="308"/>
      <c r="AV935" s="304"/>
      <c r="AW935" s="308"/>
      <c r="AX935" s="308"/>
      <c r="AY935" s="304"/>
      <c r="AZ935" s="308"/>
      <c r="BA935" s="313"/>
      <c r="BB935" s="304"/>
      <c r="BC935" s="308"/>
      <c r="BD935" s="308"/>
    </row>
    <row r="936">
      <c r="A936" s="301"/>
      <c r="B936" s="301"/>
      <c r="C936" s="303"/>
      <c r="D936" s="301"/>
      <c r="E936" s="309"/>
      <c r="F936" s="301"/>
      <c r="G936" s="301"/>
      <c r="H936" s="309"/>
      <c r="I936" s="327"/>
      <c r="J936" s="328"/>
      <c r="K936" s="326"/>
      <c r="L936" s="309"/>
      <c r="M936" s="308"/>
      <c r="N936" s="309"/>
      <c r="O936" s="322"/>
      <c r="P936" s="308"/>
      <c r="Q936" s="311"/>
      <c r="R936" s="309"/>
      <c r="S936" s="308"/>
      <c r="T936" s="309"/>
      <c r="U936" s="309"/>
      <c r="V936" s="308"/>
      <c r="W936" s="309"/>
      <c r="X936" s="309"/>
      <c r="Y936" s="308"/>
      <c r="Z936" s="309"/>
      <c r="AA936" s="312"/>
      <c r="AB936" s="308"/>
      <c r="AC936" s="308"/>
      <c r="AD936" s="312"/>
      <c r="AE936" s="308"/>
      <c r="AF936" s="313"/>
      <c r="AG936" s="304"/>
      <c r="AH936" s="308"/>
      <c r="AI936" s="313"/>
      <c r="AJ936" s="304"/>
      <c r="AK936" s="308"/>
      <c r="AL936" s="308"/>
      <c r="AM936" s="304"/>
      <c r="AN936" s="308"/>
      <c r="AO936" s="313"/>
      <c r="AP936" s="304"/>
      <c r="AQ936" s="308"/>
      <c r="AR936" s="313"/>
      <c r="AS936" s="304"/>
      <c r="AT936" s="308"/>
      <c r="AU936" s="308"/>
      <c r="AV936" s="304"/>
      <c r="AW936" s="308"/>
      <c r="AX936" s="308"/>
      <c r="AY936" s="304"/>
      <c r="AZ936" s="308"/>
      <c r="BA936" s="313"/>
      <c r="BB936" s="304"/>
      <c r="BC936" s="308"/>
      <c r="BD936" s="308"/>
    </row>
    <row r="937">
      <c r="A937" s="301"/>
      <c r="B937" s="301"/>
      <c r="C937" s="303"/>
      <c r="D937" s="301"/>
      <c r="E937" s="309"/>
      <c r="F937" s="301"/>
      <c r="G937" s="301"/>
      <c r="H937" s="309"/>
      <c r="I937" s="327"/>
      <c r="J937" s="328"/>
      <c r="K937" s="326"/>
      <c r="L937" s="309"/>
      <c r="M937" s="308"/>
      <c r="N937" s="309"/>
      <c r="O937" s="322"/>
      <c r="P937" s="308"/>
      <c r="Q937" s="311"/>
      <c r="R937" s="309"/>
      <c r="S937" s="308"/>
      <c r="T937" s="309"/>
      <c r="U937" s="309"/>
      <c r="V937" s="308"/>
      <c r="W937" s="309"/>
      <c r="X937" s="309"/>
      <c r="Y937" s="308"/>
      <c r="Z937" s="309"/>
      <c r="AA937" s="312"/>
      <c r="AB937" s="308"/>
      <c r="AC937" s="308"/>
      <c r="AD937" s="312"/>
      <c r="AE937" s="308"/>
      <c r="AF937" s="313"/>
      <c r="AG937" s="304"/>
      <c r="AH937" s="308"/>
      <c r="AI937" s="313"/>
      <c r="AJ937" s="304"/>
      <c r="AK937" s="308"/>
      <c r="AL937" s="308"/>
      <c r="AM937" s="304"/>
      <c r="AN937" s="308"/>
      <c r="AO937" s="313"/>
      <c r="AP937" s="304"/>
      <c r="AQ937" s="308"/>
      <c r="AR937" s="313"/>
      <c r="AS937" s="304"/>
      <c r="AT937" s="308"/>
      <c r="AU937" s="308"/>
      <c r="AV937" s="304"/>
      <c r="AW937" s="308"/>
      <c r="AX937" s="308"/>
      <c r="AY937" s="304"/>
      <c r="AZ937" s="308"/>
      <c r="BA937" s="313"/>
      <c r="BB937" s="304"/>
      <c r="BC937" s="308"/>
      <c r="BD937" s="308"/>
    </row>
    <row r="938">
      <c r="A938" s="301"/>
      <c r="B938" s="301"/>
      <c r="C938" s="303"/>
      <c r="D938" s="301"/>
      <c r="E938" s="309"/>
      <c r="F938" s="301"/>
      <c r="G938" s="301"/>
      <c r="H938" s="309"/>
      <c r="I938" s="327"/>
      <c r="J938" s="328"/>
      <c r="K938" s="326"/>
      <c r="L938" s="309"/>
      <c r="M938" s="308"/>
      <c r="N938" s="309"/>
      <c r="O938" s="322"/>
      <c r="P938" s="308"/>
      <c r="Q938" s="311"/>
      <c r="R938" s="309"/>
      <c r="S938" s="308"/>
      <c r="T938" s="309"/>
      <c r="U938" s="309"/>
      <c r="V938" s="308"/>
      <c r="W938" s="309"/>
      <c r="X938" s="309"/>
      <c r="Y938" s="308"/>
      <c r="Z938" s="309"/>
      <c r="AA938" s="312"/>
      <c r="AB938" s="308"/>
      <c r="AC938" s="308"/>
      <c r="AD938" s="312"/>
      <c r="AE938" s="308"/>
      <c r="AF938" s="313"/>
      <c r="AG938" s="304"/>
      <c r="AH938" s="308"/>
      <c r="AI938" s="313"/>
      <c r="AJ938" s="304"/>
      <c r="AK938" s="308"/>
      <c r="AL938" s="308"/>
      <c r="AM938" s="304"/>
      <c r="AN938" s="308"/>
      <c r="AO938" s="313"/>
      <c r="AP938" s="304"/>
      <c r="AQ938" s="308"/>
      <c r="AR938" s="313"/>
      <c r="AS938" s="304"/>
      <c r="AT938" s="308"/>
      <c r="AU938" s="308"/>
      <c r="AV938" s="304"/>
      <c r="AW938" s="308"/>
      <c r="AX938" s="308"/>
      <c r="AY938" s="304"/>
      <c r="AZ938" s="308"/>
      <c r="BA938" s="313"/>
      <c r="BB938" s="304"/>
      <c r="BC938" s="308"/>
      <c r="BD938" s="308"/>
    </row>
    <row r="939">
      <c r="A939" s="301"/>
      <c r="B939" s="301"/>
      <c r="C939" s="303"/>
      <c r="D939" s="301"/>
      <c r="E939" s="309"/>
      <c r="F939" s="301"/>
      <c r="G939" s="301"/>
      <c r="H939" s="309"/>
      <c r="I939" s="327"/>
      <c r="J939" s="328"/>
      <c r="K939" s="326"/>
      <c r="L939" s="309"/>
      <c r="M939" s="308"/>
      <c r="N939" s="309"/>
      <c r="O939" s="322"/>
      <c r="P939" s="308"/>
      <c r="Q939" s="311"/>
      <c r="R939" s="309"/>
      <c r="S939" s="308"/>
      <c r="T939" s="309"/>
      <c r="U939" s="309"/>
      <c r="V939" s="308"/>
      <c r="W939" s="309"/>
      <c r="X939" s="309"/>
      <c r="Y939" s="308"/>
      <c r="Z939" s="309"/>
      <c r="AA939" s="312"/>
      <c r="AB939" s="308"/>
      <c r="AC939" s="308"/>
      <c r="AD939" s="312"/>
      <c r="AE939" s="308"/>
      <c r="AF939" s="313"/>
      <c r="AG939" s="304"/>
      <c r="AH939" s="308"/>
      <c r="AI939" s="313"/>
      <c r="AJ939" s="304"/>
      <c r="AK939" s="308"/>
      <c r="AL939" s="308"/>
      <c r="AM939" s="304"/>
      <c r="AN939" s="308"/>
      <c r="AO939" s="313"/>
      <c r="AP939" s="304"/>
      <c r="AQ939" s="308"/>
      <c r="AR939" s="313"/>
      <c r="AS939" s="304"/>
      <c r="AT939" s="308"/>
      <c r="AU939" s="308"/>
      <c r="AV939" s="304"/>
      <c r="AW939" s="308"/>
      <c r="AX939" s="308"/>
      <c r="AY939" s="304"/>
      <c r="AZ939" s="308"/>
      <c r="BA939" s="313"/>
      <c r="BB939" s="304"/>
      <c r="BC939" s="308"/>
      <c r="BD939" s="308"/>
    </row>
    <row r="940">
      <c r="A940" s="301"/>
      <c r="B940" s="301"/>
      <c r="C940" s="303"/>
      <c r="D940" s="301"/>
      <c r="E940" s="309"/>
      <c r="F940" s="301"/>
      <c r="G940" s="301"/>
      <c r="H940" s="309"/>
      <c r="I940" s="327"/>
      <c r="J940" s="328"/>
      <c r="K940" s="326"/>
      <c r="L940" s="309"/>
      <c r="M940" s="308"/>
      <c r="N940" s="309"/>
      <c r="O940" s="322"/>
      <c r="P940" s="308"/>
      <c r="Q940" s="311"/>
      <c r="R940" s="309"/>
      <c r="S940" s="308"/>
      <c r="T940" s="309"/>
      <c r="U940" s="309"/>
      <c r="V940" s="308"/>
      <c r="W940" s="309"/>
      <c r="X940" s="309"/>
      <c r="Y940" s="308"/>
      <c r="Z940" s="309"/>
      <c r="AA940" s="312"/>
      <c r="AB940" s="308"/>
      <c r="AC940" s="308"/>
      <c r="AD940" s="312"/>
      <c r="AE940" s="308"/>
      <c r="AF940" s="313"/>
      <c r="AG940" s="304"/>
      <c r="AH940" s="308"/>
      <c r="AI940" s="313"/>
      <c r="AJ940" s="304"/>
      <c r="AK940" s="308"/>
      <c r="AL940" s="308"/>
      <c r="AM940" s="304"/>
      <c r="AN940" s="308"/>
      <c r="AO940" s="313"/>
      <c r="AP940" s="304"/>
      <c r="AQ940" s="308"/>
      <c r="AR940" s="313"/>
      <c r="AS940" s="304"/>
      <c r="AT940" s="308"/>
      <c r="AU940" s="308"/>
      <c r="AV940" s="304"/>
      <c r="AW940" s="308"/>
      <c r="AX940" s="308"/>
      <c r="AY940" s="304"/>
      <c r="AZ940" s="308"/>
      <c r="BA940" s="313"/>
      <c r="BB940" s="304"/>
      <c r="BC940" s="308"/>
      <c r="BD940" s="308"/>
    </row>
    <row r="941">
      <c r="A941" s="301"/>
      <c r="B941" s="301"/>
      <c r="C941" s="303"/>
      <c r="D941" s="301"/>
      <c r="E941" s="309"/>
      <c r="F941" s="301"/>
      <c r="G941" s="301"/>
      <c r="H941" s="309"/>
      <c r="I941" s="327"/>
      <c r="J941" s="328"/>
      <c r="K941" s="326"/>
      <c r="L941" s="309"/>
      <c r="M941" s="308"/>
      <c r="N941" s="309"/>
      <c r="O941" s="322"/>
      <c r="P941" s="308"/>
      <c r="Q941" s="311"/>
      <c r="R941" s="309"/>
      <c r="S941" s="308"/>
      <c r="T941" s="309"/>
      <c r="U941" s="309"/>
      <c r="V941" s="308"/>
      <c r="W941" s="309"/>
      <c r="X941" s="309"/>
      <c r="Y941" s="308"/>
      <c r="Z941" s="309"/>
      <c r="AA941" s="312"/>
      <c r="AB941" s="308"/>
      <c r="AC941" s="308"/>
      <c r="AD941" s="312"/>
      <c r="AE941" s="308"/>
      <c r="AF941" s="313"/>
      <c r="AG941" s="304"/>
      <c r="AH941" s="308"/>
      <c r="AI941" s="313"/>
      <c r="AJ941" s="304"/>
      <c r="AK941" s="308"/>
      <c r="AL941" s="308"/>
      <c r="AM941" s="304"/>
      <c r="AN941" s="308"/>
      <c r="AO941" s="313"/>
      <c r="AP941" s="304"/>
      <c r="AQ941" s="308"/>
      <c r="AR941" s="313"/>
      <c r="AS941" s="304"/>
      <c r="AT941" s="308"/>
      <c r="AU941" s="308"/>
      <c r="AV941" s="304"/>
      <c r="AW941" s="308"/>
      <c r="AX941" s="308"/>
      <c r="AY941" s="304"/>
      <c r="AZ941" s="308"/>
      <c r="BA941" s="313"/>
      <c r="BB941" s="304"/>
      <c r="BC941" s="308"/>
      <c r="BD941" s="308"/>
    </row>
    <row r="942">
      <c r="A942" s="301"/>
      <c r="B942" s="301"/>
      <c r="C942" s="303"/>
      <c r="D942" s="301"/>
      <c r="E942" s="309"/>
      <c r="F942" s="301"/>
      <c r="G942" s="301"/>
      <c r="H942" s="309"/>
      <c r="I942" s="327"/>
      <c r="J942" s="328"/>
      <c r="K942" s="326"/>
      <c r="L942" s="309"/>
      <c r="M942" s="308"/>
      <c r="N942" s="309"/>
      <c r="O942" s="322"/>
      <c r="P942" s="308"/>
      <c r="Q942" s="311"/>
      <c r="R942" s="309"/>
      <c r="S942" s="308"/>
      <c r="T942" s="309"/>
      <c r="U942" s="309"/>
      <c r="V942" s="308"/>
      <c r="W942" s="309"/>
      <c r="X942" s="309"/>
      <c r="Y942" s="308"/>
      <c r="Z942" s="309"/>
      <c r="AA942" s="312"/>
      <c r="AB942" s="308"/>
      <c r="AC942" s="308"/>
      <c r="AD942" s="312"/>
      <c r="AE942" s="308"/>
      <c r="AF942" s="313"/>
      <c r="AG942" s="304"/>
      <c r="AH942" s="308"/>
      <c r="AI942" s="313"/>
      <c r="AJ942" s="304"/>
      <c r="AK942" s="308"/>
      <c r="AL942" s="308"/>
      <c r="AM942" s="304"/>
      <c r="AN942" s="308"/>
      <c r="AO942" s="313"/>
      <c r="AP942" s="304"/>
      <c r="AQ942" s="308"/>
      <c r="AR942" s="313"/>
      <c r="AS942" s="304"/>
      <c r="AT942" s="308"/>
      <c r="AU942" s="308"/>
      <c r="AV942" s="304"/>
      <c r="AW942" s="308"/>
      <c r="AX942" s="308"/>
      <c r="AY942" s="304"/>
      <c r="AZ942" s="308"/>
      <c r="BA942" s="313"/>
      <c r="BB942" s="304"/>
      <c r="BC942" s="308"/>
      <c r="BD942" s="308"/>
    </row>
    <row r="943">
      <c r="A943" s="301"/>
      <c r="B943" s="301"/>
      <c r="C943" s="303"/>
      <c r="D943" s="301"/>
      <c r="E943" s="309"/>
      <c r="F943" s="301"/>
      <c r="G943" s="301"/>
      <c r="H943" s="309"/>
      <c r="I943" s="327"/>
      <c r="J943" s="328"/>
      <c r="K943" s="326"/>
      <c r="L943" s="309"/>
      <c r="M943" s="308"/>
      <c r="N943" s="309"/>
      <c r="O943" s="322"/>
      <c r="P943" s="308"/>
      <c r="Q943" s="311"/>
      <c r="R943" s="309"/>
      <c r="S943" s="308"/>
      <c r="T943" s="309"/>
      <c r="U943" s="309"/>
      <c r="V943" s="308"/>
      <c r="W943" s="309"/>
      <c r="X943" s="309"/>
      <c r="Y943" s="308"/>
      <c r="Z943" s="309"/>
      <c r="AA943" s="312"/>
      <c r="AB943" s="308"/>
      <c r="AC943" s="308"/>
      <c r="AD943" s="312"/>
      <c r="AE943" s="308"/>
      <c r="AF943" s="313"/>
      <c r="AG943" s="304"/>
      <c r="AH943" s="308"/>
      <c r="AI943" s="313"/>
      <c r="AJ943" s="304"/>
      <c r="AK943" s="308"/>
      <c r="AL943" s="308"/>
      <c r="AM943" s="304"/>
      <c r="AN943" s="308"/>
      <c r="AO943" s="313"/>
      <c r="AP943" s="304"/>
      <c r="AQ943" s="308"/>
      <c r="AR943" s="313"/>
      <c r="AS943" s="304"/>
      <c r="AT943" s="308"/>
      <c r="AU943" s="308"/>
      <c r="AV943" s="304"/>
      <c r="AW943" s="308"/>
      <c r="AX943" s="308"/>
      <c r="AY943" s="304"/>
      <c r="AZ943" s="308"/>
      <c r="BA943" s="313"/>
      <c r="BB943" s="304"/>
      <c r="BC943" s="308"/>
      <c r="BD943" s="308"/>
    </row>
    <row r="944">
      <c r="A944" s="301"/>
      <c r="B944" s="301"/>
      <c r="C944" s="303"/>
      <c r="D944" s="301"/>
      <c r="E944" s="309"/>
      <c r="F944" s="301"/>
      <c r="G944" s="301"/>
      <c r="H944" s="309"/>
      <c r="I944" s="327"/>
      <c r="J944" s="328"/>
      <c r="K944" s="326"/>
      <c r="L944" s="309"/>
      <c r="M944" s="308"/>
      <c r="N944" s="309"/>
      <c r="O944" s="322"/>
      <c r="P944" s="308"/>
      <c r="Q944" s="311"/>
      <c r="R944" s="309"/>
      <c r="S944" s="308"/>
      <c r="T944" s="309"/>
      <c r="U944" s="309"/>
      <c r="V944" s="308"/>
      <c r="W944" s="309"/>
      <c r="X944" s="309"/>
      <c r="Y944" s="308"/>
      <c r="Z944" s="309"/>
      <c r="AA944" s="312"/>
      <c r="AB944" s="308"/>
      <c r="AC944" s="308"/>
      <c r="AD944" s="312"/>
      <c r="AE944" s="308"/>
      <c r="AF944" s="313"/>
      <c r="AG944" s="304"/>
      <c r="AH944" s="308"/>
      <c r="AI944" s="313"/>
      <c r="AJ944" s="304"/>
      <c r="AK944" s="308"/>
      <c r="AL944" s="308"/>
      <c r="AM944" s="304"/>
      <c r="AN944" s="308"/>
      <c r="AO944" s="313"/>
      <c r="AP944" s="304"/>
      <c r="AQ944" s="308"/>
      <c r="AR944" s="313"/>
      <c r="AS944" s="304"/>
      <c r="AT944" s="308"/>
      <c r="AU944" s="308"/>
      <c r="AV944" s="304"/>
      <c r="AW944" s="308"/>
      <c r="AX944" s="308"/>
      <c r="AY944" s="304"/>
      <c r="AZ944" s="308"/>
      <c r="BA944" s="313"/>
      <c r="BB944" s="304"/>
      <c r="BC944" s="308"/>
      <c r="BD944" s="308"/>
    </row>
    <row r="945">
      <c r="A945" s="301"/>
      <c r="B945" s="301"/>
      <c r="C945" s="303"/>
      <c r="D945" s="301"/>
      <c r="E945" s="309"/>
      <c r="F945" s="301"/>
      <c r="G945" s="301"/>
      <c r="H945" s="309"/>
      <c r="I945" s="327"/>
      <c r="J945" s="328"/>
      <c r="K945" s="326"/>
      <c r="L945" s="309"/>
      <c r="M945" s="308"/>
      <c r="N945" s="309"/>
      <c r="O945" s="322"/>
      <c r="P945" s="308"/>
      <c r="Q945" s="311"/>
      <c r="R945" s="309"/>
      <c r="S945" s="308"/>
      <c r="T945" s="309"/>
      <c r="U945" s="309"/>
      <c r="V945" s="308"/>
      <c r="W945" s="309"/>
      <c r="X945" s="309"/>
      <c r="Y945" s="308"/>
      <c r="Z945" s="309"/>
      <c r="AA945" s="312"/>
      <c r="AB945" s="308"/>
      <c r="AC945" s="308"/>
      <c r="AD945" s="312"/>
      <c r="AE945" s="308"/>
      <c r="AF945" s="313"/>
      <c r="AG945" s="304"/>
      <c r="AH945" s="308"/>
      <c r="AI945" s="313"/>
      <c r="AJ945" s="304"/>
      <c r="AK945" s="308"/>
      <c r="AL945" s="308"/>
      <c r="AM945" s="304"/>
      <c r="AN945" s="308"/>
      <c r="AO945" s="313"/>
      <c r="AP945" s="304"/>
      <c r="AQ945" s="308"/>
      <c r="AR945" s="313"/>
      <c r="AS945" s="304"/>
      <c r="AT945" s="308"/>
      <c r="AU945" s="308"/>
      <c r="AV945" s="304"/>
      <c r="AW945" s="308"/>
      <c r="AX945" s="308"/>
      <c r="AY945" s="304"/>
      <c r="AZ945" s="308"/>
      <c r="BA945" s="313"/>
      <c r="BB945" s="304"/>
      <c r="BC945" s="308"/>
      <c r="BD945" s="308"/>
    </row>
    <row r="946">
      <c r="A946" s="301"/>
      <c r="B946" s="301"/>
      <c r="C946" s="303"/>
      <c r="D946" s="301"/>
      <c r="E946" s="309"/>
      <c r="F946" s="301"/>
      <c r="G946" s="301"/>
      <c r="H946" s="309"/>
      <c r="I946" s="327"/>
      <c r="J946" s="328"/>
      <c r="K946" s="326"/>
      <c r="L946" s="309"/>
      <c r="M946" s="308"/>
      <c r="N946" s="309"/>
      <c r="O946" s="322"/>
      <c r="P946" s="308"/>
      <c r="Q946" s="311"/>
      <c r="R946" s="309"/>
      <c r="S946" s="308"/>
      <c r="T946" s="309"/>
      <c r="U946" s="309"/>
      <c r="V946" s="308"/>
      <c r="W946" s="309"/>
      <c r="X946" s="309"/>
      <c r="Y946" s="308"/>
      <c r="Z946" s="309"/>
      <c r="AA946" s="312"/>
      <c r="AB946" s="308"/>
      <c r="AC946" s="308"/>
      <c r="AD946" s="312"/>
      <c r="AE946" s="308"/>
      <c r="AF946" s="313"/>
      <c r="AG946" s="304"/>
      <c r="AH946" s="308"/>
      <c r="AI946" s="313"/>
      <c r="AJ946" s="304"/>
      <c r="AK946" s="308"/>
      <c r="AL946" s="308"/>
      <c r="AM946" s="304"/>
      <c r="AN946" s="308"/>
      <c r="AO946" s="313"/>
      <c r="AP946" s="304"/>
      <c r="AQ946" s="308"/>
      <c r="AR946" s="313"/>
      <c r="AS946" s="304"/>
      <c r="AT946" s="308"/>
      <c r="AU946" s="308"/>
      <c r="AV946" s="304"/>
      <c r="AW946" s="308"/>
      <c r="AX946" s="308"/>
      <c r="AY946" s="304"/>
      <c r="AZ946" s="308"/>
      <c r="BA946" s="313"/>
      <c r="BB946" s="304"/>
      <c r="BC946" s="308"/>
      <c r="BD946" s="308"/>
    </row>
    <row r="947">
      <c r="A947" s="301"/>
      <c r="B947" s="301"/>
      <c r="C947" s="303"/>
      <c r="D947" s="301"/>
      <c r="E947" s="309"/>
      <c r="F947" s="301"/>
      <c r="G947" s="301"/>
      <c r="H947" s="309"/>
      <c r="I947" s="327"/>
      <c r="J947" s="328"/>
      <c r="K947" s="326"/>
      <c r="L947" s="309"/>
      <c r="M947" s="308"/>
      <c r="N947" s="309"/>
      <c r="O947" s="322"/>
      <c r="P947" s="308"/>
      <c r="Q947" s="311"/>
      <c r="R947" s="309"/>
      <c r="S947" s="308"/>
      <c r="T947" s="309"/>
      <c r="U947" s="309"/>
      <c r="V947" s="308"/>
      <c r="W947" s="309"/>
      <c r="X947" s="309"/>
      <c r="Y947" s="308"/>
      <c r="Z947" s="309"/>
      <c r="AA947" s="312"/>
      <c r="AB947" s="308"/>
      <c r="AC947" s="308"/>
      <c r="AD947" s="312"/>
      <c r="AE947" s="308"/>
      <c r="AF947" s="313"/>
      <c r="AG947" s="304"/>
      <c r="AH947" s="308"/>
      <c r="AI947" s="313"/>
      <c r="AJ947" s="304"/>
      <c r="AK947" s="308"/>
      <c r="AL947" s="308"/>
      <c r="AM947" s="304"/>
      <c r="AN947" s="308"/>
      <c r="AO947" s="313"/>
      <c r="AP947" s="304"/>
      <c r="AQ947" s="308"/>
      <c r="AR947" s="313"/>
      <c r="AS947" s="304"/>
      <c r="AT947" s="308"/>
      <c r="AU947" s="308"/>
      <c r="AV947" s="304"/>
      <c r="AW947" s="308"/>
      <c r="AX947" s="308"/>
      <c r="AY947" s="304"/>
      <c r="AZ947" s="308"/>
      <c r="BA947" s="313"/>
      <c r="BB947" s="304"/>
      <c r="BC947" s="308"/>
      <c r="BD947" s="308"/>
    </row>
    <row r="948">
      <c r="A948" s="301"/>
      <c r="B948" s="301"/>
      <c r="C948" s="303"/>
      <c r="D948" s="301"/>
      <c r="E948" s="309"/>
      <c r="F948" s="301"/>
      <c r="G948" s="301"/>
      <c r="H948" s="309"/>
      <c r="I948" s="327"/>
      <c r="J948" s="328"/>
      <c r="K948" s="326"/>
      <c r="L948" s="309"/>
      <c r="M948" s="308"/>
      <c r="N948" s="309"/>
      <c r="O948" s="322"/>
      <c r="P948" s="308"/>
      <c r="Q948" s="311"/>
      <c r="R948" s="309"/>
      <c r="S948" s="308"/>
      <c r="T948" s="309"/>
      <c r="U948" s="309"/>
      <c r="V948" s="308"/>
      <c r="W948" s="309"/>
      <c r="X948" s="309"/>
      <c r="Y948" s="308"/>
      <c r="Z948" s="309"/>
      <c r="AA948" s="312"/>
      <c r="AB948" s="308"/>
      <c r="AC948" s="308"/>
      <c r="AD948" s="312"/>
      <c r="AE948" s="308"/>
      <c r="AF948" s="313"/>
      <c r="AG948" s="304"/>
      <c r="AH948" s="308"/>
      <c r="AI948" s="313"/>
      <c r="AJ948" s="304"/>
      <c r="AK948" s="308"/>
      <c r="AL948" s="308"/>
      <c r="AM948" s="304"/>
      <c r="AN948" s="308"/>
      <c r="AO948" s="313"/>
      <c r="AP948" s="304"/>
      <c r="AQ948" s="308"/>
      <c r="AR948" s="313"/>
      <c r="AS948" s="304"/>
      <c r="AT948" s="308"/>
      <c r="AU948" s="308"/>
      <c r="AV948" s="304"/>
      <c r="AW948" s="308"/>
      <c r="AX948" s="308"/>
      <c r="AY948" s="304"/>
      <c r="AZ948" s="308"/>
      <c r="BA948" s="313"/>
      <c r="BB948" s="304"/>
      <c r="BC948" s="308"/>
      <c r="BD948" s="308"/>
    </row>
    <row r="949">
      <c r="A949" s="301"/>
      <c r="B949" s="301"/>
      <c r="C949" s="303"/>
      <c r="D949" s="301"/>
      <c r="E949" s="309"/>
      <c r="F949" s="301"/>
      <c r="G949" s="301"/>
      <c r="H949" s="309"/>
      <c r="I949" s="327"/>
      <c r="J949" s="328"/>
      <c r="K949" s="326"/>
      <c r="L949" s="309"/>
      <c r="M949" s="308"/>
      <c r="N949" s="309"/>
      <c r="O949" s="322"/>
      <c r="P949" s="308"/>
      <c r="Q949" s="311"/>
      <c r="R949" s="309"/>
      <c r="S949" s="308"/>
      <c r="T949" s="309"/>
      <c r="U949" s="309"/>
      <c r="V949" s="308"/>
      <c r="W949" s="309"/>
      <c r="X949" s="309"/>
      <c r="Y949" s="308"/>
      <c r="Z949" s="309"/>
      <c r="AA949" s="312"/>
      <c r="AB949" s="308"/>
      <c r="AC949" s="308"/>
      <c r="AD949" s="312"/>
      <c r="AE949" s="308"/>
      <c r="AF949" s="313"/>
      <c r="AG949" s="304"/>
      <c r="AH949" s="308"/>
      <c r="AI949" s="313"/>
      <c r="AJ949" s="304"/>
      <c r="AK949" s="308"/>
      <c r="AL949" s="308"/>
      <c r="AM949" s="304"/>
      <c r="AN949" s="308"/>
      <c r="AO949" s="313"/>
      <c r="AP949" s="304"/>
      <c r="AQ949" s="308"/>
      <c r="AR949" s="313"/>
      <c r="AS949" s="304"/>
      <c r="AT949" s="308"/>
      <c r="AU949" s="308"/>
      <c r="AV949" s="304"/>
      <c r="AW949" s="308"/>
      <c r="AX949" s="308"/>
      <c r="AY949" s="304"/>
      <c r="AZ949" s="308"/>
      <c r="BA949" s="313"/>
      <c r="BB949" s="304"/>
      <c r="BC949" s="308"/>
      <c r="BD949" s="308"/>
    </row>
    <row r="950">
      <c r="A950" s="301"/>
      <c r="B950" s="301"/>
      <c r="C950" s="303"/>
      <c r="D950" s="301"/>
      <c r="E950" s="309"/>
      <c r="F950" s="301"/>
      <c r="G950" s="301"/>
      <c r="H950" s="309"/>
      <c r="I950" s="327"/>
      <c r="J950" s="328"/>
      <c r="K950" s="326"/>
      <c r="L950" s="309"/>
      <c r="M950" s="308"/>
      <c r="N950" s="309"/>
      <c r="O950" s="322"/>
      <c r="P950" s="308"/>
      <c r="Q950" s="311"/>
      <c r="R950" s="309"/>
      <c r="S950" s="308"/>
      <c r="T950" s="309"/>
      <c r="U950" s="309"/>
      <c r="V950" s="308"/>
      <c r="W950" s="309"/>
      <c r="X950" s="309"/>
      <c r="Y950" s="308"/>
      <c r="Z950" s="309"/>
      <c r="AA950" s="312"/>
      <c r="AB950" s="308"/>
      <c r="AC950" s="308"/>
      <c r="AD950" s="312"/>
      <c r="AE950" s="308"/>
      <c r="AF950" s="313"/>
      <c r="AG950" s="304"/>
      <c r="AH950" s="308"/>
      <c r="AI950" s="313"/>
      <c r="AJ950" s="304"/>
      <c r="AK950" s="308"/>
      <c r="AL950" s="308"/>
      <c r="AM950" s="304"/>
      <c r="AN950" s="308"/>
      <c r="AO950" s="313"/>
      <c r="AP950" s="304"/>
      <c r="AQ950" s="308"/>
      <c r="AR950" s="313"/>
      <c r="AS950" s="304"/>
      <c r="AT950" s="308"/>
      <c r="AU950" s="308"/>
      <c r="AV950" s="304"/>
      <c r="AW950" s="308"/>
      <c r="AX950" s="308"/>
      <c r="AY950" s="304"/>
      <c r="AZ950" s="308"/>
      <c r="BA950" s="313"/>
      <c r="BB950" s="304"/>
      <c r="BC950" s="308"/>
      <c r="BD950" s="308"/>
    </row>
    <row r="951">
      <c r="A951" s="301"/>
      <c r="B951" s="301"/>
      <c r="C951" s="303"/>
      <c r="D951" s="301"/>
      <c r="E951" s="309"/>
      <c r="F951" s="301"/>
      <c r="G951" s="301"/>
      <c r="H951" s="309"/>
      <c r="I951" s="327"/>
      <c r="J951" s="328"/>
      <c r="K951" s="326"/>
      <c r="L951" s="309"/>
      <c r="M951" s="308"/>
      <c r="N951" s="309"/>
      <c r="O951" s="322"/>
      <c r="P951" s="308"/>
      <c r="Q951" s="311"/>
      <c r="R951" s="309"/>
      <c r="S951" s="308"/>
      <c r="T951" s="309"/>
      <c r="U951" s="309"/>
      <c r="V951" s="308"/>
      <c r="W951" s="309"/>
      <c r="X951" s="309"/>
      <c r="Y951" s="308"/>
      <c r="Z951" s="309"/>
      <c r="AA951" s="312"/>
      <c r="AB951" s="308"/>
      <c r="AC951" s="308"/>
      <c r="AD951" s="312"/>
      <c r="AE951" s="308"/>
      <c r="AF951" s="313"/>
      <c r="AG951" s="304"/>
      <c r="AH951" s="308"/>
      <c r="AI951" s="313"/>
      <c r="AJ951" s="304"/>
      <c r="AK951" s="308"/>
      <c r="AL951" s="308"/>
      <c r="AM951" s="304"/>
      <c r="AN951" s="308"/>
      <c r="AO951" s="313"/>
      <c r="AP951" s="304"/>
      <c r="AQ951" s="308"/>
      <c r="AR951" s="313"/>
      <c r="AS951" s="304"/>
      <c r="AT951" s="308"/>
      <c r="AU951" s="308"/>
      <c r="AV951" s="304"/>
      <c r="AW951" s="308"/>
      <c r="AX951" s="308"/>
      <c r="AY951" s="304"/>
      <c r="AZ951" s="308"/>
      <c r="BA951" s="313"/>
      <c r="BB951" s="304"/>
      <c r="BC951" s="308"/>
      <c r="BD951" s="308"/>
    </row>
    <row r="952">
      <c r="A952" s="301"/>
      <c r="B952" s="301"/>
      <c r="C952" s="303"/>
      <c r="D952" s="301"/>
      <c r="E952" s="309"/>
      <c r="F952" s="301"/>
      <c r="G952" s="301"/>
      <c r="H952" s="309"/>
      <c r="I952" s="327"/>
      <c r="J952" s="328"/>
      <c r="K952" s="326"/>
      <c r="L952" s="309"/>
      <c r="M952" s="308"/>
      <c r="N952" s="309"/>
      <c r="O952" s="322"/>
      <c r="P952" s="308"/>
      <c r="Q952" s="311"/>
      <c r="R952" s="309"/>
      <c r="S952" s="308"/>
      <c r="T952" s="309"/>
      <c r="U952" s="309"/>
      <c r="V952" s="308"/>
      <c r="W952" s="309"/>
      <c r="X952" s="309"/>
      <c r="Y952" s="308"/>
      <c r="Z952" s="309"/>
      <c r="AA952" s="312"/>
      <c r="AB952" s="308"/>
      <c r="AC952" s="308"/>
      <c r="AD952" s="312"/>
      <c r="AE952" s="308"/>
      <c r="AF952" s="313"/>
      <c r="AG952" s="304"/>
      <c r="AH952" s="308"/>
      <c r="AI952" s="313"/>
      <c r="AJ952" s="304"/>
      <c r="AK952" s="308"/>
      <c r="AL952" s="308"/>
      <c r="AM952" s="304"/>
      <c r="AN952" s="308"/>
      <c r="AO952" s="313"/>
      <c r="AP952" s="304"/>
      <c r="AQ952" s="308"/>
      <c r="AR952" s="313"/>
      <c r="AS952" s="304"/>
      <c r="AT952" s="308"/>
      <c r="AU952" s="308"/>
      <c r="AV952" s="304"/>
      <c r="AW952" s="308"/>
      <c r="AX952" s="308"/>
      <c r="AY952" s="304"/>
      <c r="AZ952" s="308"/>
      <c r="BA952" s="313"/>
      <c r="BB952" s="304"/>
      <c r="BC952" s="308"/>
      <c r="BD952" s="308"/>
    </row>
    <row r="953">
      <c r="A953" s="301"/>
      <c r="B953" s="301"/>
      <c r="C953" s="303"/>
      <c r="D953" s="301"/>
      <c r="E953" s="309"/>
      <c r="F953" s="301"/>
      <c r="G953" s="301"/>
      <c r="H953" s="309"/>
      <c r="I953" s="327"/>
      <c r="J953" s="328"/>
      <c r="K953" s="326"/>
      <c r="L953" s="309"/>
      <c r="M953" s="308"/>
      <c r="N953" s="309"/>
      <c r="O953" s="322"/>
      <c r="P953" s="308"/>
      <c r="Q953" s="311"/>
      <c r="R953" s="309"/>
      <c r="S953" s="308"/>
      <c r="T953" s="309"/>
      <c r="U953" s="309"/>
      <c r="V953" s="308"/>
      <c r="W953" s="309"/>
      <c r="X953" s="309"/>
      <c r="Y953" s="308"/>
      <c r="Z953" s="309"/>
      <c r="AA953" s="312"/>
      <c r="AB953" s="308"/>
      <c r="AC953" s="308"/>
      <c r="AD953" s="312"/>
      <c r="AE953" s="308"/>
      <c r="AF953" s="313"/>
      <c r="AG953" s="304"/>
      <c r="AH953" s="308"/>
      <c r="AI953" s="313"/>
      <c r="AJ953" s="304"/>
      <c r="AK953" s="308"/>
      <c r="AL953" s="308"/>
      <c r="AM953" s="304"/>
      <c r="AN953" s="308"/>
      <c r="AO953" s="313"/>
      <c r="AP953" s="304"/>
      <c r="AQ953" s="308"/>
      <c r="AR953" s="313"/>
      <c r="AS953" s="304"/>
      <c r="AT953" s="308"/>
      <c r="AU953" s="308"/>
      <c r="AV953" s="304"/>
      <c r="AW953" s="308"/>
      <c r="AX953" s="308"/>
      <c r="AY953" s="304"/>
      <c r="AZ953" s="308"/>
      <c r="BA953" s="313"/>
      <c r="BB953" s="304"/>
      <c r="BC953" s="308"/>
      <c r="BD953" s="308"/>
    </row>
    <row r="954">
      <c r="A954" s="301"/>
      <c r="B954" s="301"/>
      <c r="C954" s="303"/>
      <c r="D954" s="301"/>
      <c r="E954" s="309"/>
      <c r="F954" s="301"/>
      <c r="G954" s="301"/>
      <c r="H954" s="309"/>
      <c r="I954" s="327"/>
      <c r="J954" s="328"/>
      <c r="K954" s="326"/>
      <c r="L954" s="309"/>
      <c r="M954" s="308"/>
      <c r="N954" s="309"/>
      <c r="O954" s="322"/>
      <c r="P954" s="308"/>
      <c r="Q954" s="311"/>
      <c r="R954" s="309"/>
      <c r="S954" s="308"/>
      <c r="T954" s="309"/>
      <c r="U954" s="309"/>
      <c r="V954" s="308"/>
      <c r="W954" s="309"/>
      <c r="X954" s="309"/>
      <c r="Y954" s="308"/>
      <c r="Z954" s="309"/>
      <c r="AA954" s="312"/>
      <c r="AB954" s="308"/>
      <c r="AC954" s="308"/>
      <c r="AD954" s="312"/>
      <c r="AE954" s="308"/>
      <c r="AF954" s="313"/>
      <c r="AG954" s="304"/>
      <c r="AH954" s="308"/>
      <c r="AI954" s="313"/>
      <c r="AJ954" s="304"/>
      <c r="AK954" s="308"/>
      <c r="AL954" s="308"/>
      <c r="AM954" s="304"/>
      <c r="AN954" s="308"/>
      <c r="AO954" s="313"/>
      <c r="AP954" s="304"/>
      <c r="AQ954" s="308"/>
      <c r="AR954" s="313"/>
      <c r="AS954" s="304"/>
      <c r="AT954" s="308"/>
      <c r="AU954" s="308"/>
      <c r="AV954" s="304"/>
      <c r="AW954" s="308"/>
      <c r="AX954" s="308"/>
      <c r="AY954" s="304"/>
      <c r="AZ954" s="308"/>
      <c r="BA954" s="313"/>
      <c r="BB954" s="304"/>
      <c r="BC954" s="308"/>
      <c r="BD954" s="308"/>
    </row>
    <row r="955">
      <c r="A955" s="301"/>
      <c r="B955" s="301"/>
      <c r="C955" s="303"/>
      <c r="D955" s="301"/>
      <c r="E955" s="329"/>
      <c r="F955" s="301"/>
      <c r="G955" s="301"/>
      <c r="H955" s="329"/>
      <c r="I955" s="330"/>
      <c r="J955" s="331"/>
      <c r="K955" s="332"/>
      <c r="L955" s="329"/>
      <c r="M955" s="333"/>
      <c r="N955" s="329"/>
      <c r="O955" s="334"/>
      <c r="P955" s="333"/>
      <c r="Q955" s="335"/>
      <c r="R955" s="329"/>
      <c r="S955" s="333"/>
      <c r="T955" s="329"/>
      <c r="U955" s="329"/>
      <c r="V955" s="333"/>
      <c r="W955" s="329"/>
      <c r="X955" s="329"/>
      <c r="Y955" s="333"/>
      <c r="Z955" s="329"/>
      <c r="AA955" s="336"/>
      <c r="AB955" s="333"/>
      <c r="AC955" s="333"/>
      <c r="AD955" s="336"/>
      <c r="AE955" s="333"/>
      <c r="AF955" s="337"/>
      <c r="AG955" s="338"/>
      <c r="AH955" s="333"/>
      <c r="AI955" s="337"/>
      <c r="AJ955" s="338"/>
      <c r="AK955" s="333"/>
      <c r="AL955" s="333"/>
      <c r="AM955" s="338"/>
      <c r="AN955" s="333"/>
      <c r="AO955" s="337"/>
      <c r="AP955" s="338"/>
      <c r="AQ955" s="333"/>
      <c r="AR955" s="337"/>
      <c r="AS955" s="338"/>
      <c r="AT955" s="333"/>
      <c r="AU955" s="333"/>
      <c r="AV955" s="338"/>
      <c r="AW955" s="333"/>
      <c r="AX955" s="333"/>
      <c r="AY955" s="338"/>
      <c r="AZ955" s="333"/>
      <c r="BA955" s="337"/>
      <c r="BB955" s="338"/>
      <c r="BC955" s="333"/>
      <c r="BD955" s="333"/>
    </row>
  </sheetData>
  <mergeCells count="18"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1:BD1"/>
    <mergeCell ref="B2:E2"/>
    <mergeCell ref="F2:K2"/>
    <mergeCell ref="L2:N2"/>
    <mergeCell ref="O2:Q2"/>
    <mergeCell ref="R2:T2"/>
    <mergeCell ref="U2:W2"/>
    <mergeCell ref="BB2:BD2"/>
  </mergeCells>
  <conditionalFormatting sqref="BD3:BD955">
    <cfRule type="cellIs" dxfId="31" priority="1" operator="lessThanOrEqual">
      <formula>0</formula>
    </cfRule>
  </conditionalFormatting>
  <conditionalFormatting sqref="L3:L955 O3:P955 R3:S955 U3:V955 X3:Y955 AA3:BC955">
    <cfRule type="cellIs" dxfId="31" priority="2" operator="lessThanOrEqual">
      <formula>0</formula>
    </cfRule>
  </conditionalFormatting>
  <conditionalFormatting sqref="A1:BD955">
    <cfRule type="cellIs" dxfId="32" priority="3" operator="equal">
      <formula>"Next"</formula>
    </cfRule>
  </conditionalFormatting>
  <conditionalFormatting sqref="A1:BD955">
    <cfRule type="cellIs" dxfId="18" priority="4" operator="equal">
      <formula>"Third"</formula>
    </cfRule>
  </conditionalFormatting>
  <conditionalFormatting sqref="A1:BD955">
    <cfRule type="cellIs" dxfId="33" priority="5" operator="equal">
      <formula>"Fifth"</formula>
    </cfRule>
  </conditionalFormatting>
  <conditionalFormatting sqref="A1:BD955">
    <cfRule type="cellIs" dxfId="34" priority="6" operator="equal">
      <formula>"Fourth"</formula>
    </cfRule>
  </conditionalFormatting>
  <conditionalFormatting sqref="A1:BD955">
    <cfRule type="cellIs" dxfId="35" priority="7" operator="equal">
      <formula>"Sixth"</formula>
    </cfRule>
  </conditionalFormatting>
  <conditionalFormatting sqref="A1:BD955">
    <cfRule type="cellIs" dxfId="36" priority="8" operator="equal">
      <formula>"Seventh"</formula>
    </cfRule>
  </conditionalFormatting>
  <conditionalFormatting sqref="A1:BD955">
    <cfRule type="cellIs" dxfId="37" priority="9" operator="equal">
      <formula>"Eighth"</formula>
    </cfRule>
  </conditionalFormatting>
  <conditionalFormatting sqref="A1:BD955">
    <cfRule type="cellIs" dxfId="38" priority="10" operator="equal">
      <formula>"Ninth"</formula>
    </cfRule>
  </conditionalFormatting>
  <conditionalFormatting sqref="A1:BD955">
    <cfRule type="cellIs" dxfId="39" priority="11" operator="equal">
      <formula>"B"</formula>
    </cfRule>
  </conditionalFormatting>
  <conditionalFormatting sqref="A1:BD955">
    <cfRule type="cellIs" dxfId="40" priority="12" operator="equal">
      <formula>"H"</formula>
    </cfRule>
  </conditionalFormatting>
  <conditionalFormatting sqref="A1:BD955">
    <cfRule type="cellIs" dxfId="41" priority="13" operator="equal">
      <formula>"Tenth"</formula>
    </cfRule>
  </conditionalFormatting>
  <conditionalFormatting sqref="H3:H955 L3:L955 O3:O955 R3:R955 U3:U955 X3:X955 AA3:AA955 AD3:AD955 AG3:AG955 AJ3:AJ955 AM3:AM955 AP3:AP955 AS3:AS955 AV3:AV955 AY3:AY955 BB3:BB955">
    <cfRule type="notContainsBlanks" dxfId="42" priority="14">
      <formula>LEN(TRIM(H3))&gt;0</formula>
    </cfRule>
  </conditionalFormatting>
  <conditionalFormatting sqref="E3:E955">
    <cfRule type="notContainsBlanks" dxfId="43" priority="15">
      <formula>LEN(TRIM(E3))&gt;0</formula>
    </cfRule>
  </conditionalFormatting>
  <conditionalFormatting sqref="I3:J955">
    <cfRule type="cellIs" dxfId="24" priority="16" operator="equal">
      <formula>"L"</formula>
    </cfRule>
  </conditionalFormatting>
  <conditionalFormatting sqref="I3:J955">
    <cfRule type="cellIs" dxfId="44" priority="17" operator="equal">
      <formula>"S"</formula>
    </cfRule>
  </conditionalFormatting>
  <conditionalFormatting sqref="I3:J955">
    <cfRule type="cellIs" dxfId="21" priority="18" operator="equal">
      <formula>"MG"</formula>
    </cfRule>
  </conditionalFormatting>
  <conditionalFormatting sqref="I3:J955">
    <cfRule type="cellIs" dxfId="3" priority="19" operator="equal">
      <formula>"M"</formula>
    </cfRule>
  </conditionalFormatting>
  <conditionalFormatting sqref="N3 Q3 T3 W3 Z3 AC3 AF3 AI3 AL3 AO3 AR3 AU3 AX3 BA3 BD3">
    <cfRule type="cellIs" dxfId="45" priority="20" operator="lessThan">
      <formula>0</formula>
    </cfRule>
  </conditionalFormatting>
  <conditionalFormatting sqref="J2:J955">
    <cfRule type="cellIs" dxfId="24" priority="21" operator="equal">
      <formula>"||"</formula>
    </cfRule>
  </conditionalFormatting>
  <conditionalFormatting sqref="J2:J955">
    <cfRule type="cellIs" dxfId="3" priority="22" operator="equal">
      <formula>"|||"</formula>
    </cfRule>
  </conditionalFormatting>
  <conditionalFormatting sqref="J2:J955">
    <cfRule type="cellIs" dxfId="44" priority="23" operator="equal">
      <formula>"||||"</formula>
    </cfRule>
  </conditionalFormatting>
  <conditionalFormatting sqref="J2:J955">
    <cfRule type="cellIs" dxfId="21" priority="24" operator="equal">
      <formula>"|"</formula>
    </cfRule>
  </conditionalFormatting>
  <conditionalFormatting sqref="K2:K955">
    <cfRule type="cellIs" dxfId="44" priority="25" operator="lessThan">
      <formula>7500</formula>
    </cfRule>
  </conditionalFormatting>
  <conditionalFormatting sqref="K2:K955">
    <cfRule type="cellIs" dxfId="24" priority="26" operator="between">
      <formula>30000</formula>
      <formula>600000</formula>
    </cfRule>
  </conditionalFormatting>
  <conditionalFormatting sqref="K2:K955">
    <cfRule type="cellIs" dxfId="21" priority="27" operator="greaterThan">
      <formula>600000</formula>
    </cfRule>
  </conditionalFormatting>
  <conditionalFormatting sqref="F2:K2">
    <cfRule type="cellIs" dxfId="44" priority="28" operator="equal">
      <formula>"Market Closed"</formula>
    </cfRule>
  </conditionalFormatting>
  <conditionalFormatting sqref="F2:K2">
    <cfRule type="cellIs" dxfId="46" priority="29" operator="equal">
      <formula>"Market Open"</formula>
    </cfRule>
  </conditionalFormatting>
  <conditionalFormatting sqref="K2:K955">
    <cfRule type="cellIs" dxfId="3" priority="30" operator="between">
      <formula>7500</formula>
      <formula>30000</formula>
    </cfRule>
  </conditionalFormatting>
  <conditionalFormatting sqref="A1:BD955">
    <cfRule type="notContainsBlanks" dxfId="47" priority="31">
      <formula>LEN(TRIM(A1))&gt;0</formula>
    </cfRule>
  </conditionalFormatting>
  <conditionalFormatting sqref="K3:K955">
    <cfRule type="notContainsBlanks" dxfId="48" priority="32">
      <formula>LEN(TRIM(K3))&gt;0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13"/>
    <col customWidth="1" min="3" max="3" width="16.63"/>
    <col customWidth="1" min="4" max="4" width="33.5"/>
    <col customWidth="1" min="5" max="5" width="15.88"/>
    <col customWidth="1" min="6" max="7" width="11.75"/>
    <col customWidth="1" min="8" max="8" width="7.75"/>
    <col customWidth="1" min="10" max="10" width="28.88"/>
    <col customWidth="1" min="12" max="12" width="29.88"/>
    <col customWidth="1" min="14" max="14" width="31.25"/>
  </cols>
  <sheetData>
    <row r="1">
      <c r="A1" s="339" t="s">
        <v>70</v>
      </c>
      <c r="B1" s="340" t="s">
        <v>268</v>
      </c>
      <c r="C1" s="341" t="s">
        <v>235</v>
      </c>
      <c r="D1" s="339" t="s">
        <v>71</v>
      </c>
      <c r="E1" s="342" t="s">
        <v>269</v>
      </c>
      <c r="F1" s="343" t="s">
        <v>270</v>
      </c>
      <c r="G1" s="343" t="s">
        <v>271</v>
      </c>
      <c r="H1" s="344" t="s">
        <v>272</v>
      </c>
      <c r="I1" s="343" t="s">
        <v>271</v>
      </c>
      <c r="J1" s="344" t="s">
        <v>273</v>
      </c>
      <c r="K1" s="343" t="s">
        <v>271</v>
      </c>
      <c r="L1" s="344" t="s">
        <v>274</v>
      </c>
      <c r="M1" s="343" t="s">
        <v>271</v>
      </c>
      <c r="N1" s="344" t="s">
        <v>275</v>
      </c>
    </row>
    <row r="2">
      <c r="A2" s="345" t="str">
        <f t="array" ref="A2:C72">Sort(myDG(History!B3:B993,History!C3:C993,History!D3:D993,History!E3:E993))</f>
        <v>BOM:514183</v>
      </c>
      <c r="B2" s="346">
        <v>11.0</v>
      </c>
      <c r="C2" s="347">
        <v>143.25454545454545</v>
      </c>
      <c r="D2" s="346" t="str">
        <f>IFERROR(__xludf.DUMMYFUNCTION("if(ISBLANK(A2),"""",GOOGLEFINANCE(A2,""NAME""))"),"Black Rose Industries Ltd")</f>
        <v>Black Rose Industries Ltd</v>
      </c>
      <c r="E2" s="348">
        <f>IFERROR(__xludf.DUMMYFUNCTION("if(ISBLANK(A2),"""",googlefinance(A2,""Marketcap"")/1000000000)"),5.710470062)</f>
        <v>5.710470062</v>
      </c>
      <c r="F2" s="346" t="str">
        <f t="shared" ref="F2:F84" si="1">if(ISBLANK(A2),"",if(E2&gt;1401,"Largecap",if(E2&gt;100,"Midcap","Smallcap")))</f>
        <v>Smallcap</v>
      </c>
      <c r="G2" s="349"/>
      <c r="H2" s="350"/>
      <c r="I2" s="349"/>
      <c r="J2" s="350"/>
      <c r="K2" s="349"/>
      <c r="L2" s="350"/>
      <c r="M2" s="349"/>
      <c r="N2" s="351"/>
    </row>
    <row r="3">
      <c r="A3" s="352" t="s">
        <v>257</v>
      </c>
      <c r="B3" s="346">
        <v>55.0</v>
      </c>
      <c r="C3" s="347">
        <v>8.0</v>
      </c>
      <c r="D3" s="346" t="str">
        <f>IFERROR(__xludf.DUMMYFUNCTION("if(ISBLANK(A3),"""",GOOGLEFINANCE(A3,""NAME""))"),"Gennex Laboratories Ltd")</f>
        <v>Gennex Laboratories Ltd</v>
      </c>
      <c r="E3" s="348">
        <f>IFERROR(__xludf.DUMMYFUNCTION("if(ISBLANK(A3),"""",googlefinance(A3,""Marketcap"")/1000000000)"),2.429476)</f>
        <v>2.429476</v>
      </c>
      <c r="F3" s="346" t="str">
        <f t="shared" si="1"/>
        <v>Smallcap</v>
      </c>
      <c r="G3" s="349"/>
      <c r="H3" s="350"/>
      <c r="I3" s="349"/>
      <c r="J3" s="350"/>
      <c r="K3" s="349"/>
      <c r="L3" s="350"/>
      <c r="M3" s="349"/>
      <c r="N3" s="351"/>
    </row>
    <row r="4">
      <c r="A4" s="352" t="s">
        <v>86</v>
      </c>
      <c r="B4" s="346">
        <v>6.0</v>
      </c>
      <c r="C4" s="347">
        <v>496.4173666666666</v>
      </c>
      <c r="D4" s="346" t="str">
        <f>IFERROR(__xludf.DUMMYFUNCTION("if(ISBLANK(A4),"""",GOOGLEFINANCE(A4,""NAME""))"),"Aarti Industries Ltd")</f>
        <v>Aarti Industries Ltd</v>
      </c>
      <c r="E4" s="348">
        <f>IFERROR(__xludf.DUMMYFUNCTION("if(ISBLANK(A4),"""",googlefinance(A4,""Marketcap"")/1000000000)"),173.600952973)</f>
        <v>173.600953</v>
      </c>
      <c r="F4" s="346" t="str">
        <f t="shared" si="1"/>
        <v>Midcap</v>
      </c>
      <c r="G4" s="349"/>
      <c r="H4" s="350"/>
      <c r="I4" s="349"/>
      <c r="J4" s="350"/>
      <c r="K4" s="349"/>
      <c r="L4" s="350"/>
      <c r="M4" s="349"/>
      <c r="N4" s="351"/>
    </row>
    <row r="5">
      <c r="A5" s="352" t="s">
        <v>43</v>
      </c>
      <c r="B5" s="346">
        <v>6.0</v>
      </c>
      <c r="C5" s="347">
        <v>954.4583333333334</v>
      </c>
      <c r="D5" s="346" t="str">
        <f>IFERROR(__xludf.DUMMYFUNCTION("if(ISBLANK(A5),"""",GOOGLEFINANCE(A5,""NAME""))"),"Affle 3i Ltd")</f>
        <v>Affle 3i Ltd</v>
      </c>
      <c r="E5" s="348">
        <f>IFERROR(__xludf.DUMMYFUNCTION("if(ISBLANK(A5),"""",googlefinance(A5,""Marketcap"")/1000000000)"),206.059572106)</f>
        <v>206.0595721</v>
      </c>
      <c r="F5" s="346" t="str">
        <f t="shared" si="1"/>
        <v>Midcap</v>
      </c>
      <c r="G5" s="349"/>
      <c r="H5" s="350"/>
      <c r="I5" s="349"/>
      <c r="J5" s="350"/>
      <c r="K5" s="349"/>
      <c r="L5" s="350"/>
      <c r="M5" s="349"/>
      <c r="N5" s="351"/>
    </row>
    <row r="6">
      <c r="A6" s="352" t="s">
        <v>87</v>
      </c>
      <c r="B6" s="346">
        <v>2.0</v>
      </c>
      <c r="C6" s="347">
        <v>2230.0</v>
      </c>
      <c r="D6" s="346" t="str">
        <f>IFERROR(__xludf.DUMMYFUNCTION("if(ISBLANK(A6),"""",GOOGLEFINANCE(A6,""NAME""))"),"Alkyl Amines Chemicals Ltd")</f>
        <v>Alkyl Amines Chemicals Ltd</v>
      </c>
      <c r="E6" s="348">
        <f>IFERROR(__xludf.DUMMYFUNCTION("if(ISBLANK(A6),"""",googlefinance(A6,""Marketcap"")/1000000000)"),91.571022823)</f>
        <v>91.57102282</v>
      </c>
      <c r="F6" s="346" t="str">
        <f t="shared" si="1"/>
        <v>Smallcap</v>
      </c>
      <c r="G6" s="349"/>
      <c r="H6" s="350"/>
      <c r="I6" s="349"/>
      <c r="J6" s="350"/>
      <c r="K6" s="349"/>
      <c r="L6" s="350"/>
      <c r="M6" s="349"/>
      <c r="N6" s="351"/>
    </row>
    <row r="7">
      <c r="A7" s="352" t="s">
        <v>258</v>
      </c>
      <c r="B7" s="346">
        <v>99.0</v>
      </c>
      <c r="C7" s="347">
        <v>76.78050505050506</v>
      </c>
      <c r="D7" s="346" t="str">
        <f>IFERROR(__xludf.DUMMYFUNCTION("if(ISBLANK(A7),"""",GOOGLEFINANCE(A7,""NAME""))"),"Allcargo Logistics Ltd")</f>
        <v>Allcargo Logistics Ltd</v>
      </c>
      <c r="E7" s="348">
        <f>IFERROR(__xludf.DUMMYFUNCTION("if(ISBLANK(A7),"""",googlefinance(A7,""Marketcap"")/1000000000)"),11.982224)</f>
        <v>11.982224</v>
      </c>
      <c r="F7" s="346" t="str">
        <f t="shared" si="1"/>
        <v>Smallcap</v>
      </c>
      <c r="G7" s="349"/>
      <c r="H7" s="350"/>
      <c r="I7" s="349"/>
      <c r="J7" s="350"/>
      <c r="K7" s="349"/>
      <c r="L7" s="350"/>
      <c r="M7" s="349"/>
      <c r="N7" s="351"/>
    </row>
    <row r="8">
      <c r="A8" s="352" t="s">
        <v>89</v>
      </c>
      <c r="B8" s="346">
        <v>3.0</v>
      </c>
      <c r="C8" s="347">
        <v>2900.5833333333335</v>
      </c>
      <c r="D8" s="346" t="str">
        <f>IFERROR(__xludf.DUMMYFUNCTION("if(ISBLANK(A8),"""",GOOGLEFINANCE(A8,""NAME""))"),"Asian Paints Ltd")</f>
        <v>Asian Paints Ltd</v>
      </c>
      <c r="E8" s="348">
        <f>IFERROR(__xludf.DUMMYFUNCTION("if(ISBLANK(A8),"""",googlefinance(A8,""Marketcap"")/1000000000)"),2620.677477967)</f>
        <v>2620.677478</v>
      </c>
      <c r="F8" s="346" t="str">
        <f t="shared" si="1"/>
        <v>Largecap</v>
      </c>
      <c r="G8" s="349"/>
      <c r="H8" s="350"/>
      <c r="I8" s="349"/>
      <c r="J8" s="350"/>
      <c r="K8" s="349"/>
      <c r="L8" s="350"/>
      <c r="M8" s="349"/>
      <c r="N8" s="351"/>
    </row>
    <row r="9">
      <c r="A9" s="352" t="s">
        <v>90</v>
      </c>
      <c r="B9" s="346">
        <v>2.0</v>
      </c>
      <c r="C9" s="347">
        <v>1545.0</v>
      </c>
      <c r="D9" s="346" t="str">
        <f>IFERROR(__xludf.DUMMYFUNCTION("if(ISBLANK(A9),"""",GOOGLEFINANCE(A9,""NAME""))"),"Astral Ltd")</f>
        <v>Astral Ltd</v>
      </c>
      <c r="E9" s="348">
        <f>IFERROR(__xludf.DUMMYFUNCTION("if(ISBLANK(A9),"""",googlefinance(A9,""Marketcap"")/1000000000)"),364.510430988)</f>
        <v>364.510431</v>
      </c>
      <c r="F9" s="346" t="str">
        <f t="shared" si="1"/>
        <v>Midcap</v>
      </c>
      <c r="G9" s="349"/>
      <c r="H9" s="350"/>
      <c r="I9" s="349"/>
      <c r="J9" s="350"/>
      <c r="K9" s="349"/>
      <c r="L9" s="350"/>
      <c r="M9" s="349"/>
      <c r="N9" s="351"/>
    </row>
    <row r="10">
      <c r="A10" s="352" t="s">
        <v>91</v>
      </c>
      <c r="B10" s="346">
        <v>6.0</v>
      </c>
      <c r="C10" s="347">
        <v>579.6</v>
      </c>
      <c r="D10" s="346" t="str">
        <f>IFERROR(__xludf.DUMMYFUNCTION("if(ISBLANK(A10),"""",GOOGLEFINANCE(A10,""NAME""))"),"AU Small Finance Bank Ltd")</f>
        <v>AU Small Finance Bank Ltd</v>
      </c>
      <c r="E10" s="348">
        <f>IFERROR(__xludf.DUMMYFUNCTION("if(ISBLANK(A10),"""",googlefinance(A10,""Marketcap"")/1000000000)"),794.469502445)</f>
        <v>794.4695024</v>
      </c>
      <c r="F10" s="346" t="str">
        <f t="shared" si="1"/>
        <v>Midcap</v>
      </c>
      <c r="G10" s="349"/>
      <c r="H10" s="350"/>
      <c r="I10" s="349"/>
      <c r="J10" s="350"/>
      <c r="K10" s="349"/>
      <c r="L10" s="350"/>
      <c r="M10" s="349"/>
      <c r="N10" s="351"/>
    </row>
    <row r="11">
      <c r="A11" s="352" t="s">
        <v>259</v>
      </c>
      <c r="B11" s="346">
        <v>100.0</v>
      </c>
      <c r="C11" s="347">
        <v>162.886</v>
      </c>
      <c r="D11" s="346" t="str">
        <f>IFERROR(__xludf.DUMMYFUNCTION("if(ISBLANK(A11),"""",GOOGLEFINANCE(A11,""NAME""))"),"Bajaj Housing Finance Ltd")</f>
        <v>Bajaj Housing Finance Ltd</v>
      </c>
      <c r="E11" s="348">
        <f>IFERROR(__xludf.DUMMYFUNCTION("if(ISBLANK(A11),"""",googlefinance(A11,""Marketcap"")/1000000000)"),738.031388934)</f>
        <v>738.0313889</v>
      </c>
      <c r="F11" s="346" t="str">
        <f t="shared" si="1"/>
        <v>Midcap</v>
      </c>
      <c r="G11" s="349"/>
      <c r="H11" s="350"/>
      <c r="I11" s="349"/>
      <c r="J11" s="350"/>
      <c r="K11" s="349"/>
      <c r="L11" s="350"/>
      <c r="M11" s="349"/>
      <c r="N11" s="351"/>
    </row>
    <row r="12">
      <c r="A12" s="352" t="s">
        <v>94</v>
      </c>
      <c r="B12" s="346">
        <v>9.0</v>
      </c>
      <c r="C12" s="347">
        <v>548.3</v>
      </c>
      <c r="D12" s="346" t="str">
        <f>IFERROR(__xludf.DUMMYFUNCTION("if(ISBLANK(A12),"""",GOOGLEFINANCE(A12,""NAME""))"),"Berger Paints India Ltd")</f>
        <v>Berger Paints India Ltd</v>
      </c>
      <c r="E12" s="348">
        <f>IFERROR(__xludf.DUMMYFUNCTION("if(ISBLANK(A12),"""",googlefinance(A12,""Marketcap"")/1000000000)"),593.374062917)</f>
        <v>593.3740629</v>
      </c>
      <c r="F12" s="346" t="str">
        <f t="shared" si="1"/>
        <v>Midcap</v>
      </c>
      <c r="G12" s="349"/>
      <c r="H12" s="350"/>
      <c r="I12" s="349"/>
      <c r="J12" s="350"/>
      <c r="K12" s="349"/>
      <c r="L12" s="350"/>
      <c r="M12" s="349"/>
      <c r="N12" s="351"/>
    </row>
    <row r="13">
      <c r="A13" s="352" t="s">
        <v>95</v>
      </c>
      <c r="B13" s="346">
        <v>11.0</v>
      </c>
      <c r="C13" s="347">
        <v>438.54090909090917</v>
      </c>
      <c r="D13" s="346" t="str">
        <f>IFERROR(__xludf.DUMMYFUNCTION("if(ISBLANK(A13),"""",GOOGLEFINANCE(A13,""NAME""))"),"BSE Ltd")</f>
        <v>BSE Ltd</v>
      </c>
      <c r="E13" s="348">
        <f>IFERROR(__xludf.DUMMYFUNCTION("if(ISBLANK(A13),"""",googlefinance(A13,""Marketcap"")/1000000000)"),1498.331179282)</f>
        <v>1498.331179</v>
      </c>
      <c r="F13" s="346" t="str">
        <f t="shared" si="1"/>
        <v>Largecap</v>
      </c>
      <c r="G13" s="349"/>
      <c r="H13" s="350"/>
      <c r="I13" s="349"/>
      <c r="J13" s="350"/>
      <c r="K13" s="349"/>
      <c r="L13" s="350"/>
      <c r="M13" s="349"/>
      <c r="N13" s="351"/>
    </row>
    <row r="14">
      <c r="A14" s="352" t="s">
        <v>96</v>
      </c>
      <c r="B14" s="346">
        <v>2.0</v>
      </c>
      <c r="C14" s="347">
        <v>2349.0</v>
      </c>
      <c r="D14" s="346" t="str">
        <f>IFERROR(__xludf.DUMMYFUNCTION("if(ISBLANK(A14),"""",GOOGLEFINANCE(A14,""NAME""))"),"Computer Age Management Services Ltd")</f>
        <v>Computer Age Management Services Ltd</v>
      </c>
      <c r="E14" s="348">
        <f>IFERROR(__xludf.DUMMYFUNCTION("if(ISBLANK(A14),"""",googlefinance(A14,""Marketcap"")/1000000000)"),192.941917485)</f>
        <v>192.9419175</v>
      </c>
      <c r="F14" s="346" t="str">
        <f t="shared" si="1"/>
        <v>Midcap</v>
      </c>
      <c r="G14" s="349"/>
      <c r="H14" s="350"/>
      <c r="I14" s="349"/>
      <c r="J14" s="350"/>
      <c r="K14" s="349"/>
      <c r="L14" s="350"/>
      <c r="M14" s="349"/>
      <c r="N14" s="351"/>
    </row>
    <row r="15">
      <c r="A15" s="352" t="s">
        <v>97</v>
      </c>
      <c r="B15" s="346">
        <v>8.0</v>
      </c>
      <c r="C15" s="347">
        <v>548.5625</v>
      </c>
      <c r="D15" s="346" t="str">
        <f>IFERROR(__xludf.DUMMYFUNCTION("if(ISBLANK(A15),"""",GOOGLEFINANCE(A15,""NAME""))"),"Central Depository Services (India) Ltd")</f>
        <v>Central Depository Services (India) Ltd</v>
      </c>
      <c r="E15" s="348">
        <f>IFERROR(__xludf.DUMMYFUNCTION("if(ISBLANK(A15),"""",googlefinance(A15,""Marketcap"")/1000000000)"),283.8218642)</f>
        <v>283.8218642</v>
      </c>
      <c r="F15" s="346" t="str">
        <f t="shared" si="1"/>
        <v>Midcap</v>
      </c>
      <c r="G15" s="349"/>
      <c r="H15" s="350"/>
      <c r="I15" s="349"/>
      <c r="J15" s="350"/>
      <c r="K15" s="349"/>
      <c r="L15" s="350"/>
      <c r="M15" s="349"/>
      <c r="N15" s="351"/>
    </row>
    <row r="16">
      <c r="A16" s="352" t="s">
        <v>98</v>
      </c>
      <c r="B16" s="346">
        <v>10.0</v>
      </c>
      <c r="C16" s="347">
        <v>6.3</v>
      </c>
      <c r="D16" s="346" t="str">
        <f>IFERROR(__xludf.DUMMYFUNCTION("if(ISBLANK(A16),"""",GOOGLEFINANCE(A16,""NAME""))"),"CG Power and Industrial Solutions Ltd")</f>
        <v>CG Power and Industrial Solutions Ltd</v>
      </c>
      <c r="E16" s="348">
        <f>IFERROR(__xludf.DUMMYFUNCTION("if(ISBLANK(A16),"""",googlefinance(A16,""Marketcap"")/1000000000)"),1392.7368)</f>
        <v>1392.7368</v>
      </c>
      <c r="F16" s="346" t="str">
        <f t="shared" si="1"/>
        <v>Midcap</v>
      </c>
      <c r="G16" s="349"/>
      <c r="H16" s="350"/>
      <c r="I16" s="349"/>
      <c r="J16" s="350"/>
      <c r="K16" s="349"/>
      <c r="L16" s="350"/>
      <c r="M16" s="349"/>
      <c r="N16" s="351"/>
    </row>
    <row r="17">
      <c r="A17" s="352" t="s">
        <v>103</v>
      </c>
      <c r="B17" s="346">
        <v>3.0</v>
      </c>
      <c r="C17" s="347">
        <v>3051.2999999999997</v>
      </c>
      <c r="D17" s="346" t="str">
        <f>IFERROR(__xludf.DUMMYFUNCTION("if(ISBLANK(A17),"""",GOOGLEFINANCE(A17,""NAME""))"),"Dixon Technologies (India) Ltd")</f>
        <v>Dixon Technologies (India) Ltd</v>
      </c>
      <c r="E17" s="348">
        <f>IFERROR(__xludf.DUMMYFUNCTION("if(ISBLANK(A17),"""",googlefinance(A17,""Marketcap"")/1000000000)"),808.59432304)</f>
        <v>808.594323</v>
      </c>
      <c r="F17" s="346" t="str">
        <f t="shared" si="1"/>
        <v>Midcap</v>
      </c>
      <c r="G17" s="349"/>
      <c r="H17" s="350"/>
      <c r="I17" s="349"/>
      <c r="J17" s="350"/>
      <c r="K17" s="349"/>
      <c r="L17" s="350"/>
      <c r="M17" s="349"/>
      <c r="N17" s="351"/>
    </row>
    <row r="18">
      <c r="A18" s="352" t="s">
        <v>104</v>
      </c>
      <c r="B18" s="346">
        <v>6.0</v>
      </c>
      <c r="C18" s="347">
        <v>3710.65</v>
      </c>
      <c r="D18" s="346" t="str">
        <f>IFERROR(__xludf.DUMMYFUNCTION("if(ISBLANK(A18),"""",GOOGLEFINANCE(A18,""NAME""))"),"Avenue Supermarts Ltd")</f>
        <v>Avenue Supermarts Ltd</v>
      </c>
      <c r="E18" s="348">
        <f>IFERROR(__xludf.DUMMYFUNCTION("if(ISBLANK(A18),"""",googlefinance(A18,""Marketcap"")/1000000000)"),2646.133948661)</f>
        <v>2646.133949</v>
      </c>
      <c r="F18" s="346" t="str">
        <f t="shared" si="1"/>
        <v>Largecap</v>
      </c>
      <c r="G18" s="349"/>
      <c r="H18" s="350"/>
      <c r="I18" s="349"/>
      <c r="J18" s="350"/>
      <c r="K18" s="349"/>
      <c r="L18" s="350"/>
      <c r="M18" s="349"/>
      <c r="N18" s="351"/>
    </row>
    <row r="19">
      <c r="A19" s="352" t="s">
        <v>260</v>
      </c>
      <c r="B19" s="346">
        <v>600.0</v>
      </c>
      <c r="C19" s="347">
        <v>41.541625</v>
      </c>
      <c r="D19" s="346" t="str">
        <f>IFERROR(__xludf.DUMMYFUNCTION("if(ISBLANK(A19),"""",GOOGLEFINANCE(A19,""NAME""))"),"Easy Trip Planners Ltd")</f>
        <v>Easy Trip Planners Ltd</v>
      </c>
      <c r="E19" s="348">
        <f>IFERROR(__xludf.DUMMYFUNCTION("if(ISBLANK(A19),"""",googlefinance(A19,""Marketcap"")/1000000000)"),12.595521656)</f>
        <v>12.59552166</v>
      </c>
      <c r="F19" s="346" t="str">
        <f t="shared" si="1"/>
        <v>Smallcap</v>
      </c>
      <c r="G19" s="349"/>
      <c r="H19" s="350"/>
      <c r="I19" s="349"/>
      <c r="J19" s="350"/>
      <c r="K19" s="349"/>
      <c r="L19" s="350"/>
      <c r="M19" s="349"/>
      <c r="N19" s="351"/>
    </row>
    <row r="20">
      <c r="A20" s="352" t="s">
        <v>105</v>
      </c>
      <c r="B20" s="346">
        <v>6.0</v>
      </c>
      <c r="C20" s="347">
        <v>285.2083333333333</v>
      </c>
      <c r="D20" s="346" t="str">
        <f>IFERROR(__xludf.DUMMYFUNCTION("if(ISBLANK(A20),"""",GOOGLEFINANCE(A20,""NAME""))"),"Fineotex Chemical Ltd")</f>
        <v>Fineotex Chemical Ltd</v>
      </c>
      <c r="E20" s="348">
        <f>IFERROR(__xludf.DUMMYFUNCTION("if(ISBLANK(A20),"""",googlefinance(A20,""Marketcap"")/1000000000)"),43.3077534)</f>
        <v>43.3077534</v>
      </c>
      <c r="F20" s="346" t="str">
        <f t="shared" si="1"/>
        <v>Smallcap</v>
      </c>
      <c r="G20" s="349"/>
      <c r="H20" s="350"/>
      <c r="I20" s="349"/>
      <c r="J20" s="350"/>
      <c r="K20" s="349"/>
      <c r="L20" s="350"/>
      <c r="M20" s="349"/>
      <c r="N20" s="351"/>
    </row>
    <row r="21">
      <c r="A21" s="352" t="s">
        <v>106</v>
      </c>
      <c r="B21" s="346">
        <v>10.0</v>
      </c>
      <c r="C21" s="347">
        <v>84.9</v>
      </c>
      <c r="D21" s="346" t="str">
        <f>IFERROR(__xludf.DUMMYFUNCTION("if(ISBLANK(A21),"""",GOOGLEFINANCE(A21,""NAME""))"),"Federal Bank Ltd")</f>
        <v>Federal Bank Ltd</v>
      </c>
      <c r="E21" s="348">
        <f>IFERROR(__xludf.DUMMYFUNCTION("if(ISBLANK(A21),"""",googlefinance(A21,""Marketcap"")/1000000000)"),814.756907902)</f>
        <v>814.7569079</v>
      </c>
      <c r="F21" s="346" t="str">
        <f t="shared" si="1"/>
        <v>Midcap</v>
      </c>
      <c r="G21" s="349"/>
      <c r="H21" s="350"/>
      <c r="I21" s="349"/>
      <c r="J21" s="350"/>
      <c r="K21" s="349"/>
      <c r="L21" s="350"/>
      <c r="M21" s="349"/>
      <c r="N21" s="351"/>
    </row>
    <row r="22">
      <c r="A22" s="352" t="s">
        <v>261</v>
      </c>
      <c r="B22" s="346">
        <v>50.0</v>
      </c>
      <c r="C22" s="347">
        <v>9.6</v>
      </c>
      <c r="D22" s="346" t="str">
        <f>IFERROR(__xludf.DUMMYFUNCTION("if(ISBLANK(A22),"""",GOOGLEFINANCE(A22,""NAME""))"),"Orient Green Power Company Ltd")</f>
        <v>Orient Green Power Company Ltd</v>
      </c>
      <c r="E22" s="348">
        <f>IFERROR(__xludf.DUMMYFUNCTION("if(ISBLANK(A22),"""",googlefinance(A22,""Marketcap"")/1000000000)"),12.046799788)</f>
        <v>12.04679979</v>
      </c>
      <c r="F22" s="346" t="str">
        <f t="shared" si="1"/>
        <v>Smallcap</v>
      </c>
      <c r="G22" s="349"/>
      <c r="H22" s="350"/>
      <c r="I22" s="349"/>
      <c r="J22" s="350"/>
      <c r="K22" s="349"/>
      <c r="L22" s="350"/>
      <c r="M22" s="349"/>
      <c r="N22" s="351"/>
    </row>
    <row r="23">
      <c r="A23" s="352" t="s">
        <v>109</v>
      </c>
      <c r="B23" s="346">
        <v>880.0</v>
      </c>
      <c r="C23" s="347">
        <v>10.654545454545454</v>
      </c>
      <c r="D23" s="346" t="str">
        <f>IFERROR(__xludf.DUMMYFUNCTION("if(ISBLANK(A23),"""",GOOGLEFINANCE(A23,""NAME""))"),"GVK Power &amp; Infrastructure Ltd")</f>
        <v>GVK Power &amp; Infrastructure Ltd</v>
      </c>
      <c r="E23" s="348">
        <f>IFERROR(__xludf.DUMMYFUNCTION("if(ISBLANK(A23),"""",googlefinance(A23,""Marketcap"")/1000000000)"),4.122669829)</f>
        <v>4.122669829</v>
      </c>
      <c r="F23" s="346" t="str">
        <f t="shared" si="1"/>
        <v>Smallcap</v>
      </c>
      <c r="G23" s="349"/>
      <c r="H23" s="350"/>
      <c r="I23" s="349"/>
      <c r="J23" s="350"/>
      <c r="K23" s="349"/>
      <c r="L23" s="350"/>
      <c r="M23" s="349"/>
      <c r="N23" s="351"/>
    </row>
    <row r="24">
      <c r="A24" s="352" t="s">
        <v>110</v>
      </c>
      <c r="B24" s="346">
        <v>2.0</v>
      </c>
      <c r="C24" s="347">
        <v>1258.0</v>
      </c>
      <c r="D24" s="346" t="str">
        <f>IFERROR(__xludf.DUMMYFUNCTION("if(ISBLANK(A24),"""",GOOGLEFINANCE(A24,""NAME""))"),"Happiest Minds Technologies Ltd")</f>
        <v>Happiest Minds Technologies Ltd</v>
      </c>
      <c r="E24" s="348">
        <f>IFERROR(__xludf.DUMMYFUNCTION("if(ISBLANK(A24),"""",googlefinance(A24,""Marketcap"")/1000000000)"),52.51653405)</f>
        <v>52.51653405</v>
      </c>
      <c r="F24" s="346" t="str">
        <f t="shared" si="1"/>
        <v>Smallcap</v>
      </c>
      <c r="G24" s="349"/>
      <c r="H24" s="350"/>
      <c r="I24" s="349"/>
      <c r="J24" s="350"/>
      <c r="K24" s="349"/>
      <c r="L24" s="350"/>
      <c r="M24" s="349"/>
      <c r="N24" s="351"/>
    </row>
    <row r="25">
      <c r="A25" s="352" t="s">
        <v>111</v>
      </c>
      <c r="B25" s="346">
        <v>3.0</v>
      </c>
      <c r="C25" s="347">
        <v>1226.0666666666666</v>
      </c>
      <c r="D25" s="346" t="str">
        <f>IFERROR(__xludf.DUMMYFUNCTION("if(ISBLANK(A25),"""",GOOGLEFINANCE(A25,""NAME""))"),"HCL Technologies Ltd")</f>
        <v>HCL Technologies Ltd</v>
      </c>
      <c r="E25" s="348">
        <f>IFERROR(__xludf.DUMMYFUNCTION("if(ISBLANK(A25),"""",googlefinance(A25,""Marketcap"")/1000000000)"),3165.74622)</f>
        <v>3165.74622</v>
      </c>
      <c r="F25" s="346" t="str">
        <f t="shared" si="1"/>
        <v>Largecap</v>
      </c>
      <c r="G25" s="349"/>
      <c r="H25" s="350"/>
      <c r="I25" s="349"/>
      <c r="J25" s="350"/>
      <c r="K25" s="349"/>
      <c r="L25" s="350"/>
      <c r="M25" s="349"/>
      <c r="N25" s="351"/>
    </row>
    <row r="26">
      <c r="A26" s="352" t="s">
        <v>113</v>
      </c>
      <c r="B26" s="346">
        <v>2.0</v>
      </c>
      <c r="C26" s="347">
        <v>1461.37</v>
      </c>
      <c r="D26" s="346" t="str">
        <f>IFERROR(__xludf.DUMMYFUNCTION("if(ISBLANK(A26),"""",GOOGLEFINANCE(A26,""NAME""))"),"HDFC Bank Ltd")</f>
        <v>HDFC Bank Ltd</v>
      </c>
      <c r="E26" s="348">
        <f>IFERROR(__xludf.DUMMYFUNCTION("if(ISBLANK(A26),"""",googlefinance(A26,""Marketcap"")/1000000000)"),137.271521463)</f>
        <v>137.2715215</v>
      </c>
      <c r="F26" s="346" t="str">
        <f t="shared" si="1"/>
        <v>Midcap</v>
      </c>
      <c r="G26" s="349"/>
      <c r="H26" s="350"/>
      <c r="I26" s="349"/>
      <c r="J26" s="350"/>
      <c r="K26" s="349"/>
      <c r="L26" s="350"/>
      <c r="M26" s="349"/>
      <c r="N26" s="351"/>
    </row>
    <row r="27">
      <c r="A27" s="352" t="s">
        <v>114</v>
      </c>
      <c r="B27" s="346">
        <v>6.0</v>
      </c>
      <c r="C27" s="347">
        <v>585.9833333333333</v>
      </c>
      <c r="D27" s="346" t="str">
        <f>IFERROR(__xludf.DUMMYFUNCTION("if(ISBLANK(A27),"""",GOOGLEFINANCE(A27,""NAME""))"),"HDFC Life Insurance Company Ltd")</f>
        <v>HDFC Life Insurance Company Ltd</v>
      </c>
      <c r="E27" s="348">
        <f>IFERROR(__xludf.DUMMYFUNCTION("if(ISBLANK(A27),"""",googlefinance(A27,""Marketcap"")/1000000000)"),1243.97577125)</f>
        <v>1243.975771</v>
      </c>
      <c r="F27" s="346" t="str">
        <f t="shared" si="1"/>
        <v>Midcap</v>
      </c>
      <c r="G27" s="349"/>
      <c r="H27" s="350"/>
      <c r="I27" s="349"/>
      <c r="J27" s="350"/>
      <c r="K27" s="349"/>
      <c r="L27" s="350"/>
      <c r="M27" s="349"/>
      <c r="N27" s="351"/>
    </row>
    <row r="28">
      <c r="A28" s="352" t="s">
        <v>115</v>
      </c>
      <c r="B28" s="346">
        <v>3.0</v>
      </c>
      <c r="C28" s="347">
        <v>2372.1</v>
      </c>
      <c r="D28" s="346" t="str">
        <f>IFERROR(__xludf.DUMMYFUNCTION("if(ISBLANK(A28),"""",GOOGLEFINANCE(A28,""NAME""))"),"Hindustan Unilever Ltd")</f>
        <v>Hindustan Unilever Ltd</v>
      </c>
      <c r="E28" s="348">
        <f>IFERROR(__xludf.DUMMYFUNCTION("if(ISBLANK(A28),"""",googlefinance(A28,""Marketcap"")/1000000000)"),5190.393151724)</f>
        <v>5190.393152</v>
      </c>
      <c r="F28" s="346" t="str">
        <f t="shared" si="1"/>
        <v>Largecap</v>
      </c>
      <c r="G28" s="349"/>
      <c r="H28" s="350"/>
      <c r="I28" s="349"/>
      <c r="J28" s="350"/>
      <c r="K28" s="349"/>
      <c r="L28" s="350"/>
      <c r="M28" s="349"/>
      <c r="N28" s="351"/>
    </row>
    <row r="29">
      <c r="A29" s="352" t="s">
        <v>116</v>
      </c>
      <c r="B29" s="346">
        <v>10.0</v>
      </c>
      <c r="C29" s="347">
        <v>519.9300000000001</v>
      </c>
      <c r="D29" s="346" t="str">
        <f>IFERROR(__xludf.DUMMYFUNCTION("if(ISBLANK(A29),"""",GOOGLEFINANCE(A29,""NAME""))"),"HLE Glascoat Ltd")</f>
        <v>HLE Glascoat Ltd</v>
      </c>
      <c r="E29" s="348">
        <f>IFERROR(__xludf.DUMMYFUNCTION("if(ISBLANK(A29),"""",googlefinance(A29,""Marketcap"")/1000000000)"),28.05971496)</f>
        <v>28.05971496</v>
      </c>
      <c r="F29" s="346" t="str">
        <f t="shared" si="1"/>
        <v>Smallcap</v>
      </c>
      <c r="G29" s="349"/>
      <c r="H29" s="350"/>
      <c r="I29" s="349"/>
      <c r="J29" s="350"/>
      <c r="K29" s="349"/>
      <c r="L29" s="350"/>
      <c r="M29" s="349"/>
      <c r="N29" s="351"/>
    </row>
    <row r="30">
      <c r="A30" s="352" t="s">
        <v>117</v>
      </c>
      <c r="B30" s="346">
        <v>10.0</v>
      </c>
      <c r="C30" s="347">
        <v>408.2</v>
      </c>
      <c r="D30" s="346" t="str">
        <f>IFERROR(__xludf.DUMMYFUNCTION("if(ISBLANK(A30),"""",GOOGLEFINANCE(A30,""NAME""))"),"Hindustan Foods Ltd(NDA)")</f>
        <v>Hindustan Foods Ltd(NDA)</v>
      </c>
      <c r="E30" s="348">
        <f>IFERROR(__xludf.DUMMYFUNCTION("if(ISBLANK(A30),"""",googlefinance(A30,""Marketcap"")/1000000000)"),65.427804)</f>
        <v>65.427804</v>
      </c>
      <c r="F30" s="346" t="str">
        <f t="shared" si="1"/>
        <v>Smallcap</v>
      </c>
      <c r="G30" s="349"/>
      <c r="H30" s="350"/>
      <c r="I30" s="349"/>
      <c r="J30" s="350"/>
      <c r="K30" s="349"/>
      <c r="L30" s="350"/>
      <c r="M30" s="349"/>
      <c r="N30" s="351"/>
    </row>
    <row r="31">
      <c r="A31" s="352" t="s">
        <v>119</v>
      </c>
      <c r="B31" s="346">
        <v>3.0</v>
      </c>
      <c r="C31" s="347">
        <v>267.6667</v>
      </c>
      <c r="D31" s="346" t="str">
        <f>IFERROR(__xludf.DUMMYFUNCTION("if(ISBLANK(A31),"""",GOOGLEFINANCE(A31,""NAME""))"),"Indian Energy Exchange Ltd")</f>
        <v>Indian Energy Exchange Ltd</v>
      </c>
      <c r="E31" s="348">
        <f>IFERROR(__xludf.DUMMYFUNCTION("if(ISBLANK(A31),"""",googlefinance(A31,""Marketcap"")/1000000000)"),108.91223141)</f>
        <v>108.9122314</v>
      </c>
      <c r="F31" s="346" t="str">
        <f t="shared" si="1"/>
        <v>Midcap</v>
      </c>
      <c r="G31" s="349"/>
      <c r="H31" s="350"/>
      <c r="I31" s="349"/>
      <c r="J31" s="350"/>
      <c r="K31" s="349"/>
      <c r="L31" s="350"/>
      <c r="M31" s="349"/>
      <c r="N31" s="351"/>
    </row>
    <row r="32">
      <c r="A32" s="352" t="s">
        <v>120</v>
      </c>
      <c r="B32" s="346">
        <v>6.0</v>
      </c>
      <c r="C32" s="347">
        <v>1386.825</v>
      </c>
      <c r="D32" s="346" t="str">
        <f>IFERROR(__xludf.DUMMYFUNCTION("if(ISBLANK(A32),"""",GOOGLEFINANCE(A32,""NAME""))"),"Infosys Ltd")</f>
        <v>Infosys Ltd</v>
      </c>
      <c r="E32" s="348">
        <f>IFERROR(__xludf.DUMMYFUNCTION("if(ISBLANK(A32),"""",googlefinance(A32,""Marketcap"")/1000000000)"),45.371518373)</f>
        <v>45.37151837</v>
      </c>
      <c r="F32" s="346" t="str">
        <f t="shared" si="1"/>
        <v>Smallcap</v>
      </c>
      <c r="G32" s="349"/>
      <c r="H32" s="350"/>
      <c r="I32" s="349"/>
      <c r="J32" s="350"/>
      <c r="K32" s="349"/>
      <c r="L32" s="350"/>
      <c r="M32" s="349"/>
      <c r="N32" s="351"/>
    </row>
    <row r="33">
      <c r="A33" s="352" t="s">
        <v>121</v>
      </c>
      <c r="B33" s="346">
        <v>3.0</v>
      </c>
      <c r="C33" s="347">
        <v>252.0</v>
      </c>
      <c r="D33" s="346" t="str">
        <f>IFERROR(__xludf.DUMMYFUNCTION("if(ISBLANK(A33),"""",GOOGLEFINANCE(A33,""NAME""))"),"India Pesticides Ltd")</f>
        <v>India Pesticides Ltd</v>
      </c>
      <c r="E33" s="348">
        <f>IFERROR(__xludf.DUMMYFUNCTION("if(ISBLANK(A33),"""",googlefinance(A33,""Marketcap"")/1000000000)"),18.375610542)</f>
        <v>18.37561054</v>
      </c>
      <c r="F33" s="346" t="str">
        <f t="shared" si="1"/>
        <v>Smallcap</v>
      </c>
      <c r="G33" s="349"/>
      <c r="H33" s="350"/>
      <c r="I33" s="349"/>
      <c r="J33" s="350"/>
      <c r="K33" s="349"/>
      <c r="L33" s="350"/>
      <c r="M33" s="349"/>
      <c r="N33" s="351"/>
    </row>
    <row r="34">
      <c r="A34" s="352" t="s">
        <v>122</v>
      </c>
      <c r="B34" s="346">
        <v>90.0</v>
      </c>
      <c r="C34" s="347">
        <v>175.95555555555555</v>
      </c>
      <c r="D34" s="346" t="str">
        <f>IFERROR(__xludf.DUMMYFUNCTION("if(ISBLANK(A34),"""",GOOGLEFINANCE(A34,""NAME""))"),"Ircon International Ltd")</f>
        <v>Ircon International Ltd</v>
      </c>
      <c r="E34" s="348">
        <f>IFERROR(__xludf.DUMMYFUNCTION("if(ISBLANK(A34),"""",googlefinance(A34,""Marketcap"")/1000000000)"),125.244403813)</f>
        <v>125.2444038</v>
      </c>
      <c r="F34" s="346" t="str">
        <f t="shared" si="1"/>
        <v>Midcap</v>
      </c>
      <c r="G34" s="349"/>
      <c r="H34" s="350"/>
      <c r="I34" s="349"/>
      <c r="J34" s="350"/>
      <c r="K34" s="349"/>
      <c r="L34" s="350"/>
      <c r="M34" s="349"/>
      <c r="N34" s="351"/>
    </row>
    <row r="35">
      <c r="A35" s="352" t="s">
        <v>123</v>
      </c>
      <c r="B35" s="346">
        <v>12.0</v>
      </c>
      <c r="C35" s="347">
        <v>873.6333333333333</v>
      </c>
      <c r="D35" s="346" t="str">
        <f>IFERROR(__xludf.DUMMYFUNCTION("if(ISBLANK(A35),"""",GOOGLEFINANCE(A35,""NAME""))"),"Indian Railway Ctrng nd Trsm Corp Ltd")</f>
        <v>Indian Railway Ctrng nd Trsm Corp Ltd</v>
      </c>
      <c r="E35" s="348">
        <f>IFERROR(__xludf.DUMMYFUNCTION("if(ISBLANK(A35),"""",googlefinance(A35,""Marketcap"")/1000000000)"),400.614856208)</f>
        <v>400.6148562</v>
      </c>
      <c r="F35" s="346" t="str">
        <f t="shared" si="1"/>
        <v>Midcap</v>
      </c>
      <c r="G35" s="349"/>
      <c r="H35" s="350"/>
      <c r="I35" s="349"/>
      <c r="J35" s="350"/>
      <c r="K35" s="349"/>
      <c r="L35" s="350"/>
      <c r="M35" s="349"/>
      <c r="N35" s="351"/>
    </row>
    <row r="36">
      <c r="A36" s="352" t="s">
        <v>124</v>
      </c>
      <c r="B36" s="346">
        <v>330.0</v>
      </c>
      <c r="C36" s="347">
        <v>68.972</v>
      </c>
      <c r="D36" s="346" t="str">
        <f>IFERROR(__xludf.DUMMYFUNCTION("if(ISBLANK(A36),"""",GOOGLEFINANCE(A36,""NAME""))"),"Indian Railway Finance Corp Ltd")</f>
        <v>Indian Railway Finance Corp Ltd</v>
      </c>
      <c r="E36" s="348">
        <f>IFERROR(__xludf.DUMMYFUNCTION("if(ISBLANK(A36),"""",googlefinance(A36,""Marketcap"")/1000000000)"),1175.931601603)</f>
        <v>1175.931602</v>
      </c>
      <c r="F36" s="346" t="str">
        <f t="shared" si="1"/>
        <v>Midcap</v>
      </c>
      <c r="G36" s="349"/>
      <c r="H36" s="350"/>
      <c r="I36" s="349"/>
      <c r="J36" s="350"/>
      <c r="K36" s="349"/>
      <c r="L36" s="350"/>
      <c r="M36" s="349"/>
      <c r="N36" s="351"/>
    </row>
    <row r="37">
      <c r="A37" s="352" t="s">
        <v>126</v>
      </c>
      <c r="B37" s="346">
        <v>1620.0</v>
      </c>
      <c r="C37" s="347">
        <v>344.25704938271605</v>
      </c>
      <c r="D37" s="346" t="str">
        <f>IFERROR(__xludf.DUMMYFUNCTION("if(ISBLANK(A37),"""",GOOGLEFINANCE(A37,""NAME""))"),"Jio Financial Services Ltd")</f>
        <v>Jio Financial Services Ltd</v>
      </c>
      <c r="E37" s="348">
        <f>IFERROR(__xludf.DUMMYFUNCTION("if(ISBLANK(A37),"""",googlefinance(A37,""Marketcap"")/1000000000)"),1548.085606037)</f>
        <v>1548.085606</v>
      </c>
      <c r="F37" s="346" t="str">
        <f t="shared" si="1"/>
        <v>Largecap</v>
      </c>
      <c r="G37" s="349"/>
      <c r="H37" s="350"/>
      <c r="I37" s="349"/>
      <c r="J37" s="350"/>
      <c r="K37" s="349"/>
      <c r="L37" s="350"/>
      <c r="M37" s="349"/>
      <c r="N37" s="351"/>
    </row>
    <row r="38">
      <c r="A38" s="352" t="s">
        <v>127</v>
      </c>
      <c r="B38" s="346">
        <v>3.0</v>
      </c>
      <c r="C38" s="347">
        <v>451.0333333333333</v>
      </c>
      <c r="D38" s="346" t="str">
        <f>IFERROR(__xludf.DUMMYFUNCTION("if(ISBLANK(A38),"""",GOOGLEFINANCE(A38,""NAME""))"),"Jubilant FoodWorks Ltd")</f>
        <v>Jubilant FoodWorks Ltd</v>
      </c>
      <c r="E38" s="348">
        <f>IFERROR(__xludf.DUMMYFUNCTION("if(ISBLANK(A38),"""",googlefinance(A38,""Marketcap"")/1000000000)"),299.378209465)</f>
        <v>299.3782095</v>
      </c>
      <c r="F38" s="346" t="str">
        <f t="shared" si="1"/>
        <v>Midcap</v>
      </c>
      <c r="G38" s="349"/>
      <c r="H38" s="350"/>
      <c r="I38" s="349"/>
      <c r="J38" s="350"/>
      <c r="K38" s="349"/>
      <c r="L38" s="350"/>
      <c r="M38" s="349"/>
      <c r="N38" s="351"/>
    </row>
    <row r="39">
      <c r="A39" s="352" t="s">
        <v>128</v>
      </c>
      <c r="B39" s="346">
        <v>26.0</v>
      </c>
      <c r="C39" s="347">
        <v>515.8461615384615</v>
      </c>
      <c r="D39" s="346" t="str">
        <f>IFERROR(__xludf.DUMMYFUNCTION("if(ISBLANK(A39),"""",GOOGLEFINANCE(A39,""NAME""))"),"Latent View Analytics Ltd")</f>
        <v>Latent View Analytics Ltd</v>
      </c>
      <c r="E39" s="348">
        <f>IFERROR(__xludf.DUMMYFUNCTION("if(ISBLANK(A39),"""",googlefinance(A39,""Marketcap"")/1000000000)"),62.323834456)</f>
        <v>62.32383446</v>
      </c>
      <c r="F39" s="346" t="str">
        <f t="shared" si="1"/>
        <v>Smallcap</v>
      </c>
      <c r="G39" s="349"/>
      <c r="H39" s="350"/>
      <c r="I39" s="349"/>
      <c r="J39" s="350"/>
      <c r="K39" s="349"/>
      <c r="L39" s="350"/>
      <c r="M39" s="349"/>
      <c r="N39" s="351"/>
    </row>
    <row r="40">
      <c r="A40" s="352" t="s">
        <v>129</v>
      </c>
      <c r="B40" s="346">
        <v>9.0</v>
      </c>
      <c r="C40" s="347">
        <v>888.4277777777778</v>
      </c>
      <c r="D40" s="346" t="str">
        <f>IFERROR(__xludf.DUMMYFUNCTION("if(ISBLANK(A40),"""",GOOGLEFINANCE(A40,""NAME""))"),"Life Insurance Corporation of India")</f>
        <v>Life Insurance Corporation of India</v>
      </c>
      <c r="E40" s="348">
        <f>IFERROR(__xludf.DUMMYFUNCTION("if(ISBLANK(A40),"""",googlefinance(A40,""Marketcap"")/1000000000)"),2754.365896613)</f>
        <v>2754.365897</v>
      </c>
      <c r="F40" s="346" t="str">
        <f t="shared" si="1"/>
        <v>Largecap</v>
      </c>
      <c r="G40" s="349"/>
      <c r="H40" s="350"/>
      <c r="I40" s="349"/>
      <c r="J40" s="350"/>
      <c r="K40" s="349"/>
      <c r="L40" s="350"/>
      <c r="M40" s="349"/>
      <c r="N40" s="351"/>
    </row>
    <row r="41">
      <c r="A41" s="352" t="s">
        <v>131</v>
      </c>
      <c r="B41" s="346">
        <v>3.0</v>
      </c>
      <c r="C41" s="347">
        <v>4451.366666666666</v>
      </c>
      <c r="D41" s="346" t="str">
        <f>IFERROR(__xludf.DUMMYFUNCTION("if(ISBLANK(A41),"""",GOOGLEFINANCE(A41,""NAME""))"),"L&amp;T Technology Services Ltd")</f>
        <v>L&amp;T Technology Services Ltd</v>
      </c>
      <c r="E41" s="348">
        <f>IFERROR(__xludf.DUMMYFUNCTION("if(ISBLANK(A41),"""",googlefinance(A41,""Marketcap"")/1000000000)"),343.449803)</f>
        <v>343.449803</v>
      </c>
      <c r="F41" s="346" t="str">
        <f t="shared" si="1"/>
        <v>Midcap</v>
      </c>
      <c r="G41" s="349"/>
      <c r="H41" s="350"/>
      <c r="I41" s="349"/>
      <c r="J41" s="350"/>
      <c r="K41" s="349"/>
      <c r="L41" s="350"/>
      <c r="M41" s="349"/>
      <c r="N41" s="351"/>
    </row>
    <row r="42">
      <c r="A42" s="352" t="s">
        <v>208</v>
      </c>
      <c r="B42" s="346">
        <v>16.0</v>
      </c>
      <c r="C42" s="347">
        <v>18.9955</v>
      </c>
      <c r="D42" s="346" t="str">
        <f>IFERROR(__xludf.DUMMYFUNCTION("if(ISBLANK(A42),"""",GOOGLEFINANCE(A42,""NAME""))"),"Motherson Sumi Wiring India Ltd")</f>
        <v>Motherson Sumi Wiring India Ltd</v>
      </c>
      <c r="E42" s="348">
        <f>IFERROR(__xludf.DUMMYFUNCTION("if(ISBLANK(A42),"""",googlefinance(A42,""Marketcap"")/1000000000)"),182.547512077)</f>
        <v>182.5475121</v>
      </c>
      <c r="F42" s="346" t="str">
        <f t="shared" si="1"/>
        <v>Midcap</v>
      </c>
      <c r="G42" s="349"/>
      <c r="H42" s="350"/>
      <c r="I42" s="349"/>
      <c r="J42" s="350"/>
      <c r="K42" s="349"/>
      <c r="L42" s="350"/>
      <c r="M42" s="349"/>
      <c r="N42" s="351"/>
    </row>
    <row r="43">
      <c r="A43" s="352" t="s">
        <v>135</v>
      </c>
      <c r="B43" s="346">
        <v>3.0</v>
      </c>
      <c r="C43" s="347">
        <v>1889.8666666666668</v>
      </c>
      <c r="D43" s="346" t="str">
        <f>IFERROR(__xludf.DUMMYFUNCTION("if(ISBLANK(A43),"""",GOOGLEFINANCE(A43,""NAME""))"),"MTAR Technologies Ltd")</f>
        <v>MTAR Technologies Ltd</v>
      </c>
      <c r="E43" s="348">
        <f>IFERROR(__xludf.DUMMYFUNCTION("if(ISBLANK(A43),"""",googlefinance(A43,""Marketcap"")/1000000000)"),215.472100835)</f>
        <v>215.4721008</v>
      </c>
      <c r="F43" s="346" t="str">
        <f t="shared" si="1"/>
        <v>Midcap</v>
      </c>
      <c r="G43" s="349"/>
      <c r="H43" s="350"/>
      <c r="I43" s="349"/>
      <c r="J43" s="350"/>
      <c r="K43" s="349"/>
      <c r="L43" s="350"/>
      <c r="M43" s="349"/>
      <c r="N43" s="351"/>
    </row>
    <row r="44">
      <c r="A44" s="352" t="s">
        <v>136</v>
      </c>
      <c r="B44" s="346">
        <v>12.0</v>
      </c>
      <c r="C44" s="347">
        <v>1202.4166666666667</v>
      </c>
      <c r="D44" s="346" t="str">
        <f>IFERROR(__xludf.DUMMYFUNCTION("if(ISBLANK(A44),"""",GOOGLEFINANCE(A44,""NAME""))"),"Muthoot Finance Ltd")</f>
        <v>Muthoot Finance Ltd</v>
      </c>
      <c r="E44" s="348">
        <f>IFERROR(__xludf.DUMMYFUNCTION("if(ISBLANK(A44),"""",googlefinance(A44,""Marketcap"")/1000000000)"),1255.46230395)</f>
        <v>1255.462304</v>
      </c>
      <c r="F44" s="346" t="str">
        <f t="shared" si="1"/>
        <v>Midcap</v>
      </c>
      <c r="G44" s="349"/>
      <c r="H44" s="350"/>
      <c r="I44" s="349"/>
      <c r="J44" s="350"/>
      <c r="K44" s="349"/>
      <c r="L44" s="350"/>
      <c r="M44" s="349"/>
      <c r="N44" s="351"/>
    </row>
    <row r="45">
      <c r="A45" s="352" t="s">
        <v>137</v>
      </c>
      <c r="B45" s="346">
        <v>18.0</v>
      </c>
      <c r="C45" s="347">
        <v>698.8166666666667</v>
      </c>
      <c r="D45" s="346" t="str">
        <f>IFERROR(__xludf.DUMMYFUNCTION("if(ISBLANK(A45),"""",GOOGLEFINANCE(A45,""NAME""))"),"Nazara Technologies Ltd")</f>
        <v>Nazara Technologies Ltd</v>
      </c>
      <c r="E45" s="348">
        <f>IFERROR(__xludf.DUMMYFUNCTION("if(ISBLANK(A45),"""",googlefinance(A45,""Marketcap"")/1000000000)"),111.843351048)</f>
        <v>111.843351</v>
      </c>
      <c r="F45" s="346" t="str">
        <f t="shared" si="1"/>
        <v>Midcap</v>
      </c>
      <c r="G45" s="349"/>
      <c r="H45" s="350"/>
      <c r="I45" s="349"/>
      <c r="J45" s="350"/>
      <c r="K45" s="349"/>
      <c r="L45" s="350"/>
      <c r="M45" s="349"/>
      <c r="N45" s="351"/>
    </row>
    <row r="46">
      <c r="A46" s="352" t="s">
        <v>138</v>
      </c>
      <c r="B46" s="346">
        <v>4.0</v>
      </c>
      <c r="C46" s="347">
        <v>2552.325</v>
      </c>
      <c r="D46" s="346" t="str">
        <f>IFERROR(__xludf.DUMMYFUNCTION("if(ISBLANK(A46),"""",GOOGLEFINANCE(A46,""NAME""))"),"Nestle India Ltd")</f>
        <v>Nestle India Ltd</v>
      </c>
      <c r="E46" s="348">
        <f>IFERROR(__xludf.DUMMYFUNCTION("if(ISBLANK(A46),"""",googlefinance(A46,""Marketcap"")/1000000000)"),2828.643853677)</f>
        <v>2828.643854</v>
      </c>
      <c r="F46" s="346" t="str">
        <f t="shared" si="1"/>
        <v>Largecap</v>
      </c>
      <c r="G46" s="349"/>
      <c r="H46" s="350"/>
      <c r="I46" s="349"/>
      <c r="J46" s="350"/>
      <c r="K46" s="349"/>
      <c r="L46" s="350"/>
      <c r="M46" s="349"/>
      <c r="N46" s="351"/>
    </row>
    <row r="47">
      <c r="A47" s="352" t="s">
        <v>139</v>
      </c>
      <c r="B47" s="346">
        <v>82.0</v>
      </c>
      <c r="C47" s="347">
        <v>72.9560975609756</v>
      </c>
      <c r="D47" s="346" t="str">
        <f>IFERROR(__xludf.DUMMYFUNCTION("if(ISBLANK(A47),"""",GOOGLEFINANCE(A47,""NAME""))"),"Paradeep Phosphates Ltd")</f>
        <v>Paradeep Phosphates Ltd</v>
      </c>
      <c r="E47" s="348">
        <f>IFERROR(__xludf.DUMMYFUNCTION("if(ISBLANK(A47),"""",googlefinance(A47,""Marketcap"")/1000000000)"),144.55528575)</f>
        <v>144.5552858</v>
      </c>
      <c r="F47" s="346" t="str">
        <f t="shared" si="1"/>
        <v>Midcap</v>
      </c>
      <c r="G47" s="349"/>
      <c r="H47" s="350"/>
      <c r="I47" s="349"/>
      <c r="J47" s="350"/>
      <c r="K47" s="349"/>
      <c r="L47" s="350"/>
      <c r="M47" s="349"/>
      <c r="N47" s="351"/>
    </row>
    <row r="48">
      <c r="A48" s="352" t="s">
        <v>140</v>
      </c>
      <c r="B48" s="346">
        <v>1.0</v>
      </c>
      <c r="C48" s="347">
        <v>794.0</v>
      </c>
      <c r="D48" s="346" t="str">
        <f>IFERROR(__xludf.DUMMYFUNCTION("if(ISBLANK(A48),"""",GOOGLEFINANCE(A48,""NAME""))"),"Paras Defence and Space Technologies Ltd")</f>
        <v>Paras Defence and Space Technologies Ltd</v>
      </c>
      <c r="E48" s="348">
        <f>IFERROR(__xludf.DUMMYFUNCTION("if(ISBLANK(A48),"""",googlefinance(A48,""Marketcap"")/1000000000)"),104.360546727)</f>
        <v>104.3605467</v>
      </c>
      <c r="F48" s="346" t="str">
        <f t="shared" si="1"/>
        <v>Midcap</v>
      </c>
      <c r="G48" s="349"/>
      <c r="H48" s="350"/>
      <c r="I48" s="349"/>
      <c r="J48" s="350"/>
      <c r="K48" s="349"/>
      <c r="L48" s="350"/>
      <c r="M48" s="349"/>
      <c r="N48" s="351"/>
    </row>
    <row r="49">
      <c r="A49" s="352" t="s">
        <v>145</v>
      </c>
      <c r="B49" s="346">
        <v>12.0</v>
      </c>
      <c r="C49" s="347">
        <v>548.9833333333333</v>
      </c>
      <c r="D49" s="346" t="str">
        <f>IFERROR(__xludf.DUMMYFUNCTION("if(ISBLANK(A49),"""",GOOGLEFINANCE(A49,""NAME""))"),"Prince Pipes and Fittings Ltd")</f>
        <v>Prince Pipes and Fittings Ltd</v>
      </c>
      <c r="E49" s="348">
        <f>IFERROR(__xludf.DUMMYFUNCTION("if(ISBLANK(A49),"""",googlefinance(A49,""Marketcap"")/1000000000)"),29.879604925)</f>
        <v>29.87960493</v>
      </c>
      <c r="F49" s="346" t="str">
        <f t="shared" si="1"/>
        <v>Smallcap</v>
      </c>
      <c r="G49" s="349"/>
      <c r="H49" s="350"/>
      <c r="I49" s="349"/>
      <c r="J49" s="350"/>
      <c r="K49" s="349"/>
      <c r="L49" s="350"/>
      <c r="M49" s="349"/>
      <c r="N49" s="351"/>
    </row>
    <row r="50">
      <c r="A50" s="352" t="s">
        <v>146</v>
      </c>
      <c r="B50" s="346">
        <v>4.0</v>
      </c>
      <c r="C50" s="347">
        <v>122.875</v>
      </c>
      <c r="D50" s="346" t="str">
        <f>IFERROR(__xludf.DUMMYFUNCTION("if(ISBLANK(A50),"""",GOOGLEFINANCE(A50,""NAME""))"),"Railtel Corporation of India Ltd")</f>
        <v>Railtel Corporation of India Ltd</v>
      </c>
      <c r="E50" s="348">
        <f>IFERROR(__xludf.DUMMYFUNCTION("if(ISBLANK(A50),"""",googlefinance(A50,""Marketcap"")/1000000000)"),99.908088872)</f>
        <v>99.90808887</v>
      </c>
      <c r="F50" s="346" t="str">
        <f t="shared" si="1"/>
        <v>Smallcap</v>
      </c>
      <c r="G50" s="349"/>
      <c r="H50" s="350"/>
      <c r="I50" s="349"/>
      <c r="J50" s="350"/>
      <c r="K50" s="349"/>
      <c r="L50" s="350"/>
      <c r="M50" s="349"/>
      <c r="N50" s="351"/>
    </row>
    <row r="51">
      <c r="A51" s="352" t="s">
        <v>148</v>
      </c>
      <c r="B51" s="346">
        <v>3.0</v>
      </c>
      <c r="C51" s="347">
        <v>2299.23</v>
      </c>
      <c r="D51" s="346" t="str">
        <f>IFERROR(__xludf.DUMMYFUNCTION("if(ISBLANK(A51),"""",GOOGLEFINANCE(A51,""NAME""))"),"Reliance Industries Ltd")</f>
        <v>Reliance Industries Ltd</v>
      </c>
      <c r="E51" s="348">
        <f>IFERROR(__xludf.DUMMYFUNCTION("if(ISBLANK(A51),"""",googlefinance(A51,""Marketcap"")/1000000000)"),17677.119387287)</f>
        <v>17677.11939</v>
      </c>
      <c r="F51" s="346" t="str">
        <f t="shared" si="1"/>
        <v>Largecap</v>
      </c>
      <c r="G51" s="349"/>
      <c r="H51" s="350"/>
      <c r="I51" s="349"/>
      <c r="J51" s="350"/>
      <c r="K51" s="349"/>
      <c r="L51" s="350"/>
      <c r="M51" s="349"/>
      <c r="N51" s="351"/>
    </row>
    <row r="52">
      <c r="A52" s="352" t="s">
        <v>149</v>
      </c>
      <c r="B52" s="346">
        <v>1310.0</v>
      </c>
      <c r="C52" s="347">
        <v>75.85570992366412</v>
      </c>
      <c r="D52" s="346" t="str">
        <f>IFERROR(__xludf.DUMMYFUNCTION("if(ISBLANK(A52),"""",GOOGLEFINANCE(A52,""NAME""))"),"Rattanindia Enterprises Ltd")</f>
        <v>Rattanindia Enterprises Ltd</v>
      </c>
      <c r="E52" s="348">
        <f>IFERROR(__xludf.DUMMYFUNCTION("if(ISBLANK(A52),"""",googlefinance(A52,""Marketcap"")/1000000000)"),45.431184407)</f>
        <v>45.43118441</v>
      </c>
      <c r="F52" s="346" t="str">
        <f t="shared" si="1"/>
        <v>Smallcap</v>
      </c>
      <c r="G52" s="349"/>
      <c r="H52" s="350"/>
      <c r="I52" s="349"/>
      <c r="J52" s="350"/>
      <c r="K52" s="349"/>
      <c r="L52" s="350"/>
      <c r="M52" s="349"/>
      <c r="N52" s="351"/>
    </row>
    <row r="53">
      <c r="A53" s="352" t="s">
        <v>150</v>
      </c>
      <c r="B53" s="346">
        <v>90.0</v>
      </c>
      <c r="C53" s="347">
        <v>327.7655555555556</v>
      </c>
      <c r="D53" s="346" t="str">
        <f>IFERROR(__xludf.DUMMYFUNCTION("if(ISBLANK(A53),"""",GOOGLEFINANCE(A53,""NAME""))"),"Rail Vikas Nigam Ltd")</f>
        <v>Rail Vikas Nigam Ltd</v>
      </c>
      <c r="E53" s="348">
        <f>IFERROR(__xludf.DUMMYFUNCTION("if(ISBLANK(A53),"""",googlefinance(A53,""Marketcap"")/1000000000)"),485.52045675)</f>
        <v>485.5204568</v>
      </c>
      <c r="F53" s="346" t="str">
        <f t="shared" si="1"/>
        <v>Midcap</v>
      </c>
      <c r="G53" s="349"/>
      <c r="H53" s="350"/>
      <c r="I53" s="349"/>
      <c r="J53" s="350"/>
      <c r="K53" s="349"/>
      <c r="L53" s="350"/>
      <c r="M53" s="349"/>
      <c r="N53" s="351"/>
    </row>
    <row r="54">
      <c r="A54" s="352" t="s">
        <v>151</v>
      </c>
      <c r="B54" s="346">
        <v>3.0</v>
      </c>
      <c r="C54" s="347">
        <v>694.9666666666667</v>
      </c>
      <c r="D54" s="346" t="str">
        <f>IFERROR(__xludf.DUMMYFUNCTION("if(ISBLANK(A54),"""",GOOGLEFINANCE(A54,""NAME""))"),"SBI Cards and Payment Services Ltd")</f>
        <v>SBI Cards and Payment Services Ltd</v>
      </c>
      <c r="E54" s="348">
        <f>IFERROR(__xludf.DUMMYFUNCTION("if(ISBLANK(A54),"""",googlefinance(A54,""Marketcap"")/1000000000)"),575.155766592)</f>
        <v>575.1557666</v>
      </c>
      <c r="F54" s="346" t="str">
        <f t="shared" si="1"/>
        <v>Midcap</v>
      </c>
      <c r="G54" s="349"/>
      <c r="H54" s="350"/>
      <c r="I54" s="349"/>
      <c r="J54" s="350"/>
      <c r="K54" s="349"/>
      <c r="L54" s="350"/>
      <c r="M54" s="349"/>
      <c r="N54" s="351"/>
    </row>
    <row r="55">
      <c r="A55" s="352" t="s">
        <v>152</v>
      </c>
      <c r="B55" s="346">
        <v>10.0</v>
      </c>
      <c r="C55" s="347">
        <v>155.0</v>
      </c>
      <c r="D55" s="346" t="str">
        <f>IFERROR(__xludf.DUMMYFUNCTION("if(ISBLANK(A55),"""",GOOGLEFINANCE(A55,""NAME""))"),"State Bank of India")</f>
        <v>State Bank of India</v>
      </c>
      <c r="E55" s="348">
        <f>IFERROR(__xludf.DUMMYFUNCTION("if(ISBLANK(A55),"""",googlefinance(A55,""Marketcap"")/1000000000)"),9579.534773313)</f>
        <v>9579.534773</v>
      </c>
      <c r="F55" s="346" t="str">
        <f t="shared" si="1"/>
        <v>Largecap</v>
      </c>
      <c r="G55" s="349"/>
      <c r="H55" s="350"/>
      <c r="I55" s="349"/>
      <c r="J55" s="350"/>
      <c r="K55" s="349"/>
      <c r="L55" s="350"/>
      <c r="M55" s="349"/>
      <c r="N55" s="351"/>
    </row>
    <row r="56">
      <c r="A56" s="352" t="s">
        <v>154</v>
      </c>
      <c r="B56" s="346">
        <v>10.0</v>
      </c>
      <c r="C56" s="347">
        <v>16.85</v>
      </c>
      <c r="D56" s="346" t="str">
        <f>IFERROR(__xludf.DUMMYFUNCTION("if(ISBLANK(A56),"""",GOOGLEFINANCE(A56,""NAME""))"),"Suzlon Energy Ltd")</f>
        <v>Suzlon Energy Ltd</v>
      </c>
      <c r="E56" s="348">
        <f>IFERROR(__xludf.DUMMYFUNCTION("if(ISBLANK(A56),"""",googlefinance(A56,""Marketcap"")/1000000000)"),745.470963334)</f>
        <v>745.4709633</v>
      </c>
      <c r="F56" s="346" t="str">
        <f t="shared" si="1"/>
        <v>Midcap</v>
      </c>
      <c r="G56" s="349"/>
      <c r="H56" s="350"/>
      <c r="I56" s="349"/>
      <c r="J56" s="350"/>
      <c r="K56" s="349"/>
      <c r="L56" s="350"/>
      <c r="M56" s="349"/>
      <c r="N56" s="351"/>
    </row>
    <row r="57">
      <c r="A57" s="352" t="s">
        <v>262</v>
      </c>
      <c r="B57" s="346">
        <v>101.0</v>
      </c>
      <c r="C57" s="347">
        <v>14.844455445544554</v>
      </c>
      <c r="D57" s="346" t="str">
        <f>IFERROR(__xludf.DUMMYFUNCTION("if(ISBLANK(A57),"""",GOOGLEFINANCE(A57,""NAME""))"),"Syncom Formulations (India) Ltd")</f>
        <v>Syncom Formulations (India) Ltd</v>
      </c>
      <c r="E57" s="348">
        <f>IFERROR(__xludf.DUMMYFUNCTION("if(ISBLANK(A57),"""",googlefinance(A57,""Marketcap"")/1000000000)"),13.094200286)</f>
        <v>13.09420029</v>
      </c>
      <c r="F57" s="346" t="str">
        <f t="shared" si="1"/>
        <v>Smallcap</v>
      </c>
      <c r="G57" s="349"/>
      <c r="H57" s="350"/>
      <c r="I57" s="349"/>
      <c r="J57" s="350"/>
      <c r="K57" s="349"/>
      <c r="L57" s="350"/>
      <c r="M57" s="349"/>
      <c r="N57" s="351"/>
    </row>
    <row r="58">
      <c r="A58" s="352" t="s">
        <v>263</v>
      </c>
      <c r="B58" s="346">
        <v>100.0</v>
      </c>
      <c r="C58" s="347">
        <v>53.05</v>
      </c>
      <c r="D58" s="346" t="str">
        <f>IFERROR(__xludf.DUMMYFUNCTION("if(ISBLANK(A58),"""",GOOGLEFINANCE(A58,""NAME""))"),"Tarc Ltd")</f>
        <v>Tarc Ltd</v>
      </c>
      <c r="E58" s="348">
        <f>IFERROR(__xludf.DUMMYFUNCTION("if(ISBLANK(A58),"""",googlefinance(A58,""Marketcap"")/1000000000)"),37.565593465)</f>
        <v>37.56559347</v>
      </c>
      <c r="F58" s="346" t="str">
        <f t="shared" si="1"/>
        <v>Smallcap</v>
      </c>
      <c r="G58" s="349"/>
      <c r="H58" s="350"/>
      <c r="I58" s="349"/>
      <c r="J58" s="350"/>
      <c r="K58" s="349"/>
      <c r="L58" s="350"/>
      <c r="M58" s="349"/>
      <c r="N58" s="351"/>
    </row>
    <row r="59">
      <c r="A59" s="352" t="s">
        <v>155</v>
      </c>
      <c r="B59" s="346">
        <v>2.0</v>
      </c>
      <c r="C59" s="347">
        <v>571.0</v>
      </c>
      <c r="D59" s="346" t="str">
        <f>IFERROR(__xludf.DUMMYFUNCTION("if(ISBLANK(A59),"""",GOOGLEFINANCE(A59,""NAME""))"),"Tata Consumer Products Ltd")</f>
        <v>Tata Consumer Products Ltd</v>
      </c>
      <c r="E59" s="348">
        <f>IFERROR(__xludf.DUMMYFUNCTION("if(ISBLANK(A59),"""",googlefinance(A59,""Marketcap"")/1000000000)"),1106.591191426)</f>
        <v>1106.591191</v>
      </c>
      <c r="F59" s="346" t="str">
        <f t="shared" si="1"/>
        <v>Midcap</v>
      </c>
      <c r="G59" s="349"/>
      <c r="H59" s="350"/>
      <c r="I59" s="349"/>
      <c r="J59" s="350"/>
      <c r="K59" s="349"/>
      <c r="L59" s="350"/>
      <c r="M59" s="349"/>
      <c r="N59" s="351"/>
    </row>
    <row r="60">
      <c r="A60" s="352" t="s">
        <v>157</v>
      </c>
      <c r="B60" s="346">
        <v>10.0</v>
      </c>
      <c r="C60" s="347">
        <v>296.55</v>
      </c>
      <c r="D60" s="346" t="str">
        <f>IFERROR(__xludf.DUMMYFUNCTION("if(ISBLANK(A60),"""",GOOGLEFINANCE(A60,""NAME""))"),"#N/A")</f>
        <v>#N/A</v>
      </c>
      <c r="E60" s="348" t="str">
        <f>IFERROR(__xludf.DUMMYFUNCTION("if(ISBLANK(A60),"""",googlefinance(A60,""Marketcap"")/1000000000)"),"#N/A")</f>
        <v>#N/A</v>
      </c>
      <c r="F60" s="346" t="str">
        <f t="shared" si="1"/>
        <v>#N/A</v>
      </c>
      <c r="G60" s="349"/>
      <c r="H60" s="350"/>
      <c r="I60" s="349"/>
      <c r="J60" s="350"/>
      <c r="K60" s="349"/>
      <c r="L60" s="350"/>
      <c r="M60" s="349"/>
      <c r="N60" s="351"/>
    </row>
    <row r="61">
      <c r="A61" s="352" t="s">
        <v>161</v>
      </c>
      <c r="B61" s="346">
        <v>3.0</v>
      </c>
      <c r="C61" s="347">
        <v>3336.6666666666665</v>
      </c>
      <c r="D61" s="346" t="str">
        <f>IFERROR(__xludf.DUMMYFUNCTION("if(ISBLANK(A61),"""",GOOGLEFINANCE(A61,""NAME""))"),"Titan Company Ltd")</f>
        <v>Titan Company Ltd</v>
      </c>
      <c r="E61" s="348">
        <f>IFERROR(__xludf.DUMMYFUNCTION("if(ISBLANK(A61),"""",googlefinance(A61,""Marketcap"")/1000000000)"),4083.677652339)</f>
        <v>4083.677652</v>
      </c>
      <c r="F61" s="346" t="str">
        <f t="shared" si="1"/>
        <v>Largecap</v>
      </c>
      <c r="G61" s="349"/>
      <c r="H61" s="350"/>
      <c r="I61" s="349"/>
      <c r="J61" s="350"/>
      <c r="K61" s="349"/>
      <c r="L61" s="350"/>
      <c r="M61" s="349"/>
      <c r="N61" s="351"/>
    </row>
    <row r="62">
      <c r="A62" s="352" t="s">
        <v>162</v>
      </c>
      <c r="B62" s="346">
        <v>100.0</v>
      </c>
      <c r="C62" s="347">
        <v>80.0</v>
      </c>
      <c r="D62" s="346" t="str">
        <f>IFERROR(__xludf.DUMMYFUNCTION("if(ISBLANK(A62),"""",GOOGLEFINANCE(A62,""NAME""))"),"Tracxn Technologies Ltd")</f>
        <v>Tracxn Technologies Ltd</v>
      </c>
      <c r="E62" s="348">
        <f>IFERROR(__xludf.DUMMYFUNCTION("if(ISBLANK(A62),"""",googlefinance(A62,""Marketcap"")/1000000000)"),3.221904282)</f>
        <v>3.221904282</v>
      </c>
      <c r="F62" s="346" t="str">
        <f t="shared" si="1"/>
        <v>Smallcap</v>
      </c>
      <c r="G62" s="349"/>
      <c r="H62" s="350"/>
      <c r="I62" s="349"/>
      <c r="J62" s="350"/>
      <c r="K62" s="349"/>
      <c r="L62" s="350"/>
      <c r="M62" s="349"/>
      <c r="N62" s="351"/>
    </row>
    <row r="63">
      <c r="A63" s="352" t="s">
        <v>164</v>
      </c>
      <c r="B63" s="346">
        <v>2000.0</v>
      </c>
      <c r="C63" s="347">
        <v>38.3233521</v>
      </c>
      <c r="D63" s="346" t="str">
        <f>IFERROR(__xludf.DUMMYFUNCTION("if(ISBLANK(A63),"""",GOOGLEFINANCE(A63,""NAME""))"),"Trident Ltd")</f>
        <v>Trident Ltd</v>
      </c>
      <c r="E63" s="348">
        <f>IFERROR(__xludf.DUMMYFUNCTION("if(ISBLANK(A63),"""",googlefinance(A63,""Marketcap"")/1000000000)"),130.730945448)</f>
        <v>130.7309454</v>
      </c>
      <c r="F63" s="346" t="str">
        <f t="shared" si="1"/>
        <v>Midcap</v>
      </c>
      <c r="G63" s="349"/>
      <c r="H63" s="350"/>
      <c r="I63" s="349"/>
      <c r="J63" s="350"/>
      <c r="K63" s="349"/>
      <c r="L63" s="350"/>
      <c r="M63" s="349"/>
      <c r="N63" s="351"/>
    </row>
    <row r="64">
      <c r="A64" s="352" t="s">
        <v>165</v>
      </c>
      <c r="B64" s="346">
        <v>2.0</v>
      </c>
      <c r="C64" s="347">
        <v>350.825</v>
      </c>
      <c r="D64" s="346" t="str">
        <f>IFERROR(__xludf.DUMMYFUNCTION("if(ISBLANK(A64),"""",GOOGLEFINANCE(A64,""NAME""))"),"UNO Minda Ltd")</f>
        <v>UNO Minda Ltd</v>
      </c>
      <c r="E64" s="348">
        <f>IFERROR(__xludf.DUMMYFUNCTION("if(ISBLANK(A64),"""",googlefinance(A64,""Marketcap"")/1000000000)"),650.2858)</f>
        <v>650.2858</v>
      </c>
      <c r="F64" s="346" t="str">
        <f t="shared" si="1"/>
        <v>Midcap</v>
      </c>
      <c r="G64" s="349"/>
      <c r="H64" s="350"/>
      <c r="I64" s="349"/>
      <c r="J64" s="350"/>
      <c r="K64" s="349"/>
      <c r="L64" s="350"/>
      <c r="M64" s="349"/>
      <c r="N64" s="351"/>
    </row>
    <row r="65">
      <c r="A65" s="352" t="s">
        <v>166</v>
      </c>
      <c r="B65" s="346">
        <v>100.0</v>
      </c>
      <c r="C65" s="347">
        <v>6.84</v>
      </c>
      <c r="D65" s="346" t="str">
        <f>IFERROR(__xludf.DUMMYFUNCTION("if(ISBLANK(A65),"""",GOOGLEFINANCE(A65,""NAME""))"),"Urja Global Ltd")</f>
        <v>Urja Global Ltd</v>
      </c>
      <c r="E65" s="348">
        <f>IFERROR(__xludf.DUMMYFUNCTION("if(ISBLANK(A65),"""",googlefinance(A65,""Marketcap"")/1000000000)"),5.04435188)</f>
        <v>5.04435188</v>
      </c>
      <c r="F65" s="346" t="str">
        <f t="shared" si="1"/>
        <v>Smallcap</v>
      </c>
      <c r="G65" s="349"/>
      <c r="H65" s="350"/>
      <c r="I65" s="349"/>
      <c r="J65" s="350"/>
      <c r="K65" s="349"/>
      <c r="L65" s="350"/>
      <c r="M65" s="349"/>
      <c r="N65" s="351"/>
    </row>
    <row r="66">
      <c r="A66" s="352" t="s">
        <v>264</v>
      </c>
      <c r="B66" s="346">
        <v>280.0</v>
      </c>
      <c r="C66" s="347">
        <v>48.63928571428571</v>
      </c>
      <c r="D66" s="346" t="str">
        <f>IFERROR(__xludf.DUMMYFUNCTION("if(ISBLANK(A66),"""",GOOGLEFINANCE(A66,""NAME""))"),"Utkarsh Small Finance Bank Ltd")</f>
        <v>Utkarsh Small Finance Bank Ltd</v>
      </c>
      <c r="E66" s="348">
        <f>IFERROR(__xludf.DUMMYFUNCTION("if(ISBLANK(A66),"""",googlefinance(A66,""Marketcap"")/1000000000)"),25.892059989)</f>
        <v>25.89205999</v>
      </c>
      <c r="F66" s="346" t="str">
        <f t="shared" si="1"/>
        <v>Smallcap</v>
      </c>
      <c r="G66" s="349"/>
      <c r="H66" s="350"/>
      <c r="I66" s="349"/>
      <c r="J66" s="350"/>
      <c r="K66" s="349"/>
      <c r="L66" s="350"/>
      <c r="M66" s="349"/>
      <c r="N66" s="351"/>
    </row>
    <row r="67">
      <c r="A67" s="352" t="s">
        <v>167</v>
      </c>
      <c r="B67" s="346">
        <v>5.0</v>
      </c>
      <c r="C67" s="347">
        <v>156.4</v>
      </c>
      <c r="D67" s="346" t="str">
        <f>IFERROR(__xludf.DUMMYFUNCTION("if(ISBLANK(A67),"""",GOOGLEFINANCE(A67,""NAME""))"),"Varun Beverages Ltd")</f>
        <v>Varun Beverages Ltd</v>
      </c>
      <c r="E67" s="348">
        <f>IFERROR(__xludf.DUMMYFUNCTION("if(ISBLANK(A67),"""",googlefinance(A67,""Marketcap"")/1000000000)"),1638.5156825)</f>
        <v>1638.515683</v>
      </c>
      <c r="F67" s="346" t="str">
        <f t="shared" si="1"/>
        <v>Largecap</v>
      </c>
      <c r="G67" s="349"/>
      <c r="H67" s="350"/>
      <c r="I67" s="349"/>
      <c r="J67" s="350"/>
      <c r="K67" s="349"/>
      <c r="L67" s="350"/>
      <c r="M67" s="349"/>
      <c r="N67" s="351"/>
    </row>
    <row r="68">
      <c r="A68" s="352" t="s">
        <v>265</v>
      </c>
      <c r="B68" s="346">
        <v>200.0</v>
      </c>
      <c r="C68" s="347">
        <v>5.09</v>
      </c>
      <c r="D68" s="346" t="str">
        <f>IFERROR(__xludf.DUMMYFUNCTION("if(ISBLANK(A68),"""",GOOGLEFINANCE(A68,""NAME""))"),"Vikas Lifecare Ltd")</f>
        <v>Vikas Lifecare Ltd</v>
      </c>
      <c r="E68" s="348">
        <f>IFERROR(__xludf.DUMMYFUNCTION("if(ISBLANK(A68),"""",googlefinance(A68,""Marketcap"")/1000000000)"),2.675168887)</f>
        <v>2.675168887</v>
      </c>
      <c r="F68" s="346" t="str">
        <f t="shared" si="1"/>
        <v>Smallcap</v>
      </c>
      <c r="G68" s="349"/>
      <c r="H68" s="350"/>
      <c r="I68" s="349"/>
      <c r="J68" s="350"/>
      <c r="K68" s="349"/>
      <c r="L68" s="350"/>
      <c r="M68" s="349"/>
      <c r="N68" s="351"/>
    </row>
    <row r="69">
      <c r="A69" s="352" t="s">
        <v>266</v>
      </c>
      <c r="B69" s="346">
        <v>3.0</v>
      </c>
      <c r="C69" s="347">
        <v>1603.3333333333333</v>
      </c>
      <c r="D69" s="346" t="str">
        <f>IFERROR(__xludf.DUMMYFUNCTION("if(ISBLANK(A69),"""",GOOGLEFINANCE(A69,""NAME""))"),"Yasho Industries Ltd")</f>
        <v>Yasho Industries Ltd</v>
      </c>
      <c r="E69" s="348">
        <f>IFERROR(__xludf.DUMMYFUNCTION("if(ISBLANK(A69),"""",googlefinance(A69,""Marketcap"")/1000000000)"),34.777469218)</f>
        <v>34.77746922</v>
      </c>
      <c r="F69" s="346" t="str">
        <f t="shared" si="1"/>
        <v>Smallcap</v>
      </c>
      <c r="G69" s="349"/>
      <c r="H69" s="350"/>
      <c r="I69" s="349"/>
      <c r="J69" s="350"/>
      <c r="K69" s="349"/>
      <c r="L69" s="350"/>
      <c r="M69" s="349"/>
      <c r="N69" s="351"/>
    </row>
    <row r="70">
      <c r="A70" s="352" t="s">
        <v>171</v>
      </c>
      <c r="B70" s="346">
        <v>30.0</v>
      </c>
      <c r="C70" s="347">
        <v>20.16</v>
      </c>
      <c r="D70" s="346" t="str">
        <f>IFERROR(__xludf.DUMMYFUNCTION("if(ISBLANK(A70),"""",GOOGLEFINANCE(A70,""NAME""))"),"Yes Bank Ltd")</f>
        <v>Yes Bank Ltd</v>
      </c>
      <c r="E70" s="348">
        <f>IFERROR(__xludf.DUMMYFUNCTION("if(ISBLANK(A70),"""",googlefinance(A70,""Marketcap"")/1000000000)"),753.309675481)</f>
        <v>753.3096755</v>
      </c>
      <c r="F70" s="346" t="str">
        <f t="shared" si="1"/>
        <v>Midcap</v>
      </c>
      <c r="G70" s="349"/>
      <c r="H70" s="350"/>
      <c r="I70" s="349"/>
      <c r="J70" s="350"/>
      <c r="K70" s="349"/>
      <c r="L70" s="350"/>
      <c r="M70" s="349"/>
      <c r="N70" s="351"/>
    </row>
    <row r="71">
      <c r="A71" s="352" t="s">
        <v>172</v>
      </c>
      <c r="B71" s="346">
        <v>20.0</v>
      </c>
      <c r="C71" s="347">
        <v>1038.1799999999998</v>
      </c>
      <c r="D71" s="346" t="str">
        <f>IFERROR(__xludf.DUMMYFUNCTION("if(ISBLANK(A71),"""",GOOGLEFINANCE(A71,""NAME""))"),"Zen Technologies Limited")</f>
        <v>Zen Technologies Limited</v>
      </c>
      <c r="E71" s="348">
        <f>IFERROR(__xludf.DUMMYFUNCTION("if(ISBLANK(A71),"""",googlefinance(A71,""Marketcap"")/1000000000)"),167.566611106)</f>
        <v>167.5666111</v>
      </c>
      <c r="F71" s="346" t="str">
        <f t="shared" si="1"/>
        <v>Midcap</v>
      </c>
      <c r="G71" s="349"/>
      <c r="H71" s="350"/>
      <c r="I71" s="349"/>
      <c r="J71" s="350"/>
      <c r="K71" s="349"/>
      <c r="L71" s="350"/>
      <c r="M71" s="349"/>
      <c r="N71" s="351"/>
    </row>
    <row r="72">
      <c r="A72" s="352" t="s">
        <v>267</v>
      </c>
      <c r="B72" s="346">
        <v>2.0</v>
      </c>
      <c r="C72" s="347">
        <v>155.0</v>
      </c>
      <c r="D72" s="346" t="str">
        <f>IFERROR(__xludf.DUMMYFUNCTION("if(ISBLANK(A72),"""",GOOGLEFINANCE(A72,""NAME""))"),"#N/A")</f>
        <v>#N/A</v>
      </c>
      <c r="E72" s="348" t="str">
        <f>IFERROR(__xludf.DUMMYFUNCTION("if(ISBLANK(A72),"""",googlefinance(A72,""Marketcap"")/1000000000)"),"#N/A")</f>
        <v>#N/A</v>
      </c>
      <c r="F72" s="346" t="str">
        <f t="shared" si="1"/>
        <v>#N/A</v>
      </c>
      <c r="G72" s="349"/>
      <c r="H72" s="353"/>
      <c r="I72" s="349"/>
      <c r="J72" s="353"/>
      <c r="K72" s="349"/>
      <c r="L72" s="353"/>
      <c r="M72" s="349"/>
      <c r="N72" s="354"/>
    </row>
    <row r="73">
      <c r="A73" s="352"/>
      <c r="B73" s="346"/>
      <c r="C73" s="347"/>
      <c r="D73" s="346" t="str">
        <f>IFERROR(__xludf.DUMMYFUNCTION("if(ISBLANK(A73),"""",GOOGLEFINANCE(A73,""NAME""))"),"")</f>
        <v/>
      </c>
      <c r="E73" s="348" t="str">
        <f>IFERROR(__xludf.DUMMYFUNCTION("if(ISBLANK(A73),"""",googlefinance(A73,""Marketcap"")/1000000000)"),"")</f>
        <v/>
      </c>
      <c r="F73" s="346" t="str">
        <f t="shared" si="1"/>
        <v/>
      </c>
      <c r="G73" s="349"/>
      <c r="H73" s="349"/>
      <c r="I73" s="349"/>
      <c r="J73" s="349"/>
      <c r="K73" s="349"/>
      <c r="L73" s="349"/>
      <c r="M73" s="349"/>
      <c r="N73" s="355"/>
    </row>
    <row r="74">
      <c r="A74" s="352"/>
      <c r="B74" s="346"/>
      <c r="C74" s="347"/>
      <c r="D74" s="346" t="str">
        <f>IFERROR(__xludf.DUMMYFUNCTION("if(ISBLANK(A74),"""",GOOGLEFINANCE(A74,""NAME""))"),"")</f>
        <v/>
      </c>
      <c r="E74" s="348" t="str">
        <f>IFERROR(__xludf.DUMMYFUNCTION("if(ISBLANK(A74),"""",googlefinance(A74,""Marketcap"")/1000000000)"),"")</f>
        <v/>
      </c>
      <c r="F74" s="346" t="str">
        <f t="shared" si="1"/>
        <v/>
      </c>
      <c r="G74" s="349"/>
      <c r="H74" s="349"/>
      <c r="I74" s="349"/>
      <c r="J74" s="349"/>
      <c r="K74" s="349"/>
      <c r="L74" s="349"/>
      <c r="M74" s="349"/>
      <c r="N74" s="355"/>
    </row>
    <row r="75">
      <c r="A75" s="352"/>
      <c r="B75" s="346"/>
      <c r="C75" s="347"/>
      <c r="D75" s="346" t="str">
        <f>IFERROR(__xludf.DUMMYFUNCTION("if(ISBLANK(A75),"""",GOOGLEFINANCE(A75,""NAME""))"),"")</f>
        <v/>
      </c>
      <c r="E75" s="348" t="str">
        <f>IFERROR(__xludf.DUMMYFUNCTION("if(ISBLANK(A75),"""",googlefinance(A75,""Marketcap"")/1000000000)"),"")</f>
        <v/>
      </c>
      <c r="F75" s="346" t="str">
        <f t="shared" si="1"/>
        <v/>
      </c>
      <c r="G75" s="349"/>
      <c r="H75" s="349"/>
      <c r="I75" s="349"/>
      <c r="J75" s="349"/>
      <c r="K75" s="349"/>
      <c r="L75" s="349"/>
      <c r="M75" s="349"/>
      <c r="N75" s="355"/>
    </row>
    <row r="76">
      <c r="A76" s="352"/>
      <c r="B76" s="346"/>
      <c r="C76" s="347"/>
      <c r="D76" s="346" t="str">
        <f>IFERROR(__xludf.DUMMYFUNCTION("if(ISBLANK(A76),"""",GOOGLEFINANCE(A76,""NAME""))"),"")</f>
        <v/>
      </c>
      <c r="E76" s="348" t="str">
        <f>IFERROR(__xludf.DUMMYFUNCTION("if(ISBLANK(A76),"""",googlefinance(A76,""Marketcap"")/1000000000)"),"")</f>
        <v/>
      </c>
      <c r="F76" s="346" t="str">
        <f t="shared" si="1"/>
        <v/>
      </c>
      <c r="G76" s="349"/>
      <c r="H76" s="349"/>
      <c r="I76" s="349"/>
      <c r="J76" s="349"/>
      <c r="K76" s="349"/>
      <c r="L76" s="349"/>
      <c r="M76" s="349"/>
      <c r="N76" s="355"/>
    </row>
    <row r="77">
      <c r="A77" s="352"/>
      <c r="B77" s="346"/>
      <c r="C77" s="347"/>
      <c r="D77" s="346" t="str">
        <f>IFERROR(__xludf.DUMMYFUNCTION("if(ISBLANK(A77),"""",GOOGLEFINANCE(A77,""NAME""))"),"")</f>
        <v/>
      </c>
      <c r="E77" s="348" t="str">
        <f>IFERROR(__xludf.DUMMYFUNCTION("if(ISBLANK(A77),"""",googlefinance(A77,""Marketcap"")/1000000000)"),"")</f>
        <v/>
      </c>
      <c r="F77" s="346" t="str">
        <f t="shared" si="1"/>
        <v/>
      </c>
      <c r="G77" s="349"/>
      <c r="H77" s="349"/>
      <c r="I77" s="349"/>
      <c r="J77" s="349"/>
      <c r="K77" s="349"/>
      <c r="L77" s="349"/>
      <c r="M77" s="349"/>
      <c r="N77" s="355"/>
    </row>
    <row r="78">
      <c r="A78" s="349"/>
      <c r="B78" s="349"/>
      <c r="C78" s="356"/>
      <c r="D78" s="349" t="str">
        <f>IFERROR(__xludf.DUMMYFUNCTION("if(ISBLANK(A78),"""",GOOGLEFINANCE(A78,""NAME""))"),"")</f>
        <v/>
      </c>
      <c r="E78" s="357" t="str">
        <f>IFERROR(__xludf.DUMMYFUNCTION("if(ISBLANK(A78),"""",googlefinance(A78,""Marketcap"")/1000000000)"),"")</f>
        <v/>
      </c>
      <c r="F78" s="349" t="str">
        <f t="shared" si="1"/>
        <v/>
      </c>
      <c r="G78" s="349"/>
      <c r="H78" s="349"/>
      <c r="I78" s="349"/>
      <c r="J78" s="349"/>
      <c r="K78" s="349"/>
      <c r="L78" s="349"/>
      <c r="M78" s="349"/>
      <c r="N78" s="349"/>
    </row>
    <row r="79">
      <c r="A79" s="349"/>
      <c r="B79" s="346"/>
      <c r="C79" s="347"/>
      <c r="D79" s="346" t="str">
        <f>IFERROR(__xludf.DUMMYFUNCTION("if(ISBLANK(A79),"""",GOOGLEFINANCE(A79,""NAME""))"),"")</f>
        <v/>
      </c>
      <c r="E79" s="348" t="str">
        <f>IFERROR(__xludf.DUMMYFUNCTION("if(ISBLANK(A79),"""",googlefinance(A79,""Marketcap"")/1000000000)"),"")</f>
        <v/>
      </c>
      <c r="F79" s="346" t="str">
        <f t="shared" si="1"/>
        <v/>
      </c>
      <c r="G79" s="349"/>
      <c r="H79" s="349"/>
      <c r="I79" s="349"/>
      <c r="J79" s="349"/>
      <c r="K79" s="349"/>
      <c r="L79" s="349"/>
      <c r="M79" s="349"/>
      <c r="N79" s="349"/>
    </row>
    <row r="80">
      <c r="A80" s="349"/>
      <c r="B80" s="346"/>
      <c r="C80" s="347"/>
      <c r="D80" s="346" t="str">
        <f>IFERROR(__xludf.DUMMYFUNCTION("if(ISBLANK(A80),"""",GOOGLEFINANCE(A80,""NAME""))"),"")</f>
        <v/>
      </c>
      <c r="E80" s="348" t="str">
        <f>IFERROR(__xludf.DUMMYFUNCTION("if(ISBLANK(A80),"""",googlefinance(A80,""Marketcap"")/1000000000)"),"")</f>
        <v/>
      </c>
      <c r="F80" s="346" t="str">
        <f t="shared" si="1"/>
        <v/>
      </c>
      <c r="G80" s="349"/>
      <c r="H80" s="349"/>
      <c r="I80" s="349"/>
      <c r="J80" s="349"/>
      <c r="K80" s="349"/>
      <c r="L80" s="349"/>
      <c r="M80" s="349"/>
      <c r="N80" s="349"/>
    </row>
    <row r="81">
      <c r="A81" s="349"/>
      <c r="B81" s="346"/>
      <c r="C81" s="347"/>
      <c r="D81" s="346" t="str">
        <f>IFERROR(__xludf.DUMMYFUNCTION("if(ISBLANK(A81),"""",GOOGLEFINANCE(A81,""NAME""))"),"")</f>
        <v/>
      </c>
      <c r="E81" s="348" t="str">
        <f>IFERROR(__xludf.DUMMYFUNCTION("if(ISBLANK(A81),"""",googlefinance(A81,""Marketcap"")/1000000000)"),"")</f>
        <v/>
      </c>
      <c r="F81" s="346" t="str">
        <f t="shared" si="1"/>
        <v/>
      </c>
      <c r="G81" s="349"/>
      <c r="H81" s="349"/>
      <c r="I81" s="349"/>
      <c r="J81" s="349"/>
      <c r="K81" s="349"/>
      <c r="L81" s="349"/>
      <c r="M81" s="349"/>
      <c r="N81" s="349"/>
    </row>
    <row r="82">
      <c r="A82" s="349"/>
      <c r="B82" s="346"/>
      <c r="C82" s="347"/>
      <c r="D82" s="346" t="str">
        <f>IFERROR(__xludf.DUMMYFUNCTION("if(ISBLANK(A82),"""",GOOGLEFINANCE(A82,""NAME""))"),"")</f>
        <v/>
      </c>
      <c r="E82" s="348" t="str">
        <f>IFERROR(__xludf.DUMMYFUNCTION("if(ISBLANK(A82),"""",googlefinance(A82,""Marketcap"")/1000000000)"),"")</f>
        <v/>
      </c>
      <c r="F82" s="346" t="str">
        <f t="shared" si="1"/>
        <v/>
      </c>
      <c r="G82" s="349"/>
      <c r="H82" s="349"/>
      <c r="I82" s="349"/>
      <c r="J82" s="349"/>
      <c r="K82" s="349"/>
      <c r="L82" s="349"/>
      <c r="M82" s="349"/>
      <c r="N82" s="349"/>
    </row>
    <row r="83">
      <c r="A83" s="349"/>
      <c r="B83" s="346"/>
      <c r="C83" s="347"/>
      <c r="D83" s="346" t="str">
        <f>IFERROR(__xludf.DUMMYFUNCTION("if(ISBLANK(A83),"""",GOOGLEFINANCE(A83,""NAME""))"),"")</f>
        <v/>
      </c>
      <c r="E83" s="348" t="str">
        <f>IFERROR(__xludf.DUMMYFUNCTION("if(ISBLANK(A83),"""",googlefinance(A83,""Marketcap"")/1000000000)"),"")</f>
        <v/>
      </c>
      <c r="F83" s="346" t="str">
        <f t="shared" si="1"/>
        <v/>
      </c>
      <c r="G83" s="349"/>
      <c r="H83" s="349"/>
      <c r="I83" s="349"/>
      <c r="J83" s="349"/>
      <c r="K83" s="349"/>
      <c r="L83" s="349"/>
      <c r="M83" s="349"/>
      <c r="N83" s="349"/>
    </row>
    <row r="84">
      <c r="A84" s="349"/>
      <c r="B84" s="346"/>
      <c r="C84" s="347"/>
      <c r="D84" s="346" t="str">
        <f>IFERROR(__xludf.DUMMYFUNCTION("if(ISBLANK(A84),"""",GOOGLEFINANCE(A84,""NAME""))"),"")</f>
        <v/>
      </c>
      <c r="E84" s="348" t="str">
        <f>IFERROR(__xludf.DUMMYFUNCTION("if(ISBLANK(A84),"""",googlefinance(A84,""Marketcap"")/1000000000)"),"")</f>
        <v/>
      </c>
      <c r="F84" s="346" t="str">
        <f t="shared" si="1"/>
        <v/>
      </c>
      <c r="G84" s="349"/>
      <c r="H84" s="349"/>
      <c r="I84" s="349"/>
      <c r="J84" s="349"/>
      <c r="K84" s="349"/>
      <c r="L84" s="349"/>
      <c r="M84" s="349"/>
      <c r="N84" s="349"/>
    </row>
    <row r="85">
      <c r="A85" s="349"/>
      <c r="B85" s="346"/>
      <c r="C85" s="347"/>
      <c r="D85" s="346" t="str">
        <f>IFERROR(__xludf.DUMMYFUNCTION("if(ISBLANK(A85),"""",GOOGLEFINANCE(A85,""NAME""))"),"")</f>
        <v/>
      </c>
      <c r="E85" s="348"/>
      <c r="F85" s="346"/>
      <c r="G85" s="349"/>
      <c r="H85" s="349"/>
      <c r="I85" s="349"/>
      <c r="J85" s="349"/>
      <c r="K85" s="349"/>
      <c r="L85" s="349"/>
      <c r="M85" s="349"/>
      <c r="N85" s="349"/>
    </row>
    <row r="86">
      <c r="A86" s="349"/>
      <c r="B86" s="346"/>
      <c r="C86" s="347"/>
      <c r="D86" s="346" t="str">
        <f>IFERROR(__xludf.DUMMYFUNCTION("if(ISBLANK(A86),"""",GOOGLEFINANCE(A86,""NAME""))"),"")</f>
        <v/>
      </c>
      <c r="E86" s="348"/>
      <c r="F86" s="346"/>
      <c r="G86" s="349"/>
      <c r="H86" s="349"/>
      <c r="I86" s="349"/>
      <c r="J86" s="349"/>
      <c r="K86" s="349"/>
      <c r="L86" s="349"/>
      <c r="M86" s="349"/>
      <c r="N86" s="349"/>
    </row>
    <row r="87">
      <c r="A87" s="349"/>
      <c r="B87" s="346"/>
      <c r="C87" s="347"/>
      <c r="D87" s="346"/>
      <c r="E87" s="348"/>
      <c r="F87" s="346"/>
      <c r="G87" s="349"/>
      <c r="H87" s="349"/>
      <c r="I87" s="349"/>
      <c r="J87" s="349"/>
      <c r="K87" s="349"/>
      <c r="L87" s="349"/>
      <c r="M87" s="349"/>
      <c r="N87" s="349"/>
    </row>
    <row r="88">
      <c r="A88" s="349"/>
      <c r="B88" s="346"/>
      <c r="C88" s="347"/>
      <c r="D88" s="346"/>
      <c r="E88" s="348"/>
      <c r="F88" s="346"/>
      <c r="G88" s="349"/>
      <c r="H88" s="349"/>
      <c r="I88" s="349"/>
      <c r="J88" s="349"/>
      <c r="K88" s="349"/>
      <c r="L88" s="349"/>
      <c r="M88" s="349"/>
      <c r="N88" s="349"/>
    </row>
    <row r="89">
      <c r="A89" s="349"/>
      <c r="B89" s="346"/>
      <c r="C89" s="347"/>
      <c r="D89" s="346"/>
      <c r="E89" s="348"/>
      <c r="F89" s="346"/>
      <c r="G89" s="349"/>
      <c r="H89" s="349"/>
      <c r="I89" s="349"/>
      <c r="J89" s="349"/>
      <c r="K89" s="349"/>
      <c r="L89" s="349"/>
      <c r="M89" s="349"/>
      <c r="N89" s="349"/>
    </row>
    <row r="90">
      <c r="A90" s="349"/>
      <c r="B90" s="346"/>
      <c r="C90" s="347"/>
      <c r="D90" s="346"/>
      <c r="E90" s="348"/>
      <c r="F90" s="346"/>
      <c r="G90" s="349"/>
      <c r="H90" s="349"/>
      <c r="I90" s="349"/>
      <c r="J90" s="349"/>
      <c r="K90" s="349"/>
      <c r="L90" s="349"/>
      <c r="M90" s="349"/>
      <c r="N90" s="349"/>
    </row>
    <row r="91">
      <c r="A91" s="349"/>
      <c r="B91" s="346"/>
      <c r="C91" s="347"/>
      <c r="D91" s="346"/>
      <c r="E91" s="348"/>
      <c r="F91" s="346"/>
      <c r="G91" s="349"/>
      <c r="H91" s="349"/>
      <c r="I91" s="349"/>
      <c r="J91" s="349"/>
      <c r="K91" s="349"/>
      <c r="L91" s="349"/>
      <c r="M91" s="349"/>
      <c r="N91" s="349"/>
    </row>
    <row r="92">
      <c r="A92" s="349"/>
      <c r="B92" s="346"/>
      <c r="C92" s="347"/>
      <c r="D92" s="346"/>
      <c r="E92" s="348"/>
      <c r="F92" s="346"/>
      <c r="G92" s="349"/>
      <c r="H92" s="349"/>
      <c r="I92" s="349"/>
      <c r="J92" s="349"/>
      <c r="K92" s="349"/>
      <c r="L92" s="349"/>
      <c r="M92" s="349"/>
      <c r="N92" s="349"/>
    </row>
    <row r="93">
      <c r="A93" s="349"/>
      <c r="B93" s="346"/>
      <c r="C93" s="347"/>
      <c r="D93" s="346"/>
      <c r="E93" s="348"/>
      <c r="F93" s="346"/>
      <c r="G93" s="349"/>
      <c r="H93" s="349"/>
      <c r="I93" s="349"/>
      <c r="J93" s="349"/>
      <c r="K93" s="349"/>
      <c r="L93" s="349"/>
      <c r="M93" s="349"/>
      <c r="N93" s="349"/>
    </row>
    <row r="94">
      <c r="A94" s="349"/>
      <c r="B94" s="346"/>
      <c r="C94" s="347"/>
      <c r="D94" s="346"/>
      <c r="E94" s="348"/>
      <c r="F94" s="346"/>
      <c r="G94" s="349"/>
      <c r="H94" s="349"/>
      <c r="I94" s="349"/>
      <c r="J94" s="349"/>
      <c r="K94" s="349"/>
      <c r="L94" s="349"/>
      <c r="M94" s="349"/>
      <c r="N94" s="349"/>
    </row>
    <row r="95">
      <c r="A95" s="349"/>
      <c r="B95" s="346"/>
      <c r="C95" s="347"/>
      <c r="D95" s="346"/>
      <c r="E95" s="348"/>
      <c r="F95" s="346"/>
      <c r="G95" s="349"/>
      <c r="H95" s="349"/>
      <c r="I95" s="349"/>
      <c r="J95" s="349"/>
      <c r="K95" s="349"/>
      <c r="L95" s="349"/>
      <c r="M95" s="349"/>
      <c r="N95" s="349"/>
    </row>
    <row r="96">
      <c r="A96" s="349"/>
      <c r="B96" s="346"/>
      <c r="C96" s="347"/>
      <c r="D96" s="346"/>
      <c r="E96" s="348"/>
      <c r="F96" s="346"/>
      <c r="G96" s="349"/>
      <c r="H96" s="349"/>
      <c r="I96" s="349"/>
      <c r="J96" s="349"/>
      <c r="K96" s="349"/>
      <c r="L96" s="349"/>
      <c r="M96" s="349"/>
      <c r="N96" s="349"/>
    </row>
    <row r="97">
      <c r="A97" s="349"/>
      <c r="B97" s="346"/>
      <c r="C97" s="347"/>
      <c r="D97" s="346"/>
      <c r="E97" s="348"/>
      <c r="F97" s="346"/>
      <c r="G97" s="349"/>
      <c r="H97" s="349"/>
      <c r="I97" s="349"/>
      <c r="J97" s="349"/>
      <c r="K97" s="349"/>
      <c r="L97" s="349"/>
      <c r="M97" s="349"/>
      <c r="N97" s="349"/>
    </row>
    <row r="98">
      <c r="A98" s="349"/>
      <c r="B98" s="346"/>
      <c r="C98" s="347"/>
      <c r="D98" s="346"/>
      <c r="E98" s="348"/>
      <c r="F98" s="346"/>
      <c r="G98" s="349"/>
      <c r="H98" s="349"/>
      <c r="I98" s="349"/>
      <c r="J98" s="349"/>
      <c r="K98" s="349"/>
      <c r="L98" s="349"/>
      <c r="M98" s="349"/>
      <c r="N98" s="349"/>
    </row>
    <row r="99">
      <c r="A99" s="349"/>
      <c r="B99" s="346"/>
      <c r="C99" s="347"/>
      <c r="D99" s="346"/>
      <c r="E99" s="348"/>
      <c r="F99" s="346"/>
      <c r="G99" s="349"/>
      <c r="H99" s="349"/>
      <c r="I99" s="349"/>
      <c r="J99" s="349"/>
      <c r="K99" s="349"/>
      <c r="L99" s="349"/>
      <c r="M99" s="349"/>
      <c r="N99" s="349"/>
    </row>
    <row r="100">
      <c r="A100" s="349"/>
      <c r="B100" s="346"/>
      <c r="C100" s="347"/>
      <c r="D100" s="346"/>
      <c r="E100" s="348"/>
      <c r="F100" s="346"/>
      <c r="G100" s="349"/>
      <c r="H100" s="349"/>
      <c r="I100" s="349"/>
      <c r="J100" s="349"/>
      <c r="K100" s="349"/>
      <c r="L100" s="349"/>
      <c r="M100" s="349"/>
      <c r="N100" s="349"/>
    </row>
    <row r="101">
      <c r="A101" s="349"/>
      <c r="B101" s="346"/>
      <c r="C101" s="347"/>
      <c r="D101" s="346"/>
      <c r="E101" s="348"/>
      <c r="F101" s="346"/>
      <c r="G101" s="349"/>
      <c r="H101" s="349"/>
      <c r="I101" s="349"/>
      <c r="J101" s="349"/>
      <c r="K101" s="349"/>
      <c r="L101" s="349"/>
      <c r="M101" s="349"/>
      <c r="N101" s="349"/>
    </row>
    <row r="102">
      <c r="A102" s="349"/>
      <c r="B102" s="346"/>
      <c r="C102" s="347"/>
      <c r="D102" s="346"/>
      <c r="E102" s="348"/>
      <c r="F102" s="346"/>
      <c r="G102" s="349"/>
      <c r="H102" s="349"/>
      <c r="I102" s="349"/>
      <c r="J102" s="349"/>
      <c r="K102" s="349"/>
      <c r="L102" s="349"/>
      <c r="M102" s="349"/>
      <c r="N102" s="349"/>
    </row>
    <row r="103">
      <c r="A103" s="349"/>
      <c r="B103" s="346"/>
      <c r="C103" s="347"/>
      <c r="D103" s="346"/>
      <c r="E103" s="348"/>
      <c r="F103" s="346"/>
      <c r="G103" s="349"/>
      <c r="H103" s="349"/>
      <c r="I103" s="349"/>
      <c r="J103" s="349"/>
      <c r="K103" s="349"/>
      <c r="L103" s="349"/>
      <c r="M103" s="349"/>
      <c r="N103" s="349"/>
    </row>
    <row r="104">
      <c r="A104" s="349"/>
      <c r="B104" s="346"/>
      <c r="C104" s="347"/>
      <c r="D104" s="346"/>
      <c r="E104" s="348"/>
      <c r="F104" s="346"/>
      <c r="G104" s="349"/>
      <c r="H104" s="349"/>
      <c r="I104" s="349"/>
      <c r="J104" s="349"/>
      <c r="K104" s="349"/>
      <c r="L104" s="349"/>
      <c r="M104" s="349"/>
      <c r="N104" s="349"/>
    </row>
    <row r="105">
      <c r="A105" s="349"/>
      <c r="B105" s="346"/>
      <c r="C105" s="347"/>
      <c r="D105" s="346"/>
      <c r="E105" s="348"/>
      <c r="F105" s="346"/>
      <c r="G105" s="349"/>
      <c r="H105" s="349"/>
      <c r="I105" s="349"/>
      <c r="J105" s="349"/>
      <c r="K105" s="349"/>
      <c r="L105" s="349"/>
      <c r="M105" s="349"/>
      <c r="N105" s="349"/>
    </row>
    <row r="106">
      <c r="A106" s="349"/>
      <c r="B106" s="346"/>
      <c r="C106" s="347"/>
      <c r="D106" s="346"/>
      <c r="E106" s="348"/>
      <c r="F106" s="346"/>
      <c r="G106" s="349"/>
      <c r="H106" s="349"/>
      <c r="I106" s="349"/>
      <c r="J106" s="349"/>
      <c r="K106" s="349"/>
      <c r="L106" s="349"/>
      <c r="M106" s="349"/>
      <c r="N106" s="349"/>
    </row>
    <row r="107">
      <c r="A107" s="349"/>
      <c r="B107" s="346"/>
      <c r="C107" s="347"/>
      <c r="D107" s="346"/>
      <c r="E107" s="348"/>
      <c r="F107" s="346"/>
      <c r="G107" s="349"/>
      <c r="H107" s="349"/>
      <c r="I107" s="349"/>
      <c r="J107" s="349"/>
      <c r="K107" s="349"/>
      <c r="L107" s="349"/>
      <c r="M107" s="349"/>
      <c r="N107" s="349"/>
    </row>
    <row r="108">
      <c r="A108" s="349"/>
      <c r="B108" s="346"/>
      <c r="C108" s="347"/>
      <c r="D108" s="346"/>
      <c r="E108" s="348"/>
      <c r="F108" s="346"/>
      <c r="G108" s="349"/>
      <c r="H108" s="349"/>
      <c r="I108" s="349"/>
      <c r="J108" s="349"/>
      <c r="K108" s="349"/>
      <c r="L108" s="349"/>
      <c r="M108" s="349"/>
      <c r="N108" s="349"/>
    </row>
    <row r="109">
      <c r="A109" s="349"/>
      <c r="B109" s="346"/>
      <c r="C109" s="347"/>
      <c r="D109" s="346"/>
      <c r="E109" s="348"/>
      <c r="F109" s="346"/>
      <c r="G109" s="349"/>
      <c r="H109" s="349"/>
      <c r="I109" s="349"/>
      <c r="J109" s="349"/>
      <c r="K109" s="349"/>
      <c r="L109" s="349"/>
      <c r="M109" s="349"/>
      <c r="N109" s="349"/>
    </row>
    <row r="110">
      <c r="A110" s="349"/>
      <c r="B110" s="346"/>
      <c r="C110" s="347"/>
      <c r="D110" s="346"/>
      <c r="E110" s="348"/>
      <c r="F110" s="346"/>
      <c r="G110" s="349"/>
      <c r="H110" s="349"/>
      <c r="I110" s="349"/>
      <c r="J110" s="349"/>
      <c r="K110" s="349"/>
      <c r="L110" s="349"/>
      <c r="M110" s="349"/>
      <c r="N110" s="349"/>
    </row>
    <row r="111">
      <c r="A111" s="349"/>
      <c r="B111" s="346"/>
      <c r="C111" s="347"/>
      <c r="D111" s="346"/>
      <c r="E111" s="348"/>
      <c r="F111" s="346"/>
      <c r="G111" s="349"/>
      <c r="H111" s="349"/>
      <c r="I111" s="349"/>
      <c r="J111" s="349"/>
      <c r="K111" s="349"/>
      <c r="L111" s="349"/>
      <c r="M111" s="349"/>
      <c r="N111" s="349"/>
    </row>
    <row r="112">
      <c r="A112" s="349"/>
      <c r="B112" s="346"/>
      <c r="C112" s="347"/>
      <c r="D112" s="346"/>
      <c r="E112" s="348"/>
      <c r="F112" s="346"/>
      <c r="G112" s="349"/>
      <c r="H112" s="349"/>
      <c r="I112" s="349"/>
      <c r="J112" s="349"/>
      <c r="K112" s="349"/>
      <c r="L112" s="349"/>
      <c r="M112" s="349"/>
      <c r="N112" s="349"/>
    </row>
    <row r="113">
      <c r="A113" s="349"/>
      <c r="B113" s="346"/>
      <c r="C113" s="347"/>
      <c r="D113" s="346"/>
      <c r="E113" s="348"/>
      <c r="F113" s="346"/>
      <c r="G113" s="349"/>
      <c r="H113" s="349"/>
      <c r="I113" s="349"/>
      <c r="J113" s="349"/>
      <c r="K113" s="349"/>
      <c r="L113" s="349"/>
      <c r="M113" s="349"/>
      <c r="N113" s="349"/>
    </row>
    <row r="114">
      <c r="A114" s="349"/>
      <c r="B114" s="346"/>
      <c r="C114" s="347"/>
      <c r="D114" s="346"/>
      <c r="E114" s="348"/>
      <c r="F114" s="346"/>
      <c r="G114" s="349"/>
      <c r="H114" s="349"/>
      <c r="I114" s="349"/>
      <c r="J114" s="349"/>
      <c r="K114" s="349"/>
      <c r="L114" s="349"/>
      <c r="M114" s="349"/>
      <c r="N114" s="349"/>
    </row>
    <row r="115">
      <c r="A115" s="349"/>
      <c r="B115" s="346"/>
      <c r="C115" s="347"/>
      <c r="D115" s="346"/>
      <c r="E115" s="348"/>
      <c r="F115" s="346"/>
      <c r="G115" s="349"/>
      <c r="H115" s="349"/>
      <c r="I115" s="349"/>
      <c r="J115" s="349"/>
      <c r="K115" s="349"/>
      <c r="L115" s="349"/>
      <c r="M115" s="349"/>
      <c r="N115" s="349"/>
    </row>
    <row r="116">
      <c r="A116" s="349"/>
      <c r="B116" s="346"/>
      <c r="C116" s="347"/>
      <c r="D116" s="346"/>
      <c r="E116" s="348"/>
      <c r="F116" s="346"/>
      <c r="G116" s="349"/>
      <c r="H116" s="349"/>
      <c r="I116" s="349"/>
      <c r="J116" s="349"/>
      <c r="K116" s="349"/>
      <c r="L116" s="349"/>
      <c r="M116" s="349"/>
      <c r="N116" s="349"/>
    </row>
    <row r="117">
      <c r="A117" s="349"/>
      <c r="B117" s="346"/>
      <c r="C117" s="347"/>
      <c r="D117" s="346"/>
      <c r="E117" s="348"/>
      <c r="F117" s="346"/>
      <c r="G117" s="349"/>
      <c r="H117" s="349"/>
      <c r="I117" s="349"/>
      <c r="J117" s="349"/>
      <c r="K117" s="349"/>
      <c r="L117" s="349"/>
      <c r="M117" s="349"/>
      <c r="N117" s="349"/>
    </row>
    <row r="118">
      <c r="A118" s="349"/>
      <c r="B118" s="346"/>
      <c r="C118" s="347"/>
      <c r="D118" s="346"/>
      <c r="E118" s="348"/>
      <c r="F118" s="346"/>
      <c r="G118" s="349"/>
      <c r="H118" s="349"/>
      <c r="I118" s="349"/>
      <c r="J118" s="349"/>
      <c r="K118" s="349"/>
      <c r="L118" s="349"/>
      <c r="M118" s="349"/>
      <c r="N118" s="349"/>
    </row>
    <row r="119">
      <c r="A119" s="349"/>
      <c r="B119" s="346"/>
      <c r="C119" s="347"/>
      <c r="D119" s="346"/>
      <c r="E119" s="348"/>
      <c r="F119" s="346"/>
      <c r="G119" s="349"/>
      <c r="H119" s="349"/>
      <c r="I119" s="349"/>
      <c r="J119" s="349"/>
      <c r="K119" s="349"/>
      <c r="L119" s="349"/>
      <c r="M119" s="349"/>
      <c r="N119" s="349"/>
    </row>
    <row r="120">
      <c r="A120" s="349"/>
      <c r="B120" s="346"/>
      <c r="C120" s="347"/>
      <c r="D120" s="346"/>
      <c r="E120" s="348"/>
      <c r="F120" s="346"/>
      <c r="G120" s="349"/>
      <c r="H120" s="349"/>
      <c r="I120" s="349"/>
      <c r="J120" s="349"/>
      <c r="K120" s="349"/>
      <c r="L120" s="349"/>
      <c r="M120" s="349"/>
      <c r="N120" s="349"/>
    </row>
    <row r="121">
      <c r="A121" s="349"/>
      <c r="B121" s="346"/>
      <c r="C121" s="347"/>
      <c r="D121" s="346"/>
      <c r="E121" s="348"/>
      <c r="F121" s="346"/>
      <c r="G121" s="349"/>
      <c r="H121" s="349"/>
      <c r="I121" s="349"/>
      <c r="J121" s="349"/>
      <c r="K121" s="349"/>
      <c r="L121" s="349"/>
      <c r="M121" s="349"/>
      <c r="N121" s="349"/>
    </row>
    <row r="122">
      <c r="A122" s="349"/>
      <c r="B122" s="346"/>
      <c r="C122" s="347"/>
      <c r="D122" s="346"/>
      <c r="E122" s="348"/>
      <c r="F122" s="346"/>
      <c r="G122" s="349"/>
      <c r="H122" s="349"/>
      <c r="I122" s="349"/>
      <c r="J122" s="349"/>
      <c r="K122" s="349"/>
      <c r="L122" s="349"/>
      <c r="M122" s="349"/>
      <c r="N122" s="349"/>
    </row>
    <row r="123">
      <c r="A123" s="349"/>
      <c r="B123" s="346"/>
      <c r="C123" s="347"/>
      <c r="D123" s="346"/>
      <c r="E123" s="348"/>
      <c r="F123" s="346"/>
      <c r="G123" s="349"/>
      <c r="H123" s="349"/>
      <c r="I123" s="349"/>
      <c r="J123" s="349"/>
      <c r="K123" s="349"/>
      <c r="L123" s="349"/>
      <c r="M123" s="349"/>
      <c r="N123" s="349"/>
    </row>
    <row r="124">
      <c r="A124" s="349"/>
      <c r="B124" s="346"/>
      <c r="C124" s="347"/>
      <c r="D124" s="346"/>
      <c r="E124" s="348"/>
      <c r="F124" s="346"/>
      <c r="G124" s="349"/>
      <c r="H124" s="349"/>
      <c r="I124" s="349"/>
      <c r="J124" s="349"/>
      <c r="K124" s="349"/>
      <c r="L124" s="349"/>
      <c r="M124" s="349"/>
      <c r="N124" s="349"/>
    </row>
    <row r="125">
      <c r="A125" s="349"/>
      <c r="B125" s="346"/>
      <c r="C125" s="347"/>
      <c r="D125" s="346"/>
      <c r="E125" s="348"/>
      <c r="F125" s="346"/>
      <c r="G125" s="349"/>
      <c r="H125" s="349"/>
      <c r="I125" s="349"/>
      <c r="J125" s="349"/>
      <c r="K125" s="349"/>
      <c r="L125" s="349"/>
      <c r="M125" s="349"/>
      <c r="N125" s="349"/>
    </row>
    <row r="126">
      <c r="A126" s="349"/>
      <c r="B126" s="346"/>
      <c r="C126" s="347"/>
      <c r="D126" s="346"/>
      <c r="E126" s="348"/>
      <c r="F126" s="346"/>
      <c r="G126" s="349"/>
      <c r="H126" s="349"/>
      <c r="I126" s="349"/>
      <c r="J126" s="349"/>
      <c r="K126" s="349"/>
      <c r="L126" s="349"/>
      <c r="M126" s="349"/>
      <c r="N126" s="349"/>
    </row>
    <row r="127">
      <c r="A127" s="349"/>
      <c r="B127" s="346"/>
      <c r="C127" s="347"/>
      <c r="D127" s="346"/>
      <c r="E127" s="348"/>
      <c r="F127" s="346"/>
      <c r="G127" s="349"/>
      <c r="H127" s="349"/>
      <c r="I127" s="349"/>
      <c r="J127" s="349"/>
      <c r="K127" s="349"/>
      <c r="L127" s="349"/>
      <c r="M127" s="349"/>
      <c r="N127" s="349"/>
    </row>
    <row r="128">
      <c r="A128" s="349"/>
      <c r="B128" s="346"/>
      <c r="C128" s="347"/>
      <c r="D128" s="346"/>
      <c r="E128" s="348"/>
      <c r="F128" s="346"/>
      <c r="G128" s="349"/>
      <c r="H128" s="349"/>
      <c r="I128" s="349"/>
      <c r="J128" s="349"/>
      <c r="K128" s="349"/>
      <c r="L128" s="349"/>
      <c r="M128" s="349"/>
      <c r="N128" s="349"/>
    </row>
    <row r="129">
      <c r="A129" s="349"/>
      <c r="B129" s="346"/>
      <c r="C129" s="347"/>
      <c r="D129" s="346"/>
      <c r="E129" s="348"/>
      <c r="F129" s="346"/>
      <c r="G129" s="349"/>
      <c r="H129" s="349"/>
      <c r="I129" s="349"/>
      <c r="J129" s="349"/>
      <c r="K129" s="349"/>
      <c r="L129" s="349"/>
      <c r="M129" s="349"/>
      <c r="N129" s="349"/>
    </row>
    <row r="130">
      <c r="A130" s="349"/>
      <c r="B130" s="346"/>
      <c r="C130" s="347"/>
      <c r="D130" s="346"/>
      <c r="E130" s="348"/>
      <c r="F130" s="346"/>
      <c r="G130" s="349"/>
      <c r="H130" s="349"/>
      <c r="I130" s="349"/>
      <c r="J130" s="349"/>
      <c r="K130" s="349"/>
      <c r="L130" s="349"/>
      <c r="M130" s="349"/>
      <c r="N130" s="349"/>
    </row>
    <row r="131">
      <c r="A131" s="349"/>
      <c r="B131" s="346"/>
      <c r="C131" s="347"/>
      <c r="D131" s="346"/>
      <c r="E131" s="348"/>
      <c r="F131" s="346"/>
      <c r="G131" s="349"/>
      <c r="H131" s="349"/>
      <c r="I131" s="349"/>
      <c r="J131" s="349"/>
      <c r="K131" s="349"/>
      <c r="L131" s="349"/>
      <c r="M131" s="349"/>
      <c r="N131" s="349"/>
    </row>
    <row r="132">
      <c r="A132" s="349"/>
      <c r="B132" s="346"/>
      <c r="C132" s="347"/>
      <c r="D132" s="346"/>
      <c r="E132" s="348"/>
      <c r="F132" s="346"/>
      <c r="G132" s="349"/>
      <c r="H132" s="349"/>
      <c r="I132" s="349"/>
      <c r="J132" s="349"/>
      <c r="K132" s="349"/>
      <c r="L132" s="349"/>
      <c r="M132" s="349"/>
      <c r="N132" s="349"/>
    </row>
    <row r="133">
      <c r="A133" s="349"/>
      <c r="B133" s="346"/>
      <c r="C133" s="347"/>
      <c r="D133" s="346"/>
      <c r="E133" s="348"/>
      <c r="F133" s="346"/>
      <c r="G133" s="349"/>
      <c r="H133" s="349"/>
      <c r="I133" s="349"/>
      <c r="J133" s="349"/>
      <c r="K133" s="349"/>
      <c r="L133" s="349"/>
      <c r="M133" s="349"/>
      <c r="N133" s="349"/>
    </row>
    <row r="134">
      <c r="A134" s="349"/>
      <c r="B134" s="346"/>
      <c r="C134" s="347"/>
      <c r="D134" s="346"/>
      <c r="E134" s="348"/>
      <c r="F134" s="346"/>
      <c r="G134" s="349"/>
      <c r="H134" s="349"/>
      <c r="I134" s="349"/>
      <c r="J134" s="349"/>
      <c r="K134" s="349"/>
      <c r="L134" s="349"/>
      <c r="M134" s="349"/>
      <c r="N134" s="349"/>
    </row>
    <row r="135">
      <c r="A135" s="349"/>
      <c r="B135" s="346"/>
      <c r="C135" s="347"/>
      <c r="D135" s="346"/>
      <c r="E135" s="348"/>
      <c r="F135" s="346"/>
      <c r="G135" s="349"/>
      <c r="H135" s="349"/>
      <c r="I135" s="349"/>
      <c r="J135" s="349"/>
      <c r="K135" s="349"/>
      <c r="L135" s="349"/>
      <c r="M135" s="349"/>
      <c r="N135" s="349"/>
    </row>
    <row r="136">
      <c r="A136" s="349"/>
      <c r="B136" s="346"/>
      <c r="C136" s="347"/>
      <c r="D136" s="346"/>
      <c r="E136" s="348"/>
      <c r="F136" s="346"/>
      <c r="G136" s="349"/>
      <c r="H136" s="349"/>
      <c r="I136" s="349"/>
      <c r="J136" s="349"/>
      <c r="K136" s="349"/>
      <c r="L136" s="349"/>
      <c r="M136" s="349"/>
      <c r="N136" s="349"/>
    </row>
    <row r="137">
      <c r="A137" s="349"/>
      <c r="B137" s="346"/>
      <c r="C137" s="347"/>
      <c r="D137" s="346"/>
      <c r="E137" s="348"/>
      <c r="F137" s="346"/>
      <c r="G137" s="349"/>
      <c r="H137" s="349"/>
      <c r="I137" s="349"/>
      <c r="J137" s="349"/>
      <c r="K137" s="349"/>
      <c r="L137" s="349"/>
      <c r="M137" s="349"/>
      <c r="N137" s="349"/>
    </row>
    <row r="138">
      <c r="A138" s="349"/>
      <c r="B138" s="346"/>
      <c r="C138" s="347"/>
      <c r="D138" s="346"/>
      <c r="E138" s="348"/>
      <c r="F138" s="346"/>
      <c r="G138" s="349"/>
      <c r="H138" s="349"/>
      <c r="I138" s="349"/>
      <c r="J138" s="349"/>
      <c r="K138" s="349"/>
      <c r="L138" s="349"/>
      <c r="M138" s="349"/>
      <c r="N138" s="349"/>
    </row>
    <row r="139">
      <c r="A139" s="349"/>
      <c r="B139" s="346"/>
      <c r="C139" s="347"/>
      <c r="D139" s="346"/>
      <c r="E139" s="348"/>
      <c r="F139" s="346"/>
      <c r="G139" s="349"/>
      <c r="H139" s="349"/>
      <c r="I139" s="349"/>
      <c r="J139" s="349"/>
      <c r="K139" s="349"/>
      <c r="L139" s="349"/>
      <c r="M139" s="349"/>
      <c r="N139" s="349"/>
    </row>
    <row r="140">
      <c r="A140" s="349"/>
      <c r="B140" s="346"/>
      <c r="C140" s="347"/>
      <c r="D140" s="346"/>
      <c r="E140" s="348"/>
      <c r="F140" s="346"/>
      <c r="G140" s="349"/>
      <c r="H140" s="349"/>
      <c r="I140" s="349"/>
      <c r="J140" s="349"/>
      <c r="K140" s="349"/>
      <c r="L140" s="349"/>
      <c r="M140" s="349"/>
      <c r="N140" s="349"/>
    </row>
    <row r="141">
      <c r="A141" s="349"/>
      <c r="B141" s="346"/>
      <c r="C141" s="347"/>
      <c r="D141" s="346"/>
      <c r="E141" s="348"/>
      <c r="F141" s="346"/>
      <c r="G141" s="349"/>
      <c r="H141" s="349"/>
      <c r="I141" s="349"/>
      <c r="J141" s="349"/>
      <c r="K141" s="349"/>
      <c r="L141" s="349"/>
      <c r="M141" s="349"/>
      <c r="N141" s="349"/>
    </row>
    <row r="142">
      <c r="A142" s="349"/>
      <c r="B142" s="346"/>
      <c r="C142" s="347"/>
      <c r="D142" s="346"/>
      <c r="E142" s="348"/>
      <c r="F142" s="346"/>
      <c r="G142" s="349"/>
      <c r="H142" s="349"/>
      <c r="I142" s="349"/>
      <c r="J142" s="349"/>
      <c r="K142" s="349"/>
      <c r="L142" s="349"/>
      <c r="M142" s="349"/>
      <c r="N142" s="349"/>
    </row>
    <row r="143">
      <c r="A143" s="349"/>
      <c r="B143" s="346"/>
      <c r="C143" s="347"/>
      <c r="D143" s="346"/>
      <c r="E143" s="348"/>
      <c r="F143" s="346"/>
      <c r="G143" s="349"/>
      <c r="H143" s="349"/>
      <c r="I143" s="349"/>
      <c r="J143" s="349"/>
      <c r="K143" s="349"/>
      <c r="L143" s="349"/>
      <c r="M143" s="349"/>
      <c r="N143" s="349"/>
    </row>
    <row r="144">
      <c r="A144" s="349"/>
      <c r="B144" s="346"/>
      <c r="C144" s="347"/>
      <c r="D144" s="346"/>
      <c r="E144" s="348"/>
      <c r="F144" s="346"/>
      <c r="G144" s="349"/>
      <c r="H144" s="349"/>
      <c r="I144" s="349"/>
      <c r="J144" s="349"/>
      <c r="K144" s="349"/>
      <c r="L144" s="349"/>
      <c r="M144" s="349"/>
      <c r="N144" s="349"/>
    </row>
    <row r="145">
      <c r="A145" s="349"/>
      <c r="B145" s="346"/>
      <c r="C145" s="347"/>
      <c r="D145" s="346"/>
      <c r="E145" s="348"/>
      <c r="F145" s="346"/>
      <c r="G145" s="349"/>
      <c r="H145" s="349"/>
      <c r="I145" s="349"/>
      <c r="J145" s="349"/>
      <c r="K145" s="349"/>
      <c r="L145" s="349"/>
      <c r="M145" s="349"/>
      <c r="N145" s="349"/>
    </row>
    <row r="146">
      <c r="A146" s="349"/>
      <c r="B146" s="346"/>
      <c r="C146" s="347"/>
      <c r="D146" s="346"/>
      <c r="E146" s="348"/>
      <c r="F146" s="346"/>
      <c r="G146" s="349"/>
      <c r="H146" s="349"/>
      <c r="I146" s="349"/>
      <c r="J146" s="349"/>
      <c r="K146" s="349"/>
      <c r="L146" s="349"/>
      <c r="M146" s="349"/>
      <c r="N146" s="349"/>
    </row>
    <row r="147">
      <c r="A147" s="349"/>
      <c r="B147" s="346"/>
      <c r="C147" s="347"/>
      <c r="D147" s="346"/>
      <c r="E147" s="348"/>
      <c r="F147" s="346"/>
      <c r="G147" s="349"/>
      <c r="H147" s="349"/>
      <c r="I147" s="349"/>
      <c r="J147" s="349"/>
      <c r="K147" s="349"/>
      <c r="L147" s="349"/>
      <c r="M147" s="349"/>
      <c r="N147" s="349"/>
    </row>
    <row r="148">
      <c r="A148" s="349"/>
      <c r="B148" s="346"/>
      <c r="C148" s="347"/>
      <c r="D148" s="346"/>
      <c r="E148" s="348"/>
      <c r="F148" s="346"/>
      <c r="G148" s="349"/>
      <c r="H148" s="349"/>
      <c r="I148" s="349"/>
      <c r="J148" s="349"/>
      <c r="K148" s="349"/>
      <c r="L148" s="349"/>
      <c r="M148" s="349"/>
      <c r="N148" s="349"/>
    </row>
    <row r="149">
      <c r="A149" s="349"/>
      <c r="B149" s="346"/>
      <c r="C149" s="347"/>
      <c r="D149" s="346"/>
      <c r="E149" s="348"/>
      <c r="F149" s="346"/>
      <c r="G149" s="349"/>
      <c r="H149" s="349"/>
      <c r="I149" s="349"/>
      <c r="J149" s="349"/>
      <c r="K149" s="349"/>
      <c r="L149" s="349"/>
      <c r="M149" s="349"/>
      <c r="N149" s="349"/>
    </row>
    <row r="150">
      <c r="A150" s="349"/>
      <c r="B150" s="346"/>
      <c r="C150" s="347"/>
      <c r="D150" s="346"/>
      <c r="E150" s="348"/>
      <c r="F150" s="346"/>
      <c r="G150" s="349"/>
      <c r="H150" s="349"/>
      <c r="I150" s="349"/>
      <c r="J150" s="349"/>
      <c r="K150" s="349"/>
      <c r="L150" s="349"/>
      <c r="M150" s="349"/>
      <c r="N150" s="349"/>
    </row>
    <row r="151">
      <c r="A151" s="349"/>
      <c r="B151" s="346"/>
      <c r="C151" s="347"/>
      <c r="D151" s="346"/>
      <c r="E151" s="348"/>
      <c r="F151" s="346"/>
      <c r="G151" s="349"/>
      <c r="H151" s="349"/>
      <c r="I151" s="349"/>
      <c r="J151" s="349"/>
      <c r="K151" s="349"/>
      <c r="L151" s="349"/>
      <c r="M151" s="349"/>
      <c r="N151" s="349"/>
    </row>
    <row r="152">
      <c r="A152" s="349"/>
      <c r="B152" s="346"/>
      <c r="C152" s="347"/>
      <c r="D152" s="346"/>
      <c r="E152" s="348"/>
      <c r="F152" s="346"/>
      <c r="G152" s="349"/>
      <c r="H152" s="349"/>
      <c r="I152" s="349"/>
      <c r="J152" s="349"/>
      <c r="K152" s="349"/>
      <c r="L152" s="349"/>
      <c r="M152" s="349"/>
      <c r="N152" s="349"/>
    </row>
    <row r="153">
      <c r="A153" s="349"/>
      <c r="B153" s="346"/>
      <c r="C153" s="347"/>
      <c r="D153" s="346"/>
      <c r="E153" s="348"/>
      <c r="F153" s="346"/>
      <c r="G153" s="349"/>
      <c r="H153" s="349"/>
      <c r="I153" s="349"/>
      <c r="J153" s="349"/>
      <c r="K153" s="349"/>
      <c r="L153" s="349"/>
      <c r="M153" s="349"/>
      <c r="N153" s="349"/>
    </row>
    <row r="154">
      <c r="A154" s="349"/>
      <c r="B154" s="346"/>
      <c r="C154" s="347"/>
      <c r="D154" s="346"/>
      <c r="E154" s="348"/>
      <c r="F154" s="346"/>
      <c r="G154" s="349"/>
      <c r="H154" s="349"/>
      <c r="I154" s="349"/>
      <c r="J154" s="349"/>
      <c r="K154" s="349"/>
      <c r="L154" s="349"/>
      <c r="M154" s="349"/>
      <c r="N154" s="349"/>
    </row>
    <row r="155">
      <c r="A155" s="349"/>
      <c r="B155" s="346"/>
      <c r="C155" s="347"/>
      <c r="D155" s="346"/>
      <c r="E155" s="348"/>
      <c r="F155" s="346"/>
      <c r="G155" s="349"/>
      <c r="H155" s="349"/>
      <c r="I155" s="349"/>
      <c r="J155" s="349"/>
      <c r="K155" s="349"/>
      <c r="L155" s="349"/>
      <c r="M155" s="349"/>
      <c r="N155" s="349"/>
    </row>
    <row r="156">
      <c r="A156" s="349"/>
      <c r="B156" s="346"/>
      <c r="C156" s="347"/>
      <c r="D156" s="346"/>
      <c r="E156" s="348"/>
      <c r="F156" s="346"/>
      <c r="G156" s="349"/>
      <c r="H156" s="349"/>
      <c r="I156" s="349"/>
      <c r="J156" s="349"/>
      <c r="K156" s="349"/>
      <c r="L156" s="349"/>
      <c r="M156" s="349"/>
      <c r="N156" s="349"/>
    </row>
    <row r="157">
      <c r="A157" s="349"/>
      <c r="B157" s="346"/>
      <c r="C157" s="347"/>
      <c r="D157" s="346"/>
      <c r="E157" s="348"/>
      <c r="F157" s="346"/>
      <c r="G157" s="349"/>
      <c r="H157" s="349"/>
      <c r="I157" s="349"/>
      <c r="J157" s="349"/>
      <c r="K157" s="349"/>
      <c r="L157" s="349"/>
      <c r="M157" s="349"/>
      <c r="N157" s="349"/>
    </row>
    <row r="158">
      <c r="A158" s="349"/>
      <c r="B158" s="346"/>
      <c r="C158" s="347"/>
      <c r="D158" s="346"/>
      <c r="E158" s="348"/>
      <c r="F158" s="346"/>
      <c r="G158" s="349"/>
      <c r="H158" s="349"/>
      <c r="I158" s="349"/>
      <c r="J158" s="349"/>
      <c r="K158" s="349"/>
      <c r="L158" s="349"/>
      <c r="M158" s="349"/>
      <c r="N158" s="349"/>
    </row>
    <row r="159">
      <c r="A159" s="349"/>
      <c r="B159" s="346"/>
      <c r="C159" s="347"/>
      <c r="D159" s="346"/>
      <c r="E159" s="348"/>
      <c r="F159" s="346"/>
      <c r="G159" s="349"/>
      <c r="H159" s="349"/>
      <c r="I159" s="349"/>
      <c r="J159" s="349"/>
      <c r="K159" s="349"/>
      <c r="L159" s="349"/>
      <c r="M159" s="349"/>
      <c r="N159" s="349"/>
    </row>
    <row r="160">
      <c r="A160" s="349"/>
      <c r="B160" s="346"/>
      <c r="C160" s="347"/>
      <c r="D160" s="346"/>
      <c r="E160" s="348"/>
      <c r="F160" s="346"/>
      <c r="G160" s="349"/>
      <c r="H160" s="349"/>
      <c r="I160" s="349"/>
      <c r="J160" s="349"/>
      <c r="K160" s="349"/>
      <c r="L160" s="349"/>
      <c r="M160" s="349"/>
      <c r="N160" s="349"/>
    </row>
    <row r="161">
      <c r="A161" s="349"/>
      <c r="B161" s="346"/>
      <c r="C161" s="347"/>
      <c r="D161" s="346"/>
      <c r="E161" s="348"/>
      <c r="F161" s="346"/>
      <c r="G161" s="349"/>
      <c r="H161" s="349"/>
      <c r="I161" s="349"/>
      <c r="J161" s="349"/>
      <c r="K161" s="349"/>
      <c r="L161" s="349"/>
      <c r="M161" s="349"/>
      <c r="N161" s="349"/>
    </row>
    <row r="162">
      <c r="A162" s="349"/>
      <c r="B162" s="346"/>
      <c r="C162" s="347"/>
      <c r="D162" s="346"/>
      <c r="E162" s="348"/>
      <c r="F162" s="346"/>
      <c r="G162" s="349"/>
      <c r="H162" s="349"/>
      <c r="I162" s="349"/>
      <c r="J162" s="349"/>
      <c r="K162" s="349"/>
      <c r="L162" s="349"/>
      <c r="M162" s="349"/>
      <c r="N162" s="349"/>
    </row>
    <row r="163">
      <c r="A163" s="349"/>
      <c r="B163" s="346"/>
      <c r="C163" s="347"/>
      <c r="D163" s="346"/>
      <c r="E163" s="348"/>
      <c r="F163" s="346"/>
      <c r="G163" s="349"/>
      <c r="H163" s="349"/>
      <c r="I163" s="349"/>
      <c r="J163" s="349"/>
      <c r="K163" s="349"/>
      <c r="L163" s="349"/>
      <c r="M163" s="349"/>
      <c r="N163" s="349"/>
    </row>
    <row r="164">
      <c r="A164" s="349"/>
      <c r="B164" s="346"/>
      <c r="C164" s="347"/>
      <c r="D164" s="346"/>
      <c r="E164" s="348"/>
      <c r="F164" s="346"/>
      <c r="G164" s="349"/>
      <c r="H164" s="349"/>
      <c r="I164" s="349"/>
      <c r="J164" s="349"/>
      <c r="K164" s="349"/>
      <c r="L164" s="349"/>
      <c r="M164" s="349"/>
      <c r="N164" s="349"/>
    </row>
    <row r="165">
      <c r="A165" s="349"/>
      <c r="B165" s="346"/>
      <c r="C165" s="347"/>
      <c r="D165" s="346"/>
      <c r="E165" s="348"/>
      <c r="F165" s="346"/>
      <c r="G165" s="349"/>
      <c r="H165" s="349"/>
      <c r="I165" s="349"/>
      <c r="J165" s="349"/>
      <c r="K165" s="349"/>
      <c r="L165" s="349"/>
      <c r="M165" s="349"/>
      <c r="N165" s="349"/>
    </row>
    <row r="166">
      <c r="A166" s="349"/>
      <c r="B166" s="346"/>
      <c r="C166" s="347"/>
      <c r="D166" s="346"/>
      <c r="E166" s="348"/>
      <c r="F166" s="346"/>
      <c r="G166" s="349"/>
      <c r="H166" s="349"/>
      <c r="I166" s="349"/>
      <c r="J166" s="349"/>
      <c r="K166" s="349"/>
      <c r="L166" s="349"/>
      <c r="M166" s="349"/>
      <c r="N166" s="349"/>
    </row>
    <row r="167">
      <c r="A167" s="349"/>
      <c r="B167" s="346"/>
      <c r="C167" s="347"/>
      <c r="D167" s="346"/>
      <c r="E167" s="348"/>
      <c r="F167" s="346"/>
      <c r="G167" s="349"/>
      <c r="H167" s="349"/>
      <c r="I167" s="349"/>
      <c r="J167" s="349"/>
      <c r="K167" s="349"/>
      <c r="L167" s="349"/>
      <c r="M167" s="349"/>
      <c r="N167" s="349"/>
    </row>
    <row r="168">
      <c r="A168" s="349"/>
      <c r="B168" s="346"/>
      <c r="C168" s="347"/>
      <c r="D168" s="346"/>
      <c r="E168" s="348"/>
      <c r="F168" s="346"/>
      <c r="G168" s="349"/>
      <c r="H168" s="349"/>
      <c r="I168" s="349"/>
      <c r="J168" s="349"/>
      <c r="K168" s="349"/>
      <c r="L168" s="349"/>
      <c r="M168" s="349"/>
      <c r="N168" s="349"/>
    </row>
    <row r="169">
      <c r="A169" s="349"/>
      <c r="B169" s="346"/>
      <c r="C169" s="347"/>
      <c r="D169" s="346"/>
      <c r="E169" s="348"/>
      <c r="F169" s="346"/>
      <c r="G169" s="349"/>
      <c r="H169" s="349"/>
      <c r="I169" s="349"/>
      <c r="J169" s="349"/>
      <c r="K169" s="349"/>
      <c r="L169" s="349"/>
      <c r="M169" s="349"/>
      <c r="N169" s="349"/>
    </row>
    <row r="170">
      <c r="A170" s="349"/>
      <c r="B170" s="346"/>
      <c r="C170" s="347"/>
      <c r="D170" s="346"/>
      <c r="E170" s="348"/>
      <c r="F170" s="346"/>
      <c r="G170" s="349"/>
      <c r="H170" s="349"/>
      <c r="I170" s="349"/>
      <c r="J170" s="349"/>
      <c r="K170" s="349"/>
      <c r="L170" s="349"/>
      <c r="M170" s="349"/>
      <c r="N170" s="349"/>
    </row>
    <row r="171">
      <c r="A171" s="349"/>
      <c r="B171" s="346"/>
      <c r="C171" s="347"/>
      <c r="D171" s="346"/>
      <c r="E171" s="348"/>
      <c r="F171" s="346"/>
      <c r="G171" s="349"/>
      <c r="H171" s="349"/>
      <c r="I171" s="349"/>
      <c r="J171" s="349"/>
      <c r="K171" s="349"/>
      <c r="L171" s="349"/>
      <c r="M171" s="349"/>
      <c r="N171" s="349"/>
    </row>
    <row r="172">
      <c r="A172" s="349"/>
      <c r="B172" s="346"/>
      <c r="C172" s="347"/>
      <c r="D172" s="346"/>
      <c r="E172" s="348"/>
      <c r="F172" s="346"/>
      <c r="G172" s="349"/>
      <c r="H172" s="349"/>
      <c r="I172" s="349"/>
      <c r="J172" s="349"/>
      <c r="K172" s="349"/>
      <c r="L172" s="349"/>
      <c r="M172" s="349"/>
      <c r="N172" s="349"/>
    </row>
    <row r="173">
      <c r="A173" s="349"/>
      <c r="B173" s="346"/>
      <c r="C173" s="347"/>
      <c r="D173" s="346"/>
      <c r="E173" s="348"/>
      <c r="F173" s="346"/>
      <c r="G173" s="349"/>
      <c r="H173" s="349"/>
      <c r="I173" s="349"/>
      <c r="J173" s="349"/>
      <c r="K173" s="349"/>
      <c r="L173" s="349"/>
      <c r="M173" s="349"/>
      <c r="N173" s="349"/>
    </row>
    <row r="174">
      <c r="A174" s="349"/>
      <c r="B174" s="346"/>
      <c r="C174" s="347"/>
      <c r="D174" s="346"/>
      <c r="E174" s="348"/>
      <c r="F174" s="346"/>
      <c r="G174" s="349"/>
      <c r="H174" s="349"/>
      <c r="I174" s="349"/>
      <c r="J174" s="349"/>
      <c r="K174" s="349"/>
      <c r="L174" s="349"/>
      <c r="M174" s="349"/>
      <c r="N174" s="349"/>
    </row>
    <row r="175">
      <c r="A175" s="349"/>
      <c r="B175" s="346"/>
      <c r="C175" s="347"/>
      <c r="D175" s="346"/>
      <c r="E175" s="348"/>
      <c r="F175" s="346"/>
      <c r="G175" s="349"/>
      <c r="H175" s="349"/>
      <c r="I175" s="349"/>
      <c r="J175" s="349"/>
      <c r="K175" s="349"/>
      <c r="L175" s="349"/>
      <c r="M175" s="349"/>
      <c r="N175" s="349"/>
    </row>
    <row r="176">
      <c r="A176" s="349"/>
      <c r="B176" s="346"/>
      <c r="C176" s="347"/>
      <c r="D176" s="346"/>
      <c r="E176" s="348"/>
      <c r="F176" s="346"/>
      <c r="G176" s="349"/>
      <c r="H176" s="349"/>
      <c r="I176" s="349"/>
      <c r="J176" s="349"/>
      <c r="K176" s="349"/>
      <c r="L176" s="349"/>
      <c r="M176" s="349"/>
      <c r="N176" s="349"/>
    </row>
    <row r="177">
      <c r="A177" s="349"/>
      <c r="B177" s="346"/>
      <c r="C177" s="347"/>
      <c r="D177" s="346"/>
      <c r="E177" s="348"/>
      <c r="F177" s="346"/>
      <c r="G177" s="349"/>
      <c r="H177" s="349"/>
      <c r="I177" s="349"/>
      <c r="J177" s="349"/>
      <c r="K177" s="349"/>
      <c r="L177" s="349"/>
      <c r="M177" s="349"/>
      <c r="N177" s="349"/>
    </row>
    <row r="178">
      <c r="A178" s="349"/>
      <c r="B178" s="346"/>
      <c r="C178" s="347"/>
      <c r="D178" s="346"/>
      <c r="E178" s="348"/>
      <c r="F178" s="346"/>
      <c r="G178" s="349"/>
      <c r="H178" s="349"/>
      <c r="I178" s="349"/>
      <c r="J178" s="349"/>
      <c r="K178" s="349"/>
      <c r="L178" s="349"/>
      <c r="M178" s="349"/>
      <c r="N178" s="349"/>
    </row>
    <row r="179">
      <c r="A179" s="349"/>
      <c r="B179" s="346"/>
      <c r="C179" s="347"/>
      <c r="D179" s="346"/>
      <c r="E179" s="348"/>
      <c r="F179" s="346"/>
      <c r="G179" s="349"/>
      <c r="H179" s="349"/>
      <c r="I179" s="349"/>
      <c r="J179" s="349"/>
      <c r="K179" s="349"/>
      <c r="L179" s="349"/>
      <c r="M179" s="349"/>
      <c r="N179" s="349"/>
    </row>
    <row r="180">
      <c r="A180" s="349"/>
      <c r="B180" s="346"/>
      <c r="C180" s="347"/>
      <c r="D180" s="346"/>
      <c r="E180" s="348"/>
      <c r="F180" s="346"/>
      <c r="G180" s="349"/>
      <c r="H180" s="349"/>
      <c r="I180" s="349"/>
      <c r="J180" s="349"/>
      <c r="K180" s="349"/>
      <c r="L180" s="349"/>
      <c r="M180" s="349"/>
      <c r="N180" s="349"/>
    </row>
    <row r="181">
      <c r="A181" s="349"/>
      <c r="B181" s="346"/>
      <c r="C181" s="347"/>
      <c r="D181" s="346"/>
      <c r="E181" s="348"/>
      <c r="F181" s="346"/>
      <c r="G181" s="349"/>
      <c r="H181" s="349"/>
      <c r="I181" s="349"/>
      <c r="J181" s="349"/>
      <c r="K181" s="349"/>
      <c r="L181" s="349"/>
      <c r="M181" s="349"/>
      <c r="N181" s="349"/>
    </row>
    <row r="182">
      <c r="A182" s="349"/>
      <c r="B182" s="346"/>
      <c r="C182" s="347"/>
      <c r="D182" s="346"/>
      <c r="E182" s="348"/>
      <c r="F182" s="346"/>
      <c r="G182" s="349"/>
      <c r="H182" s="349"/>
      <c r="I182" s="349"/>
      <c r="J182" s="349"/>
      <c r="K182" s="349"/>
      <c r="L182" s="349"/>
      <c r="M182" s="349"/>
      <c r="N182" s="349"/>
    </row>
    <row r="183">
      <c r="A183" s="349"/>
      <c r="B183" s="346"/>
      <c r="C183" s="347"/>
      <c r="D183" s="346"/>
      <c r="E183" s="348"/>
      <c r="F183" s="346"/>
      <c r="G183" s="349"/>
      <c r="H183" s="349"/>
      <c r="I183" s="349"/>
      <c r="J183" s="349"/>
      <c r="K183" s="349"/>
      <c r="L183" s="349"/>
      <c r="M183" s="349"/>
      <c r="N183" s="349"/>
    </row>
    <row r="184">
      <c r="A184" s="349"/>
      <c r="B184" s="346"/>
      <c r="C184" s="347"/>
      <c r="D184" s="346"/>
      <c r="E184" s="348"/>
      <c r="F184" s="346"/>
      <c r="G184" s="349"/>
      <c r="H184" s="349"/>
      <c r="I184" s="349"/>
      <c r="J184" s="349"/>
      <c r="K184" s="349"/>
      <c r="L184" s="349"/>
      <c r="M184" s="349"/>
      <c r="N184" s="349"/>
    </row>
    <row r="185">
      <c r="A185" s="349"/>
      <c r="B185" s="346"/>
      <c r="C185" s="347"/>
      <c r="D185" s="346"/>
      <c r="E185" s="348"/>
      <c r="F185" s="346"/>
      <c r="G185" s="349"/>
      <c r="H185" s="349"/>
      <c r="I185" s="349"/>
      <c r="J185" s="349"/>
      <c r="K185" s="349"/>
      <c r="L185" s="349"/>
      <c r="M185" s="349"/>
      <c r="N185" s="349"/>
    </row>
    <row r="186">
      <c r="A186" s="349"/>
      <c r="B186" s="346"/>
      <c r="C186" s="347"/>
      <c r="D186" s="346"/>
      <c r="E186" s="348"/>
      <c r="F186" s="346"/>
      <c r="G186" s="349"/>
      <c r="H186" s="349"/>
      <c r="I186" s="349"/>
      <c r="J186" s="349"/>
      <c r="K186" s="349"/>
      <c r="L186" s="349"/>
      <c r="M186" s="349"/>
      <c r="N186" s="349"/>
    </row>
    <row r="187">
      <c r="A187" s="349"/>
      <c r="B187" s="346"/>
      <c r="C187" s="347"/>
      <c r="D187" s="346"/>
      <c r="E187" s="348"/>
      <c r="F187" s="346"/>
      <c r="G187" s="349"/>
      <c r="H187" s="349"/>
      <c r="I187" s="349"/>
      <c r="J187" s="349"/>
      <c r="K187" s="349"/>
      <c r="L187" s="349"/>
      <c r="M187" s="349"/>
      <c r="N187" s="349"/>
    </row>
    <row r="188">
      <c r="A188" s="349"/>
      <c r="B188" s="346"/>
      <c r="C188" s="347"/>
      <c r="D188" s="346"/>
      <c r="E188" s="348"/>
      <c r="F188" s="346"/>
      <c r="G188" s="349"/>
      <c r="H188" s="349"/>
      <c r="I188" s="349"/>
      <c r="J188" s="349"/>
      <c r="K188" s="349"/>
      <c r="L188" s="349"/>
      <c r="M188" s="349"/>
      <c r="N188" s="349"/>
    </row>
    <row r="189">
      <c r="A189" s="349"/>
      <c r="B189" s="346"/>
      <c r="C189" s="347"/>
      <c r="D189" s="346"/>
      <c r="E189" s="348"/>
      <c r="F189" s="346"/>
      <c r="G189" s="349"/>
      <c r="H189" s="349"/>
      <c r="I189" s="349"/>
      <c r="J189" s="349"/>
      <c r="K189" s="349"/>
      <c r="L189" s="349"/>
      <c r="M189" s="349"/>
      <c r="N189" s="349"/>
    </row>
    <row r="190">
      <c r="A190" s="349"/>
      <c r="B190" s="346"/>
      <c r="C190" s="347"/>
      <c r="D190" s="346"/>
      <c r="E190" s="348"/>
      <c r="F190" s="346"/>
      <c r="G190" s="349"/>
      <c r="H190" s="349"/>
      <c r="I190" s="349"/>
      <c r="J190" s="349"/>
      <c r="K190" s="349"/>
      <c r="L190" s="349"/>
      <c r="M190" s="349"/>
      <c r="N190" s="349"/>
    </row>
    <row r="191">
      <c r="A191" s="349"/>
      <c r="B191" s="346"/>
      <c r="C191" s="347"/>
      <c r="D191" s="346"/>
      <c r="E191" s="348"/>
      <c r="F191" s="346"/>
      <c r="G191" s="349"/>
      <c r="H191" s="349"/>
      <c r="I191" s="349"/>
      <c r="J191" s="349"/>
      <c r="K191" s="349"/>
      <c r="L191" s="349"/>
      <c r="M191" s="349"/>
      <c r="N191" s="349"/>
    </row>
    <row r="192">
      <c r="A192" s="349"/>
      <c r="B192" s="346"/>
      <c r="C192" s="347"/>
      <c r="D192" s="346"/>
      <c r="E192" s="348"/>
      <c r="F192" s="346"/>
      <c r="G192" s="349"/>
      <c r="H192" s="349"/>
      <c r="I192" s="349"/>
      <c r="J192" s="349"/>
      <c r="K192" s="349"/>
      <c r="L192" s="349"/>
      <c r="M192" s="349"/>
      <c r="N192" s="349"/>
    </row>
    <row r="193">
      <c r="A193" s="349"/>
      <c r="B193" s="346"/>
      <c r="C193" s="347"/>
      <c r="D193" s="346"/>
      <c r="E193" s="348"/>
      <c r="F193" s="346"/>
      <c r="G193" s="349"/>
      <c r="H193" s="349"/>
      <c r="I193" s="349"/>
      <c r="J193" s="349"/>
      <c r="K193" s="349"/>
      <c r="L193" s="349"/>
      <c r="M193" s="349"/>
      <c r="N193" s="349"/>
    </row>
    <row r="194">
      <c r="A194" s="349"/>
      <c r="B194" s="346"/>
      <c r="C194" s="347"/>
      <c r="D194" s="346"/>
      <c r="E194" s="348"/>
      <c r="F194" s="346"/>
      <c r="G194" s="349"/>
      <c r="H194" s="349"/>
      <c r="I194" s="349"/>
      <c r="J194" s="349"/>
      <c r="K194" s="349"/>
      <c r="L194" s="349"/>
      <c r="M194" s="349"/>
      <c r="N194" s="349"/>
    </row>
    <row r="195">
      <c r="A195" s="349"/>
      <c r="B195" s="346"/>
      <c r="C195" s="347"/>
      <c r="D195" s="346"/>
      <c r="E195" s="348"/>
      <c r="F195" s="346"/>
      <c r="G195" s="349"/>
      <c r="H195" s="349"/>
      <c r="I195" s="349"/>
      <c r="J195" s="349"/>
      <c r="K195" s="349"/>
      <c r="L195" s="349"/>
      <c r="M195" s="349"/>
      <c r="N195" s="349"/>
    </row>
    <row r="196">
      <c r="A196" s="349"/>
      <c r="B196" s="346"/>
      <c r="C196" s="347"/>
      <c r="D196" s="346"/>
      <c r="E196" s="348"/>
      <c r="F196" s="346"/>
      <c r="G196" s="349"/>
      <c r="H196" s="349"/>
      <c r="I196" s="349"/>
      <c r="J196" s="349"/>
      <c r="K196" s="349"/>
      <c r="L196" s="349"/>
      <c r="M196" s="349"/>
      <c r="N196" s="349"/>
    </row>
    <row r="197">
      <c r="A197" s="349"/>
      <c r="B197" s="346"/>
      <c r="C197" s="347"/>
      <c r="D197" s="346"/>
      <c r="E197" s="348"/>
      <c r="F197" s="346"/>
      <c r="G197" s="349"/>
      <c r="H197" s="349"/>
      <c r="I197" s="349"/>
      <c r="J197" s="349"/>
      <c r="K197" s="349"/>
      <c r="L197" s="349"/>
      <c r="M197" s="349"/>
      <c r="N197" s="349"/>
    </row>
    <row r="198">
      <c r="A198" s="349"/>
      <c r="B198" s="346"/>
      <c r="C198" s="347"/>
      <c r="D198" s="346"/>
      <c r="E198" s="348"/>
      <c r="F198" s="346"/>
      <c r="G198" s="349"/>
      <c r="H198" s="349"/>
      <c r="I198" s="349"/>
      <c r="J198" s="349"/>
      <c r="K198" s="349"/>
      <c r="L198" s="349"/>
      <c r="M198" s="349"/>
      <c r="N198" s="349"/>
    </row>
    <row r="199">
      <c r="A199" s="349"/>
      <c r="B199" s="346"/>
      <c r="C199" s="347"/>
      <c r="D199" s="346"/>
      <c r="E199" s="348"/>
      <c r="F199" s="346"/>
      <c r="G199" s="349"/>
      <c r="H199" s="349"/>
      <c r="I199" s="349"/>
      <c r="J199" s="349"/>
      <c r="K199" s="349"/>
      <c r="L199" s="349"/>
      <c r="M199" s="349"/>
      <c r="N199" s="349"/>
    </row>
    <row r="200">
      <c r="A200" s="349"/>
      <c r="B200" s="346"/>
      <c r="C200" s="347"/>
      <c r="D200" s="346"/>
      <c r="E200" s="348"/>
      <c r="F200" s="346"/>
      <c r="G200" s="349"/>
      <c r="H200" s="349"/>
      <c r="I200" s="349"/>
      <c r="J200" s="349"/>
      <c r="K200" s="349"/>
      <c r="L200" s="349"/>
      <c r="M200" s="349"/>
      <c r="N200" s="349"/>
    </row>
    <row r="201">
      <c r="A201" s="349"/>
      <c r="B201" s="346"/>
      <c r="C201" s="347"/>
      <c r="D201" s="346"/>
      <c r="E201" s="348"/>
      <c r="F201" s="346"/>
      <c r="G201" s="349"/>
      <c r="H201" s="349"/>
      <c r="I201" s="349"/>
      <c r="J201" s="349"/>
      <c r="K201" s="349"/>
      <c r="L201" s="349"/>
      <c r="M201" s="349"/>
      <c r="N201" s="349"/>
    </row>
    <row r="202">
      <c r="A202" s="349"/>
      <c r="B202" s="346"/>
      <c r="C202" s="347"/>
      <c r="D202" s="346"/>
      <c r="E202" s="348"/>
      <c r="F202" s="346"/>
      <c r="G202" s="349"/>
      <c r="H202" s="349"/>
      <c r="I202" s="349"/>
      <c r="J202" s="349"/>
      <c r="K202" s="349"/>
      <c r="L202" s="349"/>
      <c r="M202" s="349"/>
      <c r="N202" s="349"/>
    </row>
    <row r="203">
      <c r="A203" s="349"/>
      <c r="B203" s="346"/>
      <c r="C203" s="347"/>
      <c r="D203" s="346"/>
      <c r="E203" s="348"/>
      <c r="F203" s="346"/>
      <c r="G203" s="349"/>
      <c r="H203" s="349"/>
      <c r="I203" s="349"/>
      <c r="J203" s="349"/>
      <c r="K203" s="349"/>
      <c r="L203" s="349"/>
      <c r="M203" s="349"/>
      <c r="N203" s="349"/>
    </row>
    <row r="204">
      <c r="A204" s="349"/>
      <c r="B204" s="346"/>
      <c r="C204" s="347"/>
      <c r="D204" s="346"/>
      <c r="E204" s="348"/>
      <c r="F204" s="346"/>
      <c r="G204" s="349"/>
      <c r="H204" s="349"/>
      <c r="I204" s="349"/>
      <c r="J204" s="349"/>
      <c r="K204" s="349"/>
      <c r="L204" s="349"/>
      <c r="M204" s="349"/>
      <c r="N204" s="349"/>
    </row>
    <row r="205">
      <c r="A205" s="349"/>
      <c r="B205" s="346"/>
      <c r="C205" s="347"/>
      <c r="D205" s="346"/>
      <c r="E205" s="348"/>
      <c r="F205" s="346"/>
      <c r="G205" s="349"/>
      <c r="H205" s="349"/>
      <c r="I205" s="349"/>
      <c r="J205" s="349"/>
      <c r="K205" s="349"/>
      <c r="L205" s="349"/>
      <c r="M205" s="349"/>
      <c r="N205" s="349"/>
    </row>
    <row r="206">
      <c r="A206" s="349"/>
      <c r="B206" s="346"/>
      <c r="C206" s="347"/>
      <c r="D206" s="346"/>
      <c r="E206" s="348"/>
      <c r="F206" s="346"/>
      <c r="G206" s="349"/>
      <c r="H206" s="349"/>
      <c r="I206" s="349"/>
      <c r="J206" s="349"/>
      <c r="K206" s="349"/>
      <c r="L206" s="349"/>
      <c r="M206" s="349"/>
      <c r="N206" s="349"/>
    </row>
    <row r="207">
      <c r="A207" s="349"/>
      <c r="B207" s="346"/>
      <c r="C207" s="347"/>
      <c r="D207" s="346"/>
      <c r="E207" s="348"/>
      <c r="F207" s="346"/>
      <c r="G207" s="349"/>
      <c r="H207" s="349"/>
      <c r="I207" s="349"/>
      <c r="J207" s="349"/>
      <c r="K207" s="349"/>
      <c r="L207" s="349"/>
      <c r="M207" s="349"/>
      <c r="N207" s="349"/>
    </row>
    <row r="208">
      <c r="A208" s="349"/>
      <c r="B208" s="346"/>
      <c r="C208" s="347"/>
      <c r="D208" s="346"/>
      <c r="E208" s="348"/>
      <c r="F208" s="346"/>
      <c r="G208" s="349"/>
      <c r="H208" s="349"/>
      <c r="I208" s="349"/>
      <c r="J208" s="349"/>
      <c r="K208" s="349"/>
      <c r="L208" s="349"/>
      <c r="M208" s="349"/>
      <c r="N208" s="349"/>
    </row>
    <row r="209">
      <c r="A209" s="349"/>
      <c r="B209" s="346"/>
      <c r="C209" s="347"/>
      <c r="D209" s="346"/>
      <c r="E209" s="348"/>
      <c r="F209" s="346"/>
      <c r="G209" s="349"/>
      <c r="H209" s="349"/>
      <c r="I209" s="349"/>
      <c r="J209" s="349"/>
      <c r="K209" s="349"/>
      <c r="L209" s="349"/>
      <c r="M209" s="349"/>
      <c r="N209" s="349"/>
    </row>
    <row r="210">
      <c r="A210" s="349"/>
      <c r="B210" s="346"/>
      <c r="C210" s="347"/>
      <c r="D210" s="346"/>
      <c r="E210" s="348"/>
      <c r="F210" s="346"/>
      <c r="G210" s="349"/>
      <c r="H210" s="349"/>
      <c r="I210" s="349"/>
      <c r="J210" s="349"/>
      <c r="K210" s="349"/>
      <c r="L210" s="349"/>
      <c r="M210" s="349"/>
      <c r="N210" s="349"/>
    </row>
    <row r="211">
      <c r="A211" s="349"/>
      <c r="B211" s="346"/>
      <c r="C211" s="347"/>
      <c r="D211" s="346"/>
      <c r="E211" s="348"/>
      <c r="F211" s="346"/>
      <c r="G211" s="349"/>
      <c r="H211" s="349"/>
      <c r="I211" s="349"/>
      <c r="J211" s="349"/>
      <c r="K211" s="349"/>
      <c r="L211" s="349"/>
      <c r="M211" s="349"/>
      <c r="N211" s="349"/>
    </row>
    <row r="212">
      <c r="A212" s="349"/>
      <c r="B212" s="346"/>
      <c r="C212" s="347"/>
      <c r="D212" s="346"/>
      <c r="E212" s="348"/>
      <c r="F212" s="346"/>
      <c r="G212" s="349"/>
      <c r="H212" s="349"/>
      <c r="I212" s="349"/>
      <c r="J212" s="349"/>
      <c r="K212" s="349"/>
      <c r="L212" s="349"/>
      <c r="M212" s="349"/>
      <c r="N212" s="349"/>
    </row>
    <row r="213">
      <c r="A213" s="349"/>
      <c r="B213" s="346"/>
      <c r="C213" s="347"/>
      <c r="D213" s="346"/>
      <c r="E213" s="348"/>
      <c r="F213" s="346"/>
      <c r="G213" s="349"/>
      <c r="H213" s="349"/>
      <c r="I213" s="349"/>
      <c r="J213" s="349"/>
      <c r="K213" s="349"/>
      <c r="L213" s="349"/>
      <c r="M213" s="349"/>
      <c r="N213" s="349"/>
    </row>
    <row r="214">
      <c r="A214" s="349"/>
      <c r="B214" s="346"/>
      <c r="C214" s="347"/>
      <c r="D214" s="346"/>
      <c r="E214" s="348"/>
      <c r="F214" s="346"/>
      <c r="G214" s="349"/>
      <c r="H214" s="349"/>
      <c r="I214" s="349"/>
      <c r="J214" s="349"/>
      <c r="K214" s="349"/>
      <c r="L214" s="349"/>
      <c r="M214" s="349"/>
      <c r="N214" s="349"/>
    </row>
    <row r="215">
      <c r="A215" s="349"/>
      <c r="B215" s="346"/>
      <c r="C215" s="347"/>
      <c r="D215" s="346"/>
      <c r="E215" s="348"/>
      <c r="F215" s="346"/>
      <c r="G215" s="349"/>
      <c r="H215" s="349"/>
      <c r="I215" s="349"/>
      <c r="J215" s="349"/>
      <c r="K215" s="349"/>
      <c r="L215" s="349"/>
      <c r="M215" s="349"/>
      <c r="N215" s="349"/>
    </row>
    <row r="216">
      <c r="A216" s="349"/>
      <c r="B216" s="346"/>
      <c r="C216" s="347"/>
      <c r="D216" s="346"/>
      <c r="E216" s="348"/>
      <c r="F216" s="346"/>
      <c r="G216" s="349"/>
      <c r="H216" s="349"/>
      <c r="I216" s="349"/>
      <c r="J216" s="349"/>
      <c r="K216" s="349"/>
      <c r="L216" s="349"/>
      <c r="M216" s="349"/>
      <c r="N216" s="349"/>
    </row>
    <row r="217">
      <c r="A217" s="349"/>
      <c r="B217" s="346"/>
      <c r="C217" s="347"/>
      <c r="D217" s="346"/>
      <c r="E217" s="348"/>
      <c r="F217" s="346"/>
      <c r="G217" s="349"/>
      <c r="H217" s="349"/>
      <c r="I217" s="349"/>
      <c r="J217" s="349"/>
      <c r="K217" s="349"/>
      <c r="L217" s="349"/>
      <c r="M217" s="349"/>
      <c r="N217" s="349"/>
    </row>
    <row r="218">
      <c r="A218" s="349"/>
      <c r="B218" s="346"/>
      <c r="C218" s="347"/>
      <c r="D218" s="346"/>
      <c r="E218" s="348"/>
      <c r="F218" s="346"/>
      <c r="G218" s="349"/>
      <c r="H218" s="349"/>
      <c r="I218" s="349"/>
      <c r="J218" s="349"/>
      <c r="K218" s="349"/>
      <c r="L218" s="349"/>
      <c r="M218" s="349"/>
      <c r="N218" s="349"/>
    </row>
    <row r="219">
      <c r="A219" s="349"/>
      <c r="B219" s="346"/>
      <c r="C219" s="347"/>
      <c r="D219" s="346"/>
      <c r="E219" s="348"/>
      <c r="F219" s="346"/>
      <c r="G219" s="349"/>
      <c r="H219" s="349"/>
      <c r="I219" s="349"/>
      <c r="J219" s="349"/>
      <c r="K219" s="349"/>
      <c r="L219" s="349"/>
      <c r="M219" s="349"/>
      <c r="N219" s="349"/>
    </row>
    <row r="220">
      <c r="A220" s="349"/>
      <c r="B220" s="346"/>
      <c r="C220" s="347"/>
      <c r="D220" s="346"/>
      <c r="E220" s="348"/>
      <c r="F220" s="346"/>
      <c r="G220" s="349"/>
      <c r="H220" s="349"/>
      <c r="I220" s="349"/>
      <c r="J220" s="349"/>
      <c r="K220" s="349"/>
      <c r="L220" s="349"/>
      <c r="M220" s="349"/>
      <c r="N220" s="349"/>
    </row>
    <row r="221">
      <c r="A221" s="349"/>
      <c r="B221" s="346"/>
      <c r="C221" s="347"/>
      <c r="D221" s="346"/>
      <c r="E221" s="348"/>
      <c r="F221" s="346"/>
      <c r="G221" s="349"/>
      <c r="H221" s="349"/>
      <c r="I221" s="349"/>
      <c r="J221" s="349"/>
      <c r="K221" s="349"/>
      <c r="L221" s="349"/>
      <c r="M221" s="349"/>
      <c r="N221" s="349"/>
    </row>
    <row r="222">
      <c r="A222" s="349"/>
      <c r="B222" s="346"/>
      <c r="C222" s="347"/>
      <c r="D222" s="346"/>
      <c r="E222" s="348"/>
      <c r="F222" s="346"/>
      <c r="G222" s="349"/>
      <c r="H222" s="349"/>
      <c r="I222" s="349"/>
      <c r="J222" s="349"/>
      <c r="K222" s="349"/>
      <c r="L222" s="349"/>
      <c r="M222" s="349"/>
      <c r="N222" s="349"/>
    </row>
    <row r="223">
      <c r="A223" s="349"/>
      <c r="B223" s="346"/>
      <c r="C223" s="347"/>
      <c r="D223" s="346"/>
      <c r="E223" s="348"/>
      <c r="F223" s="346"/>
      <c r="G223" s="349"/>
      <c r="H223" s="349"/>
      <c r="I223" s="349"/>
      <c r="J223" s="349"/>
      <c r="K223" s="349"/>
      <c r="L223" s="349"/>
      <c r="M223" s="349"/>
      <c r="N223" s="349"/>
    </row>
    <row r="224">
      <c r="A224" s="349"/>
      <c r="B224" s="346"/>
      <c r="C224" s="347"/>
      <c r="D224" s="346"/>
      <c r="E224" s="348"/>
      <c r="F224" s="346"/>
      <c r="G224" s="349"/>
      <c r="H224" s="349"/>
      <c r="I224" s="349"/>
      <c r="J224" s="349"/>
      <c r="K224" s="349"/>
      <c r="L224" s="349"/>
      <c r="M224" s="349"/>
      <c r="N224" s="349"/>
    </row>
    <row r="225">
      <c r="A225" s="349"/>
      <c r="B225" s="346"/>
      <c r="C225" s="347"/>
      <c r="D225" s="346"/>
      <c r="E225" s="348"/>
      <c r="F225" s="346"/>
      <c r="G225" s="349"/>
      <c r="H225" s="349"/>
      <c r="I225" s="349"/>
      <c r="J225" s="349"/>
      <c r="K225" s="349"/>
      <c r="L225" s="349"/>
      <c r="M225" s="349"/>
      <c r="N225" s="349"/>
    </row>
    <row r="226">
      <c r="A226" s="349"/>
      <c r="B226" s="346"/>
      <c r="C226" s="347"/>
      <c r="D226" s="346"/>
      <c r="E226" s="348"/>
      <c r="F226" s="346"/>
      <c r="G226" s="349"/>
      <c r="H226" s="349"/>
      <c r="I226" s="349"/>
      <c r="J226" s="349"/>
      <c r="K226" s="349"/>
      <c r="L226" s="349"/>
      <c r="M226" s="349"/>
      <c r="N226" s="349"/>
    </row>
    <row r="227">
      <c r="A227" s="349"/>
      <c r="B227" s="346"/>
      <c r="C227" s="347"/>
      <c r="D227" s="346"/>
      <c r="E227" s="348"/>
      <c r="F227" s="346"/>
      <c r="G227" s="349"/>
      <c r="H227" s="349"/>
      <c r="I227" s="349"/>
      <c r="J227" s="349"/>
      <c r="K227" s="349"/>
      <c r="L227" s="349"/>
      <c r="M227" s="349"/>
      <c r="N227" s="349"/>
    </row>
    <row r="228">
      <c r="A228" s="349"/>
      <c r="B228" s="346"/>
      <c r="C228" s="347"/>
      <c r="D228" s="346"/>
      <c r="E228" s="348"/>
      <c r="F228" s="346"/>
      <c r="G228" s="349"/>
      <c r="H228" s="349"/>
      <c r="I228" s="349"/>
      <c r="J228" s="349"/>
      <c r="K228" s="349"/>
      <c r="L228" s="349"/>
      <c r="M228" s="349"/>
      <c r="N228" s="349"/>
    </row>
    <row r="229">
      <c r="A229" s="349"/>
      <c r="B229" s="346"/>
      <c r="C229" s="347"/>
      <c r="D229" s="346"/>
      <c r="E229" s="348"/>
      <c r="F229" s="346"/>
      <c r="G229" s="349"/>
      <c r="H229" s="349"/>
      <c r="I229" s="349"/>
      <c r="J229" s="349"/>
      <c r="K229" s="349"/>
      <c r="L229" s="349"/>
      <c r="M229" s="349"/>
      <c r="N229" s="349"/>
    </row>
    <row r="230">
      <c r="A230" s="349"/>
      <c r="B230" s="346"/>
      <c r="C230" s="347"/>
      <c r="D230" s="346"/>
      <c r="E230" s="348"/>
      <c r="F230" s="346"/>
      <c r="G230" s="349"/>
      <c r="H230" s="349"/>
      <c r="I230" s="349"/>
      <c r="J230" s="349"/>
      <c r="K230" s="349"/>
      <c r="L230" s="349"/>
      <c r="M230" s="349"/>
      <c r="N230" s="349"/>
    </row>
    <row r="231">
      <c r="A231" s="349"/>
      <c r="B231" s="346"/>
      <c r="C231" s="347"/>
      <c r="D231" s="346"/>
      <c r="E231" s="348"/>
      <c r="F231" s="346"/>
      <c r="G231" s="349"/>
      <c r="H231" s="349"/>
      <c r="I231" s="349"/>
      <c r="J231" s="349"/>
      <c r="K231" s="349"/>
      <c r="L231" s="349"/>
      <c r="M231" s="349"/>
      <c r="N231" s="349"/>
    </row>
    <row r="232">
      <c r="A232" s="349"/>
      <c r="B232" s="346"/>
      <c r="C232" s="347"/>
      <c r="D232" s="346"/>
      <c r="E232" s="348"/>
      <c r="F232" s="346"/>
      <c r="G232" s="349"/>
      <c r="H232" s="349"/>
      <c r="I232" s="349"/>
      <c r="J232" s="349"/>
      <c r="K232" s="349"/>
      <c r="L232" s="349"/>
      <c r="M232" s="349"/>
      <c r="N232" s="349"/>
    </row>
    <row r="233">
      <c r="A233" s="349"/>
      <c r="B233" s="346"/>
      <c r="C233" s="347"/>
      <c r="D233" s="346"/>
      <c r="E233" s="348"/>
      <c r="F233" s="346"/>
      <c r="G233" s="349"/>
      <c r="H233" s="349"/>
      <c r="I233" s="349"/>
      <c r="J233" s="349"/>
      <c r="K233" s="349"/>
      <c r="L233" s="349"/>
      <c r="M233" s="349"/>
      <c r="N233" s="349"/>
    </row>
    <row r="234">
      <c r="A234" s="349"/>
      <c r="B234" s="346"/>
      <c r="C234" s="347"/>
      <c r="D234" s="346"/>
      <c r="E234" s="348"/>
      <c r="F234" s="346"/>
      <c r="G234" s="349"/>
      <c r="H234" s="349"/>
      <c r="I234" s="349"/>
      <c r="J234" s="349"/>
      <c r="K234" s="349"/>
      <c r="L234" s="349"/>
      <c r="M234" s="349"/>
      <c r="N234" s="349"/>
    </row>
    <row r="235">
      <c r="A235" s="349"/>
      <c r="B235" s="346"/>
      <c r="C235" s="347"/>
      <c r="D235" s="346"/>
      <c r="E235" s="348"/>
      <c r="F235" s="346"/>
      <c r="G235" s="349"/>
      <c r="H235" s="349"/>
      <c r="I235" s="349"/>
      <c r="J235" s="349"/>
      <c r="K235" s="349"/>
      <c r="L235" s="349"/>
      <c r="M235" s="349"/>
      <c r="N235" s="349"/>
    </row>
    <row r="236">
      <c r="A236" s="349"/>
      <c r="B236" s="346"/>
      <c r="C236" s="347"/>
      <c r="D236" s="346"/>
      <c r="E236" s="348"/>
      <c r="F236" s="346"/>
      <c r="G236" s="349"/>
      <c r="H236" s="349"/>
      <c r="I236" s="349"/>
      <c r="J236" s="349"/>
      <c r="K236" s="349"/>
      <c r="L236" s="349"/>
      <c r="M236" s="349"/>
      <c r="N236" s="349"/>
    </row>
    <row r="237">
      <c r="A237" s="349"/>
      <c r="B237" s="346"/>
      <c r="C237" s="347"/>
      <c r="D237" s="346"/>
      <c r="E237" s="348"/>
      <c r="F237" s="346"/>
      <c r="G237" s="349"/>
      <c r="H237" s="349"/>
      <c r="I237" s="349"/>
      <c r="J237" s="349"/>
      <c r="K237" s="349"/>
      <c r="L237" s="349"/>
      <c r="M237" s="349"/>
      <c r="N237" s="349"/>
    </row>
    <row r="238">
      <c r="A238" s="349"/>
      <c r="B238" s="346"/>
      <c r="C238" s="347"/>
      <c r="D238" s="346"/>
      <c r="E238" s="348"/>
      <c r="F238" s="346"/>
      <c r="G238" s="349"/>
      <c r="H238" s="349"/>
      <c r="I238" s="349"/>
      <c r="J238" s="349"/>
      <c r="K238" s="349"/>
      <c r="L238" s="349"/>
      <c r="M238" s="349"/>
      <c r="N238" s="349"/>
    </row>
    <row r="239">
      <c r="A239" s="349"/>
      <c r="B239" s="346"/>
      <c r="C239" s="347"/>
      <c r="D239" s="346"/>
      <c r="E239" s="348"/>
      <c r="F239" s="346"/>
      <c r="G239" s="349"/>
      <c r="H239" s="349"/>
      <c r="I239" s="349"/>
      <c r="J239" s="349"/>
      <c r="K239" s="349"/>
      <c r="L239" s="349"/>
      <c r="M239" s="349"/>
      <c r="N239" s="349"/>
    </row>
    <row r="240">
      <c r="A240" s="349"/>
      <c r="B240" s="346"/>
      <c r="C240" s="347"/>
      <c r="D240" s="346"/>
      <c r="E240" s="348"/>
      <c r="F240" s="346"/>
      <c r="G240" s="349"/>
      <c r="H240" s="349"/>
      <c r="I240" s="349"/>
      <c r="J240" s="349"/>
      <c r="K240" s="349"/>
      <c r="L240" s="349"/>
      <c r="M240" s="349"/>
      <c r="N240" s="349"/>
    </row>
    <row r="241">
      <c r="A241" s="349"/>
      <c r="B241" s="346"/>
      <c r="C241" s="347"/>
      <c r="D241" s="346"/>
      <c r="E241" s="348"/>
      <c r="F241" s="346"/>
      <c r="G241" s="349"/>
      <c r="H241" s="349"/>
      <c r="I241" s="349"/>
      <c r="J241" s="349"/>
      <c r="K241" s="349"/>
      <c r="L241" s="349"/>
      <c r="M241" s="349"/>
      <c r="N241" s="349"/>
    </row>
    <row r="242">
      <c r="A242" s="349"/>
      <c r="B242" s="346"/>
      <c r="C242" s="347"/>
      <c r="D242" s="346"/>
      <c r="E242" s="348"/>
      <c r="F242" s="346"/>
      <c r="G242" s="349"/>
      <c r="H242" s="349"/>
      <c r="I242" s="349"/>
      <c r="J242" s="349"/>
      <c r="K242" s="349"/>
      <c r="L242" s="349"/>
      <c r="M242" s="349"/>
      <c r="N242" s="349"/>
    </row>
    <row r="243">
      <c r="A243" s="349"/>
      <c r="B243" s="346"/>
      <c r="C243" s="347"/>
      <c r="D243" s="346"/>
      <c r="E243" s="348"/>
      <c r="F243" s="346"/>
      <c r="G243" s="349"/>
      <c r="H243" s="349"/>
      <c r="I243" s="349"/>
      <c r="J243" s="349"/>
      <c r="K243" s="349"/>
      <c r="L243" s="349"/>
      <c r="M243" s="349"/>
      <c r="N243" s="349"/>
    </row>
    <row r="244">
      <c r="A244" s="349"/>
      <c r="B244" s="346"/>
      <c r="C244" s="347"/>
      <c r="D244" s="346"/>
      <c r="E244" s="348"/>
      <c r="F244" s="346"/>
      <c r="G244" s="349"/>
      <c r="H244" s="349"/>
      <c r="I244" s="349"/>
      <c r="J244" s="349"/>
      <c r="K244" s="349"/>
      <c r="L244" s="349"/>
      <c r="M244" s="349"/>
      <c r="N244" s="349"/>
    </row>
    <row r="245">
      <c r="A245" s="349"/>
      <c r="B245" s="346"/>
      <c r="C245" s="347"/>
      <c r="D245" s="346"/>
      <c r="E245" s="348"/>
      <c r="F245" s="346"/>
      <c r="G245" s="349"/>
      <c r="H245" s="349"/>
      <c r="I245" s="349"/>
      <c r="J245" s="349"/>
      <c r="K245" s="349"/>
      <c r="L245" s="349"/>
      <c r="M245" s="349"/>
      <c r="N245" s="349"/>
    </row>
    <row r="246">
      <c r="A246" s="349"/>
      <c r="B246" s="346"/>
      <c r="C246" s="347"/>
      <c r="D246" s="346"/>
      <c r="E246" s="348"/>
      <c r="F246" s="346"/>
      <c r="G246" s="349"/>
      <c r="H246" s="349"/>
      <c r="I246" s="349"/>
      <c r="J246" s="349"/>
      <c r="K246" s="349"/>
      <c r="L246" s="349"/>
      <c r="M246" s="349"/>
      <c r="N246" s="349"/>
    </row>
    <row r="247">
      <c r="A247" s="349"/>
      <c r="B247" s="346"/>
      <c r="C247" s="347"/>
      <c r="D247" s="346"/>
      <c r="E247" s="348"/>
      <c r="F247" s="346"/>
      <c r="G247" s="349"/>
      <c r="H247" s="349"/>
      <c r="I247" s="349"/>
      <c r="J247" s="349"/>
      <c r="K247" s="349"/>
      <c r="L247" s="349"/>
      <c r="M247" s="349"/>
      <c r="N247" s="349"/>
    </row>
    <row r="248">
      <c r="A248" s="349"/>
      <c r="B248" s="346"/>
      <c r="C248" s="347"/>
      <c r="D248" s="346"/>
      <c r="E248" s="348"/>
      <c r="F248" s="346"/>
      <c r="G248" s="349"/>
      <c r="H248" s="349"/>
      <c r="I248" s="349"/>
      <c r="J248" s="349"/>
      <c r="K248" s="349"/>
      <c r="L248" s="349"/>
      <c r="M248" s="349"/>
      <c r="N248" s="349"/>
    </row>
    <row r="249">
      <c r="A249" s="349"/>
      <c r="B249" s="346"/>
      <c r="C249" s="347"/>
      <c r="D249" s="346"/>
      <c r="E249" s="348"/>
      <c r="F249" s="346"/>
      <c r="G249" s="349"/>
      <c r="H249" s="349"/>
      <c r="I249" s="349"/>
      <c r="J249" s="349"/>
      <c r="K249" s="349"/>
      <c r="L249" s="349"/>
      <c r="M249" s="349"/>
      <c r="N249" s="349"/>
    </row>
    <row r="250">
      <c r="A250" s="349"/>
      <c r="B250" s="346"/>
      <c r="C250" s="347"/>
      <c r="D250" s="346"/>
      <c r="E250" s="348"/>
      <c r="F250" s="346"/>
      <c r="G250" s="349"/>
      <c r="H250" s="349"/>
      <c r="I250" s="349"/>
      <c r="J250" s="349"/>
      <c r="K250" s="349"/>
      <c r="L250" s="349"/>
      <c r="M250" s="349"/>
      <c r="N250" s="349"/>
    </row>
    <row r="251">
      <c r="A251" s="349"/>
      <c r="B251" s="346"/>
      <c r="C251" s="347"/>
      <c r="D251" s="346"/>
      <c r="E251" s="348"/>
      <c r="F251" s="346"/>
      <c r="G251" s="349"/>
      <c r="H251" s="349"/>
      <c r="I251" s="349"/>
      <c r="J251" s="349"/>
      <c r="K251" s="349"/>
      <c r="L251" s="349"/>
      <c r="M251" s="349"/>
      <c r="N251" s="349"/>
    </row>
    <row r="252">
      <c r="A252" s="349"/>
      <c r="B252" s="346"/>
      <c r="C252" s="347"/>
      <c r="D252" s="346"/>
      <c r="E252" s="348"/>
      <c r="F252" s="346"/>
      <c r="G252" s="349"/>
      <c r="H252" s="349"/>
      <c r="I252" s="349"/>
      <c r="J252" s="349"/>
      <c r="K252" s="349"/>
      <c r="L252" s="349"/>
      <c r="M252" s="349"/>
      <c r="N252" s="349"/>
    </row>
    <row r="253">
      <c r="A253" s="349"/>
      <c r="B253" s="346"/>
      <c r="C253" s="347"/>
      <c r="D253" s="346"/>
      <c r="E253" s="348"/>
      <c r="F253" s="346"/>
      <c r="G253" s="349"/>
      <c r="H253" s="349"/>
      <c r="I253" s="349"/>
      <c r="J253" s="349"/>
      <c r="K253" s="349"/>
      <c r="L253" s="349"/>
      <c r="M253" s="349"/>
      <c r="N253" s="349"/>
    </row>
    <row r="254">
      <c r="A254" s="349"/>
      <c r="B254" s="346"/>
      <c r="C254" s="347"/>
      <c r="D254" s="346"/>
      <c r="E254" s="348"/>
      <c r="F254" s="346"/>
      <c r="G254" s="349"/>
      <c r="H254" s="349"/>
      <c r="I254" s="349"/>
      <c r="J254" s="349"/>
      <c r="K254" s="349"/>
      <c r="L254" s="349"/>
      <c r="M254" s="349"/>
      <c r="N254" s="349"/>
    </row>
    <row r="255">
      <c r="A255" s="349"/>
      <c r="B255" s="346"/>
      <c r="C255" s="347"/>
      <c r="D255" s="346"/>
      <c r="E255" s="348"/>
      <c r="F255" s="346"/>
      <c r="G255" s="349"/>
      <c r="H255" s="349"/>
      <c r="I255" s="349"/>
      <c r="J255" s="349"/>
      <c r="K255" s="349"/>
      <c r="L255" s="349"/>
      <c r="M255" s="349"/>
      <c r="N255" s="349"/>
    </row>
    <row r="256">
      <c r="A256" s="349"/>
      <c r="B256" s="346"/>
      <c r="C256" s="347"/>
      <c r="D256" s="346"/>
      <c r="E256" s="348"/>
      <c r="F256" s="346"/>
      <c r="G256" s="349"/>
      <c r="H256" s="349"/>
      <c r="I256" s="349"/>
      <c r="J256" s="349"/>
      <c r="K256" s="349"/>
      <c r="L256" s="349"/>
      <c r="M256" s="349"/>
      <c r="N256" s="349"/>
    </row>
    <row r="257">
      <c r="A257" s="349"/>
      <c r="B257" s="346"/>
      <c r="C257" s="347"/>
      <c r="D257" s="346"/>
      <c r="E257" s="348"/>
      <c r="F257" s="346"/>
      <c r="G257" s="349"/>
      <c r="H257" s="349"/>
      <c r="I257" s="349"/>
      <c r="J257" s="349"/>
      <c r="K257" s="349"/>
      <c r="L257" s="349"/>
      <c r="M257" s="349"/>
      <c r="N257" s="349"/>
    </row>
    <row r="258">
      <c r="A258" s="349"/>
      <c r="B258" s="346"/>
      <c r="C258" s="347"/>
      <c r="D258" s="346"/>
      <c r="E258" s="348"/>
      <c r="F258" s="346"/>
      <c r="G258" s="349"/>
      <c r="H258" s="349"/>
      <c r="I258" s="349"/>
      <c r="J258" s="349"/>
      <c r="K258" s="349"/>
      <c r="L258" s="349"/>
      <c r="M258" s="349"/>
      <c r="N258" s="349"/>
    </row>
    <row r="259">
      <c r="A259" s="349"/>
      <c r="B259" s="346"/>
      <c r="C259" s="347"/>
      <c r="D259" s="346"/>
      <c r="E259" s="348"/>
      <c r="F259" s="346"/>
      <c r="G259" s="349"/>
      <c r="H259" s="349"/>
      <c r="I259" s="349"/>
      <c r="J259" s="349"/>
      <c r="K259" s="349"/>
      <c r="L259" s="349"/>
      <c r="M259" s="349"/>
      <c r="N259" s="349"/>
    </row>
    <row r="260">
      <c r="A260" s="349"/>
      <c r="B260" s="346"/>
      <c r="C260" s="347"/>
      <c r="D260" s="346"/>
      <c r="E260" s="348"/>
      <c r="F260" s="346"/>
      <c r="G260" s="349"/>
      <c r="H260" s="349"/>
      <c r="I260" s="349"/>
      <c r="J260" s="349"/>
      <c r="K260" s="349"/>
      <c r="L260" s="349"/>
      <c r="M260" s="349"/>
      <c r="N260" s="349"/>
    </row>
    <row r="261">
      <c r="A261" s="349"/>
      <c r="B261" s="346"/>
      <c r="C261" s="347"/>
      <c r="D261" s="346"/>
      <c r="E261" s="348"/>
      <c r="F261" s="346"/>
      <c r="G261" s="349"/>
      <c r="H261" s="349"/>
      <c r="I261" s="349"/>
      <c r="J261" s="349"/>
      <c r="K261" s="349"/>
      <c r="L261" s="349"/>
      <c r="M261" s="349"/>
      <c r="N261" s="349"/>
    </row>
    <row r="262">
      <c r="A262" s="349"/>
      <c r="B262" s="346"/>
      <c r="C262" s="347"/>
      <c r="D262" s="346"/>
      <c r="E262" s="348"/>
      <c r="F262" s="346"/>
      <c r="G262" s="349"/>
      <c r="H262" s="349"/>
      <c r="I262" s="349"/>
      <c r="J262" s="349"/>
      <c r="K262" s="349"/>
      <c r="L262" s="349"/>
      <c r="M262" s="349"/>
      <c r="N262" s="349"/>
    </row>
    <row r="263">
      <c r="A263" s="349"/>
      <c r="B263" s="346"/>
      <c r="C263" s="347"/>
      <c r="D263" s="346"/>
      <c r="E263" s="348"/>
      <c r="F263" s="346"/>
      <c r="G263" s="349"/>
      <c r="H263" s="349"/>
      <c r="I263" s="349"/>
      <c r="J263" s="349"/>
      <c r="K263" s="349"/>
      <c r="L263" s="349"/>
      <c r="M263" s="349"/>
      <c r="N263" s="349"/>
    </row>
    <row r="264">
      <c r="A264" s="349"/>
      <c r="B264" s="346"/>
      <c r="C264" s="347"/>
      <c r="D264" s="346"/>
      <c r="E264" s="348"/>
      <c r="F264" s="346"/>
      <c r="G264" s="349"/>
      <c r="H264" s="349"/>
      <c r="I264" s="349"/>
      <c r="J264" s="349"/>
      <c r="K264" s="349"/>
      <c r="L264" s="349"/>
      <c r="M264" s="349"/>
      <c r="N264" s="349"/>
    </row>
    <row r="265">
      <c r="A265" s="349"/>
      <c r="B265" s="346"/>
      <c r="C265" s="347"/>
      <c r="D265" s="346"/>
      <c r="E265" s="348"/>
      <c r="F265" s="346"/>
      <c r="G265" s="349"/>
      <c r="H265" s="349"/>
      <c r="I265" s="349"/>
      <c r="J265" s="349"/>
      <c r="K265" s="349"/>
      <c r="L265" s="349"/>
      <c r="M265" s="349"/>
      <c r="N265" s="349"/>
    </row>
    <row r="266">
      <c r="A266" s="349"/>
      <c r="B266" s="346"/>
      <c r="C266" s="347"/>
      <c r="D266" s="346"/>
      <c r="E266" s="348"/>
      <c r="F266" s="346"/>
      <c r="G266" s="349"/>
      <c r="H266" s="349"/>
      <c r="I266" s="349"/>
      <c r="J266" s="349"/>
      <c r="K266" s="349"/>
      <c r="L266" s="349"/>
      <c r="M266" s="349"/>
      <c r="N266" s="349"/>
    </row>
    <row r="267">
      <c r="A267" s="349"/>
      <c r="B267" s="346"/>
      <c r="C267" s="347"/>
      <c r="D267" s="346"/>
      <c r="E267" s="348"/>
      <c r="F267" s="346"/>
      <c r="G267" s="349"/>
      <c r="H267" s="349"/>
      <c r="I267" s="349"/>
      <c r="J267" s="349"/>
      <c r="K267" s="349"/>
      <c r="L267" s="349"/>
      <c r="M267" s="349"/>
      <c r="N267" s="349"/>
    </row>
    <row r="268">
      <c r="A268" s="349"/>
      <c r="B268" s="346"/>
      <c r="C268" s="347"/>
      <c r="D268" s="346"/>
      <c r="E268" s="348"/>
      <c r="F268" s="346"/>
      <c r="G268" s="349"/>
      <c r="H268" s="349"/>
      <c r="I268" s="349"/>
      <c r="J268" s="349"/>
      <c r="K268" s="349"/>
      <c r="L268" s="349"/>
      <c r="M268" s="349"/>
      <c r="N268" s="349"/>
    </row>
    <row r="269">
      <c r="A269" s="349"/>
      <c r="B269" s="346"/>
      <c r="C269" s="347"/>
      <c r="D269" s="346"/>
      <c r="E269" s="348"/>
      <c r="F269" s="346"/>
      <c r="G269" s="349"/>
      <c r="H269" s="349"/>
      <c r="I269" s="349"/>
      <c r="J269" s="349"/>
      <c r="K269" s="349"/>
      <c r="L269" s="349"/>
      <c r="M269" s="349"/>
      <c r="N269" s="349"/>
    </row>
    <row r="270">
      <c r="A270" s="349"/>
      <c r="B270" s="346"/>
      <c r="C270" s="347"/>
      <c r="D270" s="346"/>
      <c r="E270" s="348"/>
      <c r="F270" s="346"/>
      <c r="G270" s="349"/>
      <c r="H270" s="349"/>
      <c r="I270" s="349"/>
      <c r="J270" s="349"/>
      <c r="K270" s="349"/>
      <c r="L270" s="349"/>
      <c r="M270" s="349"/>
      <c r="N270" s="349"/>
    </row>
    <row r="271">
      <c r="A271" s="349"/>
      <c r="B271" s="346"/>
      <c r="C271" s="347"/>
      <c r="D271" s="346"/>
      <c r="E271" s="348"/>
      <c r="F271" s="346"/>
      <c r="G271" s="349"/>
      <c r="H271" s="349"/>
      <c r="I271" s="349"/>
      <c r="J271" s="349"/>
      <c r="K271" s="349"/>
      <c r="L271" s="349"/>
      <c r="M271" s="349"/>
      <c r="N271" s="349"/>
    </row>
    <row r="272">
      <c r="A272" s="349"/>
      <c r="B272" s="346"/>
      <c r="C272" s="347"/>
      <c r="D272" s="346"/>
      <c r="E272" s="348"/>
      <c r="F272" s="346"/>
      <c r="G272" s="349"/>
      <c r="H272" s="349"/>
      <c r="I272" s="349"/>
      <c r="J272" s="349"/>
      <c r="K272" s="349"/>
      <c r="L272" s="349"/>
      <c r="M272" s="349"/>
      <c r="N272" s="349"/>
    </row>
    <row r="273">
      <c r="A273" s="349"/>
      <c r="B273" s="346"/>
      <c r="C273" s="347"/>
      <c r="D273" s="346"/>
      <c r="E273" s="348"/>
      <c r="F273" s="346"/>
      <c r="G273" s="349"/>
      <c r="H273" s="349"/>
      <c r="I273" s="349"/>
      <c r="J273" s="349"/>
      <c r="K273" s="349"/>
      <c r="L273" s="349"/>
      <c r="M273" s="349"/>
      <c r="N273" s="349"/>
    </row>
    <row r="274">
      <c r="A274" s="349"/>
      <c r="B274" s="346"/>
      <c r="C274" s="347"/>
      <c r="D274" s="346"/>
      <c r="E274" s="348"/>
      <c r="F274" s="346"/>
      <c r="G274" s="349"/>
      <c r="H274" s="349"/>
      <c r="I274" s="349"/>
      <c r="J274" s="349"/>
      <c r="K274" s="349"/>
      <c r="L274" s="349"/>
      <c r="M274" s="349"/>
      <c r="N274" s="349"/>
    </row>
    <row r="275">
      <c r="A275" s="349"/>
      <c r="B275" s="346"/>
      <c r="C275" s="347"/>
      <c r="D275" s="346"/>
      <c r="E275" s="348"/>
      <c r="F275" s="346"/>
      <c r="G275" s="349"/>
      <c r="H275" s="349"/>
      <c r="I275" s="349"/>
      <c r="J275" s="349"/>
      <c r="K275" s="349"/>
      <c r="L275" s="349"/>
      <c r="M275" s="349"/>
      <c r="N275" s="349"/>
    </row>
    <row r="276">
      <c r="A276" s="349"/>
      <c r="B276" s="346"/>
      <c r="C276" s="347"/>
      <c r="D276" s="346"/>
      <c r="E276" s="348"/>
      <c r="F276" s="346"/>
      <c r="G276" s="349"/>
      <c r="H276" s="349"/>
      <c r="I276" s="349"/>
      <c r="J276" s="349"/>
      <c r="K276" s="349"/>
      <c r="L276" s="349"/>
      <c r="M276" s="349"/>
      <c r="N276" s="349"/>
    </row>
    <row r="277">
      <c r="A277" s="349"/>
      <c r="B277" s="346"/>
      <c r="C277" s="347"/>
      <c r="D277" s="346"/>
      <c r="E277" s="348"/>
      <c r="F277" s="346"/>
      <c r="G277" s="349"/>
      <c r="H277" s="349"/>
      <c r="I277" s="349"/>
      <c r="J277" s="349"/>
      <c r="K277" s="349"/>
      <c r="L277" s="349"/>
      <c r="M277" s="349"/>
      <c r="N277" s="349"/>
    </row>
    <row r="278">
      <c r="A278" s="349"/>
      <c r="B278" s="346"/>
      <c r="C278" s="347"/>
      <c r="D278" s="346"/>
      <c r="E278" s="348"/>
      <c r="F278" s="346"/>
      <c r="G278" s="349"/>
      <c r="H278" s="349"/>
      <c r="I278" s="349"/>
      <c r="J278" s="349"/>
      <c r="K278" s="349"/>
      <c r="L278" s="349"/>
      <c r="M278" s="349"/>
      <c r="N278" s="349"/>
    </row>
    <row r="279">
      <c r="A279" s="349"/>
      <c r="B279" s="346"/>
      <c r="C279" s="347"/>
      <c r="D279" s="346"/>
      <c r="E279" s="348"/>
      <c r="F279" s="346"/>
      <c r="G279" s="349"/>
      <c r="H279" s="349"/>
      <c r="I279" s="349"/>
      <c r="J279" s="349"/>
      <c r="K279" s="349"/>
      <c r="L279" s="349"/>
      <c r="M279" s="349"/>
      <c r="N279" s="349"/>
    </row>
    <row r="280">
      <c r="A280" s="349"/>
      <c r="B280" s="346"/>
      <c r="C280" s="347"/>
      <c r="D280" s="346"/>
      <c r="E280" s="348"/>
      <c r="F280" s="346"/>
      <c r="G280" s="349"/>
      <c r="H280" s="349"/>
      <c r="I280" s="349"/>
      <c r="J280" s="349"/>
      <c r="K280" s="349"/>
      <c r="L280" s="349"/>
      <c r="M280" s="349"/>
      <c r="N280" s="349"/>
    </row>
    <row r="281">
      <c r="A281" s="349"/>
      <c r="B281" s="346"/>
      <c r="C281" s="347"/>
      <c r="D281" s="346"/>
      <c r="E281" s="348"/>
      <c r="F281" s="346"/>
      <c r="G281" s="349"/>
      <c r="H281" s="349"/>
      <c r="I281" s="349"/>
      <c r="J281" s="349"/>
      <c r="K281" s="349"/>
      <c r="L281" s="349"/>
      <c r="M281" s="349"/>
      <c r="N281" s="349"/>
    </row>
    <row r="282">
      <c r="A282" s="349"/>
      <c r="B282" s="346"/>
      <c r="C282" s="347"/>
      <c r="D282" s="346"/>
      <c r="E282" s="348"/>
      <c r="F282" s="346"/>
      <c r="G282" s="349"/>
      <c r="H282" s="349"/>
      <c r="I282" s="349"/>
      <c r="J282" s="349"/>
      <c r="K282" s="349"/>
      <c r="L282" s="349"/>
      <c r="M282" s="349"/>
      <c r="N282" s="349"/>
    </row>
    <row r="283">
      <c r="A283" s="349"/>
      <c r="B283" s="346"/>
      <c r="C283" s="347"/>
      <c r="D283" s="346"/>
      <c r="E283" s="348"/>
      <c r="F283" s="346"/>
      <c r="G283" s="349"/>
      <c r="H283" s="349"/>
      <c r="I283" s="349"/>
      <c r="J283" s="349"/>
      <c r="K283" s="349"/>
      <c r="L283" s="349"/>
      <c r="M283" s="349"/>
      <c r="N283" s="349"/>
    </row>
    <row r="284">
      <c r="A284" s="349"/>
      <c r="B284" s="346"/>
      <c r="C284" s="347"/>
      <c r="D284" s="346"/>
      <c r="E284" s="348"/>
      <c r="F284" s="346"/>
      <c r="G284" s="349"/>
      <c r="H284" s="349"/>
      <c r="I284" s="349"/>
      <c r="J284" s="349"/>
      <c r="K284" s="349"/>
      <c r="L284" s="349"/>
      <c r="M284" s="349"/>
      <c r="N284" s="349"/>
    </row>
    <row r="285">
      <c r="A285" s="349"/>
      <c r="B285" s="346"/>
      <c r="C285" s="347"/>
      <c r="D285" s="346"/>
      <c r="E285" s="348"/>
      <c r="F285" s="346"/>
      <c r="G285" s="349"/>
      <c r="H285" s="349"/>
      <c r="I285" s="349"/>
      <c r="J285" s="349"/>
      <c r="K285" s="349"/>
      <c r="L285" s="349"/>
      <c r="M285" s="349"/>
      <c r="N285" s="349"/>
    </row>
    <row r="286">
      <c r="A286" s="349"/>
      <c r="B286" s="346"/>
      <c r="C286" s="347"/>
      <c r="D286" s="346"/>
      <c r="E286" s="348"/>
      <c r="F286" s="346"/>
      <c r="G286" s="349"/>
      <c r="H286" s="349"/>
      <c r="I286" s="349"/>
      <c r="J286" s="349"/>
      <c r="K286" s="349"/>
      <c r="L286" s="349"/>
      <c r="M286" s="349"/>
      <c r="N286" s="349"/>
    </row>
    <row r="287">
      <c r="A287" s="349"/>
      <c r="B287" s="346"/>
      <c r="C287" s="347"/>
      <c r="D287" s="346"/>
      <c r="E287" s="348"/>
      <c r="F287" s="346"/>
      <c r="G287" s="349"/>
      <c r="H287" s="349"/>
      <c r="I287" s="349"/>
      <c r="J287" s="349"/>
      <c r="K287" s="349"/>
      <c r="L287" s="349"/>
      <c r="M287" s="349"/>
      <c r="N287" s="349"/>
    </row>
    <row r="288">
      <c r="A288" s="349"/>
      <c r="B288" s="346"/>
      <c r="C288" s="347"/>
      <c r="D288" s="346"/>
      <c r="E288" s="348"/>
      <c r="F288" s="346"/>
      <c r="G288" s="349"/>
      <c r="H288" s="349"/>
      <c r="I288" s="349"/>
      <c r="J288" s="349"/>
      <c r="K288" s="349"/>
      <c r="L288" s="349"/>
      <c r="M288" s="349"/>
      <c r="N288" s="349"/>
    </row>
    <row r="289">
      <c r="A289" s="349"/>
      <c r="B289" s="346"/>
      <c r="C289" s="347"/>
      <c r="D289" s="346"/>
      <c r="E289" s="348"/>
      <c r="F289" s="346"/>
      <c r="G289" s="349"/>
      <c r="H289" s="349"/>
      <c r="I289" s="349"/>
      <c r="J289" s="349"/>
      <c r="K289" s="349"/>
      <c r="L289" s="349"/>
      <c r="M289" s="349"/>
      <c r="N289" s="349"/>
    </row>
    <row r="290">
      <c r="A290" s="349"/>
      <c r="B290" s="346"/>
      <c r="C290" s="347"/>
      <c r="D290" s="346"/>
      <c r="E290" s="348"/>
      <c r="F290" s="346"/>
      <c r="G290" s="349"/>
      <c r="H290" s="349"/>
      <c r="I290" s="349"/>
      <c r="J290" s="349"/>
      <c r="K290" s="349"/>
      <c r="L290" s="349"/>
      <c r="M290" s="349"/>
      <c r="N290" s="349"/>
    </row>
    <row r="291">
      <c r="A291" s="349"/>
      <c r="B291" s="346"/>
      <c r="C291" s="347"/>
      <c r="D291" s="346"/>
      <c r="E291" s="348"/>
      <c r="F291" s="346"/>
      <c r="G291" s="349"/>
      <c r="H291" s="349"/>
      <c r="I291" s="349"/>
      <c r="J291" s="349"/>
      <c r="K291" s="349"/>
      <c r="L291" s="349"/>
      <c r="M291" s="349"/>
      <c r="N291" s="349"/>
    </row>
    <row r="292">
      <c r="A292" s="349"/>
      <c r="B292" s="346"/>
      <c r="C292" s="347"/>
      <c r="D292" s="346"/>
      <c r="E292" s="348"/>
      <c r="F292" s="346"/>
      <c r="G292" s="349"/>
      <c r="H292" s="349"/>
      <c r="I292" s="349"/>
      <c r="J292" s="349"/>
      <c r="K292" s="349"/>
      <c r="L292" s="349"/>
      <c r="M292" s="349"/>
      <c r="N292" s="349"/>
    </row>
    <row r="293">
      <c r="A293" s="349"/>
      <c r="B293" s="346"/>
      <c r="C293" s="347"/>
      <c r="D293" s="346"/>
      <c r="E293" s="348"/>
      <c r="F293" s="346"/>
      <c r="G293" s="349"/>
      <c r="H293" s="349"/>
      <c r="I293" s="349"/>
      <c r="J293" s="349"/>
      <c r="K293" s="349"/>
      <c r="L293" s="349"/>
      <c r="M293" s="349"/>
      <c r="N293" s="349"/>
    </row>
    <row r="294">
      <c r="A294" s="349"/>
      <c r="B294" s="346"/>
      <c r="C294" s="347"/>
      <c r="D294" s="346"/>
      <c r="E294" s="348"/>
      <c r="F294" s="346"/>
      <c r="G294" s="349"/>
      <c r="H294" s="349"/>
      <c r="I294" s="349"/>
      <c r="J294" s="349"/>
      <c r="K294" s="349"/>
      <c r="L294" s="349"/>
      <c r="M294" s="349"/>
      <c r="N294" s="349"/>
    </row>
    <row r="295">
      <c r="A295" s="349"/>
      <c r="B295" s="346"/>
      <c r="C295" s="347"/>
      <c r="D295" s="346"/>
      <c r="E295" s="348"/>
      <c r="F295" s="346"/>
      <c r="G295" s="349"/>
      <c r="H295" s="349"/>
      <c r="I295" s="349"/>
      <c r="J295" s="349"/>
      <c r="K295" s="349"/>
      <c r="L295" s="349"/>
      <c r="M295" s="349"/>
      <c r="N295" s="349"/>
    </row>
    <row r="296">
      <c r="A296" s="349"/>
      <c r="B296" s="346"/>
      <c r="C296" s="347"/>
      <c r="D296" s="346"/>
      <c r="E296" s="348"/>
      <c r="F296" s="346"/>
      <c r="G296" s="349"/>
      <c r="H296" s="349"/>
      <c r="I296" s="349"/>
      <c r="J296" s="349"/>
      <c r="K296" s="349"/>
      <c r="L296" s="349"/>
      <c r="M296" s="349"/>
      <c r="N296" s="349"/>
    </row>
    <row r="297">
      <c r="A297" s="349"/>
      <c r="B297" s="346"/>
      <c r="C297" s="347"/>
      <c r="D297" s="346"/>
      <c r="E297" s="348"/>
      <c r="F297" s="346"/>
      <c r="G297" s="349"/>
      <c r="H297" s="349"/>
      <c r="I297" s="349"/>
      <c r="J297" s="349"/>
      <c r="K297" s="349"/>
      <c r="L297" s="349"/>
      <c r="M297" s="349"/>
      <c r="N297" s="349"/>
    </row>
    <row r="298">
      <c r="A298" s="349"/>
      <c r="B298" s="346"/>
      <c r="C298" s="347"/>
      <c r="D298" s="346"/>
      <c r="E298" s="348"/>
      <c r="F298" s="346"/>
      <c r="G298" s="349"/>
      <c r="H298" s="349"/>
      <c r="I298" s="349"/>
      <c r="J298" s="349"/>
      <c r="K298" s="349"/>
      <c r="L298" s="349"/>
      <c r="M298" s="349"/>
      <c r="N298" s="349"/>
    </row>
    <row r="299">
      <c r="A299" s="349"/>
      <c r="B299" s="346"/>
      <c r="C299" s="347"/>
      <c r="D299" s="346"/>
      <c r="E299" s="348"/>
      <c r="F299" s="346"/>
      <c r="G299" s="349"/>
      <c r="H299" s="349"/>
      <c r="I299" s="349"/>
      <c r="J299" s="349"/>
      <c r="K299" s="349"/>
      <c r="L299" s="349"/>
      <c r="M299" s="349"/>
      <c r="N299" s="349"/>
    </row>
    <row r="300">
      <c r="A300" s="349"/>
      <c r="B300" s="346"/>
      <c r="C300" s="347"/>
      <c r="D300" s="346"/>
      <c r="E300" s="348"/>
      <c r="F300" s="346"/>
      <c r="G300" s="349"/>
      <c r="H300" s="349"/>
      <c r="I300" s="349"/>
      <c r="J300" s="349"/>
      <c r="K300" s="349"/>
      <c r="L300" s="349"/>
      <c r="M300" s="349"/>
      <c r="N300" s="349"/>
    </row>
    <row r="301">
      <c r="A301" s="349"/>
      <c r="B301" s="346"/>
      <c r="C301" s="347"/>
      <c r="D301" s="346"/>
      <c r="E301" s="348"/>
      <c r="F301" s="346"/>
      <c r="G301" s="349"/>
      <c r="H301" s="349"/>
      <c r="I301" s="349"/>
      <c r="J301" s="349"/>
      <c r="K301" s="349"/>
      <c r="L301" s="349"/>
      <c r="M301" s="349"/>
      <c r="N301" s="349"/>
    </row>
    <row r="302">
      <c r="A302" s="349"/>
      <c r="B302" s="346"/>
      <c r="C302" s="347"/>
      <c r="D302" s="346"/>
      <c r="E302" s="348"/>
      <c r="F302" s="346"/>
      <c r="G302" s="349"/>
      <c r="H302" s="349"/>
      <c r="I302" s="349"/>
      <c r="J302" s="349"/>
      <c r="K302" s="349"/>
      <c r="L302" s="349"/>
      <c r="M302" s="349"/>
      <c r="N302" s="349"/>
    </row>
    <row r="303">
      <c r="A303" s="349"/>
      <c r="B303" s="346"/>
      <c r="C303" s="347"/>
      <c r="D303" s="346"/>
      <c r="E303" s="348"/>
      <c r="F303" s="346"/>
      <c r="G303" s="349"/>
      <c r="H303" s="349"/>
      <c r="I303" s="349"/>
      <c r="J303" s="349"/>
      <c r="K303" s="349"/>
      <c r="L303" s="349"/>
      <c r="M303" s="349"/>
      <c r="N303" s="349"/>
    </row>
    <row r="304">
      <c r="A304" s="349"/>
      <c r="B304" s="346"/>
      <c r="C304" s="347"/>
      <c r="D304" s="346"/>
      <c r="E304" s="348"/>
      <c r="F304" s="346"/>
      <c r="G304" s="349"/>
      <c r="H304" s="349"/>
      <c r="I304" s="349"/>
      <c r="J304" s="349"/>
      <c r="K304" s="349"/>
      <c r="L304" s="349"/>
      <c r="M304" s="349"/>
      <c r="N304" s="349"/>
    </row>
    <row r="305">
      <c r="A305" s="349"/>
      <c r="B305" s="346"/>
      <c r="C305" s="347"/>
      <c r="D305" s="346"/>
      <c r="E305" s="348"/>
      <c r="F305" s="346"/>
      <c r="G305" s="349"/>
      <c r="H305" s="349"/>
      <c r="I305" s="349"/>
      <c r="J305" s="349"/>
      <c r="K305" s="349"/>
      <c r="L305" s="349"/>
      <c r="M305" s="349"/>
      <c r="N305" s="349"/>
    </row>
    <row r="306">
      <c r="A306" s="349"/>
      <c r="B306" s="346"/>
      <c r="C306" s="347"/>
      <c r="D306" s="346"/>
      <c r="E306" s="348"/>
      <c r="F306" s="346"/>
      <c r="G306" s="349"/>
      <c r="H306" s="349"/>
      <c r="I306" s="349"/>
      <c r="J306" s="349"/>
      <c r="K306" s="349"/>
      <c r="L306" s="349"/>
      <c r="M306" s="349"/>
      <c r="N306" s="349"/>
    </row>
    <row r="307">
      <c r="A307" s="349"/>
      <c r="B307" s="346"/>
      <c r="C307" s="347"/>
      <c r="D307" s="346"/>
      <c r="E307" s="348"/>
      <c r="F307" s="346"/>
      <c r="G307" s="349"/>
      <c r="H307" s="349"/>
      <c r="I307" s="349"/>
      <c r="J307" s="349"/>
      <c r="K307" s="349"/>
      <c r="L307" s="349"/>
      <c r="M307" s="349"/>
      <c r="N307" s="349"/>
    </row>
    <row r="308">
      <c r="A308" s="349"/>
      <c r="B308" s="346"/>
      <c r="C308" s="347"/>
      <c r="D308" s="346"/>
      <c r="E308" s="348"/>
      <c r="F308" s="346"/>
      <c r="G308" s="349"/>
      <c r="H308" s="349"/>
      <c r="I308" s="349"/>
      <c r="J308" s="349"/>
      <c r="K308" s="349"/>
      <c r="L308" s="349"/>
      <c r="M308" s="349"/>
      <c r="N308" s="349"/>
    </row>
    <row r="309">
      <c r="A309" s="349"/>
      <c r="B309" s="346"/>
      <c r="C309" s="347"/>
      <c r="D309" s="346"/>
      <c r="E309" s="348"/>
      <c r="F309" s="346"/>
      <c r="G309" s="349"/>
      <c r="H309" s="349"/>
      <c r="I309" s="349"/>
      <c r="J309" s="349"/>
      <c r="K309" s="349"/>
      <c r="L309" s="349"/>
      <c r="M309" s="349"/>
      <c r="N309" s="349"/>
    </row>
    <row r="310">
      <c r="A310" s="349"/>
      <c r="B310" s="346"/>
      <c r="C310" s="347"/>
      <c r="D310" s="346"/>
      <c r="E310" s="348"/>
      <c r="F310" s="346"/>
      <c r="G310" s="349"/>
      <c r="H310" s="349"/>
      <c r="I310" s="349"/>
      <c r="J310" s="349"/>
      <c r="K310" s="349"/>
      <c r="L310" s="349"/>
      <c r="M310" s="349"/>
      <c r="N310" s="349"/>
    </row>
    <row r="311">
      <c r="A311" s="349"/>
      <c r="B311" s="346"/>
      <c r="C311" s="347"/>
      <c r="D311" s="346"/>
      <c r="E311" s="348"/>
      <c r="F311" s="346"/>
      <c r="G311" s="349"/>
      <c r="H311" s="349"/>
      <c r="I311" s="349"/>
      <c r="J311" s="349"/>
      <c r="K311" s="349"/>
      <c r="L311" s="349"/>
      <c r="M311" s="349"/>
      <c r="N311" s="349"/>
    </row>
    <row r="312">
      <c r="A312" s="349"/>
      <c r="B312" s="346"/>
      <c r="C312" s="347"/>
      <c r="D312" s="346"/>
      <c r="E312" s="348"/>
      <c r="F312" s="346"/>
      <c r="G312" s="349"/>
      <c r="H312" s="349"/>
      <c r="I312" s="349"/>
      <c r="J312" s="349"/>
      <c r="K312" s="349"/>
      <c r="L312" s="349"/>
      <c r="M312" s="349"/>
      <c r="N312" s="349"/>
    </row>
    <row r="313">
      <c r="A313" s="349"/>
      <c r="B313" s="346"/>
      <c r="C313" s="347"/>
      <c r="D313" s="346"/>
      <c r="E313" s="348"/>
      <c r="F313" s="346"/>
      <c r="G313" s="349"/>
      <c r="H313" s="349"/>
      <c r="I313" s="349"/>
      <c r="J313" s="349"/>
      <c r="K313" s="349"/>
      <c r="L313" s="349"/>
      <c r="M313" s="349"/>
      <c r="N313" s="349"/>
    </row>
    <row r="314">
      <c r="A314" s="349"/>
      <c r="B314" s="346"/>
      <c r="C314" s="347"/>
      <c r="D314" s="346"/>
      <c r="E314" s="348"/>
      <c r="F314" s="346"/>
      <c r="G314" s="349"/>
      <c r="H314" s="349"/>
      <c r="I314" s="349"/>
      <c r="J314" s="349"/>
      <c r="K314" s="349"/>
      <c r="L314" s="349"/>
      <c r="M314" s="349"/>
      <c r="N314" s="349"/>
    </row>
    <row r="315">
      <c r="A315" s="349"/>
      <c r="B315" s="346"/>
      <c r="C315" s="347"/>
      <c r="D315" s="346"/>
      <c r="E315" s="348"/>
      <c r="F315" s="346"/>
      <c r="G315" s="349"/>
      <c r="H315" s="349"/>
      <c r="I315" s="349"/>
      <c r="J315" s="349"/>
      <c r="K315" s="349"/>
      <c r="L315" s="349"/>
      <c r="M315" s="349"/>
      <c r="N315" s="349"/>
    </row>
    <row r="316">
      <c r="A316" s="349"/>
      <c r="B316" s="346"/>
      <c r="C316" s="347"/>
      <c r="D316" s="346"/>
      <c r="E316" s="348"/>
      <c r="F316" s="346"/>
      <c r="G316" s="349"/>
      <c r="H316" s="349"/>
      <c r="I316" s="349"/>
      <c r="J316" s="349"/>
      <c r="K316" s="349"/>
      <c r="L316" s="349"/>
      <c r="M316" s="349"/>
      <c r="N316" s="349"/>
    </row>
    <row r="317">
      <c r="A317" s="349"/>
      <c r="B317" s="346"/>
      <c r="C317" s="347"/>
      <c r="D317" s="346"/>
      <c r="E317" s="348"/>
      <c r="F317" s="346"/>
      <c r="G317" s="349"/>
      <c r="H317" s="349"/>
      <c r="I317" s="349"/>
      <c r="J317" s="349"/>
      <c r="K317" s="349"/>
      <c r="L317" s="349"/>
      <c r="M317" s="349"/>
      <c r="N317" s="349"/>
    </row>
    <row r="318">
      <c r="A318" s="349"/>
      <c r="B318" s="346"/>
      <c r="C318" s="347"/>
      <c r="D318" s="346"/>
      <c r="E318" s="348"/>
      <c r="F318" s="346"/>
      <c r="G318" s="349"/>
      <c r="H318" s="349"/>
      <c r="I318" s="349"/>
      <c r="J318" s="349"/>
      <c r="K318" s="349"/>
      <c r="L318" s="349"/>
      <c r="M318" s="349"/>
      <c r="N318" s="349"/>
    </row>
    <row r="319">
      <c r="A319" s="349"/>
      <c r="B319" s="346"/>
      <c r="C319" s="347"/>
      <c r="D319" s="346"/>
      <c r="E319" s="348"/>
      <c r="F319" s="346"/>
      <c r="G319" s="349"/>
      <c r="H319" s="349"/>
      <c r="I319" s="349"/>
      <c r="J319" s="349"/>
      <c r="K319" s="349"/>
      <c r="L319" s="349"/>
      <c r="M319" s="349"/>
      <c r="N319" s="349"/>
    </row>
    <row r="320">
      <c r="A320" s="349"/>
      <c r="B320" s="346"/>
      <c r="C320" s="347"/>
      <c r="D320" s="346"/>
      <c r="E320" s="348"/>
      <c r="F320" s="346"/>
      <c r="G320" s="349"/>
      <c r="H320" s="349"/>
      <c r="I320" s="349"/>
      <c r="J320" s="349"/>
      <c r="K320" s="349"/>
      <c r="L320" s="349"/>
      <c r="M320" s="349"/>
      <c r="N320" s="349"/>
    </row>
    <row r="321">
      <c r="A321" s="349"/>
      <c r="B321" s="346"/>
      <c r="C321" s="347"/>
      <c r="D321" s="346"/>
      <c r="E321" s="348"/>
      <c r="F321" s="346"/>
      <c r="G321" s="349"/>
      <c r="H321" s="349"/>
      <c r="I321" s="349"/>
      <c r="J321" s="349"/>
      <c r="K321" s="349"/>
      <c r="L321" s="349"/>
      <c r="M321" s="349"/>
      <c r="N321" s="349"/>
    </row>
    <row r="322">
      <c r="A322" s="349"/>
      <c r="B322" s="346"/>
      <c r="C322" s="347"/>
      <c r="D322" s="346"/>
      <c r="E322" s="348"/>
      <c r="F322" s="346"/>
      <c r="G322" s="349"/>
      <c r="H322" s="349"/>
      <c r="I322" s="349"/>
      <c r="J322" s="349"/>
      <c r="K322" s="349"/>
      <c r="L322" s="349"/>
      <c r="M322" s="349"/>
      <c r="N322" s="349"/>
    </row>
    <row r="323">
      <c r="A323" s="349"/>
      <c r="B323" s="346"/>
      <c r="C323" s="347"/>
      <c r="D323" s="346"/>
      <c r="E323" s="348"/>
      <c r="F323" s="346"/>
      <c r="G323" s="349"/>
      <c r="H323" s="349"/>
      <c r="I323" s="349"/>
      <c r="J323" s="349"/>
      <c r="K323" s="349"/>
      <c r="L323" s="349"/>
      <c r="M323" s="349"/>
      <c r="N323" s="349"/>
    </row>
    <row r="324">
      <c r="A324" s="349"/>
      <c r="B324" s="346"/>
      <c r="C324" s="347"/>
      <c r="D324" s="346"/>
      <c r="E324" s="348"/>
      <c r="F324" s="346"/>
      <c r="G324" s="349"/>
      <c r="H324" s="349"/>
      <c r="I324" s="349"/>
      <c r="J324" s="349"/>
      <c r="K324" s="349"/>
      <c r="L324" s="349"/>
      <c r="M324" s="349"/>
      <c r="N324" s="349"/>
    </row>
    <row r="325">
      <c r="A325" s="349"/>
      <c r="B325" s="346"/>
      <c r="C325" s="347"/>
      <c r="D325" s="346"/>
      <c r="E325" s="348"/>
      <c r="F325" s="346"/>
      <c r="G325" s="349"/>
      <c r="H325" s="349"/>
      <c r="I325" s="349"/>
      <c r="J325" s="349"/>
      <c r="K325" s="349"/>
      <c r="L325" s="349"/>
      <c r="M325" s="349"/>
      <c r="N325" s="349"/>
    </row>
    <row r="326">
      <c r="A326" s="349"/>
      <c r="B326" s="346"/>
      <c r="C326" s="347"/>
      <c r="D326" s="346"/>
      <c r="E326" s="348"/>
      <c r="F326" s="346"/>
      <c r="G326" s="349"/>
      <c r="H326" s="349"/>
      <c r="I326" s="349"/>
      <c r="J326" s="349"/>
      <c r="K326" s="349"/>
      <c r="L326" s="349"/>
      <c r="M326" s="349"/>
      <c r="N326" s="349"/>
    </row>
    <row r="327">
      <c r="A327" s="349"/>
      <c r="B327" s="346"/>
      <c r="C327" s="347"/>
      <c r="D327" s="346"/>
      <c r="E327" s="348"/>
      <c r="F327" s="346"/>
      <c r="G327" s="349"/>
      <c r="H327" s="349"/>
      <c r="I327" s="349"/>
      <c r="J327" s="349"/>
      <c r="K327" s="349"/>
      <c r="L327" s="349"/>
      <c r="M327" s="349"/>
      <c r="N327" s="349"/>
    </row>
    <row r="328">
      <c r="A328" s="349"/>
      <c r="B328" s="346"/>
      <c r="C328" s="347"/>
      <c r="D328" s="346"/>
      <c r="E328" s="348"/>
      <c r="F328" s="346"/>
      <c r="G328" s="349"/>
      <c r="H328" s="349"/>
      <c r="I328" s="349"/>
      <c r="J328" s="349"/>
      <c r="K328" s="349"/>
      <c r="L328" s="349"/>
      <c r="M328" s="349"/>
      <c r="N328" s="349"/>
    </row>
    <row r="329">
      <c r="A329" s="349"/>
      <c r="B329" s="346"/>
      <c r="C329" s="347"/>
      <c r="D329" s="346"/>
      <c r="E329" s="348"/>
      <c r="F329" s="346"/>
      <c r="G329" s="349"/>
      <c r="H329" s="349"/>
      <c r="I329" s="349"/>
      <c r="J329" s="349"/>
      <c r="K329" s="349"/>
      <c r="L329" s="349"/>
      <c r="M329" s="349"/>
      <c r="N329" s="349"/>
    </row>
    <row r="330">
      <c r="A330" s="349"/>
      <c r="B330" s="346"/>
      <c r="C330" s="347"/>
      <c r="D330" s="346"/>
      <c r="E330" s="348"/>
      <c r="F330" s="346"/>
      <c r="G330" s="349"/>
      <c r="H330" s="349"/>
      <c r="I330" s="349"/>
      <c r="J330" s="349"/>
      <c r="K330" s="349"/>
      <c r="L330" s="349"/>
      <c r="M330" s="349"/>
      <c r="N330" s="349"/>
    </row>
    <row r="331">
      <c r="A331" s="349"/>
      <c r="B331" s="346"/>
      <c r="C331" s="347"/>
      <c r="D331" s="346"/>
      <c r="E331" s="348"/>
      <c r="F331" s="346"/>
      <c r="G331" s="349"/>
      <c r="H331" s="349"/>
      <c r="I331" s="349"/>
      <c r="J331" s="349"/>
      <c r="K331" s="349"/>
      <c r="L331" s="349"/>
      <c r="M331" s="349"/>
      <c r="N331" s="349"/>
    </row>
    <row r="332">
      <c r="A332" s="349"/>
      <c r="B332" s="346"/>
      <c r="C332" s="347"/>
      <c r="D332" s="346"/>
      <c r="E332" s="348"/>
      <c r="F332" s="346"/>
      <c r="G332" s="349"/>
      <c r="H332" s="349"/>
      <c r="I332" s="349"/>
      <c r="J332" s="349"/>
      <c r="K332" s="349"/>
      <c r="L332" s="349"/>
      <c r="M332" s="349"/>
      <c r="N332" s="349"/>
    </row>
    <row r="333">
      <c r="A333" s="349"/>
      <c r="B333" s="346"/>
      <c r="C333" s="347"/>
      <c r="D333" s="346"/>
      <c r="E333" s="348"/>
      <c r="F333" s="346"/>
      <c r="G333" s="349"/>
      <c r="H333" s="349"/>
      <c r="I333" s="349"/>
      <c r="J333" s="349"/>
      <c r="K333" s="349"/>
      <c r="L333" s="349"/>
      <c r="M333" s="349"/>
      <c r="N333" s="349"/>
    </row>
    <row r="334">
      <c r="A334" s="349"/>
      <c r="B334" s="346"/>
      <c r="C334" s="347"/>
      <c r="D334" s="346"/>
      <c r="E334" s="348"/>
      <c r="F334" s="346"/>
      <c r="G334" s="349"/>
      <c r="H334" s="349"/>
      <c r="I334" s="349"/>
      <c r="J334" s="349"/>
      <c r="K334" s="349"/>
      <c r="L334" s="349"/>
      <c r="M334" s="349"/>
      <c r="N334" s="349"/>
    </row>
    <row r="335">
      <c r="A335" s="349"/>
      <c r="B335" s="346"/>
      <c r="C335" s="347"/>
      <c r="D335" s="346"/>
      <c r="E335" s="348"/>
      <c r="F335" s="346"/>
      <c r="G335" s="349"/>
      <c r="H335" s="349"/>
      <c r="I335" s="349"/>
      <c r="J335" s="349"/>
      <c r="K335" s="349"/>
      <c r="L335" s="349"/>
      <c r="M335" s="349"/>
      <c r="N335" s="349"/>
    </row>
    <row r="336">
      <c r="A336" s="349"/>
      <c r="B336" s="346"/>
      <c r="C336" s="347"/>
      <c r="D336" s="346"/>
      <c r="E336" s="348"/>
      <c r="F336" s="346"/>
      <c r="G336" s="349"/>
      <c r="H336" s="349"/>
      <c r="I336" s="349"/>
      <c r="J336" s="349"/>
      <c r="K336" s="349"/>
      <c r="L336" s="349"/>
      <c r="M336" s="349"/>
      <c r="N336" s="349"/>
    </row>
    <row r="337">
      <c r="A337" s="349"/>
      <c r="B337" s="346"/>
      <c r="C337" s="347"/>
      <c r="D337" s="346"/>
      <c r="E337" s="348"/>
      <c r="F337" s="346"/>
      <c r="G337" s="349"/>
      <c r="H337" s="349"/>
      <c r="I337" s="349"/>
      <c r="J337" s="349"/>
      <c r="K337" s="349"/>
      <c r="L337" s="349"/>
      <c r="M337" s="349"/>
      <c r="N337" s="349"/>
    </row>
    <row r="338">
      <c r="A338" s="349"/>
      <c r="B338" s="346"/>
      <c r="C338" s="347"/>
      <c r="D338" s="346"/>
      <c r="E338" s="348"/>
      <c r="F338" s="346"/>
      <c r="G338" s="349"/>
      <c r="H338" s="349"/>
      <c r="I338" s="349"/>
      <c r="J338" s="349"/>
      <c r="K338" s="349"/>
      <c r="L338" s="349"/>
      <c r="M338" s="349"/>
      <c r="N338" s="349"/>
    </row>
    <row r="339">
      <c r="A339" s="349"/>
      <c r="B339" s="346"/>
      <c r="C339" s="347"/>
      <c r="D339" s="346"/>
      <c r="E339" s="348"/>
      <c r="F339" s="346"/>
      <c r="G339" s="349"/>
      <c r="H339" s="349"/>
      <c r="I339" s="349"/>
      <c r="J339" s="349"/>
      <c r="K339" s="349"/>
      <c r="L339" s="349"/>
      <c r="M339" s="349"/>
      <c r="N339" s="349"/>
    </row>
    <row r="340">
      <c r="A340" s="349"/>
      <c r="B340" s="346"/>
      <c r="C340" s="347"/>
      <c r="D340" s="346"/>
      <c r="E340" s="348"/>
      <c r="F340" s="346"/>
      <c r="G340" s="349"/>
      <c r="H340" s="349"/>
      <c r="I340" s="349"/>
      <c r="J340" s="349"/>
      <c r="K340" s="349"/>
      <c r="L340" s="349"/>
      <c r="M340" s="349"/>
      <c r="N340" s="349"/>
    </row>
    <row r="341">
      <c r="A341" s="349"/>
      <c r="B341" s="346"/>
      <c r="C341" s="347"/>
      <c r="D341" s="346"/>
      <c r="E341" s="348"/>
      <c r="F341" s="346"/>
      <c r="G341" s="349"/>
      <c r="H341" s="349"/>
      <c r="I341" s="349"/>
      <c r="J341" s="349"/>
      <c r="K341" s="349"/>
      <c r="L341" s="349"/>
      <c r="M341" s="349"/>
      <c r="N341" s="349"/>
    </row>
    <row r="342">
      <c r="A342" s="349"/>
      <c r="B342" s="346"/>
      <c r="C342" s="347"/>
      <c r="D342" s="346"/>
      <c r="E342" s="348"/>
      <c r="F342" s="346"/>
      <c r="G342" s="349"/>
      <c r="H342" s="349"/>
      <c r="I342" s="349"/>
      <c r="J342" s="349"/>
      <c r="K342" s="349"/>
      <c r="L342" s="349"/>
      <c r="M342" s="349"/>
      <c r="N342" s="349"/>
    </row>
    <row r="343">
      <c r="A343" s="349"/>
      <c r="B343" s="346"/>
      <c r="C343" s="347"/>
      <c r="D343" s="346"/>
      <c r="E343" s="348"/>
      <c r="F343" s="346"/>
      <c r="G343" s="349"/>
      <c r="H343" s="349"/>
      <c r="I343" s="349"/>
      <c r="J343" s="349"/>
      <c r="K343" s="349"/>
      <c r="L343" s="349"/>
      <c r="M343" s="349"/>
      <c r="N343" s="349"/>
    </row>
    <row r="344">
      <c r="A344" s="349"/>
      <c r="B344" s="346"/>
      <c r="C344" s="347"/>
      <c r="D344" s="346"/>
      <c r="E344" s="348"/>
      <c r="F344" s="346"/>
      <c r="G344" s="349"/>
      <c r="H344" s="349"/>
      <c r="I344" s="349"/>
      <c r="J344" s="349"/>
      <c r="K344" s="349"/>
      <c r="L344" s="349"/>
      <c r="M344" s="349"/>
      <c r="N344" s="349"/>
    </row>
    <row r="345">
      <c r="A345" s="349"/>
      <c r="B345" s="346"/>
      <c r="C345" s="347"/>
      <c r="D345" s="346"/>
      <c r="E345" s="348"/>
      <c r="F345" s="346"/>
      <c r="G345" s="349"/>
      <c r="H345" s="349"/>
      <c r="I345" s="349"/>
      <c r="J345" s="349"/>
      <c r="K345" s="349"/>
      <c r="L345" s="349"/>
      <c r="M345" s="349"/>
      <c r="N345" s="349"/>
    </row>
    <row r="346">
      <c r="A346" s="349"/>
      <c r="B346" s="346"/>
      <c r="C346" s="347"/>
      <c r="D346" s="346"/>
      <c r="E346" s="348"/>
      <c r="F346" s="346"/>
      <c r="G346" s="349"/>
      <c r="H346" s="349"/>
      <c r="I346" s="349"/>
      <c r="J346" s="349"/>
      <c r="K346" s="349"/>
      <c r="L346" s="349"/>
      <c r="M346" s="349"/>
      <c r="N346" s="349"/>
    </row>
    <row r="347">
      <c r="A347" s="349"/>
      <c r="B347" s="346"/>
      <c r="C347" s="347"/>
      <c r="D347" s="346"/>
      <c r="E347" s="348"/>
      <c r="F347" s="346"/>
      <c r="G347" s="349"/>
      <c r="H347" s="349"/>
      <c r="I347" s="349"/>
      <c r="J347" s="349"/>
      <c r="K347" s="349"/>
      <c r="L347" s="349"/>
      <c r="M347" s="349"/>
      <c r="N347" s="349"/>
    </row>
    <row r="348">
      <c r="A348" s="349"/>
      <c r="B348" s="346"/>
      <c r="C348" s="347"/>
      <c r="D348" s="346"/>
      <c r="E348" s="348"/>
      <c r="F348" s="346"/>
      <c r="G348" s="349"/>
      <c r="H348" s="349"/>
      <c r="I348" s="349"/>
      <c r="J348" s="349"/>
      <c r="K348" s="349"/>
      <c r="L348" s="349"/>
      <c r="M348" s="349"/>
      <c r="N348" s="349"/>
    </row>
    <row r="349">
      <c r="A349" s="349"/>
      <c r="B349" s="346"/>
      <c r="C349" s="347"/>
      <c r="D349" s="346"/>
      <c r="E349" s="348"/>
      <c r="F349" s="346"/>
      <c r="G349" s="349"/>
      <c r="H349" s="349"/>
      <c r="I349" s="349"/>
      <c r="J349" s="349"/>
      <c r="K349" s="349"/>
      <c r="L349" s="349"/>
      <c r="M349" s="349"/>
      <c r="N349" s="349"/>
    </row>
    <row r="350">
      <c r="A350" s="349"/>
      <c r="B350" s="346"/>
      <c r="C350" s="347"/>
      <c r="D350" s="346"/>
      <c r="E350" s="348"/>
      <c r="F350" s="346"/>
      <c r="G350" s="349"/>
      <c r="H350" s="349"/>
      <c r="I350" s="349"/>
      <c r="J350" s="349"/>
      <c r="K350" s="349"/>
      <c r="L350" s="349"/>
      <c r="M350" s="349"/>
      <c r="N350" s="349"/>
    </row>
    <row r="351">
      <c r="A351" s="349"/>
      <c r="B351" s="346"/>
      <c r="C351" s="347"/>
      <c r="D351" s="346"/>
      <c r="E351" s="348"/>
      <c r="F351" s="346"/>
      <c r="G351" s="349"/>
      <c r="H351" s="349"/>
      <c r="I351" s="349"/>
      <c r="J351" s="349"/>
      <c r="K351" s="349"/>
      <c r="L351" s="349"/>
      <c r="M351" s="349"/>
      <c r="N351" s="349"/>
    </row>
    <row r="352">
      <c r="A352" s="349"/>
      <c r="B352" s="346"/>
      <c r="C352" s="347"/>
      <c r="D352" s="346"/>
      <c r="E352" s="348"/>
      <c r="F352" s="346"/>
      <c r="G352" s="349"/>
      <c r="H352" s="349"/>
      <c r="I352" s="349"/>
      <c r="J352" s="349"/>
      <c r="K352" s="349"/>
      <c r="L352" s="349"/>
      <c r="M352" s="349"/>
      <c r="N352" s="349"/>
    </row>
    <row r="353">
      <c r="A353" s="349"/>
      <c r="B353" s="346"/>
      <c r="C353" s="347"/>
      <c r="D353" s="346"/>
      <c r="E353" s="348"/>
      <c r="F353" s="346"/>
      <c r="G353" s="349"/>
      <c r="H353" s="349"/>
      <c r="I353" s="349"/>
      <c r="J353" s="349"/>
      <c r="K353" s="349"/>
      <c r="L353" s="349"/>
      <c r="M353" s="349"/>
      <c r="N353" s="349"/>
    </row>
    <row r="354">
      <c r="A354" s="349"/>
      <c r="B354" s="346"/>
      <c r="C354" s="347"/>
      <c r="D354" s="346"/>
      <c r="E354" s="348"/>
      <c r="F354" s="346"/>
      <c r="G354" s="349"/>
      <c r="H354" s="349"/>
      <c r="I354" s="349"/>
      <c r="J354" s="349"/>
      <c r="K354" s="349"/>
      <c r="L354" s="349"/>
      <c r="M354" s="349"/>
      <c r="N354" s="349"/>
    </row>
    <row r="355">
      <c r="A355" s="349"/>
      <c r="B355" s="346"/>
      <c r="C355" s="347"/>
      <c r="D355" s="346"/>
      <c r="E355" s="348"/>
      <c r="F355" s="346"/>
      <c r="G355" s="349"/>
      <c r="H355" s="349"/>
      <c r="I355" s="349"/>
      <c r="J355" s="349"/>
      <c r="K355" s="349"/>
      <c r="L355" s="349"/>
      <c r="M355" s="349"/>
      <c r="N355" s="349"/>
    </row>
    <row r="356">
      <c r="A356" s="349"/>
      <c r="B356" s="346"/>
      <c r="C356" s="347"/>
      <c r="D356" s="346"/>
      <c r="E356" s="348"/>
      <c r="F356" s="346"/>
      <c r="G356" s="349"/>
      <c r="H356" s="349"/>
      <c r="I356" s="349"/>
      <c r="J356" s="349"/>
      <c r="K356" s="349"/>
      <c r="L356" s="349"/>
      <c r="M356" s="349"/>
      <c r="N356" s="349"/>
    </row>
    <row r="357">
      <c r="A357" s="349"/>
      <c r="B357" s="346"/>
      <c r="C357" s="347"/>
      <c r="D357" s="346"/>
      <c r="E357" s="348"/>
      <c r="F357" s="346"/>
      <c r="G357" s="349"/>
      <c r="H357" s="349"/>
      <c r="I357" s="349"/>
      <c r="J357" s="349"/>
      <c r="K357" s="349"/>
      <c r="L357" s="349"/>
      <c r="M357" s="349"/>
      <c r="N357" s="349"/>
    </row>
    <row r="358">
      <c r="A358" s="349"/>
      <c r="B358" s="346"/>
      <c r="C358" s="347"/>
      <c r="D358" s="346"/>
      <c r="E358" s="348"/>
      <c r="F358" s="346"/>
      <c r="G358" s="349"/>
      <c r="H358" s="349"/>
      <c r="I358" s="349"/>
      <c r="J358" s="349"/>
      <c r="K358" s="349"/>
      <c r="L358" s="349"/>
      <c r="M358" s="349"/>
      <c r="N358" s="349"/>
    </row>
    <row r="359">
      <c r="A359" s="349"/>
      <c r="B359" s="346"/>
      <c r="C359" s="347"/>
      <c r="D359" s="346"/>
      <c r="E359" s="348"/>
      <c r="F359" s="346"/>
      <c r="G359" s="349"/>
      <c r="H359" s="349"/>
      <c r="I359" s="349"/>
      <c r="J359" s="349"/>
      <c r="K359" s="349"/>
      <c r="L359" s="349"/>
      <c r="M359" s="349"/>
      <c r="N359" s="349"/>
    </row>
    <row r="360">
      <c r="A360" s="349"/>
      <c r="B360" s="346"/>
      <c r="C360" s="347"/>
      <c r="D360" s="346"/>
      <c r="E360" s="348"/>
      <c r="F360" s="346"/>
      <c r="G360" s="349"/>
      <c r="H360" s="349"/>
      <c r="I360" s="349"/>
      <c r="J360" s="349"/>
      <c r="K360" s="349"/>
      <c r="L360" s="349"/>
      <c r="M360" s="349"/>
      <c r="N360" s="349"/>
    </row>
    <row r="361">
      <c r="A361" s="349"/>
      <c r="B361" s="346"/>
      <c r="C361" s="347"/>
      <c r="D361" s="346"/>
      <c r="E361" s="348"/>
      <c r="F361" s="346"/>
      <c r="G361" s="349"/>
      <c r="H361" s="349"/>
      <c r="I361" s="349"/>
      <c r="J361" s="349"/>
      <c r="K361" s="349"/>
      <c r="L361" s="349"/>
      <c r="M361" s="349"/>
      <c r="N361" s="349"/>
    </row>
    <row r="362">
      <c r="A362" s="349"/>
      <c r="B362" s="346"/>
      <c r="C362" s="347"/>
      <c r="D362" s="346"/>
      <c r="E362" s="348"/>
      <c r="F362" s="346"/>
      <c r="G362" s="349"/>
      <c r="H362" s="349"/>
      <c r="I362" s="349"/>
      <c r="J362" s="349"/>
      <c r="K362" s="349"/>
      <c r="L362" s="349"/>
      <c r="M362" s="349"/>
      <c r="N362" s="349"/>
    </row>
    <row r="363">
      <c r="A363" s="349"/>
      <c r="B363" s="346"/>
      <c r="C363" s="347"/>
      <c r="D363" s="346"/>
      <c r="E363" s="348"/>
      <c r="F363" s="346"/>
      <c r="G363" s="349"/>
      <c r="H363" s="349"/>
      <c r="I363" s="349"/>
      <c r="J363" s="349"/>
      <c r="K363" s="349"/>
      <c r="L363" s="349"/>
      <c r="M363" s="349"/>
      <c r="N363" s="349"/>
    </row>
    <row r="364">
      <c r="A364" s="349"/>
      <c r="B364" s="346"/>
      <c r="C364" s="347"/>
      <c r="D364" s="346"/>
      <c r="E364" s="348"/>
      <c r="F364" s="346"/>
      <c r="G364" s="349"/>
      <c r="H364" s="349"/>
      <c r="I364" s="349"/>
      <c r="J364" s="349"/>
      <c r="K364" s="349"/>
      <c r="L364" s="349"/>
      <c r="M364" s="349"/>
      <c r="N364" s="349"/>
    </row>
    <row r="365">
      <c r="A365" s="349"/>
      <c r="B365" s="346"/>
      <c r="C365" s="347"/>
      <c r="D365" s="346"/>
      <c r="E365" s="348"/>
      <c r="F365" s="346"/>
      <c r="G365" s="349"/>
      <c r="H365" s="349"/>
      <c r="I365" s="349"/>
      <c r="J365" s="349"/>
      <c r="K365" s="349"/>
      <c r="L365" s="349"/>
      <c r="M365" s="349"/>
      <c r="N365" s="349"/>
    </row>
    <row r="366">
      <c r="A366" s="349"/>
      <c r="B366" s="346"/>
      <c r="C366" s="347"/>
      <c r="D366" s="346"/>
      <c r="E366" s="348"/>
      <c r="F366" s="346"/>
      <c r="G366" s="349"/>
      <c r="H366" s="349"/>
      <c r="I366" s="349"/>
      <c r="J366" s="349"/>
      <c r="K366" s="349"/>
      <c r="L366" s="349"/>
      <c r="M366" s="349"/>
      <c r="N366" s="349"/>
    </row>
    <row r="367">
      <c r="A367" s="349"/>
      <c r="B367" s="346"/>
      <c r="C367" s="347"/>
      <c r="D367" s="346"/>
      <c r="E367" s="348"/>
      <c r="F367" s="346"/>
      <c r="G367" s="349"/>
      <c r="H367" s="349"/>
      <c r="I367" s="349"/>
      <c r="J367" s="349"/>
      <c r="K367" s="349"/>
      <c r="L367" s="349"/>
      <c r="M367" s="349"/>
      <c r="N367" s="349"/>
    </row>
    <row r="368">
      <c r="A368" s="349"/>
      <c r="B368" s="346"/>
      <c r="C368" s="347"/>
      <c r="D368" s="346"/>
      <c r="E368" s="348"/>
      <c r="F368" s="346"/>
      <c r="G368" s="349"/>
      <c r="H368" s="349"/>
      <c r="I368" s="349"/>
      <c r="J368" s="349"/>
      <c r="K368" s="349"/>
      <c r="L368" s="349"/>
      <c r="M368" s="349"/>
      <c r="N368" s="349"/>
    </row>
    <row r="369">
      <c r="A369" s="349"/>
      <c r="B369" s="346"/>
      <c r="C369" s="347"/>
      <c r="D369" s="346"/>
      <c r="E369" s="348"/>
      <c r="F369" s="346"/>
      <c r="G369" s="349"/>
      <c r="H369" s="349"/>
      <c r="I369" s="349"/>
      <c r="J369" s="349"/>
      <c r="K369" s="349"/>
      <c r="L369" s="349"/>
      <c r="M369" s="349"/>
      <c r="N369" s="349"/>
    </row>
    <row r="370">
      <c r="A370" s="349"/>
      <c r="B370" s="346"/>
      <c r="C370" s="347"/>
      <c r="D370" s="346"/>
      <c r="E370" s="348"/>
      <c r="F370" s="346"/>
      <c r="G370" s="349"/>
      <c r="H370" s="349"/>
      <c r="I370" s="349"/>
      <c r="J370" s="349"/>
      <c r="K370" s="349"/>
      <c r="L370" s="349"/>
      <c r="M370" s="349"/>
      <c r="N370" s="349"/>
    </row>
    <row r="371">
      <c r="A371" s="349"/>
      <c r="B371" s="346"/>
      <c r="C371" s="347"/>
      <c r="D371" s="346"/>
      <c r="E371" s="348"/>
      <c r="F371" s="346"/>
      <c r="G371" s="349"/>
      <c r="H371" s="349"/>
      <c r="I371" s="349"/>
      <c r="J371" s="349"/>
      <c r="K371" s="349"/>
      <c r="L371" s="349"/>
      <c r="M371" s="349"/>
      <c r="N371" s="349"/>
    </row>
    <row r="372">
      <c r="A372" s="349"/>
      <c r="B372" s="346"/>
      <c r="C372" s="347"/>
      <c r="D372" s="346"/>
      <c r="E372" s="348"/>
      <c r="F372" s="346"/>
      <c r="G372" s="349"/>
      <c r="H372" s="349"/>
      <c r="I372" s="349"/>
      <c r="J372" s="349"/>
      <c r="K372" s="349"/>
      <c r="L372" s="349"/>
      <c r="M372" s="349"/>
      <c r="N372" s="349"/>
    </row>
    <row r="373">
      <c r="A373" s="349"/>
      <c r="B373" s="346"/>
      <c r="C373" s="347"/>
      <c r="D373" s="346"/>
      <c r="E373" s="348"/>
      <c r="F373" s="346"/>
      <c r="G373" s="349"/>
      <c r="H373" s="349"/>
      <c r="I373" s="349"/>
      <c r="J373" s="349"/>
      <c r="K373" s="349"/>
      <c r="L373" s="349"/>
      <c r="M373" s="349"/>
      <c r="N373" s="349"/>
    </row>
    <row r="374">
      <c r="A374" s="349"/>
      <c r="B374" s="346"/>
      <c r="C374" s="347"/>
      <c r="D374" s="346"/>
      <c r="E374" s="348"/>
      <c r="F374" s="346"/>
      <c r="G374" s="349"/>
      <c r="H374" s="349"/>
      <c r="I374" s="349"/>
      <c r="J374" s="349"/>
      <c r="K374" s="349"/>
      <c r="L374" s="349"/>
      <c r="M374" s="349"/>
      <c r="N374" s="349"/>
    </row>
    <row r="375">
      <c r="A375" s="349"/>
      <c r="B375" s="346"/>
      <c r="C375" s="347"/>
      <c r="D375" s="346"/>
      <c r="E375" s="348"/>
      <c r="F375" s="346"/>
      <c r="G375" s="349"/>
      <c r="H375" s="349"/>
      <c r="I375" s="349"/>
      <c r="J375" s="349"/>
      <c r="K375" s="349"/>
      <c r="L375" s="349"/>
      <c r="M375" s="349"/>
      <c r="N375" s="349"/>
    </row>
    <row r="376">
      <c r="A376" s="349"/>
      <c r="B376" s="346"/>
      <c r="C376" s="347"/>
      <c r="D376" s="346"/>
      <c r="E376" s="348"/>
      <c r="F376" s="346"/>
      <c r="G376" s="349"/>
      <c r="H376" s="349"/>
      <c r="I376" s="349"/>
      <c r="J376" s="349"/>
      <c r="K376" s="349"/>
      <c r="L376" s="349"/>
      <c r="M376" s="349"/>
      <c r="N376" s="349"/>
    </row>
    <row r="377">
      <c r="A377" s="349"/>
      <c r="B377" s="346"/>
      <c r="C377" s="347"/>
      <c r="D377" s="346"/>
      <c r="E377" s="348"/>
      <c r="F377" s="346"/>
      <c r="G377" s="349"/>
      <c r="H377" s="349"/>
      <c r="I377" s="349"/>
      <c r="J377" s="349"/>
      <c r="K377" s="349"/>
      <c r="L377" s="349"/>
      <c r="M377" s="349"/>
      <c r="N377" s="349"/>
    </row>
    <row r="378">
      <c r="A378" s="349"/>
      <c r="B378" s="346"/>
      <c r="C378" s="347"/>
      <c r="D378" s="346"/>
      <c r="E378" s="348"/>
      <c r="F378" s="346"/>
      <c r="G378" s="349"/>
      <c r="H378" s="349"/>
      <c r="I378" s="349"/>
      <c r="J378" s="349"/>
      <c r="K378" s="349"/>
      <c r="L378" s="349"/>
      <c r="M378" s="349"/>
      <c r="N378" s="349"/>
    </row>
    <row r="379">
      <c r="A379" s="349"/>
      <c r="B379" s="346"/>
      <c r="C379" s="347"/>
      <c r="D379" s="346"/>
      <c r="E379" s="348"/>
      <c r="F379" s="346"/>
      <c r="G379" s="349"/>
      <c r="H379" s="349"/>
      <c r="I379" s="349"/>
      <c r="J379" s="349"/>
      <c r="K379" s="349"/>
      <c r="L379" s="349"/>
      <c r="M379" s="349"/>
      <c r="N379" s="349"/>
    </row>
    <row r="380">
      <c r="A380" s="349"/>
      <c r="B380" s="346"/>
      <c r="C380" s="347"/>
      <c r="D380" s="346"/>
      <c r="E380" s="348"/>
      <c r="F380" s="346"/>
      <c r="G380" s="349"/>
      <c r="H380" s="349"/>
      <c r="I380" s="349"/>
      <c r="J380" s="349"/>
      <c r="K380" s="349"/>
      <c r="L380" s="349"/>
      <c r="M380" s="349"/>
      <c r="N380" s="349"/>
    </row>
    <row r="381">
      <c r="A381" s="349"/>
      <c r="B381" s="346"/>
      <c r="C381" s="347"/>
      <c r="D381" s="346"/>
      <c r="E381" s="348"/>
      <c r="F381" s="346"/>
      <c r="G381" s="349"/>
      <c r="H381" s="349"/>
      <c r="I381" s="349"/>
      <c r="J381" s="349"/>
      <c r="K381" s="349"/>
      <c r="L381" s="349"/>
      <c r="M381" s="349"/>
      <c r="N381" s="349"/>
    </row>
    <row r="382">
      <c r="A382" s="349"/>
      <c r="B382" s="346"/>
      <c r="C382" s="347"/>
      <c r="D382" s="346"/>
      <c r="E382" s="348"/>
      <c r="F382" s="346"/>
      <c r="G382" s="349"/>
      <c r="H382" s="349"/>
      <c r="I382" s="349"/>
      <c r="J382" s="349"/>
      <c r="K382" s="349"/>
      <c r="L382" s="349"/>
      <c r="M382" s="349"/>
      <c r="N382" s="349"/>
    </row>
    <row r="383">
      <c r="A383" s="349"/>
      <c r="B383" s="346"/>
      <c r="C383" s="347"/>
      <c r="D383" s="346"/>
      <c r="E383" s="348"/>
      <c r="F383" s="346"/>
      <c r="G383" s="349"/>
      <c r="H383" s="349"/>
      <c r="I383" s="349"/>
      <c r="J383" s="349"/>
      <c r="K383" s="349"/>
      <c r="L383" s="349"/>
      <c r="M383" s="349"/>
      <c r="N383" s="349"/>
    </row>
    <row r="384">
      <c r="A384" s="349"/>
      <c r="B384" s="346"/>
      <c r="C384" s="347"/>
      <c r="D384" s="346"/>
      <c r="E384" s="348"/>
      <c r="F384" s="346"/>
      <c r="G384" s="349"/>
      <c r="H384" s="349"/>
      <c r="I384" s="349"/>
      <c r="J384" s="349"/>
      <c r="K384" s="349"/>
      <c r="L384" s="349"/>
      <c r="M384" s="349"/>
      <c r="N384" s="349"/>
    </row>
    <row r="385">
      <c r="A385" s="349"/>
      <c r="B385" s="346"/>
      <c r="C385" s="347"/>
      <c r="D385" s="346"/>
      <c r="E385" s="348"/>
      <c r="F385" s="346"/>
      <c r="G385" s="349"/>
      <c r="H385" s="349"/>
      <c r="I385" s="349"/>
      <c r="J385" s="349"/>
      <c r="K385" s="349"/>
      <c r="L385" s="349"/>
      <c r="M385" s="349"/>
      <c r="N385" s="349"/>
    </row>
    <row r="386">
      <c r="A386" s="349"/>
      <c r="B386" s="346"/>
      <c r="C386" s="347"/>
      <c r="D386" s="346"/>
      <c r="E386" s="348"/>
      <c r="F386" s="346"/>
      <c r="G386" s="349"/>
      <c r="H386" s="349"/>
      <c r="I386" s="349"/>
      <c r="J386" s="349"/>
      <c r="K386" s="349"/>
      <c r="L386" s="349"/>
      <c r="M386" s="349"/>
      <c r="N386" s="349"/>
    </row>
    <row r="387">
      <c r="A387" s="349"/>
      <c r="B387" s="346"/>
      <c r="C387" s="347"/>
      <c r="D387" s="346"/>
      <c r="E387" s="348"/>
      <c r="F387" s="346"/>
      <c r="G387" s="349"/>
      <c r="H387" s="349"/>
      <c r="I387" s="349"/>
      <c r="J387" s="349"/>
      <c r="K387" s="349"/>
      <c r="L387" s="349"/>
      <c r="M387" s="349"/>
      <c r="N387" s="349"/>
    </row>
    <row r="388">
      <c r="A388" s="349"/>
      <c r="B388" s="346"/>
      <c r="C388" s="347"/>
      <c r="D388" s="346"/>
      <c r="E388" s="348"/>
      <c r="F388" s="346"/>
      <c r="G388" s="349"/>
      <c r="H388" s="349"/>
      <c r="I388" s="349"/>
      <c r="J388" s="349"/>
      <c r="K388" s="349"/>
      <c r="L388" s="349"/>
      <c r="M388" s="349"/>
      <c r="N388" s="349"/>
    </row>
    <row r="389">
      <c r="A389" s="349"/>
      <c r="B389" s="346"/>
      <c r="C389" s="347"/>
      <c r="D389" s="346"/>
      <c r="E389" s="348"/>
      <c r="F389" s="346"/>
      <c r="G389" s="349"/>
      <c r="H389" s="349"/>
      <c r="I389" s="349"/>
      <c r="J389" s="349"/>
      <c r="K389" s="349"/>
      <c r="L389" s="349"/>
      <c r="M389" s="349"/>
      <c r="N389" s="349"/>
    </row>
    <row r="390">
      <c r="A390" s="349"/>
      <c r="B390" s="346"/>
      <c r="C390" s="347"/>
      <c r="D390" s="346"/>
      <c r="E390" s="348"/>
      <c r="F390" s="346"/>
      <c r="G390" s="349"/>
      <c r="H390" s="349"/>
      <c r="I390" s="349"/>
      <c r="J390" s="349"/>
      <c r="K390" s="349"/>
      <c r="L390" s="349"/>
      <c r="M390" s="349"/>
      <c r="N390" s="349"/>
    </row>
    <row r="391">
      <c r="A391" s="349"/>
      <c r="B391" s="346"/>
      <c r="C391" s="347"/>
      <c r="D391" s="346"/>
      <c r="E391" s="348"/>
      <c r="F391" s="346"/>
      <c r="G391" s="349"/>
      <c r="H391" s="349"/>
      <c r="I391" s="349"/>
      <c r="J391" s="349"/>
      <c r="K391" s="349"/>
      <c r="L391" s="349"/>
      <c r="M391" s="349"/>
      <c r="N391" s="349"/>
    </row>
    <row r="392">
      <c r="A392" s="349"/>
      <c r="B392" s="346"/>
      <c r="C392" s="347"/>
      <c r="D392" s="346"/>
      <c r="E392" s="348"/>
      <c r="F392" s="346"/>
      <c r="G392" s="349"/>
      <c r="H392" s="349"/>
      <c r="I392" s="349"/>
      <c r="J392" s="349"/>
      <c r="K392" s="349"/>
      <c r="L392" s="349"/>
      <c r="M392" s="349"/>
      <c r="N392" s="349"/>
    </row>
    <row r="393">
      <c r="A393" s="349"/>
      <c r="B393" s="346"/>
      <c r="C393" s="347"/>
      <c r="D393" s="346"/>
      <c r="E393" s="348"/>
      <c r="F393" s="346"/>
      <c r="G393" s="349"/>
      <c r="H393" s="349"/>
      <c r="I393" s="349"/>
      <c r="J393" s="349"/>
      <c r="K393" s="349"/>
      <c r="L393" s="349"/>
      <c r="M393" s="349"/>
      <c r="N393" s="349"/>
    </row>
    <row r="394">
      <c r="A394" s="349"/>
      <c r="B394" s="346"/>
      <c r="C394" s="347"/>
      <c r="D394" s="346"/>
      <c r="E394" s="348"/>
      <c r="F394" s="346"/>
      <c r="G394" s="349"/>
      <c r="H394" s="349"/>
      <c r="I394" s="349"/>
      <c r="J394" s="349"/>
      <c r="K394" s="349"/>
      <c r="L394" s="349"/>
      <c r="M394" s="349"/>
      <c r="N394" s="349"/>
    </row>
    <row r="395">
      <c r="A395" s="349"/>
      <c r="B395" s="346"/>
      <c r="C395" s="347"/>
      <c r="D395" s="346"/>
      <c r="E395" s="348"/>
      <c r="F395" s="346"/>
      <c r="G395" s="349"/>
      <c r="H395" s="349"/>
      <c r="I395" s="349"/>
      <c r="J395" s="349"/>
      <c r="K395" s="349"/>
      <c r="L395" s="349"/>
      <c r="M395" s="349"/>
      <c r="N395" s="349"/>
    </row>
    <row r="396">
      <c r="A396" s="349"/>
      <c r="B396" s="346"/>
      <c r="C396" s="347"/>
      <c r="D396" s="346"/>
      <c r="E396" s="348"/>
      <c r="F396" s="346"/>
      <c r="G396" s="349"/>
      <c r="H396" s="349"/>
      <c r="I396" s="349"/>
      <c r="J396" s="349"/>
      <c r="K396" s="349"/>
      <c r="L396" s="349"/>
      <c r="M396" s="349"/>
      <c r="N396" s="349"/>
    </row>
    <row r="397">
      <c r="A397" s="349"/>
      <c r="B397" s="346"/>
      <c r="C397" s="347"/>
      <c r="D397" s="346"/>
      <c r="E397" s="348"/>
      <c r="F397" s="346"/>
      <c r="G397" s="349"/>
      <c r="H397" s="349"/>
      <c r="I397" s="349"/>
      <c r="J397" s="349"/>
      <c r="K397" s="349"/>
      <c r="L397" s="349"/>
      <c r="M397" s="349"/>
      <c r="N397" s="349"/>
    </row>
    <row r="398">
      <c r="A398" s="349"/>
      <c r="B398" s="346"/>
      <c r="C398" s="347"/>
      <c r="D398" s="346"/>
      <c r="E398" s="348"/>
      <c r="F398" s="346"/>
      <c r="G398" s="349"/>
      <c r="H398" s="349"/>
      <c r="I398" s="349"/>
      <c r="J398" s="349"/>
      <c r="K398" s="349"/>
      <c r="L398" s="349"/>
      <c r="M398" s="349"/>
      <c r="N398" s="349"/>
    </row>
    <row r="399">
      <c r="A399" s="349"/>
      <c r="B399" s="346"/>
      <c r="C399" s="347"/>
      <c r="D399" s="346"/>
      <c r="E399" s="348"/>
      <c r="F399" s="346"/>
      <c r="G399" s="349"/>
      <c r="H399" s="349"/>
      <c r="I399" s="349"/>
      <c r="J399" s="349"/>
      <c r="K399" s="349"/>
      <c r="L399" s="349"/>
      <c r="M399" s="349"/>
      <c r="N399" s="349"/>
    </row>
    <row r="400">
      <c r="A400" s="349"/>
      <c r="B400" s="346"/>
      <c r="C400" s="347"/>
      <c r="D400" s="346"/>
      <c r="E400" s="348"/>
      <c r="F400" s="346"/>
      <c r="G400" s="349"/>
      <c r="H400" s="349"/>
      <c r="I400" s="349"/>
      <c r="J400" s="349"/>
      <c r="K400" s="349"/>
      <c r="L400" s="349"/>
      <c r="M400" s="349"/>
      <c r="N400" s="349"/>
    </row>
    <row r="401">
      <c r="A401" s="349"/>
      <c r="B401" s="346"/>
      <c r="C401" s="347"/>
      <c r="D401" s="346"/>
      <c r="E401" s="348"/>
      <c r="F401" s="346"/>
      <c r="G401" s="349"/>
      <c r="H401" s="349"/>
      <c r="I401" s="349"/>
      <c r="J401" s="349"/>
      <c r="K401" s="349"/>
      <c r="L401" s="349"/>
      <c r="M401" s="349"/>
      <c r="N401" s="349"/>
    </row>
    <row r="402">
      <c r="A402" s="349"/>
      <c r="B402" s="346"/>
      <c r="C402" s="347"/>
      <c r="D402" s="346"/>
      <c r="E402" s="348"/>
      <c r="F402" s="346"/>
      <c r="G402" s="349"/>
      <c r="H402" s="349"/>
      <c r="I402" s="349"/>
      <c r="J402" s="349"/>
      <c r="K402" s="349"/>
      <c r="L402" s="349"/>
      <c r="M402" s="349"/>
      <c r="N402" s="349"/>
    </row>
    <row r="403">
      <c r="A403" s="349"/>
      <c r="B403" s="346"/>
      <c r="C403" s="347"/>
      <c r="D403" s="346"/>
      <c r="E403" s="348"/>
      <c r="F403" s="346"/>
      <c r="G403" s="349"/>
      <c r="H403" s="349"/>
      <c r="I403" s="349"/>
      <c r="J403" s="349"/>
      <c r="K403" s="349"/>
      <c r="L403" s="349"/>
      <c r="M403" s="349"/>
      <c r="N403" s="349"/>
    </row>
    <row r="404">
      <c r="A404" s="349"/>
      <c r="B404" s="346"/>
      <c r="C404" s="347"/>
      <c r="D404" s="346"/>
      <c r="E404" s="348"/>
      <c r="F404" s="346"/>
      <c r="G404" s="349"/>
      <c r="H404" s="349"/>
      <c r="I404" s="349"/>
      <c r="J404" s="349"/>
      <c r="K404" s="349"/>
      <c r="L404" s="349"/>
      <c r="M404" s="349"/>
      <c r="N404" s="349"/>
    </row>
    <row r="405">
      <c r="A405" s="349"/>
      <c r="B405" s="346"/>
      <c r="C405" s="347"/>
      <c r="D405" s="346"/>
      <c r="E405" s="348"/>
      <c r="F405" s="346"/>
      <c r="G405" s="349"/>
      <c r="H405" s="349"/>
      <c r="I405" s="349"/>
      <c r="J405" s="349"/>
      <c r="K405" s="349"/>
      <c r="L405" s="349"/>
      <c r="M405" s="349"/>
      <c r="N405" s="349"/>
    </row>
    <row r="406">
      <c r="A406" s="349"/>
      <c r="B406" s="346"/>
      <c r="C406" s="347"/>
      <c r="D406" s="346"/>
      <c r="E406" s="348"/>
      <c r="F406" s="346"/>
      <c r="G406" s="349"/>
      <c r="H406" s="349"/>
      <c r="I406" s="349"/>
      <c r="J406" s="349"/>
      <c r="K406" s="349"/>
      <c r="L406" s="349"/>
      <c r="M406" s="349"/>
      <c r="N406" s="349"/>
    </row>
    <row r="407">
      <c r="A407" s="349"/>
      <c r="B407" s="346"/>
      <c r="C407" s="347"/>
      <c r="D407" s="346"/>
      <c r="E407" s="348"/>
      <c r="F407" s="346"/>
      <c r="G407" s="349"/>
      <c r="H407" s="349"/>
      <c r="I407" s="349"/>
      <c r="J407" s="349"/>
      <c r="K407" s="349"/>
      <c r="L407" s="349"/>
      <c r="M407" s="349"/>
      <c r="N407" s="349"/>
    </row>
    <row r="408">
      <c r="A408" s="349"/>
      <c r="B408" s="346"/>
      <c r="C408" s="347"/>
      <c r="D408" s="346"/>
      <c r="E408" s="348"/>
      <c r="F408" s="346"/>
      <c r="G408" s="349"/>
      <c r="H408" s="349"/>
      <c r="I408" s="349"/>
      <c r="J408" s="349"/>
      <c r="K408" s="349"/>
      <c r="L408" s="349"/>
      <c r="M408" s="349"/>
      <c r="N408" s="349"/>
    </row>
    <row r="409">
      <c r="A409" s="349"/>
      <c r="B409" s="346"/>
      <c r="C409" s="347"/>
      <c r="D409" s="346"/>
      <c r="E409" s="348"/>
      <c r="F409" s="346"/>
      <c r="G409" s="349"/>
      <c r="H409" s="349"/>
      <c r="I409" s="349"/>
      <c r="J409" s="349"/>
      <c r="K409" s="349"/>
      <c r="L409" s="349"/>
      <c r="M409" s="349"/>
      <c r="N409" s="349"/>
    </row>
    <row r="410">
      <c r="A410" s="349"/>
      <c r="B410" s="346"/>
      <c r="C410" s="347"/>
      <c r="D410" s="346"/>
      <c r="E410" s="348"/>
      <c r="F410" s="346"/>
      <c r="G410" s="349"/>
      <c r="H410" s="349"/>
      <c r="I410" s="349"/>
      <c r="J410" s="349"/>
      <c r="K410" s="349"/>
      <c r="L410" s="349"/>
      <c r="M410" s="349"/>
      <c r="N410" s="349"/>
    </row>
    <row r="411">
      <c r="A411" s="349"/>
      <c r="B411" s="346"/>
      <c r="C411" s="347"/>
      <c r="D411" s="346"/>
      <c r="E411" s="348"/>
      <c r="F411" s="346"/>
      <c r="G411" s="349"/>
      <c r="H411" s="349"/>
      <c r="I411" s="349"/>
      <c r="J411" s="349"/>
      <c r="K411" s="349"/>
      <c r="L411" s="349"/>
      <c r="M411" s="349"/>
      <c r="N411" s="349"/>
    </row>
    <row r="412">
      <c r="A412" s="349"/>
      <c r="B412" s="346"/>
      <c r="C412" s="347"/>
      <c r="D412" s="346"/>
      <c r="E412" s="348"/>
      <c r="F412" s="346"/>
      <c r="G412" s="349"/>
      <c r="H412" s="349"/>
      <c r="I412" s="349"/>
      <c r="J412" s="349"/>
      <c r="K412" s="349"/>
      <c r="L412" s="349"/>
      <c r="M412" s="349"/>
      <c r="N412" s="349"/>
    </row>
    <row r="413">
      <c r="A413" s="349"/>
      <c r="B413" s="346"/>
      <c r="C413" s="347"/>
      <c r="D413" s="346"/>
      <c r="E413" s="348"/>
      <c r="F413" s="346"/>
      <c r="G413" s="349"/>
      <c r="H413" s="349"/>
      <c r="I413" s="349"/>
      <c r="J413" s="349"/>
      <c r="K413" s="349"/>
      <c r="L413" s="349"/>
      <c r="M413" s="349"/>
      <c r="N413" s="349"/>
    </row>
    <row r="414">
      <c r="A414" s="349"/>
      <c r="B414" s="346"/>
      <c r="C414" s="347"/>
      <c r="D414" s="346"/>
      <c r="E414" s="348"/>
      <c r="F414" s="346"/>
      <c r="G414" s="349"/>
      <c r="H414" s="349"/>
      <c r="I414" s="349"/>
      <c r="J414" s="349"/>
      <c r="K414" s="349"/>
      <c r="L414" s="349"/>
      <c r="M414" s="349"/>
      <c r="N414" s="349"/>
    </row>
    <row r="415">
      <c r="A415" s="349"/>
      <c r="B415" s="346"/>
      <c r="C415" s="347"/>
      <c r="D415" s="346"/>
      <c r="E415" s="348"/>
      <c r="F415" s="346"/>
      <c r="G415" s="349"/>
      <c r="H415" s="349"/>
      <c r="I415" s="349"/>
      <c r="J415" s="349"/>
      <c r="K415" s="349"/>
      <c r="L415" s="349"/>
      <c r="M415" s="349"/>
      <c r="N415" s="349"/>
    </row>
    <row r="416">
      <c r="A416" s="349"/>
      <c r="B416" s="346"/>
      <c r="C416" s="347"/>
      <c r="D416" s="346"/>
      <c r="E416" s="348"/>
      <c r="F416" s="346"/>
      <c r="G416" s="349"/>
      <c r="H416" s="349"/>
      <c r="I416" s="349"/>
      <c r="J416" s="349"/>
      <c r="K416" s="349"/>
      <c r="L416" s="349"/>
      <c r="M416" s="349"/>
      <c r="N416" s="349"/>
    </row>
    <row r="417">
      <c r="A417" s="349"/>
      <c r="B417" s="346"/>
      <c r="C417" s="347"/>
      <c r="D417" s="346"/>
      <c r="E417" s="348"/>
      <c r="F417" s="346"/>
      <c r="G417" s="349"/>
      <c r="H417" s="349"/>
      <c r="I417" s="349"/>
      <c r="J417" s="349"/>
      <c r="K417" s="349"/>
      <c r="L417" s="349"/>
      <c r="M417" s="349"/>
      <c r="N417" s="349"/>
    </row>
    <row r="418">
      <c r="A418" s="349"/>
      <c r="B418" s="346"/>
      <c r="C418" s="347"/>
      <c r="D418" s="346"/>
      <c r="E418" s="348"/>
      <c r="F418" s="346"/>
      <c r="G418" s="349"/>
      <c r="H418" s="349"/>
      <c r="I418" s="349"/>
      <c r="J418" s="349"/>
      <c r="K418" s="349"/>
      <c r="L418" s="349"/>
      <c r="M418" s="349"/>
      <c r="N418" s="349"/>
    </row>
    <row r="419">
      <c r="A419" s="349"/>
      <c r="B419" s="346"/>
      <c r="C419" s="347"/>
      <c r="D419" s="346"/>
      <c r="E419" s="348"/>
      <c r="F419" s="346"/>
      <c r="G419" s="349"/>
      <c r="H419" s="349"/>
      <c r="I419" s="349"/>
      <c r="J419" s="349"/>
      <c r="K419" s="349"/>
      <c r="L419" s="349"/>
      <c r="M419" s="349"/>
      <c r="N419" s="349"/>
    </row>
    <row r="420">
      <c r="A420" s="349"/>
      <c r="B420" s="346"/>
      <c r="C420" s="347"/>
      <c r="D420" s="346"/>
      <c r="E420" s="348"/>
      <c r="F420" s="346"/>
      <c r="G420" s="349"/>
      <c r="H420" s="349"/>
      <c r="I420" s="349"/>
      <c r="J420" s="349"/>
      <c r="K420" s="349"/>
      <c r="L420" s="349"/>
      <c r="M420" s="349"/>
      <c r="N420" s="349"/>
    </row>
    <row r="421">
      <c r="A421" s="349"/>
      <c r="B421" s="346"/>
      <c r="C421" s="347"/>
      <c r="D421" s="346"/>
      <c r="E421" s="348"/>
      <c r="F421" s="346"/>
      <c r="G421" s="349"/>
      <c r="H421" s="349"/>
      <c r="I421" s="349"/>
      <c r="J421" s="349"/>
      <c r="K421" s="349"/>
      <c r="L421" s="349"/>
      <c r="M421" s="349"/>
      <c r="N421" s="349"/>
    </row>
    <row r="422">
      <c r="A422" s="349"/>
      <c r="B422" s="346"/>
      <c r="C422" s="347"/>
      <c r="D422" s="346"/>
      <c r="E422" s="348"/>
      <c r="F422" s="346"/>
      <c r="G422" s="349"/>
      <c r="H422" s="349"/>
      <c r="I422" s="349"/>
      <c r="J422" s="349"/>
      <c r="K422" s="349"/>
      <c r="L422" s="349"/>
      <c r="M422" s="349"/>
      <c r="N422" s="349"/>
    </row>
    <row r="423">
      <c r="A423" s="349"/>
      <c r="B423" s="346"/>
      <c r="C423" s="347"/>
      <c r="D423" s="346"/>
      <c r="E423" s="348"/>
      <c r="F423" s="346"/>
      <c r="G423" s="349"/>
      <c r="H423" s="349"/>
      <c r="I423" s="349"/>
      <c r="J423" s="349"/>
      <c r="K423" s="349"/>
      <c r="L423" s="349"/>
      <c r="M423" s="349"/>
      <c r="N423" s="349"/>
    </row>
    <row r="424">
      <c r="A424" s="349"/>
      <c r="B424" s="346"/>
      <c r="C424" s="347"/>
      <c r="D424" s="346"/>
      <c r="E424" s="348"/>
      <c r="F424" s="346"/>
      <c r="G424" s="349"/>
      <c r="H424" s="349"/>
      <c r="I424" s="349"/>
      <c r="J424" s="349"/>
      <c r="K424" s="349"/>
      <c r="L424" s="349"/>
      <c r="M424" s="349"/>
      <c r="N424" s="349"/>
    </row>
    <row r="425">
      <c r="A425" s="349"/>
      <c r="B425" s="346"/>
      <c r="C425" s="347"/>
      <c r="D425" s="346"/>
      <c r="E425" s="348"/>
      <c r="F425" s="346"/>
      <c r="G425" s="349"/>
      <c r="H425" s="349"/>
      <c r="I425" s="349"/>
      <c r="J425" s="349"/>
      <c r="K425" s="349"/>
      <c r="L425" s="349"/>
      <c r="M425" s="349"/>
      <c r="N425" s="349"/>
    </row>
    <row r="426">
      <c r="A426" s="349"/>
      <c r="B426" s="346"/>
      <c r="C426" s="347"/>
      <c r="D426" s="346"/>
      <c r="E426" s="348"/>
      <c r="F426" s="346"/>
      <c r="G426" s="349"/>
      <c r="H426" s="349"/>
      <c r="I426" s="349"/>
      <c r="J426" s="349"/>
      <c r="K426" s="349"/>
      <c r="L426" s="349"/>
      <c r="M426" s="349"/>
      <c r="N426" s="349"/>
    </row>
    <row r="427">
      <c r="A427" s="349"/>
      <c r="B427" s="346"/>
      <c r="C427" s="347"/>
      <c r="D427" s="346"/>
      <c r="E427" s="348"/>
      <c r="F427" s="346"/>
      <c r="G427" s="349"/>
      <c r="H427" s="349"/>
      <c r="I427" s="349"/>
      <c r="J427" s="349"/>
      <c r="K427" s="349"/>
      <c r="L427" s="349"/>
      <c r="M427" s="349"/>
      <c r="N427" s="349"/>
    </row>
    <row r="428">
      <c r="A428" s="349"/>
      <c r="B428" s="346"/>
      <c r="C428" s="347"/>
      <c r="D428" s="346"/>
      <c r="E428" s="348"/>
      <c r="F428" s="346"/>
      <c r="G428" s="349"/>
      <c r="H428" s="349"/>
      <c r="I428" s="349"/>
      <c r="J428" s="349"/>
      <c r="K428" s="349"/>
      <c r="L428" s="349"/>
      <c r="M428" s="349"/>
      <c r="N428" s="349"/>
    </row>
    <row r="429">
      <c r="A429" s="349"/>
      <c r="B429" s="346"/>
      <c r="C429" s="347"/>
      <c r="D429" s="346"/>
      <c r="E429" s="348"/>
      <c r="F429" s="346"/>
      <c r="G429" s="349"/>
      <c r="H429" s="349"/>
      <c r="I429" s="349"/>
      <c r="J429" s="349"/>
      <c r="K429" s="349"/>
      <c r="L429" s="349"/>
      <c r="M429" s="349"/>
      <c r="N429" s="349"/>
    </row>
    <row r="430">
      <c r="A430" s="349"/>
      <c r="B430" s="346"/>
      <c r="C430" s="347"/>
      <c r="D430" s="346"/>
      <c r="E430" s="348"/>
      <c r="F430" s="346"/>
      <c r="G430" s="349"/>
      <c r="H430" s="349"/>
      <c r="I430" s="349"/>
      <c r="J430" s="349"/>
      <c r="K430" s="349"/>
      <c r="L430" s="349"/>
      <c r="M430" s="349"/>
      <c r="N430" s="349"/>
    </row>
    <row r="431">
      <c r="A431" s="349"/>
      <c r="B431" s="346"/>
      <c r="C431" s="347"/>
      <c r="D431" s="346"/>
      <c r="E431" s="348"/>
      <c r="F431" s="346"/>
      <c r="G431" s="349"/>
      <c r="H431" s="349"/>
      <c r="I431" s="349"/>
      <c r="J431" s="349"/>
      <c r="K431" s="349"/>
      <c r="L431" s="349"/>
      <c r="M431" s="349"/>
      <c r="N431" s="349"/>
    </row>
    <row r="432">
      <c r="A432" s="349"/>
      <c r="B432" s="346"/>
      <c r="C432" s="347"/>
      <c r="D432" s="346"/>
      <c r="E432" s="348"/>
      <c r="F432" s="346"/>
      <c r="G432" s="349"/>
      <c r="H432" s="349"/>
      <c r="I432" s="349"/>
      <c r="J432" s="349"/>
      <c r="K432" s="349"/>
      <c r="L432" s="349"/>
      <c r="M432" s="349"/>
      <c r="N432" s="349"/>
    </row>
    <row r="433">
      <c r="A433" s="349"/>
      <c r="B433" s="346"/>
      <c r="C433" s="347"/>
      <c r="D433" s="346"/>
      <c r="E433" s="348"/>
      <c r="F433" s="346"/>
      <c r="G433" s="349"/>
      <c r="H433" s="349"/>
      <c r="I433" s="349"/>
      <c r="J433" s="349"/>
      <c r="K433" s="349"/>
      <c r="L433" s="349"/>
      <c r="M433" s="349"/>
      <c r="N433" s="349"/>
    </row>
    <row r="434">
      <c r="A434" s="349"/>
      <c r="B434" s="346"/>
      <c r="C434" s="347"/>
      <c r="D434" s="346"/>
      <c r="E434" s="348"/>
      <c r="F434" s="346"/>
      <c r="G434" s="349"/>
      <c r="H434" s="349"/>
      <c r="I434" s="349"/>
      <c r="J434" s="349"/>
      <c r="K434" s="349"/>
      <c r="L434" s="349"/>
      <c r="M434" s="349"/>
      <c r="N434" s="349"/>
    </row>
    <row r="435">
      <c r="A435" s="349"/>
      <c r="B435" s="346"/>
      <c r="C435" s="347"/>
      <c r="D435" s="346"/>
      <c r="E435" s="348"/>
      <c r="F435" s="346"/>
      <c r="G435" s="349"/>
      <c r="H435" s="349"/>
      <c r="I435" s="349"/>
      <c r="J435" s="349"/>
      <c r="K435" s="349"/>
      <c r="L435" s="349"/>
      <c r="M435" s="349"/>
      <c r="N435" s="349"/>
    </row>
    <row r="436">
      <c r="A436" s="349"/>
      <c r="B436" s="346"/>
      <c r="C436" s="347"/>
      <c r="D436" s="346"/>
      <c r="E436" s="348"/>
      <c r="F436" s="346"/>
      <c r="G436" s="349"/>
      <c r="H436" s="349"/>
      <c r="I436" s="349"/>
      <c r="J436" s="349"/>
      <c r="K436" s="349"/>
      <c r="L436" s="349"/>
      <c r="M436" s="349"/>
      <c r="N436" s="349"/>
    </row>
    <row r="437">
      <c r="A437" s="349"/>
      <c r="B437" s="346"/>
      <c r="C437" s="347"/>
      <c r="D437" s="346"/>
      <c r="E437" s="348"/>
      <c r="F437" s="346"/>
      <c r="G437" s="349"/>
      <c r="H437" s="349"/>
      <c r="I437" s="349"/>
      <c r="J437" s="349"/>
      <c r="K437" s="349"/>
      <c r="L437" s="349"/>
      <c r="M437" s="349"/>
      <c r="N437" s="349"/>
    </row>
    <row r="438">
      <c r="A438" s="349"/>
      <c r="B438" s="346"/>
      <c r="C438" s="347"/>
      <c r="D438" s="346"/>
      <c r="E438" s="348"/>
      <c r="F438" s="346"/>
      <c r="G438" s="349"/>
      <c r="H438" s="349"/>
      <c r="I438" s="349"/>
      <c r="J438" s="349"/>
      <c r="K438" s="349"/>
      <c r="L438" s="349"/>
      <c r="M438" s="349"/>
      <c r="N438" s="349"/>
    </row>
    <row r="439">
      <c r="A439" s="349"/>
      <c r="B439" s="346"/>
      <c r="C439" s="347"/>
      <c r="D439" s="346"/>
      <c r="E439" s="348"/>
      <c r="F439" s="346"/>
      <c r="G439" s="349"/>
      <c r="H439" s="349"/>
      <c r="I439" s="349"/>
      <c r="J439" s="349"/>
      <c r="K439" s="349"/>
      <c r="L439" s="349"/>
      <c r="M439" s="349"/>
      <c r="N439" s="349"/>
    </row>
    <row r="440">
      <c r="A440" s="349"/>
      <c r="B440" s="346"/>
      <c r="C440" s="347"/>
      <c r="D440" s="346"/>
      <c r="E440" s="348"/>
      <c r="F440" s="346"/>
      <c r="G440" s="349"/>
      <c r="H440" s="349"/>
      <c r="I440" s="349"/>
      <c r="J440" s="349"/>
      <c r="K440" s="349"/>
      <c r="L440" s="349"/>
      <c r="M440" s="349"/>
      <c r="N440" s="349"/>
    </row>
    <row r="441">
      <c r="A441" s="349"/>
      <c r="B441" s="346"/>
      <c r="C441" s="347"/>
      <c r="D441" s="346"/>
      <c r="E441" s="348"/>
      <c r="F441" s="346"/>
      <c r="G441" s="349"/>
      <c r="H441" s="349"/>
      <c r="I441" s="349"/>
      <c r="J441" s="349"/>
      <c r="K441" s="349"/>
      <c r="L441" s="349"/>
      <c r="M441" s="349"/>
      <c r="N441" s="349"/>
    </row>
    <row r="442">
      <c r="A442" s="349"/>
      <c r="B442" s="346"/>
      <c r="C442" s="347"/>
      <c r="D442" s="346"/>
      <c r="E442" s="348"/>
      <c r="F442" s="346"/>
      <c r="G442" s="349"/>
      <c r="H442" s="349"/>
      <c r="I442" s="349"/>
      <c r="J442" s="349"/>
      <c r="K442" s="349"/>
      <c r="L442" s="349"/>
      <c r="M442" s="349"/>
      <c r="N442" s="349"/>
    </row>
    <row r="443">
      <c r="A443" s="349"/>
      <c r="B443" s="346"/>
      <c r="C443" s="347"/>
      <c r="D443" s="346"/>
      <c r="E443" s="348"/>
      <c r="F443" s="346"/>
      <c r="G443" s="349"/>
      <c r="H443" s="349"/>
      <c r="I443" s="349"/>
      <c r="J443" s="349"/>
      <c r="K443" s="349"/>
      <c r="L443" s="349"/>
      <c r="M443" s="349"/>
      <c r="N443" s="349"/>
    </row>
    <row r="444">
      <c r="A444" s="349"/>
      <c r="B444" s="346"/>
      <c r="C444" s="347"/>
      <c r="D444" s="346"/>
      <c r="E444" s="348"/>
      <c r="F444" s="346"/>
      <c r="G444" s="349"/>
      <c r="H444" s="349"/>
      <c r="I444" s="349"/>
      <c r="J444" s="349"/>
      <c r="K444" s="349"/>
      <c r="L444" s="349"/>
      <c r="M444" s="349"/>
      <c r="N444" s="349"/>
    </row>
    <row r="445">
      <c r="A445" s="349"/>
      <c r="B445" s="346"/>
      <c r="C445" s="347"/>
      <c r="D445" s="346"/>
      <c r="E445" s="348"/>
      <c r="F445" s="346"/>
      <c r="G445" s="349"/>
      <c r="H445" s="349"/>
      <c r="I445" s="349"/>
      <c r="J445" s="349"/>
      <c r="K445" s="349"/>
      <c r="L445" s="349"/>
      <c r="M445" s="349"/>
      <c r="N445" s="349"/>
    </row>
    <row r="446">
      <c r="A446" s="349"/>
      <c r="B446" s="346"/>
      <c r="C446" s="347"/>
      <c r="D446" s="346"/>
      <c r="E446" s="348"/>
      <c r="F446" s="346"/>
      <c r="G446" s="349"/>
      <c r="H446" s="349"/>
      <c r="I446" s="349"/>
      <c r="J446" s="349"/>
      <c r="K446" s="349"/>
      <c r="L446" s="349"/>
      <c r="M446" s="349"/>
      <c r="N446" s="349"/>
    </row>
    <row r="447">
      <c r="A447" s="349"/>
      <c r="B447" s="346"/>
      <c r="C447" s="347"/>
      <c r="D447" s="346"/>
      <c r="E447" s="348"/>
      <c r="F447" s="346"/>
      <c r="G447" s="349"/>
      <c r="H447" s="349"/>
      <c r="I447" s="349"/>
      <c r="J447" s="349"/>
      <c r="K447" s="349"/>
      <c r="L447" s="349"/>
      <c r="M447" s="349"/>
      <c r="N447" s="349"/>
    </row>
    <row r="448">
      <c r="A448" s="349"/>
      <c r="B448" s="346"/>
      <c r="C448" s="347"/>
      <c r="D448" s="346"/>
      <c r="E448" s="348"/>
      <c r="F448" s="346"/>
      <c r="G448" s="349"/>
      <c r="H448" s="349"/>
      <c r="I448" s="349"/>
      <c r="J448" s="349"/>
      <c r="K448" s="349"/>
      <c r="L448" s="349"/>
      <c r="M448" s="349"/>
      <c r="N448" s="349"/>
    </row>
    <row r="449">
      <c r="A449" s="349"/>
      <c r="B449" s="346"/>
      <c r="C449" s="347"/>
      <c r="D449" s="346"/>
      <c r="E449" s="348"/>
      <c r="F449" s="346"/>
      <c r="G449" s="349"/>
      <c r="H449" s="349"/>
      <c r="I449" s="349"/>
      <c r="J449" s="349"/>
      <c r="K449" s="349"/>
      <c r="L449" s="349"/>
      <c r="M449" s="349"/>
      <c r="N449" s="349"/>
    </row>
    <row r="450">
      <c r="A450" s="349"/>
      <c r="B450" s="346"/>
      <c r="C450" s="347"/>
      <c r="D450" s="346"/>
      <c r="E450" s="348"/>
      <c r="F450" s="346"/>
      <c r="G450" s="349"/>
      <c r="H450" s="349"/>
      <c r="I450" s="349"/>
      <c r="J450" s="349"/>
      <c r="K450" s="349"/>
      <c r="L450" s="349"/>
      <c r="M450" s="349"/>
      <c r="N450" s="349"/>
    </row>
    <row r="451">
      <c r="A451" s="349"/>
      <c r="B451" s="346"/>
      <c r="C451" s="347"/>
      <c r="D451" s="346"/>
      <c r="E451" s="348"/>
      <c r="F451" s="346"/>
      <c r="G451" s="349"/>
      <c r="H451" s="349"/>
      <c r="I451" s="349"/>
      <c r="J451" s="349"/>
      <c r="K451" s="349"/>
      <c r="L451" s="349"/>
      <c r="M451" s="349"/>
      <c r="N451" s="349"/>
    </row>
    <row r="452">
      <c r="A452" s="349"/>
      <c r="B452" s="346"/>
      <c r="C452" s="347"/>
      <c r="D452" s="346"/>
      <c r="E452" s="348"/>
      <c r="F452" s="346"/>
      <c r="G452" s="349"/>
      <c r="H452" s="349"/>
      <c r="I452" s="349"/>
      <c r="J452" s="349"/>
      <c r="K452" s="349"/>
      <c r="L452" s="349"/>
      <c r="M452" s="349"/>
      <c r="N452" s="349"/>
    </row>
    <row r="453">
      <c r="A453" s="349"/>
      <c r="B453" s="346"/>
      <c r="C453" s="347"/>
      <c r="D453" s="346"/>
      <c r="E453" s="348"/>
      <c r="F453" s="346"/>
      <c r="G453" s="349"/>
      <c r="H453" s="349"/>
      <c r="I453" s="349"/>
      <c r="J453" s="349"/>
      <c r="K453" s="349"/>
      <c r="L453" s="349"/>
      <c r="M453" s="349"/>
      <c r="N453" s="349"/>
    </row>
    <row r="454">
      <c r="A454" s="349"/>
      <c r="B454" s="346"/>
      <c r="C454" s="347"/>
      <c r="D454" s="346"/>
      <c r="E454" s="348"/>
      <c r="F454" s="346"/>
      <c r="G454" s="349"/>
      <c r="H454" s="349"/>
      <c r="I454" s="349"/>
      <c r="J454" s="349"/>
      <c r="K454" s="349"/>
      <c r="L454" s="349"/>
      <c r="M454" s="349"/>
      <c r="N454" s="349"/>
    </row>
    <row r="455">
      <c r="A455" s="349"/>
      <c r="B455" s="346"/>
      <c r="C455" s="347"/>
      <c r="D455" s="346"/>
      <c r="E455" s="348"/>
      <c r="F455" s="346"/>
      <c r="G455" s="349"/>
      <c r="H455" s="349"/>
      <c r="I455" s="349"/>
      <c r="J455" s="349"/>
      <c r="K455" s="349"/>
      <c r="L455" s="349"/>
      <c r="M455" s="349"/>
      <c r="N455" s="349"/>
    </row>
    <row r="456">
      <c r="A456" s="349"/>
      <c r="B456" s="346"/>
      <c r="C456" s="347"/>
      <c r="D456" s="346"/>
      <c r="E456" s="348"/>
      <c r="F456" s="346"/>
      <c r="G456" s="349"/>
      <c r="H456" s="349"/>
      <c r="I456" s="349"/>
      <c r="J456" s="349"/>
      <c r="K456" s="349"/>
      <c r="L456" s="349"/>
      <c r="M456" s="349"/>
      <c r="N456" s="349"/>
    </row>
    <row r="457">
      <c r="A457" s="349"/>
      <c r="B457" s="346"/>
      <c r="C457" s="347"/>
      <c r="D457" s="346"/>
      <c r="E457" s="348"/>
      <c r="F457" s="346"/>
      <c r="G457" s="349"/>
      <c r="H457" s="349"/>
      <c r="I457" s="349"/>
      <c r="J457" s="349"/>
      <c r="K457" s="349"/>
      <c r="L457" s="349"/>
      <c r="M457" s="349"/>
      <c r="N457" s="349"/>
    </row>
    <row r="458">
      <c r="A458" s="349"/>
      <c r="B458" s="346"/>
      <c r="C458" s="347"/>
      <c r="D458" s="346"/>
      <c r="E458" s="348"/>
      <c r="F458" s="346"/>
      <c r="G458" s="349"/>
      <c r="H458" s="349"/>
      <c r="I458" s="349"/>
      <c r="J458" s="349"/>
      <c r="K458" s="349"/>
      <c r="L458" s="349"/>
      <c r="M458" s="349"/>
      <c r="N458" s="349"/>
    </row>
    <row r="459">
      <c r="A459" s="349"/>
      <c r="B459" s="346"/>
      <c r="C459" s="347"/>
      <c r="D459" s="346"/>
      <c r="E459" s="348"/>
      <c r="F459" s="346"/>
      <c r="G459" s="349"/>
      <c r="H459" s="349"/>
      <c r="I459" s="349"/>
      <c r="J459" s="349"/>
      <c r="K459" s="349"/>
      <c r="L459" s="349"/>
      <c r="M459" s="349"/>
      <c r="N459" s="349"/>
    </row>
    <row r="460">
      <c r="A460" s="349"/>
      <c r="B460" s="346"/>
      <c r="C460" s="347"/>
      <c r="D460" s="346"/>
      <c r="E460" s="348"/>
      <c r="F460" s="346"/>
      <c r="G460" s="349"/>
      <c r="H460" s="349"/>
      <c r="I460" s="349"/>
      <c r="J460" s="349"/>
      <c r="K460" s="349"/>
      <c r="L460" s="349"/>
      <c r="M460" s="349"/>
      <c r="N460" s="349"/>
    </row>
    <row r="461">
      <c r="A461" s="349"/>
      <c r="B461" s="346"/>
      <c r="C461" s="347"/>
      <c r="D461" s="346"/>
      <c r="E461" s="348"/>
      <c r="F461" s="346"/>
      <c r="G461" s="349"/>
      <c r="H461" s="349"/>
      <c r="I461" s="349"/>
      <c r="J461" s="349"/>
      <c r="K461" s="349"/>
      <c r="L461" s="349"/>
      <c r="M461" s="349"/>
      <c r="N461" s="349"/>
    </row>
    <row r="462">
      <c r="A462" s="349"/>
      <c r="B462" s="346"/>
      <c r="C462" s="347"/>
      <c r="D462" s="346"/>
      <c r="E462" s="348"/>
      <c r="F462" s="346"/>
      <c r="G462" s="349"/>
      <c r="H462" s="349"/>
      <c r="I462" s="349"/>
      <c r="J462" s="349"/>
      <c r="K462" s="349"/>
      <c r="L462" s="349"/>
      <c r="M462" s="349"/>
      <c r="N462" s="349"/>
    </row>
    <row r="463">
      <c r="A463" s="349"/>
      <c r="B463" s="346"/>
      <c r="C463" s="347"/>
      <c r="D463" s="346"/>
      <c r="E463" s="348"/>
      <c r="F463" s="346"/>
      <c r="G463" s="349"/>
      <c r="H463" s="349"/>
      <c r="I463" s="349"/>
      <c r="J463" s="349"/>
      <c r="K463" s="349"/>
      <c r="L463" s="349"/>
      <c r="M463" s="349"/>
      <c r="N463" s="349"/>
    </row>
    <row r="464">
      <c r="A464" s="349"/>
      <c r="B464" s="346"/>
      <c r="C464" s="347"/>
      <c r="D464" s="346"/>
      <c r="E464" s="348"/>
      <c r="F464" s="346"/>
      <c r="G464" s="349"/>
      <c r="H464" s="349"/>
      <c r="I464" s="349"/>
      <c r="J464" s="349"/>
      <c r="K464" s="349"/>
      <c r="L464" s="349"/>
      <c r="M464" s="349"/>
      <c r="N464" s="349"/>
    </row>
    <row r="465">
      <c r="A465" s="349"/>
      <c r="B465" s="346"/>
      <c r="C465" s="347"/>
      <c r="D465" s="346"/>
      <c r="E465" s="348"/>
      <c r="F465" s="346"/>
      <c r="G465" s="349"/>
      <c r="H465" s="349"/>
      <c r="I465" s="349"/>
      <c r="J465" s="349"/>
      <c r="K465" s="349"/>
      <c r="L465" s="349"/>
      <c r="M465" s="349"/>
      <c r="N465" s="349"/>
    </row>
    <row r="466">
      <c r="A466" s="349"/>
      <c r="B466" s="346"/>
      <c r="C466" s="347"/>
      <c r="D466" s="346"/>
      <c r="E466" s="348"/>
      <c r="F466" s="346"/>
      <c r="G466" s="349"/>
      <c r="H466" s="349"/>
      <c r="I466" s="349"/>
      <c r="J466" s="349"/>
      <c r="K466" s="349"/>
      <c r="L466" s="349"/>
      <c r="M466" s="349"/>
      <c r="N466" s="349"/>
    </row>
    <row r="467">
      <c r="A467" s="349"/>
      <c r="B467" s="346"/>
      <c r="C467" s="347"/>
      <c r="D467" s="346"/>
      <c r="E467" s="348"/>
      <c r="F467" s="346"/>
      <c r="G467" s="349"/>
      <c r="H467" s="349"/>
      <c r="I467" s="349"/>
      <c r="J467" s="349"/>
      <c r="K467" s="349"/>
      <c r="L467" s="349"/>
      <c r="M467" s="349"/>
      <c r="N467" s="349"/>
    </row>
    <row r="468">
      <c r="A468" s="349"/>
      <c r="B468" s="346"/>
      <c r="C468" s="347"/>
      <c r="D468" s="346"/>
      <c r="E468" s="348"/>
      <c r="F468" s="346"/>
      <c r="G468" s="349"/>
      <c r="H468" s="349"/>
      <c r="I468" s="349"/>
      <c r="J468" s="349"/>
      <c r="K468" s="349"/>
      <c r="L468" s="349"/>
      <c r="M468" s="349"/>
      <c r="N468" s="349"/>
    </row>
    <row r="469">
      <c r="A469" s="349"/>
      <c r="B469" s="346"/>
      <c r="C469" s="347"/>
      <c r="D469" s="346"/>
      <c r="E469" s="348"/>
      <c r="F469" s="346"/>
      <c r="G469" s="349"/>
      <c r="H469" s="349"/>
      <c r="I469" s="349"/>
      <c r="J469" s="349"/>
      <c r="K469" s="349"/>
      <c r="L469" s="349"/>
      <c r="M469" s="349"/>
      <c r="N469" s="349"/>
    </row>
    <row r="470">
      <c r="A470" s="349"/>
      <c r="B470" s="346"/>
      <c r="C470" s="347"/>
      <c r="D470" s="346"/>
      <c r="E470" s="348"/>
      <c r="F470" s="346"/>
      <c r="G470" s="349"/>
      <c r="H470" s="349"/>
      <c r="I470" s="349"/>
      <c r="J470" s="349"/>
      <c r="K470" s="349"/>
      <c r="L470" s="349"/>
      <c r="M470" s="349"/>
      <c r="N470" s="349"/>
    </row>
    <row r="471">
      <c r="A471" s="349"/>
      <c r="B471" s="346"/>
      <c r="C471" s="347"/>
      <c r="D471" s="346"/>
      <c r="E471" s="348"/>
      <c r="F471" s="346"/>
      <c r="G471" s="349"/>
      <c r="H471" s="349"/>
      <c r="I471" s="349"/>
      <c r="J471" s="349"/>
      <c r="K471" s="349"/>
      <c r="L471" s="349"/>
      <c r="M471" s="349"/>
      <c r="N471" s="349"/>
    </row>
    <row r="472">
      <c r="A472" s="349"/>
      <c r="B472" s="346"/>
      <c r="C472" s="347"/>
      <c r="D472" s="346"/>
      <c r="E472" s="348"/>
      <c r="F472" s="346"/>
      <c r="G472" s="349"/>
      <c r="H472" s="349"/>
      <c r="I472" s="349"/>
      <c r="J472" s="349"/>
      <c r="K472" s="349"/>
      <c r="L472" s="349"/>
      <c r="M472" s="349"/>
      <c r="N472" s="349"/>
    </row>
    <row r="473">
      <c r="A473" s="349"/>
      <c r="B473" s="346"/>
      <c r="C473" s="347"/>
      <c r="D473" s="346"/>
      <c r="E473" s="348"/>
      <c r="F473" s="346"/>
      <c r="G473" s="349"/>
      <c r="H473" s="349"/>
      <c r="I473" s="349"/>
      <c r="J473" s="349"/>
      <c r="K473" s="349"/>
      <c r="L473" s="349"/>
      <c r="M473" s="349"/>
      <c r="N473" s="349"/>
    </row>
    <row r="474">
      <c r="A474" s="349"/>
      <c r="B474" s="346"/>
      <c r="C474" s="347"/>
      <c r="D474" s="346"/>
      <c r="E474" s="348"/>
      <c r="F474" s="346"/>
      <c r="G474" s="349"/>
      <c r="H474" s="349"/>
      <c r="I474" s="349"/>
      <c r="J474" s="349"/>
      <c r="K474" s="349"/>
      <c r="L474" s="349"/>
      <c r="M474" s="349"/>
      <c r="N474" s="349"/>
    </row>
    <row r="475">
      <c r="A475" s="349"/>
      <c r="B475" s="346"/>
      <c r="C475" s="347"/>
      <c r="D475" s="346"/>
      <c r="E475" s="348"/>
      <c r="F475" s="346"/>
      <c r="G475" s="349"/>
      <c r="H475" s="349"/>
      <c r="I475" s="349"/>
      <c r="J475" s="349"/>
      <c r="K475" s="349"/>
      <c r="L475" s="349"/>
      <c r="M475" s="349"/>
      <c r="N475" s="349"/>
    </row>
    <row r="476">
      <c r="A476" s="349"/>
      <c r="B476" s="346"/>
      <c r="C476" s="347"/>
      <c r="D476" s="346"/>
      <c r="E476" s="348"/>
      <c r="F476" s="346"/>
      <c r="G476" s="349"/>
      <c r="H476" s="349"/>
      <c r="I476" s="349"/>
      <c r="J476" s="349"/>
      <c r="K476" s="349"/>
      <c r="L476" s="349"/>
      <c r="M476" s="349"/>
      <c r="N476" s="349"/>
    </row>
    <row r="477">
      <c r="A477" s="349"/>
      <c r="B477" s="346"/>
      <c r="C477" s="347"/>
      <c r="D477" s="346"/>
      <c r="E477" s="348"/>
      <c r="F477" s="346"/>
      <c r="G477" s="349"/>
      <c r="H477" s="349"/>
      <c r="I477" s="349"/>
      <c r="J477" s="349"/>
      <c r="K477" s="349"/>
      <c r="L477" s="349"/>
      <c r="M477" s="349"/>
      <c r="N477" s="349"/>
    </row>
    <row r="478">
      <c r="A478" s="349"/>
      <c r="B478" s="346"/>
      <c r="C478" s="347"/>
      <c r="D478" s="346"/>
      <c r="E478" s="348"/>
      <c r="F478" s="346"/>
      <c r="G478" s="349"/>
      <c r="H478" s="349"/>
      <c r="I478" s="349"/>
      <c r="J478" s="349"/>
      <c r="K478" s="349"/>
      <c r="L478" s="349"/>
      <c r="M478" s="349"/>
      <c r="N478" s="349"/>
    </row>
    <row r="479">
      <c r="A479" s="349"/>
      <c r="B479" s="346"/>
      <c r="C479" s="347"/>
      <c r="D479" s="346"/>
      <c r="E479" s="348"/>
      <c r="F479" s="346"/>
      <c r="G479" s="349"/>
      <c r="H479" s="349"/>
      <c r="I479" s="349"/>
      <c r="J479" s="349"/>
      <c r="K479" s="349"/>
      <c r="L479" s="349"/>
      <c r="M479" s="349"/>
      <c r="N479" s="349"/>
    </row>
    <row r="480">
      <c r="A480" s="349"/>
      <c r="B480" s="346"/>
      <c r="C480" s="347"/>
      <c r="D480" s="346"/>
      <c r="E480" s="348"/>
      <c r="F480" s="346"/>
      <c r="G480" s="349"/>
      <c r="H480" s="349"/>
      <c r="I480" s="349"/>
      <c r="J480" s="349"/>
      <c r="K480" s="349"/>
      <c r="L480" s="349"/>
      <c r="M480" s="349"/>
      <c r="N480" s="349"/>
    </row>
    <row r="481">
      <c r="A481" s="349"/>
      <c r="B481" s="346"/>
      <c r="C481" s="347"/>
      <c r="D481" s="346"/>
      <c r="E481" s="348"/>
      <c r="F481" s="346"/>
      <c r="G481" s="349"/>
      <c r="H481" s="349"/>
      <c r="I481" s="349"/>
      <c r="J481" s="349"/>
      <c r="K481" s="349"/>
      <c r="L481" s="349"/>
      <c r="M481" s="349"/>
      <c r="N481" s="349"/>
    </row>
    <row r="482">
      <c r="A482" s="349"/>
      <c r="B482" s="346"/>
      <c r="C482" s="347"/>
      <c r="D482" s="346"/>
      <c r="E482" s="348"/>
      <c r="F482" s="346"/>
      <c r="G482" s="349"/>
      <c r="H482" s="349"/>
      <c r="I482" s="349"/>
      <c r="J482" s="349"/>
      <c r="K482" s="349"/>
      <c r="L482" s="349"/>
      <c r="M482" s="349"/>
      <c r="N482" s="349"/>
    </row>
    <row r="483">
      <c r="A483" s="349"/>
      <c r="B483" s="346"/>
      <c r="C483" s="347"/>
      <c r="D483" s="346"/>
      <c r="E483" s="348"/>
      <c r="F483" s="346"/>
      <c r="G483" s="349"/>
      <c r="H483" s="349"/>
      <c r="I483" s="349"/>
      <c r="J483" s="349"/>
      <c r="K483" s="349"/>
      <c r="L483" s="349"/>
      <c r="M483" s="349"/>
      <c r="N483" s="349"/>
    </row>
    <row r="484">
      <c r="A484" s="349"/>
      <c r="B484" s="346"/>
      <c r="C484" s="347"/>
      <c r="D484" s="346"/>
      <c r="E484" s="348"/>
      <c r="F484" s="346"/>
      <c r="G484" s="349"/>
      <c r="H484" s="349"/>
      <c r="I484" s="349"/>
      <c r="J484" s="349"/>
      <c r="K484" s="349"/>
      <c r="L484" s="349"/>
      <c r="M484" s="349"/>
      <c r="N484" s="349"/>
    </row>
    <row r="485">
      <c r="A485" s="349"/>
      <c r="B485" s="346"/>
      <c r="C485" s="347"/>
      <c r="D485" s="346"/>
      <c r="E485" s="348"/>
      <c r="F485" s="346"/>
      <c r="G485" s="349"/>
      <c r="H485" s="349"/>
      <c r="I485" s="349"/>
      <c r="J485" s="349"/>
      <c r="K485" s="349"/>
      <c r="L485" s="349"/>
      <c r="M485" s="349"/>
      <c r="N485" s="349"/>
    </row>
    <row r="486">
      <c r="A486" s="349"/>
      <c r="B486" s="346"/>
      <c r="C486" s="347"/>
      <c r="D486" s="346"/>
      <c r="E486" s="348"/>
      <c r="F486" s="346"/>
      <c r="G486" s="349"/>
      <c r="H486" s="349"/>
      <c r="I486" s="349"/>
      <c r="J486" s="349"/>
      <c r="K486" s="349"/>
      <c r="L486" s="349"/>
      <c r="M486" s="349"/>
      <c r="N486" s="349"/>
    </row>
    <row r="487">
      <c r="A487" s="349"/>
      <c r="B487" s="346"/>
      <c r="C487" s="347"/>
      <c r="D487" s="346"/>
      <c r="E487" s="348"/>
      <c r="F487" s="346"/>
      <c r="G487" s="349"/>
      <c r="H487" s="349"/>
      <c r="I487" s="349"/>
      <c r="J487" s="349"/>
      <c r="K487" s="349"/>
      <c r="L487" s="349"/>
      <c r="M487" s="349"/>
      <c r="N487" s="349"/>
    </row>
    <row r="488">
      <c r="A488" s="349"/>
      <c r="B488" s="346"/>
      <c r="C488" s="347"/>
      <c r="D488" s="346"/>
      <c r="E488" s="348"/>
      <c r="F488" s="346"/>
      <c r="G488" s="349"/>
      <c r="H488" s="349"/>
      <c r="I488" s="349"/>
      <c r="J488" s="349"/>
      <c r="K488" s="349"/>
      <c r="L488" s="349"/>
      <c r="M488" s="349"/>
      <c r="N488" s="349"/>
    </row>
    <row r="489">
      <c r="A489" s="349"/>
      <c r="B489" s="346"/>
      <c r="C489" s="347"/>
      <c r="D489" s="346"/>
      <c r="E489" s="348"/>
      <c r="F489" s="346"/>
      <c r="G489" s="349"/>
      <c r="H489" s="349"/>
      <c r="I489" s="349"/>
      <c r="J489" s="349"/>
      <c r="K489" s="349"/>
      <c r="L489" s="349"/>
      <c r="M489" s="349"/>
      <c r="N489" s="349"/>
    </row>
    <row r="490">
      <c r="A490" s="349"/>
      <c r="B490" s="346"/>
      <c r="C490" s="347"/>
      <c r="D490" s="346"/>
      <c r="E490" s="348"/>
      <c r="F490" s="346"/>
      <c r="G490" s="349"/>
      <c r="H490" s="349"/>
      <c r="I490" s="349"/>
      <c r="J490" s="349"/>
      <c r="K490" s="349"/>
      <c r="L490" s="349"/>
      <c r="M490" s="349"/>
      <c r="N490" s="349"/>
    </row>
    <row r="491">
      <c r="A491" s="349"/>
      <c r="B491" s="346"/>
      <c r="C491" s="347"/>
      <c r="D491" s="346"/>
      <c r="E491" s="348"/>
      <c r="F491" s="346"/>
      <c r="G491" s="349"/>
      <c r="H491" s="349"/>
      <c r="I491" s="349"/>
      <c r="J491" s="349"/>
      <c r="K491" s="349"/>
      <c r="L491" s="349"/>
      <c r="M491" s="349"/>
      <c r="N491" s="349"/>
    </row>
    <row r="492">
      <c r="A492" s="349"/>
      <c r="B492" s="346"/>
      <c r="C492" s="347"/>
      <c r="D492" s="346"/>
      <c r="E492" s="348"/>
      <c r="F492" s="346"/>
      <c r="G492" s="349"/>
      <c r="H492" s="349"/>
      <c r="I492" s="349"/>
      <c r="J492" s="349"/>
      <c r="K492" s="349"/>
      <c r="L492" s="349"/>
      <c r="M492" s="349"/>
      <c r="N492" s="349"/>
    </row>
    <row r="493">
      <c r="A493" s="349"/>
      <c r="B493" s="346"/>
      <c r="C493" s="347"/>
      <c r="D493" s="346"/>
      <c r="E493" s="348"/>
      <c r="F493" s="346"/>
      <c r="G493" s="349"/>
      <c r="H493" s="349"/>
      <c r="I493" s="349"/>
      <c r="J493" s="349"/>
      <c r="K493" s="349"/>
      <c r="L493" s="349"/>
      <c r="M493" s="349"/>
      <c r="N493" s="349"/>
    </row>
    <row r="494">
      <c r="A494" s="349"/>
      <c r="B494" s="346"/>
      <c r="C494" s="347"/>
      <c r="D494" s="346"/>
      <c r="E494" s="348"/>
      <c r="F494" s="346"/>
      <c r="G494" s="349"/>
      <c r="H494" s="349"/>
      <c r="I494" s="349"/>
      <c r="J494" s="349"/>
      <c r="K494" s="349"/>
      <c r="L494" s="349"/>
      <c r="M494" s="349"/>
      <c r="N494" s="349"/>
    </row>
    <row r="495">
      <c r="A495" s="349"/>
      <c r="B495" s="346"/>
      <c r="C495" s="347"/>
      <c r="D495" s="346"/>
      <c r="E495" s="348"/>
      <c r="F495" s="346"/>
      <c r="G495" s="349"/>
      <c r="H495" s="349"/>
      <c r="I495" s="349"/>
      <c r="J495" s="349"/>
      <c r="K495" s="349"/>
      <c r="L495" s="349"/>
      <c r="M495" s="349"/>
      <c r="N495" s="349"/>
    </row>
    <row r="496">
      <c r="A496" s="349"/>
      <c r="B496" s="346"/>
      <c r="C496" s="347"/>
      <c r="D496" s="346"/>
      <c r="E496" s="348"/>
      <c r="F496" s="346"/>
      <c r="G496" s="349"/>
      <c r="H496" s="349"/>
      <c r="I496" s="349"/>
      <c r="J496" s="349"/>
      <c r="K496" s="349"/>
      <c r="L496" s="349"/>
      <c r="M496" s="349"/>
      <c r="N496" s="349"/>
    </row>
    <row r="497">
      <c r="A497" s="349"/>
      <c r="B497" s="346"/>
      <c r="C497" s="347"/>
      <c r="D497" s="346"/>
      <c r="E497" s="348"/>
      <c r="F497" s="346"/>
      <c r="G497" s="349"/>
      <c r="H497" s="349"/>
      <c r="I497" s="349"/>
      <c r="J497" s="349"/>
      <c r="K497" s="349"/>
      <c r="L497" s="349"/>
      <c r="M497" s="349"/>
      <c r="N497" s="349"/>
    </row>
    <row r="498">
      <c r="A498" s="349"/>
      <c r="B498" s="346"/>
      <c r="C498" s="347"/>
      <c r="D498" s="346"/>
      <c r="E498" s="348"/>
      <c r="F498" s="346"/>
      <c r="G498" s="349"/>
      <c r="H498" s="349"/>
      <c r="I498" s="349"/>
      <c r="J498" s="349"/>
      <c r="K498" s="349"/>
      <c r="L498" s="349"/>
      <c r="M498" s="349"/>
      <c r="N498" s="349"/>
    </row>
    <row r="499">
      <c r="A499" s="349"/>
      <c r="B499" s="346"/>
      <c r="C499" s="347"/>
      <c r="D499" s="346"/>
      <c r="E499" s="348"/>
      <c r="F499" s="346"/>
      <c r="G499" s="349"/>
      <c r="H499" s="349"/>
      <c r="I499" s="349"/>
      <c r="J499" s="349"/>
      <c r="K499" s="349"/>
      <c r="L499" s="349"/>
      <c r="M499" s="349"/>
      <c r="N499" s="349"/>
    </row>
    <row r="500">
      <c r="A500" s="349"/>
      <c r="B500" s="346"/>
      <c r="C500" s="347"/>
      <c r="D500" s="346"/>
      <c r="E500" s="348"/>
      <c r="F500" s="346"/>
      <c r="G500" s="349"/>
      <c r="H500" s="349"/>
      <c r="I500" s="349"/>
      <c r="J500" s="349"/>
      <c r="K500" s="349"/>
      <c r="L500" s="349"/>
      <c r="M500" s="349"/>
      <c r="N500" s="349"/>
    </row>
    <row r="501">
      <c r="A501" s="349"/>
      <c r="B501" s="346"/>
      <c r="C501" s="347"/>
      <c r="D501" s="346"/>
      <c r="E501" s="348"/>
      <c r="F501" s="346"/>
      <c r="G501" s="349"/>
      <c r="H501" s="349"/>
      <c r="I501" s="349"/>
      <c r="J501" s="349"/>
      <c r="K501" s="349"/>
      <c r="L501" s="349"/>
      <c r="M501" s="349"/>
      <c r="N501" s="349"/>
    </row>
    <row r="502">
      <c r="A502" s="349"/>
      <c r="B502" s="346"/>
      <c r="C502" s="347"/>
      <c r="D502" s="346"/>
      <c r="E502" s="348"/>
      <c r="F502" s="346"/>
      <c r="G502" s="349"/>
      <c r="H502" s="349"/>
      <c r="I502" s="349"/>
      <c r="J502" s="349"/>
      <c r="K502" s="349"/>
      <c r="L502" s="349"/>
      <c r="M502" s="349"/>
      <c r="N502" s="349"/>
    </row>
    <row r="503">
      <c r="A503" s="349"/>
      <c r="B503" s="346"/>
      <c r="C503" s="347"/>
      <c r="D503" s="346"/>
      <c r="E503" s="348"/>
      <c r="F503" s="346"/>
      <c r="G503" s="349"/>
      <c r="H503" s="349"/>
      <c r="I503" s="349"/>
      <c r="J503" s="349"/>
      <c r="K503" s="349"/>
      <c r="L503" s="349"/>
      <c r="M503" s="349"/>
      <c r="N503" s="349"/>
    </row>
    <row r="504">
      <c r="A504" s="349"/>
      <c r="B504" s="346"/>
      <c r="C504" s="347"/>
      <c r="D504" s="346"/>
      <c r="E504" s="348"/>
      <c r="F504" s="346"/>
      <c r="G504" s="349"/>
      <c r="H504" s="349"/>
      <c r="I504" s="349"/>
      <c r="J504" s="349"/>
      <c r="K504" s="349"/>
      <c r="L504" s="349"/>
      <c r="M504" s="349"/>
      <c r="N504" s="349"/>
    </row>
    <row r="505">
      <c r="A505" s="349"/>
      <c r="B505" s="346"/>
      <c r="C505" s="347"/>
      <c r="D505" s="346"/>
      <c r="E505" s="348"/>
      <c r="F505" s="346"/>
      <c r="G505" s="349"/>
      <c r="H505" s="349"/>
      <c r="I505" s="349"/>
      <c r="J505" s="349"/>
      <c r="K505" s="349"/>
      <c r="L505" s="349"/>
      <c r="M505" s="349"/>
      <c r="N505" s="349"/>
    </row>
    <row r="506">
      <c r="A506" s="349"/>
      <c r="B506" s="346"/>
      <c r="C506" s="347"/>
      <c r="D506" s="346"/>
      <c r="E506" s="348"/>
      <c r="F506" s="346"/>
      <c r="G506" s="349"/>
      <c r="H506" s="349"/>
      <c r="I506" s="349"/>
      <c r="J506" s="349"/>
      <c r="K506" s="349"/>
      <c r="L506" s="349"/>
      <c r="M506" s="349"/>
      <c r="N506" s="349"/>
    </row>
    <row r="507">
      <c r="A507" s="349"/>
      <c r="B507" s="346"/>
      <c r="C507" s="347"/>
      <c r="D507" s="346"/>
      <c r="E507" s="348"/>
      <c r="F507" s="346"/>
      <c r="G507" s="349"/>
      <c r="H507" s="349"/>
      <c r="I507" s="349"/>
      <c r="J507" s="349"/>
      <c r="K507" s="349"/>
      <c r="L507" s="349"/>
      <c r="M507" s="349"/>
      <c r="N507" s="349"/>
    </row>
    <row r="508">
      <c r="A508" s="349"/>
      <c r="B508" s="346"/>
      <c r="C508" s="347"/>
      <c r="D508" s="346"/>
      <c r="E508" s="348"/>
      <c r="F508" s="346"/>
      <c r="G508" s="349"/>
      <c r="H508" s="349"/>
      <c r="I508" s="349"/>
      <c r="J508" s="349"/>
      <c r="K508" s="349"/>
      <c r="L508" s="349"/>
      <c r="M508" s="349"/>
      <c r="N508" s="349"/>
    </row>
    <row r="509">
      <c r="A509" s="349"/>
      <c r="B509" s="346"/>
      <c r="C509" s="347"/>
      <c r="D509" s="346"/>
      <c r="E509" s="348"/>
      <c r="F509" s="346"/>
      <c r="G509" s="349"/>
      <c r="H509" s="349"/>
      <c r="I509" s="349"/>
      <c r="J509" s="349"/>
      <c r="K509" s="349"/>
      <c r="L509" s="349"/>
      <c r="M509" s="349"/>
      <c r="N509" s="349"/>
    </row>
    <row r="510">
      <c r="A510" s="349"/>
      <c r="B510" s="346"/>
      <c r="C510" s="347"/>
      <c r="D510" s="346"/>
      <c r="E510" s="348"/>
      <c r="F510" s="346"/>
      <c r="G510" s="349"/>
      <c r="H510" s="349"/>
      <c r="I510" s="349"/>
      <c r="J510" s="349"/>
      <c r="K510" s="349"/>
      <c r="L510" s="349"/>
      <c r="M510" s="349"/>
      <c r="N510" s="349"/>
    </row>
    <row r="511">
      <c r="A511" s="349"/>
      <c r="B511" s="346"/>
      <c r="C511" s="347"/>
      <c r="D511" s="346"/>
      <c r="E511" s="348"/>
      <c r="F511" s="346"/>
      <c r="G511" s="349"/>
      <c r="H511" s="349"/>
      <c r="I511" s="349"/>
      <c r="J511" s="349"/>
      <c r="K511" s="349"/>
      <c r="L511" s="349"/>
      <c r="M511" s="349"/>
      <c r="N511" s="349"/>
    </row>
    <row r="512">
      <c r="A512" s="349"/>
      <c r="B512" s="346"/>
      <c r="C512" s="347"/>
      <c r="D512" s="346"/>
      <c r="E512" s="348"/>
      <c r="F512" s="346"/>
      <c r="G512" s="349"/>
      <c r="H512" s="349"/>
      <c r="I512" s="349"/>
      <c r="J512" s="349"/>
      <c r="K512" s="349"/>
      <c r="L512" s="349"/>
      <c r="M512" s="349"/>
      <c r="N512" s="349"/>
    </row>
    <row r="513">
      <c r="A513" s="349"/>
      <c r="B513" s="346"/>
      <c r="C513" s="347"/>
      <c r="D513" s="346"/>
      <c r="E513" s="348"/>
      <c r="F513" s="346"/>
      <c r="G513" s="349"/>
      <c r="H513" s="349"/>
      <c r="I513" s="349"/>
      <c r="J513" s="349"/>
      <c r="K513" s="349"/>
      <c r="L513" s="349"/>
      <c r="M513" s="349"/>
      <c r="N513" s="349"/>
    </row>
    <row r="514">
      <c r="A514" s="349"/>
      <c r="B514" s="346"/>
      <c r="C514" s="347"/>
      <c r="D514" s="346"/>
      <c r="E514" s="348"/>
      <c r="F514" s="346"/>
      <c r="G514" s="349"/>
      <c r="H514" s="349"/>
      <c r="I514" s="349"/>
      <c r="J514" s="349"/>
      <c r="K514" s="349"/>
      <c r="L514" s="349"/>
      <c r="M514" s="349"/>
      <c r="N514" s="349"/>
    </row>
    <row r="515">
      <c r="A515" s="349"/>
      <c r="B515" s="346"/>
      <c r="C515" s="347"/>
      <c r="D515" s="346"/>
      <c r="E515" s="348"/>
      <c r="F515" s="346"/>
      <c r="G515" s="349"/>
      <c r="H515" s="349"/>
      <c r="I515" s="349"/>
      <c r="J515" s="349"/>
      <c r="K515" s="349"/>
      <c r="L515" s="349"/>
      <c r="M515" s="349"/>
      <c r="N515" s="349"/>
    </row>
    <row r="516">
      <c r="A516" s="349"/>
      <c r="B516" s="346"/>
      <c r="C516" s="347"/>
      <c r="D516" s="346"/>
      <c r="E516" s="348"/>
      <c r="F516" s="346"/>
      <c r="G516" s="349"/>
      <c r="H516" s="349"/>
      <c r="I516" s="349"/>
      <c r="J516" s="349"/>
      <c r="K516" s="349"/>
      <c r="L516" s="349"/>
      <c r="M516" s="349"/>
      <c r="N516" s="349"/>
    </row>
    <row r="517">
      <c r="A517" s="349"/>
      <c r="B517" s="346"/>
      <c r="C517" s="347"/>
      <c r="D517" s="346"/>
      <c r="E517" s="348"/>
      <c r="F517" s="346"/>
      <c r="G517" s="349"/>
      <c r="H517" s="349"/>
      <c r="I517" s="349"/>
      <c r="J517" s="349"/>
      <c r="K517" s="349"/>
      <c r="L517" s="349"/>
      <c r="M517" s="349"/>
      <c r="N517" s="349"/>
    </row>
    <row r="518">
      <c r="A518" s="349"/>
      <c r="B518" s="346"/>
      <c r="C518" s="347"/>
      <c r="D518" s="346"/>
      <c r="E518" s="348"/>
      <c r="F518" s="346"/>
      <c r="G518" s="349"/>
      <c r="H518" s="349"/>
      <c r="I518" s="349"/>
      <c r="J518" s="349"/>
      <c r="K518" s="349"/>
      <c r="L518" s="349"/>
      <c r="M518" s="349"/>
      <c r="N518" s="349"/>
    </row>
    <row r="519">
      <c r="A519" s="349"/>
      <c r="B519" s="346"/>
      <c r="C519" s="347"/>
      <c r="D519" s="346"/>
      <c r="E519" s="348"/>
      <c r="F519" s="346"/>
      <c r="G519" s="349"/>
      <c r="H519" s="349"/>
      <c r="I519" s="349"/>
      <c r="J519" s="349"/>
      <c r="K519" s="349"/>
      <c r="L519" s="349"/>
      <c r="M519" s="349"/>
      <c r="N519" s="349"/>
    </row>
    <row r="520">
      <c r="A520" s="349"/>
      <c r="B520" s="346"/>
      <c r="C520" s="347"/>
      <c r="D520" s="346"/>
      <c r="E520" s="348"/>
      <c r="F520" s="346"/>
      <c r="G520" s="349"/>
      <c r="H520" s="349"/>
      <c r="I520" s="349"/>
      <c r="J520" s="349"/>
      <c r="K520" s="349"/>
      <c r="L520" s="349"/>
      <c r="M520" s="349"/>
      <c r="N520" s="349"/>
    </row>
    <row r="521">
      <c r="A521" s="349"/>
      <c r="B521" s="346"/>
      <c r="C521" s="347"/>
      <c r="D521" s="346"/>
      <c r="E521" s="348"/>
      <c r="F521" s="346"/>
      <c r="G521" s="349"/>
      <c r="H521" s="349"/>
      <c r="I521" s="349"/>
      <c r="J521" s="349"/>
      <c r="K521" s="349"/>
      <c r="L521" s="349"/>
      <c r="M521" s="349"/>
      <c r="N521" s="349"/>
    </row>
    <row r="522">
      <c r="A522" s="349"/>
      <c r="B522" s="346"/>
      <c r="C522" s="347"/>
      <c r="D522" s="346"/>
      <c r="E522" s="348"/>
      <c r="F522" s="346"/>
      <c r="G522" s="349"/>
      <c r="H522" s="349"/>
      <c r="I522" s="349"/>
      <c r="J522" s="349"/>
      <c r="K522" s="349"/>
      <c r="L522" s="349"/>
      <c r="M522" s="349"/>
      <c r="N522" s="349"/>
    </row>
    <row r="523">
      <c r="A523" s="349"/>
      <c r="B523" s="346"/>
      <c r="C523" s="347"/>
      <c r="D523" s="346"/>
      <c r="E523" s="348"/>
      <c r="F523" s="346"/>
      <c r="G523" s="349"/>
      <c r="H523" s="349"/>
      <c r="I523" s="349"/>
      <c r="J523" s="349"/>
      <c r="K523" s="349"/>
      <c r="L523" s="349"/>
      <c r="M523" s="349"/>
      <c r="N523" s="349"/>
    </row>
    <row r="524">
      <c r="A524" s="349"/>
      <c r="B524" s="346"/>
      <c r="C524" s="347"/>
      <c r="D524" s="346"/>
      <c r="E524" s="348"/>
      <c r="F524" s="346"/>
      <c r="G524" s="349"/>
      <c r="H524" s="349"/>
      <c r="I524" s="349"/>
      <c r="J524" s="349"/>
      <c r="K524" s="349"/>
      <c r="L524" s="349"/>
      <c r="M524" s="349"/>
      <c r="N524" s="349"/>
    </row>
    <row r="525">
      <c r="A525" s="349"/>
      <c r="B525" s="346"/>
      <c r="C525" s="347"/>
      <c r="D525" s="346"/>
      <c r="E525" s="348"/>
      <c r="F525" s="346"/>
      <c r="G525" s="349"/>
      <c r="H525" s="349"/>
      <c r="I525" s="349"/>
      <c r="J525" s="349"/>
      <c r="K525" s="349"/>
      <c r="L525" s="349"/>
      <c r="M525" s="349"/>
      <c r="N525" s="349"/>
    </row>
    <row r="526">
      <c r="A526" s="349"/>
      <c r="B526" s="346"/>
      <c r="C526" s="347"/>
      <c r="D526" s="346"/>
      <c r="E526" s="348"/>
      <c r="F526" s="346"/>
      <c r="G526" s="349"/>
      <c r="H526" s="349"/>
      <c r="I526" s="349"/>
      <c r="J526" s="349"/>
      <c r="K526" s="349"/>
      <c r="L526" s="349"/>
      <c r="M526" s="349"/>
      <c r="N526" s="349"/>
    </row>
    <row r="527">
      <c r="A527" s="349"/>
      <c r="B527" s="346"/>
      <c r="C527" s="347"/>
      <c r="D527" s="346"/>
      <c r="E527" s="348"/>
      <c r="F527" s="346"/>
      <c r="G527" s="349"/>
      <c r="H527" s="349"/>
      <c r="I527" s="349"/>
      <c r="J527" s="349"/>
      <c r="K527" s="349"/>
      <c r="L527" s="349"/>
      <c r="M527" s="349"/>
      <c r="N527" s="349"/>
    </row>
    <row r="528">
      <c r="A528" s="349"/>
      <c r="B528" s="346"/>
      <c r="C528" s="347"/>
      <c r="D528" s="346"/>
      <c r="E528" s="348"/>
      <c r="F528" s="346"/>
      <c r="G528" s="349"/>
      <c r="H528" s="349"/>
      <c r="I528" s="349"/>
      <c r="J528" s="349"/>
      <c r="K528" s="349"/>
      <c r="L528" s="349"/>
      <c r="M528" s="349"/>
      <c r="N528" s="349"/>
    </row>
    <row r="529">
      <c r="A529" s="349"/>
      <c r="B529" s="346"/>
      <c r="C529" s="347"/>
      <c r="D529" s="346"/>
      <c r="E529" s="348"/>
      <c r="F529" s="346"/>
      <c r="G529" s="349"/>
      <c r="H529" s="349"/>
      <c r="I529" s="349"/>
      <c r="J529" s="349"/>
      <c r="K529" s="349"/>
      <c r="L529" s="349"/>
      <c r="M529" s="349"/>
      <c r="N529" s="349"/>
    </row>
    <row r="530">
      <c r="A530" s="349"/>
      <c r="B530" s="346"/>
      <c r="C530" s="347"/>
      <c r="D530" s="346"/>
      <c r="E530" s="348"/>
      <c r="F530" s="346"/>
      <c r="G530" s="349"/>
      <c r="H530" s="349"/>
      <c r="I530" s="349"/>
      <c r="J530" s="349"/>
      <c r="K530" s="349"/>
      <c r="L530" s="349"/>
      <c r="M530" s="349"/>
      <c r="N530" s="349"/>
    </row>
    <row r="531">
      <c r="A531" s="349"/>
      <c r="B531" s="346"/>
      <c r="C531" s="347"/>
      <c r="D531" s="346"/>
      <c r="E531" s="348"/>
      <c r="F531" s="346"/>
      <c r="G531" s="349"/>
      <c r="H531" s="349"/>
      <c r="I531" s="349"/>
      <c r="J531" s="349"/>
      <c r="K531" s="349"/>
      <c r="L531" s="349"/>
      <c r="M531" s="349"/>
      <c r="N531" s="349"/>
    </row>
    <row r="532">
      <c r="A532" s="349"/>
      <c r="B532" s="346"/>
      <c r="C532" s="347"/>
      <c r="D532" s="346"/>
      <c r="E532" s="348"/>
      <c r="F532" s="346"/>
      <c r="G532" s="349"/>
      <c r="H532" s="349"/>
      <c r="I532" s="349"/>
      <c r="J532" s="349"/>
      <c r="K532" s="349"/>
      <c r="L532" s="349"/>
      <c r="M532" s="349"/>
      <c r="N532" s="349"/>
    </row>
    <row r="533">
      <c r="A533" s="349"/>
      <c r="B533" s="346"/>
      <c r="C533" s="347"/>
      <c r="D533" s="346"/>
      <c r="E533" s="348"/>
      <c r="F533" s="346"/>
      <c r="G533" s="349"/>
      <c r="H533" s="349"/>
      <c r="I533" s="349"/>
      <c r="J533" s="349"/>
      <c r="K533" s="349"/>
      <c r="L533" s="349"/>
      <c r="M533" s="349"/>
      <c r="N533" s="349"/>
    </row>
    <row r="534">
      <c r="A534" s="349"/>
      <c r="B534" s="346"/>
      <c r="C534" s="347"/>
      <c r="D534" s="346"/>
      <c r="E534" s="348"/>
      <c r="F534" s="346"/>
      <c r="G534" s="349"/>
      <c r="H534" s="349"/>
      <c r="I534" s="349"/>
      <c r="J534" s="349"/>
      <c r="K534" s="349"/>
      <c r="L534" s="349"/>
      <c r="M534" s="349"/>
      <c r="N534" s="349"/>
    </row>
    <row r="535">
      <c r="A535" s="349"/>
      <c r="B535" s="346"/>
      <c r="C535" s="347"/>
      <c r="D535" s="346"/>
      <c r="E535" s="348"/>
      <c r="F535" s="346"/>
      <c r="G535" s="349"/>
      <c r="H535" s="349"/>
      <c r="I535" s="349"/>
      <c r="J535" s="349"/>
      <c r="K535" s="349"/>
      <c r="L535" s="349"/>
      <c r="M535" s="349"/>
      <c r="N535" s="349"/>
    </row>
    <row r="536">
      <c r="A536" s="349"/>
      <c r="B536" s="346"/>
      <c r="C536" s="347"/>
      <c r="D536" s="346"/>
      <c r="E536" s="348"/>
      <c r="F536" s="346"/>
      <c r="G536" s="349"/>
      <c r="H536" s="349"/>
      <c r="I536" s="349"/>
      <c r="J536" s="349"/>
      <c r="K536" s="349"/>
      <c r="L536" s="349"/>
      <c r="M536" s="349"/>
      <c r="N536" s="349"/>
    </row>
    <row r="537">
      <c r="A537" s="349"/>
      <c r="B537" s="346"/>
      <c r="C537" s="347"/>
      <c r="D537" s="346"/>
      <c r="E537" s="348"/>
      <c r="F537" s="346"/>
      <c r="G537" s="349"/>
      <c r="H537" s="349"/>
      <c r="I537" s="349"/>
      <c r="J537" s="349"/>
      <c r="K537" s="349"/>
      <c r="L537" s="349"/>
      <c r="M537" s="349"/>
      <c r="N537" s="349"/>
    </row>
    <row r="538">
      <c r="A538" s="349"/>
      <c r="B538" s="346"/>
      <c r="C538" s="347"/>
      <c r="D538" s="346"/>
      <c r="E538" s="348"/>
      <c r="F538" s="346"/>
      <c r="G538" s="349"/>
      <c r="H538" s="349"/>
      <c r="I538" s="349"/>
      <c r="J538" s="349"/>
      <c r="K538" s="349"/>
      <c r="L538" s="349"/>
      <c r="M538" s="349"/>
      <c r="N538" s="349"/>
    </row>
    <row r="539">
      <c r="A539" s="349"/>
      <c r="B539" s="346"/>
      <c r="C539" s="347"/>
      <c r="D539" s="346"/>
      <c r="E539" s="348"/>
      <c r="F539" s="346"/>
      <c r="G539" s="349"/>
      <c r="H539" s="349"/>
      <c r="I539" s="349"/>
      <c r="J539" s="349"/>
      <c r="K539" s="349"/>
      <c r="L539" s="349"/>
      <c r="M539" s="349"/>
      <c r="N539" s="349"/>
    </row>
    <row r="540">
      <c r="A540" s="349"/>
      <c r="B540" s="346"/>
      <c r="C540" s="347"/>
      <c r="D540" s="346"/>
      <c r="E540" s="348"/>
      <c r="F540" s="346"/>
      <c r="G540" s="349"/>
      <c r="H540" s="349"/>
      <c r="I540" s="349"/>
      <c r="J540" s="349"/>
      <c r="K540" s="349"/>
      <c r="L540" s="349"/>
      <c r="M540" s="349"/>
      <c r="N540" s="349"/>
    </row>
    <row r="541">
      <c r="A541" s="349"/>
      <c r="B541" s="346"/>
      <c r="C541" s="347"/>
      <c r="D541" s="346"/>
      <c r="E541" s="348"/>
      <c r="F541" s="346"/>
      <c r="G541" s="349"/>
      <c r="H541" s="349"/>
      <c r="I541" s="349"/>
      <c r="J541" s="349"/>
      <c r="K541" s="349"/>
      <c r="L541" s="349"/>
      <c r="M541" s="349"/>
      <c r="N541" s="349"/>
    </row>
    <row r="542">
      <c r="A542" s="349"/>
      <c r="B542" s="346"/>
      <c r="C542" s="347"/>
      <c r="D542" s="346"/>
      <c r="E542" s="348"/>
      <c r="F542" s="346"/>
      <c r="G542" s="349"/>
      <c r="H542" s="349"/>
      <c r="I542" s="349"/>
      <c r="J542" s="349"/>
      <c r="K542" s="349"/>
      <c r="L542" s="349"/>
      <c r="M542" s="349"/>
      <c r="N542" s="349"/>
    </row>
    <row r="543">
      <c r="A543" s="349"/>
      <c r="B543" s="346"/>
      <c r="C543" s="347"/>
      <c r="D543" s="346"/>
      <c r="E543" s="348"/>
      <c r="F543" s="346"/>
      <c r="G543" s="349"/>
      <c r="H543" s="349"/>
      <c r="I543" s="349"/>
      <c r="J543" s="349"/>
      <c r="K543" s="349"/>
      <c r="L543" s="349"/>
      <c r="M543" s="349"/>
      <c r="N543" s="349"/>
    </row>
    <row r="544">
      <c r="A544" s="349"/>
      <c r="B544" s="346"/>
      <c r="C544" s="347"/>
      <c r="D544" s="346"/>
      <c r="E544" s="348"/>
      <c r="F544" s="346"/>
      <c r="G544" s="349"/>
      <c r="H544" s="349"/>
      <c r="I544" s="349"/>
      <c r="J544" s="349"/>
      <c r="K544" s="349"/>
      <c r="L544" s="349"/>
      <c r="M544" s="349"/>
      <c r="N544" s="349"/>
    </row>
    <row r="545">
      <c r="A545" s="349"/>
      <c r="B545" s="346"/>
      <c r="C545" s="347"/>
      <c r="D545" s="346"/>
      <c r="E545" s="348"/>
      <c r="F545" s="346"/>
      <c r="G545" s="349"/>
      <c r="H545" s="349"/>
      <c r="I545" s="349"/>
      <c r="J545" s="349"/>
      <c r="K545" s="349"/>
      <c r="L545" s="349"/>
      <c r="M545" s="349"/>
      <c r="N545" s="349"/>
    </row>
    <row r="546">
      <c r="A546" s="349"/>
      <c r="B546" s="346"/>
      <c r="C546" s="347"/>
      <c r="D546" s="346"/>
      <c r="E546" s="348"/>
      <c r="F546" s="346"/>
      <c r="G546" s="349"/>
      <c r="H546" s="349"/>
      <c r="I546" s="349"/>
      <c r="J546" s="349"/>
      <c r="K546" s="349"/>
      <c r="L546" s="349"/>
      <c r="M546" s="349"/>
      <c r="N546" s="349"/>
    </row>
    <row r="547">
      <c r="A547" s="349"/>
      <c r="B547" s="346"/>
      <c r="C547" s="347"/>
      <c r="D547" s="346"/>
      <c r="E547" s="348"/>
      <c r="F547" s="346"/>
      <c r="G547" s="349"/>
      <c r="H547" s="349"/>
      <c r="I547" s="349"/>
      <c r="J547" s="349"/>
      <c r="K547" s="349"/>
      <c r="L547" s="349"/>
      <c r="M547" s="349"/>
      <c r="N547" s="349"/>
    </row>
    <row r="548">
      <c r="A548" s="349"/>
      <c r="B548" s="346"/>
      <c r="C548" s="347"/>
      <c r="D548" s="346"/>
      <c r="E548" s="348"/>
      <c r="F548" s="346"/>
      <c r="G548" s="349"/>
      <c r="H548" s="349"/>
      <c r="I548" s="349"/>
      <c r="J548" s="349"/>
      <c r="K548" s="349"/>
      <c r="L548" s="349"/>
      <c r="M548" s="349"/>
      <c r="N548" s="349"/>
    </row>
    <row r="549">
      <c r="A549" s="349"/>
      <c r="B549" s="346"/>
      <c r="C549" s="347"/>
      <c r="D549" s="346"/>
      <c r="E549" s="348"/>
      <c r="F549" s="346"/>
      <c r="G549" s="349"/>
      <c r="H549" s="349"/>
      <c r="I549" s="349"/>
      <c r="J549" s="349"/>
      <c r="K549" s="349"/>
      <c r="L549" s="349"/>
      <c r="M549" s="349"/>
      <c r="N549" s="349"/>
    </row>
    <row r="550">
      <c r="A550" s="349"/>
      <c r="B550" s="346"/>
      <c r="C550" s="347"/>
      <c r="D550" s="346"/>
      <c r="E550" s="348"/>
      <c r="F550" s="346"/>
      <c r="G550" s="349"/>
      <c r="H550" s="349"/>
      <c r="I550" s="349"/>
      <c r="J550" s="349"/>
      <c r="K550" s="349"/>
      <c r="L550" s="349"/>
      <c r="M550" s="349"/>
      <c r="N550" s="349"/>
    </row>
    <row r="551">
      <c r="A551" s="349"/>
      <c r="B551" s="346"/>
      <c r="C551" s="347"/>
      <c r="D551" s="346"/>
      <c r="E551" s="348"/>
      <c r="F551" s="346"/>
      <c r="G551" s="349"/>
      <c r="H551" s="349"/>
      <c r="I551" s="349"/>
      <c r="J551" s="349"/>
      <c r="K551" s="349"/>
      <c r="L551" s="349"/>
      <c r="M551" s="349"/>
      <c r="N551" s="349"/>
    </row>
    <row r="552">
      <c r="A552" s="349"/>
      <c r="B552" s="346"/>
      <c r="C552" s="347"/>
      <c r="D552" s="346"/>
      <c r="E552" s="348"/>
      <c r="F552" s="346"/>
      <c r="G552" s="349"/>
      <c r="H552" s="349"/>
      <c r="I552" s="349"/>
      <c r="J552" s="349"/>
      <c r="K552" s="349"/>
      <c r="L552" s="349"/>
      <c r="M552" s="349"/>
      <c r="N552" s="349"/>
    </row>
    <row r="553">
      <c r="A553" s="349"/>
      <c r="B553" s="346"/>
      <c r="C553" s="347"/>
      <c r="D553" s="346"/>
      <c r="E553" s="348"/>
      <c r="F553" s="346"/>
      <c r="G553" s="349"/>
      <c r="H553" s="349"/>
      <c r="I553" s="349"/>
      <c r="J553" s="349"/>
      <c r="K553" s="349"/>
      <c r="L553" s="349"/>
      <c r="M553" s="349"/>
      <c r="N553" s="349"/>
    </row>
    <row r="554">
      <c r="A554" s="349"/>
      <c r="B554" s="346"/>
      <c r="C554" s="347"/>
      <c r="D554" s="346"/>
      <c r="E554" s="348"/>
      <c r="F554" s="346"/>
      <c r="G554" s="349"/>
      <c r="H554" s="349"/>
      <c r="I554" s="349"/>
      <c r="J554" s="349"/>
      <c r="K554" s="349"/>
      <c r="L554" s="349"/>
      <c r="M554" s="349"/>
      <c r="N554" s="349"/>
    </row>
    <row r="555">
      <c r="A555" s="349"/>
      <c r="B555" s="346"/>
      <c r="C555" s="347"/>
      <c r="D555" s="346"/>
      <c r="E555" s="348"/>
      <c r="F555" s="346"/>
      <c r="G555" s="349"/>
      <c r="H555" s="349"/>
      <c r="I555" s="349"/>
      <c r="J555" s="349"/>
      <c r="K555" s="349"/>
      <c r="L555" s="349"/>
      <c r="M555" s="349"/>
      <c r="N555" s="349"/>
    </row>
    <row r="556">
      <c r="A556" s="349"/>
      <c r="B556" s="346"/>
      <c r="C556" s="347"/>
      <c r="D556" s="346"/>
      <c r="E556" s="348"/>
      <c r="F556" s="346"/>
      <c r="G556" s="349"/>
      <c r="H556" s="349"/>
      <c r="I556" s="349"/>
      <c r="J556" s="349"/>
      <c r="K556" s="349"/>
      <c r="L556" s="349"/>
      <c r="M556" s="349"/>
      <c r="N556" s="349"/>
    </row>
    <row r="557">
      <c r="A557" s="349"/>
      <c r="B557" s="346"/>
      <c r="C557" s="347"/>
      <c r="D557" s="346"/>
      <c r="E557" s="348"/>
      <c r="F557" s="346"/>
      <c r="G557" s="349"/>
      <c r="H557" s="349"/>
      <c r="I557" s="349"/>
      <c r="J557" s="349"/>
      <c r="K557" s="349"/>
      <c r="L557" s="349"/>
      <c r="M557" s="349"/>
      <c r="N557" s="349"/>
    </row>
    <row r="558">
      <c r="A558" s="349"/>
      <c r="B558" s="346"/>
      <c r="C558" s="347"/>
      <c r="D558" s="346"/>
      <c r="E558" s="348"/>
      <c r="F558" s="346"/>
      <c r="G558" s="349"/>
      <c r="H558" s="349"/>
      <c r="I558" s="349"/>
      <c r="J558" s="349"/>
      <c r="K558" s="349"/>
      <c r="L558" s="349"/>
      <c r="M558" s="349"/>
      <c r="N558" s="349"/>
    </row>
    <row r="559">
      <c r="A559" s="349"/>
      <c r="B559" s="346"/>
      <c r="C559" s="347"/>
      <c r="D559" s="346"/>
      <c r="E559" s="348"/>
      <c r="F559" s="346"/>
      <c r="G559" s="349"/>
      <c r="H559" s="349"/>
      <c r="I559" s="349"/>
      <c r="J559" s="349"/>
      <c r="K559" s="349"/>
      <c r="L559" s="349"/>
      <c r="M559" s="349"/>
      <c r="N559" s="349"/>
    </row>
    <row r="560">
      <c r="A560" s="349"/>
      <c r="B560" s="346"/>
      <c r="C560" s="347"/>
      <c r="D560" s="346"/>
      <c r="E560" s="348"/>
      <c r="F560" s="346"/>
      <c r="G560" s="349"/>
      <c r="H560" s="349"/>
      <c r="I560" s="349"/>
      <c r="J560" s="349"/>
      <c r="K560" s="349"/>
      <c r="L560" s="349"/>
      <c r="M560" s="349"/>
      <c r="N560" s="349"/>
    </row>
    <row r="561">
      <c r="A561" s="349"/>
      <c r="B561" s="346"/>
      <c r="C561" s="347"/>
      <c r="D561" s="346"/>
      <c r="E561" s="348"/>
      <c r="F561" s="346"/>
      <c r="G561" s="349"/>
      <c r="H561" s="349"/>
      <c r="I561" s="349"/>
      <c r="J561" s="349"/>
      <c r="K561" s="349"/>
      <c r="L561" s="349"/>
      <c r="M561" s="349"/>
      <c r="N561" s="349"/>
    </row>
    <row r="562">
      <c r="A562" s="349"/>
      <c r="B562" s="346"/>
      <c r="C562" s="347"/>
      <c r="D562" s="346"/>
      <c r="E562" s="348"/>
      <c r="F562" s="346"/>
      <c r="G562" s="349"/>
      <c r="H562" s="349"/>
      <c r="I562" s="349"/>
      <c r="J562" s="349"/>
      <c r="K562" s="349"/>
      <c r="L562" s="349"/>
      <c r="M562" s="349"/>
      <c r="N562" s="349"/>
    </row>
    <row r="563">
      <c r="A563" s="349"/>
      <c r="B563" s="346"/>
      <c r="C563" s="347"/>
      <c r="D563" s="346"/>
      <c r="E563" s="348"/>
      <c r="F563" s="346"/>
      <c r="G563" s="349"/>
      <c r="H563" s="349"/>
      <c r="I563" s="349"/>
      <c r="J563" s="349"/>
      <c r="K563" s="349"/>
      <c r="L563" s="349"/>
      <c r="M563" s="349"/>
      <c r="N563" s="349"/>
    </row>
    <row r="564">
      <c r="A564" s="349"/>
      <c r="B564" s="346"/>
      <c r="C564" s="347"/>
      <c r="D564" s="346"/>
      <c r="E564" s="348"/>
      <c r="F564" s="346"/>
      <c r="G564" s="349"/>
      <c r="H564" s="349"/>
      <c r="I564" s="349"/>
      <c r="J564" s="349"/>
      <c r="K564" s="349"/>
      <c r="L564" s="349"/>
      <c r="M564" s="349"/>
      <c r="N564" s="349"/>
    </row>
    <row r="565">
      <c r="A565" s="349"/>
      <c r="B565" s="346"/>
      <c r="C565" s="347"/>
      <c r="D565" s="346"/>
      <c r="E565" s="348"/>
      <c r="F565" s="346"/>
      <c r="G565" s="349"/>
      <c r="H565" s="349"/>
      <c r="I565" s="349"/>
      <c r="J565" s="349"/>
      <c r="K565" s="349"/>
      <c r="L565" s="349"/>
      <c r="M565" s="349"/>
      <c r="N565" s="349"/>
    </row>
    <row r="566">
      <c r="A566" s="349"/>
      <c r="B566" s="346"/>
      <c r="C566" s="347"/>
      <c r="D566" s="346"/>
      <c r="E566" s="348"/>
      <c r="F566" s="346"/>
      <c r="G566" s="349"/>
      <c r="H566" s="349"/>
      <c r="I566" s="349"/>
      <c r="J566" s="349"/>
      <c r="K566" s="349"/>
      <c r="L566" s="349"/>
      <c r="M566" s="349"/>
      <c r="N566" s="349"/>
    </row>
    <row r="567">
      <c r="A567" s="349"/>
      <c r="B567" s="346"/>
      <c r="C567" s="347"/>
      <c r="D567" s="346"/>
      <c r="E567" s="348"/>
      <c r="F567" s="346"/>
      <c r="G567" s="349"/>
      <c r="H567" s="349"/>
      <c r="I567" s="349"/>
      <c r="J567" s="349"/>
      <c r="K567" s="349"/>
      <c r="L567" s="349"/>
      <c r="M567" s="349"/>
      <c r="N567" s="349"/>
    </row>
    <row r="568">
      <c r="A568" s="349"/>
      <c r="B568" s="346"/>
      <c r="C568" s="347"/>
      <c r="D568" s="346"/>
      <c r="E568" s="348"/>
      <c r="F568" s="346"/>
      <c r="G568" s="349"/>
      <c r="H568" s="349"/>
      <c r="I568" s="349"/>
      <c r="J568" s="349"/>
      <c r="K568" s="349"/>
      <c r="L568" s="349"/>
      <c r="M568" s="349"/>
      <c r="N568" s="349"/>
    </row>
    <row r="569">
      <c r="A569" s="349"/>
      <c r="B569" s="346"/>
      <c r="C569" s="347"/>
      <c r="D569" s="346"/>
      <c r="E569" s="348"/>
      <c r="F569" s="346"/>
      <c r="G569" s="349"/>
      <c r="H569" s="349"/>
      <c r="I569" s="349"/>
      <c r="J569" s="349"/>
      <c r="K569" s="349"/>
      <c r="L569" s="349"/>
      <c r="M569" s="349"/>
      <c r="N569" s="349"/>
    </row>
    <row r="570">
      <c r="A570" s="349"/>
      <c r="B570" s="346"/>
      <c r="C570" s="347"/>
      <c r="D570" s="346"/>
      <c r="E570" s="348"/>
      <c r="F570" s="346"/>
      <c r="G570" s="349"/>
      <c r="H570" s="349"/>
      <c r="I570" s="349"/>
      <c r="J570" s="349"/>
      <c r="K570" s="349"/>
      <c r="L570" s="349"/>
      <c r="M570" s="349"/>
      <c r="N570" s="349"/>
    </row>
    <row r="571">
      <c r="A571" s="349"/>
      <c r="B571" s="346"/>
      <c r="C571" s="347"/>
      <c r="D571" s="346"/>
      <c r="E571" s="348"/>
      <c r="F571" s="346"/>
      <c r="G571" s="349"/>
      <c r="H571" s="349"/>
      <c r="I571" s="349"/>
      <c r="J571" s="349"/>
      <c r="K571" s="349"/>
      <c r="L571" s="349"/>
      <c r="M571" s="349"/>
      <c r="N571" s="349"/>
    </row>
    <row r="572">
      <c r="A572" s="349"/>
      <c r="B572" s="346"/>
      <c r="C572" s="347"/>
      <c r="D572" s="346"/>
      <c r="E572" s="348"/>
      <c r="F572" s="346"/>
      <c r="G572" s="349"/>
      <c r="H572" s="349"/>
      <c r="I572" s="349"/>
      <c r="J572" s="349"/>
      <c r="K572" s="349"/>
      <c r="L572" s="349"/>
      <c r="M572" s="349"/>
      <c r="N572" s="349"/>
    </row>
    <row r="573">
      <c r="A573" s="349"/>
      <c r="B573" s="358"/>
      <c r="C573" s="359"/>
      <c r="D573" s="358"/>
      <c r="E573" s="360"/>
      <c r="F573" s="358"/>
      <c r="G573" s="349"/>
      <c r="H573" s="349"/>
      <c r="I573" s="349"/>
      <c r="J573" s="349"/>
      <c r="K573" s="349"/>
      <c r="L573" s="349"/>
      <c r="M573" s="349"/>
      <c r="N573" s="349"/>
    </row>
  </sheetData>
  <conditionalFormatting sqref="A1:N573">
    <cfRule type="notContainsBlanks" dxfId="20" priority="1">
      <formula>LEN(TRIM(A1))&gt;0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17.0"/>
  </cols>
  <sheetData>
    <row r="1">
      <c r="A1" s="361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54"/>
    </row>
    <row r="2">
      <c r="A2" s="90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9"/>
    </row>
    <row r="3">
      <c r="A3" s="362"/>
      <c r="B3" s="363"/>
      <c r="C3" s="364"/>
      <c r="D3" s="364"/>
      <c r="E3" s="364"/>
      <c r="F3" s="364"/>
      <c r="G3" s="364"/>
      <c r="H3" s="364"/>
      <c r="I3" s="364"/>
      <c r="J3" s="364"/>
      <c r="K3" s="364"/>
      <c r="L3" s="364"/>
      <c r="M3" s="364"/>
      <c r="N3" s="364"/>
      <c r="O3" s="364"/>
    </row>
    <row r="4">
      <c r="A4" s="362"/>
      <c r="B4" s="363" t="str">
        <f>IFERROR(__xludf.DUMMYFUNCTION("iferror(index(IMPORTHTML(CONCATENATE(""https://www.screener.in/company/"",A5,""/consolidated/""),""table"",2),1))"),"")</f>
        <v/>
      </c>
      <c r="C4" s="365">
        <f>IFERROR(__xludf.DUMMYFUNCTION("""COMPUTED_VALUE"""),42064.0)</f>
        <v>42064</v>
      </c>
      <c r="D4" s="365">
        <f>IFERROR(__xludf.DUMMYFUNCTION("""COMPUTED_VALUE"""),42430.0)</f>
        <v>42430</v>
      </c>
      <c r="E4" s="365">
        <f>IFERROR(__xludf.DUMMYFUNCTION("""COMPUTED_VALUE"""),42795.0)</f>
        <v>42795</v>
      </c>
      <c r="F4" s="365">
        <f>IFERROR(__xludf.DUMMYFUNCTION("""COMPUTED_VALUE"""),43160.0)</f>
        <v>43160</v>
      </c>
      <c r="G4" s="365">
        <f>IFERROR(__xludf.DUMMYFUNCTION("""COMPUTED_VALUE"""),43525.0)</f>
        <v>43525</v>
      </c>
      <c r="H4" s="365">
        <f>IFERROR(__xludf.DUMMYFUNCTION("""COMPUTED_VALUE"""),43891.0)</f>
        <v>43891</v>
      </c>
      <c r="I4" s="365">
        <f>IFERROR(__xludf.DUMMYFUNCTION("""COMPUTED_VALUE"""),44256.0)</f>
        <v>44256</v>
      </c>
      <c r="J4" s="365">
        <f>IFERROR(__xludf.DUMMYFUNCTION("""COMPUTED_VALUE"""),44621.0)</f>
        <v>44621</v>
      </c>
      <c r="K4" s="365">
        <f>IFERROR(__xludf.DUMMYFUNCTION("""COMPUTED_VALUE"""),44986.0)</f>
        <v>44986</v>
      </c>
      <c r="L4" s="365">
        <f>IFERROR(__xludf.DUMMYFUNCTION("""COMPUTED_VALUE"""),45352.0)</f>
        <v>45352</v>
      </c>
      <c r="M4" s="365">
        <f>IFERROR(__xludf.DUMMYFUNCTION("""COMPUTED_VALUE"""),45717.0)</f>
        <v>45717</v>
      </c>
      <c r="N4" s="365">
        <f>IFERROR(__xludf.DUMMYFUNCTION("""COMPUTED_VALUE"""),46082.0)</f>
        <v>46082</v>
      </c>
      <c r="O4" s="365"/>
    </row>
    <row r="5">
      <c r="A5" s="366" t="s">
        <v>276</v>
      </c>
      <c r="B5" s="367" t="str">
        <f>IFERROR(__xludf.DUMMYFUNCTION("iferror(index(IMPORTHTML(CONCATENATE(""https://www.screener.in/company/"",A5,""/consolidated/""),""table"",2),5,1))"),"OPM %")</f>
        <v>OPM %</v>
      </c>
      <c r="C5" s="368">
        <f>IFERROR(__xludf.DUMMYFUNCTION("iferror(index(IMPORTHTML(CONCATENATE(""https://www.screener.in/company/"",A5,""/consolidated/""),""table"",2),5,2))"),0.16)</f>
        <v>0.16</v>
      </c>
      <c r="D5" s="368">
        <f>IFERROR(__xludf.DUMMYFUNCTION("iferror(index(IMPORTHTML(CONCATENATE(""https://www.screener.in/company/"",A5,""/consolidated/""),""table"",2),5,3))"),0.19)</f>
        <v>0.19</v>
      </c>
      <c r="E5" s="368">
        <f>IFERROR(__xludf.DUMMYFUNCTION("iferror(index(IMPORTHTML(CONCATENATE(""https://www.screener.in/company/"",A5,""/consolidated/""),""table"",2),5,4))"),0.21)</f>
        <v>0.21</v>
      </c>
      <c r="F5" s="368">
        <f>IFERROR(__xludf.DUMMYFUNCTION("iferror(index(IMPORTHTML(CONCATENATE(""https://www.screener.in/company/"",A5,""/consolidated/""),""table"",2),5,5))"),0.18)</f>
        <v>0.18</v>
      </c>
      <c r="G5" s="368">
        <f>IFERROR(__xludf.DUMMYFUNCTION("iferror(index(IMPORTHTML(CONCATENATE(""https://www.screener.in/company/"",A5,""/consolidated/""),""table"",2),5,6))"),0.23)</f>
        <v>0.23</v>
      </c>
      <c r="H5" s="368">
        <f>IFERROR(__xludf.DUMMYFUNCTION("iferror(index(IMPORTHTML(CONCATENATE(""https://www.screener.in/company/"",A5,""/consolidated/""),""table"",2),5,7))"),0.23)</f>
        <v>0.23</v>
      </c>
      <c r="I5" s="368">
        <f>IFERROR(__xludf.DUMMYFUNCTION("iferror(index(IMPORTHTML(CONCATENATE(""https://www.screener.in/company/"",A5,""/consolidated/""),""table"",2),5,8))"),0.22)</f>
        <v>0.22</v>
      </c>
      <c r="J5" s="368">
        <f>IFERROR(__xludf.DUMMYFUNCTION("iferror(index(IMPORTHTML(CONCATENATE(""https://www.screener.in/company/"",A5,""/consolidated/""),""table"",2),5,9))"),0.28)</f>
        <v>0.28</v>
      </c>
      <c r="K5" s="368">
        <f>IFERROR(__xludf.DUMMYFUNCTION("iferror(index(IMPORTHTML(CONCATENATE(""https://www.screener.in/company/"",A5,""/consolidated/""),""table"",2),5,10))"),0.16)</f>
        <v>0.16</v>
      </c>
      <c r="L5" s="368">
        <f>IFERROR(__xludf.DUMMYFUNCTION("iferror(index(IMPORTHTML(CONCATENATE(""https://www.screener.in/company/"",A5,""/consolidated/""),""table"",2),5,11))"),0.15)</f>
        <v>0.15</v>
      </c>
      <c r="M5" s="368">
        <f>IFERROR(__xludf.DUMMYFUNCTION("iferror(index(IMPORTHTML(CONCATENATE(""https://www.screener.in/company/"",A5,""/consolidated/""),""table"",2),5,12))"),0.14)</f>
        <v>0.14</v>
      </c>
      <c r="N5" s="368">
        <f>IFERROR(__xludf.DUMMYFUNCTION("iferror(index(IMPORTHTML(CONCATENATE(""https://www.screener.in/company/"",A5,""/consolidated/""),""table"",2),5,13))"),0.14)</f>
        <v>0.14</v>
      </c>
      <c r="O5" s="368" t="str">
        <f>IFERROR(__xludf.DUMMYFUNCTION("iferror(index(IMPORTHTML(CONCATENATE(""https://www.screener.in/company/"",A5,""/consolidated/""),""table"",2),5,14))"),"")</f>
        <v/>
      </c>
    </row>
    <row r="6">
      <c r="A6" s="369"/>
      <c r="B6" s="370" t="str">
        <f>IFERROR(__xludf.DUMMYFUNCTION("iferror(index(IMPORTHTML(CONCATENATE(""https://www.screener.in/company/"",A5,""/consolidated/""),""table"",2),11,1))"),"Net Profit +")</f>
        <v>Net Profit +</v>
      </c>
      <c r="C6" s="370">
        <f>IFERROR(__xludf.DUMMYFUNCTION("iferror(index(IMPORTHTML(CONCATENATE(""https://www.screener.in/company/"",A5,""/consolidated/""),""table"",2),11,2))"),208.0)</f>
        <v>208</v>
      </c>
      <c r="D6" s="370">
        <f>IFERROR(__xludf.DUMMYFUNCTION("iferror(index(IMPORTHTML(CONCATENATE(""https://www.screener.in/company/"",A5,""/consolidated/""),""table"",2),11,3))"),268.0)</f>
        <v>268</v>
      </c>
      <c r="E6" s="370">
        <f>IFERROR(__xludf.DUMMYFUNCTION("iferror(index(IMPORTHTML(CONCATENATE(""https://www.screener.in/company/"",A5,""/consolidated/""),""table"",2),11,4))"),328.0)</f>
        <v>328</v>
      </c>
      <c r="F6" s="370">
        <f>IFERROR(__xludf.DUMMYFUNCTION("iferror(index(IMPORTHTML(CONCATENATE(""https://www.screener.in/company/"",A5,""/consolidated/""),""table"",2),11,5))"),346.0)</f>
        <v>346</v>
      </c>
      <c r="G6" s="370">
        <f>IFERROR(__xludf.DUMMYFUNCTION("iferror(index(IMPORTHTML(CONCATENATE(""https://www.screener.in/company/"",A5,""/consolidated/""),""table"",2),11,6))"),504.0)</f>
        <v>504</v>
      </c>
      <c r="H6" s="370">
        <f>IFERROR(__xludf.DUMMYFUNCTION("iferror(index(IMPORTHTML(CONCATENATE(""https://www.screener.in/company/"",A5,""/consolidated/""),""table"",2),11,7))"),547.0)</f>
        <v>547</v>
      </c>
      <c r="I6" s="370">
        <f>IFERROR(__xludf.DUMMYFUNCTION("iferror(index(IMPORTHTML(CONCATENATE(""https://www.screener.in/company/"",A5,""/consolidated/""),""table"",2),11,8))"),535.0)</f>
        <v>535</v>
      </c>
      <c r="J6" s="370">
        <f>IFERROR(__xludf.DUMMYFUNCTION("iferror(index(IMPORTHTML(CONCATENATE(""https://www.screener.in/company/"",A5,""/consolidated/""),""table"",2),11,9))"),1186.0)</f>
        <v>1186</v>
      </c>
      <c r="K6" s="370">
        <f>IFERROR(__xludf.DUMMYFUNCTION("iferror(index(IMPORTHTML(CONCATENATE(""https://www.screener.in/company/"",A5,""/consolidated/""),""table"",2),11,10))"),545.0)</f>
        <v>545</v>
      </c>
      <c r="L6" s="370">
        <f>IFERROR(__xludf.DUMMYFUNCTION("iferror(index(IMPORTHTML(CONCATENATE(""https://www.screener.in/company/"",A5,""/consolidated/""),""table"",2),11,11))"),416.0)</f>
        <v>416</v>
      </c>
      <c r="M6" s="370">
        <f>IFERROR(__xludf.DUMMYFUNCTION("iferror(index(IMPORTHTML(CONCATENATE(""https://www.screener.in/company/"",A5,""/consolidated/""),""table"",2),11,12))"),331.0)</f>
        <v>331</v>
      </c>
      <c r="N6" s="370">
        <f>IFERROR(__xludf.DUMMYFUNCTION("iferror(index(IMPORTHTML(CONCATENATE(""https://www.screener.in/company/"",A5,""/consolidated/""),""table"",2),11,13))"),419.0)</f>
        <v>419</v>
      </c>
      <c r="O6" s="370" t="str">
        <f>IFERROR(__xludf.DUMMYFUNCTION("iferror(index(IMPORTHTML(CONCATENATE(""https://www.screener.in/company/"",A5,""/consolidated/""),""table"",2),11,14))"),"")</f>
        <v/>
      </c>
    </row>
    <row r="7">
      <c r="A7" s="371"/>
      <c r="B7" s="370" t="str">
        <f>IFERROR(__xludf.DUMMYFUNCTION("iferror(index(IMPORTHTML(CONCATENATE(""https://www.screener.in/company/"",A5,""/consolidated/""),""table"",7),4,1))"),"Borrowings +")</f>
        <v>Borrowings +</v>
      </c>
      <c r="C7" s="370">
        <f>IFERROR(__xludf.DUMMYFUNCTION("iferror(index(IMPORTHTML(CONCATENATE(""https://www.screener.in/company/"",A5,""/consolidated/""),""table"",7),4,2))"),1202.0)</f>
        <v>1202</v>
      </c>
      <c r="D7" s="370">
        <f>IFERROR(__xludf.DUMMYFUNCTION("iferror(index(IMPORTHTML(CONCATENATE(""https://www.screener.in/company/"",A5,""/consolidated/""),""table"",7),4,3))"),1292.0)</f>
        <v>1292</v>
      </c>
      <c r="E7" s="370">
        <f>IFERROR(__xludf.DUMMYFUNCTION("iferror(index(IMPORTHTML(CONCATENATE(""https://www.screener.in/company/"",A5,""/consolidated/""),""table"",7),4,4))"),1564.0)</f>
        <v>1564</v>
      </c>
      <c r="F7" s="370">
        <f>IFERROR(__xludf.DUMMYFUNCTION("iferror(index(IMPORTHTML(CONCATENATE(""https://www.screener.in/company/"",A5,""/consolidated/""),""table"",7),4,5))"),2083.0)</f>
        <v>2083</v>
      </c>
      <c r="G7" s="370">
        <f>IFERROR(__xludf.DUMMYFUNCTION("iferror(index(IMPORTHTML(CONCATENATE(""https://www.screener.in/company/"",A5,""/consolidated/""),""table"",7),4,6))"),2401.0)</f>
        <v>2401</v>
      </c>
      <c r="H7" s="370">
        <f>IFERROR(__xludf.DUMMYFUNCTION("iferror(index(IMPORTHTML(CONCATENATE(""https://www.screener.in/company/"",A5,""/consolidated/""),""table"",7),4,7))"),2098.0)</f>
        <v>2098</v>
      </c>
      <c r="I7" s="370">
        <f>IFERROR(__xludf.DUMMYFUNCTION("iferror(index(IMPORTHTML(CONCATENATE(""https://www.screener.in/company/"",A5,""/consolidated/""),""table"",7),4,8))"),2857.0)</f>
        <v>2857</v>
      </c>
      <c r="J7" s="370">
        <f>IFERROR(__xludf.DUMMYFUNCTION("iferror(index(IMPORTHTML(CONCATENATE(""https://www.screener.in/company/"",A5,""/consolidated/""),""table"",7),4,9))"),2587.0)</f>
        <v>2587</v>
      </c>
      <c r="K7" s="370">
        <f>IFERROR(__xludf.DUMMYFUNCTION("iferror(index(IMPORTHTML(CONCATENATE(""https://www.screener.in/company/"",A5,""/consolidated/""),""table"",7),4,10))"),2907.0)</f>
        <v>2907</v>
      </c>
      <c r="L7" s="370">
        <f>IFERROR(__xludf.DUMMYFUNCTION("iferror(index(IMPORTHTML(CONCATENATE(""https://www.screener.in/company/"",A5,""/consolidated/""),""table"",7),4,11))"),3623.0)</f>
        <v>3623</v>
      </c>
      <c r="M7" s="370">
        <f>IFERROR(__xludf.DUMMYFUNCTION("iferror(index(IMPORTHTML(CONCATENATE(""https://www.screener.in/company/"",A5,""/consolidated/""),""table"",7),4,12))"),3848.0)</f>
        <v>3848</v>
      </c>
      <c r="N7" s="370">
        <f>IFERROR(__xludf.DUMMYFUNCTION("iferror(index(IMPORTHTML(CONCATENATE(""https://www.screener.in/company/"",A5,""/consolidated/""),""table"",7),4,13))"),4966.0)</f>
        <v>4966</v>
      </c>
      <c r="O7" s="370" t="str">
        <f>IFERROR(__xludf.DUMMYFUNCTION("iferror(index(IMPORTHTML(CONCATENATE(""https://www.screener.in/company/"",A5,""/consolidated/""),""table"",7),4,14))"),"")</f>
        <v/>
      </c>
    </row>
    <row r="8">
      <c r="A8" s="371"/>
      <c r="B8" s="372"/>
      <c r="C8" s="373"/>
      <c r="D8" s="373"/>
      <c r="E8" s="373"/>
      <c r="F8" s="373"/>
      <c r="G8" s="373"/>
      <c r="H8" s="373"/>
      <c r="I8" s="373"/>
      <c r="J8" s="373"/>
      <c r="K8" s="373"/>
      <c r="L8" s="373"/>
      <c r="M8" s="373"/>
      <c r="N8" s="373"/>
      <c r="O8" s="373"/>
    </row>
    <row r="9">
      <c r="A9" s="371"/>
      <c r="B9" s="372"/>
      <c r="C9" s="373"/>
      <c r="D9" s="373"/>
      <c r="E9" s="373"/>
      <c r="F9" s="373"/>
      <c r="G9" s="373"/>
      <c r="H9" s="373"/>
      <c r="I9" s="373"/>
      <c r="J9" s="373"/>
      <c r="K9" s="373"/>
      <c r="L9" s="373"/>
      <c r="M9" s="373"/>
      <c r="N9" s="373"/>
      <c r="O9" s="373"/>
    </row>
    <row r="10">
      <c r="A10" s="371"/>
      <c r="B10" s="372"/>
      <c r="C10" s="373"/>
      <c r="D10" s="373"/>
      <c r="E10" s="373"/>
      <c r="F10" s="373"/>
      <c r="G10" s="373"/>
      <c r="H10" s="373"/>
      <c r="I10" s="373"/>
      <c r="J10" s="373"/>
      <c r="K10" s="373"/>
      <c r="L10" s="373"/>
      <c r="M10" s="373"/>
      <c r="N10" s="373"/>
      <c r="O10" s="373"/>
    </row>
    <row r="11">
      <c r="A11" s="371"/>
      <c r="B11" s="372"/>
      <c r="C11" s="373"/>
      <c r="D11" s="373"/>
      <c r="E11" s="373"/>
      <c r="F11" s="373"/>
      <c r="G11" s="373"/>
      <c r="H11" s="373"/>
      <c r="I11" s="373"/>
      <c r="J11" s="373"/>
      <c r="K11" s="373"/>
      <c r="L11" s="373"/>
      <c r="M11" s="373"/>
      <c r="N11" s="373"/>
      <c r="O11" s="373"/>
    </row>
    <row r="12">
      <c r="A12" s="371"/>
      <c r="B12" s="372"/>
      <c r="C12" s="373"/>
      <c r="D12" s="373"/>
      <c r="E12" s="373"/>
      <c r="F12" s="373"/>
      <c r="G12" s="373"/>
      <c r="H12" s="373"/>
      <c r="I12" s="373"/>
      <c r="J12" s="373"/>
      <c r="K12" s="373"/>
      <c r="L12" s="373"/>
      <c r="M12" s="373"/>
      <c r="N12" s="373"/>
      <c r="O12" s="373"/>
    </row>
    <row r="13">
      <c r="A13" s="371"/>
      <c r="B13" s="372"/>
      <c r="C13" s="373"/>
      <c r="D13" s="373"/>
      <c r="E13" s="373"/>
      <c r="F13" s="373"/>
      <c r="G13" s="373"/>
      <c r="H13" s="373"/>
      <c r="I13" s="373"/>
      <c r="J13" s="373"/>
      <c r="K13" s="373"/>
      <c r="L13" s="373"/>
      <c r="M13" s="373"/>
      <c r="N13" s="373"/>
      <c r="O13" s="373"/>
    </row>
    <row r="14">
      <c r="A14" s="371"/>
      <c r="B14" s="372"/>
      <c r="C14" s="373"/>
      <c r="D14" s="373"/>
      <c r="E14" s="373"/>
      <c r="F14" s="373"/>
      <c r="G14" s="373"/>
      <c r="H14" s="373"/>
      <c r="I14" s="373"/>
      <c r="J14" s="373"/>
      <c r="K14" s="373"/>
      <c r="L14" s="373"/>
      <c r="M14" s="373"/>
      <c r="N14" s="373"/>
      <c r="O14" s="373"/>
    </row>
    <row r="15">
      <c r="A15" s="374"/>
      <c r="B15" s="375"/>
      <c r="C15" s="375"/>
      <c r="D15" s="375"/>
      <c r="E15" s="375"/>
      <c r="F15" s="375"/>
      <c r="G15" s="375"/>
      <c r="H15" s="375"/>
      <c r="I15" s="375"/>
      <c r="J15" s="375"/>
      <c r="K15" s="375"/>
      <c r="L15" s="375"/>
      <c r="M15" s="375"/>
      <c r="N15" s="375"/>
      <c r="O15" s="375"/>
    </row>
    <row r="16">
      <c r="A16" s="371"/>
      <c r="B16" s="372"/>
      <c r="C16" s="373"/>
      <c r="D16" s="373"/>
      <c r="E16" s="373"/>
      <c r="F16" s="373"/>
      <c r="G16" s="373"/>
      <c r="H16" s="373"/>
      <c r="I16" s="373"/>
      <c r="J16" s="373"/>
      <c r="K16" s="373"/>
      <c r="L16" s="373"/>
      <c r="M16" s="373" t="str">
        <f>IFERROR(__xludf.DUMMYFUNCTION("iferror(index(IMPORTHTML(CONCATENATE(""https://www.screener.in/company/"",A16,""/consolidated/""),""table"",2),5,12))"),"")</f>
        <v/>
      </c>
      <c r="N16" s="373" t="str">
        <f>IFERROR(__xludf.DUMMYFUNCTION("iferror(index(IMPORTHTML(CONCATENATE(""https://www.screener.in/company/"",A16,""/consolidated/""),""table"",2),5,13))"),"")</f>
        <v/>
      </c>
      <c r="O16" s="373" t="str">
        <f>IFERROR(__xludf.DUMMYFUNCTION("iferror(index(IMPORTHTML(CONCATENATE(""https://www.screener.in/company/"",A16,""/consolidated/""),""table"",2),5,14))"),"")</f>
        <v/>
      </c>
    </row>
    <row r="17">
      <c r="A17" s="371"/>
      <c r="B17" s="372"/>
      <c r="C17" s="373"/>
      <c r="D17" s="373"/>
      <c r="E17" s="373"/>
      <c r="F17" s="373"/>
      <c r="G17" s="373"/>
      <c r="H17" s="373"/>
      <c r="I17" s="373"/>
      <c r="J17" s="373"/>
      <c r="K17" s="373"/>
      <c r="L17" s="373"/>
      <c r="M17" s="373" t="str">
        <f>IFERROR(__xludf.DUMMYFUNCTION("iferror(index(IMPORTHTML(CONCATENATE(""https://www.screener.in/company/"",A17,""/consolidated/""),""table"",2),5,12))"),"")</f>
        <v/>
      </c>
      <c r="N17" s="373" t="str">
        <f>IFERROR(__xludf.DUMMYFUNCTION("iferror(index(IMPORTHTML(CONCATENATE(""https://www.screener.in/company/"",A17,""/consolidated/""),""table"",2),5,13))"),"")</f>
        <v/>
      </c>
      <c r="O17" s="373" t="str">
        <f>IFERROR(__xludf.DUMMYFUNCTION("iferror(index(IMPORTHTML(CONCATENATE(""https://www.screener.in/company/"",A17,""/consolidated/""),""table"",2),5,14))"),"")</f>
        <v/>
      </c>
    </row>
    <row r="18">
      <c r="A18" s="376"/>
      <c r="B18" s="372"/>
      <c r="C18" s="373"/>
      <c r="D18" s="373"/>
      <c r="E18" s="373"/>
      <c r="F18" s="373"/>
      <c r="G18" s="373"/>
      <c r="H18" s="373"/>
      <c r="I18" s="373"/>
      <c r="J18" s="373"/>
      <c r="K18" s="373"/>
      <c r="L18" s="373"/>
      <c r="M18" s="373" t="str">
        <f>IFERROR(__xludf.DUMMYFUNCTION("iferror(index(IMPORTHTML(CONCATENATE(""https://www.screener.in/company/"",A18,""/consolidated/""),""table"",2),5,12))"),"")</f>
        <v/>
      </c>
      <c r="N18" s="373" t="str">
        <f>IFERROR(__xludf.DUMMYFUNCTION("iferror(index(IMPORTHTML(CONCATENATE(""https://www.screener.in/company/"",A18,""/consolidated/""),""table"",2),5,13))"),"")</f>
        <v/>
      </c>
      <c r="O18" s="373" t="str">
        <f>IFERROR(__xludf.DUMMYFUNCTION("iferror(index(IMPORTHTML(CONCATENATE(""https://www.screener.in/company/"",A18,""/consolidated/""),""table"",2),5,14))"),"")</f>
        <v/>
      </c>
    </row>
    <row r="19">
      <c r="A19" s="376"/>
      <c r="B19" s="372"/>
      <c r="C19" s="373"/>
      <c r="D19" s="373"/>
      <c r="E19" s="373"/>
      <c r="F19" s="373"/>
      <c r="G19" s="373"/>
      <c r="H19" s="373"/>
      <c r="I19" s="373"/>
      <c r="J19" s="373"/>
      <c r="K19" s="373"/>
      <c r="L19" s="373"/>
      <c r="M19" s="373" t="str">
        <f>IFERROR(__xludf.DUMMYFUNCTION("iferror(index(IMPORTHTML(CONCATENATE(""https://www.screener.in/company/"",A19,""/consolidated/""),""table"",2),5,12))"),"")</f>
        <v/>
      </c>
      <c r="N19" s="373" t="str">
        <f>IFERROR(__xludf.DUMMYFUNCTION("iferror(index(IMPORTHTML(CONCATENATE(""https://www.screener.in/company/"",A19,""/consolidated/""),""table"",2),5,13))"),"")</f>
        <v/>
      </c>
      <c r="O19" s="373" t="str">
        <f>IFERROR(__xludf.DUMMYFUNCTION("iferror(index(IMPORTHTML(CONCATENATE(""https://www.screener.in/company/"",A19,""/consolidated/""),""table"",2),5,14))"),"")</f>
        <v/>
      </c>
    </row>
    <row r="20">
      <c r="A20" s="376"/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3" t="str">
        <f>IFERROR(__xludf.DUMMYFUNCTION("iferror(index(IMPORTHTML(CONCATENATE(""https://www.screener.in/company/"",A20,""/consolidated/""),""table"",2),5,12))"),"")</f>
        <v/>
      </c>
      <c r="N20" s="373" t="str">
        <f>IFERROR(__xludf.DUMMYFUNCTION("iferror(index(IMPORTHTML(CONCATENATE(""https://www.screener.in/company/"",A20,""/consolidated/""),""table"",2),5,13))"),"")</f>
        <v/>
      </c>
      <c r="O20" s="373" t="str">
        <f>IFERROR(__xludf.DUMMYFUNCTION("iferror(index(IMPORTHTML(CONCATENATE(""https://www.screener.in/company/"",A20,""/consolidated/""),""table"",2),5,14))"),"")</f>
        <v/>
      </c>
    </row>
    <row r="21">
      <c r="A21" s="376"/>
      <c r="B21" s="372"/>
      <c r="C21" s="373"/>
      <c r="D21" s="373"/>
      <c r="E21" s="373"/>
      <c r="F21" s="373"/>
      <c r="G21" s="373"/>
      <c r="H21" s="373"/>
      <c r="I21" s="373"/>
      <c r="J21" s="373"/>
      <c r="K21" s="373"/>
      <c r="L21" s="373"/>
      <c r="M21" s="373" t="str">
        <f>IFERROR(__xludf.DUMMYFUNCTION("iferror(index(IMPORTHTML(CONCATENATE(""https://www.screener.in/company/"",A21,""/consolidated/""),""table"",2),5,12))"),"")</f>
        <v/>
      </c>
      <c r="N21" s="373" t="str">
        <f>IFERROR(__xludf.DUMMYFUNCTION("iferror(index(IMPORTHTML(CONCATENATE(""https://www.screener.in/company/"",A21,""/consolidated/""),""table"",2),5,13))"),"")</f>
        <v/>
      </c>
      <c r="O21" s="373" t="str">
        <f>IFERROR(__xludf.DUMMYFUNCTION("iferror(index(IMPORTHTML(CONCATENATE(""https://www.screener.in/company/"",A21,""/consolidated/""),""table"",2),5,14))"),"")</f>
        <v/>
      </c>
    </row>
    <row r="22">
      <c r="A22" s="376"/>
      <c r="B22" s="372"/>
      <c r="C22" s="373"/>
      <c r="D22" s="373"/>
      <c r="E22" s="373"/>
      <c r="F22" s="373"/>
      <c r="G22" s="373"/>
      <c r="H22" s="373"/>
      <c r="I22" s="373"/>
      <c r="J22" s="373"/>
      <c r="K22" s="373"/>
      <c r="L22" s="373"/>
      <c r="M22" s="373" t="str">
        <f>IFERROR(__xludf.DUMMYFUNCTION("iferror(index(IMPORTHTML(CONCATENATE(""https://www.screener.in/company/"",A22,""/consolidated/""),""table"",2),5,12))"),"")</f>
        <v/>
      </c>
      <c r="N22" s="373" t="str">
        <f>IFERROR(__xludf.DUMMYFUNCTION("iferror(index(IMPORTHTML(CONCATENATE(""https://www.screener.in/company/"",A22,""/consolidated/""),""table"",2),5,13))"),"")</f>
        <v/>
      </c>
      <c r="O22" s="373" t="str">
        <f>IFERROR(__xludf.DUMMYFUNCTION("iferror(index(IMPORTHTML(CONCATENATE(""https://www.screener.in/company/"",A22,""/consolidated/""),""table"",2),5,14))"),"")</f>
        <v/>
      </c>
    </row>
    <row r="23">
      <c r="A23" s="371"/>
      <c r="B23" s="372"/>
      <c r="C23" s="373"/>
      <c r="D23" s="373"/>
      <c r="E23" s="373"/>
      <c r="F23" s="373"/>
      <c r="G23" s="373"/>
      <c r="H23" s="373"/>
      <c r="I23" s="373"/>
      <c r="J23" s="373"/>
      <c r="K23" s="373"/>
      <c r="L23" s="373"/>
      <c r="M23" s="373" t="str">
        <f>IFERROR(__xludf.DUMMYFUNCTION("iferror(index(IMPORTHTML(CONCATENATE(""https://www.screener.in/company/"",A23,""/consolidated/""),""table"",2),5,12))"),"")</f>
        <v/>
      </c>
      <c r="N23" s="373" t="str">
        <f>IFERROR(__xludf.DUMMYFUNCTION("iferror(index(IMPORTHTML(CONCATENATE(""https://www.screener.in/company/"",A23,""/consolidated/""),""table"",2),5,13))"),"")</f>
        <v/>
      </c>
      <c r="O23" s="373" t="str">
        <f>IFERROR(__xludf.DUMMYFUNCTION("iferror(index(IMPORTHTML(CONCATENATE(""https://www.screener.in/company/"",A23,""/consolidated/""),""table"",2),5,14))"),"")</f>
        <v/>
      </c>
    </row>
    <row r="24">
      <c r="A24" s="376"/>
      <c r="B24" s="372"/>
      <c r="C24" s="373"/>
      <c r="D24" s="373"/>
      <c r="E24" s="373"/>
      <c r="F24" s="373"/>
      <c r="G24" s="373"/>
      <c r="H24" s="373"/>
      <c r="I24" s="373"/>
      <c r="J24" s="373"/>
      <c r="K24" s="373"/>
      <c r="L24" s="373"/>
      <c r="M24" s="373" t="str">
        <f>IFERROR(__xludf.DUMMYFUNCTION("iferror(index(IMPORTHTML(CONCATENATE(""https://www.screener.in/company/"",A24,""/consolidated/""),""table"",2),5,12))"),"")</f>
        <v/>
      </c>
      <c r="N24" s="373" t="str">
        <f>IFERROR(__xludf.DUMMYFUNCTION("iferror(index(IMPORTHTML(CONCATENATE(""https://www.screener.in/company/"",A24,""/consolidated/""),""table"",2),5,13))"),"")</f>
        <v/>
      </c>
      <c r="O24" s="373" t="str">
        <f>IFERROR(__xludf.DUMMYFUNCTION("iferror(index(IMPORTHTML(CONCATENATE(""https://www.screener.in/company/"",A24,""/consolidated/""),""table"",2),5,14))"),"")</f>
        <v/>
      </c>
    </row>
    <row r="25">
      <c r="A25" s="377"/>
      <c r="B25" s="372"/>
      <c r="C25" s="373"/>
      <c r="D25" s="373"/>
      <c r="E25" s="373"/>
      <c r="F25" s="373"/>
      <c r="G25" s="373"/>
      <c r="H25" s="373"/>
      <c r="I25" s="373"/>
      <c r="J25" s="373"/>
      <c r="K25" s="373"/>
      <c r="L25" s="373"/>
      <c r="M25" s="373"/>
      <c r="N25" s="373"/>
      <c r="O25" s="373"/>
    </row>
    <row r="26">
      <c r="A26" s="378"/>
      <c r="B26" s="372"/>
      <c r="C26" s="373"/>
      <c r="D26" s="373"/>
      <c r="E26" s="373"/>
      <c r="F26" s="373"/>
      <c r="G26" s="373"/>
      <c r="H26" s="373"/>
      <c r="I26" s="373"/>
      <c r="J26" s="373"/>
      <c r="K26" s="373"/>
      <c r="L26" s="373"/>
      <c r="M26" s="373"/>
      <c r="N26" s="373"/>
      <c r="O26" s="373"/>
    </row>
    <row r="27">
      <c r="A27" s="378"/>
      <c r="B27" s="372"/>
      <c r="C27" s="373"/>
      <c r="D27" s="373"/>
      <c r="E27" s="373"/>
      <c r="F27" s="373"/>
      <c r="G27" s="373"/>
      <c r="H27" s="373"/>
      <c r="I27" s="373"/>
      <c r="J27" s="373"/>
      <c r="K27" s="373"/>
      <c r="L27" s="373"/>
      <c r="M27" s="373"/>
      <c r="N27" s="373"/>
      <c r="O27" s="373"/>
    </row>
    <row r="28">
      <c r="A28" s="378"/>
      <c r="B28" s="372"/>
      <c r="C28" s="373"/>
      <c r="D28" s="373"/>
      <c r="E28" s="373"/>
      <c r="F28" s="373"/>
      <c r="G28" s="373"/>
      <c r="H28" s="373"/>
      <c r="I28" s="373"/>
      <c r="J28" s="373"/>
      <c r="K28" s="373"/>
      <c r="L28" s="373"/>
      <c r="M28" s="373"/>
      <c r="N28" s="373"/>
      <c r="O28" s="373"/>
    </row>
    <row r="29">
      <c r="A29" s="378"/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3"/>
      <c r="M29" s="373"/>
      <c r="N29" s="373"/>
      <c r="O29" s="373"/>
    </row>
    <row r="30">
      <c r="A30" s="378"/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3"/>
      <c r="M30" s="373"/>
      <c r="N30" s="373"/>
      <c r="O30" s="373"/>
    </row>
    <row r="31">
      <c r="A31" s="378"/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3"/>
      <c r="M31" s="373"/>
      <c r="N31" s="373"/>
      <c r="O31" s="373"/>
    </row>
    <row r="32">
      <c r="A32" s="378"/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3"/>
      <c r="M32" s="373"/>
      <c r="N32" s="373"/>
      <c r="O32" s="373"/>
    </row>
    <row r="33">
      <c r="A33" s="378"/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3"/>
      <c r="M33" s="373"/>
      <c r="N33" s="373"/>
      <c r="O33" s="373"/>
    </row>
    <row r="34">
      <c r="A34" s="378"/>
      <c r="B34" s="372"/>
      <c r="C34" s="373"/>
      <c r="D34" s="373"/>
      <c r="E34" s="373"/>
      <c r="F34" s="373"/>
      <c r="G34" s="373"/>
      <c r="H34" s="373"/>
      <c r="I34" s="373"/>
      <c r="J34" s="373"/>
      <c r="K34" s="373"/>
      <c r="L34" s="373"/>
      <c r="M34" s="373"/>
      <c r="N34" s="373"/>
      <c r="O34" s="373"/>
    </row>
    <row r="35">
      <c r="A35" s="378"/>
      <c r="B35" s="372"/>
      <c r="C35" s="373"/>
      <c r="D35" s="373"/>
      <c r="E35" s="373"/>
      <c r="F35" s="373"/>
      <c r="G35" s="373"/>
      <c r="H35" s="373"/>
      <c r="I35" s="373"/>
      <c r="J35" s="373"/>
      <c r="K35" s="373"/>
      <c r="L35" s="373"/>
      <c r="M35" s="373"/>
      <c r="N35" s="373"/>
      <c r="O35" s="373"/>
    </row>
    <row r="36">
      <c r="A36" s="378"/>
      <c r="B36" s="372"/>
      <c r="C36" s="373"/>
      <c r="D36" s="373"/>
      <c r="E36" s="373"/>
      <c r="F36" s="373"/>
      <c r="G36" s="373"/>
      <c r="H36" s="373"/>
      <c r="I36" s="373"/>
      <c r="J36" s="373"/>
      <c r="K36" s="373"/>
      <c r="L36" s="373"/>
      <c r="M36" s="373"/>
      <c r="N36" s="373"/>
      <c r="O36" s="373"/>
    </row>
    <row r="37">
      <c r="A37" s="378"/>
      <c r="B37" s="372"/>
      <c r="C37" s="373"/>
      <c r="D37" s="373"/>
      <c r="E37" s="373"/>
      <c r="F37" s="373"/>
      <c r="G37" s="373"/>
      <c r="H37" s="373"/>
      <c r="I37" s="373"/>
      <c r="J37" s="373"/>
      <c r="K37" s="373"/>
      <c r="L37" s="373"/>
      <c r="M37" s="373"/>
      <c r="N37" s="373"/>
      <c r="O37" s="373"/>
    </row>
    <row r="38">
      <c r="A38" s="378"/>
      <c r="B38" s="372"/>
      <c r="C38" s="373"/>
      <c r="D38" s="373"/>
      <c r="E38" s="373"/>
      <c r="F38" s="373"/>
      <c r="G38" s="373"/>
      <c r="H38" s="373"/>
      <c r="I38" s="373"/>
      <c r="J38" s="373"/>
      <c r="K38" s="373"/>
      <c r="L38" s="373"/>
      <c r="M38" s="373"/>
      <c r="N38" s="373"/>
      <c r="O38" s="373"/>
    </row>
    <row r="39">
      <c r="A39" s="378"/>
      <c r="B39" s="372"/>
      <c r="C39" s="373"/>
      <c r="D39" s="373"/>
      <c r="E39" s="373"/>
      <c r="F39" s="373"/>
      <c r="G39" s="373"/>
      <c r="H39" s="373"/>
      <c r="I39" s="373"/>
      <c r="J39" s="373"/>
      <c r="K39" s="373"/>
      <c r="L39" s="373"/>
      <c r="M39" s="373"/>
      <c r="N39" s="373"/>
      <c r="O39" s="373"/>
    </row>
    <row r="40">
      <c r="A40" s="378"/>
      <c r="B40" s="372"/>
      <c r="C40" s="373"/>
      <c r="D40" s="373"/>
      <c r="E40" s="373"/>
      <c r="F40" s="373"/>
      <c r="G40" s="373"/>
      <c r="H40" s="373"/>
      <c r="I40" s="373"/>
      <c r="J40" s="373"/>
      <c r="K40" s="373"/>
      <c r="L40" s="373"/>
      <c r="M40" s="373"/>
      <c r="N40" s="373"/>
      <c r="O40" s="373"/>
    </row>
    <row r="41">
      <c r="A41" s="378"/>
      <c r="B41" s="372"/>
      <c r="C41" s="373"/>
      <c r="D41" s="373"/>
      <c r="E41" s="373"/>
      <c r="F41" s="373"/>
      <c r="G41" s="373"/>
      <c r="H41" s="373"/>
      <c r="I41" s="373"/>
      <c r="J41" s="373"/>
      <c r="K41" s="373"/>
      <c r="L41" s="373"/>
      <c r="M41" s="373"/>
      <c r="N41" s="373"/>
      <c r="O41" s="373"/>
    </row>
    <row r="42">
      <c r="A42" s="378"/>
      <c r="B42" s="372"/>
      <c r="C42" s="373"/>
      <c r="D42" s="373"/>
      <c r="E42" s="373"/>
      <c r="F42" s="373"/>
      <c r="G42" s="373"/>
      <c r="H42" s="373"/>
      <c r="I42" s="373"/>
      <c r="J42" s="373"/>
      <c r="K42" s="373"/>
      <c r="L42" s="373"/>
      <c r="M42" s="373"/>
      <c r="N42" s="373"/>
      <c r="O42" s="373"/>
    </row>
    <row r="43">
      <c r="A43" s="378"/>
      <c r="B43" s="372"/>
      <c r="C43" s="373"/>
      <c r="D43" s="373"/>
      <c r="E43" s="373"/>
      <c r="F43" s="373"/>
      <c r="G43" s="373"/>
      <c r="H43" s="373"/>
      <c r="I43" s="373"/>
      <c r="J43" s="373"/>
      <c r="K43" s="373"/>
      <c r="L43" s="373"/>
      <c r="M43" s="373"/>
      <c r="N43" s="373"/>
      <c r="O43" s="373"/>
    </row>
    <row r="44">
      <c r="A44" s="378"/>
      <c r="B44" s="372"/>
      <c r="C44" s="373"/>
      <c r="D44" s="373"/>
      <c r="E44" s="373"/>
      <c r="F44" s="373"/>
      <c r="G44" s="373"/>
      <c r="H44" s="373"/>
      <c r="I44" s="373"/>
      <c r="J44" s="373"/>
      <c r="K44" s="373"/>
      <c r="L44" s="373"/>
      <c r="M44" s="373"/>
      <c r="N44" s="373"/>
      <c r="O44" s="373"/>
    </row>
    <row r="45">
      <c r="A45" s="378"/>
      <c r="B45" s="372"/>
      <c r="C45" s="373"/>
      <c r="D45" s="373"/>
      <c r="E45" s="373"/>
      <c r="F45" s="373"/>
      <c r="G45" s="373"/>
      <c r="H45" s="373"/>
      <c r="I45" s="373"/>
      <c r="J45" s="373"/>
      <c r="K45" s="373"/>
      <c r="L45" s="373"/>
      <c r="M45" s="373"/>
      <c r="N45" s="373"/>
      <c r="O45" s="373"/>
    </row>
    <row r="46">
      <c r="A46" s="378"/>
      <c r="B46" s="372"/>
      <c r="C46" s="373"/>
      <c r="D46" s="373"/>
      <c r="E46" s="373"/>
      <c r="F46" s="373"/>
      <c r="G46" s="373"/>
      <c r="H46" s="373"/>
      <c r="I46" s="373"/>
      <c r="J46" s="373"/>
      <c r="K46" s="373"/>
      <c r="L46" s="373"/>
      <c r="M46" s="373"/>
      <c r="N46" s="373"/>
      <c r="O46" s="373"/>
    </row>
    <row r="47">
      <c r="A47" s="378"/>
      <c r="B47" s="372"/>
      <c r="C47" s="373"/>
      <c r="D47" s="373"/>
      <c r="E47" s="373"/>
      <c r="F47" s="373"/>
      <c r="G47" s="373"/>
      <c r="H47" s="373"/>
      <c r="I47" s="373"/>
      <c r="J47" s="373"/>
      <c r="K47" s="373"/>
      <c r="L47" s="373"/>
      <c r="M47" s="373"/>
      <c r="N47" s="373"/>
      <c r="O47" s="373"/>
    </row>
    <row r="48">
      <c r="A48" s="378"/>
      <c r="B48" s="372"/>
      <c r="C48" s="373"/>
      <c r="D48" s="373"/>
      <c r="E48" s="373"/>
      <c r="F48" s="373"/>
      <c r="G48" s="373"/>
      <c r="H48" s="373"/>
      <c r="I48" s="373"/>
      <c r="J48" s="373"/>
      <c r="K48" s="373"/>
      <c r="L48" s="373"/>
      <c r="M48" s="373"/>
      <c r="N48" s="373"/>
      <c r="O48" s="373"/>
    </row>
    <row r="49">
      <c r="A49" s="378"/>
      <c r="B49" s="372"/>
      <c r="C49" s="373"/>
      <c r="D49" s="373"/>
      <c r="E49" s="373"/>
      <c r="F49" s="373"/>
      <c r="G49" s="373"/>
      <c r="H49" s="373"/>
      <c r="I49" s="373"/>
      <c r="J49" s="373"/>
      <c r="K49" s="373"/>
      <c r="L49" s="373"/>
      <c r="M49" s="373"/>
      <c r="N49" s="373"/>
      <c r="O49" s="373"/>
    </row>
    <row r="50">
      <c r="A50" s="378"/>
      <c r="B50" s="372"/>
      <c r="C50" s="373"/>
      <c r="D50" s="373"/>
      <c r="E50" s="373"/>
      <c r="F50" s="373"/>
      <c r="G50" s="373"/>
      <c r="H50" s="373"/>
      <c r="I50" s="373"/>
      <c r="J50" s="373"/>
      <c r="K50" s="373"/>
      <c r="L50" s="373"/>
      <c r="M50" s="373"/>
      <c r="N50" s="373"/>
      <c r="O50" s="373"/>
    </row>
    <row r="51">
      <c r="A51" s="378"/>
      <c r="B51" s="372"/>
      <c r="C51" s="373"/>
      <c r="D51" s="373"/>
      <c r="E51" s="373"/>
      <c r="F51" s="373"/>
      <c r="G51" s="373"/>
      <c r="H51" s="373"/>
      <c r="I51" s="373"/>
      <c r="J51" s="373"/>
      <c r="K51" s="373"/>
      <c r="L51" s="373"/>
      <c r="M51" s="373"/>
      <c r="N51" s="373"/>
      <c r="O51" s="373"/>
    </row>
    <row r="52">
      <c r="A52" s="378"/>
      <c r="B52" s="372"/>
      <c r="C52" s="373"/>
      <c r="D52" s="373"/>
      <c r="E52" s="373"/>
      <c r="F52" s="373"/>
      <c r="G52" s="373"/>
      <c r="H52" s="373"/>
      <c r="I52" s="373"/>
      <c r="J52" s="373"/>
      <c r="K52" s="373"/>
      <c r="L52" s="373"/>
      <c r="M52" s="373"/>
      <c r="N52" s="373"/>
      <c r="O52" s="373"/>
    </row>
    <row r="53">
      <c r="A53" s="379" t="s">
        <v>277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54"/>
    </row>
    <row r="54">
      <c r="A54" s="90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9"/>
    </row>
    <row r="55">
      <c r="A55" s="380"/>
      <c r="B55" s="364"/>
      <c r="C55" s="364"/>
      <c r="D55" s="364"/>
      <c r="E55" s="364"/>
      <c r="F55" s="364"/>
      <c r="G55" s="364"/>
      <c r="H55" s="364"/>
      <c r="I55" s="364"/>
      <c r="J55" s="364"/>
      <c r="K55" s="364"/>
      <c r="L55" s="364"/>
      <c r="M55" s="364"/>
      <c r="N55" s="364"/>
      <c r="O55" s="364"/>
    </row>
    <row r="56">
      <c r="A56" s="380"/>
      <c r="B56" s="381" t="str">
        <f>IFERROR(__xludf.DUMMYFUNCTION("iferror(index(IMPORTHTML(CONCATENATE(""https://www.screener.in/company/"",A57,""/consolidated/""),""table"",2),1))"),"")</f>
        <v/>
      </c>
      <c r="C56" s="382">
        <f>IFERROR(__xludf.DUMMYFUNCTION("""COMPUTED_VALUE"""),42064.0)</f>
        <v>42064</v>
      </c>
      <c r="D56" s="383">
        <f>IFERROR(__xludf.DUMMYFUNCTION("""COMPUTED_VALUE"""),42430.0)</f>
        <v>42430</v>
      </c>
      <c r="E56" s="383">
        <f>IFERROR(__xludf.DUMMYFUNCTION("""COMPUTED_VALUE"""),42795.0)</f>
        <v>42795</v>
      </c>
      <c r="F56" s="383">
        <f>IFERROR(__xludf.DUMMYFUNCTION("""COMPUTED_VALUE"""),43160.0)</f>
        <v>43160</v>
      </c>
      <c r="G56" s="383">
        <f>IFERROR(__xludf.DUMMYFUNCTION("""COMPUTED_VALUE"""),43525.0)</f>
        <v>43525</v>
      </c>
      <c r="H56" s="383">
        <f>IFERROR(__xludf.DUMMYFUNCTION("""COMPUTED_VALUE"""),43891.0)</f>
        <v>43891</v>
      </c>
      <c r="I56" s="383">
        <f>IFERROR(__xludf.DUMMYFUNCTION("""COMPUTED_VALUE"""),44256.0)</f>
        <v>44256</v>
      </c>
      <c r="J56" s="383">
        <f>IFERROR(__xludf.DUMMYFUNCTION("""COMPUTED_VALUE"""),44621.0)</f>
        <v>44621</v>
      </c>
      <c r="K56" s="383">
        <f>IFERROR(__xludf.DUMMYFUNCTION("""COMPUTED_VALUE"""),44986.0)</f>
        <v>44986</v>
      </c>
      <c r="L56" s="383">
        <f>IFERROR(__xludf.DUMMYFUNCTION("""COMPUTED_VALUE"""),45352.0)</f>
        <v>45352</v>
      </c>
      <c r="M56" s="383">
        <f>IFERROR(__xludf.DUMMYFUNCTION("""COMPUTED_VALUE"""),45717.0)</f>
        <v>45717</v>
      </c>
      <c r="N56" s="383">
        <f>IFERROR(__xludf.DUMMYFUNCTION("""COMPUTED_VALUE"""),46082.0)</f>
        <v>46082</v>
      </c>
      <c r="O56" s="383"/>
    </row>
    <row r="57">
      <c r="A57" s="384" t="s">
        <v>183</v>
      </c>
      <c r="B57" s="385" t="str">
        <f>IFERROR(__xludf.DUMMYFUNCTION("iferror(index(IMPORTHTML(CONCATENATE(""https://www.screener.in/company/"",A57,""/consolidated/""),""table"",2),6,1))"),"Financing Margin %")</f>
        <v>Financing Margin %</v>
      </c>
      <c r="C57" s="368">
        <f>IFERROR(__xludf.DUMMYFUNCTION("iferror(index(IMPORTHTML(CONCATENATE(""https://www.screener.in/company/"",A57,""/consolidated/""),""table"",2),6,2))"),0.14)</f>
        <v>0.14</v>
      </c>
      <c r="D57" s="368">
        <f>IFERROR(__xludf.DUMMYFUNCTION("iferror(index(IMPORTHTML(CONCATENATE(""https://www.screener.in/company/"",A57,""/consolidated/""),""table"",2),6,3))"),0.14)</f>
        <v>0.14</v>
      </c>
      <c r="E57" s="368">
        <f>IFERROR(__xludf.DUMMYFUNCTION("iferror(index(IMPORTHTML(CONCATENATE(""https://www.screener.in/company/"",A57,""/consolidated/""),""table"",2),6,4))"),0.16)</f>
        <v>0.16</v>
      </c>
      <c r="F57" s="368">
        <f>IFERROR(__xludf.DUMMYFUNCTION("iferror(index(IMPORTHTML(CONCATENATE(""https://www.screener.in/company/"",A57,""/consolidated/""),""table"",2),6,5))"),0.16)</f>
        <v>0.16</v>
      </c>
      <c r="G57" s="368">
        <f>IFERROR(__xludf.DUMMYFUNCTION("iferror(index(IMPORTHTML(CONCATENATE(""https://www.screener.in/company/"",A57,""/consolidated/""),""table"",2),6,6))"),0.16)</f>
        <v>0.16</v>
      </c>
      <c r="H57" s="368">
        <f>IFERROR(__xludf.DUMMYFUNCTION("iferror(index(IMPORTHTML(CONCATENATE(""https://www.screener.in/company/"",A57,""/consolidated/""),""table"",2),6,7))"),0.12)</f>
        <v>0.12</v>
      </c>
      <c r="I57" s="368">
        <f>IFERROR(__xludf.DUMMYFUNCTION("iferror(index(IMPORTHTML(CONCATENATE(""https://www.screener.in/company/"",A57,""/consolidated/""),""table"",2),6,8))"),0.13)</f>
        <v>0.13</v>
      </c>
      <c r="J57" s="368">
        <f>IFERROR(__xludf.DUMMYFUNCTION("iferror(index(IMPORTHTML(CONCATENATE(""https://www.screener.in/company/"",A57,""/consolidated/""),""table"",2),6,9))"),0.15)</f>
        <v>0.15</v>
      </c>
      <c r="K57" s="368">
        <f>IFERROR(__xludf.DUMMYFUNCTION("iferror(index(IMPORTHTML(CONCATENATE(""https://www.screener.in/company/"",A57,""/consolidated/""),""table"",2),6,10))"),0.18)</f>
        <v>0.18</v>
      </c>
      <c r="L57" s="368">
        <f>IFERROR(__xludf.DUMMYFUNCTION("iferror(index(IMPORTHTML(CONCATENATE(""https://www.screener.in/company/"",A57,""/consolidated/""),""table"",2),6,11))"),-0.16)</f>
        <v>-0.16</v>
      </c>
      <c r="M57" s="368">
        <f>IFERROR(__xludf.DUMMYFUNCTION("iferror(index(IMPORTHTML(CONCATENATE(""https://www.screener.in/company/"",A57,""/consolidated/""),""table"",2),6,12))"),-0.1)</f>
        <v>-0.1</v>
      </c>
      <c r="N57" s="368">
        <f>IFERROR(__xludf.DUMMYFUNCTION("iferror(index(IMPORTHTML(CONCATENATE(""https://www.screener.in/company/"",A57,""/consolidated/""),""table"",2),6,13))"),-0.13)</f>
        <v>-0.13</v>
      </c>
      <c r="O57" s="368" t="str">
        <f>IFERROR(__xludf.DUMMYFUNCTION("iferror(index(IMPORTHTML(CONCATENATE(""https://www.screener.in/company/"",A57,""/consolidated/""),""table"",2),6,14))"),"")</f>
        <v/>
      </c>
    </row>
    <row r="58">
      <c r="A58" s="386"/>
      <c r="B58" s="370" t="str">
        <f>IFERROR(__xludf.DUMMYFUNCTION("iferror(index(IMPORTHTML(CONCATENATE(""https://www.screener.in/company/"",A57,""/consolidated/""),""table"",2),11,1))"),"Net Profit +")</f>
        <v>Net Profit +</v>
      </c>
      <c r="C58" s="370">
        <f>IFERROR(__xludf.DUMMYFUNCTION("iferror(index(IMPORTHTML(CONCATENATE(""https://www.screener.in/company/"",A57,""/consolidated/""),""table"",2),11,2))"),10703.0)</f>
        <v>10703</v>
      </c>
      <c r="D58" s="370">
        <f>IFERROR(__xludf.DUMMYFUNCTION("iferror(index(IMPORTHTML(CONCATENATE(""https://www.screener.in/company/"",A57,""/consolidated/""),""table"",2),11,3))"),12821.0)</f>
        <v>12821</v>
      </c>
      <c r="E58" s="370">
        <f>IFERROR(__xludf.DUMMYFUNCTION("iferror(index(IMPORTHTML(CONCATENATE(""https://www.screener.in/company/"",A57,""/consolidated/""),""table"",2),11,4))"),15317.0)</f>
        <v>15317</v>
      </c>
      <c r="F58" s="370">
        <f>IFERROR(__xludf.DUMMYFUNCTION("iferror(index(IMPORTHTML(CONCATENATE(""https://www.screener.in/company/"",A57,""/consolidated/""),""table"",2),11,5))"),18561.0)</f>
        <v>18561</v>
      </c>
      <c r="G58" s="370">
        <f>IFERROR(__xludf.DUMMYFUNCTION("iferror(index(IMPORTHTML(CONCATENATE(""https://www.screener.in/company/"",A57,""/consolidated/""),""table"",2),11,6))"),22446.0)</f>
        <v>22446</v>
      </c>
      <c r="H58" s="370">
        <f>IFERROR(__xludf.DUMMYFUNCTION("iferror(index(IMPORTHTML(CONCATENATE(""https://www.screener.in/company/"",A57,""/consolidated/""),""table"",2),11,7))"),27296.0)</f>
        <v>27296</v>
      </c>
      <c r="I58" s="370">
        <f>IFERROR(__xludf.DUMMYFUNCTION("iferror(index(IMPORTHTML(CONCATENATE(""https://www.screener.in/company/"",A57,""/consolidated/""),""table"",2),11,8))"),31857.0)</f>
        <v>31857</v>
      </c>
      <c r="J58" s="370">
        <f>IFERROR(__xludf.DUMMYFUNCTION("iferror(index(IMPORTHTML(CONCATENATE(""https://www.screener.in/company/"",A57,""/consolidated/""),""table"",2),11,9))"),38151.0)</f>
        <v>38151</v>
      </c>
      <c r="K58" s="370">
        <f>IFERROR(__xludf.DUMMYFUNCTION("iferror(index(IMPORTHTML(CONCATENATE(""https://www.screener.in/company/"",A57,""/consolidated/""),""table"",2),11,10))"),46149.0)</f>
        <v>46149</v>
      </c>
      <c r="L58" s="370">
        <f>IFERROR(__xludf.DUMMYFUNCTION("iferror(index(IMPORTHTML(CONCATENATE(""https://www.screener.in/company/"",A57,""/consolidated/""),""table"",2),11,11))"),65446.0)</f>
        <v>65446</v>
      </c>
      <c r="M58" s="370">
        <f>IFERROR(__xludf.DUMMYFUNCTION("iferror(index(IMPORTHTML(CONCATENATE(""https://www.screener.in/company/"",A57,""/consolidated/""),""table"",2),11,12))"),73440.0)</f>
        <v>73440</v>
      </c>
      <c r="N58" s="370">
        <f>IFERROR(__xludf.DUMMYFUNCTION("iferror(index(IMPORTHTML(CONCATENATE(""https://www.screener.in/company/"",A57,""/consolidated/""),""table"",2),11,13))"),79219.0)</f>
        <v>79219</v>
      </c>
      <c r="O58" s="370" t="str">
        <f>IFERROR(__xludf.DUMMYFUNCTION("iferror(index(IMPORTHTML(CONCATENATE(""https://www.screener.in/company/"",A57,""/consolidated/""),""table"",2),11,14))"),"")</f>
        <v/>
      </c>
    </row>
    <row r="59">
      <c r="A59" s="386"/>
      <c r="B59" s="387"/>
      <c r="C59" s="387"/>
      <c r="D59" s="387"/>
      <c r="E59" s="387"/>
      <c r="F59" s="387"/>
      <c r="G59" s="387"/>
      <c r="H59" s="387"/>
      <c r="I59" s="387"/>
      <c r="J59" s="387"/>
      <c r="K59" s="387"/>
      <c r="L59" s="387"/>
      <c r="M59" s="387"/>
      <c r="N59" s="387"/>
      <c r="O59" s="387"/>
    </row>
    <row r="60">
      <c r="A60" s="386"/>
      <c r="B60" s="372"/>
      <c r="C60" s="373"/>
      <c r="D60" s="373"/>
      <c r="E60" s="373"/>
      <c r="F60" s="373"/>
      <c r="G60" s="373"/>
      <c r="H60" s="373"/>
      <c r="I60" s="373"/>
      <c r="J60" s="373"/>
      <c r="K60" s="373"/>
      <c r="L60" s="373"/>
      <c r="M60" s="373"/>
      <c r="N60" s="373"/>
      <c r="O60" s="373"/>
    </row>
    <row r="61">
      <c r="A61" s="372"/>
      <c r="B61" s="372"/>
      <c r="C61" s="373"/>
      <c r="D61" s="373"/>
      <c r="E61" s="373"/>
      <c r="F61" s="373"/>
      <c r="G61" s="373"/>
      <c r="H61" s="373"/>
      <c r="I61" s="373"/>
      <c r="J61" s="373"/>
      <c r="K61" s="373"/>
      <c r="L61" s="373"/>
      <c r="M61" s="373"/>
      <c r="N61" s="373"/>
      <c r="O61" s="373"/>
    </row>
    <row r="62">
      <c r="A62" s="372"/>
      <c r="B62" s="372"/>
      <c r="C62" s="373"/>
      <c r="D62" s="373"/>
      <c r="E62" s="373"/>
      <c r="F62" s="373"/>
      <c r="G62" s="373"/>
      <c r="H62" s="373"/>
      <c r="I62" s="373"/>
      <c r="J62" s="373"/>
      <c r="K62" s="373"/>
      <c r="L62" s="373"/>
      <c r="M62" s="373"/>
      <c r="N62" s="373"/>
      <c r="O62" s="373"/>
    </row>
    <row r="63">
      <c r="A63" s="372"/>
      <c r="B63" s="372"/>
      <c r="C63" s="373"/>
      <c r="D63" s="373"/>
      <c r="E63" s="373"/>
      <c r="F63" s="373"/>
      <c r="G63" s="373"/>
      <c r="H63" s="373"/>
      <c r="I63" s="373"/>
      <c r="J63" s="373"/>
      <c r="K63" s="373"/>
      <c r="L63" s="373"/>
      <c r="M63" s="373"/>
      <c r="N63" s="373"/>
      <c r="O63" s="373"/>
    </row>
    <row r="64">
      <c r="A64" s="372"/>
      <c r="B64" s="372"/>
      <c r="C64" s="373"/>
      <c r="D64" s="373"/>
      <c r="E64" s="373"/>
      <c r="F64" s="373"/>
      <c r="G64" s="373"/>
      <c r="H64" s="373"/>
      <c r="I64" s="373"/>
      <c r="J64" s="373"/>
      <c r="K64" s="373"/>
      <c r="L64" s="373"/>
      <c r="M64" s="373"/>
      <c r="N64" s="373"/>
      <c r="O64" s="373"/>
    </row>
    <row r="65">
      <c r="A65" s="372"/>
      <c r="B65" s="372"/>
      <c r="C65" s="373"/>
      <c r="D65" s="373"/>
      <c r="E65" s="373"/>
      <c r="F65" s="373"/>
      <c r="G65" s="373"/>
      <c r="H65" s="373"/>
      <c r="I65" s="373"/>
      <c r="J65" s="373"/>
      <c r="K65" s="373"/>
      <c r="L65" s="373"/>
      <c r="M65" s="373"/>
      <c r="N65" s="373"/>
      <c r="O65" s="373"/>
    </row>
    <row r="66">
      <c r="A66" s="372"/>
      <c r="B66" s="372"/>
      <c r="C66" s="373"/>
      <c r="D66" s="373"/>
      <c r="E66" s="373"/>
      <c r="F66" s="373"/>
      <c r="G66" s="373"/>
      <c r="H66" s="373"/>
      <c r="I66" s="373"/>
      <c r="J66" s="373"/>
      <c r="K66" s="373"/>
      <c r="L66" s="373"/>
      <c r="M66" s="373"/>
      <c r="N66" s="373"/>
      <c r="O66" s="373"/>
    </row>
    <row r="67">
      <c r="A67" s="372"/>
      <c r="B67" s="372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3"/>
    </row>
    <row r="68">
      <c r="A68" s="372"/>
      <c r="B68" s="372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</row>
    <row r="69">
      <c r="A69" s="372"/>
      <c r="B69" s="372"/>
      <c r="C69" s="373"/>
      <c r="D69" s="373"/>
      <c r="E69" s="373"/>
      <c r="F69" s="373"/>
      <c r="G69" s="373"/>
      <c r="H69" s="373"/>
      <c r="I69" s="373"/>
      <c r="J69" s="373"/>
      <c r="K69" s="373"/>
      <c r="L69" s="373"/>
      <c r="M69" s="373"/>
      <c r="N69" s="373"/>
      <c r="O69" s="373"/>
    </row>
    <row r="70">
      <c r="A70" s="372"/>
      <c r="B70" s="372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</row>
    <row r="71">
      <c r="A71" s="372"/>
      <c r="B71" s="372"/>
      <c r="C71" s="373"/>
      <c r="D71" s="373"/>
      <c r="E71" s="373"/>
      <c r="F71" s="373"/>
      <c r="G71" s="373"/>
      <c r="H71" s="373"/>
      <c r="I71" s="373"/>
      <c r="J71" s="373"/>
      <c r="K71" s="373"/>
      <c r="L71" s="373"/>
      <c r="M71" s="373"/>
      <c r="N71" s="373"/>
      <c r="O71" s="373"/>
    </row>
    <row r="72">
      <c r="A72" s="372"/>
      <c r="B72" s="372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</row>
    <row r="73">
      <c r="A73" s="372"/>
      <c r="B73" s="372"/>
      <c r="C73" s="373"/>
      <c r="D73" s="373"/>
      <c r="E73" s="373"/>
      <c r="F73" s="373"/>
      <c r="G73" s="373"/>
      <c r="H73" s="373"/>
      <c r="I73" s="373"/>
      <c r="J73" s="373"/>
      <c r="K73" s="373"/>
      <c r="L73" s="373"/>
      <c r="M73" s="373"/>
      <c r="N73" s="373"/>
      <c r="O73" s="373"/>
    </row>
    <row r="74">
      <c r="A74" s="372"/>
      <c r="B74" s="372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</row>
    <row r="75">
      <c r="A75" s="372"/>
      <c r="B75" s="372"/>
      <c r="C75" s="373"/>
      <c r="D75" s="373"/>
      <c r="E75" s="373"/>
      <c r="F75" s="373"/>
      <c r="G75" s="373"/>
      <c r="H75" s="373"/>
      <c r="I75" s="373"/>
      <c r="J75" s="373"/>
      <c r="K75" s="373"/>
      <c r="L75" s="373"/>
      <c r="M75" s="373"/>
      <c r="N75" s="373"/>
      <c r="O75" s="373"/>
    </row>
    <row r="76">
      <c r="A76" s="372"/>
      <c r="B76" s="372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</row>
    <row r="77">
      <c r="A77" s="372"/>
      <c r="B77" s="372"/>
      <c r="C77" s="373"/>
      <c r="D77" s="373"/>
      <c r="E77" s="373"/>
      <c r="F77" s="373"/>
      <c r="G77" s="373"/>
      <c r="H77" s="373"/>
      <c r="I77" s="373"/>
      <c r="J77" s="373"/>
      <c r="K77" s="373"/>
      <c r="L77" s="373"/>
      <c r="M77" s="373"/>
      <c r="N77" s="373"/>
      <c r="O77" s="373"/>
    </row>
    <row r="78">
      <c r="A78" s="372"/>
      <c r="B78" s="372"/>
      <c r="C78" s="373"/>
      <c r="D78" s="373"/>
      <c r="E78" s="373"/>
      <c r="F78" s="373"/>
      <c r="G78" s="373"/>
      <c r="H78" s="373"/>
      <c r="I78" s="373"/>
      <c r="J78" s="373"/>
      <c r="K78" s="373"/>
      <c r="L78" s="373"/>
      <c r="M78" s="373"/>
      <c r="N78" s="373"/>
      <c r="O78" s="373"/>
    </row>
    <row r="79">
      <c r="A79" s="372"/>
      <c r="B79" s="372"/>
      <c r="C79" s="373"/>
      <c r="D79" s="373"/>
      <c r="E79" s="373"/>
      <c r="F79" s="373"/>
      <c r="G79" s="373"/>
      <c r="H79" s="373"/>
      <c r="I79" s="373"/>
      <c r="J79" s="373"/>
      <c r="K79" s="373"/>
      <c r="L79" s="373"/>
      <c r="M79" s="373"/>
      <c r="N79" s="373"/>
      <c r="O79" s="373"/>
    </row>
    <row r="80">
      <c r="A80" s="372"/>
      <c r="B80" s="372"/>
      <c r="C80" s="373"/>
      <c r="D80" s="373"/>
      <c r="E80" s="373"/>
      <c r="F80" s="373"/>
      <c r="G80" s="373"/>
      <c r="H80" s="373"/>
      <c r="I80" s="373"/>
      <c r="J80" s="373"/>
      <c r="K80" s="373"/>
      <c r="L80" s="373"/>
      <c r="M80" s="373"/>
      <c r="N80" s="373"/>
      <c r="O80" s="373"/>
    </row>
    <row r="81">
      <c r="A81" s="372"/>
      <c r="B81" s="372"/>
      <c r="C81" s="373"/>
      <c r="D81" s="373"/>
      <c r="E81" s="373"/>
      <c r="F81" s="373"/>
      <c r="G81" s="373"/>
      <c r="H81" s="373"/>
      <c r="I81" s="373"/>
      <c r="J81" s="373"/>
      <c r="K81" s="373"/>
      <c r="L81" s="373"/>
      <c r="M81" s="373"/>
      <c r="N81" s="373"/>
      <c r="O81" s="373"/>
    </row>
    <row r="82">
      <c r="A82" s="372"/>
      <c r="B82" s="372"/>
      <c r="C82" s="373"/>
      <c r="D82" s="373"/>
      <c r="E82" s="373"/>
      <c r="F82" s="373"/>
      <c r="G82" s="373"/>
      <c r="H82" s="373"/>
      <c r="I82" s="373"/>
      <c r="J82" s="373"/>
      <c r="K82" s="373"/>
      <c r="L82" s="373"/>
      <c r="M82" s="373"/>
      <c r="N82" s="373"/>
      <c r="O82" s="373"/>
    </row>
    <row r="83">
      <c r="A83" s="372"/>
      <c r="B83" s="372"/>
      <c r="C83" s="373"/>
      <c r="D83" s="373"/>
      <c r="E83" s="373"/>
      <c r="F83" s="373"/>
      <c r="G83" s="373"/>
      <c r="H83" s="373"/>
      <c r="I83" s="373"/>
      <c r="J83" s="373"/>
      <c r="K83" s="373"/>
      <c r="L83" s="373"/>
      <c r="M83" s="373"/>
      <c r="N83" s="373"/>
      <c r="O83" s="373"/>
    </row>
    <row r="84">
      <c r="A84" s="372"/>
      <c r="B84" s="372"/>
      <c r="C84" s="373"/>
      <c r="D84" s="373"/>
      <c r="E84" s="373"/>
      <c r="F84" s="373"/>
      <c r="G84" s="373"/>
      <c r="H84" s="373"/>
      <c r="I84" s="373"/>
      <c r="J84" s="373"/>
      <c r="K84" s="373"/>
      <c r="L84" s="373"/>
      <c r="M84" s="373"/>
      <c r="N84" s="373"/>
      <c r="O84" s="373"/>
    </row>
    <row r="85">
      <c r="A85" s="372"/>
      <c r="B85" s="372"/>
      <c r="C85" s="373"/>
      <c r="D85" s="373"/>
      <c r="E85" s="373"/>
      <c r="F85" s="373"/>
      <c r="G85" s="373"/>
      <c r="H85" s="373"/>
      <c r="I85" s="373"/>
      <c r="J85" s="373"/>
      <c r="K85" s="373"/>
      <c r="L85" s="373"/>
      <c r="M85" s="373"/>
      <c r="N85" s="373"/>
      <c r="O85" s="373"/>
    </row>
    <row r="86">
      <c r="A86" s="372"/>
      <c r="B86" s="372"/>
      <c r="C86" s="373"/>
      <c r="D86" s="373"/>
      <c r="E86" s="373"/>
      <c r="F86" s="373"/>
      <c r="G86" s="373"/>
      <c r="H86" s="373"/>
      <c r="I86" s="373"/>
      <c r="J86" s="373"/>
      <c r="K86" s="373"/>
      <c r="L86" s="373"/>
      <c r="M86" s="373"/>
      <c r="N86" s="373"/>
      <c r="O86" s="373"/>
    </row>
    <row r="87">
      <c r="A87" s="372"/>
      <c r="B87" s="372"/>
      <c r="C87" s="373"/>
      <c r="D87" s="373"/>
      <c r="E87" s="373"/>
      <c r="F87" s="373"/>
      <c r="G87" s="373"/>
      <c r="H87" s="373"/>
      <c r="I87" s="373"/>
      <c r="J87" s="373"/>
      <c r="K87" s="373"/>
      <c r="L87" s="373"/>
      <c r="M87" s="373"/>
      <c r="N87" s="373"/>
      <c r="O87" s="373"/>
    </row>
    <row r="88">
      <c r="A88" s="372"/>
      <c r="B88" s="372"/>
      <c r="C88" s="373"/>
      <c r="D88" s="373"/>
      <c r="E88" s="373"/>
      <c r="F88" s="373"/>
      <c r="G88" s="373"/>
      <c r="H88" s="373"/>
      <c r="I88" s="373"/>
      <c r="J88" s="373"/>
      <c r="K88" s="373"/>
      <c r="L88" s="373"/>
      <c r="M88" s="373"/>
      <c r="N88" s="373"/>
      <c r="O88" s="373"/>
    </row>
    <row r="89">
      <c r="A89" s="372"/>
      <c r="B89" s="372"/>
      <c r="C89" s="373"/>
      <c r="D89" s="373"/>
      <c r="E89" s="373"/>
      <c r="F89" s="373"/>
      <c r="G89" s="373"/>
      <c r="H89" s="373"/>
      <c r="I89" s="373"/>
      <c r="J89" s="373"/>
      <c r="K89" s="373"/>
      <c r="L89" s="373"/>
      <c r="M89" s="373"/>
      <c r="N89" s="373"/>
      <c r="O89" s="373"/>
    </row>
    <row r="90">
      <c r="A90" s="372"/>
      <c r="B90" s="372"/>
      <c r="C90" s="373"/>
      <c r="D90" s="373"/>
      <c r="E90" s="373"/>
      <c r="F90" s="373"/>
      <c r="G90" s="373"/>
      <c r="H90" s="373"/>
      <c r="I90" s="373"/>
      <c r="J90" s="373"/>
      <c r="K90" s="373"/>
      <c r="L90" s="373"/>
      <c r="M90" s="373"/>
      <c r="N90" s="373"/>
      <c r="O90" s="373"/>
    </row>
    <row r="91">
      <c r="A91" s="372"/>
      <c r="B91" s="372"/>
      <c r="C91" s="373"/>
      <c r="D91" s="373"/>
      <c r="E91" s="373"/>
      <c r="F91" s="373"/>
      <c r="G91" s="373"/>
      <c r="H91" s="373"/>
      <c r="I91" s="373"/>
      <c r="J91" s="373"/>
      <c r="K91" s="373"/>
      <c r="L91" s="373"/>
      <c r="M91" s="373"/>
      <c r="N91" s="373"/>
      <c r="O91" s="373"/>
    </row>
    <row r="92">
      <c r="A92" s="372"/>
      <c r="B92" s="372"/>
      <c r="C92" s="373"/>
      <c r="D92" s="373"/>
      <c r="E92" s="373"/>
      <c r="F92" s="373"/>
      <c r="G92" s="373"/>
      <c r="H92" s="373"/>
      <c r="I92" s="373"/>
      <c r="J92" s="373"/>
      <c r="K92" s="373"/>
      <c r="L92" s="373"/>
      <c r="M92" s="373"/>
      <c r="N92" s="373"/>
      <c r="O92" s="373"/>
    </row>
    <row r="93">
      <c r="A93" s="372"/>
      <c r="B93" s="372"/>
      <c r="C93" s="373"/>
      <c r="D93" s="373"/>
      <c r="E93" s="373"/>
      <c r="F93" s="373"/>
      <c r="G93" s="373"/>
      <c r="H93" s="373"/>
      <c r="I93" s="373"/>
      <c r="J93" s="373"/>
      <c r="K93" s="373"/>
      <c r="L93" s="373"/>
      <c r="M93" s="373"/>
      <c r="N93" s="373"/>
      <c r="O93" s="373"/>
    </row>
    <row r="94">
      <c r="A94" s="372"/>
      <c r="B94" s="372"/>
      <c r="C94" s="373"/>
      <c r="D94" s="373"/>
      <c r="E94" s="373"/>
      <c r="F94" s="373"/>
      <c r="G94" s="373"/>
      <c r="H94" s="373"/>
      <c r="I94" s="373"/>
      <c r="J94" s="373"/>
      <c r="K94" s="373"/>
      <c r="L94" s="373"/>
      <c r="M94" s="373"/>
      <c r="N94" s="373"/>
      <c r="O94" s="373"/>
    </row>
    <row r="95">
      <c r="A95" s="372"/>
      <c r="B95" s="372"/>
      <c r="C95" s="373"/>
      <c r="D95" s="373"/>
      <c r="E95" s="373"/>
      <c r="F95" s="373"/>
      <c r="G95" s="373"/>
      <c r="H95" s="373"/>
      <c r="I95" s="373"/>
      <c r="J95" s="373"/>
      <c r="K95" s="373"/>
      <c r="L95" s="373"/>
      <c r="M95" s="373"/>
      <c r="N95" s="373"/>
      <c r="O95" s="373"/>
    </row>
    <row r="96">
      <c r="A96" s="372"/>
      <c r="B96" s="372"/>
      <c r="C96" s="373"/>
      <c r="D96" s="373"/>
      <c r="E96" s="373"/>
      <c r="F96" s="373"/>
      <c r="G96" s="373"/>
      <c r="H96" s="373"/>
      <c r="I96" s="373"/>
      <c r="J96" s="373"/>
      <c r="K96" s="373"/>
      <c r="L96" s="373"/>
      <c r="M96" s="373"/>
      <c r="N96" s="373"/>
      <c r="O96" s="373"/>
    </row>
    <row r="97">
      <c r="A97" s="372"/>
      <c r="B97" s="372"/>
      <c r="C97" s="373"/>
      <c r="D97" s="373"/>
      <c r="E97" s="373"/>
      <c r="F97" s="373"/>
      <c r="G97" s="373"/>
      <c r="H97" s="373"/>
      <c r="I97" s="373"/>
      <c r="J97" s="373"/>
      <c r="K97" s="373"/>
      <c r="L97" s="373"/>
      <c r="M97" s="373"/>
      <c r="N97" s="373"/>
      <c r="O97" s="373"/>
    </row>
    <row r="98">
      <c r="A98" s="372"/>
      <c r="B98" s="372"/>
      <c r="C98" s="373"/>
      <c r="D98" s="373"/>
      <c r="E98" s="373"/>
      <c r="F98" s="373"/>
      <c r="G98" s="373"/>
      <c r="H98" s="373"/>
      <c r="I98" s="373"/>
      <c r="J98" s="373"/>
      <c r="K98" s="373"/>
      <c r="L98" s="373"/>
      <c r="M98" s="373"/>
      <c r="N98" s="373"/>
      <c r="O98" s="373"/>
    </row>
    <row r="99">
      <c r="A99" s="372"/>
      <c r="B99" s="372"/>
      <c r="C99" s="373"/>
      <c r="D99" s="373"/>
      <c r="E99" s="373"/>
      <c r="F99" s="373"/>
      <c r="G99" s="373"/>
      <c r="H99" s="373"/>
      <c r="I99" s="373"/>
      <c r="J99" s="373"/>
      <c r="K99" s="373"/>
      <c r="L99" s="373"/>
      <c r="M99" s="373"/>
      <c r="N99" s="373"/>
      <c r="O99" s="373"/>
    </row>
    <row r="100">
      <c r="A100" s="372"/>
      <c r="B100" s="372"/>
      <c r="C100" s="373"/>
      <c r="D100" s="373"/>
      <c r="E100" s="373"/>
      <c r="F100" s="373"/>
      <c r="G100" s="373"/>
      <c r="H100" s="373"/>
      <c r="I100" s="373"/>
      <c r="J100" s="373"/>
      <c r="K100" s="373"/>
      <c r="L100" s="373"/>
      <c r="M100" s="373"/>
      <c r="N100" s="373"/>
      <c r="O100" s="373"/>
    </row>
    <row r="101">
      <c r="A101" s="372"/>
      <c r="B101" s="372"/>
      <c r="C101" s="373"/>
      <c r="D101" s="373"/>
      <c r="E101" s="373"/>
      <c r="F101" s="373"/>
      <c r="G101" s="373"/>
      <c r="H101" s="373"/>
      <c r="I101" s="373"/>
      <c r="J101" s="373"/>
      <c r="K101" s="373"/>
      <c r="L101" s="373"/>
      <c r="M101" s="373"/>
      <c r="N101" s="373"/>
      <c r="O101" s="373"/>
    </row>
    <row r="102">
      <c r="A102" s="372"/>
      <c r="B102" s="372"/>
      <c r="C102" s="373"/>
      <c r="D102" s="373"/>
      <c r="E102" s="373"/>
      <c r="F102" s="373"/>
      <c r="G102" s="373"/>
      <c r="H102" s="373"/>
      <c r="I102" s="373"/>
      <c r="J102" s="373"/>
      <c r="K102" s="373"/>
      <c r="L102" s="373"/>
      <c r="M102" s="373"/>
      <c r="N102" s="373"/>
      <c r="O102" s="373"/>
    </row>
  </sheetData>
  <mergeCells count="2">
    <mergeCell ref="A1:O2"/>
    <mergeCell ref="A53:O54"/>
  </mergeCells>
  <conditionalFormatting sqref="A53:O54">
    <cfRule type="cellIs" dxfId="49" priority="1" operator="equal">
      <formula>"Financial and Banking Stocks"</formula>
    </cfRule>
  </conditionalFormatting>
  <conditionalFormatting sqref="A1:O102">
    <cfRule type="notContainsBlanks" dxfId="50" priority="2">
      <formula>LEN(TRIM(A1))&gt;0</formula>
    </cfRule>
  </conditionalFormatting>
  <dataValidations>
    <dataValidation type="list" allowBlank="1" showErrorMessage="1" sqref="A5">
      <formula1>'Backend Data'!$A$3:$A$80</formula1>
    </dataValidation>
    <dataValidation type="list" allowBlank="1" showErrorMessage="1" sqref="A57">
      <formula1>'Backend Data'!$B$3:$B$9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1.88"/>
    <col customWidth="1" min="2" max="2" width="19.63"/>
    <col customWidth="1" min="3" max="4" width="25.25"/>
    <col customWidth="1" min="5" max="5" width="5.88"/>
  </cols>
  <sheetData>
    <row r="1">
      <c r="A1" s="388" t="s">
        <v>71</v>
      </c>
      <c r="B1" s="389" t="s">
        <v>278</v>
      </c>
      <c r="C1" s="389" t="s">
        <v>279</v>
      </c>
      <c r="D1" s="389" t="s">
        <v>280</v>
      </c>
      <c r="E1" s="390"/>
      <c r="F1" s="390"/>
      <c r="G1" s="390"/>
      <c r="H1" s="390"/>
      <c r="I1" s="390"/>
      <c r="J1" s="390"/>
      <c r="K1" s="390"/>
      <c r="L1" s="390"/>
      <c r="M1" s="390"/>
    </row>
    <row r="2">
      <c r="A2" s="391" t="s">
        <v>149</v>
      </c>
      <c r="B2" s="392"/>
      <c r="C2" s="392"/>
      <c r="D2" s="392">
        <f t="shared" ref="D2:D7" si="1">B2-C2</f>
        <v>0</v>
      </c>
      <c r="E2" s="393"/>
      <c r="F2" s="394"/>
      <c r="G2" s="395"/>
      <c r="H2" s="395"/>
      <c r="I2" s="395"/>
      <c r="J2" s="395"/>
      <c r="K2" s="395"/>
      <c r="L2" s="396"/>
      <c r="M2" s="393"/>
    </row>
    <row r="3">
      <c r="A3" s="397"/>
      <c r="B3" s="392"/>
      <c r="C3" s="392"/>
      <c r="D3" s="392">
        <f t="shared" si="1"/>
        <v>0</v>
      </c>
      <c r="E3" s="393"/>
      <c r="F3" s="398"/>
      <c r="G3" s="393"/>
      <c r="H3" s="393"/>
      <c r="I3" s="393"/>
      <c r="J3" s="393"/>
      <c r="K3" s="393"/>
      <c r="L3" s="399"/>
      <c r="M3" s="393"/>
    </row>
    <row r="4">
      <c r="A4" s="400"/>
      <c r="B4" s="392"/>
      <c r="C4" s="392"/>
      <c r="D4" s="392">
        <f t="shared" si="1"/>
        <v>0</v>
      </c>
      <c r="E4" s="393"/>
      <c r="F4" s="398"/>
      <c r="G4" s="393"/>
      <c r="H4" s="393"/>
      <c r="I4" s="393"/>
      <c r="J4" s="393"/>
      <c r="K4" s="393"/>
      <c r="L4" s="399"/>
      <c r="M4" s="393"/>
    </row>
    <row r="5">
      <c r="A5" s="400"/>
      <c r="B5" s="392"/>
      <c r="C5" s="392"/>
      <c r="D5" s="392">
        <f t="shared" si="1"/>
        <v>0</v>
      </c>
      <c r="E5" s="393"/>
      <c r="F5" s="398"/>
      <c r="G5" s="393"/>
      <c r="H5" s="393"/>
      <c r="I5" s="393"/>
      <c r="J5" s="393"/>
      <c r="K5" s="393"/>
      <c r="L5" s="399"/>
      <c r="M5" s="393"/>
    </row>
    <row r="6">
      <c r="A6" s="400"/>
      <c r="B6" s="392"/>
      <c r="C6" s="392"/>
      <c r="D6" s="392">
        <f t="shared" si="1"/>
        <v>0</v>
      </c>
      <c r="E6" s="393"/>
      <c r="F6" s="398"/>
      <c r="G6" s="393"/>
      <c r="H6" s="393"/>
      <c r="I6" s="393"/>
      <c r="J6" s="393"/>
      <c r="K6" s="393"/>
      <c r="L6" s="399"/>
      <c r="M6" s="393"/>
    </row>
    <row r="7">
      <c r="A7" s="401"/>
      <c r="B7" s="392"/>
      <c r="C7" s="392"/>
      <c r="D7" s="392">
        <f t="shared" si="1"/>
        <v>0</v>
      </c>
      <c r="E7" s="393"/>
      <c r="F7" s="398"/>
      <c r="G7" s="393"/>
      <c r="H7" s="393"/>
      <c r="I7" s="393"/>
      <c r="J7" s="393"/>
      <c r="K7" s="393"/>
      <c r="L7" s="399"/>
      <c r="M7" s="393"/>
    </row>
    <row r="8">
      <c r="A8" s="402"/>
      <c r="B8" s="392"/>
      <c r="C8" s="392"/>
      <c r="D8" s="392"/>
      <c r="E8" s="393"/>
      <c r="F8" s="398"/>
      <c r="G8" s="393"/>
      <c r="H8" s="393"/>
      <c r="I8" s="393"/>
      <c r="J8" s="393"/>
      <c r="K8" s="393"/>
      <c r="L8" s="399"/>
      <c r="M8" s="393"/>
    </row>
    <row r="9">
      <c r="A9" s="400"/>
      <c r="B9" s="392"/>
      <c r="C9" s="392"/>
      <c r="D9" s="392"/>
      <c r="E9" s="393"/>
      <c r="F9" s="398"/>
      <c r="G9" s="393"/>
      <c r="H9" s="393"/>
      <c r="I9" s="393"/>
      <c r="J9" s="393"/>
      <c r="K9" s="393"/>
      <c r="L9" s="399"/>
      <c r="M9" s="393"/>
    </row>
    <row r="10">
      <c r="A10" s="397"/>
      <c r="B10" s="392"/>
      <c r="C10" s="392"/>
      <c r="D10" s="392"/>
      <c r="E10" s="393"/>
      <c r="F10" s="398"/>
      <c r="G10" s="393"/>
      <c r="H10" s="393"/>
      <c r="I10" s="393"/>
      <c r="J10" s="393"/>
      <c r="K10" s="393"/>
      <c r="L10" s="399"/>
      <c r="M10" s="393"/>
    </row>
    <row r="11">
      <c r="A11" s="403"/>
      <c r="B11" s="392"/>
      <c r="C11" s="392"/>
      <c r="D11" s="392"/>
      <c r="E11" s="393"/>
      <c r="F11" s="398"/>
      <c r="G11" s="393"/>
      <c r="H11" s="393"/>
      <c r="I11" s="393"/>
      <c r="J11" s="393"/>
      <c r="K11" s="393"/>
      <c r="L11" s="399"/>
      <c r="M11" s="393"/>
    </row>
    <row r="12">
      <c r="A12" s="403"/>
      <c r="B12" s="392"/>
      <c r="C12" s="392"/>
      <c r="D12" s="392"/>
      <c r="E12" s="393"/>
      <c r="F12" s="398"/>
      <c r="G12" s="393"/>
      <c r="H12" s="393"/>
      <c r="I12" s="393"/>
      <c r="J12" s="393"/>
      <c r="K12" s="393"/>
      <c r="L12" s="399"/>
      <c r="M12" s="393"/>
    </row>
    <row r="13">
      <c r="A13" s="403"/>
      <c r="B13" s="392"/>
      <c r="C13" s="392"/>
      <c r="D13" s="392"/>
      <c r="E13" s="393"/>
      <c r="F13" s="398"/>
      <c r="G13" s="393"/>
      <c r="H13" s="393"/>
      <c r="I13" s="393"/>
      <c r="J13" s="393"/>
      <c r="K13" s="393"/>
      <c r="L13" s="399"/>
      <c r="M13" s="393"/>
    </row>
    <row r="14">
      <c r="A14" s="403"/>
      <c r="B14" s="392"/>
      <c r="C14" s="392"/>
      <c r="D14" s="392"/>
      <c r="E14" s="393"/>
      <c r="F14" s="398"/>
      <c r="G14" s="393"/>
      <c r="H14" s="393"/>
      <c r="I14" s="393"/>
      <c r="J14" s="393"/>
      <c r="K14" s="393"/>
      <c r="L14" s="399"/>
      <c r="M14" s="393"/>
    </row>
    <row r="15">
      <c r="A15" s="403"/>
      <c r="B15" s="392"/>
      <c r="C15" s="392"/>
      <c r="D15" s="392"/>
      <c r="E15" s="393"/>
      <c r="F15" s="398"/>
      <c r="G15" s="393"/>
      <c r="H15" s="393"/>
      <c r="I15" s="393"/>
      <c r="J15" s="393"/>
      <c r="K15" s="393"/>
      <c r="L15" s="399"/>
      <c r="M15" s="393"/>
    </row>
    <row r="16">
      <c r="A16" s="403"/>
      <c r="B16" s="392"/>
      <c r="C16" s="392"/>
      <c r="D16" s="392"/>
      <c r="E16" s="393"/>
      <c r="F16" s="398"/>
      <c r="G16" s="393"/>
      <c r="H16" s="393"/>
      <c r="I16" s="393"/>
      <c r="J16" s="393"/>
      <c r="K16" s="393"/>
      <c r="L16" s="399"/>
      <c r="M16" s="393"/>
    </row>
    <row r="17">
      <c r="A17" s="403"/>
      <c r="B17" s="392"/>
      <c r="C17" s="392"/>
      <c r="D17" s="392"/>
      <c r="E17" s="393"/>
      <c r="F17" s="398"/>
      <c r="G17" s="393"/>
      <c r="H17" s="393"/>
      <c r="I17" s="393"/>
      <c r="J17" s="393"/>
      <c r="K17" s="393"/>
      <c r="L17" s="399"/>
      <c r="M17" s="393"/>
    </row>
    <row r="18">
      <c r="A18" s="403"/>
      <c r="B18" s="392"/>
      <c r="C18" s="392"/>
      <c r="D18" s="392"/>
      <c r="E18" s="393"/>
      <c r="F18" s="398"/>
      <c r="G18" s="393"/>
      <c r="H18" s="393"/>
      <c r="I18" s="393"/>
      <c r="J18" s="393"/>
      <c r="K18" s="393"/>
      <c r="L18" s="399"/>
      <c r="M18" s="393"/>
    </row>
    <row r="19">
      <c r="A19" s="397"/>
      <c r="B19" s="392"/>
      <c r="C19" s="392"/>
      <c r="D19" s="392"/>
      <c r="E19" s="393"/>
      <c r="F19" s="398"/>
      <c r="G19" s="393"/>
      <c r="H19" s="393"/>
      <c r="I19" s="393"/>
      <c r="J19" s="393"/>
      <c r="K19" s="393"/>
      <c r="L19" s="399"/>
      <c r="M19" s="393"/>
    </row>
    <row r="20">
      <c r="A20" s="403"/>
      <c r="B20" s="392"/>
      <c r="C20" s="392"/>
      <c r="D20" s="392"/>
      <c r="E20" s="393"/>
      <c r="F20" s="404"/>
      <c r="G20" s="405"/>
      <c r="H20" s="405"/>
      <c r="I20" s="405"/>
      <c r="J20" s="405"/>
      <c r="K20" s="405"/>
      <c r="L20" s="406"/>
      <c r="M20" s="393"/>
    </row>
    <row r="21">
      <c r="A21" s="403"/>
      <c r="B21" s="392"/>
      <c r="C21" s="392"/>
      <c r="D21" s="392"/>
      <c r="E21" s="393"/>
      <c r="F21" s="393"/>
      <c r="G21" s="393"/>
      <c r="H21" s="393"/>
      <c r="I21" s="393"/>
      <c r="J21" s="393"/>
      <c r="K21" s="393"/>
      <c r="L21" s="393"/>
      <c r="M21" s="393"/>
    </row>
    <row r="22">
      <c r="A22" s="403"/>
      <c r="B22" s="392"/>
      <c r="C22" s="392"/>
      <c r="D22" s="392"/>
      <c r="E22" s="393"/>
      <c r="F22" s="393"/>
      <c r="G22" s="393"/>
      <c r="H22" s="393"/>
      <c r="I22" s="393"/>
      <c r="J22" s="393"/>
      <c r="K22" s="393"/>
      <c r="L22" s="393"/>
      <c r="M22" s="393"/>
    </row>
    <row r="23">
      <c r="A23" s="403"/>
      <c r="B23" s="392"/>
      <c r="C23" s="392"/>
      <c r="D23" s="392"/>
      <c r="E23" s="393"/>
      <c r="F23" s="393"/>
      <c r="G23" s="393"/>
      <c r="H23" s="393"/>
      <c r="I23" s="393"/>
      <c r="J23" s="393"/>
      <c r="K23" s="393"/>
      <c r="L23" s="393"/>
      <c r="M23" s="393"/>
    </row>
    <row r="24">
      <c r="A24" s="403"/>
      <c r="B24" s="392"/>
      <c r="C24" s="392"/>
      <c r="D24" s="392"/>
      <c r="E24" s="393"/>
      <c r="F24" s="393"/>
      <c r="G24" s="393"/>
      <c r="H24" s="393"/>
      <c r="I24" s="393"/>
      <c r="J24" s="393"/>
      <c r="K24" s="393"/>
      <c r="L24" s="393"/>
      <c r="M24" s="393"/>
    </row>
    <row r="25">
      <c r="A25" s="403"/>
      <c r="B25" s="392"/>
      <c r="C25" s="392"/>
      <c r="D25" s="392"/>
      <c r="E25" s="393"/>
      <c r="F25" s="393"/>
      <c r="G25" s="393"/>
      <c r="H25" s="393"/>
      <c r="I25" s="393"/>
      <c r="J25" s="393"/>
      <c r="K25" s="393"/>
      <c r="L25" s="393"/>
      <c r="M25" s="393"/>
    </row>
    <row r="26">
      <c r="A26" s="403"/>
      <c r="B26" s="392"/>
      <c r="C26" s="392"/>
      <c r="D26" s="392"/>
      <c r="E26" s="393"/>
      <c r="F26" s="393"/>
      <c r="G26" s="393"/>
      <c r="H26" s="393"/>
      <c r="I26" s="393"/>
      <c r="J26" s="393"/>
      <c r="K26" s="393"/>
      <c r="L26" s="393"/>
      <c r="M26" s="393"/>
    </row>
    <row r="27">
      <c r="A27" s="403"/>
      <c r="B27" s="392"/>
      <c r="C27" s="392"/>
      <c r="D27" s="392"/>
      <c r="E27" s="393"/>
      <c r="F27" s="393"/>
      <c r="G27" s="393"/>
      <c r="H27" s="393"/>
      <c r="I27" s="393"/>
      <c r="J27" s="393"/>
      <c r="K27" s="393"/>
      <c r="L27" s="393"/>
      <c r="M27" s="393"/>
    </row>
    <row r="28">
      <c r="A28" s="403"/>
      <c r="B28" s="392"/>
      <c r="C28" s="392"/>
      <c r="D28" s="392"/>
      <c r="E28" s="393"/>
      <c r="F28" s="393"/>
      <c r="G28" s="393"/>
      <c r="H28" s="393"/>
      <c r="I28" s="393"/>
      <c r="J28" s="393"/>
      <c r="K28" s="393"/>
      <c r="L28" s="393"/>
      <c r="M28" s="393"/>
    </row>
    <row r="29">
      <c r="A29" s="391"/>
      <c r="B29" s="392"/>
      <c r="C29" s="392"/>
      <c r="D29" s="392"/>
      <c r="E29" s="393"/>
      <c r="F29" s="393"/>
      <c r="G29" s="393"/>
      <c r="H29" s="393"/>
      <c r="I29" s="393"/>
      <c r="J29" s="393"/>
      <c r="K29" s="393"/>
      <c r="L29" s="393"/>
      <c r="M29" s="393"/>
    </row>
    <row r="30">
      <c r="A30" s="391"/>
      <c r="B30" s="392"/>
      <c r="C30" s="392"/>
      <c r="D30" s="392"/>
      <c r="E30" s="393"/>
      <c r="F30" s="393"/>
      <c r="G30" s="393"/>
      <c r="H30" s="393"/>
      <c r="I30" s="393"/>
      <c r="J30" s="393"/>
      <c r="K30" s="393"/>
      <c r="L30" s="393"/>
      <c r="M30" s="393"/>
    </row>
    <row r="31">
      <c r="A31" s="391"/>
      <c r="B31" s="392"/>
      <c r="C31" s="392"/>
      <c r="D31" s="392"/>
      <c r="E31" s="393"/>
      <c r="F31" s="393"/>
      <c r="G31" s="393"/>
      <c r="H31" s="393"/>
      <c r="I31" s="393"/>
      <c r="J31" s="393"/>
      <c r="K31" s="393"/>
      <c r="L31" s="393"/>
      <c r="M31" s="393"/>
    </row>
    <row r="32">
      <c r="A32" s="391"/>
      <c r="B32" s="392"/>
      <c r="C32" s="392"/>
      <c r="D32" s="392"/>
      <c r="E32" s="393"/>
      <c r="F32" s="393"/>
      <c r="G32" s="393"/>
      <c r="H32" s="393"/>
      <c r="I32" s="393"/>
      <c r="J32" s="393"/>
      <c r="K32" s="393"/>
      <c r="L32" s="393"/>
      <c r="M32" s="393"/>
    </row>
    <row r="33">
      <c r="A33" s="407"/>
      <c r="B33" s="392"/>
      <c r="C33" s="392"/>
      <c r="D33" s="392"/>
      <c r="E33" s="393"/>
      <c r="F33" s="393"/>
      <c r="G33" s="393"/>
      <c r="H33" s="393"/>
      <c r="I33" s="393"/>
      <c r="J33" s="393"/>
      <c r="K33" s="393"/>
      <c r="L33" s="393"/>
      <c r="M33" s="393"/>
    </row>
    <row r="34">
      <c r="A34" s="391"/>
      <c r="B34" s="392"/>
      <c r="C34" s="392"/>
      <c r="D34" s="392"/>
      <c r="E34" s="393"/>
      <c r="F34" s="393"/>
      <c r="G34" s="393"/>
      <c r="H34" s="393"/>
      <c r="I34" s="393"/>
      <c r="J34" s="393"/>
      <c r="K34" s="393"/>
      <c r="L34" s="393"/>
      <c r="M34" s="393"/>
    </row>
    <row r="35">
      <c r="A35" s="391"/>
      <c r="B35" s="392"/>
      <c r="C35" s="392"/>
      <c r="D35" s="392"/>
      <c r="E35" s="393"/>
      <c r="F35" s="393"/>
      <c r="G35" s="393"/>
      <c r="H35" s="393"/>
      <c r="I35" s="393"/>
      <c r="J35" s="393"/>
      <c r="K35" s="393"/>
      <c r="L35" s="393"/>
      <c r="M35" s="393"/>
    </row>
    <row r="36">
      <c r="A36" s="391"/>
      <c r="B36" s="392"/>
      <c r="C36" s="392"/>
      <c r="D36" s="392"/>
      <c r="E36" s="393"/>
      <c r="F36" s="393"/>
      <c r="G36" s="393"/>
      <c r="H36" s="393"/>
      <c r="I36" s="393"/>
      <c r="J36" s="393"/>
      <c r="K36" s="393"/>
      <c r="L36" s="393"/>
      <c r="M36" s="393"/>
    </row>
    <row r="37">
      <c r="A37" s="391"/>
      <c r="B37" s="392"/>
      <c r="C37" s="392"/>
      <c r="D37" s="392"/>
      <c r="E37" s="393"/>
      <c r="F37" s="393"/>
      <c r="G37" s="393"/>
      <c r="H37" s="393"/>
      <c r="I37" s="393"/>
      <c r="J37" s="393"/>
      <c r="K37" s="393"/>
      <c r="L37" s="393"/>
      <c r="M37" s="393"/>
    </row>
    <row r="38">
      <c r="A38" s="391"/>
      <c r="B38" s="392"/>
      <c r="C38" s="392"/>
      <c r="D38" s="392"/>
      <c r="E38" s="393"/>
      <c r="F38" s="393"/>
      <c r="G38" s="393"/>
      <c r="H38" s="393"/>
      <c r="I38" s="393"/>
      <c r="J38" s="393"/>
      <c r="K38" s="393"/>
      <c r="L38" s="393"/>
      <c r="M38" s="393"/>
    </row>
    <row r="39">
      <c r="A39" s="391"/>
      <c r="B39" s="392"/>
      <c r="C39" s="392"/>
      <c r="D39" s="392"/>
      <c r="E39" s="393"/>
      <c r="F39" s="393"/>
      <c r="G39" s="393"/>
      <c r="H39" s="393"/>
      <c r="I39" s="393"/>
      <c r="J39" s="393"/>
      <c r="K39" s="393"/>
      <c r="L39" s="393"/>
      <c r="M39" s="393"/>
    </row>
    <row r="40">
      <c r="A40" s="403"/>
      <c r="B40" s="392"/>
      <c r="C40" s="392"/>
      <c r="D40" s="392"/>
      <c r="E40" s="393"/>
      <c r="F40" s="393"/>
      <c r="G40" s="393"/>
      <c r="H40" s="393"/>
      <c r="I40" s="393"/>
      <c r="J40" s="393"/>
      <c r="K40" s="393"/>
      <c r="L40" s="393"/>
      <c r="M40" s="393"/>
    </row>
    <row r="41">
      <c r="A41" s="407"/>
      <c r="B41" s="392"/>
      <c r="C41" s="392"/>
      <c r="D41" s="392"/>
      <c r="E41" s="393"/>
      <c r="F41" s="393"/>
      <c r="G41" s="393"/>
      <c r="H41" s="393"/>
      <c r="I41" s="393"/>
      <c r="J41" s="393"/>
      <c r="K41" s="393"/>
      <c r="L41" s="393"/>
      <c r="M41" s="393"/>
    </row>
    <row r="42">
      <c r="A42" s="391"/>
      <c r="B42" s="392"/>
      <c r="C42" s="392"/>
      <c r="D42" s="392"/>
      <c r="E42" s="393"/>
      <c r="F42" s="393"/>
      <c r="G42" s="393"/>
      <c r="H42" s="393"/>
      <c r="I42" s="393"/>
      <c r="J42" s="393"/>
      <c r="K42" s="393"/>
      <c r="L42" s="393"/>
      <c r="M42" s="393"/>
    </row>
    <row r="43">
      <c r="A43" s="391"/>
      <c r="B43" s="392"/>
      <c r="C43" s="392"/>
      <c r="D43" s="392"/>
      <c r="E43" s="393"/>
      <c r="F43" s="393"/>
      <c r="G43" s="393"/>
      <c r="H43" s="393"/>
      <c r="I43" s="393"/>
      <c r="J43" s="393"/>
      <c r="K43" s="393"/>
      <c r="L43" s="393"/>
      <c r="M43" s="393"/>
    </row>
    <row r="44">
      <c r="A44" s="391"/>
      <c r="B44" s="392"/>
      <c r="C44" s="392"/>
      <c r="D44" s="392"/>
      <c r="E44" s="393"/>
      <c r="F44" s="393"/>
      <c r="G44" s="393"/>
      <c r="H44" s="393"/>
      <c r="I44" s="393"/>
      <c r="J44" s="393"/>
      <c r="K44" s="393"/>
      <c r="L44" s="393"/>
      <c r="M44" s="393"/>
    </row>
    <row r="45">
      <c r="A45" s="391"/>
      <c r="B45" s="392"/>
      <c r="C45" s="392"/>
      <c r="D45" s="392"/>
      <c r="E45" s="393"/>
      <c r="F45" s="393"/>
      <c r="G45" s="393"/>
      <c r="H45" s="393"/>
      <c r="I45" s="393"/>
      <c r="J45" s="393"/>
      <c r="K45" s="393"/>
      <c r="L45" s="393"/>
      <c r="M45" s="393"/>
    </row>
    <row r="46">
      <c r="A46" s="391"/>
      <c r="B46" s="392"/>
      <c r="C46" s="392"/>
      <c r="D46" s="392"/>
      <c r="E46" s="393"/>
      <c r="F46" s="393"/>
      <c r="G46" s="393"/>
      <c r="H46" s="393"/>
      <c r="I46" s="393"/>
      <c r="J46" s="393"/>
      <c r="K46" s="393"/>
      <c r="L46" s="393"/>
      <c r="M46" s="393"/>
    </row>
    <row r="47">
      <c r="A47" s="391"/>
      <c r="B47" s="392"/>
      <c r="C47" s="392"/>
      <c r="D47" s="392"/>
      <c r="E47" s="393"/>
      <c r="F47" s="393"/>
      <c r="G47" s="393"/>
      <c r="H47" s="393"/>
      <c r="I47" s="393"/>
      <c r="J47" s="393"/>
      <c r="K47" s="393"/>
      <c r="L47" s="393"/>
      <c r="M47" s="393"/>
    </row>
    <row r="48">
      <c r="A48" s="391"/>
      <c r="B48" s="392"/>
      <c r="C48" s="392"/>
      <c r="D48" s="392"/>
      <c r="E48" s="393"/>
      <c r="F48" s="393"/>
      <c r="G48" s="393"/>
      <c r="H48" s="393"/>
      <c r="I48" s="393"/>
      <c r="J48" s="393"/>
      <c r="K48" s="393"/>
      <c r="L48" s="393"/>
      <c r="M48" s="393"/>
    </row>
    <row r="49">
      <c r="A49" s="391"/>
      <c r="B49" s="392"/>
      <c r="C49" s="392"/>
      <c r="D49" s="392"/>
      <c r="E49" s="393"/>
      <c r="F49" s="393"/>
      <c r="G49" s="393"/>
      <c r="H49" s="393"/>
      <c r="I49" s="393"/>
      <c r="J49" s="393"/>
      <c r="K49" s="393"/>
      <c r="L49" s="393"/>
      <c r="M49" s="393"/>
    </row>
    <row r="50">
      <c r="A50" s="391"/>
      <c r="B50" s="392"/>
      <c r="C50" s="392"/>
      <c r="D50" s="392"/>
      <c r="E50" s="393"/>
      <c r="F50" s="393"/>
      <c r="G50" s="393"/>
      <c r="H50" s="393"/>
      <c r="I50" s="393"/>
      <c r="J50" s="393"/>
      <c r="K50" s="393"/>
      <c r="L50" s="393"/>
      <c r="M50" s="393"/>
    </row>
    <row r="51">
      <c r="A51" s="391"/>
      <c r="B51" s="392"/>
      <c r="C51" s="392"/>
      <c r="D51" s="392"/>
      <c r="E51" s="393"/>
      <c r="F51" s="393"/>
      <c r="G51" s="393"/>
      <c r="H51" s="393"/>
      <c r="I51" s="393"/>
      <c r="J51" s="393"/>
      <c r="K51" s="393"/>
      <c r="L51" s="393"/>
      <c r="M51" s="393"/>
    </row>
    <row r="52">
      <c r="A52" s="391"/>
      <c r="B52" s="392"/>
      <c r="C52" s="392"/>
      <c r="D52" s="392"/>
      <c r="E52" s="393"/>
      <c r="F52" s="393"/>
      <c r="G52" s="393"/>
      <c r="H52" s="393"/>
      <c r="I52" s="393"/>
      <c r="J52" s="393"/>
      <c r="K52" s="393"/>
      <c r="L52" s="393"/>
      <c r="M52" s="393"/>
    </row>
    <row r="53">
      <c r="A53" s="391"/>
      <c r="B53" s="392"/>
      <c r="C53" s="392"/>
      <c r="D53" s="392"/>
      <c r="E53" s="393"/>
      <c r="F53" s="393"/>
      <c r="G53" s="393"/>
      <c r="H53" s="393"/>
      <c r="I53" s="393"/>
      <c r="J53" s="393"/>
      <c r="K53" s="393"/>
      <c r="L53" s="393"/>
      <c r="M53" s="393"/>
    </row>
    <row r="54">
      <c r="A54" s="391"/>
      <c r="B54" s="392"/>
      <c r="C54" s="392"/>
      <c r="D54" s="392"/>
      <c r="E54" s="393"/>
      <c r="F54" s="393"/>
      <c r="G54" s="393"/>
      <c r="H54" s="393"/>
      <c r="I54" s="393"/>
      <c r="J54" s="393"/>
      <c r="K54" s="393"/>
      <c r="L54" s="393"/>
      <c r="M54" s="393"/>
    </row>
    <row r="55">
      <c r="A55" s="391"/>
      <c r="B55" s="392"/>
      <c r="C55" s="392"/>
      <c r="D55" s="392"/>
      <c r="E55" s="393"/>
      <c r="F55" s="393"/>
      <c r="G55" s="393"/>
      <c r="H55" s="393"/>
      <c r="I55" s="393"/>
      <c r="J55" s="393"/>
      <c r="K55" s="393"/>
      <c r="L55" s="393"/>
      <c r="M55" s="393"/>
    </row>
    <row r="56">
      <c r="A56" s="391"/>
      <c r="B56" s="392"/>
      <c r="C56" s="392"/>
      <c r="D56" s="392"/>
      <c r="E56" s="393"/>
      <c r="F56" s="393"/>
      <c r="G56" s="393"/>
      <c r="H56" s="393"/>
      <c r="I56" s="393"/>
      <c r="J56" s="393"/>
      <c r="K56" s="393"/>
      <c r="L56" s="393"/>
      <c r="M56" s="393"/>
    </row>
    <row r="57">
      <c r="A57" s="391"/>
      <c r="B57" s="392"/>
      <c r="C57" s="392"/>
      <c r="D57" s="392"/>
      <c r="E57" s="393"/>
      <c r="F57" s="393"/>
      <c r="G57" s="393"/>
      <c r="H57" s="393"/>
      <c r="I57" s="393"/>
      <c r="J57" s="393"/>
      <c r="K57" s="393"/>
      <c r="L57" s="393"/>
      <c r="M57" s="393"/>
    </row>
    <row r="58">
      <c r="A58" s="391"/>
      <c r="B58" s="392"/>
      <c r="C58" s="392"/>
      <c r="D58" s="392"/>
      <c r="E58" s="393"/>
      <c r="F58" s="393"/>
      <c r="G58" s="393"/>
      <c r="H58" s="393"/>
      <c r="I58" s="393"/>
      <c r="J58" s="393"/>
      <c r="K58" s="393"/>
      <c r="L58" s="393"/>
      <c r="M58" s="393"/>
    </row>
    <row r="59">
      <c r="A59" s="391"/>
      <c r="B59" s="392"/>
      <c r="C59" s="392"/>
      <c r="D59" s="392"/>
      <c r="E59" s="393"/>
      <c r="F59" s="393"/>
      <c r="G59" s="393"/>
      <c r="H59" s="393"/>
      <c r="I59" s="393"/>
      <c r="J59" s="393"/>
      <c r="K59" s="393"/>
      <c r="L59" s="393"/>
      <c r="M59" s="393"/>
    </row>
    <row r="60">
      <c r="A60" s="391"/>
      <c r="B60" s="392"/>
      <c r="C60" s="392"/>
      <c r="D60" s="392"/>
      <c r="E60" s="393"/>
      <c r="F60" s="393"/>
      <c r="G60" s="393"/>
      <c r="H60" s="393"/>
      <c r="I60" s="393"/>
      <c r="J60" s="393"/>
      <c r="K60" s="393"/>
      <c r="L60" s="393"/>
      <c r="M60" s="393"/>
    </row>
    <row r="61">
      <c r="A61" s="391"/>
      <c r="B61" s="392"/>
      <c r="C61" s="392"/>
      <c r="D61" s="392"/>
      <c r="E61" s="393"/>
      <c r="F61" s="393"/>
      <c r="G61" s="393"/>
      <c r="H61" s="393"/>
      <c r="I61" s="393"/>
      <c r="J61" s="393"/>
      <c r="K61" s="393"/>
      <c r="L61" s="393"/>
      <c r="M61" s="393"/>
    </row>
    <row r="62">
      <c r="A62" s="391"/>
      <c r="B62" s="392"/>
      <c r="C62" s="392"/>
      <c r="D62" s="392"/>
      <c r="E62" s="393"/>
      <c r="F62" s="393"/>
      <c r="G62" s="393"/>
      <c r="H62" s="393"/>
      <c r="I62" s="393"/>
      <c r="J62" s="393"/>
      <c r="K62" s="393"/>
      <c r="L62" s="393"/>
      <c r="M62" s="393"/>
    </row>
    <row r="63">
      <c r="A63" s="391"/>
      <c r="B63" s="392"/>
      <c r="C63" s="392"/>
      <c r="D63" s="392"/>
      <c r="E63" s="393"/>
      <c r="F63" s="393"/>
      <c r="G63" s="393"/>
      <c r="H63" s="393"/>
      <c r="I63" s="393"/>
      <c r="J63" s="393"/>
      <c r="K63" s="393"/>
      <c r="L63" s="393"/>
      <c r="M63" s="393"/>
    </row>
    <row r="64">
      <c r="A64" s="391"/>
      <c r="B64" s="392"/>
      <c r="C64" s="392"/>
      <c r="D64" s="392"/>
      <c r="E64" s="393"/>
      <c r="F64" s="393"/>
      <c r="G64" s="393"/>
      <c r="H64" s="393"/>
      <c r="I64" s="393"/>
      <c r="J64" s="393"/>
      <c r="K64" s="393"/>
      <c r="L64" s="393"/>
      <c r="M64" s="393"/>
    </row>
    <row r="65">
      <c r="A65" s="391"/>
      <c r="B65" s="392"/>
      <c r="C65" s="392"/>
      <c r="D65" s="392"/>
      <c r="E65" s="393"/>
      <c r="F65" s="393"/>
      <c r="G65" s="393"/>
      <c r="H65" s="393"/>
      <c r="I65" s="393"/>
      <c r="J65" s="393"/>
      <c r="K65" s="393"/>
      <c r="L65" s="393"/>
      <c r="M65" s="393"/>
    </row>
    <row r="66">
      <c r="A66" s="391"/>
      <c r="B66" s="392"/>
      <c r="C66" s="392"/>
      <c r="D66" s="392"/>
      <c r="E66" s="393"/>
      <c r="F66" s="393"/>
      <c r="G66" s="393"/>
      <c r="H66" s="393"/>
      <c r="I66" s="393"/>
      <c r="J66" s="393"/>
      <c r="K66" s="393"/>
      <c r="L66" s="393"/>
      <c r="M66" s="393"/>
    </row>
    <row r="67">
      <c r="A67" s="391"/>
      <c r="B67" s="392"/>
      <c r="C67" s="392"/>
      <c r="D67" s="392"/>
      <c r="E67" s="393"/>
      <c r="F67" s="393"/>
      <c r="G67" s="393"/>
      <c r="H67" s="393"/>
      <c r="I67" s="393"/>
      <c r="J67" s="393"/>
      <c r="K67" s="393"/>
      <c r="L67" s="393"/>
      <c r="M67" s="393"/>
    </row>
    <row r="68">
      <c r="A68" s="391"/>
      <c r="B68" s="392"/>
      <c r="C68" s="392"/>
      <c r="D68" s="392"/>
      <c r="E68" s="393"/>
      <c r="F68" s="393"/>
      <c r="G68" s="393"/>
      <c r="H68" s="393"/>
      <c r="I68" s="393"/>
      <c r="J68" s="393"/>
      <c r="K68" s="393"/>
      <c r="L68" s="393"/>
      <c r="M68" s="393"/>
    </row>
    <row r="69">
      <c r="A69" s="391"/>
      <c r="B69" s="392"/>
      <c r="C69" s="392"/>
      <c r="D69" s="392"/>
      <c r="E69" s="393"/>
      <c r="F69" s="393"/>
      <c r="G69" s="393"/>
      <c r="H69" s="393"/>
      <c r="I69" s="393"/>
      <c r="J69" s="393"/>
      <c r="K69" s="393"/>
      <c r="L69" s="393"/>
      <c r="M69" s="393"/>
    </row>
    <row r="70">
      <c r="A70" s="391"/>
      <c r="B70" s="392"/>
      <c r="C70" s="392"/>
      <c r="D70" s="392"/>
      <c r="E70" s="393"/>
      <c r="F70" s="393"/>
      <c r="G70" s="393"/>
      <c r="H70" s="393"/>
      <c r="I70" s="393"/>
      <c r="J70" s="393"/>
      <c r="K70" s="393"/>
      <c r="L70" s="393"/>
      <c r="M70" s="393"/>
    </row>
    <row r="71">
      <c r="A71" s="391"/>
      <c r="B71" s="392"/>
      <c r="C71" s="392"/>
      <c r="D71" s="392"/>
      <c r="E71" s="393"/>
      <c r="F71" s="393"/>
      <c r="G71" s="393"/>
      <c r="H71" s="393"/>
      <c r="I71" s="393"/>
      <c r="J71" s="393"/>
      <c r="K71" s="393"/>
      <c r="L71" s="393"/>
      <c r="M71" s="393"/>
    </row>
    <row r="72">
      <c r="A72" s="391"/>
      <c r="B72" s="392"/>
      <c r="C72" s="392"/>
      <c r="D72" s="392"/>
      <c r="E72" s="393"/>
      <c r="F72" s="393"/>
      <c r="G72" s="393"/>
      <c r="H72" s="393"/>
      <c r="I72" s="393"/>
      <c r="J72" s="393"/>
      <c r="K72" s="393"/>
      <c r="L72" s="393"/>
      <c r="M72" s="393"/>
    </row>
    <row r="73">
      <c r="A73" s="391"/>
      <c r="B73" s="392"/>
      <c r="C73" s="392"/>
      <c r="D73" s="392"/>
      <c r="E73" s="393"/>
      <c r="F73" s="393"/>
      <c r="G73" s="393"/>
      <c r="H73" s="393"/>
      <c r="I73" s="393"/>
      <c r="J73" s="393"/>
      <c r="K73" s="393"/>
      <c r="L73" s="393"/>
      <c r="M73" s="393"/>
    </row>
    <row r="74">
      <c r="A74" s="391"/>
      <c r="B74" s="392"/>
      <c r="C74" s="392"/>
      <c r="D74" s="392"/>
      <c r="E74" s="393"/>
      <c r="F74" s="393"/>
      <c r="G74" s="393"/>
      <c r="H74" s="393"/>
      <c r="I74" s="393"/>
      <c r="J74" s="393"/>
      <c r="K74" s="393"/>
      <c r="L74" s="393"/>
      <c r="M74" s="393"/>
    </row>
    <row r="75">
      <c r="A75" s="391"/>
      <c r="B75" s="392"/>
      <c r="C75" s="392"/>
      <c r="D75" s="392"/>
      <c r="E75" s="393"/>
      <c r="F75" s="393"/>
      <c r="G75" s="393"/>
      <c r="H75" s="393"/>
      <c r="I75" s="393"/>
      <c r="J75" s="393"/>
      <c r="K75" s="393"/>
      <c r="L75" s="393"/>
      <c r="M75" s="393"/>
    </row>
    <row r="76">
      <c r="A76" s="391"/>
      <c r="B76" s="392"/>
      <c r="C76" s="392"/>
      <c r="D76" s="392"/>
      <c r="E76" s="393"/>
      <c r="F76" s="393"/>
      <c r="G76" s="393"/>
      <c r="H76" s="393"/>
      <c r="I76" s="393"/>
      <c r="J76" s="393"/>
      <c r="K76" s="393"/>
      <c r="L76" s="393"/>
      <c r="M76" s="393"/>
    </row>
    <row r="77">
      <c r="A77" s="407"/>
      <c r="B77" s="392"/>
      <c r="C77" s="392"/>
      <c r="D77" s="392"/>
      <c r="E77" s="393"/>
      <c r="F77" s="393"/>
      <c r="G77" s="393"/>
      <c r="H77" s="393"/>
      <c r="I77" s="393"/>
      <c r="J77" s="393"/>
      <c r="K77" s="393"/>
      <c r="L77" s="393"/>
      <c r="M77" s="393"/>
    </row>
    <row r="78">
      <c r="A78" s="391"/>
      <c r="B78" s="392"/>
      <c r="C78" s="392"/>
      <c r="D78" s="392"/>
      <c r="E78" s="393"/>
      <c r="F78" s="393"/>
      <c r="G78" s="393"/>
      <c r="H78" s="393"/>
      <c r="I78" s="393"/>
      <c r="J78" s="393"/>
      <c r="K78" s="393"/>
      <c r="L78" s="393"/>
      <c r="M78" s="393"/>
    </row>
    <row r="79">
      <c r="A79" s="391"/>
      <c r="B79" s="392"/>
      <c r="C79" s="392"/>
      <c r="D79" s="392"/>
      <c r="E79" s="393"/>
      <c r="F79" s="393"/>
      <c r="G79" s="393"/>
      <c r="H79" s="393"/>
      <c r="I79" s="393"/>
      <c r="J79" s="393"/>
      <c r="K79" s="393"/>
      <c r="L79" s="393"/>
      <c r="M79" s="393"/>
    </row>
    <row r="80">
      <c r="A80" s="391"/>
      <c r="B80" s="392"/>
      <c r="C80" s="392"/>
      <c r="D80" s="392"/>
      <c r="E80" s="393"/>
      <c r="F80" s="393"/>
      <c r="G80" s="393"/>
      <c r="H80" s="393"/>
      <c r="I80" s="393"/>
      <c r="J80" s="393"/>
      <c r="K80" s="393"/>
      <c r="L80" s="393"/>
      <c r="M80" s="393"/>
    </row>
    <row r="81">
      <c r="A81" s="391"/>
      <c r="B81" s="392"/>
      <c r="C81" s="392"/>
      <c r="D81" s="392"/>
      <c r="E81" s="393"/>
      <c r="F81" s="393"/>
      <c r="G81" s="393"/>
      <c r="H81" s="393"/>
      <c r="I81" s="393"/>
      <c r="J81" s="393"/>
      <c r="K81" s="393"/>
      <c r="L81" s="393"/>
      <c r="M81" s="393"/>
    </row>
    <row r="82">
      <c r="A82" s="391"/>
      <c r="B82" s="392"/>
      <c r="C82" s="392"/>
      <c r="D82" s="392"/>
      <c r="E82" s="393"/>
      <c r="F82" s="393"/>
      <c r="G82" s="393"/>
      <c r="H82" s="393"/>
      <c r="I82" s="393"/>
      <c r="J82" s="393"/>
      <c r="K82" s="393"/>
      <c r="L82" s="393"/>
      <c r="M82" s="393"/>
    </row>
    <row r="83">
      <c r="A83" s="391"/>
      <c r="B83" s="392"/>
      <c r="C83" s="392"/>
      <c r="D83" s="392"/>
      <c r="E83" s="393"/>
      <c r="F83" s="393"/>
      <c r="G83" s="393"/>
      <c r="H83" s="393"/>
      <c r="I83" s="393"/>
      <c r="J83" s="393"/>
      <c r="K83" s="393"/>
      <c r="L83" s="393"/>
      <c r="M83" s="393"/>
    </row>
    <row r="84">
      <c r="A84" s="391"/>
      <c r="B84" s="392"/>
      <c r="C84" s="392"/>
      <c r="D84" s="392"/>
      <c r="E84" s="393"/>
      <c r="F84" s="393"/>
      <c r="G84" s="393"/>
      <c r="H84" s="393"/>
      <c r="I84" s="393"/>
      <c r="J84" s="393"/>
      <c r="K84" s="393"/>
      <c r="L84" s="393"/>
      <c r="M84" s="393"/>
    </row>
    <row r="85">
      <c r="A85" s="391"/>
      <c r="B85" s="392"/>
      <c r="C85" s="392"/>
      <c r="D85" s="392"/>
      <c r="E85" s="393"/>
      <c r="F85" s="393"/>
      <c r="G85" s="393"/>
      <c r="H85" s="393"/>
      <c r="I85" s="393"/>
      <c r="J85" s="393"/>
      <c r="K85" s="393"/>
      <c r="L85" s="393"/>
      <c r="M85" s="393"/>
    </row>
    <row r="86">
      <c r="A86" s="391"/>
      <c r="B86" s="392"/>
      <c r="C86" s="392"/>
      <c r="D86" s="392"/>
      <c r="E86" s="393"/>
      <c r="F86" s="393"/>
      <c r="G86" s="393"/>
      <c r="H86" s="393"/>
      <c r="I86" s="393"/>
      <c r="J86" s="393"/>
      <c r="K86" s="393"/>
      <c r="L86" s="393"/>
      <c r="M86" s="393"/>
    </row>
    <row r="87">
      <c r="A87" s="391"/>
      <c r="B87" s="392"/>
      <c r="C87" s="392"/>
      <c r="D87" s="392"/>
      <c r="E87" s="393"/>
      <c r="F87" s="393"/>
      <c r="G87" s="393"/>
      <c r="H87" s="393"/>
      <c r="I87" s="393"/>
      <c r="J87" s="393"/>
      <c r="K87" s="393"/>
      <c r="L87" s="393"/>
      <c r="M87" s="393"/>
    </row>
    <row r="88">
      <c r="A88" s="391"/>
      <c r="B88" s="392"/>
      <c r="C88" s="392"/>
      <c r="D88" s="392"/>
      <c r="E88" s="393"/>
      <c r="F88" s="393"/>
      <c r="G88" s="393"/>
      <c r="H88" s="393"/>
      <c r="I88" s="393"/>
      <c r="J88" s="393"/>
      <c r="K88" s="393"/>
      <c r="L88" s="393"/>
      <c r="M88" s="393"/>
    </row>
    <row r="89">
      <c r="A89" s="391"/>
      <c r="B89" s="392"/>
      <c r="C89" s="392"/>
      <c r="D89" s="392"/>
      <c r="E89" s="393"/>
      <c r="F89" s="393"/>
      <c r="G89" s="393"/>
      <c r="H89" s="393"/>
      <c r="I89" s="393"/>
      <c r="J89" s="393"/>
      <c r="K89" s="393"/>
      <c r="L89" s="393"/>
      <c r="M89" s="393"/>
    </row>
    <row r="90">
      <c r="A90" s="391"/>
      <c r="B90" s="392"/>
      <c r="C90" s="392"/>
      <c r="D90" s="392"/>
      <c r="E90" s="393"/>
      <c r="F90" s="393"/>
      <c r="G90" s="393"/>
      <c r="H90" s="393"/>
      <c r="I90" s="393"/>
      <c r="J90" s="393"/>
      <c r="K90" s="393"/>
      <c r="L90" s="393"/>
      <c r="M90" s="393"/>
    </row>
    <row r="91">
      <c r="A91" s="391"/>
      <c r="B91" s="392"/>
      <c r="C91" s="392"/>
      <c r="D91" s="392"/>
      <c r="E91" s="393"/>
      <c r="F91" s="393"/>
      <c r="G91" s="393"/>
      <c r="H91" s="393"/>
      <c r="I91" s="393"/>
      <c r="J91" s="393"/>
      <c r="K91" s="393"/>
      <c r="L91" s="393"/>
      <c r="M91" s="393"/>
    </row>
    <row r="92">
      <c r="A92" s="391"/>
      <c r="B92" s="392"/>
      <c r="C92" s="392"/>
      <c r="D92" s="392"/>
      <c r="E92" s="393"/>
      <c r="F92" s="393"/>
      <c r="G92" s="393"/>
      <c r="H92" s="393"/>
      <c r="I92" s="393"/>
      <c r="J92" s="393"/>
      <c r="K92" s="393"/>
      <c r="L92" s="393"/>
      <c r="M92" s="393"/>
    </row>
    <row r="93">
      <c r="A93" s="391"/>
      <c r="B93" s="392"/>
      <c r="C93" s="392"/>
      <c r="D93" s="392"/>
      <c r="E93" s="393"/>
      <c r="F93" s="393"/>
      <c r="G93" s="393"/>
      <c r="H93" s="393"/>
      <c r="I93" s="393"/>
      <c r="J93" s="393"/>
      <c r="K93" s="393"/>
      <c r="L93" s="393"/>
      <c r="M93" s="393"/>
    </row>
    <row r="94">
      <c r="A94" s="391"/>
      <c r="B94" s="392"/>
      <c r="C94" s="392"/>
      <c r="D94" s="392"/>
      <c r="E94" s="393"/>
      <c r="F94" s="393"/>
      <c r="G94" s="393"/>
      <c r="H94" s="393"/>
      <c r="I94" s="393"/>
      <c r="J94" s="393"/>
      <c r="K94" s="393"/>
      <c r="L94" s="393"/>
      <c r="M94" s="393"/>
    </row>
    <row r="95">
      <c r="A95" s="391"/>
      <c r="B95" s="392"/>
      <c r="C95" s="392"/>
      <c r="D95" s="392"/>
      <c r="E95" s="393"/>
      <c r="F95" s="393"/>
      <c r="G95" s="393"/>
      <c r="H95" s="393"/>
      <c r="I95" s="393"/>
      <c r="J95" s="393"/>
      <c r="K95" s="393"/>
      <c r="L95" s="393"/>
      <c r="M95" s="393"/>
    </row>
    <row r="96">
      <c r="A96" s="391"/>
      <c r="B96" s="392"/>
      <c r="C96" s="392"/>
      <c r="D96" s="392"/>
      <c r="E96" s="393"/>
      <c r="F96" s="393"/>
      <c r="G96" s="393"/>
      <c r="H96" s="393"/>
      <c r="I96" s="393"/>
      <c r="J96" s="393"/>
      <c r="K96" s="393"/>
      <c r="L96" s="393"/>
      <c r="M96" s="393"/>
    </row>
    <row r="97">
      <c r="A97" s="391"/>
      <c r="B97" s="392"/>
      <c r="C97" s="392"/>
      <c r="D97" s="392"/>
      <c r="E97" s="393"/>
      <c r="F97" s="393"/>
      <c r="G97" s="393"/>
      <c r="H97" s="393"/>
      <c r="I97" s="393"/>
      <c r="J97" s="393"/>
      <c r="K97" s="393"/>
      <c r="L97" s="393"/>
      <c r="M97" s="393"/>
    </row>
    <row r="98">
      <c r="A98" s="391"/>
      <c r="B98" s="392"/>
      <c r="C98" s="392"/>
      <c r="D98" s="392"/>
      <c r="E98" s="393"/>
      <c r="F98" s="393"/>
      <c r="G98" s="393"/>
      <c r="H98" s="393"/>
      <c r="I98" s="393"/>
      <c r="J98" s="393"/>
      <c r="K98" s="393"/>
      <c r="L98" s="393"/>
      <c r="M98" s="393"/>
    </row>
    <row r="99">
      <c r="A99" s="391"/>
      <c r="B99" s="392"/>
      <c r="C99" s="392"/>
      <c r="D99" s="392"/>
      <c r="E99" s="393"/>
      <c r="F99" s="393"/>
      <c r="G99" s="393"/>
      <c r="H99" s="393"/>
      <c r="I99" s="393"/>
      <c r="J99" s="393"/>
      <c r="K99" s="393"/>
      <c r="L99" s="393"/>
      <c r="M99" s="393"/>
    </row>
    <row r="100">
      <c r="A100" s="391"/>
      <c r="B100" s="408"/>
      <c r="C100" s="408"/>
      <c r="D100" s="408"/>
      <c r="E100" s="393"/>
      <c r="F100" s="393"/>
      <c r="G100" s="393"/>
      <c r="H100" s="393"/>
      <c r="I100" s="393"/>
      <c r="J100" s="393"/>
      <c r="K100" s="393"/>
      <c r="L100" s="393"/>
      <c r="M100" s="393"/>
    </row>
    <row r="101">
      <c r="A101" s="393"/>
      <c r="B101" s="408"/>
      <c r="C101" s="408"/>
      <c r="D101" s="408"/>
      <c r="E101" s="393"/>
      <c r="F101" s="393"/>
      <c r="G101" s="393"/>
      <c r="H101" s="393"/>
      <c r="I101" s="393"/>
      <c r="J101" s="393"/>
      <c r="K101" s="393"/>
      <c r="L101" s="393"/>
      <c r="M101" s="393"/>
    </row>
    <row r="102">
      <c r="A102" s="393"/>
      <c r="B102" s="408"/>
      <c r="C102" s="408"/>
      <c r="D102" s="408"/>
      <c r="E102" s="393"/>
      <c r="F102" s="393"/>
      <c r="G102" s="393"/>
      <c r="H102" s="393"/>
      <c r="I102" s="393"/>
      <c r="J102" s="393"/>
      <c r="K102" s="393"/>
      <c r="L102" s="393"/>
      <c r="M102" s="393"/>
    </row>
    <row r="103">
      <c r="A103" s="393"/>
      <c r="B103" s="408"/>
      <c r="C103" s="408"/>
      <c r="D103" s="408"/>
      <c r="E103" s="393"/>
      <c r="F103" s="393"/>
      <c r="G103" s="393"/>
      <c r="H103" s="393"/>
      <c r="I103" s="393"/>
      <c r="J103" s="393"/>
      <c r="K103" s="393"/>
      <c r="L103" s="393"/>
      <c r="M103" s="393"/>
    </row>
    <row r="104">
      <c r="A104" s="393"/>
      <c r="B104" s="408"/>
      <c r="C104" s="408"/>
      <c r="D104" s="408"/>
      <c r="E104" s="393"/>
      <c r="F104" s="393"/>
      <c r="G104" s="393"/>
      <c r="H104" s="393"/>
      <c r="I104" s="393"/>
      <c r="J104" s="393"/>
      <c r="K104" s="393"/>
      <c r="L104" s="393"/>
      <c r="M104" s="393"/>
    </row>
    <row r="105">
      <c r="A105" s="393"/>
      <c r="B105" s="408"/>
      <c r="C105" s="408"/>
      <c r="D105" s="408"/>
      <c r="E105" s="393"/>
      <c r="F105" s="393"/>
      <c r="G105" s="393"/>
      <c r="H105" s="393"/>
      <c r="I105" s="393"/>
      <c r="J105" s="393"/>
      <c r="K105" s="393"/>
      <c r="L105" s="393"/>
      <c r="M105" s="393"/>
    </row>
    <row r="106">
      <c r="A106" s="393"/>
      <c r="B106" s="408"/>
      <c r="C106" s="408"/>
      <c r="D106" s="408"/>
      <c r="E106" s="393"/>
      <c r="F106" s="393"/>
      <c r="G106" s="393"/>
      <c r="H106" s="393"/>
      <c r="I106" s="393"/>
      <c r="J106" s="393"/>
      <c r="K106" s="393"/>
      <c r="L106" s="393"/>
      <c r="M106" s="393"/>
    </row>
    <row r="107">
      <c r="A107" s="393"/>
      <c r="B107" s="408"/>
      <c r="C107" s="408"/>
      <c r="D107" s="408"/>
      <c r="E107" s="393"/>
      <c r="F107" s="393"/>
      <c r="G107" s="393"/>
      <c r="H107" s="393"/>
      <c r="I107" s="393"/>
      <c r="J107" s="393"/>
      <c r="K107" s="393"/>
      <c r="L107" s="393"/>
      <c r="M107" s="393"/>
    </row>
    <row r="108">
      <c r="A108" s="393"/>
      <c r="B108" s="408"/>
      <c r="C108" s="408"/>
      <c r="D108" s="408"/>
      <c r="E108" s="393"/>
      <c r="F108" s="393"/>
      <c r="G108" s="393"/>
      <c r="H108" s="393"/>
      <c r="I108" s="393"/>
      <c r="J108" s="393"/>
      <c r="K108" s="393"/>
      <c r="L108" s="393"/>
      <c r="M108" s="393"/>
    </row>
    <row r="109">
      <c r="A109" s="393"/>
      <c r="B109" s="408"/>
      <c r="C109" s="408"/>
      <c r="D109" s="408"/>
      <c r="E109" s="393"/>
      <c r="F109" s="393"/>
      <c r="G109" s="393"/>
      <c r="H109" s="393"/>
      <c r="I109" s="393"/>
      <c r="J109" s="393"/>
      <c r="K109" s="393"/>
      <c r="L109" s="393"/>
      <c r="M109" s="393"/>
    </row>
    <row r="110">
      <c r="A110" s="393"/>
      <c r="B110" s="408"/>
      <c r="C110" s="408"/>
      <c r="D110" s="408"/>
      <c r="E110" s="393"/>
      <c r="F110" s="393"/>
      <c r="G110" s="393"/>
      <c r="H110" s="393"/>
      <c r="I110" s="393"/>
      <c r="J110" s="393"/>
      <c r="K110" s="393"/>
      <c r="L110" s="393"/>
      <c r="M110" s="393"/>
    </row>
    <row r="111">
      <c r="A111" s="393"/>
      <c r="B111" s="408"/>
      <c r="C111" s="408"/>
      <c r="D111" s="408"/>
      <c r="E111" s="393"/>
      <c r="F111" s="393"/>
      <c r="G111" s="393"/>
      <c r="H111" s="393"/>
      <c r="I111" s="393"/>
      <c r="J111" s="393"/>
      <c r="K111" s="393"/>
      <c r="L111" s="393"/>
      <c r="M111" s="393"/>
    </row>
    <row r="112">
      <c r="A112" s="393"/>
      <c r="B112" s="408"/>
      <c r="C112" s="408"/>
      <c r="D112" s="408"/>
      <c r="E112" s="393"/>
      <c r="F112" s="393"/>
      <c r="G112" s="393"/>
      <c r="H112" s="393"/>
      <c r="I112" s="393"/>
      <c r="J112" s="393"/>
      <c r="K112" s="393"/>
      <c r="L112" s="393"/>
      <c r="M112" s="393"/>
    </row>
    <row r="113">
      <c r="A113" s="393"/>
      <c r="B113" s="408"/>
      <c r="C113" s="408"/>
      <c r="D113" s="408"/>
      <c r="E113" s="393"/>
      <c r="F113" s="393"/>
      <c r="G113" s="393"/>
      <c r="H113" s="393"/>
      <c r="I113" s="393"/>
      <c r="J113" s="393"/>
      <c r="K113" s="393"/>
      <c r="L113" s="393"/>
      <c r="M113" s="393"/>
    </row>
    <row r="114">
      <c r="A114" s="393"/>
      <c r="B114" s="408"/>
      <c r="C114" s="408"/>
      <c r="D114" s="408"/>
      <c r="E114" s="393"/>
      <c r="F114" s="393"/>
      <c r="G114" s="393"/>
      <c r="H114" s="393"/>
      <c r="I114" s="393"/>
      <c r="J114" s="393"/>
      <c r="K114" s="393"/>
      <c r="L114" s="393"/>
      <c r="M114" s="393"/>
    </row>
    <row r="115">
      <c r="A115" s="393"/>
      <c r="B115" s="408"/>
      <c r="C115" s="408"/>
      <c r="D115" s="408"/>
      <c r="E115" s="393"/>
      <c r="F115" s="393"/>
      <c r="G115" s="393"/>
      <c r="H115" s="393"/>
      <c r="I115" s="393"/>
      <c r="J115" s="393"/>
      <c r="K115" s="393"/>
      <c r="L115" s="393"/>
      <c r="M115" s="393"/>
    </row>
    <row r="116">
      <c r="A116" s="393"/>
      <c r="B116" s="408"/>
      <c r="C116" s="408"/>
      <c r="D116" s="408"/>
      <c r="E116" s="393"/>
      <c r="F116" s="393"/>
      <c r="G116" s="393"/>
      <c r="H116" s="393"/>
      <c r="I116" s="393"/>
      <c r="J116" s="393"/>
      <c r="K116" s="393"/>
      <c r="L116" s="393"/>
      <c r="M116" s="393"/>
    </row>
    <row r="117">
      <c r="A117" s="393"/>
      <c r="B117" s="408"/>
      <c r="C117" s="408"/>
      <c r="D117" s="408"/>
      <c r="E117" s="393"/>
      <c r="F117" s="393"/>
      <c r="G117" s="393"/>
      <c r="H117" s="393"/>
      <c r="I117" s="393"/>
      <c r="J117" s="393"/>
      <c r="K117" s="393"/>
      <c r="L117" s="393"/>
      <c r="M117" s="393"/>
    </row>
    <row r="118">
      <c r="A118" s="393"/>
      <c r="B118" s="408"/>
      <c r="C118" s="408"/>
      <c r="D118" s="408"/>
      <c r="E118" s="393"/>
      <c r="F118" s="393"/>
      <c r="G118" s="393"/>
      <c r="H118" s="393"/>
      <c r="I118" s="393"/>
      <c r="J118" s="393"/>
      <c r="K118" s="393"/>
      <c r="L118" s="393"/>
      <c r="M118" s="393"/>
    </row>
    <row r="119">
      <c r="A119" s="393"/>
      <c r="B119" s="408"/>
      <c r="C119" s="408"/>
      <c r="D119" s="408"/>
      <c r="E119" s="393"/>
      <c r="F119" s="393"/>
      <c r="G119" s="393"/>
      <c r="H119" s="393"/>
      <c r="I119" s="393"/>
      <c r="J119" s="393"/>
      <c r="K119" s="393"/>
      <c r="L119" s="393"/>
      <c r="M119" s="393"/>
    </row>
    <row r="120">
      <c r="A120" s="393"/>
      <c r="B120" s="408"/>
      <c r="C120" s="408"/>
      <c r="D120" s="408"/>
      <c r="E120" s="393"/>
      <c r="F120" s="393"/>
      <c r="G120" s="393"/>
      <c r="H120" s="393"/>
      <c r="I120" s="393"/>
      <c r="J120" s="393"/>
      <c r="K120" s="393"/>
      <c r="L120" s="393"/>
      <c r="M120" s="393"/>
    </row>
    <row r="121">
      <c r="A121" s="393"/>
      <c r="B121" s="408"/>
      <c r="C121" s="408"/>
      <c r="D121" s="408"/>
      <c r="E121" s="393"/>
      <c r="F121" s="393"/>
      <c r="G121" s="393"/>
      <c r="H121" s="393"/>
      <c r="I121" s="393"/>
      <c r="J121" s="393"/>
      <c r="K121" s="393"/>
      <c r="L121" s="393"/>
      <c r="M121" s="393"/>
    </row>
    <row r="122">
      <c r="A122" s="393"/>
      <c r="B122" s="408"/>
      <c r="C122" s="408"/>
      <c r="D122" s="408"/>
      <c r="E122" s="393"/>
      <c r="F122" s="393"/>
      <c r="G122" s="393"/>
      <c r="H122" s="393"/>
      <c r="I122" s="393"/>
      <c r="J122" s="393"/>
      <c r="K122" s="393"/>
      <c r="L122" s="393"/>
      <c r="M122" s="393"/>
    </row>
    <row r="123">
      <c r="A123" s="393"/>
      <c r="B123" s="408"/>
      <c r="C123" s="408"/>
      <c r="D123" s="408"/>
      <c r="E123" s="393"/>
      <c r="F123" s="393"/>
      <c r="G123" s="393"/>
      <c r="H123" s="393"/>
      <c r="I123" s="393"/>
      <c r="J123" s="393"/>
      <c r="K123" s="393"/>
      <c r="L123" s="393"/>
      <c r="M123" s="393"/>
    </row>
    <row r="124">
      <c r="A124" s="393"/>
      <c r="B124" s="408"/>
      <c r="C124" s="408"/>
      <c r="D124" s="408"/>
      <c r="E124" s="393"/>
      <c r="F124" s="393"/>
      <c r="G124" s="393"/>
      <c r="H124" s="393"/>
      <c r="I124" s="393"/>
      <c r="J124" s="393"/>
      <c r="K124" s="393"/>
      <c r="L124" s="393"/>
      <c r="M124" s="393"/>
    </row>
    <row r="125">
      <c r="A125" s="393"/>
      <c r="B125" s="408"/>
      <c r="C125" s="408"/>
      <c r="D125" s="408"/>
      <c r="E125" s="393"/>
      <c r="F125" s="393"/>
      <c r="G125" s="393"/>
      <c r="H125" s="393"/>
      <c r="I125" s="393"/>
      <c r="J125" s="393"/>
      <c r="K125" s="393"/>
      <c r="L125" s="393"/>
      <c r="M125" s="393"/>
    </row>
    <row r="126">
      <c r="A126" s="393"/>
      <c r="B126" s="408"/>
      <c r="C126" s="408"/>
      <c r="D126" s="408"/>
      <c r="E126" s="393"/>
      <c r="F126" s="393"/>
      <c r="G126" s="393"/>
      <c r="H126" s="393"/>
      <c r="I126" s="393"/>
      <c r="J126" s="393"/>
      <c r="K126" s="393"/>
      <c r="L126" s="393"/>
      <c r="M126" s="393"/>
    </row>
    <row r="127">
      <c r="A127" s="393"/>
      <c r="B127" s="408"/>
      <c r="C127" s="408"/>
      <c r="D127" s="408"/>
      <c r="E127" s="393"/>
      <c r="F127" s="393"/>
      <c r="G127" s="393"/>
      <c r="H127" s="393"/>
      <c r="I127" s="393"/>
      <c r="J127" s="393"/>
      <c r="K127" s="393"/>
      <c r="L127" s="393"/>
      <c r="M127" s="393"/>
    </row>
    <row r="128">
      <c r="A128" s="393"/>
      <c r="B128" s="408"/>
      <c r="C128" s="408"/>
      <c r="D128" s="408"/>
      <c r="E128" s="393"/>
      <c r="F128" s="393"/>
      <c r="G128" s="393"/>
      <c r="H128" s="393"/>
      <c r="I128" s="393"/>
      <c r="J128" s="393"/>
      <c r="K128" s="393"/>
      <c r="L128" s="393"/>
      <c r="M128" s="393"/>
    </row>
    <row r="129">
      <c r="A129" s="393"/>
      <c r="B129" s="408"/>
      <c r="C129" s="408"/>
      <c r="D129" s="408"/>
      <c r="E129" s="393"/>
      <c r="F129" s="393"/>
      <c r="G129" s="393"/>
      <c r="H129" s="393"/>
      <c r="I129" s="393"/>
      <c r="J129" s="393"/>
      <c r="K129" s="393"/>
      <c r="L129" s="393"/>
      <c r="M129" s="393"/>
    </row>
    <row r="130">
      <c r="A130" s="393"/>
      <c r="B130" s="408"/>
      <c r="C130" s="408"/>
      <c r="D130" s="408"/>
      <c r="E130" s="393"/>
      <c r="F130" s="393"/>
      <c r="G130" s="393"/>
      <c r="H130" s="393"/>
      <c r="I130" s="393"/>
      <c r="J130" s="393"/>
      <c r="K130" s="393"/>
      <c r="L130" s="393"/>
      <c r="M130" s="393"/>
    </row>
    <row r="131">
      <c r="A131" s="393"/>
      <c r="B131" s="408"/>
      <c r="C131" s="408"/>
      <c r="D131" s="408"/>
      <c r="E131" s="393"/>
      <c r="F131" s="393"/>
      <c r="G131" s="393"/>
      <c r="H131" s="393"/>
      <c r="I131" s="393"/>
      <c r="J131" s="393"/>
      <c r="K131" s="393"/>
      <c r="L131" s="393"/>
      <c r="M131" s="393"/>
    </row>
    <row r="132">
      <c r="A132" s="393"/>
      <c r="B132" s="408"/>
      <c r="C132" s="408"/>
      <c r="D132" s="408"/>
      <c r="E132" s="393"/>
      <c r="F132" s="393"/>
      <c r="G132" s="393"/>
      <c r="H132" s="393"/>
      <c r="I132" s="393"/>
      <c r="J132" s="393"/>
      <c r="K132" s="393"/>
      <c r="L132" s="393"/>
      <c r="M132" s="393"/>
    </row>
    <row r="133">
      <c r="A133" s="393"/>
      <c r="B133" s="408"/>
      <c r="C133" s="408"/>
      <c r="D133" s="408"/>
      <c r="E133" s="393"/>
      <c r="F133" s="393"/>
      <c r="G133" s="393"/>
      <c r="H133" s="393"/>
      <c r="I133" s="393"/>
      <c r="J133" s="393"/>
      <c r="K133" s="393"/>
      <c r="L133" s="393"/>
      <c r="M133" s="393"/>
    </row>
    <row r="134">
      <c r="A134" s="393"/>
      <c r="B134" s="408"/>
      <c r="C134" s="408"/>
      <c r="D134" s="408"/>
      <c r="E134" s="393"/>
      <c r="F134" s="393"/>
      <c r="G134" s="393"/>
      <c r="H134" s="393"/>
      <c r="I134" s="393"/>
      <c r="J134" s="393"/>
      <c r="K134" s="393"/>
      <c r="L134" s="393"/>
      <c r="M134" s="393"/>
    </row>
    <row r="135">
      <c r="A135" s="393"/>
      <c r="B135" s="408"/>
      <c r="C135" s="408"/>
      <c r="D135" s="408"/>
      <c r="E135" s="393"/>
      <c r="F135" s="393"/>
      <c r="G135" s="393"/>
      <c r="H135" s="393"/>
      <c r="I135" s="393"/>
      <c r="J135" s="393"/>
      <c r="K135" s="393"/>
      <c r="L135" s="393"/>
      <c r="M135" s="393"/>
    </row>
    <row r="136">
      <c r="A136" s="393"/>
      <c r="B136" s="408"/>
      <c r="C136" s="408"/>
      <c r="D136" s="408"/>
      <c r="E136" s="393"/>
      <c r="F136" s="393"/>
      <c r="G136" s="393"/>
      <c r="H136" s="393"/>
      <c r="I136" s="393"/>
      <c r="J136" s="393"/>
      <c r="K136" s="393"/>
      <c r="L136" s="393"/>
      <c r="M136" s="393"/>
    </row>
    <row r="137">
      <c r="A137" s="393"/>
      <c r="B137" s="408"/>
      <c r="C137" s="408"/>
      <c r="D137" s="408"/>
      <c r="E137" s="393"/>
      <c r="F137" s="393"/>
      <c r="G137" s="393"/>
      <c r="H137" s="393"/>
      <c r="I137" s="393"/>
      <c r="J137" s="393"/>
      <c r="K137" s="393"/>
      <c r="L137" s="393"/>
      <c r="M137" s="393"/>
    </row>
    <row r="138">
      <c r="A138" s="393"/>
      <c r="B138" s="408"/>
      <c r="C138" s="408"/>
      <c r="D138" s="408"/>
      <c r="E138" s="393"/>
      <c r="F138" s="393"/>
      <c r="G138" s="393"/>
      <c r="H138" s="393"/>
      <c r="I138" s="393"/>
      <c r="J138" s="393"/>
      <c r="K138" s="393"/>
      <c r="L138" s="393"/>
      <c r="M138" s="393"/>
    </row>
    <row r="139">
      <c r="A139" s="393"/>
      <c r="B139" s="408"/>
      <c r="C139" s="408"/>
      <c r="D139" s="408"/>
      <c r="E139" s="393"/>
      <c r="F139" s="393"/>
      <c r="G139" s="393"/>
      <c r="H139" s="393"/>
      <c r="I139" s="393"/>
      <c r="J139" s="393"/>
      <c r="K139" s="393"/>
      <c r="L139" s="393"/>
      <c r="M139" s="393"/>
    </row>
    <row r="140">
      <c r="A140" s="393"/>
      <c r="B140" s="408"/>
      <c r="C140" s="408"/>
      <c r="D140" s="408"/>
      <c r="E140" s="393"/>
      <c r="F140" s="393"/>
      <c r="G140" s="393"/>
      <c r="H140" s="393"/>
      <c r="I140" s="393"/>
      <c r="J140" s="393"/>
      <c r="K140" s="393"/>
      <c r="L140" s="393"/>
      <c r="M140" s="393"/>
    </row>
    <row r="141">
      <c r="A141" s="393"/>
      <c r="B141" s="408"/>
      <c r="C141" s="408"/>
      <c r="D141" s="408"/>
      <c r="E141" s="393"/>
      <c r="F141" s="393"/>
      <c r="G141" s="393"/>
      <c r="H141" s="393"/>
      <c r="I141" s="393"/>
      <c r="J141" s="393"/>
      <c r="K141" s="393"/>
      <c r="L141" s="393"/>
      <c r="M141" s="393"/>
    </row>
    <row r="142">
      <c r="A142" s="393"/>
      <c r="B142" s="408"/>
      <c r="C142" s="408"/>
      <c r="D142" s="408"/>
      <c r="E142" s="393"/>
      <c r="F142" s="393"/>
      <c r="G142" s="393"/>
      <c r="H142" s="393"/>
      <c r="I142" s="393"/>
      <c r="J142" s="393"/>
      <c r="K142" s="393"/>
      <c r="L142" s="393"/>
      <c r="M142" s="393"/>
    </row>
    <row r="143">
      <c r="A143" s="393"/>
      <c r="B143" s="408"/>
      <c r="C143" s="408"/>
      <c r="D143" s="408"/>
      <c r="E143" s="393"/>
      <c r="F143" s="393"/>
      <c r="G143" s="393"/>
      <c r="H143" s="393"/>
      <c r="I143" s="393"/>
      <c r="J143" s="393"/>
      <c r="K143" s="393"/>
      <c r="L143" s="393"/>
      <c r="M143" s="393"/>
    </row>
    <row r="144">
      <c r="A144" s="393"/>
      <c r="B144" s="408"/>
      <c r="C144" s="408"/>
      <c r="D144" s="408"/>
      <c r="E144" s="393"/>
      <c r="F144" s="393"/>
      <c r="G144" s="393"/>
      <c r="H144" s="393"/>
      <c r="I144" s="393"/>
      <c r="J144" s="393"/>
      <c r="K144" s="393"/>
      <c r="L144" s="393"/>
      <c r="M144" s="393"/>
    </row>
    <row r="145">
      <c r="A145" s="393"/>
      <c r="B145" s="408"/>
      <c r="C145" s="408"/>
      <c r="D145" s="408"/>
      <c r="E145" s="393"/>
      <c r="F145" s="393"/>
      <c r="G145" s="393"/>
      <c r="H145" s="393"/>
      <c r="I145" s="393"/>
      <c r="J145" s="393"/>
      <c r="K145" s="393"/>
      <c r="L145" s="393"/>
      <c r="M145" s="393"/>
    </row>
    <row r="146">
      <c r="A146" s="393"/>
      <c r="B146" s="408"/>
      <c r="C146" s="408"/>
      <c r="D146" s="408"/>
      <c r="E146" s="393"/>
      <c r="F146" s="393"/>
      <c r="G146" s="393"/>
      <c r="H146" s="393"/>
      <c r="I146" s="393"/>
      <c r="J146" s="393"/>
      <c r="K146" s="393"/>
      <c r="L146" s="393"/>
      <c r="M146" s="393"/>
    </row>
    <row r="147">
      <c r="A147" s="393"/>
      <c r="B147" s="408"/>
      <c r="C147" s="408"/>
      <c r="D147" s="408"/>
      <c r="E147" s="393"/>
      <c r="F147" s="393"/>
      <c r="G147" s="393"/>
      <c r="H147" s="393"/>
      <c r="I147" s="393"/>
      <c r="J147" s="393"/>
      <c r="K147" s="393"/>
      <c r="L147" s="393"/>
      <c r="M147" s="393"/>
    </row>
    <row r="148">
      <c r="A148" s="393"/>
      <c r="B148" s="408"/>
      <c r="C148" s="408"/>
      <c r="D148" s="408"/>
      <c r="E148" s="393"/>
      <c r="F148" s="393"/>
      <c r="G148" s="393"/>
      <c r="H148" s="393"/>
      <c r="I148" s="393"/>
      <c r="J148" s="393"/>
      <c r="K148" s="393"/>
      <c r="L148" s="393"/>
      <c r="M148" s="393"/>
    </row>
    <row r="149">
      <c r="A149" s="393"/>
      <c r="B149" s="408"/>
      <c r="C149" s="408"/>
      <c r="D149" s="408"/>
      <c r="E149" s="393"/>
      <c r="F149" s="393"/>
      <c r="G149" s="393"/>
      <c r="H149" s="393"/>
      <c r="I149" s="393"/>
      <c r="J149" s="393"/>
      <c r="K149" s="393"/>
      <c r="L149" s="393"/>
      <c r="M149" s="393"/>
    </row>
    <row r="150">
      <c r="A150" s="393"/>
      <c r="B150" s="408"/>
      <c r="C150" s="408"/>
      <c r="D150" s="408"/>
      <c r="E150" s="393"/>
      <c r="F150" s="393"/>
      <c r="G150" s="393"/>
      <c r="H150" s="393"/>
      <c r="I150" s="393"/>
      <c r="J150" s="393"/>
      <c r="K150" s="393"/>
      <c r="L150" s="393"/>
      <c r="M150" s="393"/>
    </row>
    <row r="151">
      <c r="A151" s="393"/>
      <c r="B151" s="408"/>
      <c r="C151" s="408"/>
      <c r="D151" s="408"/>
      <c r="E151" s="393"/>
      <c r="F151" s="393"/>
      <c r="G151" s="393"/>
      <c r="H151" s="393"/>
      <c r="I151" s="393"/>
      <c r="J151" s="393"/>
      <c r="K151" s="393"/>
      <c r="L151" s="393"/>
      <c r="M151" s="393"/>
    </row>
    <row r="152">
      <c r="A152" s="393"/>
      <c r="B152" s="408"/>
      <c r="C152" s="408"/>
      <c r="D152" s="408"/>
      <c r="E152" s="393"/>
      <c r="F152" s="393"/>
      <c r="G152" s="393"/>
      <c r="H152" s="393"/>
      <c r="I152" s="393"/>
      <c r="J152" s="393"/>
      <c r="K152" s="393"/>
      <c r="L152" s="393"/>
      <c r="M152" s="393"/>
    </row>
    <row r="153">
      <c r="A153" s="393"/>
      <c r="B153" s="408"/>
      <c r="C153" s="408"/>
      <c r="D153" s="408"/>
      <c r="E153" s="393"/>
      <c r="F153" s="393"/>
      <c r="G153" s="393"/>
      <c r="H153" s="393"/>
      <c r="I153" s="393"/>
      <c r="J153" s="393"/>
      <c r="K153" s="393"/>
      <c r="L153" s="393"/>
      <c r="M153" s="393"/>
    </row>
    <row r="154">
      <c r="A154" s="393"/>
      <c r="B154" s="408"/>
      <c r="C154" s="408"/>
      <c r="D154" s="408"/>
      <c r="E154" s="393"/>
      <c r="F154" s="393"/>
      <c r="G154" s="393"/>
      <c r="H154" s="393"/>
      <c r="I154" s="393"/>
      <c r="J154" s="393"/>
      <c r="K154" s="393"/>
      <c r="L154" s="393"/>
      <c r="M154" s="393"/>
    </row>
    <row r="155">
      <c r="A155" s="393"/>
      <c r="B155" s="408"/>
      <c r="C155" s="408"/>
      <c r="D155" s="408"/>
      <c r="E155" s="393"/>
      <c r="F155" s="393"/>
      <c r="G155" s="393"/>
      <c r="H155" s="393"/>
      <c r="I155" s="393"/>
      <c r="J155" s="393"/>
      <c r="K155" s="393"/>
      <c r="L155" s="393"/>
      <c r="M155" s="393"/>
    </row>
    <row r="156">
      <c r="A156" s="393"/>
      <c r="B156" s="408"/>
      <c r="C156" s="408"/>
      <c r="D156" s="408"/>
      <c r="E156" s="393"/>
      <c r="F156" s="393"/>
      <c r="G156" s="393"/>
      <c r="H156" s="393"/>
      <c r="I156" s="393"/>
      <c r="J156" s="393"/>
      <c r="K156" s="393"/>
      <c r="L156" s="393"/>
      <c r="M156" s="393"/>
    </row>
    <row r="157">
      <c r="A157" s="393"/>
      <c r="B157" s="408"/>
      <c r="C157" s="408"/>
      <c r="D157" s="408"/>
      <c r="E157" s="393"/>
      <c r="F157" s="393"/>
      <c r="G157" s="393"/>
      <c r="H157" s="393"/>
      <c r="I157" s="393"/>
      <c r="J157" s="393"/>
      <c r="K157" s="393"/>
      <c r="L157" s="393"/>
      <c r="M157" s="393"/>
    </row>
    <row r="158">
      <c r="A158" s="393"/>
      <c r="B158" s="408"/>
      <c r="C158" s="408"/>
      <c r="D158" s="408"/>
      <c r="E158" s="393"/>
      <c r="F158" s="393"/>
      <c r="G158" s="393"/>
      <c r="H158" s="393"/>
      <c r="I158" s="393"/>
      <c r="J158" s="393"/>
      <c r="K158" s="393"/>
      <c r="L158" s="393"/>
      <c r="M158" s="393"/>
    </row>
    <row r="159">
      <c r="A159" s="393"/>
      <c r="B159" s="408"/>
      <c r="C159" s="408"/>
      <c r="D159" s="408"/>
      <c r="E159" s="393"/>
      <c r="F159" s="393"/>
      <c r="G159" s="393"/>
      <c r="H159" s="393"/>
      <c r="I159" s="393"/>
      <c r="J159" s="393"/>
      <c r="K159" s="393"/>
      <c r="L159" s="393"/>
      <c r="M159" s="393"/>
    </row>
    <row r="160">
      <c r="A160" s="393"/>
      <c r="B160" s="408"/>
      <c r="C160" s="408"/>
      <c r="D160" s="408"/>
      <c r="E160" s="393"/>
      <c r="F160" s="393"/>
      <c r="G160" s="393"/>
      <c r="H160" s="393"/>
      <c r="I160" s="393"/>
      <c r="J160" s="393"/>
      <c r="K160" s="393"/>
      <c r="L160" s="393"/>
      <c r="M160" s="393"/>
    </row>
    <row r="161">
      <c r="A161" s="393"/>
      <c r="B161" s="408"/>
      <c r="C161" s="408"/>
      <c r="D161" s="408"/>
      <c r="E161" s="393"/>
      <c r="F161" s="393"/>
      <c r="G161" s="393"/>
      <c r="H161" s="393"/>
      <c r="I161" s="393"/>
      <c r="J161" s="393"/>
      <c r="K161" s="393"/>
      <c r="L161" s="393"/>
      <c r="M161" s="393"/>
    </row>
    <row r="162">
      <c r="A162" s="393"/>
      <c r="B162" s="408"/>
      <c r="C162" s="408"/>
      <c r="D162" s="408"/>
      <c r="E162" s="393"/>
      <c r="F162" s="393"/>
      <c r="G162" s="393"/>
      <c r="H162" s="393"/>
      <c r="I162" s="393"/>
      <c r="J162" s="393"/>
      <c r="K162" s="393"/>
      <c r="L162" s="393"/>
      <c r="M162" s="393"/>
    </row>
    <row r="163">
      <c r="A163" s="393"/>
      <c r="B163" s="408"/>
      <c r="C163" s="408"/>
      <c r="D163" s="408"/>
      <c r="E163" s="393"/>
      <c r="F163" s="393"/>
      <c r="G163" s="393"/>
      <c r="H163" s="393"/>
      <c r="I163" s="393"/>
      <c r="J163" s="393"/>
      <c r="K163" s="393"/>
      <c r="L163" s="393"/>
      <c r="M163" s="393"/>
    </row>
    <row r="164">
      <c r="A164" s="393"/>
      <c r="B164" s="408"/>
      <c r="C164" s="408"/>
      <c r="D164" s="408"/>
      <c r="E164" s="393"/>
      <c r="F164" s="393"/>
      <c r="G164" s="393"/>
      <c r="H164" s="393"/>
      <c r="I164" s="393"/>
      <c r="J164" s="393"/>
      <c r="K164" s="393"/>
      <c r="L164" s="393"/>
      <c r="M164" s="393"/>
    </row>
    <row r="165">
      <c r="A165" s="393"/>
      <c r="B165" s="408"/>
      <c r="C165" s="408"/>
      <c r="D165" s="408"/>
      <c r="E165" s="393"/>
      <c r="F165" s="393"/>
      <c r="G165" s="393"/>
      <c r="H165" s="393"/>
      <c r="I165" s="393"/>
      <c r="J165" s="393"/>
      <c r="K165" s="393"/>
      <c r="L165" s="393"/>
      <c r="M165" s="393"/>
    </row>
    <row r="166">
      <c r="A166" s="393"/>
      <c r="B166" s="408"/>
      <c r="C166" s="408"/>
      <c r="D166" s="408"/>
      <c r="E166" s="393"/>
      <c r="F166" s="393"/>
      <c r="G166" s="393"/>
      <c r="H166" s="393"/>
      <c r="I166" s="393"/>
      <c r="J166" s="393"/>
      <c r="K166" s="393"/>
      <c r="L166" s="393"/>
      <c r="M166" s="393"/>
    </row>
    <row r="167">
      <c r="A167" s="393"/>
      <c r="B167" s="408"/>
      <c r="C167" s="408"/>
      <c r="D167" s="408"/>
      <c r="E167" s="393"/>
      <c r="F167" s="393"/>
      <c r="G167" s="393"/>
      <c r="H167" s="393"/>
      <c r="I167" s="393"/>
      <c r="J167" s="393"/>
      <c r="K167" s="393"/>
      <c r="L167" s="393"/>
      <c r="M167" s="393"/>
    </row>
    <row r="168">
      <c r="A168" s="393"/>
      <c r="B168" s="408"/>
      <c r="C168" s="408"/>
      <c r="D168" s="408"/>
      <c r="E168" s="393"/>
      <c r="F168" s="393"/>
      <c r="G168" s="393"/>
      <c r="H168" s="393"/>
      <c r="I168" s="393"/>
      <c r="J168" s="393"/>
      <c r="K168" s="393"/>
      <c r="L168" s="393"/>
      <c r="M168" s="393"/>
    </row>
    <row r="169">
      <c r="A169" s="393"/>
      <c r="B169" s="408"/>
      <c r="C169" s="408"/>
      <c r="D169" s="408"/>
      <c r="E169" s="393"/>
      <c r="F169" s="393"/>
      <c r="G169" s="393"/>
      <c r="H169" s="393"/>
      <c r="I169" s="393"/>
      <c r="J169" s="393"/>
      <c r="K169" s="393"/>
      <c r="L169" s="393"/>
      <c r="M169" s="393"/>
    </row>
    <row r="170">
      <c r="A170" s="393"/>
      <c r="B170" s="408"/>
      <c r="C170" s="408"/>
      <c r="D170" s="408"/>
      <c r="E170" s="393"/>
      <c r="F170" s="393"/>
      <c r="G170" s="393"/>
      <c r="H170" s="393"/>
      <c r="I170" s="393"/>
      <c r="J170" s="393"/>
      <c r="K170" s="393"/>
      <c r="L170" s="393"/>
      <c r="M170" s="393"/>
    </row>
    <row r="171">
      <c r="A171" s="393"/>
      <c r="B171" s="408"/>
      <c r="C171" s="408"/>
      <c r="D171" s="408"/>
      <c r="E171" s="393"/>
      <c r="F171" s="393"/>
      <c r="G171" s="393"/>
      <c r="H171" s="393"/>
      <c r="I171" s="393"/>
      <c r="J171" s="393"/>
      <c r="K171" s="393"/>
      <c r="L171" s="393"/>
      <c r="M171" s="393"/>
    </row>
    <row r="172">
      <c r="A172" s="393"/>
      <c r="B172" s="408"/>
      <c r="C172" s="408"/>
      <c r="D172" s="408"/>
      <c r="E172" s="393"/>
      <c r="F172" s="393"/>
      <c r="G172" s="393"/>
      <c r="H172" s="393"/>
      <c r="I172" s="393"/>
      <c r="J172" s="393"/>
      <c r="K172" s="393"/>
      <c r="L172" s="393"/>
      <c r="M172" s="393"/>
    </row>
    <row r="173">
      <c r="A173" s="393"/>
      <c r="B173" s="408"/>
      <c r="C173" s="408"/>
      <c r="D173" s="408"/>
      <c r="E173" s="393"/>
      <c r="F173" s="393"/>
      <c r="G173" s="393"/>
      <c r="H173" s="393"/>
      <c r="I173" s="393"/>
      <c r="J173" s="393"/>
      <c r="K173" s="393"/>
      <c r="L173" s="393"/>
      <c r="M173" s="393"/>
    </row>
    <row r="174">
      <c r="A174" s="393"/>
      <c r="B174" s="408"/>
      <c r="C174" s="408"/>
      <c r="D174" s="408"/>
      <c r="E174" s="393"/>
      <c r="F174" s="393"/>
      <c r="G174" s="393"/>
      <c r="H174" s="393"/>
      <c r="I174" s="393"/>
      <c r="J174" s="393"/>
      <c r="K174" s="393"/>
      <c r="L174" s="393"/>
      <c r="M174" s="393"/>
    </row>
    <row r="175">
      <c r="A175" s="393"/>
      <c r="B175" s="408"/>
      <c r="C175" s="408"/>
      <c r="D175" s="408"/>
      <c r="E175" s="393"/>
      <c r="F175" s="393"/>
      <c r="G175" s="393"/>
      <c r="H175" s="393"/>
      <c r="I175" s="393"/>
      <c r="J175" s="393"/>
      <c r="K175" s="393"/>
      <c r="L175" s="393"/>
      <c r="M175" s="393"/>
    </row>
    <row r="176">
      <c r="A176" s="393"/>
      <c r="B176" s="408"/>
      <c r="C176" s="408"/>
      <c r="D176" s="408"/>
      <c r="E176" s="393"/>
      <c r="F176" s="393"/>
      <c r="G176" s="393"/>
      <c r="H176" s="393"/>
      <c r="I176" s="393"/>
      <c r="J176" s="393"/>
      <c r="K176" s="393"/>
      <c r="L176" s="393"/>
      <c r="M176" s="393"/>
    </row>
    <row r="177">
      <c r="A177" s="393"/>
      <c r="B177" s="408"/>
      <c r="C177" s="408"/>
      <c r="D177" s="408"/>
      <c r="E177" s="393"/>
      <c r="F177" s="393"/>
      <c r="G177" s="393"/>
      <c r="H177" s="393"/>
      <c r="I177" s="393"/>
      <c r="J177" s="393"/>
      <c r="K177" s="393"/>
      <c r="L177" s="393"/>
      <c r="M177" s="393"/>
    </row>
    <row r="178">
      <c r="A178" s="393"/>
      <c r="B178" s="408"/>
      <c r="C178" s="408"/>
      <c r="D178" s="408"/>
      <c r="E178" s="393"/>
      <c r="F178" s="393"/>
      <c r="G178" s="393"/>
      <c r="H178" s="393"/>
      <c r="I178" s="393"/>
      <c r="J178" s="393"/>
      <c r="K178" s="393"/>
      <c r="L178" s="393"/>
      <c r="M178" s="393"/>
    </row>
    <row r="179">
      <c r="A179" s="393"/>
      <c r="B179" s="408"/>
      <c r="C179" s="408"/>
      <c r="D179" s="408"/>
      <c r="E179" s="393"/>
      <c r="F179" s="393"/>
      <c r="G179" s="393"/>
      <c r="H179" s="393"/>
      <c r="I179" s="393"/>
      <c r="J179" s="393"/>
      <c r="K179" s="393"/>
      <c r="L179" s="393"/>
      <c r="M179" s="393"/>
    </row>
    <row r="180">
      <c r="A180" s="393"/>
      <c r="B180" s="408"/>
      <c r="C180" s="408"/>
      <c r="D180" s="408"/>
      <c r="E180" s="393"/>
      <c r="F180" s="393"/>
      <c r="G180" s="393"/>
      <c r="H180" s="393"/>
      <c r="I180" s="393"/>
      <c r="J180" s="393"/>
      <c r="K180" s="393"/>
      <c r="L180" s="393"/>
      <c r="M180" s="393"/>
    </row>
    <row r="181">
      <c r="A181" s="393"/>
      <c r="B181" s="408"/>
      <c r="C181" s="408"/>
      <c r="D181" s="408"/>
      <c r="E181" s="393"/>
      <c r="F181" s="393"/>
      <c r="G181" s="393"/>
      <c r="H181" s="393"/>
      <c r="I181" s="393"/>
      <c r="J181" s="393"/>
      <c r="K181" s="393"/>
      <c r="L181" s="393"/>
      <c r="M181" s="393"/>
    </row>
    <row r="182">
      <c r="A182" s="393"/>
      <c r="B182" s="408"/>
      <c r="C182" s="408"/>
      <c r="D182" s="408"/>
      <c r="E182" s="393"/>
      <c r="F182" s="393"/>
      <c r="G182" s="393"/>
      <c r="H182" s="393"/>
      <c r="I182" s="393"/>
      <c r="J182" s="393"/>
      <c r="K182" s="393"/>
      <c r="L182" s="393"/>
      <c r="M182" s="393"/>
    </row>
    <row r="183">
      <c r="A183" s="393"/>
      <c r="B183" s="408"/>
      <c r="C183" s="408"/>
      <c r="D183" s="408"/>
      <c r="E183" s="393"/>
      <c r="F183" s="393"/>
      <c r="G183" s="393"/>
      <c r="H183" s="393"/>
      <c r="I183" s="393"/>
      <c r="J183" s="393"/>
      <c r="K183" s="393"/>
      <c r="L183" s="393"/>
      <c r="M183" s="393"/>
    </row>
    <row r="184">
      <c r="A184" s="393"/>
      <c r="B184" s="408"/>
      <c r="C184" s="408"/>
      <c r="D184" s="408"/>
      <c r="E184" s="393"/>
      <c r="F184" s="393"/>
      <c r="G184" s="393"/>
      <c r="H184" s="393"/>
      <c r="I184" s="393"/>
      <c r="J184" s="393"/>
      <c r="K184" s="393"/>
      <c r="L184" s="393"/>
      <c r="M184" s="393"/>
    </row>
    <row r="185">
      <c r="A185" s="393"/>
      <c r="B185" s="408"/>
      <c r="C185" s="408"/>
      <c r="D185" s="408"/>
      <c r="E185" s="393"/>
      <c r="F185" s="393"/>
      <c r="G185" s="393"/>
      <c r="H185" s="393"/>
      <c r="I185" s="393"/>
      <c r="J185" s="393"/>
      <c r="K185" s="393"/>
      <c r="L185" s="393"/>
      <c r="M185" s="393"/>
    </row>
    <row r="186">
      <c r="A186" s="393"/>
      <c r="B186" s="408"/>
      <c r="C186" s="408"/>
      <c r="D186" s="408"/>
      <c r="E186" s="393"/>
      <c r="F186" s="393"/>
      <c r="G186" s="393"/>
      <c r="H186" s="393"/>
      <c r="I186" s="393"/>
      <c r="J186" s="393"/>
      <c r="K186" s="393"/>
      <c r="L186" s="393"/>
      <c r="M186" s="393"/>
    </row>
    <row r="187">
      <c r="A187" s="393"/>
      <c r="B187" s="408"/>
      <c r="C187" s="408"/>
      <c r="D187" s="408"/>
      <c r="E187" s="393"/>
      <c r="F187" s="393"/>
      <c r="G187" s="393"/>
      <c r="H187" s="393"/>
      <c r="I187" s="393"/>
      <c r="J187" s="393"/>
      <c r="K187" s="393"/>
      <c r="L187" s="393"/>
      <c r="M187" s="393"/>
    </row>
    <row r="188">
      <c r="A188" s="393"/>
      <c r="B188" s="408"/>
      <c r="C188" s="408"/>
      <c r="D188" s="408"/>
      <c r="E188" s="393"/>
      <c r="F188" s="393"/>
      <c r="G188" s="393"/>
      <c r="H188" s="393"/>
      <c r="I188" s="393"/>
      <c r="J188" s="393"/>
      <c r="K188" s="393"/>
      <c r="L188" s="393"/>
      <c r="M188" s="393"/>
    </row>
    <row r="189">
      <c r="A189" s="393"/>
      <c r="B189" s="408"/>
      <c r="C189" s="408"/>
      <c r="D189" s="408"/>
      <c r="E189" s="393"/>
      <c r="F189" s="393"/>
      <c r="G189" s="393"/>
      <c r="H189" s="393"/>
      <c r="I189" s="393"/>
      <c r="J189" s="393"/>
      <c r="K189" s="393"/>
      <c r="L189" s="393"/>
      <c r="M189" s="393"/>
    </row>
    <row r="190">
      <c r="A190" s="393"/>
      <c r="B190" s="408"/>
      <c r="C190" s="408"/>
      <c r="D190" s="408"/>
      <c r="E190" s="393"/>
      <c r="F190" s="393"/>
      <c r="G190" s="393"/>
      <c r="H190" s="393"/>
      <c r="I190" s="393"/>
      <c r="J190" s="393"/>
      <c r="K190" s="393"/>
      <c r="L190" s="393"/>
      <c r="M190" s="393"/>
    </row>
    <row r="191">
      <c r="A191" s="393"/>
      <c r="B191" s="408"/>
      <c r="C191" s="408"/>
      <c r="D191" s="408"/>
      <c r="E191" s="393"/>
      <c r="F191" s="393"/>
      <c r="G191" s="393"/>
      <c r="H191" s="393"/>
      <c r="I191" s="393"/>
      <c r="J191" s="393"/>
      <c r="K191" s="393"/>
      <c r="L191" s="393"/>
      <c r="M191" s="393"/>
    </row>
    <row r="192">
      <c r="A192" s="393"/>
      <c r="B192" s="408"/>
      <c r="C192" s="408"/>
      <c r="D192" s="408"/>
      <c r="E192" s="393"/>
      <c r="F192" s="393"/>
      <c r="G192" s="393"/>
      <c r="H192" s="393"/>
      <c r="I192" s="393"/>
      <c r="J192" s="393"/>
      <c r="K192" s="393"/>
      <c r="L192" s="393"/>
      <c r="M192" s="393"/>
    </row>
    <row r="193">
      <c r="A193" s="393"/>
      <c r="B193" s="408"/>
      <c r="C193" s="408"/>
      <c r="D193" s="408"/>
      <c r="E193" s="393"/>
      <c r="F193" s="393"/>
      <c r="G193" s="393"/>
      <c r="H193" s="393"/>
      <c r="I193" s="393"/>
      <c r="J193" s="393"/>
      <c r="K193" s="393"/>
      <c r="L193" s="393"/>
      <c r="M193" s="393"/>
    </row>
    <row r="194">
      <c r="A194" s="393"/>
      <c r="B194" s="408"/>
      <c r="C194" s="408"/>
      <c r="D194" s="408"/>
      <c r="E194" s="393"/>
      <c r="F194" s="393"/>
      <c r="G194" s="393"/>
      <c r="H194" s="393"/>
      <c r="I194" s="393"/>
      <c r="J194" s="393"/>
      <c r="K194" s="393"/>
      <c r="L194" s="393"/>
      <c r="M194" s="393"/>
    </row>
    <row r="195">
      <c r="A195" s="393"/>
      <c r="B195" s="408"/>
      <c r="C195" s="408"/>
      <c r="D195" s="408"/>
      <c r="E195" s="393"/>
      <c r="F195" s="393"/>
      <c r="G195" s="393"/>
      <c r="H195" s="393"/>
      <c r="I195" s="393"/>
      <c r="J195" s="393"/>
      <c r="K195" s="393"/>
      <c r="L195" s="393"/>
      <c r="M195" s="393"/>
    </row>
    <row r="196">
      <c r="A196" s="393"/>
      <c r="B196" s="408"/>
      <c r="C196" s="408"/>
      <c r="D196" s="408"/>
      <c r="E196" s="393"/>
      <c r="F196" s="393"/>
      <c r="G196" s="393"/>
      <c r="H196" s="393"/>
      <c r="I196" s="393"/>
      <c r="J196" s="393"/>
      <c r="K196" s="393"/>
      <c r="L196" s="393"/>
      <c r="M196" s="393"/>
    </row>
    <row r="197">
      <c r="A197" s="393"/>
      <c r="B197" s="408"/>
      <c r="C197" s="408"/>
      <c r="D197" s="408"/>
      <c r="E197" s="393"/>
      <c r="F197" s="393"/>
      <c r="G197" s="393"/>
      <c r="H197" s="393"/>
      <c r="I197" s="393"/>
      <c r="J197" s="393"/>
      <c r="K197" s="393"/>
      <c r="L197" s="393"/>
      <c r="M197" s="393"/>
    </row>
    <row r="198">
      <c r="A198" s="393"/>
      <c r="B198" s="408"/>
      <c r="C198" s="408"/>
      <c r="D198" s="408"/>
      <c r="E198" s="393"/>
      <c r="F198" s="393"/>
      <c r="G198" s="393"/>
      <c r="H198" s="393"/>
      <c r="I198" s="393"/>
      <c r="J198" s="393"/>
      <c r="K198" s="393"/>
      <c r="L198" s="393"/>
      <c r="M198" s="393"/>
    </row>
    <row r="199">
      <c r="A199" s="393"/>
      <c r="B199" s="408"/>
      <c r="C199" s="408"/>
      <c r="D199" s="408"/>
      <c r="E199" s="393"/>
      <c r="F199" s="393"/>
      <c r="G199" s="393"/>
      <c r="H199" s="393"/>
      <c r="I199" s="393"/>
      <c r="J199" s="393"/>
      <c r="K199" s="393"/>
      <c r="L199" s="393"/>
      <c r="M199" s="393"/>
    </row>
    <row r="200">
      <c r="A200" s="393"/>
      <c r="B200" s="408"/>
      <c r="C200" s="408"/>
      <c r="D200" s="408"/>
      <c r="E200" s="393"/>
      <c r="F200" s="393"/>
      <c r="G200" s="393"/>
      <c r="H200" s="393"/>
      <c r="I200" s="393"/>
      <c r="J200" s="393"/>
      <c r="K200" s="393"/>
      <c r="L200" s="393"/>
      <c r="M200" s="393"/>
    </row>
    <row r="201">
      <c r="A201" s="393"/>
      <c r="B201" s="408"/>
      <c r="C201" s="408"/>
      <c r="D201" s="408"/>
      <c r="E201" s="393"/>
      <c r="F201" s="393"/>
      <c r="G201" s="393"/>
      <c r="H201" s="393"/>
      <c r="I201" s="393"/>
      <c r="J201" s="393"/>
      <c r="K201" s="393"/>
      <c r="L201" s="393"/>
      <c r="M201" s="393"/>
    </row>
    <row r="202">
      <c r="A202" s="393"/>
      <c r="B202" s="408"/>
      <c r="C202" s="408"/>
      <c r="D202" s="408"/>
      <c r="E202" s="393"/>
      <c r="F202" s="393"/>
      <c r="G202" s="393"/>
      <c r="H202" s="393"/>
      <c r="I202" s="393"/>
      <c r="J202" s="393"/>
      <c r="K202" s="393"/>
      <c r="L202" s="393"/>
      <c r="M202" s="393"/>
    </row>
    <row r="203">
      <c r="A203" s="393"/>
      <c r="B203" s="408"/>
      <c r="C203" s="408"/>
      <c r="D203" s="408"/>
      <c r="E203" s="393"/>
      <c r="F203" s="393"/>
      <c r="G203" s="393"/>
      <c r="H203" s="393"/>
      <c r="I203" s="393"/>
      <c r="J203" s="393"/>
      <c r="K203" s="393"/>
      <c r="L203" s="393"/>
      <c r="M203" s="393"/>
    </row>
    <row r="204">
      <c r="A204" s="393"/>
      <c r="B204" s="408"/>
      <c r="C204" s="408"/>
      <c r="D204" s="408"/>
      <c r="E204" s="393"/>
      <c r="F204" s="393"/>
      <c r="G204" s="393"/>
      <c r="H204" s="393"/>
      <c r="I204" s="393"/>
      <c r="J204" s="393"/>
      <c r="K204" s="393"/>
      <c r="L204" s="393"/>
      <c r="M204" s="393"/>
    </row>
    <row r="205">
      <c r="A205" s="393"/>
      <c r="B205" s="408"/>
      <c r="C205" s="408"/>
      <c r="D205" s="408"/>
      <c r="E205" s="393"/>
      <c r="F205" s="393"/>
      <c r="G205" s="393"/>
      <c r="H205" s="393"/>
      <c r="I205" s="393"/>
      <c r="J205" s="393"/>
      <c r="K205" s="393"/>
      <c r="L205" s="393"/>
      <c r="M205" s="393"/>
    </row>
    <row r="206">
      <c r="A206" s="393"/>
      <c r="B206" s="408"/>
      <c r="C206" s="408"/>
      <c r="D206" s="408"/>
      <c r="E206" s="393"/>
      <c r="F206" s="393"/>
      <c r="G206" s="393"/>
      <c r="H206" s="393"/>
      <c r="I206" s="393"/>
      <c r="J206" s="393"/>
      <c r="K206" s="393"/>
      <c r="L206" s="393"/>
      <c r="M206" s="393"/>
    </row>
    <row r="207">
      <c r="A207" s="393"/>
      <c r="B207" s="408"/>
      <c r="C207" s="408"/>
      <c r="D207" s="408"/>
      <c r="E207" s="393"/>
      <c r="F207" s="393"/>
      <c r="G207" s="393"/>
      <c r="H207" s="393"/>
      <c r="I207" s="393"/>
      <c r="J207" s="393"/>
      <c r="K207" s="393"/>
      <c r="L207" s="393"/>
      <c r="M207" s="393"/>
    </row>
    <row r="208">
      <c r="A208" s="393"/>
      <c r="B208" s="408"/>
      <c r="C208" s="408"/>
      <c r="D208" s="408"/>
      <c r="E208" s="393"/>
      <c r="F208" s="393"/>
      <c r="G208" s="393"/>
      <c r="H208" s="393"/>
      <c r="I208" s="393"/>
      <c r="J208" s="393"/>
      <c r="K208" s="393"/>
      <c r="L208" s="393"/>
      <c r="M208" s="393"/>
    </row>
    <row r="209">
      <c r="A209" s="393"/>
      <c r="B209" s="408"/>
      <c r="C209" s="408"/>
      <c r="D209" s="408"/>
      <c r="E209" s="393"/>
      <c r="F209" s="393"/>
      <c r="G209" s="393"/>
      <c r="H209" s="393"/>
      <c r="I209" s="393"/>
      <c r="J209" s="393"/>
      <c r="K209" s="393"/>
      <c r="L209" s="393"/>
      <c r="M209" s="393"/>
    </row>
    <row r="210">
      <c r="A210" s="393"/>
      <c r="B210" s="408"/>
      <c r="C210" s="408"/>
      <c r="D210" s="408"/>
      <c r="E210" s="393"/>
      <c r="F210" s="393"/>
      <c r="G210" s="393"/>
      <c r="H210" s="393"/>
      <c r="I210" s="393"/>
      <c r="J210" s="393"/>
      <c r="K210" s="393"/>
      <c r="L210" s="393"/>
      <c r="M210" s="393"/>
    </row>
    <row r="211">
      <c r="A211" s="393"/>
      <c r="B211" s="408"/>
      <c r="C211" s="408"/>
      <c r="D211" s="408"/>
      <c r="E211" s="393"/>
      <c r="F211" s="393"/>
      <c r="G211" s="393"/>
      <c r="H211" s="393"/>
      <c r="I211" s="393"/>
      <c r="J211" s="393"/>
      <c r="K211" s="393"/>
      <c r="L211" s="393"/>
      <c r="M211" s="393"/>
    </row>
    <row r="212">
      <c r="A212" s="393"/>
      <c r="B212" s="408"/>
      <c r="C212" s="408"/>
      <c r="D212" s="408"/>
      <c r="E212" s="393"/>
      <c r="F212" s="393"/>
      <c r="G212" s="393"/>
      <c r="H212" s="393"/>
      <c r="I212" s="393"/>
      <c r="J212" s="393"/>
      <c r="K212" s="393"/>
      <c r="L212" s="393"/>
      <c r="M212" s="393"/>
    </row>
    <row r="213">
      <c r="A213" s="393"/>
      <c r="B213" s="408"/>
      <c r="C213" s="408"/>
      <c r="D213" s="408"/>
      <c r="E213" s="393"/>
      <c r="F213" s="393"/>
      <c r="G213" s="393"/>
      <c r="H213" s="393"/>
      <c r="I213" s="393"/>
      <c r="J213" s="393"/>
      <c r="K213" s="393"/>
      <c r="L213" s="393"/>
      <c r="M213" s="393"/>
    </row>
    <row r="214">
      <c r="A214" s="393"/>
      <c r="B214" s="408"/>
      <c r="C214" s="408"/>
      <c r="D214" s="408"/>
      <c r="E214" s="393"/>
      <c r="F214" s="393"/>
      <c r="G214" s="393"/>
      <c r="H214" s="393"/>
      <c r="I214" s="393"/>
      <c r="J214" s="393"/>
      <c r="K214" s="393"/>
      <c r="L214" s="393"/>
      <c r="M214" s="393"/>
    </row>
    <row r="215">
      <c r="A215" s="393"/>
      <c r="B215" s="408"/>
      <c r="C215" s="408"/>
      <c r="D215" s="408"/>
      <c r="E215" s="393"/>
      <c r="F215" s="393"/>
      <c r="G215" s="393"/>
      <c r="H215" s="393"/>
      <c r="I215" s="393"/>
      <c r="J215" s="393"/>
      <c r="K215" s="393"/>
      <c r="L215" s="393"/>
      <c r="M215" s="393"/>
    </row>
    <row r="216">
      <c r="A216" s="393"/>
      <c r="B216" s="408"/>
      <c r="C216" s="408"/>
      <c r="D216" s="408"/>
      <c r="E216" s="393"/>
      <c r="F216" s="393"/>
      <c r="G216" s="393"/>
      <c r="H216" s="393"/>
      <c r="I216" s="393"/>
      <c r="J216" s="393"/>
      <c r="K216" s="393"/>
      <c r="L216" s="393"/>
      <c r="M216" s="393"/>
    </row>
    <row r="217">
      <c r="A217" s="393"/>
      <c r="B217" s="408"/>
      <c r="C217" s="408"/>
      <c r="D217" s="408"/>
      <c r="E217" s="393"/>
      <c r="F217" s="393"/>
      <c r="G217" s="393"/>
      <c r="H217" s="393"/>
      <c r="I217" s="393"/>
      <c r="J217" s="393"/>
      <c r="K217" s="393"/>
      <c r="L217" s="393"/>
      <c r="M217" s="393"/>
    </row>
    <row r="218">
      <c r="A218" s="393"/>
      <c r="B218" s="408"/>
      <c r="C218" s="408"/>
      <c r="D218" s="408"/>
      <c r="E218" s="393"/>
      <c r="F218" s="393"/>
      <c r="G218" s="393"/>
      <c r="H218" s="393"/>
      <c r="I218" s="393"/>
      <c r="J218" s="393"/>
      <c r="K218" s="393"/>
      <c r="L218" s="393"/>
      <c r="M218" s="393"/>
    </row>
    <row r="219">
      <c r="A219" s="393"/>
      <c r="B219" s="408"/>
      <c r="C219" s="408"/>
      <c r="D219" s="408"/>
      <c r="E219" s="393"/>
      <c r="F219" s="393"/>
      <c r="G219" s="393"/>
      <c r="H219" s="393"/>
      <c r="I219" s="393"/>
      <c r="J219" s="393"/>
      <c r="K219" s="393"/>
      <c r="L219" s="393"/>
      <c r="M219" s="393"/>
    </row>
    <row r="220">
      <c r="A220" s="393"/>
      <c r="B220" s="408"/>
      <c r="C220" s="408"/>
      <c r="D220" s="408"/>
      <c r="E220" s="393"/>
      <c r="F220" s="393"/>
      <c r="G220" s="393"/>
      <c r="H220" s="393"/>
      <c r="I220" s="393"/>
      <c r="J220" s="393"/>
      <c r="K220" s="393"/>
      <c r="L220" s="393"/>
      <c r="M220" s="393"/>
    </row>
    <row r="221">
      <c r="A221" s="393"/>
      <c r="B221" s="408"/>
      <c r="C221" s="408"/>
      <c r="D221" s="408"/>
      <c r="E221" s="393"/>
      <c r="F221" s="393"/>
      <c r="G221" s="393"/>
      <c r="H221" s="393"/>
      <c r="I221" s="393"/>
      <c r="J221" s="393"/>
      <c r="K221" s="393"/>
      <c r="L221" s="393"/>
      <c r="M221" s="393"/>
    </row>
    <row r="222">
      <c r="A222" s="393"/>
      <c r="B222" s="408"/>
      <c r="C222" s="408"/>
      <c r="D222" s="408"/>
      <c r="E222" s="393"/>
      <c r="F222" s="393"/>
      <c r="G222" s="393"/>
      <c r="H222" s="393"/>
      <c r="I222" s="393"/>
      <c r="J222" s="393"/>
      <c r="K222" s="393"/>
      <c r="L222" s="393"/>
      <c r="M222" s="393"/>
    </row>
    <row r="223">
      <c r="A223" s="393"/>
      <c r="B223" s="408"/>
      <c r="C223" s="408"/>
      <c r="D223" s="408"/>
      <c r="E223" s="393"/>
      <c r="F223" s="393"/>
      <c r="G223" s="393"/>
      <c r="H223" s="393"/>
      <c r="I223" s="393"/>
      <c r="J223" s="393"/>
      <c r="K223" s="393"/>
      <c r="L223" s="393"/>
      <c r="M223" s="393"/>
    </row>
    <row r="224">
      <c r="A224" s="393"/>
      <c r="B224" s="408"/>
      <c r="C224" s="408"/>
      <c r="D224" s="408"/>
      <c r="E224" s="393"/>
      <c r="F224" s="393"/>
      <c r="G224" s="393"/>
      <c r="H224" s="393"/>
      <c r="I224" s="393"/>
      <c r="J224" s="393"/>
      <c r="K224" s="393"/>
      <c r="L224" s="393"/>
      <c r="M224" s="393"/>
    </row>
    <row r="225">
      <c r="A225" s="393"/>
      <c r="B225" s="408"/>
      <c r="C225" s="408"/>
      <c r="D225" s="408"/>
      <c r="E225" s="393"/>
      <c r="F225" s="393"/>
      <c r="G225" s="393"/>
      <c r="H225" s="393"/>
      <c r="I225" s="393"/>
      <c r="J225" s="393"/>
      <c r="K225" s="393"/>
      <c r="L225" s="393"/>
      <c r="M225" s="393"/>
    </row>
    <row r="226">
      <c r="A226" s="393"/>
      <c r="B226" s="408"/>
      <c r="C226" s="408"/>
      <c r="D226" s="408"/>
      <c r="E226" s="393"/>
      <c r="F226" s="393"/>
      <c r="G226" s="393"/>
      <c r="H226" s="393"/>
      <c r="I226" s="393"/>
      <c r="J226" s="393"/>
      <c r="K226" s="393"/>
      <c r="L226" s="393"/>
      <c r="M226" s="393"/>
    </row>
    <row r="227">
      <c r="A227" s="393"/>
      <c r="B227" s="408"/>
      <c r="C227" s="408"/>
      <c r="D227" s="408"/>
      <c r="E227" s="393"/>
      <c r="F227" s="393"/>
      <c r="G227" s="393"/>
      <c r="H227" s="393"/>
      <c r="I227" s="393"/>
      <c r="J227" s="393"/>
      <c r="K227" s="393"/>
      <c r="L227" s="393"/>
      <c r="M227" s="393"/>
    </row>
    <row r="228">
      <c r="A228" s="393"/>
      <c r="B228" s="408"/>
      <c r="C228" s="408"/>
      <c r="D228" s="408"/>
      <c r="E228" s="393"/>
      <c r="F228" s="393"/>
      <c r="G228" s="393"/>
      <c r="H228" s="393"/>
      <c r="I228" s="393"/>
      <c r="J228" s="393"/>
      <c r="K228" s="393"/>
      <c r="L228" s="393"/>
      <c r="M228" s="393"/>
    </row>
    <row r="229">
      <c r="A229" s="393"/>
      <c r="B229" s="408"/>
      <c r="C229" s="408"/>
      <c r="D229" s="408"/>
      <c r="E229" s="393"/>
      <c r="F229" s="393"/>
      <c r="G229" s="393"/>
      <c r="H229" s="393"/>
      <c r="I229" s="393"/>
      <c r="J229" s="393"/>
      <c r="K229" s="393"/>
      <c r="L229" s="393"/>
      <c r="M229" s="393"/>
    </row>
    <row r="230">
      <c r="A230" s="393"/>
      <c r="B230" s="408"/>
      <c r="C230" s="408"/>
      <c r="D230" s="408"/>
      <c r="E230" s="393"/>
      <c r="F230" s="393"/>
      <c r="G230" s="393"/>
      <c r="H230" s="393"/>
      <c r="I230" s="393"/>
      <c r="J230" s="393"/>
      <c r="K230" s="393"/>
      <c r="L230" s="393"/>
      <c r="M230" s="393"/>
    </row>
    <row r="231">
      <c r="A231" s="393"/>
      <c r="B231" s="408"/>
      <c r="C231" s="408"/>
      <c r="D231" s="408"/>
      <c r="E231" s="393"/>
      <c r="F231" s="393"/>
      <c r="G231" s="393"/>
      <c r="H231" s="393"/>
      <c r="I231" s="393"/>
      <c r="J231" s="393"/>
      <c r="K231" s="393"/>
      <c r="L231" s="393"/>
      <c r="M231" s="393"/>
    </row>
    <row r="232">
      <c r="A232" s="393"/>
      <c r="B232" s="408"/>
      <c r="C232" s="408"/>
      <c r="D232" s="408"/>
      <c r="E232" s="393"/>
      <c r="F232" s="393"/>
      <c r="G232" s="393"/>
      <c r="H232" s="393"/>
      <c r="I232" s="393"/>
      <c r="J232" s="393"/>
      <c r="K232" s="393"/>
      <c r="L232" s="393"/>
      <c r="M232" s="393"/>
    </row>
    <row r="233">
      <c r="A233" s="393"/>
      <c r="B233" s="408"/>
      <c r="C233" s="408"/>
      <c r="D233" s="408"/>
      <c r="E233" s="393"/>
      <c r="F233" s="393"/>
      <c r="G233" s="393"/>
      <c r="H233" s="393"/>
      <c r="I233" s="393"/>
      <c r="J233" s="393"/>
      <c r="K233" s="393"/>
      <c r="L233" s="393"/>
      <c r="M233" s="393"/>
    </row>
    <row r="234">
      <c r="A234" s="393"/>
      <c r="B234" s="408"/>
      <c r="C234" s="408"/>
      <c r="D234" s="408"/>
      <c r="E234" s="393"/>
      <c r="F234" s="393"/>
      <c r="G234" s="393"/>
      <c r="H234" s="393"/>
      <c r="I234" s="393"/>
      <c r="J234" s="393"/>
      <c r="K234" s="393"/>
      <c r="L234" s="393"/>
      <c r="M234" s="393"/>
    </row>
    <row r="235">
      <c r="A235" s="393"/>
      <c r="B235" s="408"/>
      <c r="C235" s="408"/>
      <c r="D235" s="408"/>
      <c r="E235" s="393"/>
      <c r="F235" s="393"/>
      <c r="G235" s="393"/>
      <c r="H235" s="393"/>
      <c r="I235" s="393"/>
      <c r="J235" s="393"/>
      <c r="K235" s="393"/>
      <c r="L235" s="393"/>
      <c r="M235" s="393"/>
    </row>
    <row r="236">
      <c r="A236" s="393"/>
      <c r="B236" s="408"/>
      <c r="C236" s="408"/>
      <c r="D236" s="408"/>
      <c r="E236" s="393"/>
      <c r="F236" s="393"/>
      <c r="G236" s="393"/>
      <c r="H236" s="393"/>
      <c r="I236" s="393"/>
      <c r="J236" s="393"/>
      <c r="K236" s="393"/>
      <c r="L236" s="393"/>
      <c r="M236" s="393"/>
    </row>
    <row r="237">
      <c r="A237" s="393"/>
      <c r="B237" s="408"/>
      <c r="C237" s="408"/>
      <c r="D237" s="408"/>
      <c r="E237" s="393"/>
      <c r="F237" s="393"/>
      <c r="G237" s="393"/>
      <c r="H237" s="393"/>
      <c r="I237" s="393"/>
      <c r="J237" s="393"/>
      <c r="K237" s="393"/>
      <c r="L237" s="393"/>
      <c r="M237" s="393"/>
    </row>
    <row r="238">
      <c r="A238" s="393"/>
      <c r="B238" s="408"/>
      <c r="C238" s="408"/>
      <c r="D238" s="408"/>
      <c r="E238" s="393"/>
      <c r="F238" s="393"/>
      <c r="G238" s="393"/>
      <c r="H238" s="393"/>
      <c r="I238" s="393"/>
      <c r="J238" s="393"/>
      <c r="K238" s="393"/>
      <c r="L238" s="393"/>
      <c r="M238" s="393"/>
    </row>
    <row r="239">
      <c r="A239" s="393"/>
      <c r="B239" s="408"/>
      <c r="C239" s="408"/>
      <c r="D239" s="408"/>
      <c r="E239" s="393"/>
      <c r="F239" s="393"/>
      <c r="G239" s="393"/>
      <c r="H239" s="393"/>
      <c r="I239" s="393"/>
      <c r="J239" s="393"/>
      <c r="K239" s="393"/>
      <c r="L239" s="393"/>
      <c r="M239" s="393"/>
    </row>
    <row r="240">
      <c r="A240" s="393"/>
      <c r="B240" s="408"/>
      <c r="C240" s="408"/>
      <c r="D240" s="408"/>
      <c r="E240" s="393"/>
      <c r="F240" s="393"/>
      <c r="G240" s="393"/>
      <c r="H240" s="393"/>
      <c r="I240" s="393"/>
      <c r="J240" s="393"/>
      <c r="K240" s="393"/>
      <c r="L240" s="393"/>
      <c r="M240" s="393"/>
    </row>
    <row r="241">
      <c r="A241" s="393"/>
      <c r="B241" s="408"/>
      <c r="C241" s="408"/>
      <c r="D241" s="408"/>
      <c r="E241" s="393"/>
      <c r="F241" s="393"/>
      <c r="G241" s="393"/>
      <c r="H241" s="393"/>
      <c r="I241" s="393"/>
      <c r="J241" s="393"/>
      <c r="K241" s="393"/>
      <c r="L241" s="393"/>
      <c r="M241" s="393"/>
    </row>
    <row r="242">
      <c r="A242" s="393"/>
      <c r="B242" s="408"/>
      <c r="C242" s="408"/>
      <c r="D242" s="408"/>
      <c r="E242" s="393"/>
      <c r="F242" s="393"/>
      <c r="G242" s="393"/>
      <c r="H242" s="393"/>
      <c r="I242" s="393"/>
      <c r="J242" s="393"/>
      <c r="K242" s="393"/>
      <c r="L242" s="393"/>
      <c r="M242" s="393"/>
    </row>
    <row r="243">
      <c r="A243" s="393"/>
      <c r="B243" s="408"/>
      <c r="C243" s="408"/>
      <c r="D243" s="408"/>
      <c r="E243" s="393"/>
      <c r="F243" s="393"/>
      <c r="G243" s="393"/>
      <c r="H243" s="393"/>
      <c r="I243" s="393"/>
      <c r="J243" s="393"/>
      <c r="K243" s="393"/>
      <c r="L243" s="393"/>
      <c r="M243" s="393"/>
    </row>
    <row r="244">
      <c r="A244" s="393"/>
      <c r="B244" s="408"/>
      <c r="C244" s="408"/>
      <c r="D244" s="408"/>
      <c r="E244" s="393"/>
      <c r="F244" s="393"/>
      <c r="G244" s="393"/>
      <c r="H244" s="393"/>
      <c r="I244" s="393"/>
      <c r="J244" s="393"/>
      <c r="K244" s="393"/>
      <c r="L244" s="393"/>
      <c r="M244" s="393"/>
    </row>
    <row r="245">
      <c r="A245" s="393"/>
      <c r="B245" s="408"/>
      <c r="C245" s="408"/>
      <c r="D245" s="408"/>
      <c r="E245" s="393"/>
      <c r="F245" s="393"/>
      <c r="G245" s="393"/>
      <c r="H245" s="393"/>
      <c r="I245" s="393"/>
      <c r="J245" s="393"/>
      <c r="K245" s="393"/>
      <c r="L245" s="393"/>
      <c r="M245" s="393"/>
    </row>
    <row r="246">
      <c r="A246" s="393"/>
      <c r="B246" s="408"/>
      <c r="C246" s="408"/>
      <c r="D246" s="408"/>
      <c r="E246" s="393"/>
      <c r="F246" s="393"/>
      <c r="G246" s="393"/>
      <c r="H246" s="393"/>
      <c r="I246" s="393"/>
      <c r="J246" s="393"/>
      <c r="K246" s="393"/>
      <c r="L246" s="393"/>
      <c r="M246" s="393"/>
    </row>
    <row r="247">
      <c r="A247" s="393"/>
      <c r="B247" s="408"/>
      <c r="C247" s="408"/>
      <c r="D247" s="408"/>
      <c r="E247" s="393"/>
      <c r="F247" s="393"/>
      <c r="G247" s="393"/>
      <c r="H247" s="393"/>
      <c r="I247" s="393"/>
      <c r="J247" s="393"/>
      <c r="K247" s="393"/>
      <c r="L247" s="393"/>
      <c r="M247" s="393"/>
    </row>
    <row r="248">
      <c r="A248" s="393"/>
      <c r="B248" s="408"/>
      <c r="C248" s="408"/>
      <c r="D248" s="408"/>
      <c r="E248" s="393"/>
      <c r="F248" s="393"/>
      <c r="G248" s="393"/>
      <c r="H248" s="393"/>
      <c r="I248" s="393"/>
      <c r="J248" s="393"/>
      <c r="K248" s="393"/>
      <c r="L248" s="393"/>
      <c r="M248" s="393"/>
    </row>
    <row r="249">
      <c r="A249" s="393"/>
      <c r="B249" s="408"/>
      <c r="C249" s="408"/>
      <c r="D249" s="408"/>
      <c r="E249" s="393"/>
      <c r="F249" s="393"/>
      <c r="G249" s="393"/>
      <c r="H249" s="393"/>
      <c r="I249" s="393"/>
      <c r="J249" s="393"/>
      <c r="K249" s="393"/>
      <c r="L249" s="393"/>
      <c r="M249" s="393"/>
    </row>
    <row r="250">
      <c r="A250" s="393"/>
      <c r="B250" s="408"/>
      <c r="C250" s="408"/>
      <c r="D250" s="408"/>
      <c r="E250" s="393"/>
      <c r="F250" s="393"/>
      <c r="G250" s="393"/>
      <c r="H250" s="393"/>
      <c r="I250" s="393"/>
      <c r="J250" s="393"/>
      <c r="K250" s="393"/>
      <c r="L250" s="393"/>
      <c r="M250" s="393"/>
    </row>
    <row r="251">
      <c r="A251" s="393"/>
      <c r="B251" s="408"/>
      <c r="C251" s="408"/>
      <c r="D251" s="408"/>
      <c r="E251" s="393"/>
      <c r="F251" s="393"/>
      <c r="G251" s="393"/>
      <c r="H251" s="393"/>
      <c r="I251" s="393"/>
      <c r="J251" s="393"/>
      <c r="K251" s="393"/>
      <c r="L251" s="393"/>
      <c r="M251" s="393"/>
    </row>
    <row r="252">
      <c r="A252" s="393"/>
      <c r="B252" s="408"/>
      <c r="C252" s="408"/>
      <c r="D252" s="408"/>
      <c r="E252" s="393"/>
      <c r="F252" s="393"/>
      <c r="G252" s="393"/>
      <c r="H252" s="393"/>
      <c r="I252" s="393"/>
      <c r="J252" s="393"/>
      <c r="K252" s="393"/>
      <c r="L252" s="393"/>
      <c r="M252" s="393"/>
    </row>
    <row r="253">
      <c r="A253" s="393"/>
      <c r="B253" s="408"/>
      <c r="C253" s="408"/>
      <c r="D253" s="408"/>
      <c r="E253" s="393"/>
      <c r="F253" s="393"/>
      <c r="G253" s="393"/>
      <c r="H253" s="393"/>
      <c r="I253" s="393"/>
      <c r="J253" s="393"/>
      <c r="K253" s="393"/>
      <c r="L253" s="393"/>
      <c r="M253" s="393"/>
    </row>
    <row r="254">
      <c r="A254" s="393"/>
      <c r="B254" s="408"/>
      <c r="C254" s="408"/>
      <c r="D254" s="408"/>
      <c r="E254" s="393"/>
      <c r="F254" s="393"/>
      <c r="G254" s="393"/>
      <c r="H254" s="393"/>
      <c r="I254" s="393"/>
      <c r="J254" s="393"/>
      <c r="K254" s="393"/>
      <c r="L254" s="393"/>
      <c r="M254" s="393"/>
    </row>
    <row r="255">
      <c r="A255" s="393"/>
      <c r="B255" s="408"/>
      <c r="C255" s="408"/>
      <c r="D255" s="408"/>
      <c r="E255" s="393"/>
      <c r="F255" s="393"/>
      <c r="G255" s="393"/>
      <c r="H255" s="393"/>
      <c r="I255" s="393"/>
      <c r="J255" s="393"/>
      <c r="K255" s="393"/>
      <c r="L255" s="393"/>
      <c r="M255" s="393"/>
    </row>
    <row r="256">
      <c r="A256" s="393"/>
      <c r="B256" s="408"/>
      <c r="C256" s="408"/>
      <c r="D256" s="408"/>
      <c r="E256" s="393"/>
      <c r="F256" s="393"/>
      <c r="G256" s="393"/>
      <c r="H256" s="393"/>
      <c r="I256" s="393"/>
      <c r="J256" s="393"/>
      <c r="K256" s="393"/>
      <c r="L256" s="393"/>
      <c r="M256" s="393"/>
    </row>
    <row r="257">
      <c r="A257" s="393"/>
      <c r="B257" s="408"/>
      <c r="C257" s="408"/>
      <c r="D257" s="408"/>
      <c r="E257" s="393"/>
      <c r="F257" s="393"/>
      <c r="G257" s="393"/>
      <c r="H257" s="393"/>
      <c r="I257" s="393"/>
      <c r="J257" s="393"/>
      <c r="K257" s="393"/>
      <c r="L257" s="393"/>
      <c r="M257" s="393"/>
    </row>
    <row r="258">
      <c r="A258" s="393"/>
      <c r="B258" s="408"/>
      <c r="C258" s="408"/>
      <c r="D258" s="408"/>
      <c r="E258" s="393"/>
      <c r="F258" s="393"/>
      <c r="G258" s="393"/>
      <c r="H258" s="393"/>
      <c r="I258" s="393"/>
      <c r="J258" s="393"/>
      <c r="K258" s="393"/>
      <c r="L258" s="393"/>
      <c r="M258" s="393"/>
    </row>
    <row r="259">
      <c r="A259" s="393"/>
      <c r="B259" s="408"/>
      <c r="C259" s="408"/>
      <c r="D259" s="408"/>
      <c r="E259" s="393"/>
      <c r="F259" s="393"/>
      <c r="G259" s="393"/>
      <c r="H259" s="393"/>
      <c r="I259" s="393"/>
      <c r="J259" s="393"/>
      <c r="K259" s="393"/>
      <c r="L259" s="393"/>
      <c r="M259" s="393"/>
    </row>
    <row r="260">
      <c r="A260" s="393"/>
      <c r="B260" s="408"/>
      <c r="C260" s="408"/>
      <c r="D260" s="408"/>
      <c r="E260" s="393"/>
      <c r="F260" s="393"/>
      <c r="G260" s="393"/>
      <c r="H260" s="393"/>
      <c r="I260" s="393"/>
      <c r="J260" s="393"/>
      <c r="K260" s="393"/>
      <c r="L260" s="393"/>
      <c r="M260" s="393"/>
    </row>
    <row r="261">
      <c r="A261" s="393"/>
      <c r="B261" s="408"/>
      <c r="C261" s="408"/>
      <c r="D261" s="408"/>
      <c r="E261" s="393"/>
      <c r="F261" s="393"/>
      <c r="G261" s="393"/>
      <c r="H261" s="393"/>
      <c r="I261" s="393"/>
      <c r="J261" s="393"/>
      <c r="K261" s="393"/>
      <c r="L261" s="393"/>
      <c r="M261" s="393"/>
    </row>
    <row r="262">
      <c r="A262" s="393"/>
      <c r="B262" s="408"/>
      <c r="C262" s="408"/>
      <c r="D262" s="408"/>
      <c r="E262" s="393"/>
      <c r="F262" s="393"/>
      <c r="G262" s="393"/>
      <c r="H262" s="393"/>
      <c r="I262" s="393"/>
      <c r="J262" s="393"/>
      <c r="K262" s="393"/>
      <c r="L262" s="393"/>
      <c r="M262" s="393"/>
    </row>
    <row r="263">
      <c r="A263" s="393"/>
      <c r="B263" s="408"/>
      <c r="C263" s="408"/>
      <c r="D263" s="408"/>
      <c r="E263" s="393"/>
      <c r="F263" s="393"/>
      <c r="G263" s="393"/>
      <c r="H263" s="393"/>
      <c r="I263" s="393"/>
      <c r="J263" s="393"/>
      <c r="K263" s="393"/>
      <c r="L263" s="393"/>
      <c r="M263" s="393"/>
    </row>
    <row r="264">
      <c r="A264" s="393"/>
      <c r="B264" s="408"/>
      <c r="C264" s="408"/>
      <c r="D264" s="408"/>
      <c r="E264" s="393"/>
      <c r="F264" s="393"/>
      <c r="G264" s="393"/>
      <c r="H264" s="393"/>
      <c r="I264" s="393"/>
      <c r="J264" s="393"/>
      <c r="K264" s="393"/>
      <c r="L264" s="393"/>
      <c r="M264" s="393"/>
    </row>
    <row r="265">
      <c r="A265" s="393"/>
      <c r="B265" s="408"/>
      <c r="C265" s="408"/>
      <c r="D265" s="408"/>
      <c r="E265" s="393"/>
      <c r="F265" s="393"/>
      <c r="G265" s="393"/>
      <c r="H265" s="393"/>
      <c r="I265" s="393"/>
      <c r="J265" s="393"/>
      <c r="K265" s="393"/>
      <c r="L265" s="393"/>
      <c r="M265" s="393"/>
    </row>
    <row r="266">
      <c r="A266" s="393"/>
      <c r="B266" s="408"/>
      <c r="C266" s="408"/>
      <c r="D266" s="408"/>
      <c r="E266" s="393"/>
      <c r="F266" s="393"/>
      <c r="G266" s="393"/>
      <c r="H266" s="393"/>
      <c r="I266" s="393"/>
      <c r="J266" s="393"/>
      <c r="K266" s="393"/>
      <c r="L266" s="393"/>
      <c r="M266" s="393"/>
    </row>
    <row r="267">
      <c r="A267" s="393"/>
      <c r="B267" s="408"/>
      <c r="C267" s="408"/>
      <c r="D267" s="408"/>
      <c r="E267" s="393"/>
      <c r="F267" s="393"/>
      <c r="G267" s="393"/>
      <c r="H267" s="393"/>
      <c r="I267" s="393"/>
      <c r="J267" s="393"/>
      <c r="K267" s="393"/>
      <c r="L267" s="393"/>
      <c r="M267" s="393"/>
    </row>
    <row r="268">
      <c r="A268" s="393"/>
      <c r="B268" s="408"/>
      <c r="C268" s="408"/>
      <c r="D268" s="408"/>
      <c r="E268" s="393"/>
      <c r="F268" s="393"/>
      <c r="G268" s="393"/>
      <c r="H268" s="393"/>
      <c r="I268" s="393"/>
      <c r="J268" s="393"/>
      <c r="K268" s="393"/>
      <c r="L268" s="393"/>
      <c r="M268" s="393"/>
    </row>
    <row r="269">
      <c r="A269" s="393"/>
      <c r="B269" s="408"/>
      <c r="C269" s="408"/>
      <c r="D269" s="408"/>
      <c r="E269" s="393"/>
      <c r="F269" s="393"/>
      <c r="G269" s="393"/>
      <c r="H269" s="393"/>
      <c r="I269" s="393"/>
      <c r="J269" s="393"/>
      <c r="K269" s="393"/>
      <c r="L269" s="393"/>
      <c r="M269" s="393"/>
    </row>
    <row r="270">
      <c r="A270" s="393"/>
      <c r="B270" s="408"/>
      <c r="C270" s="408"/>
      <c r="D270" s="408"/>
      <c r="E270" s="393"/>
      <c r="F270" s="393"/>
      <c r="G270" s="393"/>
      <c r="H270" s="393"/>
      <c r="I270" s="393"/>
      <c r="J270" s="393"/>
      <c r="K270" s="393"/>
      <c r="L270" s="393"/>
      <c r="M270" s="393"/>
    </row>
    <row r="271">
      <c r="A271" s="393"/>
      <c r="B271" s="408"/>
      <c r="C271" s="408"/>
      <c r="D271" s="408"/>
      <c r="E271" s="393"/>
      <c r="F271" s="393"/>
      <c r="G271" s="393"/>
      <c r="H271" s="393"/>
      <c r="I271" s="393"/>
      <c r="J271" s="393"/>
      <c r="K271" s="393"/>
      <c r="L271" s="393"/>
      <c r="M271" s="393"/>
    </row>
    <row r="272">
      <c r="A272" s="393"/>
      <c r="B272" s="408"/>
      <c r="C272" s="408"/>
      <c r="D272" s="408"/>
      <c r="E272" s="393"/>
      <c r="F272" s="393"/>
      <c r="G272" s="393"/>
      <c r="H272" s="393"/>
      <c r="I272" s="393"/>
      <c r="J272" s="393"/>
      <c r="K272" s="393"/>
      <c r="L272" s="393"/>
      <c r="M272" s="393"/>
    </row>
    <row r="273">
      <c r="A273" s="393"/>
      <c r="B273" s="408"/>
      <c r="C273" s="408"/>
      <c r="D273" s="408"/>
      <c r="E273" s="393"/>
      <c r="F273" s="393"/>
      <c r="G273" s="393"/>
      <c r="H273" s="393"/>
      <c r="I273" s="393"/>
      <c r="J273" s="393"/>
      <c r="K273" s="393"/>
      <c r="L273" s="393"/>
      <c r="M273" s="393"/>
    </row>
    <row r="274">
      <c r="A274" s="393"/>
      <c r="B274" s="408"/>
      <c r="C274" s="408"/>
      <c r="D274" s="408"/>
      <c r="E274" s="393"/>
      <c r="F274" s="393"/>
      <c r="G274" s="393"/>
      <c r="H274" s="393"/>
      <c r="I274" s="393"/>
      <c r="J274" s="393"/>
      <c r="K274" s="393"/>
      <c r="L274" s="393"/>
      <c r="M274" s="393"/>
    </row>
    <row r="275">
      <c r="A275" s="393"/>
      <c r="B275" s="408"/>
      <c r="C275" s="408"/>
      <c r="D275" s="408"/>
      <c r="E275" s="393"/>
      <c r="F275" s="393"/>
      <c r="G275" s="393"/>
      <c r="H275" s="393"/>
      <c r="I275" s="393"/>
      <c r="J275" s="393"/>
      <c r="K275" s="393"/>
      <c r="L275" s="393"/>
      <c r="M275" s="393"/>
    </row>
    <row r="276">
      <c r="A276" s="393"/>
      <c r="B276" s="408"/>
      <c r="C276" s="408"/>
      <c r="D276" s="408"/>
      <c r="E276" s="393"/>
      <c r="F276" s="393"/>
      <c r="G276" s="393"/>
      <c r="H276" s="393"/>
      <c r="I276" s="393"/>
      <c r="J276" s="393"/>
      <c r="K276" s="393"/>
      <c r="L276" s="393"/>
      <c r="M276" s="393"/>
    </row>
    <row r="277">
      <c r="A277" s="393"/>
      <c r="B277" s="408"/>
      <c r="C277" s="408"/>
      <c r="D277" s="408"/>
      <c r="E277" s="393"/>
      <c r="F277" s="393"/>
      <c r="G277" s="393"/>
      <c r="H277" s="393"/>
      <c r="I277" s="393"/>
      <c r="J277" s="393"/>
      <c r="K277" s="393"/>
      <c r="L277" s="393"/>
      <c r="M277" s="393"/>
    </row>
    <row r="278">
      <c r="A278" s="393"/>
      <c r="B278" s="408"/>
      <c r="C278" s="408"/>
      <c r="D278" s="408"/>
      <c r="E278" s="393"/>
      <c r="F278" s="393"/>
      <c r="G278" s="393"/>
      <c r="H278" s="393"/>
      <c r="I278" s="393"/>
      <c r="J278" s="393"/>
      <c r="K278" s="393"/>
      <c r="L278" s="393"/>
      <c r="M278" s="393"/>
    </row>
    <row r="279">
      <c r="A279" s="393"/>
      <c r="B279" s="408"/>
      <c r="C279" s="408"/>
      <c r="D279" s="408"/>
      <c r="E279" s="393"/>
      <c r="F279" s="393"/>
      <c r="G279" s="393"/>
      <c r="H279" s="393"/>
      <c r="I279" s="393"/>
      <c r="J279" s="393"/>
      <c r="K279" s="393"/>
      <c r="L279" s="393"/>
      <c r="M279" s="393"/>
    </row>
    <row r="280">
      <c r="A280" s="393"/>
      <c r="B280" s="408"/>
      <c r="C280" s="408"/>
      <c r="D280" s="408"/>
      <c r="E280" s="393"/>
      <c r="F280" s="393"/>
      <c r="G280" s="393"/>
      <c r="H280" s="393"/>
      <c r="I280" s="393"/>
      <c r="J280" s="393"/>
      <c r="K280" s="393"/>
      <c r="L280" s="393"/>
      <c r="M280" s="393"/>
    </row>
    <row r="281">
      <c r="A281" s="393"/>
      <c r="B281" s="408"/>
      <c r="C281" s="408"/>
      <c r="D281" s="408"/>
      <c r="E281" s="393"/>
      <c r="F281" s="393"/>
      <c r="G281" s="393"/>
      <c r="H281" s="393"/>
      <c r="I281" s="393"/>
      <c r="J281" s="393"/>
      <c r="K281" s="393"/>
      <c r="L281" s="393"/>
      <c r="M281" s="393"/>
    </row>
    <row r="282">
      <c r="A282" s="393"/>
      <c r="B282" s="408"/>
      <c r="C282" s="408"/>
      <c r="D282" s="408"/>
      <c r="E282" s="393"/>
      <c r="F282" s="393"/>
      <c r="G282" s="393"/>
      <c r="H282" s="393"/>
      <c r="I282" s="393"/>
      <c r="J282" s="393"/>
      <c r="K282" s="393"/>
      <c r="L282" s="393"/>
      <c r="M282" s="393"/>
    </row>
    <row r="283">
      <c r="A283" s="393"/>
      <c r="B283" s="408"/>
      <c r="C283" s="408"/>
      <c r="D283" s="408"/>
      <c r="E283" s="393"/>
      <c r="F283" s="393"/>
      <c r="G283" s="393"/>
      <c r="H283" s="393"/>
      <c r="I283" s="393"/>
      <c r="J283" s="393"/>
      <c r="K283" s="393"/>
      <c r="L283" s="393"/>
      <c r="M283" s="393"/>
    </row>
    <row r="284">
      <c r="A284" s="393"/>
      <c r="B284" s="408"/>
      <c r="C284" s="408"/>
      <c r="D284" s="408"/>
      <c r="E284" s="393"/>
      <c r="F284" s="393"/>
      <c r="G284" s="393"/>
      <c r="H284" s="393"/>
      <c r="I284" s="393"/>
      <c r="J284" s="393"/>
      <c r="K284" s="393"/>
      <c r="L284" s="393"/>
      <c r="M284" s="393"/>
    </row>
    <row r="285">
      <c r="A285" s="393"/>
      <c r="B285" s="408"/>
      <c r="C285" s="408"/>
      <c r="D285" s="408"/>
      <c r="E285" s="393"/>
      <c r="F285" s="393"/>
      <c r="G285" s="393"/>
      <c r="H285" s="393"/>
      <c r="I285" s="393"/>
      <c r="J285" s="393"/>
      <c r="K285" s="393"/>
      <c r="L285" s="393"/>
      <c r="M285" s="393"/>
    </row>
    <row r="286">
      <c r="A286" s="393"/>
      <c r="B286" s="408"/>
      <c r="C286" s="408"/>
      <c r="D286" s="408"/>
      <c r="E286" s="393"/>
      <c r="F286" s="393"/>
      <c r="G286" s="393"/>
      <c r="H286" s="393"/>
      <c r="I286" s="393"/>
      <c r="J286" s="393"/>
      <c r="K286" s="393"/>
      <c r="L286" s="393"/>
      <c r="M286" s="393"/>
    </row>
    <row r="287">
      <c r="A287" s="393"/>
      <c r="B287" s="408"/>
      <c r="C287" s="408"/>
      <c r="D287" s="408"/>
      <c r="E287" s="393"/>
      <c r="F287" s="393"/>
      <c r="G287" s="393"/>
      <c r="H287" s="393"/>
      <c r="I287" s="393"/>
      <c r="J287" s="393"/>
      <c r="K287" s="393"/>
      <c r="L287" s="393"/>
      <c r="M287" s="393"/>
    </row>
    <row r="288">
      <c r="A288" s="393"/>
      <c r="B288" s="408"/>
      <c r="C288" s="408"/>
      <c r="D288" s="408"/>
      <c r="E288" s="393"/>
      <c r="F288" s="393"/>
      <c r="G288" s="393"/>
      <c r="H288" s="393"/>
      <c r="I288" s="393"/>
      <c r="J288" s="393"/>
      <c r="K288" s="393"/>
      <c r="L288" s="393"/>
      <c r="M288" s="393"/>
    </row>
    <row r="289">
      <c r="A289" s="393"/>
      <c r="B289" s="408"/>
      <c r="C289" s="408"/>
      <c r="D289" s="408"/>
      <c r="E289" s="393"/>
      <c r="F289" s="393"/>
      <c r="G289" s="393"/>
      <c r="H289" s="393"/>
      <c r="I289" s="393"/>
      <c r="J289" s="393"/>
      <c r="K289" s="393"/>
      <c r="L289" s="393"/>
      <c r="M289" s="393"/>
    </row>
    <row r="290">
      <c r="A290" s="393"/>
      <c r="B290" s="408"/>
      <c r="C290" s="408"/>
      <c r="D290" s="408"/>
      <c r="E290" s="393"/>
      <c r="F290" s="393"/>
      <c r="G290" s="393"/>
      <c r="H290" s="393"/>
      <c r="I290" s="393"/>
      <c r="J290" s="393"/>
      <c r="K290" s="393"/>
      <c r="L290" s="393"/>
      <c r="M290" s="393"/>
    </row>
    <row r="291">
      <c r="A291" s="393"/>
      <c r="B291" s="408"/>
      <c r="C291" s="408"/>
      <c r="D291" s="408"/>
      <c r="E291" s="393"/>
      <c r="F291" s="393"/>
      <c r="G291" s="393"/>
      <c r="H291" s="393"/>
      <c r="I291" s="393"/>
      <c r="J291" s="393"/>
      <c r="K291" s="393"/>
      <c r="L291" s="393"/>
      <c r="M291" s="393"/>
    </row>
    <row r="292">
      <c r="A292" s="393"/>
      <c r="B292" s="408"/>
      <c r="C292" s="408"/>
      <c r="D292" s="408"/>
      <c r="E292" s="393"/>
      <c r="F292" s="393"/>
      <c r="G292" s="393"/>
      <c r="H292" s="393"/>
      <c r="I292" s="393"/>
      <c r="J292" s="393"/>
      <c r="K292" s="393"/>
      <c r="L292" s="393"/>
      <c r="M292" s="393"/>
    </row>
    <row r="293">
      <c r="A293" s="393"/>
      <c r="B293" s="408"/>
      <c r="C293" s="408"/>
      <c r="D293" s="408"/>
      <c r="E293" s="393"/>
      <c r="F293" s="393"/>
      <c r="G293" s="393"/>
      <c r="H293" s="393"/>
      <c r="I293" s="393"/>
      <c r="J293" s="393"/>
      <c r="K293" s="393"/>
      <c r="L293" s="393"/>
      <c r="M293" s="393"/>
    </row>
    <row r="294">
      <c r="A294" s="393"/>
      <c r="B294" s="408"/>
      <c r="C294" s="408"/>
      <c r="D294" s="408"/>
      <c r="E294" s="393"/>
      <c r="F294" s="393"/>
      <c r="G294" s="393"/>
      <c r="H294" s="393"/>
      <c r="I294" s="393"/>
      <c r="J294" s="393"/>
      <c r="K294" s="393"/>
      <c r="L294" s="393"/>
      <c r="M294" s="393"/>
    </row>
    <row r="295">
      <c r="A295" s="393"/>
      <c r="B295" s="408"/>
      <c r="C295" s="408"/>
      <c r="D295" s="408"/>
      <c r="E295" s="393"/>
      <c r="F295" s="393"/>
      <c r="G295" s="393"/>
      <c r="H295" s="393"/>
      <c r="I295" s="393"/>
      <c r="J295" s="393"/>
      <c r="K295" s="393"/>
      <c r="L295" s="393"/>
      <c r="M295" s="393"/>
    </row>
    <row r="296">
      <c r="A296" s="393"/>
      <c r="B296" s="408"/>
      <c r="C296" s="408"/>
      <c r="D296" s="408"/>
      <c r="E296" s="393"/>
      <c r="F296" s="393"/>
      <c r="G296" s="393"/>
      <c r="H296" s="393"/>
      <c r="I296" s="393"/>
      <c r="J296" s="393"/>
      <c r="K296" s="393"/>
      <c r="L296" s="393"/>
      <c r="M296" s="393"/>
    </row>
    <row r="297">
      <c r="A297" s="393"/>
      <c r="B297" s="408"/>
      <c r="C297" s="408"/>
      <c r="D297" s="408"/>
      <c r="E297" s="393"/>
      <c r="F297" s="393"/>
      <c r="G297" s="393"/>
      <c r="H297" s="393"/>
      <c r="I297" s="393"/>
      <c r="J297" s="393"/>
      <c r="K297" s="393"/>
      <c r="L297" s="393"/>
      <c r="M297" s="393"/>
    </row>
    <row r="298">
      <c r="A298" s="393"/>
      <c r="B298" s="408"/>
      <c r="C298" s="408"/>
      <c r="D298" s="408"/>
      <c r="E298" s="393"/>
      <c r="F298" s="393"/>
      <c r="G298" s="393"/>
      <c r="H298" s="393"/>
      <c r="I298" s="393"/>
      <c r="J298" s="393"/>
      <c r="K298" s="393"/>
      <c r="L298" s="393"/>
      <c r="M298" s="393"/>
    </row>
    <row r="299">
      <c r="A299" s="393"/>
      <c r="B299" s="408"/>
      <c r="C299" s="408"/>
      <c r="D299" s="408"/>
      <c r="E299" s="393"/>
      <c r="F299" s="393"/>
      <c r="G299" s="393"/>
      <c r="H299" s="393"/>
      <c r="I299" s="393"/>
      <c r="J299" s="393"/>
      <c r="K299" s="393"/>
      <c r="L299" s="393"/>
      <c r="M299" s="393"/>
    </row>
    <row r="300">
      <c r="A300" s="393"/>
      <c r="B300" s="408"/>
      <c r="C300" s="408"/>
      <c r="D300" s="408"/>
      <c r="E300" s="393"/>
      <c r="F300" s="393"/>
      <c r="G300" s="393"/>
      <c r="H300" s="393"/>
      <c r="I300" s="393"/>
      <c r="J300" s="393"/>
      <c r="K300" s="393"/>
      <c r="L300" s="393"/>
      <c r="M300" s="393"/>
    </row>
    <row r="301">
      <c r="A301" s="393"/>
      <c r="B301" s="408"/>
      <c r="C301" s="408"/>
      <c r="D301" s="408"/>
      <c r="E301" s="393"/>
      <c r="F301" s="393"/>
      <c r="G301" s="393"/>
      <c r="H301" s="393"/>
      <c r="I301" s="393"/>
      <c r="J301" s="393"/>
      <c r="K301" s="393"/>
      <c r="L301" s="393"/>
      <c r="M301" s="393"/>
    </row>
    <row r="302">
      <c r="A302" s="393"/>
      <c r="B302" s="408"/>
      <c r="C302" s="408"/>
      <c r="D302" s="408"/>
      <c r="E302" s="393"/>
      <c r="F302" s="393"/>
      <c r="G302" s="393"/>
      <c r="H302" s="393"/>
      <c r="I302" s="393"/>
      <c r="J302" s="393"/>
      <c r="K302" s="393"/>
      <c r="L302" s="393"/>
      <c r="M302" s="393"/>
    </row>
    <row r="303">
      <c r="A303" s="393"/>
      <c r="B303" s="408"/>
      <c r="C303" s="408"/>
      <c r="D303" s="408"/>
      <c r="E303" s="393"/>
      <c r="F303" s="393"/>
      <c r="G303" s="393"/>
      <c r="H303" s="393"/>
      <c r="I303" s="393"/>
      <c r="J303" s="393"/>
      <c r="K303" s="393"/>
      <c r="L303" s="393"/>
      <c r="M303" s="393"/>
    </row>
    <row r="304">
      <c r="A304" s="393"/>
      <c r="B304" s="408"/>
      <c r="C304" s="408"/>
      <c r="D304" s="408"/>
      <c r="E304" s="393"/>
      <c r="F304" s="393"/>
      <c r="G304" s="393"/>
      <c r="H304" s="393"/>
      <c r="I304" s="393"/>
      <c r="J304" s="393"/>
      <c r="K304" s="393"/>
      <c r="L304" s="393"/>
      <c r="M304" s="393"/>
    </row>
    <row r="305">
      <c r="A305" s="393"/>
      <c r="B305" s="408"/>
      <c r="C305" s="408"/>
      <c r="D305" s="408"/>
      <c r="E305" s="393"/>
      <c r="F305" s="393"/>
      <c r="G305" s="393"/>
      <c r="H305" s="393"/>
      <c r="I305" s="393"/>
      <c r="J305" s="393"/>
      <c r="K305" s="393"/>
      <c r="L305" s="393"/>
      <c r="M305" s="393"/>
    </row>
    <row r="306">
      <c r="A306" s="393"/>
      <c r="B306" s="408"/>
      <c r="C306" s="408"/>
      <c r="D306" s="408"/>
      <c r="E306" s="393"/>
      <c r="F306" s="393"/>
      <c r="G306" s="393"/>
      <c r="H306" s="393"/>
      <c r="I306" s="393"/>
      <c r="J306" s="393"/>
      <c r="K306" s="393"/>
      <c r="L306" s="393"/>
      <c r="M306" s="393"/>
    </row>
    <row r="307">
      <c r="A307" s="393"/>
      <c r="B307" s="408"/>
      <c r="C307" s="408"/>
      <c r="D307" s="408"/>
      <c r="E307" s="393"/>
      <c r="F307" s="393"/>
      <c r="G307" s="393"/>
      <c r="H307" s="393"/>
      <c r="I307" s="393"/>
      <c r="J307" s="393"/>
      <c r="K307" s="393"/>
      <c r="L307" s="393"/>
      <c r="M307" s="393"/>
    </row>
    <row r="308">
      <c r="A308" s="393"/>
      <c r="B308" s="408"/>
      <c r="C308" s="408"/>
      <c r="D308" s="408"/>
      <c r="E308" s="393"/>
      <c r="F308" s="393"/>
      <c r="G308" s="393"/>
      <c r="H308" s="393"/>
      <c r="I308" s="393"/>
      <c r="J308" s="393"/>
      <c r="K308" s="393"/>
      <c r="L308" s="393"/>
      <c r="M308" s="393"/>
    </row>
    <row r="309">
      <c r="A309" s="393"/>
      <c r="B309" s="408"/>
      <c r="C309" s="408"/>
      <c r="D309" s="408"/>
      <c r="E309" s="393"/>
      <c r="F309" s="393"/>
      <c r="G309" s="393"/>
      <c r="H309" s="393"/>
      <c r="I309" s="393"/>
      <c r="J309" s="393"/>
      <c r="K309" s="393"/>
      <c r="L309" s="393"/>
      <c r="M309" s="393"/>
    </row>
    <row r="310">
      <c r="A310" s="393"/>
      <c r="B310" s="408"/>
      <c r="C310" s="408"/>
      <c r="D310" s="408"/>
      <c r="E310" s="393"/>
      <c r="F310" s="393"/>
      <c r="G310" s="393"/>
      <c r="H310" s="393"/>
      <c r="I310" s="393"/>
      <c r="J310" s="393"/>
      <c r="K310" s="393"/>
      <c r="L310" s="393"/>
      <c r="M310" s="393"/>
    </row>
    <row r="311">
      <c r="A311" s="393"/>
      <c r="B311" s="408"/>
      <c r="C311" s="408"/>
      <c r="D311" s="408"/>
      <c r="E311" s="393"/>
      <c r="F311" s="393"/>
      <c r="G311" s="393"/>
      <c r="H311" s="393"/>
      <c r="I311" s="393"/>
      <c r="J311" s="393"/>
      <c r="K311" s="393"/>
      <c r="L311" s="393"/>
      <c r="M311" s="393"/>
    </row>
    <row r="312">
      <c r="A312" s="393"/>
      <c r="B312" s="408"/>
      <c r="C312" s="408"/>
      <c r="D312" s="408"/>
      <c r="E312" s="393"/>
      <c r="F312" s="393"/>
      <c r="G312" s="393"/>
      <c r="H312" s="393"/>
      <c r="I312" s="393"/>
      <c r="J312" s="393"/>
      <c r="K312" s="393"/>
      <c r="L312" s="393"/>
      <c r="M312" s="393"/>
    </row>
    <row r="313">
      <c r="A313" s="393"/>
      <c r="B313" s="408"/>
      <c r="C313" s="408"/>
      <c r="D313" s="408"/>
      <c r="E313" s="393"/>
      <c r="F313" s="393"/>
      <c r="G313" s="393"/>
      <c r="H313" s="393"/>
      <c r="I313" s="393"/>
      <c r="J313" s="393"/>
      <c r="K313" s="393"/>
      <c r="L313" s="393"/>
      <c r="M313" s="393"/>
    </row>
    <row r="314">
      <c r="A314" s="393"/>
      <c r="B314" s="408"/>
      <c r="C314" s="408"/>
      <c r="D314" s="408"/>
      <c r="E314" s="393"/>
      <c r="F314" s="393"/>
      <c r="G314" s="393"/>
      <c r="H314" s="393"/>
      <c r="I314" s="393"/>
      <c r="J314" s="393"/>
      <c r="K314" s="393"/>
      <c r="L314" s="393"/>
      <c r="M314" s="393"/>
    </row>
    <row r="315">
      <c r="A315" s="393"/>
      <c r="B315" s="408"/>
      <c r="C315" s="408"/>
      <c r="D315" s="408"/>
      <c r="E315" s="393"/>
      <c r="F315" s="393"/>
      <c r="G315" s="393"/>
      <c r="H315" s="393"/>
      <c r="I315" s="393"/>
      <c r="J315" s="393"/>
      <c r="K315" s="393"/>
      <c r="L315" s="393"/>
      <c r="M315" s="393"/>
    </row>
    <row r="316">
      <c r="A316" s="393"/>
      <c r="B316" s="408"/>
      <c r="C316" s="408"/>
      <c r="D316" s="408"/>
      <c r="E316" s="393"/>
      <c r="F316" s="393"/>
      <c r="G316" s="393"/>
      <c r="H316" s="393"/>
      <c r="I316" s="393"/>
      <c r="J316" s="393"/>
      <c r="K316" s="393"/>
      <c r="L316" s="393"/>
      <c r="M316" s="393"/>
    </row>
    <row r="317">
      <c r="A317" s="393"/>
      <c r="B317" s="408"/>
      <c r="C317" s="408"/>
      <c r="D317" s="408"/>
      <c r="E317" s="393"/>
      <c r="F317" s="393"/>
      <c r="G317" s="393"/>
      <c r="H317" s="393"/>
      <c r="I317" s="393"/>
      <c r="J317" s="393"/>
      <c r="K317" s="393"/>
      <c r="L317" s="393"/>
      <c r="M317" s="393"/>
    </row>
    <row r="318">
      <c r="A318" s="393"/>
      <c r="B318" s="408"/>
      <c r="C318" s="408"/>
      <c r="D318" s="408"/>
      <c r="E318" s="393"/>
      <c r="F318" s="393"/>
      <c r="G318" s="393"/>
      <c r="H318" s="393"/>
      <c r="I318" s="393"/>
      <c r="J318" s="393"/>
      <c r="K318" s="393"/>
      <c r="L318" s="393"/>
      <c r="M318" s="393"/>
    </row>
    <row r="319">
      <c r="A319" s="393"/>
      <c r="B319" s="408"/>
      <c r="C319" s="408"/>
      <c r="D319" s="408"/>
      <c r="E319" s="393"/>
      <c r="F319" s="393"/>
      <c r="G319" s="393"/>
      <c r="H319" s="393"/>
      <c r="I319" s="393"/>
      <c r="J319" s="393"/>
      <c r="K319" s="393"/>
      <c r="L319" s="393"/>
      <c r="M319" s="393"/>
    </row>
    <row r="320">
      <c r="A320" s="393"/>
      <c r="B320" s="408"/>
      <c r="C320" s="408"/>
      <c r="D320" s="408"/>
      <c r="E320" s="393"/>
      <c r="F320" s="393"/>
      <c r="G320" s="393"/>
      <c r="H320" s="393"/>
      <c r="I320" s="393"/>
      <c r="J320" s="393"/>
      <c r="K320" s="393"/>
      <c r="L320" s="393"/>
      <c r="M320" s="393"/>
    </row>
    <row r="321">
      <c r="A321" s="393"/>
      <c r="B321" s="408"/>
      <c r="C321" s="408"/>
      <c r="D321" s="408"/>
      <c r="E321" s="393"/>
      <c r="F321" s="393"/>
      <c r="G321" s="393"/>
      <c r="H321" s="393"/>
      <c r="I321" s="393"/>
      <c r="J321" s="393"/>
      <c r="K321" s="393"/>
      <c r="L321" s="393"/>
      <c r="M321" s="393"/>
    </row>
    <row r="322">
      <c r="A322" s="393"/>
      <c r="B322" s="408"/>
      <c r="C322" s="408"/>
      <c r="D322" s="408"/>
      <c r="E322" s="393"/>
      <c r="F322" s="393"/>
      <c r="G322" s="393"/>
      <c r="H322" s="393"/>
      <c r="I322" s="393"/>
      <c r="J322" s="393"/>
      <c r="K322" s="393"/>
      <c r="L322" s="393"/>
      <c r="M322" s="393"/>
    </row>
    <row r="323">
      <c r="A323" s="393"/>
      <c r="B323" s="408"/>
      <c r="C323" s="408"/>
      <c r="D323" s="408"/>
      <c r="E323" s="393"/>
      <c r="F323" s="393"/>
      <c r="G323" s="393"/>
      <c r="H323" s="393"/>
      <c r="I323" s="393"/>
      <c r="J323" s="393"/>
      <c r="K323" s="393"/>
      <c r="L323" s="393"/>
      <c r="M323" s="393"/>
    </row>
    <row r="324">
      <c r="A324" s="393"/>
      <c r="B324" s="408"/>
      <c r="C324" s="408"/>
      <c r="D324" s="408"/>
      <c r="E324" s="393"/>
      <c r="F324" s="393"/>
      <c r="G324" s="393"/>
      <c r="H324" s="393"/>
      <c r="I324" s="393"/>
      <c r="J324" s="393"/>
      <c r="K324" s="393"/>
      <c r="L324" s="393"/>
      <c r="M324" s="393"/>
    </row>
    <row r="325">
      <c r="A325" s="393"/>
      <c r="B325" s="408"/>
      <c r="C325" s="408"/>
      <c r="D325" s="408"/>
      <c r="E325" s="393"/>
      <c r="F325" s="393"/>
      <c r="G325" s="393"/>
      <c r="H325" s="393"/>
      <c r="I325" s="393"/>
      <c r="J325" s="393"/>
      <c r="K325" s="393"/>
      <c r="L325" s="393"/>
      <c r="M325" s="393"/>
    </row>
    <row r="326">
      <c r="A326" s="393"/>
      <c r="B326" s="408"/>
      <c r="C326" s="408"/>
      <c r="D326" s="408"/>
      <c r="E326" s="393"/>
      <c r="F326" s="393"/>
      <c r="G326" s="393"/>
      <c r="H326" s="393"/>
      <c r="I326" s="393"/>
      <c r="J326" s="393"/>
      <c r="K326" s="393"/>
      <c r="L326" s="393"/>
      <c r="M326" s="393"/>
    </row>
    <row r="327">
      <c r="A327" s="393"/>
      <c r="B327" s="408"/>
      <c r="C327" s="408"/>
      <c r="D327" s="408"/>
      <c r="E327" s="393"/>
      <c r="F327" s="393"/>
      <c r="G327" s="393"/>
      <c r="H327" s="393"/>
      <c r="I327" s="393"/>
      <c r="J327" s="393"/>
      <c r="K327" s="393"/>
      <c r="L327" s="393"/>
      <c r="M327" s="393"/>
    </row>
    <row r="328">
      <c r="A328" s="393"/>
      <c r="B328" s="408"/>
      <c r="C328" s="408"/>
      <c r="D328" s="408"/>
      <c r="E328" s="393"/>
      <c r="F328" s="393"/>
      <c r="G328" s="393"/>
      <c r="H328" s="393"/>
      <c r="I328" s="393"/>
      <c r="J328" s="393"/>
      <c r="K328" s="393"/>
      <c r="L328" s="393"/>
      <c r="M328" s="393"/>
    </row>
    <row r="329">
      <c r="A329" s="393"/>
      <c r="B329" s="408"/>
      <c r="C329" s="408"/>
      <c r="D329" s="408"/>
      <c r="E329" s="393"/>
      <c r="F329" s="393"/>
      <c r="G329" s="393"/>
      <c r="H329" s="393"/>
      <c r="I329" s="393"/>
      <c r="J329" s="393"/>
      <c r="K329" s="393"/>
      <c r="L329" s="393"/>
      <c r="M329" s="393"/>
    </row>
    <row r="330">
      <c r="A330" s="393"/>
      <c r="B330" s="408"/>
      <c r="C330" s="408"/>
      <c r="D330" s="408"/>
      <c r="E330" s="393"/>
      <c r="F330" s="393"/>
      <c r="G330" s="393"/>
      <c r="H330" s="393"/>
      <c r="I330" s="393"/>
      <c r="J330" s="393"/>
      <c r="K330" s="393"/>
      <c r="L330" s="393"/>
      <c r="M330" s="393"/>
    </row>
    <row r="331">
      <c r="A331" s="393"/>
      <c r="B331" s="408"/>
      <c r="C331" s="408"/>
      <c r="D331" s="408"/>
      <c r="E331" s="393"/>
      <c r="F331" s="393"/>
      <c r="G331" s="393"/>
      <c r="H331" s="393"/>
      <c r="I331" s="393"/>
      <c r="J331" s="393"/>
      <c r="K331" s="393"/>
      <c r="L331" s="393"/>
      <c r="M331" s="393"/>
    </row>
    <row r="332">
      <c r="A332" s="393"/>
      <c r="B332" s="408"/>
      <c r="C332" s="408"/>
      <c r="D332" s="408"/>
      <c r="E332" s="393"/>
      <c r="F332" s="393"/>
      <c r="G332" s="393"/>
      <c r="H332" s="393"/>
      <c r="I332" s="393"/>
      <c r="J332" s="393"/>
      <c r="K332" s="393"/>
      <c r="L332" s="393"/>
      <c r="M332" s="393"/>
    </row>
    <row r="333">
      <c r="A333" s="393"/>
      <c r="B333" s="408"/>
      <c r="C333" s="408"/>
      <c r="D333" s="408"/>
      <c r="E333" s="393"/>
      <c r="F333" s="393"/>
      <c r="G333" s="393"/>
      <c r="H333" s="393"/>
      <c r="I333" s="393"/>
      <c r="J333" s="393"/>
      <c r="K333" s="393"/>
      <c r="L333" s="393"/>
      <c r="M333" s="393"/>
    </row>
    <row r="334">
      <c r="A334" s="393"/>
      <c r="B334" s="408"/>
      <c r="C334" s="408"/>
      <c r="D334" s="408"/>
      <c r="E334" s="393"/>
      <c r="F334" s="393"/>
      <c r="G334" s="393"/>
      <c r="H334" s="393"/>
      <c r="I334" s="393"/>
      <c r="J334" s="393"/>
      <c r="K334" s="393"/>
      <c r="L334" s="393"/>
      <c r="M334" s="393"/>
    </row>
    <row r="335">
      <c r="A335" s="393"/>
      <c r="B335" s="408"/>
      <c r="C335" s="408"/>
      <c r="D335" s="408"/>
      <c r="E335" s="393"/>
      <c r="F335" s="393"/>
      <c r="G335" s="393"/>
      <c r="H335" s="393"/>
      <c r="I335" s="393"/>
      <c r="J335" s="393"/>
      <c r="K335" s="393"/>
      <c r="L335" s="393"/>
      <c r="M335" s="393"/>
    </row>
    <row r="336">
      <c r="A336" s="393"/>
      <c r="B336" s="408"/>
      <c r="C336" s="408"/>
      <c r="D336" s="408"/>
      <c r="E336" s="393"/>
      <c r="F336" s="393"/>
      <c r="G336" s="393"/>
      <c r="H336" s="393"/>
      <c r="I336" s="393"/>
      <c r="J336" s="393"/>
      <c r="K336" s="393"/>
      <c r="L336" s="393"/>
      <c r="M336" s="393"/>
    </row>
    <row r="337">
      <c r="A337" s="393"/>
      <c r="B337" s="408"/>
      <c r="C337" s="408"/>
      <c r="D337" s="408"/>
      <c r="E337" s="393"/>
      <c r="F337" s="393"/>
      <c r="G337" s="393"/>
      <c r="H337" s="393"/>
      <c r="I337" s="393"/>
      <c r="J337" s="393"/>
      <c r="K337" s="393"/>
      <c r="L337" s="393"/>
      <c r="M337" s="393"/>
    </row>
    <row r="338">
      <c r="A338" s="393"/>
      <c r="B338" s="408"/>
      <c r="C338" s="408"/>
      <c r="D338" s="408"/>
      <c r="E338" s="393"/>
      <c r="F338" s="393"/>
      <c r="G338" s="393"/>
      <c r="H338" s="393"/>
      <c r="I338" s="393"/>
      <c r="J338" s="393"/>
      <c r="K338" s="393"/>
      <c r="L338" s="393"/>
      <c r="M338" s="393"/>
    </row>
    <row r="339">
      <c r="A339" s="393"/>
      <c r="B339" s="408"/>
      <c r="C339" s="408"/>
      <c r="D339" s="408"/>
      <c r="E339" s="393"/>
      <c r="F339" s="393"/>
      <c r="G339" s="393"/>
      <c r="H339" s="393"/>
      <c r="I339" s="393"/>
      <c r="J339" s="393"/>
      <c r="K339" s="393"/>
      <c r="L339" s="393"/>
      <c r="M339" s="393"/>
    </row>
    <row r="340">
      <c r="A340" s="393"/>
      <c r="B340" s="408"/>
      <c r="C340" s="408"/>
      <c r="D340" s="408"/>
      <c r="E340" s="393"/>
      <c r="F340" s="393"/>
      <c r="G340" s="393"/>
      <c r="H340" s="393"/>
      <c r="I340" s="393"/>
      <c r="J340" s="393"/>
      <c r="K340" s="393"/>
      <c r="L340" s="393"/>
      <c r="M340" s="393"/>
    </row>
    <row r="341">
      <c r="A341" s="393"/>
      <c r="B341" s="408"/>
      <c r="C341" s="408"/>
      <c r="D341" s="408"/>
      <c r="E341" s="393"/>
      <c r="F341" s="393"/>
      <c r="G341" s="393"/>
      <c r="H341" s="393"/>
      <c r="I341" s="393"/>
      <c r="J341" s="393"/>
      <c r="K341" s="393"/>
      <c r="L341" s="393"/>
      <c r="M341" s="393"/>
    </row>
    <row r="342">
      <c r="A342" s="393"/>
      <c r="B342" s="408"/>
      <c r="C342" s="408"/>
      <c r="D342" s="408"/>
      <c r="E342" s="393"/>
      <c r="F342" s="393"/>
      <c r="G342" s="393"/>
      <c r="H342" s="393"/>
      <c r="I342" s="393"/>
      <c r="J342" s="393"/>
      <c r="K342" s="393"/>
      <c r="L342" s="393"/>
      <c r="M342" s="393"/>
    </row>
    <row r="343">
      <c r="A343" s="393"/>
      <c r="B343" s="408"/>
      <c r="C343" s="408"/>
      <c r="D343" s="408"/>
      <c r="E343" s="393"/>
      <c r="F343" s="393"/>
      <c r="G343" s="393"/>
      <c r="H343" s="393"/>
      <c r="I343" s="393"/>
      <c r="J343" s="393"/>
      <c r="K343" s="393"/>
      <c r="L343" s="393"/>
      <c r="M343" s="393"/>
    </row>
    <row r="344">
      <c r="A344" s="393"/>
      <c r="B344" s="408"/>
      <c r="C344" s="408"/>
      <c r="D344" s="408"/>
      <c r="E344" s="393"/>
      <c r="F344" s="393"/>
      <c r="G344" s="393"/>
      <c r="H344" s="393"/>
      <c r="I344" s="393"/>
      <c r="J344" s="393"/>
      <c r="K344" s="393"/>
      <c r="L344" s="393"/>
      <c r="M344" s="393"/>
    </row>
    <row r="345">
      <c r="A345" s="393"/>
      <c r="B345" s="408"/>
      <c r="C345" s="408"/>
      <c r="D345" s="408"/>
      <c r="E345" s="393"/>
      <c r="F345" s="393"/>
      <c r="G345" s="393"/>
      <c r="H345" s="393"/>
      <c r="I345" s="393"/>
      <c r="J345" s="393"/>
      <c r="K345" s="393"/>
      <c r="L345" s="393"/>
      <c r="M345" s="393"/>
    </row>
    <row r="346">
      <c r="A346" s="393"/>
      <c r="B346" s="408"/>
      <c r="C346" s="408"/>
      <c r="D346" s="408"/>
      <c r="E346" s="393"/>
      <c r="F346" s="393"/>
      <c r="G346" s="393"/>
      <c r="H346" s="393"/>
      <c r="I346" s="393"/>
      <c r="J346" s="393"/>
      <c r="K346" s="393"/>
      <c r="L346" s="393"/>
      <c r="M346" s="393"/>
    </row>
    <row r="347">
      <c r="A347" s="393"/>
      <c r="B347" s="408"/>
      <c r="C347" s="408"/>
      <c r="D347" s="408"/>
      <c r="E347" s="393"/>
      <c r="F347" s="393"/>
      <c r="G347" s="393"/>
      <c r="H347" s="393"/>
      <c r="I347" s="393"/>
      <c r="J347" s="393"/>
      <c r="K347" s="393"/>
      <c r="L347" s="393"/>
      <c r="M347" s="393"/>
    </row>
    <row r="348">
      <c r="A348" s="393"/>
      <c r="B348" s="408"/>
      <c r="C348" s="408"/>
      <c r="D348" s="408"/>
      <c r="E348" s="393"/>
      <c r="F348" s="393"/>
      <c r="G348" s="393"/>
      <c r="H348" s="393"/>
      <c r="I348" s="393"/>
      <c r="J348" s="393"/>
      <c r="K348" s="393"/>
      <c r="L348" s="393"/>
      <c r="M348" s="393"/>
    </row>
    <row r="349">
      <c r="A349" s="393"/>
      <c r="B349" s="408"/>
      <c r="C349" s="408"/>
      <c r="D349" s="408"/>
      <c r="E349" s="393"/>
      <c r="F349" s="393"/>
      <c r="G349" s="393"/>
      <c r="H349" s="393"/>
      <c r="I349" s="393"/>
      <c r="J349" s="393"/>
      <c r="K349" s="393"/>
      <c r="L349" s="393"/>
      <c r="M349" s="393"/>
    </row>
    <row r="350">
      <c r="A350" s="393"/>
      <c r="B350" s="408"/>
      <c r="C350" s="408"/>
      <c r="D350" s="408"/>
      <c r="E350" s="393"/>
      <c r="F350" s="393"/>
      <c r="G350" s="393"/>
      <c r="H350" s="393"/>
      <c r="I350" s="393"/>
      <c r="J350" s="393"/>
      <c r="K350" s="393"/>
      <c r="L350" s="393"/>
      <c r="M350" s="393"/>
    </row>
    <row r="351">
      <c r="A351" s="393"/>
      <c r="B351" s="408"/>
      <c r="C351" s="408"/>
      <c r="D351" s="408"/>
      <c r="E351" s="393"/>
      <c r="F351" s="393"/>
      <c r="G351" s="393"/>
      <c r="H351" s="393"/>
      <c r="I351" s="393"/>
      <c r="J351" s="393"/>
      <c r="K351" s="393"/>
      <c r="L351" s="393"/>
      <c r="M351" s="393"/>
    </row>
    <row r="352">
      <c r="A352" s="393"/>
      <c r="B352" s="408"/>
      <c r="C352" s="408"/>
      <c r="D352" s="408"/>
      <c r="E352" s="393"/>
      <c r="F352" s="393"/>
      <c r="G352" s="393"/>
      <c r="H352" s="393"/>
      <c r="I352" s="393"/>
      <c r="J352" s="393"/>
      <c r="K352" s="393"/>
      <c r="L352" s="393"/>
      <c r="M352" s="393"/>
    </row>
    <row r="353">
      <c r="A353" s="393"/>
      <c r="B353" s="408"/>
      <c r="C353" s="408"/>
      <c r="D353" s="408"/>
      <c r="E353" s="393"/>
      <c r="F353" s="393"/>
      <c r="G353" s="393"/>
      <c r="H353" s="393"/>
      <c r="I353" s="393"/>
      <c r="J353" s="393"/>
      <c r="K353" s="393"/>
      <c r="L353" s="393"/>
      <c r="M353" s="393"/>
    </row>
    <row r="354">
      <c r="A354" s="393"/>
      <c r="B354" s="408"/>
      <c r="C354" s="408"/>
      <c r="D354" s="408"/>
      <c r="E354" s="393"/>
      <c r="F354" s="393"/>
      <c r="G354" s="393"/>
      <c r="H354" s="393"/>
      <c r="I354" s="393"/>
      <c r="J354" s="393"/>
      <c r="K354" s="393"/>
      <c r="L354" s="393"/>
      <c r="M354" s="393"/>
    </row>
    <row r="355">
      <c r="A355" s="393"/>
      <c r="B355" s="408"/>
      <c r="C355" s="408"/>
      <c r="D355" s="408"/>
      <c r="E355" s="393"/>
      <c r="F355" s="393"/>
      <c r="G355" s="393"/>
      <c r="H355" s="393"/>
      <c r="I355" s="393"/>
      <c r="J355" s="393"/>
      <c r="K355" s="393"/>
      <c r="L355" s="393"/>
      <c r="M355" s="393"/>
    </row>
    <row r="356">
      <c r="A356" s="393"/>
      <c r="B356" s="408"/>
      <c r="C356" s="408"/>
      <c r="D356" s="408"/>
      <c r="E356" s="393"/>
      <c r="F356" s="393"/>
      <c r="G356" s="393"/>
      <c r="H356" s="393"/>
      <c r="I356" s="393"/>
      <c r="J356" s="393"/>
      <c r="K356" s="393"/>
      <c r="L356" s="393"/>
      <c r="M356" s="393"/>
    </row>
    <row r="357">
      <c r="A357" s="393"/>
      <c r="B357" s="408"/>
      <c r="C357" s="408"/>
      <c r="D357" s="408"/>
      <c r="E357" s="393"/>
      <c r="F357" s="393"/>
      <c r="G357" s="393"/>
      <c r="H357" s="393"/>
      <c r="I357" s="393"/>
      <c r="J357" s="393"/>
      <c r="K357" s="393"/>
      <c r="L357" s="393"/>
      <c r="M357" s="393"/>
    </row>
    <row r="358">
      <c r="A358" s="393"/>
      <c r="B358" s="408"/>
      <c r="C358" s="408"/>
      <c r="D358" s="408"/>
      <c r="E358" s="393"/>
      <c r="F358" s="393"/>
      <c r="G358" s="393"/>
      <c r="H358" s="393"/>
      <c r="I358" s="393"/>
      <c r="J358" s="393"/>
      <c r="K358" s="393"/>
      <c r="L358" s="393"/>
      <c r="M358" s="393"/>
    </row>
    <row r="359">
      <c r="A359" s="393"/>
      <c r="B359" s="408"/>
      <c r="C359" s="408"/>
      <c r="D359" s="408"/>
      <c r="E359" s="393"/>
      <c r="F359" s="393"/>
      <c r="G359" s="393"/>
      <c r="H359" s="393"/>
      <c r="I359" s="393"/>
      <c r="J359" s="393"/>
      <c r="K359" s="393"/>
      <c r="L359" s="393"/>
      <c r="M359" s="393"/>
    </row>
    <row r="360">
      <c r="A360" s="393"/>
      <c r="B360" s="408"/>
      <c r="C360" s="408"/>
      <c r="D360" s="408"/>
      <c r="E360" s="393"/>
      <c r="F360" s="393"/>
      <c r="G360" s="393"/>
      <c r="H360" s="393"/>
      <c r="I360" s="393"/>
      <c r="J360" s="393"/>
      <c r="K360" s="393"/>
      <c r="L360" s="393"/>
      <c r="M360" s="393"/>
    </row>
    <row r="361">
      <c r="A361" s="393"/>
      <c r="B361" s="408"/>
      <c r="C361" s="408"/>
      <c r="D361" s="408"/>
      <c r="E361" s="393"/>
      <c r="F361" s="393"/>
      <c r="G361" s="393"/>
      <c r="H361" s="393"/>
      <c r="I361" s="393"/>
      <c r="J361" s="393"/>
      <c r="K361" s="393"/>
      <c r="L361" s="393"/>
      <c r="M361" s="393"/>
    </row>
    <row r="362">
      <c r="A362" s="393"/>
      <c r="B362" s="408"/>
      <c r="C362" s="408"/>
      <c r="D362" s="408"/>
      <c r="E362" s="393"/>
      <c r="F362" s="393"/>
      <c r="G362" s="393"/>
      <c r="H362" s="393"/>
      <c r="I362" s="393"/>
      <c r="J362" s="393"/>
      <c r="K362" s="393"/>
      <c r="L362" s="393"/>
      <c r="M362" s="393"/>
    </row>
    <row r="363">
      <c r="A363" s="393"/>
      <c r="B363" s="408"/>
      <c r="C363" s="408"/>
      <c r="D363" s="408"/>
      <c r="E363" s="393"/>
      <c r="F363" s="393"/>
      <c r="G363" s="393"/>
      <c r="H363" s="393"/>
      <c r="I363" s="393"/>
      <c r="J363" s="393"/>
      <c r="K363" s="393"/>
      <c r="L363" s="393"/>
      <c r="M363" s="393"/>
    </row>
    <row r="364">
      <c r="A364" s="393"/>
      <c r="B364" s="408"/>
      <c r="C364" s="408"/>
      <c r="D364" s="408"/>
      <c r="E364" s="393"/>
      <c r="F364" s="393"/>
      <c r="G364" s="393"/>
      <c r="H364" s="393"/>
      <c r="I364" s="393"/>
      <c r="J364" s="393"/>
      <c r="K364" s="393"/>
      <c r="L364" s="393"/>
      <c r="M364" s="393"/>
    </row>
    <row r="365">
      <c r="A365" s="393"/>
      <c r="B365" s="408"/>
      <c r="C365" s="408"/>
      <c r="D365" s="408"/>
      <c r="E365" s="393"/>
      <c r="F365" s="393"/>
      <c r="G365" s="393"/>
      <c r="H365" s="393"/>
      <c r="I365" s="393"/>
      <c r="J365" s="393"/>
      <c r="K365" s="393"/>
      <c r="L365" s="393"/>
      <c r="M365" s="393"/>
    </row>
    <row r="366">
      <c r="A366" s="393"/>
      <c r="B366" s="408"/>
      <c r="C366" s="408"/>
      <c r="D366" s="408"/>
      <c r="E366" s="393"/>
      <c r="F366" s="393"/>
      <c r="G366" s="393"/>
      <c r="H366" s="393"/>
      <c r="I366" s="393"/>
      <c r="J366" s="393"/>
      <c r="K366" s="393"/>
      <c r="L366" s="393"/>
      <c r="M366" s="393"/>
    </row>
    <row r="367">
      <c r="A367" s="393"/>
      <c r="B367" s="408"/>
      <c r="C367" s="408"/>
      <c r="D367" s="408"/>
      <c r="E367" s="393"/>
      <c r="F367" s="393"/>
      <c r="G367" s="393"/>
      <c r="H367" s="393"/>
      <c r="I367" s="393"/>
      <c r="J367" s="393"/>
      <c r="K367" s="393"/>
      <c r="L367" s="393"/>
      <c r="M367" s="393"/>
    </row>
    <row r="368">
      <c r="A368" s="393"/>
      <c r="B368" s="408"/>
      <c r="C368" s="408"/>
      <c r="D368" s="408"/>
      <c r="E368" s="393"/>
      <c r="F368" s="393"/>
      <c r="G368" s="393"/>
      <c r="H368" s="393"/>
      <c r="I368" s="393"/>
      <c r="J368" s="393"/>
      <c r="K368" s="393"/>
      <c r="L368" s="393"/>
      <c r="M368" s="393"/>
    </row>
    <row r="369">
      <c r="A369" s="393"/>
      <c r="B369" s="408"/>
      <c r="C369" s="408"/>
      <c r="D369" s="408"/>
      <c r="E369" s="393"/>
      <c r="F369" s="393"/>
      <c r="G369" s="393"/>
      <c r="H369" s="393"/>
      <c r="I369" s="393"/>
      <c r="J369" s="393"/>
      <c r="K369" s="393"/>
      <c r="L369" s="393"/>
      <c r="M369" s="393"/>
    </row>
    <row r="370">
      <c r="A370" s="393"/>
      <c r="B370" s="408"/>
      <c r="C370" s="408"/>
      <c r="D370" s="408"/>
      <c r="E370" s="393"/>
      <c r="F370" s="393"/>
      <c r="G370" s="393"/>
      <c r="H370" s="393"/>
      <c r="I370" s="393"/>
      <c r="J370" s="393"/>
      <c r="K370" s="393"/>
      <c r="L370" s="393"/>
      <c r="M370" s="393"/>
    </row>
    <row r="371">
      <c r="A371" s="393"/>
      <c r="B371" s="408"/>
      <c r="C371" s="408"/>
      <c r="D371" s="408"/>
      <c r="E371" s="393"/>
      <c r="F371" s="393"/>
      <c r="G371" s="393"/>
      <c r="H371" s="393"/>
      <c r="I371" s="393"/>
      <c r="J371" s="393"/>
      <c r="K371" s="393"/>
      <c r="L371" s="393"/>
      <c r="M371" s="393"/>
    </row>
    <row r="372">
      <c r="A372" s="393"/>
      <c r="B372" s="408"/>
      <c r="C372" s="408"/>
      <c r="D372" s="408"/>
      <c r="E372" s="393"/>
      <c r="F372" s="393"/>
      <c r="G372" s="393"/>
      <c r="H372" s="393"/>
      <c r="I372" s="393"/>
      <c r="J372" s="393"/>
      <c r="K372" s="393"/>
      <c r="L372" s="393"/>
      <c r="M372" s="393"/>
    </row>
    <row r="373">
      <c r="A373" s="393"/>
      <c r="B373" s="408"/>
      <c r="C373" s="408"/>
      <c r="D373" s="408"/>
      <c r="E373" s="393"/>
      <c r="F373" s="393"/>
      <c r="G373" s="393"/>
      <c r="H373" s="393"/>
      <c r="I373" s="393"/>
      <c r="J373" s="393"/>
      <c r="K373" s="393"/>
      <c r="L373" s="393"/>
      <c r="M373" s="393"/>
    </row>
    <row r="374">
      <c r="A374" s="393"/>
      <c r="B374" s="408"/>
      <c r="C374" s="408"/>
      <c r="D374" s="408"/>
      <c r="E374" s="393"/>
      <c r="F374" s="393"/>
      <c r="G374" s="393"/>
      <c r="H374" s="393"/>
      <c r="I374" s="393"/>
      <c r="J374" s="393"/>
      <c r="K374" s="393"/>
      <c r="L374" s="393"/>
      <c r="M374" s="393"/>
    </row>
    <row r="375">
      <c r="A375" s="393"/>
      <c r="B375" s="408"/>
      <c r="C375" s="408"/>
      <c r="D375" s="408"/>
      <c r="E375" s="393"/>
      <c r="F375" s="393"/>
      <c r="G375" s="393"/>
      <c r="H375" s="393"/>
      <c r="I375" s="393"/>
      <c r="J375" s="393"/>
      <c r="K375" s="393"/>
      <c r="L375" s="393"/>
      <c r="M375" s="393"/>
    </row>
    <row r="376">
      <c r="A376" s="393"/>
      <c r="B376" s="408"/>
      <c r="C376" s="408"/>
      <c r="D376" s="408"/>
      <c r="E376" s="393"/>
      <c r="F376" s="393"/>
      <c r="G376" s="393"/>
      <c r="H376" s="393"/>
      <c r="I376" s="393"/>
      <c r="J376" s="393"/>
      <c r="K376" s="393"/>
      <c r="L376" s="393"/>
      <c r="M376" s="393"/>
    </row>
    <row r="377">
      <c r="A377" s="393"/>
      <c r="B377" s="408"/>
      <c r="C377" s="408"/>
      <c r="D377" s="408"/>
      <c r="E377" s="393"/>
      <c r="F377" s="393"/>
      <c r="G377" s="393"/>
      <c r="H377" s="393"/>
      <c r="I377" s="393"/>
      <c r="J377" s="393"/>
      <c r="K377" s="393"/>
      <c r="L377" s="393"/>
      <c r="M377" s="393"/>
    </row>
    <row r="378">
      <c r="A378" s="393"/>
      <c r="B378" s="408"/>
      <c r="C378" s="408"/>
      <c r="D378" s="408"/>
      <c r="E378" s="393"/>
      <c r="F378" s="393"/>
      <c r="G378" s="393"/>
      <c r="H378" s="393"/>
      <c r="I378" s="393"/>
      <c r="J378" s="393"/>
      <c r="K378" s="393"/>
      <c r="L378" s="393"/>
      <c r="M378" s="393"/>
    </row>
    <row r="379">
      <c r="A379" s="393"/>
      <c r="B379" s="408"/>
      <c r="C379" s="408"/>
      <c r="D379" s="408"/>
      <c r="E379" s="393"/>
      <c r="F379" s="393"/>
      <c r="G379" s="393"/>
      <c r="H379" s="393"/>
      <c r="I379" s="393"/>
      <c r="J379" s="393"/>
      <c r="K379" s="393"/>
      <c r="L379" s="393"/>
      <c r="M379" s="393"/>
    </row>
    <row r="380">
      <c r="A380" s="393"/>
      <c r="B380" s="408"/>
      <c r="C380" s="408"/>
      <c r="D380" s="408"/>
      <c r="E380" s="393"/>
      <c r="F380" s="393"/>
      <c r="G380" s="393"/>
      <c r="H380" s="393"/>
      <c r="I380" s="393"/>
      <c r="J380" s="393"/>
      <c r="K380" s="393"/>
      <c r="L380" s="393"/>
      <c r="M380" s="393"/>
    </row>
    <row r="381">
      <c r="A381" s="393"/>
      <c r="B381" s="408"/>
      <c r="C381" s="408"/>
      <c r="D381" s="408"/>
      <c r="E381" s="393"/>
      <c r="F381" s="393"/>
      <c r="G381" s="393"/>
      <c r="H381" s="393"/>
      <c r="I381" s="393"/>
      <c r="J381" s="393"/>
      <c r="K381" s="393"/>
      <c r="L381" s="393"/>
      <c r="M381" s="393"/>
    </row>
    <row r="382">
      <c r="A382" s="393"/>
      <c r="B382" s="408"/>
      <c r="C382" s="408"/>
      <c r="D382" s="408"/>
      <c r="E382" s="393"/>
      <c r="F382" s="393"/>
      <c r="G382" s="393"/>
      <c r="H382" s="393"/>
      <c r="I382" s="393"/>
      <c r="J382" s="393"/>
      <c r="K382" s="393"/>
      <c r="L382" s="393"/>
      <c r="M382" s="393"/>
    </row>
    <row r="383">
      <c r="A383" s="393"/>
      <c r="B383" s="408"/>
      <c r="C383" s="408"/>
      <c r="D383" s="408"/>
      <c r="E383" s="393"/>
      <c r="F383" s="393"/>
      <c r="G383" s="393"/>
      <c r="H383" s="393"/>
      <c r="I383" s="393"/>
      <c r="J383" s="393"/>
      <c r="K383" s="393"/>
      <c r="L383" s="393"/>
      <c r="M383" s="393"/>
    </row>
    <row r="384">
      <c r="A384" s="393"/>
      <c r="B384" s="408"/>
      <c r="C384" s="408"/>
      <c r="D384" s="408"/>
      <c r="E384" s="393"/>
      <c r="F384" s="393"/>
      <c r="G384" s="393"/>
      <c r="H384" s="393"/>
      <c r="I384" s="393"/>
      <c r="J384" s="393"/>
      <c r="K384" s="393"/>
      <c r="L384" s="393"/>
      <c r="M384" s="393"/>
    </row>
    <row r="385">
      <c r="A385" s="393"/>
      <c r="B385" s="408"/>
      <c r="C385" s="408"/>
      <c r="D385" s="408"/>
      <c r="E385" s="393"/>
      <c r="F385" s="393"/>
      <c r="G385" s="393"/>
      <c r="H385" s="393"/>
      <c r="I385" s="393"/>
      <c r="J385" s="393"/>
      <c r="K385" s="393"/>
      <c r="L385" s="393"/>
      <c r="M385" s="393"/>
    </row>
    <row r="386">
      <c r="A386" s="393"/>
      <c r="B386" s="408"/>
      <c r="C386" s="408"/>
      <c r="D386" s="408"/>
      <c r="E386" s="393"/>
      <c r="F386" s="393"/>
      <c r="G386" s="393"/>
      <c r="H386" s="393"/>
      <c r="I386" s="393"/>
      <c r="J386" s="393"/>
      <c r="K386" s="393"/>
      <c r="L386" s="393"/>
      <c r="M386" s="393"/>
    </row>
    <row r="387">
      <c r="A387" s="393"/>
      <c r="B387" s="408"/>
      <c r="C387" s="408"/>
      <c r="D387" s="408"/>
      <c r="E387" s="393"/>
      <c r="F387" s="393"/>
      <c r="G387" s="393"/>
      <c r="H387" s="393"/>
      <c r="I387" s="393"/>
      <c r="J387" s="393"/>
      <c r="K387" s="393"/>
      <c r="L387" s="393"/>
      <c r="M387" s="393"/>
    </row>
    <row r="388">
      <c r="A388" s="393"/>
      <c r="B388" s="408"/>
      <c r="C388" s="408"/>
      <c r="D388" s="408"/>
      <c r="E388" s="393"/>
      <c r="F388" s="393"/>
      <c r="G388" s="393"/>
      <c r="H388" s="393"/>
      <c r="I388" s="393"/>
      <c r="J388" s="393"/>
      <c r="K388" s="393"/>
      <c r="L388" s="393"/>
      <c r="M388" s="393"/>
    </row>
    <row r="389">
      <c r="A389" s="393"/>
      <c r="B389" s="408"/>
      <c r="C389" s="408"/>
      <c r="D389" s="408"/>
      <c r="E389" s="393"/>
      <c r="F389" s="393"/>
      <c r="G389" s="393"/>
      <c r="H389" s="393"/>
      <c r="I389" s="393"/>
      <c r="J389" s="393"/>
      <c r="K389" s="393"/>
      <c r="L389" s="393"/>
      <c r="M389" s="393"/>
    </row>
    <row r="390">
      <c r="A390" s="393"/>
      <c r="B390" s="408"/>
      <c r="C390" s="408"/>
      <c r="D390" s="408"/>
      <c r="E390" s="393"/>
      <c r="F390" s="393"/>
      <c r="G390" s="393"/>
      <c r="H390" s="393"/>
      <c r="I390" s="393"/>
      <c r="J390" s="393"/>
      <c r="K390" s="393"/>
      <c r="L390" s="393"/>
      <c r="M390" s="393"/>
    </row>
    <row r="391">
      <c r="A391" s="393"/>
      <c r="B391" s="408"/>
      <c r="C391" s="408"/>
      <c r="D391" s="408"/>
      <c r="E391" s="393"/>
      <c r="F391" s="393"/>
      <c r="G391" s="393"/>
      <c r="H391" s="393"/>
      <c r="I391" s="393"/>
      <c r="J391" s="393"/>
      <c r="K391" s="393"/>
      <c r="L391" s="393"/>
      <c r="M391" s="393"/>
    </row>
    <row r="392">
      <c r="A392" s="393"/>
      <c r="B392" s="408"/>
      <c r="C392" s="408"/>
      <c r="D392" s="408"/>
      <c r="E392" s="393"/>
      <c r="F392" s="393"/>
      <c r="G392" s="393"/>
      <c r="H392" s="393"/>
      <c r="I392" s="393"/>
      <c r="J392" s="393"/>
      <c r="K392" s="393"/>
      <c r="L392" s="393"/>
      <c r="M392" s="393"/>
    </row>
    <row r="393">
      <c r="A393" s="393"/>
      <c r="B393" s="408"/>
      <c r="C393" s="408"/>
      <c r="D393" s="408"/>
      <c r="E393" s="393"/>
      <c r="F393" s="393"/>
      <c r="G393" s="393"/>
      <c r="H393" s="393"/>
      <c r="I393" s="393"/>
      <c r="J393" s="393"/>
      <c r="K393" s="393"/>
      <c r="L393" s="393"/>
      <c r="M393" s="393"/>
    </row>
    <row r="394">
      <c r="A394" s="393"/>
      <c r="B394" s="408"/>
      <c r="C394" s="408"/>
      <c r="D394" s="408"/>
      <c r="E394" s="393"/>
      <c r="F394" s="393"/>
      <c r="G394" s="393"/>
      <c r="H394" s="393"/>
      <c r="I394" s="393"/>
      <c r="J394" s="393"/>
      <c r="K394" s="393"/>
      <c r="L394" s="393"/>
      <c r="M394" s="393"/>
    </row>
    <row r="395">
      <c r="A395" s="393"/>
      <c r="B395" s="408"/>
      <c r="C395" s="408"/>
      <c r="D395" s="408"/>
      <c r="E395" s="393"/>
      <c r="F395" s="393"/>
      <c r="G395" s="393"/>
      <c r="H395" s="393"/>
      <c r="I395" s="393"/>
      <c r="J395" s="393"/>
      <c r="K395" s="393"/>
      <c r="L395" s="393"/>
      <c r="M395" s="393"/>
    </row>
    <row r="396">
      <c r="A396" s="393"/>
      <c r="B396" s="408"/>
      <c r="C396" s="408"/>
      <c r="D396" s="408"/>
      <c r="E396" s="393"/>
      <c r="F396" s="393"/>
      <c r="G396" s="393"/>
      <c r="H396" s="393"/>
      <c r="I396" s="393"/>
      <c r="J396" s="393"/>
      <c r="K396" s="393"/>
      <c r="L396" s="393"/>
      <c r="M396" s="393"/>
    </row>
    <row r="397">
      <c r="A397" s="393"/>
      <c r="B397" s="408"/>
      <c r="C397" s="408"/>
      <c r="D397" s="408"/>
      <c r="E397" s="393"/>
      <c r="F397" s="393"/>
      <c r="G397" s="393"/>
      <c r="H397" s="393"/>
      <c r="I397" s="393"/>
      <c r="J397" s="393"/>
      <c r="K397" s="393"/>
      <c r="L397" s="393"/>
      <c r="M397" s="393"/>
    </row>
    <row r="398">
      <c r="A398" s="393"/>
      <c r="B398" s="408"/>
      <c r="C398" s="408"/>
      <c r="D398" s="408"/>
      <c r="E398" s="393"/>
      <c r="F398" s="393"/>
      <c r="G398" s="393"/>
      <c r="H398" s="393"/>
      <c r="I398" s="393"/>
      <c r="J398" s="393"/>
      <c r="K398" s="393"/>
      <c r="L398" s="393"/>
      <c r="M398" s="393"/>
    </row>
    <row r="399">
      <c r="A399" s="393"/>
      <c r="B399" s="408"/>
      <c r="C399" s="408"/>
      <c r="D399" s="408"/>
      <c r="E399" s="393"/>
      <c r="F399" s="393"/>
      <c r="G399" s="393"/>
      <c r="H399" s="393"/>
      <c r="I399" s="393"/>
      <c r="J399" s="393"/>
      <c r="K399" s="393"/>
      <c r="L399" s="393"/>
      <c r="M399" s="393"/>
    </row>
    <row r="400">
      <c r="A400" s="393"/>
      <c r="B400" s="408"/>
      <c r="C400" s="408"/>
      <c r="D400" s="408"/>
      <c r="E400" s="393"/>
      <c r="F400" s="393"/>
      <c r="G400" s="393"/>
      <c r="H400" s="393"/>
      <c r="I400" s="393"/>
      <c r="J400" s="393"/>
      <c r="K400" s="393"/>
      <c r="L400" s="393"/>
      <c r="M400" s="393"/>
    </row>
    <row r="401">
      <c r="A401" s="393"/>
      <c r="B401" s="408"/>
      <c r="C401" s="408"/>
      <c r="D401" s="408"/>
      <c r="E401" s="393"/>
      <c r="F401" s="393"/>
      <c r="G401" s="393"/>
      <c r="H401" s="393"/>
      <c r="I401" s="393"/>
      <c r="J401" s="393"/>
      <c r="K401" s="393"/>
      <c r="L401" s="393"/>
      <c r="M401" s="393"/>
    </row>
    <row r="402">
      <c r="A402" s="393"/>
      <c r="B402" s="408"/>
      <c r="C402" s="408"/>
      <c r="D402" s="408"/>
      <c r="E402" s="393"/>
      <c r="F402" s="393"/>
      <c r="G402" s="393"/>
      <c r="H402" s="393"/>
      <c r="I402" s="393"/>
      <c r="J402" s="393"/>
      <c r="K402" s="393"/>
      <c r="L402" s="393"/>
      <c r="M402" s="393"/>
    </row>
    <row r="403">
      <c r="A403" s="393"/>
      <c r="B403" s="408"/>
      <c r="C403" s="408"/>
      <c r="D403" s="408"/>
      <c r="E403" s="393"/>
      <c r="F403" s="393"/>
      <c r="G403" s="393"/>
      <c r="H403" s="393"/>
      <c r="I403" s="393"/>
      <c r="J403" s="393"/>
      <c r="K403" s="393"/>
      <c r="L403" s="393"/>
      <c r="M403" s="393"/>
    </row>
    <row r="404">
      <c r="A404" s="393"/>
      <c r="B404" s="408"/>
      <c r="C404" s="408"/>
      <c r="D404" s="408"/>
      <c r="E404" s="393"/>
      <c r="F404" s="393"/>
      <c r="G404" s="393"/>
      <c r="H404" s="393"/>
      <c r="I404" s="393"/>
      <c r="J404" s="393"/>
      <c r="K404" s="393"/>
      <c r="L404" s="393"/>
      <c r="M404" s="393"/>
    </row>
    <row r="405">
      <c r="A405" s="393"/>
      <c r="B405" s="408"/>
      <c r="C405" s="408"/>
      <c r="D405" s="408"/>
      <c r="E405" s="393"/>
      <c r="F405" s="393"/>
      <c r="G405" s="393"/>
      <c r="H405" s="393"/>
      <c r="I405" s="393"/>
      <c r="J405" s="393"/>
      <c r="K405" s="393"/>
      <c r="L405" s="393"/>
      <c r="M405" s="393"/>
    </row>
    <row r="406">
      <c r="A406" s="393"/>
      <c r="B406" s="408"/>
      <c r="C406" s="408"/>
      <c r="D406" s="408"/>
      <c r="E406" s="393"/>
      <c r="F406" s="393"/>
      <c r="G406" s="393"/>
      <c r="H406" s="393"/>
      <c r="I406" s="393"/>
      <c r="J406" s="393"/>
      <c r="K406" s="393"/>
      <c r="L406" s="393"/>
      <c r="M406" s="393"/>
    </row>
    <row r="407">
      <c r="A407" s="393"/>
      <c r="B407" s="408"/>
      <c r="C407" s="408"/>
      <c r="D407" s="408"/>
      <c r="E407" s="393"/>
      <c r="F407" s="393"/>
      <c r="G407" s="393"/>
      <c r="H407" s="393"/>
      <c r="I407" s="393"/>
      <c r="J407" s="393"/>
      <c r="K407" s="393"/>
      <c r="L407" s="393"/>
      <c r="M407" s="393"/>
    </row>
    <row r="408">
      <c r="A408" s="393"/>
      <c r="B408" s="408"/>
      <c r="C408" s="408"/>
      <c r="D408" s="408"/>
      <c r="E408" s="393"/>
      <c r="F408" s="393"/>
      <c r="G408" s="393"/>
      <c r="H408" s="393"/>
      <c r="I408" s="393"/>
      <c r="J408" s="393"/>
      <c r="K408" s="393"/>
      <c r="L408" s="393"/>
      <c r="M408" s="393"/>
    </row>
    <row r="409">
      <c r="A409" s="393"/>
      <c r="B409" s="408"/>
      <c r="C409" s="408"/>
      <c r="D409" s="408"/>
      <c r="E409" s="393"/>
      <c r="F409" s="393"/>
      <c r="G409" s="393"/>
      <c r="H409" s="393"/>
      <c r="I409" s="393"/>
      <c r="J409" s="393"/>
      <c r="K409" s="393"/>
      <c r="L409" s="393"/>
      <c r="M409" s="393"/>
    </row>
    <row r="410">
      <c r="A410" s="393"/>
      <c r="B410" s="408"/>
      <c r="C410" s="408"/>
      <c r="D410" s="408"/>
      <c r="E410" s="393"/>
      <c r="F410" s="393"/>
      <c r="G410" s="393"/>
      <c r="H410" s="393"/>
      <c r="I410" s="393"/>
      <c r="J410" s="393"/>
      <c r="K410" s="393"/>
      <c r="L410" s="393"/>
      <c r="M410" s="393"/>
    </row>
    <row r="411">
      <c r="A411" s="393"/>
      <c r="B411" s="408"/>
      <c r="C411" s="408"/>
      <c r="D411" s="408"/>
      <c r="E411" s="393"/>
      <c r="F411" s="393"/>
      <c r="G411" s="393"/>
      <c r="H411" s="393"/>
      <c r="I411" s="393"/>
      <c r="J411" s="393"/>
      <c r="K411" s="393"/>
      <c r="L411" s="393"/>
      <c r="M411" s="393"/>
    </row>
    <row r="412">
      <c r="A412" s="393"/>
      <c r="B412" s="408"/>
      <c r="C412" s="408"/>
      <c r="D412" s="408"/>
      <c r="E412" s="393"/>
      <c r="F412" s="393"/>
      <c r="G412" s="393"/>
      <c r="H412" s="393"/>
      <c r="I412" s="393"/>
      <c r="J412" s="393"/>
      <c r="K412" s="393"/>
      <c r="L412" s="393"/>
      <c r="M412" s="393"/>
    </row>
    <row r="413">
      <c r="A413" s="393"/>
      <c r="B413" s="408"/>
      <c r="C413" s="408"/>
      <c r="D413" s="408"/>
      <c r="E413" s="393"/>
      <c r="F413" s="393"/>
      <c r="G413" s="393"/>
      <c r="H413" s="393"/>
      <c r="I413" s="393"/>
      <c r="J413" s="393"/>
      <c r="K413" s="393"/>
      <c r="L413" s="393"/>
      <c r="M413" s="393"/>
    </row>
    <row r="414">
      <c r="A414" s="393"/>
      <c r="B414" s="408"/>
      <c r="C414" s="408"/>
      <c r="D414" s="408"/>
      <c r="E414" s="393"/>
      <c r="F414" s="393"/>
      <c r="G414" s="393"/>
      <c r="H414" s="393"/>
      <c r="I414" s="393"/>
      <c r="J414" s="393"/>
      <c r="K414" s="393"/>
      <c r="L414" s="393"/>
      <c r="M414" s="393"/>
    </row>
    <row r="415">
      <c r="A415" s="393"/>
      <c r="B415" s="408"/>
      <c r="C415" s="408"/>
      <c r="D415" s="408"/>
      <c r="E415" s="393"/>
      <c r="F415" s="393"/>
      <c r="G415" s="393"/>
      <c r="H415" s="393"/>
      <c r="I415" s="393"/>
      <c r="J415" s="393"/>
      <c r="K415" s="393"/>
      <c r="L415" s="393"/>
      <c r="M415" s="393"/>
    </row>
    <row r="416">
      <c r="A416" s="393"/>
      <c r="B416" s="408"/>
      <c r="C416" s="408"/>
      <c r="D416" s="408"/>
      <c r="E416" s="393"/>
      <c r="F416" s="393"/>
      <c r="G416" s="393"/>
      <c r="H416" s="393"/>
      <c r="I416" s="393"/>
      <c r="J416" s="393"/>
      <c r="K416" s="393"/>
      <c r="L416" s="393"/>
      <c r="M416" s="393"/>
    </row>
    <row r="417">
      <c r="A417" s="393"/>
      <c r="B417" s="408"/>
      <c r="C417" s="408"/>
      <c r="D417" s="408"/>
      <c r="E417" s="393"/>
      <c r="F417" s="393"/>
      <c r="G417" s="393"/>
      <c r="H417" s="393"/>
      <c r="I417" s="393"/>
      <c r="J417" s="393"/>
      <c r="K417" s="393"/>
      <c r="L417" s="393"/>
      <c r="M417" s="393"/>
    </row>
    <row r="418">
      <c r="A418" s="393"/>
      <c r="B418" s="408"/>
      <c r="C418" s="408"/>
      <c r="D418" s="408"/>
      <c r="E418" s="393"/>
      <c r="F418" s="393"/>
      <c r="G418" s="393"/>
      <c r="H418" s="393"/>
      <c r="I418" s="393"/>
      <c r="J418" s="393"/>
      <c r="K418" s="393"/>
      <c r="L418" s="393"/>
      <c r="M418" s="393"/>
    </row>
    <row r="419">
      <c r="A419" s="393"/>
      <c r="B419" s="408"/>
      <c r="C419" s="408"/>
      <c r="D419" s="408"/>
      <c r="E419" s="393"/>
      <c r="F419" s="393"/>
      <c r="G419" s="393"/>
      <c r="H419" s="393"/>
      <c r="I419" s="393"/>
      <c r="J419" s="393"/>
      <c r="K419" s="393"/>
      <c r="L419" s="393"/>
      <c r="M419" s="393"/>
    </row>
    <row r="420">
      <c r="A420" s="393"/>
      <c r="B420" s="408"/>
      <c r="C420" s="408"/>
      <c r="D420" s="408"/>
      <c r="E420" s="393"/>
      <c r="F420" s="393"/>
      <c r="G420" s="393"/>
      <c r="H420" s="393"/>
      <c r="I420" s="393"/>
      <c r="J420" s="393"/>
      <c r="K420" s="393"/>
      <c r="L420" s="393"/>
      <c r="M420" s="393"/>
    </row>
    <row r="421">
      <c r="A421" s="393"/>
      <c r="B421" s="408"/>
      <c r="C421" s="408"/>
      <c r="D421" s="408"/>
      <c r="E421" s="393"/>
      <c r="F421" s="393"/>
      <c r="G421" s="393"/>
      <c r="H421" s="393"/>
      <c r="I421" s="393"/>
      <c r="J421" s="393"/>
      <c r="K421" s="393"/>
      <c r="L421" s="393"/>
      <c r="M421" s="393"/>
    </row>
    <row r="422">
      <c r="A422" s="393"/>
      <c r="B422" s="408"/>
      <c r="C422" s="408"/>
      <c r="D422" s="408"/>
      <c r="E422" s="393"/>
      <c r="F422" s="393"/>
      <c r="G422" s="393"/>
      <c r="H422" s="393"/>
      <c r="I422" s="393"/>
      <c r="J422" s="393"/>
      <c r="K422" s="393"/>
      <c r="L422" s="393"/>
      <c r="M422" s="393"/>
    </row>
    <row r="423">
      <c r="A423" s="393"/>
      <c r="B423" s="408"/>
      <c r="C423" s="408"/>
      <c r="D423" s="408"/>
      <c r="E423" s="393"/>
      <c r="F423" s="393"/>
      <c r="G423" s="393"/>
      <c r="H423" s="393"/>
      <c r="I423" s="393"/>
      <c r="J423" s="393"/>
      <c r="K423" s="393"/>
      <c r="L423" s="393"/>
      <c r="M423" s="393"/>
    </row>
    <row r="424">
      <c r="A424" s="393"/>
      <c r="B424" s="408"/>
      <c r="C424" s="408"/>
      <c r="D424" s="408"/>
      <c r="E424" s="393"/>
      <c r="F424" s="393"/>
      <c r="G424" s="393"/>
      <c r="H424" s="393"/>
      <c r="I424" s="393"/>
      <c r="J424" s="393"/>
      <c r="K424" s="393"/>
      <c r="L424" s="393"/>
      <c r="M424" s="393"/>
    </row>
    <row r="425">
      <c r="A425" s="393"/>
      <c r="B425" s="408"/>
      <c r="C425" s="408"/>
      <c r="D425" s="408"/>
      <c r="E425" s="393"/>
      <c r="F425" s="393"/>
      <c r="G425" s="393"/>
      <c r="H425" s="393"/>
      <c r="I425" s="393"/>
      <c r="J425" s="393"/>
      <c r="K425" s="393"/>
      <c r="L425" s="393"/>
      <c r="M425" s="393"/>
    </row>
    <row r="426">
      <c r="A426" s="393"/>
      <c r="B426" s="408"/>
      <c r="C426" s="408"/>
      <c r="D426" s="408"/>
      <c r="E426" s="393"/>
      <c r="F426" s="393"/>
      <c r="G426" s="393"/>
      <c r="H426" s="393"/>
      <c r="I426" s="393"/>
      <c r="J426" s="393"/>
      <c r="K426" s="393"/>
      <c r="L426" s="393"/>
      <c r="M426" s="393"/>
    </row>
    <row r="427">
      <c r="A427" s="393"/>
      <c r="B427" s="408"/>
      <c r="C427" s="408"/>
      <c r="D427" s="408"/>
      <c r="E427" s="393"/>
      <c r="F427" s="393"/>
      <c r="G427" s="393"/>
      <c r="H427" s="393"/>
      <c r="I427" s="393"/>
      <c r="J427" s="393"/>
      <c r="K427" s="393"/>
      <c r="L427" s="393"/>
      <c r="M427" s="393"/>
    </row>
    <row r="428">
      <c r="A428" s="393"/>
      <c r="B428" s="408"/>
      <c r="C428" s="408"/>
      <c r="D428" s="408"/>
      <c r="E428" s="393"/>
      <c r="F428" s="393"/>
      <c r="G428" s="393"/>
      <c r="H428" s="393"/>
      <c r="I428" s="393"/>
      <c r="J428" s="393"/>
      <c r="K428" s="393"/>
      <c r="L428" s="393"/>
      <c r="M428" s="393"/>
    </row>
    <row r="429">
      <c r="A429" s="393"/>
      <c r="B429" s="408"/>
      <c r="C429" s="408"/>
      <c r="D429" s="408"/>
      <c r="E429" s="393"/>
      <c r="F429" s="393"/>
      <c r="G429" s="393"/>
      <c r="H429" s="393"/>
      <c r="I429" s="393"/>
      <c r="J429" s="393"/>
      <c r="K429" s="393"/>
      <c r="L429" s="393"/>
      <c r="M429" s="393"/>
    </row>
    <row r="430">
      <c r="A430" s="393"/>
      <c r="B430" s="408"/>
      <c r="C430" s="408"/>
      <c r="D430" s="408"/>
      <c r="E430" s="393"/>
      <c r="F430" s="393"/>
      <c r="G430" s="393"/>
      <c r="H430" s="393"/>
      <c r="I430" s="393"/>
      <c r="J430" s="393"/>
      <c r="K430" s="393"/>
      <c r="L430" s="393"/>
      <c r="M430" s="393"/>
    </row>
    <row r="431">
      <c r="A431" s="393"/>
      <c r="B431" s="408"/>
      <c r="C431" s="408"/>
      <c r="D431" s="408"/>
      <c r="E431" s="393"/>
      <c r="F431" s="393"/>
      <c r="G431" s="393"/>
      <c r="H431" s="393"/>
      <c r="I431" s="393"/>
      <c r="J431" s="393"/>
      <c r="K431" s="393"/>
      <c r="L431" s="393"/>
      <c r="M431" s="393"/>
    </row>
    <row r="432">
      <c r="A432" s="393"/>
      <c r="B432" s="408"/>
      <c r="C432" s="408"/>
      <c r="D432" s="408"/>
      <c r="E432" s="393"/>
      <c r="F432" s="393"/>
      <c r="G432" s="393"/>
      <c r="H432" s="393"/>
      <c r="I432" s="393"/>
      <c r="J432" s="393"/>
      <c r="K432" s="393"/>
      <c r="L432" s="393"/>
      <c r="M432" s="393"/>
    </row>
    <row r="433">
      <c r="A433" s="393"/>
      <c r="B433" s="408"/>
      <c r="C433" s="408"/>
      <c r="D433" s="408"/>
      <c r="E433" s="393"/>
      <c r="F433" s="393"/>
      <c r="G433" s="393"/>
      <c r="H433" s="393"/>
      <c r="I433" s="393"/>
      <c r="J433" s="393"/>
      <c r="K433" s="393"/>
      <c r="L433" s="393"/>
      <c r="M433" s="393"/>
    </row>
    <row r="434">
      <c r="A434" s="393"/>
      <c r="B434" s="408"/>
      <c r="C434" s="408"/>
      <c r="D434" s="408"/>
      <c r="E434" s="393"/>
      <c r="F434" s="393"/>
      <c r="G434" s="393"/>
      <c r="H434" s="393"/>
      <c r="I434" s="393"/>
      <c r="J434" s="393"/>
      <c r="K434" s="393"/>
      <c r="L434" s="393"/>
      <c r="M434" s="393"/>
    </row>
    <row r="435">
      <c r="A435" s="393"/>
      <c r="B435" s="408"/>
      <c r="C435" s="408"/>
      <c r="D435" s="408"/>
      <c r="E435" s="393"/>
      <c r="F435" s="393"/>
      <c r="G435" s="393"/>
      <c r="H435" s="393"/>
      <c r="I435" s="393"/>
      <c r="J435" s="393"/>
      <c r="K435" s="393"/>
      <c r="L435" s="393"/>
      <c r="M435" s="393"/>
    </row>
    <row r="436">
      <c r="A436" s="393"/>
      <c r="B436" s="408"/>
      <c r="C436" s="408"/>
      <c r="D436" s="408"/>
      <c r="E436" s="393"/>
      <c r="F436" s="393"/>
      <c r="G436" s="393"/>
      <c r="H436" s="393"/>
      <c r="I436" s="393"/>
      <c r="J436" s="393"/>
      <c r="K436" s="393"/>
      <c r="L436" s="393"/>
      <c r="M436" s="393"/>
    </row>
    <row r="437">
      <c r="A437" s="393"/>
      <c r="B437" s="408"/>
      <c r="C437" s="408"/>
      <c r="D437" s="408"/>
      <c r="E437" s="393"/>
      <c r="F437" s="393"/>
      <c r="G437" s="393"/>
      <c r="H437" s="393"/>
      <c r="I437" s="393"/>
      <c r="J437" s="393"/>
      <c r="K437" s="393"/>
      <c r="L437" s="393"/>
      <c r="M437" s="393"/>
    </row>
    <row r="438">
      <c r="A438" s="393"/>
      <c r="B438" s="408"/>
      <c r="C438" s="408"/>
      <c r="D438" s="408"/>
      <c r="E438" s="393"/>
      <c r="F438" s="393"/>
      <c r="G438" s="393"/>
      <c r="H438" s="393"/>
      <c r="I438" s="393"/>
      <c r="J438" s="393"/>
      <c r="K438" s="393"/>
      <c r="L438" s="393"/>
      <c r="M438" s="393"/>
    </row>
    <row r="439">
      <c r="A439" s="393"/>
      <c r="B439" s="408"/>
      <c r="C439" s="408"/>
      <c r="D439" s="408"/>
      <c r="E439" s="393"/>
      <c r="F439" s="393"/>
      <c r="G439" s="393"/>
      <c r="H439" s="393"/>
      <c r="I439" s="393"/>
      <c r="J439" s="393"/>
      <c r="K439" s="393"/>
      <c r="L439" s="393"/>
      <c r="M439" s="393"/>
    </row>
    <row r="440">
      <c r="A440" s="393"/>
      <c r="B440" s="408"/>
      <c r="C440" s="408"/>
      <c r="D440" s="408"/>
      <c r="E440" s="393"/>
      <c r="F440" s="393"/>
      <c r="G440" s="393"/>
      <c r="H440" s="393"/>
      <c r="I440" s="393"/>
      <c r="J440" s="393"/>
      <c r="K440" s="393"/>
      <c r="L440" s="393"/>
      <c r="M440" s="393"/>
    </row>
    <row r="441">
      <c r="A441" s="393"/>
      <c r="B441" s="408"/>
      <c r="C441" s="408"/>
      <c r="D441" s="408"/>
      <c r="E441" s="393"/>
      <c r="F441" s="393"/>
      <c r="G441" s="393"/>
      <c r="H441" s="393"/>
      <c r="I441" s="393"/>
      <c r="J441" s="393"/>
      <c r="K441" s="393"/>
      <c r="L441" s="393"/>
      <c r="M441" s="393"/>
    </row>
    <row r="442">
      <c r="A442" s="393"/>
      <c r="B442" s="408"/>
      <c r="C442" s="408"/>
      <c r="D442" s="408"/>
      <c r="E442" s="393"/>
      <c r="F442" s="393"/>
      <c r="G442" s="393"/>
      <c r="H442" s="393"/>
      <c r="I442" s="393"/>
      <c r="J442" s="393"/>
      <c r="K442" s="393"/>
      <c r="L442" s="393"/>
      <c r="M442" s="393"/>
    </row>
    <row r="443">
      <c r="A443" s="393"/>
      <c r="B443" s="408"/>
      <c r="C443" s="408"/>
      <c r="D443" s="408"/>
      <c r="E443" s="393"/>
      <c r="F443" s="393"/>
      <c r="G443" s="393"/>
      <c r="H443" s="393"/>
      <c r="I443" s="393"/>
      <c r="J443" s="393"/>
      <c r="K443" s="393"/>
      <c r="L443" s="393"/>
      <c r="M443" s="393"/>
    </row>
    <row r="444">
      <c r="A444" s="393"/>
      <c r="B444" s="408"/>
      <c r="C444" s="408"/>
      <c r="D444" s="408"/>
      <c r="E444" s="393"/>
      <c r="F444" s="393"/>
      <c r="G444" s="393"/>
      <c r="H444" s="393"/>
      <c r="I444" s="393"/>
      <c r="J444" s="393"/>
      <c r="K444" s="393"/>
      <c r="L444" s="393"/>
      <c r="M444" s="393"/>
    </row>
    <row r="445">
      <c r="A445" s="393"/>
      <c r="B445" s="408"/>
      <c r="C445" s="408"/>
      <c r="D445" s="408"/>
      <c r="E445" s="393"/>
      <c r="F445" s="393"/>
      <c r="G445" s="393"/>
      <c r="H445" s="393"/>
      <c r="I445" s="393"/>
      <c r="J445" s="393"/>
      <c r="K445" s="393"/>
      <c r="L445" s="393"/>
      <c r="M445" s="393"/>
    </row>
    <row r="446">
      <c r="A446" s="393"/>
      <c r="B446" s="408"/>
      <c r="C446" s="408"/>
      <c r="D446" s="408"/>
      <c r="E446" s="393"/>
      <c r="F446" s="393"/>
      <c r="G446" s="393"/>
      <c r="H446" s="393"/>
      <c r="I446" s="393"/>
      <c r="J446" s="393"/>
      <c r="K446" s="393"/>
      <c r="L446" s="393"/>
      <c r="M446" s="393"/>
    </row>
    <row r="447">
      <c r="A447" s="393"/>
      <c r="B447" s="408"/>
      <c r="C447" s="408"/>
      <c r="D447" s="408"/>
      <c r="E447" s="393"/>
      <c r="F447" s="393"/>
      <c r="G447" s="393"/>
      <c r="H447" s="393"/>
      <c r="I447" s="393"/>
      <c r="J447" s="393"/>
      <c r="K447" s="393"/>
      <c r="L447" s="393"/>
      <c r="M447" s="393"/>
    </row>
    <row r="448">
      <c r="A448" s="393"/>
      <c r="B448" s="408"/>
      <c r="C448" s="408"/>
      <c r="D448" s="408"/>
      <c r="E448" s="393"/>
      <c r="F448" s="393"/>
      <c r="G448" s="393"/>
      <c r="H448" s="393"/>
      <c r="I448" s="393"/>
      <c r="J448" s="393"/>
      <c r="K448" s="393"/>
      <c r="L448" s="393"/>
      <c r="M448" s="393"/>
    </row>
    <row r="449">
      <c r="A449" s="393"/>
      <c r="B449" s="408"/>
      <c r="C449" s="408"/>
      <c r="D449" s="408"/>
      <c r="E449" s="393"/>
      <c r="F449" s="393"/>
      <c r="G449" s="393"/>
      <c r="H449" s="393"/>
      <c r="I449" s="393"/>
      <c r="J449" s="393"/>
      <c r="K449" s="393"/>
      <c r="L449" s="393"/>
      <c r="M449" s="393"/>
    </row>
    <row r="450">
      <c r="A450" s="393"/>
      <c r="B450" s="408"/>
      <c r="C450" s="408"/>
      <c r="D450" s="408"/>
      <c r="E450" s="393"/>
      <c r="F450" s="393"/>
      <c r="G450" s="393"/>
      <c r="H450" s="393"/>
      <c r="I450" s="393"/>
      <c r="J450" s="393"/>
      <c r="K450" s="393"/>
      <c r="L450" s="393"/>
      <c r="M450" s="393"/>
    </row>
    <row r="451">
      <c r="A451" s="393"/>
      <c r="B451" s="408"/>
      <c r="C451" s="408"/>
      <c r="D451" s="408"/>
      <c r="E451" s="393"/>
      <c r="F451" s="393"/>
      <c r="G451" s="393"/>
      <c r="H451" s="393"/>
      <c r="I451" s="393"/>
      <c r="J451" s="393"/>
      <c r="K451" s="393"/>
      <c r="L451" s="393"/>
      <c r="M451" s="393"/>
    </row>
    <row r="452">
      <c r="A452" s="393"/>
      <c r="B452" s="408"/>
      <c r="C452" s="408"/>
      <c r="D452" s="408"/>
      <c r="E452" s="393"/>
      <c r="F452" s="393"/>
      <c r="G452" s="393"/>
      <c r="H452" s="393"/>
      <c r="I452" s="393"/>
      <c r="J452" s="393"/>
      <c r="K452" s="393"/>
      <c r="L452" s="393"/>
      <c r="M452" s="393"/>
    </row>
    <row r="453">
      <c r="A453" s="393"/>
      <c r="B453" s="408"/>
      <c r="C453" s="408"/>
      <c r="D453" s="408"/>
      <c r="E453" s="393"/>
      <c r="F453" s="393"/>
      <c r="G453" s="393"/>
      <c r="H453" s="393"/>
      <c r="I453" s="393"/>
      <c r="J453" s="393"/>
      <c r="K453" s="393"/>
      <c r="L453" s="393"/>
      <c r="M453" s="393"/>
    </row>
    <row r="454">
      <c r="A454" s="393"/>
      <c r="B454" s="408"/>
      <c r="C454" s="408"/>
      <c r="D454" s="408"/>
      <c r="E454" s="393"/>
      <c r="F454" s="393"/>
      <c r="G454" s="393"/>
      <c r="H454" s="393"/>
      <c r="I454" s="393"/>
      <c r="J454" s="393"/>
      <c r="K454" s="393"/>
      <c r="L454" s="393"/>
      <c r="M454" s="393"/>
    </row>
    <row r="455">
      <c r="A455" s="393"/>
      <c r="B455" s="408"/>
      <c r="C455" s="408"/>
      <c r="D455" s="408"/>
      <c r="E455" s="393"/>
      <c r="F455" s="393"/>
      <c r="G455" s="393"/>
      <c r="H455" s="393"/>
      <c r="I455" s="393"/>
      <c r="J455" s="393"/>
      <c r="K455" s="393"/>
      <c r="L455" s="393"/>
      <c r="M455" s="393"/>
    </row>
    <row r="456">
      <c r="A456" s="393"/>
      <c r="B456" s="408"/>
      <c r="C456" s="408"/>
      <c r="D456" s="408"/>
      <c r="E456" s="393"/>
      <c r="F456" s="393"/>
      <c r="G456" s="393"/>
      <c r="H456" s="393"/>
      <c r="I456" s="393"/>
      <c r="J456" s="393"/>
      <c r="K456" s="393"/>
      <c r="L456" s="393"/>
      <c r="M456" s="393"/>
    </row>
    <row r="457">
      <c r="A457" s="393"/>
      <c r="B457" s="408"/>
      <c r="C457" s="408"/>
      <c r="D457" s="408"/>
      <c r="E457" s="393"/>
      <c r="F457" s="393"/>
      <c r="G457" s="393"/>
      <c r="H457" s="393"/>
      <c r="I457" s="393"/>
      <c r="J457" s="393"/>
      <c r="K457" s="393"/>
      <c r="L457" s="393"/>
      <c r="M457" s="393"/>
    </row>
    <row r="458">
      <c r="A458" s="393"/>
      <c r="B458" s="408"/>
      <c r="C458" s="408"/>
      <c r="D458" s="408"/>
      <c r="E458" s="393"/>
      <c r="F458" s="393"/>
      <c r="G458" s="393"/>
      <c r="H458" s="393"/>
      <c r="I458" s="393"/>
      <c r="J458" s="393"/>
      <c r="K458" s="393"/>
      <c r="L458" s="393"/>
      <c r="M458" s="393"/>
    </row>
    <row r="459">
      <c r="A459" s="393"/>
      <c r="B459" s="408"/>
      <c r="C459" s="408"/>
      <c r="D459" s="408"/>
      <c r="E459" s="393"/>
      <c r="F459" s="393"/>
      <c r="G459" s="393"/>
      <c r="H459" s="393"/>
      <c r="I459" s="393"/>
      <c r="J459" s="393"/>
      <c r="K459" s="393"/>
      <c r="L459" s="393"/>
      <c r="M459" s="393"/>
    </row>
    <row r="460">
      <c r="A460" s="393"/>
      <c r="B460" s="408"/>
      <c r="C460" s="408"/>
      <c r="D460" s="408"/>
      <c r="E460" s="393"/>
      <c r="F460" s="393"/>
      <c r="G460" s="393"/>
      <c r="H460" s="393"/>
      <c r="I460" s="393"/>
      <c r="J460" s="393"/>
      <c r="K460" s="393"/>
      <c r="L460" s="393"/>
      <c r="M460" s="393"/>
    </row>
    <row r="461">
      <c r="A461" s="393"/>
      <c r="B461" s="408"/>
      <c r="C461" s="408"/>
      <c r="D461" s="408"/>
      <c r="E461" s="393"/>
      <c r="F461" s="393"/>
      <c r="G461" s="393"/>
      <c r="H461" s="393"/>
      <c r="I461" s="393"/>
      <c r="J461" s="393"/>
      <c r="K461" s="393"/>
      <c r="L461" s="393"/>
      <c r="M461" s="393"/>
    </row>
    <row r="462">
      <c r="A462" s="393"/>
      <c r="B462" s="408"/>
      <c r="C462" s="408"/>
      <c r="D462" s="408"/>
      <c r="E462" s="393"/>
      <c r="F462" s="393"/>
      <c r="G462" s="393"/>
      <c r="H462" s="393"/>
      <c r="I462" s="393"/>
      <c r="J462" s="393"/>
      <c r="K462" s="393"/>
      <c r="L462" s="393"/>
      <c r="M462" s="393"/>
    </row>
    <row r="463">
      <c r="A463" s="393"/>
      <c r="B463" s="408"/>
      <c r="C463" s="408"/>
      <c r="D463" s="408"/>
      <c r="E463" s="393"/>
      <c r="F463" s="393"/>
      <c r="G463" s="393"/>
      <c r="H463" s="393"/>
      <c r="I463" s="393"/>
      <c r="J463" s="393"/>
      <c r="K463" s="393"/>
      <c r="L463" s="393"/>
      <c r="M463" s="393"/>
    </row>
    <row r="464">
      <c r="A464" s="393"/>
      <c r="B464" s="408"/>
      <c r="C464" s="408"/>
      <c r="D464" s="408"/>
      <c r="E464" s="393"/>
      <c r="F464" s="393"/>
      <c r="G464" s="393"/>
      <c r="H464" s="393"/>
      <c r="I464" s="393"/>
      <c r="J464" s="393"/>
      <c r="K464" s="393"/>
      <c r="L464" s="393"/>
      <c r="M464" s="393"/>
    </row>
    <row r="465">
      <c r="A465" s="393"/>
      <c r="B465" s="408"/>
      <c r="C465" s="408"/>
      <c r="D465" s="408"/>
      <c r="E465" s="393"/>
      <c r="F465" s="393"/>
      <c r="G465" s="393"/>
      <c r="H465" s="393"/>
      <c r="I465" s="393"/>
      <c r="J465" s="393"/>
      <c r="K465" s="393"/>
      <c r="L465" s="393"/>
      <c r="M465" s="393"/>
    </row>
    <row r="466">
      <c r="A466" s="393"/>
      <c r="B466" s="408"/>
      <c r="C466" s="408"/>
      <c r="D466" s="408"/>
      <c r="E466" s="393"/>
      <c r="F466" s="393"/>
      <c r="G466" s="393"/>
      <c r="H466" s="393"/>
      <c r="I466" s="393"/>
      <c r="J466" s="393"/>
      <c r="K466" s="393"/>
      <c r="L466" s="393"/>
      <c r="M466" s="393"/>
    </row>
    <row r="467">
      <c r="A467" s="393"/>
      <c r="B467" s="408"/>
      <c r="C467" s="408"/>
      <c r="D467" s="408"/>
      <c r="E467" s="393"/>
      <c r="F467" s="393"/>
      <c r="G467" s="393"/>
      <c r="H467" s="393"/>
      <c r="I467" s="393"/>
      <c r="J467" s="393"/>
      <c r="K467" s="393"/>
      <c r="L467" s="393"/>
      <c r="M467" s="393"/>
    </row>
    <row r="468">
      <c r="A468" s="393"/>
      <c r="B468" s="408"/>
      <c r="C468" s="408"/>
      <c r="D468" s="408"/>
      <c r="E468" s="393"/>
      <c r="F468" s="393"/>
      <c r="G468" s="393"/>
      <c r="H468" s="393"/>
      <c r="I468" s="393"/>
      <c r="J468" s="393"/>
      <c r="K468" s="393"/>
      <c r="L468" s="393"/>
      <c r="M468" s="393"/>
    </row>
    <row r="469">
      <c r="A469" s="393"/>
      <c r="B469" s="408"/>
      <c r="C469" s="408"/>
      <c r="D469" s="408"/>
      <c r="E469" s="393"/>
      <c r="F469" s="393"/>
      <c r="G469" s="393"/>
      <c r="H469" s="393"/>
      <c r="I469" s="393"/>
      <c r="J469" s="393"/>
      <c r="K469" s="393"/>
      <c r="L469" s="393"/>
      <c r="M469" s="393"/>
    </row>
    <row r="470">
      <c r="A470" s="393"/>
      <c r="B470" s="408"/>
      <c r="C470" s="408"/>
      <c r="D470" s="408"/>
      <c r="E470" s="393"/>
      <c r="F470" s="393"/>
      <c r="G470" s="393"/>
      <c r="H470" s="393"/>
      <c r="I470" s="393"/>
      <c r="J470" s="393"/>
      <c r="K470" s="393"/>
      <c r="L470" s="393"/>
      <c r="M470" s="393"/>
    </row>
    <row r="471">
      <c r="A471" s="393"/>
      <c r="B471" s="408"/>
      <c r="C471" s="408"/>
      <c r="D471" s="408"/>
      <c r="E471" s="393"/>
      <c r="F471" s="393"/>
      <c r="G471" s="393"/>
      <c r="H471" s="393"/>
      <c r="I471" s="393"/>
      <c r="J471" s="393"/>
      <c r="K471" s="393"/>
      <c r="L471" s="393"/>
      <c r="M471" s="393"/>
    </row>
    <row r="472">
      <c r="A472" s="393"/>
      <c r="B472" s="408"/>
      <c r="C472" s="408"/>
      <c r="D472" s="408"/>
      <c r="E472" s="393"/>
      <c r="F472" s="393"/>
      <c r="G472" s="393"/>
      <c r="H472" s="393"/>
      <c r="I472" s="393"/>
      <c r="J472" s="393"/>
      <c r="K472" s="393"/>
      <c r="L472" s="393"/>
      <c r="M472" s="393"/>
    </row>
    <row r="473">
      <c r="A473" s="393"/>
      <c r="B473" s="408"/>
      <c r="C473" s="408"/>
      <c r="D473" s="408"/>
      <c r="E473" s="393"/>
      <c r="F473" s="393"/>
      <c r="G473" s="393"/>
      <c r="H473" s="393"/>
      <c r="I473" s="393"/>
      <c r="J473" s="393"/>
      <c r="K473" s="393"/>
      <c r="L473" s="393"/>
      <c r="M473" s="393"/>
    </row>
    <row r="474">
      <c r="A474" s="393"/>
      <c r="B474" s="408"/>
      <c r="C474" s="408"/>
      <c r="D474" s="408"/>
      <c r="E474" s="393"/>
      <c r="F474" s="393"/>
      <c r="G474" s="393"/>
      <c r="H474" s="393"/>
      <c r="I474" s="393"/>
      <c r="J474" s="393"/>
      <c r="K474" s="393"/>
      <c r="L474" s="393"/>
      <c r="M474" s="393"/>
    </row>
    <row r="475">
      <c r="A475" s="393"/>
      <c r="B475" s="408"/>
      <c r="C475" s="408"/>
      <c r="D475" s="408"/>
      <c r="E475" s="393"/>
      <c r="F475" s="393"/>
      <c r="G475" s="393"/>
      <c r="H475" s="393"/>
      <c r="I475" s="393"/>
      <c r="J475" s="393"/>
      <c r="K475" s="393"/>
      <c r="L475" s="393"/>
      <c r="M475" s="393"/>
    </row>
    <row r="476">
      <c r="A476" s="393"/>
      <c r="B476" s="408"/>
      <c r="C476" s="408"/>
      <c r="D476" s="408"/>
      <c r="E476" s="393"/>
      <c r="F476" s="393"/>
      <c r="G476" s="393"/>
      <c r="H476" s="393"/>
      <c r="I476" s="393"/>
      <c r="J476" s="393"/>
      <c r="K476" s="393"/>
      <c r="L476" s="393"/>
      <c r="M476" s="393"/>
    </row>
    <row r="477">
      <c r="A477" s="393"/>
      <c r="B477" s="408"/>
      <c r="C477" s="408"/>
      <c r="D477" s="408"/>
      <c r="E477" s="393"/>
      <c r="F477" s="393"/>
      <c r="G477" s="393"/>
      <c r="H477" s="393"/>
      <c r="I477" s="393"/>
      <c r="J477" s="393"/>
      <c r="K477" s="393"/>
      <c r="L477" s="393"/>
      <c r="M477" s="393"/>
    </row>
    <row r="478">
      <c r="A478" s="393"/>
      <c r="B478" s="408"/>
      <c r="C478" s="408"/>
      <c r="D478" s="408"/>
      <c r="E478" s="393"/>
      <c r="F478" s="393"/>
      <c r="G478" s="393"/>
      <c r="H478" s="393"/>
      <c r="I478" s="393"/>
      <c r="J478" s="393"/>
      <c r="K478" s="393"/>
      <c r="L478" s="393"/>
      <c r="M478" s="393"/>
    </row>
    <row r="479">
      <c r="A479" s="393"/>
      <c r="B479" s="408"/>
      <c r="C479" s="408"/>
      <c r="D479" s="408"/>
      <c r="E479" s="393"/>
      <c r="F479" s="393"/>
      <c r="G479" s="393"/>
      <c r="H479" s="393"/>
      <c r="I479" s="393"/>
      <c r="J479" s="393"/>
      <c r="K479" s="393"/>
      <c r="L479" s="393"/>
      <c r="M479" s="393"/>
    </row>
    <row r="480">
      <c r="A480" s="393"/>
      <c r="B480" s="408"/>
      <c r="C480" s="408"/>
      <c r="D480" s="408"/>
      <c r="E480" s="393"/>
      <c r="F480" s="393"/>
      <c r="G480" s="393"/>
      <c r="H480" s="393"/>
      <c r="I480" s="393"/>
      <c r="J480" s="393"/>
      <c r="K480" s="393"/>
      <c r="L480" s="393"/>
      <c r="M480" s="393"/>
    </row>
    <row r="481">
      <c r="A481" s="393"/>
      <c r="B481" s="408"/>
      <c r="C481" s="408"/>
      <c r="D481" s="408"/>
      <c r="E481" s="393"/>
      <c r="F481" s="393"/>
      <c r="G481" s="393"/>
      <c r="H481" s="393"/>
      <c r="I481" s="393"/>
      <c r="J481" s="393"/>
      <c r="K481" s="393"/>
      <c r="L481" s="393"/>
      <c r="M481" s="393"/>
    </row>
    <row r="482">
      <c r="A482" s="393"/>
      <c r="B482" s="408"/>
      <c r="C482" s="408"/>
      <c r="D482" s="408"/>
      <c r="E482" s="393"/>
      <c r="F482" s="393"/>
      <c r="G482" s="393"/>
      <c r="H482" s="393"/>
      <c r="I482" s="393"/>
      <c r="J482" s="393"/>
      <c r="K482" s="393"/>
      <c r="L482" s="393"/>
      <c r="M482" s="393"/>
    </row>
    <row r="483">
      <c r="A483" s="393"/>
      <c r="B483" s="408"/>
      <c r="C483" s="408"/>
      <c r="D483" s="408"/>
      <c r="E483" s="393"/>
      <c r="F483" s="393"/>
      <c r="G483" s="393"/>
      <c r="H483" s="393"/>
      <c r="I483" s="393"/>
      <c r="J483" s="393"/>
      <c r="K483" s="393"/>
      <c r="L483" s="393"/>
      <c r="M483" s="393"/>
    </row>
    <row r="484">
      <c r="A484" s="393"/>
      <c r="B484" s="408"/>
      <c r="C484" s="408"/>
      <c r="D484" s="408"/>
      <c r="E484" s="393"/>
      <c r="F484" s="393"/>
      <c r="G484" s="393"/>
      <c r="H484" s="393"/>
      <c r="I484" s="393"/>
      <c r="J484" s="393"/>
      <c r="K484" s="393"/>
      <c r="L484" s="393"/>
      <c r="M484" s="393"/>
    </row>
    <row r="485">
      <c r="A485" s="393"/>
      <c r="B485" s="408"/>
      <c r="C485" s="408"/>
      <c r="D485" s="408"/>
      <c r="E485" s="393"/>
      <c r="F485" s="393"/>
      <c r="G485" s="393"/>
      <c r="H485" s="393"/>
      <c r="I485" s="393"/>
      <c r="J485" s="393"/>
      <c r="K485" s="393"/>
      <c r="L485" s="393"/>
      <c r="M485" s="393"/>
    </row>
    <row r="486">
      <c r="A486" s="393"/>
      <c r="B486" s="408"/>
      <c r="C486" s="408"/>
      <c r="D486" s="408"/>
      <c r="E486" s="393"/>
      <c r="F486" s="393"/>
      <c r="G486" s="393"/>
      <c r="H486" s="393"/>
      <c r="I486" s="393"/>
      <c r="J486" s="393"/>
      <c r="K486" s="393"/>
      <c r="L486" s="393"/>
      <c r="M486" s="393"/>
    </row>
    <row r="487">
      <c r="A487" s="393"/>
      <c r="B487" s="408"/>
      <c r="C487" s="408"/>
      <c r="D487" s="408"/>
      <c r="E487" s="393"/>
      <c r="F487" s="393"/>
      <c r="G487" s="393"/>
      <c r="H487" s="393"/>
      <c r="I487" s="393"/>
      <c r="J487" s="393"/>
      <c r="K487" s="393"/>
      <c r="L487" s="393"/>
      <c r="M487" s="393"/>
    </row>
    <row r="488">
      <c r="A488" s="393"/>
      <c r="B488" s="408"/>
      <c r="C488" s="408"/>
      <c r="D488" s="408"/>
      <c r="E488" s="393"/>
      <c r="F488" s="393"/>
      <c r="G488" s="393"/>
      <c r="H488" s="393"/>
      <c r="I488" s="393"/>
      <c r="J488" s="393"/>
      <c r="K488" s="393"/>
      <c r="L488" s="393"/>
      <c r="M488" s="393"/>
    </row>
    <row r="489">
      <c r="A489" s="393"/>
      <c r="B489" s="408"/>
      <c r="C489" s="408"/>
      <c r="D489" s="408"/>
      <c r="E489" s="393"/>
      <c r="F489" s="393"/>
      <c r="G489" s="393"/>
      <c r="H489" s="393"/>
      <c r="I489" s="393"/>
      <c r="J489" s="393"/>
      <c r="K489" s="393"/>
      <c r="L489" s="393"/>
      <c r="M489" s="393"/>
    </row>
    <row r="490">
      <c r="A490" s="393"/>
      <c r="B490" s="408"/>
      <c r="C490" s="408"/>
      <c r="D490" s="408"/>
      <c r="E490" s="393"/>
      <c r="F490" s="393"/>
      <c r="G490" s="393"/>
      <c r="H490" s="393"/>
      <c r="I490" s="393"/>
      <c r="J490" s="393"/>
      <c r="K490" s="393"/>
      <c r="L490" s="393"/>
      <c r="M490" s="393"/>
    </row>
    <row r="491">
      <c r="A491" s="393"/>
      <c r="B491" s="408"/>
      <c r="C491" s="408"/>
      <c r="D491" s="408"/>
      <c r="E491" s="393"/>
      <c r="F491" s="393"/>
      <c r="G491" s="393"/>
      <c r="H491" s="393"/>
      <c r="I491" s="393"/>
      <c r="J491" s="393"/>
      <c r="K491" s="393"/>
      <c r="L491" s="393"/>
      <c r="M491" s="393"/>
    </row>
    <row r="492">
      <c r="A492" s="393"/>
      <c r="B492" s="408"/>
      <c r="C492" s="408"/>
      <c r="D492" s="408"/>
      <c r="E492" s="393"/>
      <c r="F492" s="393"/>
      <c r="G492" s="393"/>
      <c r="H492" s="393"/>
      <c r="I492" s="393"/>
      <c r="J492" s="393"/>
      <c r="K492" s="393"/>
      <c r="L492" s="393"/>
      <c r="M492" s="393"/>
    </row>
    <row r="493">
      <c r="A493" s="393"/>
      <c r="B493" s="408"/>
      <c r="C493" s="408"/>
      <c r="D493" s="408"/>
      <c r="E493" s="393"/>
      <c r="F493" s="393"/>
      <c r="G493" s="393"/>
      <c r="H493" s="393"/>
      <c r="I493" s="393"/>
      <c r="J493" s="393"/>
      <c r="K493" s="393"/>
      <c r="L493" s="393"/>
      <c r="M493" s="393"/>
    </row>
    <row r="494">
      <c r="A494" s="393"/>
      <c r="B494" s="408"/>
      <c r="C494" s="408"/>
      <c r="D494" s="408"/>
      <c r="E494" s="393"/>
      <c r="F494" s="393"/>
      <c r="G494" s="393"/>
      <c r="H494" s="393"/>
      <c r="I494" s="393"/>
      <c r="J494" s="393"/>
      <c r="K494" s="393"/>
      <c r="L494" s="393"/>
      <c r="M494" s="393"/>
    </row>
    <row r="495">
      <c r="A495" s="393"/>
      <c r="B495" s="408"/>
      <c r="C495" s="408"/>
      <c r="D495" s="408"/>
      <c r="E495" s="393"/>
      <c r="F495" s="393"/>
      <c r="G495" s="393"/>
      <c r="H495" s="393"/>
      <c r="I495" s="393"/>
      <c r="J495" s="393"/>
      <c r="K495" s="393"/>
      <c r="L495" s="393"/>
      <c r="M495" s="393"/>
    </row>
    <row r="496">
      <c r="A496" s="393"/>
      <c r="B496" s="408"/>
      <c r="C496" s="408"/>
      <c r="D496" s="408"/>
      <c r="E496" s="393"/>
      <c r="F496" s="393"/>
      <c r="G496" s="393"/>
      <c r="H496" s="393"/>
      <c r="I496" s="393"/>
      <c r="J496" s="393"/>
      <c r="K496" s="393"/>
      <c r="L496" s="393"/>
      <c r="M496" s="393"/>
    </row>
    <row r="497">
      <c r="A497" s="393"/>
      <c r="B497" s="408"/>
      <c r="C497" s="408"/>
      <c r="D497" s="408"/>
      <c r="E497" s="393"/>
      <c r="F497" s="393"/>
      <c r="G497" s="393"/>
      <c r="H497" s="393"/>
      <c r="I497" s="393"/>
      <c r="J497" s="393"/>
      <c r="K497" s="393"/>
      <c r="L497" s="393"/>
      <c r="M497" s="393"/>
    </row>
    <row r="498">
      <c r="A498" s="393"/>
      <c r="B498" s="408"/>
      <c r="C498" s="408"/>
      <c r="D498" s="408"/>
      <c r="E498" s="393"/>
      <c r="F498" s="393"/>
      <c r="G498" s="393"/>
      <c r="H498" s="393"/>
      <c r="I498" s="393"/>
      <c r="J498" s="393"/>
      <c r="K498" s="393"/>
      <c r="L498" s="393"/>
      <c r="M498" s="393"/>
    </row>
    <row r="499">
      <c r="A499" s="393"/>
      <c r="B499" s="408"/>
      <c r="C499" s="408"/>
      <c r="D499" s="408"/>
      <c r="E499" s="393"/>
      <c r="F499" s="393"/>
      <c r="G499" s="393"/>
      <c r="H499" s="393"/>
      <c r="I499" s="393"/>
      <c r="J499" s="393"/>
      <c r="K499" s="393"/>
      <c r="L499" s="393"/>
      <c r="M499" s="393"/>
    </row>
    <row r="500">
      <c r="A500" s="393"/>
      <c r="B500" s="408"/>
      <c r="C500" s="408"/>
      <c r="D500" s="408"/>
      <c r="E500" s="393"/>
      <c r="F500" s="393"/>
      <c r="G500" s="393"/>
      <c r="H500" s="393"/>
      <c r="I500" s="393"/>
      <c r="J500" s="393"/>
      <c r="K500" s="393"/>
      <c r="L500" s="393"/>
      <c r="M500" s="393"/>
    </row>
    <row r="501">
      <c r="A501" s="393"/>
      <c r="B501" s="408"/>
      <c r="C501" s="408"/>
      <c r="D501" s="408"/>
      <c r="E501" s="393"/>
      <c r="F501" s="393"/>
      <c r="G501" s="393"/>
      <c r="H501" s="393"/>
      <c r="I501" s="393"/>
      <c r="J501" s="393"/>
      <c r="K501" s="393"/>
      <c r="L501" s="393"/>
      <c r="M501" s="393"/>
    </row>
    <row r="502">
      <c r="A502" s="393"/>
      <c r="B502" s="408"/>
      <c r="C502" s="408"/>
      <c r="D502" s="408"/>
      <c r="E502" s="393"/>
      <c r="F502" s="393"/>
      <c r="G502" s="393"/>
      <c r="H502" s="393"/>
      <c r="I502" s="393"/>
      <c r="J502" s="393"/>
      <c r="K502" s="393"/>
      <c r="L502" s="393"/>
      <c r="M502" s="393"/>
    </row>
    <row r="503">
      <c r="A503" s="393"/>
      <c r="B503" s="408"/>
      <c r="C503" s="408"/>
      <c r="D503" s="408"/>
      <c r="E503" s="393"/>
      <c r="F503" s="393"/>
      <c r="G503" s="393"/>
      <c r="H503" s="393"/>
      <c r="I503" s="393"/>
      <c r="J503" s="393"/>
      <c r="K503" s="393"/>
      <c r="L503" s="393"/>
      <c r="M503" s="393"/>
    </row>
    <row r="504">
      <c r="A504" s="393"/>
      <c r="B504" s="408"/>
      <c r="C504" s="408"/>
      <c r="D504" s="408"/>
      <c r="E504" s="393"/>
      <c r="F504" s="393"/>
      <c r="G504" s="393"/>
      <c r="H504" s="393"/>
      <c r="I504" s="393"/>
      <c r="J504" s="393"/>
      <c r="K504" s="393"/>
      <c r="L504" s="393"/>
      <c r="M504" s="393"/>
    </row>
    <row r="505">
      <c r="A505" s="393"/>
      <c r="B505" s="408"/>
      <c r="C505" s="408"/>
      <c r="D505" s="408"/>
      <c r="E505" s="393"/>
      <c r="F505" s="393"/>
      <c r="G505" s="393"/>
      <c r="H505" s="393"/>
      <c r="I505" s="393"/>
      <c r="J505" s="393"/>
      <c r="K505" s="393"/>
      <c r="L505" s="393"/>
      <c r="M505" s="393"/>
    </row>
    <row r="506">
      <c r="A506" s="393"/>
      <c r="B506" s="408"/>
      <c r="C506" s="408"/>
      <c r="D506" s="408"/>
      <c r="E506" s="393"/>
      <c r="F506" s="393"/>
      <c r="G506" s="393"/>
      <c r="H506" s="393"/>
      <c r="I506" s="393"/>
      <c r="J506" s="393"/>
      <c r="K506" s="393"/>
      <c r="L506" s="393"/>
      <c r="M506" s="393"/>
    </row>
    <row r="507">
      <c r="A507" s="393"/>
      <c r="B507" s="408"/>
      <c r="C507" s="408"/>
      <c r="D507" s="408"/>
      <c r="E507" s="393"/>
      <c r="F507" s="393"/>
      <c r="G507" s="393"/>
      <c r="H507" s="393"/>
      <c r="I507" s="393"/>
      <c r="J507" s="393"/>
      <c r="K507" s="393"/>
      <c r="L507" s="393"/>
      <c r="M507" s="393"/>
    </row>
    <row r="508">
      <c r="A508" s="393"/>
      <c r="B508" s="408"/>
      <c r="C508" s="408"/>
      <c r="D508" s="408"/>
      <c r="E508" s="393"/>
      <c r="F508" s="393"/>
      <c r="G508" s="393"/>
      <c r="H508" s="393"/>
      <c r="I508" s="393"/>
      <c r="J508" s="393"/>
      <c r="K508" s="393"/>
      <c r="L508" s="393"/>
      <c r="M508" s="393"/>
    </row>
    <row r="509">
      <c r="A509" s="393"/>
      <c r="B509" s="408"/>
      <c r="C509" s="408"/>
      <c r="D509" s="408"/>
      <c r="E509" s="393"/>
      <c r="F509" s="393"/>
      <c r="G509" s="393"/>
      <c r="H509" s="393"/>
      <c r="I509" s="393"/>
      <c r="J509" s="393"/>
      <c r="K509" s="393"/>
      <c r="L509" s="393"/>
      <c r="M509" s="393"/>
    </row>
    <row r="510">
      <c r="A510" s="393"/>
      <c r="B510" s="408"/>
      <c r="C510" s="408"/>
      <c r="D510" s="408"/>
      <c r="E510" s="393"/>
      <c r="F510" s="393"/>
      <c r="G510" s="393"/>
      <c r="H510" s="393"/>
      <c r="I510" s="393"/>
      <c r="J510" s="393"/>
      <c r="K510" s="393"/>
      <c r="L510" s="393"/>
      <c r="M510" s="393"/>
    </row>
    <row r="511">
      <c r="A511" s="393"/>
      <c r="B511" s="408"/>
      <c r="C511" s="408"/>
      <c r="D511" s="408"/>
      <c r="E511" s="393"/>
      <c r="F511" s="393"/>
      <c r="G511" s="393"/>
      <c r="H511" s="393"/>
      <c r="I511" s="393"/>
      <c r="J511" s="393"/>
      <c r="K511" s="393"/>
      <c r="L511" s="393"/>
      <c r="M511" s="393"/>
    </row>
    <row r="512">
      <c r="A512" s="393"/>
      <c r="B512" s="408"/>
      <c r="C512" s="408"/>
      <c r="D512" s="408"/>
      <c r="E512" s="393"/>
      <c r="F512" s="393"/>
      <c r="G512" s="393"/>
      <c r="H512" s="393"/>
      <c r="I512" s="393"/>
      <c r="J512" s="393"/>
      <c r="K512" s="393"/>
      <c r="L512" s="393"/>
      <c r="M512" s="393"/>
    </row>
    <row r="513">
      <c r="A513" s="393"/>
      <c r="B513" s="408"/>
      <c r="C513" s="408"/>
      <c r="D513" s="408"/>
      <c r="E513" s="393"/>
      <c r="F513" s="393"/>
      <c r="G513" s="393"/>
      <c r="H513" s="393"/>
      <c r="I513" s="393"/>
      <c r="J513" s="393"/>
      <c r="K513" s="393"/>
      <c r="L513" s="393"/>
      <c r="M513" s="393"/>
    </row>
    <row r="514">
      <c r="A514" s="393"/>
      <c r="B514" s="408"/>
      <c r="C514" s="408"/>
      <c r="D514" s="408"/>
      <c r="E514" s="393"/>
      <c r="F514" s="393"/>
      <c r="G514" s="393"/>
      <c r="H514" s="393"/>
      <c r="I514" s="393"/>
      <c r="J514" s="393"/>
      <c r="K514" s="393"/>
      <c r="L514" s="393"/>
      <c r="M514" s="393"/>
    </row>
    <row r="515">
      <c r="A515" s="393"/>
      <c r="B515" s="408"/>
      <c r="C515" s="408"/>
      <c r="D515" s="408"/>
      <c r="E515" s="393"/>
      <c r="F515" s="393"/>
      <c r="G515" s="393"/>
      <c r="H515" s="393"/>
      <c r="I515" s="393"/>
      <c r="J515" s="393"/>
      <c r="K515" s="393"/>
      <c r="L515" s="393"/>
      <c r="M515" s="393"/>
    </row>
    <row r="516">
      <c r="A516" s="393"/>
      <c r="B516" s="408"/>
      <c r="C516" s="408"/>
      <c r="D516" s="408"/>
      <c r="E516" s="393"/>
      <c r="F516" s="393"/>
      <c r="G516" s="393"/>
      <c r="H516" s="393"/>
      <c r="I516" s="393"/>
      <c r="J516" s="393"/>
      <c r="K516" s="393"/>
      <c r="L516" s="393"/>
      <c r="M516" s="393"/>
    </row>
    <row r="517">
      <c r="A517" s="393"/>
      <c r="B517" s="408"/>
      <c r="C517" s="408"/>
      <c r="D517" s="408"/>
      <c r="E517" s="393"/>
      <c r="F517" s="393"/>
      <c r="G517" s="393"/>
      <c r="H517" s="393"/>
      <c r="I517" s="393"/>
      <c r="J517" s="393"/>
      <c r="K517" s="393"/>
      <c r="L517" s="393"/>
      <c r="M517" s="393"/>
    </row>
    <row r="518">
      <c r="A518" s="393"/>
      <c r="B518" s="408"/>
      <c r="C518" s="408"/>
      <c r="D518" s="408"/>
      <c r="E518" s="393"/>
      <c r="F518" s="393"/>
      <c r="G518" s="393"/>
      <c r="H518" s="393"/>
      <c r="I518" s="393"/>
      <c r="J518" s="393"/>
      <c r="K518" s="393"/>
      <c r="L518" s="393"/>
      <c r="M518" s="393"/>
    </row>
    <row r="519">
      <c r="A519" s="393"/>
      <c r="B519" s="408"/>
      <c r="C519" s="408"/>
      <c r="D519" s="408"/>
      <c r="E519" s="393"/>
      <c r="F519" s="393"/>
      <c r="G519" s="393"/>
      <c r="H519" s="393"/>
      <c r="I519" s="393"/>
      <c r="J519" s="393"/>
      <c r="K519" s="393"/>
      <c r="L519" s="393"/>
      <c r="M519" s="393"/>
    </row>
    <row r="520">
      <c r="A520" s="393"/>
      <c r="B520" s="408"/>
      <c r="C520" s="408"/>
      <c r="D520" s="408"/>
      <c r="E520" s="393"/>
      <c r="F520" s="393"/>
      <c r="G520" s="393"/>
      <c r="H520" s="393"/>
      <c r="I520" s="393"/>
      <c r="J520" s="393"/>
      <c r="K520" s="393"/>
      <c r="L520" s="393"/>
      <c r="M520" s="393"/>
    </row>
    <row r="521">
      <c r="A521" s="393"/>
      <c r="B521" s="408"/>
      <c r="C521" s="408"/>
      <c r="D521" s="408"/>
      <c r="E521" s="393"/>
      <c r="F521" s="393"/>
      <c r="G521" s="393"/>
      <c r="H521" s="393"/>
      <c r="I521" s="393"/>
      <c r="J521" s="393"/>
      <c r="K521" s="393"/>
      <c r="L521" s="393"/>
      <c r="M521" s="393"/>
    </row>
    <row r="522">
      <c r="A522" s="393"/>
      <c r="B522" s="408"/>
      <c r="C522" s="408"/>
      <c r="D522" s="408"/>
      <c r="E522" s="393"/>
      <c r="F522" s="393"/>
      <c r="G522" s="393"/>
      <c r="H522" s="393"/>
      <c r="I522" s="393"/>
      <c r="J522" s="393"/>
      <c r="K522" s="393"/>
      <c r="L522" s="393"/>
      <c r="M522" s="393"/>
    </row>
    <row r="523">
      <c r="A523" s="393"/>
      <c r="B523" s="408"/>
      <c r="C523" s="408"/>
      <c r="D523" s="408"/>
      <c r="E523" s="393"/>
      <c r="F523" s="393"/>
      <c r="G523" s="393"/>
      <c r="H523" s="393"/>
      <c r="I523" s="393"/>
      <c r="J523" s="393"/>
      <c r="K523" s="393"/>
      <c r="L523" s="393"/>
      <c r="M523" s="393"/>
    </row>
    <row r="524">
      <c r="A524" s="393"/>
      <c r="B524" s="408"/>
      <c r="C524" s="408"/>
      <c r="D524" s="408"/>
      <c r="E524" s="393"/>
      <c r="F524" s="393"/>
      <c r="G524" s="393"/>
      <c r="H524" s="393"/>
      <c r="I524" s="393"/>
      <c r="J524" s="393"/>
      <c r="K524" s="393"/>
      <c r="L524" s="393"/>
      <c r="M524" s="393"/>
    </row>
    <row r="525">
      <c r="A525" s="393"/>
      <c r="B525" s="408"/>
      <c r="C525" s="408"/>
      <c r="D525" s="408"/>
      <c r="E525" s="393"/>
      <c r="F525" s="393"/>
      <c r="G525" s="393"/>
      <c r="H525" s="393"/>
      <c r="I525" s="393"/>
      <c r="J525" s="393"/>
      <c r="K525" s="393"/>
      <c r="L525" s="393"/>
      <c r="M525" s="393"/>
    </row>
    <row r="526">
      <c r="A526" s="393"/>
      <c r="B526" s="408"/>
      <c r="C526" s="408"/>
      <c r="D526" s="408"/>
      <c r="E526" s="393"/>
      <c r="F526" s="393"/>
      <c r="G526" s="393"/>
      <c r="H526" s="393"/>
      <c r="I526" s="393"/>
      <c r="J526" s="393"/>
      <c r="K526" s="393"/>
      <c r="L526" s="393"/>
      <c r="M526" s="393"/>
    </row>
    <row r="527">
      <c r="A527" s="393"/>
      <c r="B527" s="408"/>
      <c r="C527" s="408"/>
      <c r="D527" s="408"/>
      <c r="E527" s="393"/>
      <c r="F527" s="393"/>
      <c r="G527" s="393"/>
      <c r="H527" s="393"/>
      <c r="I527" s="393"/>
      <c r="J527" s="393"/>
      <c r="K527" s="393"/>
      <c r="L527" s="393"/>
      <c r="M527" s="393"/>
    </row>
    <row r="528">
      <c r="A528" s="393"/>
      <c r="B528" s="408"/>
      <c r="C528" s="408"/>
      <c r="D528" s="408"/>
      <c r="E528" s="393"/>
      <c r="F528" s="393"/>
      <c r="G528" s="393"/>
      <c r="H528" s="393"/>
      <c r="I528" s="393"/>
      <c r="J528" s="393"/>
      <c r="K528" s="393"/>
      <c r="L528" s="393"/>
      <c r="M528" s="393"/>
    </row>
    <row r="529">
      <c r="A529" s="393"/>
      <c r="B529" s="408"/>
      <c r="C529" s="408"/>
      <c r="D529" s="408"/>
      <c r="E529" s="393"/>
      <c r="F529" s="393"/>
      <c r="G529" s="393"/>
      <c r="H529" s="393"/>
      <c r="I529" s="393"/>
      <c r="J529" s="393"/>
      <c r="K529" s="393"/>
      <c r="L529" s="393"/>
      <c r="M529" s="393"/>
    </row>
    <row r="530">
      <c r="A530" s="393"/>
      <c r="B530" s="408"/>
      <c r="C530" s="408"/>
      <c r="D530" s="408"/>
      <c r="E530" s="393"/>
      <c r="F530" s="393"/>
      <c r="G530" s="393"/>
      <c r="H530" s="393"/>
      <c r="I530" s="393"/>
      <c r="J530" s="393"/>
      <c r="K530" s="393"/>
      <c r="L530" s="393"/>
      <c r="M530" s="393"/>
    </row>
    <row r="531">
      <c r="A531" s="393"/>
      <c r="B531" s="408"/>
      <c r="C531" s="408"/>
      <c r="D531" s="408"/>
      <c r="E531" s="393"/>
      <c r="F531" s="393"/>
      <c r="G531" s="393"/>
      <c r="H531" s="393"/>
      <c r="I531" s="393"/>
      <c r="J531" s="393"/>
      <c r="K531" s="393"/>
      <c r="L531" s="393"/>
      <c r="M531" s="393"/>
    </row>
    <row r="532">
      <c r="A532" s="393"/>
      <c r="B532" s="408"/>
      <c r="C532" s="408"/>
      <c r="D532" s="408"/>
      <c r="E532" s="393"/>
      <c r="F532" s="393"/>
      <c r="G532" s="393"/>
      <c r="H532" s="393"/>
      <c r="I532" s="393"/>
      <c r="J532" s="393"/>
      <c r="K532" s="393"/>
      <c r="L532" s="393"/>
      <c r="M532" s="393"/>
    </row>
    <row r="533">
      <c r="A533" s="393"/>
      <c r="B533" s="408"/>
      <c r="C533" s="408"/>
      <c r="D533" s="408"/>
      <c r="E533" s="393"/>
      <c r="F533" s="393"/>
      <c r="G533" s="393"/>
      <c r="H533" s="393"/>
      <c r="I533" s="393"/>
      <c r="J533" s="393"/>
      <c r="K533" s="393"/>
      <c r="L533" s="393"/>
      <c r="M533" s="393"/>
    </row>
    <row r="534">
      <c r="A534" s="393"/>
      <c r="B534" s="408"/>
      <c r="C534" s="408"/>
      <c r="D534" s="408"/>
      <c r="E534" s="393"/>
      <c r="F534" s="393"/>
      <c r="G534" s="393"/>
      <c r="H534" s="393"/>
      <c r="I534" s="393"/>
      <c r="J534" s="393"/>
      <c r="K534" s="393"/>
      <c r="L534" s="393"/>
      <c r="M534" s="393"/>
    </row>
    <row r="535">
      <c r="A535" s="393"/>
      <c r="B535" s="408"/>
      <c r="C535" s="408"/>
      <c r="D535" s="408"/>
      <c r="E535" s="393"/>
      <c r="F535" s="393"/>
      <c r="G535" s="393"/>
      <c r="H535" s="393"/>
      <c r="I535" s="393"/>
      <c r="J535" s="393"/>
      <c r="K535" s="393"/>
      <c r="L535" s="393"/>
      <c r="M535" s="393"/>
    </row>
    <row r="536">
      <c r="A536" s="393"/>
      <c r="B536" s="408"/>
      <c r="C536" s="408"/>
      <c r="D536" s="408"/>
      <c r="E536" s="393"/>
      <c r="F536" s="393"/>
      <c r="G536" s="393"/>
      <c r="H536" s="393"/>
      <c r="I536" s="393"/>
      <c r="J536" s="393"/>
      <c r="K536" s="393"/>
      <c r="L536" s="393"/>
      <c r="M536" s="393"/>
    </row>
    <row r="537">
      <c r="A537" s="393"/>
      <c r="B537" s="408"/>
      <c r="C537" s="408"/>
      <c r="D537" s="408"/>
      <c r="E537" s="393"/>
      <c r="F537" s="393"/>
      <c r="G537" s="393"/>
      <c r="H537" s="393"/>
      <c r="I537" s="393"/>
      <c r="J537" s="393"/>
      <c r="K537" s="393"/>
      <c r="L537" s="393"/>
      <c r="M537" s="393"/>
    </row>
    <row r="538">
      <c r="A538" s="393"/>
      <c r="B538" s="408"/>
      <c r="C538" s="408"/>
      <c r="D538" s="408"/>
      <c r="E538" s="393"/>
      <c r="F538" s="393"/>
      <c r="G538" s="393"/>
      <c r="H538" s="393"/>
      <c r="I538" s="393"/>
      <c r="J538" s="393"/>
      <c r="K538" s="393"/>
      <c r="L538" s="393"/>
      <c r="M538" s="393"/>
    </row>
    <row r="539">
      <c r="A539" s="393"/>
      <c r="B539" s="408"/>
      <c r="C539" s="408"/>
      <c r="D539" s="408"/>
      <c r="E539" s="393"/>
      <c r="F539" s="393"/>
      <c r="G539" s="393"/>
      <c r="H539" s="393"/>
      <c r="I539" s="393"/>
      <c r="J539" s="393"/>
      <c r="K539" s="393"/>
      <c r="L539" s="393"/>
      <c r="M539" s="393"/>
    </row>
    <row r="540">
      <c r="A540" s="393"/>
      <c r="B540" s="408"/>
      <c r="C540" s="408"/>
      <c r="D540" s="408"/>
      <c r="E540" s="393"/>
      <c r="F540" s="393"/>
      <c r="G540" s="393"/>
      <c r="H540" s="393"/>
      <c r="I540" s="393"/>
      <c r="J540" s="393"/>
      <c r="K540" s="393"/>
      <c r="L540" s="393"/>
      <c r="M540" s="393"/>
    </row>
    <row r="541">
      <c r="A541" s="393"/>
      <c r="B541" s="408"/>
      <c r="C541" s="408"/>
      <c r="D541" s="408"/>
      <c r="E541" s="393"/>
      <c r="F541" s="393"/>
      <c r="G541" s="393"/>
      <c r="H541" s="393"/>
      <c r="I541" s="393"/>
      <c r="J541" s="393"/>
      <c r="K541" s="393"/>
      <c r="L541" s="393"/>
      <c r="M541" s="393"/>
    </row>
    <row r="542">
      <c r="A542" s="393"/>
      <c r="B542" s="408"/>
      <c r="C542" s="408"/>
      <c r="D542" s="408"/>
      <c r="E542" s="393"/>
      <c r="F542" s="393"/>
      <c r="G542" s="393"/>
      <c r="H542" s="393"/>
      <c r="I542" s="393"/>
      <c r="J542" s="393"/>
      <c r="K542" s="393"/>
      <c r="L542" s="393"/>
      <c r="M542" s="393"/>
    </row>
    <row r="543">
      <c r="A543" s="393"/>
      <c r="B543" s="408"/>
      <c r="C543" s="408"/>
      <c r="D543" s="408"/>
      <c r="E543" s="393"/>
      <c r="F543" s="393"/>
      <c r="G543" s="393"/>
      <c r="H543" s="393"/>
      <c r="I543" s="393"/>
      <c r="J543" s="393"/>
      <c r="K543" s="393"/>
      <c r="L543" s="393"/>
      <c r="M543" s="393"/>
    </row>
    <row r="544">
      <c r="A544" s="393"/>
      <c r="B544" s="408"/>
      <c r="C544" s="408"/>
      <c r="D544" s="408"/>
      <c r="E544" s="393"/>
      <c r="F544" s="393"/>
      <c r="G544" s="393"/>
      <c r="H544" s="393"/>
      <c r="I544" s="393"/>
      <c r="J544" s="393"/>
      <c r="K544" s="393"/>
      <c r="L544" s="393"/>
      <c r="M544" s="393"/>
    </row>
    <row r="545">
      <c r="A545" s="393"/>
      <c r="B545" s="408"/>
      <c r="C545" s="408"/>
      <c r="D545" s="408"/>
      <c r="E545" s="393"/>
      <c r="F545" s="393"/>
      <c r="G545" s="393"/>
      <c r="H545" s="393"/>
      <c r="I545" s="393"/>
      <c r="J545" s="393"/>
      <c r="K545" s="393"/>
      <c r="L545" s="393"/>
      <c r="M545" s="393"/>
    </row>
    <row r="546">
      <c r="A546" s="393"/>
      <c r="B546" s="408"/>
      <c r="C546" s="408"/>
      <c r="D546" s="408"/>
      <c r="E546" s="393"/>
      <c r="F546" s="393"/>
      <c r="G546" s="393"/>
      <c r="H546" s="393"/>
      <c r="I546" s="393"/>
      <c r="J546" s="393"/>
      <c r="K546" s="393"/>
      <c r="L546" s="393"/>
      <c r="M546" s="393"/>
    </row>
    <row r="547">
      <c r="A547" s="393"/>
      <c r="B547" s="408"/>
      <c r="C547" s="408"/>
      <c r="D547" s="408"/>
      <c r="E547" s="393"/>
      <c r="F547" s="393"/>
      <c r="G547" s="393"/>
      <c r="H547" s="393"/>
      <c r="I547" s="393"/>
      <c r="J547" s="393"/>
      <c r="K547" s="393"/>
      <c r="L547" s="393"/>
      <c r="M547" s="393"/>
    </row>
    <row r="548">
      <c r="A548" s="393"/>
      <c r="B548" s="408"/>
      <c r="C548" s="408"/>
      <c r="D548" s="408"/>
      <c r="E548" s="393"/>
      <c r="F548" s="393"/>
      <c r="G548" s="393"/>
      <c r="H548" s="393"/>
      <c r="I548" s="393"/>
      <c r="J548" s="393"/>
      <c r="K548" s="393"/>
      <c r="L548" s="393"/>
      <c r="M548" s="393"/>
    </row>
    <row r="549">
      <c r="A549" s="393"/>
      <c r="B549" s="408"/>
      <c r="C549" s="408"/>
      <c r="D549" s="408"/>
      <c r="E549" s="393"/>
      <c r="F549" s="393"/>
      <c r="G549" s="393"/>
      <c r="H549" s="393"/>
      <c r="I549" s="393"/>
      <c r="J549" s="393"/>
      <c r="K549" s="393"/>
      <c r="L549" s="393"/>
      <c r="M549" s="393"/>
    </row>
    <row r="550">
      <c r="A550" s="393"/>
      <c r="B550" s="408"/>
      <c r="C550" s="408"/>
      <c r="D550" s="408"/>
      <c r="E550" s="393"/>
      <c r="F550" s="393"/>
      <c r="G550" s="393"/>
      <c r="H550" s="393"/>
      <c r="I550" s="393"/>
      <c r="J550" s="393"/>
      <c r="K550" s="393"/>
      <c r="L550" s="393"/>
      <c r="M550" s="393"/>
    </row>
    <row r="551">
      <c r="A551" s="393"/>
      <c r="B551" s="408"/>
      <c r="C551" s="408"/>
      <c r="D551" s="408"/>
      <c r="E551" s="393"/>
      <c r="F551" s="393"/>
      <c r="G551" s="393"/>
      <c r="H551" s="393"/>
      <c r="I551" s="393"/>
      <c r="J551" s="393"/>
      <c r="K551" s="393"/>
      <c r="L551" s="393"/>
      <c r="M551" s="393"/>
    </row>
    <row r="552">
      <c r="A552" s="393"/>
      <c r="B552" s="408"/>
      <c r="C552" s="408"/>
      <c r="D552" s="408"/>
      <c r="E552" s="393"/>
      <c r="F552" s="393"/>
      <c r="G552" s="393"/>
      <c r="H552" s="393"/>
      <c r="I552" s="393"/>
      <c r="J552" s="393"/>
      <c r="K552" s="393"/>
      <c r="L552" s="393"/>
      <c r="M552" s="393"/>
    </row>
    <row r="553">
      <c r="A553" s="393"/>
      <c r="B553" s="408"/>
      <c r="C553" s="408"/>
      <c r="D553" s="408"/>
      <c r="E553" s="393"/>
      <c r="F553" s="393"/>
      <c r="G553" s="393"/>
      <c r="H553" s="393"/>
      <c r="I553" s="393"/>
      <c r="J553" s="393"/>
      <c r="K553" s="393"/>
      <c r="L553" s="393"/>
      <c r="M553" s="393"/>
    </row>
    <row r="554">
      <c r="A554" s="393"/>
      <c r="B554" s="408"/>
      <c r="C554" s="408"/>
      <c r="D554" s="408"/>
      <c r="E554" s="393"/>
      <c r="F554" s="393"/>
      <c r="G554" s="393"/>
      <c r="H554" s="393"/>
      <c r="I554" s="393"/>
      <c r="J554" s="393"/>
      <c r="K554" s="393"/>
      <c r="L554" s="393"/>
      <c r="M554" s="393"/>
    </row>
    <row r="555">
      <c r="A555" s="393"/>
      <c r="B555" s="408"/>
      <c r="C555" s="408"/>
      <c r="D555" s="408"/>
      <c r="E555" s="393"/>
      <c r="F555" s="393"/>
      <c r="G555" s="393"/>
      <c r="H555" s="393"/>
      <c r="I555" s="393"/>
      <c r="J555" s="393"/>
      <c r="K555" s="393"/>
      <c r="L555" s="393"/>
      <c r="M555" s="393"/>
    </row>
    <row r="556">
      <c r="A556" s="393"/>
      <c r="B556" s="408"/>
      <c r="C556" s="408"/>
      <c r="D556" s="408"/>
      <c r="E556" s="393"/>
      <c r="F556" s="393"/>
      <c r="G556" s="393"/>
      <c r="H556" s="393"/>
      <c r="I556" s="393"/>
      <c r="J556" s="393"/>
      <c r="K556" s="393"/>
      <c r="L556" s="393"/>
      <c r="M556" s="393"/>
    </row>
    <row r="557">
      <c r="A557" s="393"/>
      <c r="B557" s="408"/>
      <c r="C557" s="408"/>
      <c r="D557" s="408"/>
      <c r="E557" s="393"/>
      <c r="F557" s="393"/>
      <c r="G557" s="393"/>
      <c r="H557" s="393"/>
      <c r="I557" s="393"/>
      <c r="J557" s="393"/>
      <c r="K557" s="393"/>
      <c r="L557" s="393"/>
      <c r="M557" s="393"/>
    </row>
    <row r="558">
      <c r="A558" s="393"/>
      <c r="B558" s="408"/>
      <c r="C558" s="408"/>
      <c r="D558" s="408"/>
      <c r="E558" s="393"/>
      <c r="F558" s="393"/>
      <c r="G558" s="393"/>
      <c r="H558" s="393"/>
      <c r="I558" s="393"/>
      <c r="J558" s="393"/>
      <c r="K558" s="393"/>
      <c r="L558" s="393"/>
      <c r="M558" s="393"/>
    </row>
    <row r="559">
      <c r="A559" s="393"/>
      <c r="B559" s="408"/>
      <c r="C559" s="408"/>
      <c r="D559" s="408"/>
      <c r="E559" s="393"/>
      <c r="F559" s="393"/>
      <c r="G559" s="393"/>
      <c r="H559" s="393"/>
      <c r="I559" s="393"/>
      <c r="J559" s="393"/>
      <c r="K559" s="393"/>
      <c r="L559" s="393"/>
      <c r="M559" s="393"/>
    </row>
    <row r="560">
      <c r="A560" s="393"/>
      <c r="B560" s="408"/>
      <c r="C560" s="408"/>
      <c r="D560" s="408"/>
      <c r="E560" s="393"/>
      <c r="F560" s="393"/>
      <c r="G560" s="393"/>
      <c r="H560" s="393"/>
      <c r="I560" s="393"/>
      <c r="J560" s="393"/>
      <c r="K560" s="393"/>
      <c r="L560" s="393"/>
      <c r="M560" s="393"/>
    </row>
    <row r="561">
      <c r="A561" s="393"/>
      <c r="B561" s="408"/>
      <c r="C561" s="408"/>
      <c r="D561" s="408"/>
      <c r="E561" s="393"/>
      <c r="F561" s="393"/>
      <c r="G561" s="393"/>
      <c r="H561" s="393"/>
      <c r="I561" s="393"/>
      <c r="J561" s="393"/>
      <c r="K561" s="393"/>
      <c r="L561" s="393"/>
      <c r="M561" s="393"/>
    </row>
    <row r="562">
      <c r="A562" s="393"/>
      <c r="B562" s="408"/>
      <c r="C562" s="408"/>
      <c r="D562" s="408"/>
      <c r="E562" s="393"/>
      <c r="F562" s="393"/>
      <c r="G562" s="393"/>
      <c r="H562" s="393"/>
      <c r="I562" s="393"/>
      <c r="J562" s="393"/>
      <c r="K562" s="393"/>
      <c r="L562" s="393"/>
      <c r="M562" s="393"/>
    </row>
    <row r="563">
      <c r="A563" s="393"/>
      <c r="B563" s="408"/>
      <c r="C563" s="408"/>
      <c r="D563" s="408"/>
      <c r="E563" s="393"/>
      <c r="F563" s="393"/>
      <c r="G563" s="393"/>
      <c r="H563" s="393"/>
      <c r="I563" s="393"/>
      <c r="J563" s="393"/>
      <c r="K563" s="393"/>
      <c r="L563" s="393"/>
      <c r="M563" s="393"/>
    </row>
    <row r="564">
      <c r="A564" s="393"/>
      <c r="B564" s="408"/>
      <c r="C564" s="408"/>
      <c r="D564" s="408"/>
      <c r="E564" s="393"/>
      <c r="F564" s="393"/>
      <c r="G564" s="393"/>
      <c r="H564" s="393"/>
      <c r="I564" s="393"/>
      <c r="J564" s="393"/>
      <c r="K564" s="393"/>
      <c r="L564" s="393"/>
      <c r="M564" s="393"/>
    </row>
    <row r="565">
      <c r="A565" s="393"/>
      <c r="B565" s="408"/>
      <c r="C565" s="408"/>
      <c r="D565" s="408"/>
      <c r="E565" s="393"/>
      <c r="F565" s="393"/>
      <c r="G565" s="393"/>
      <c r="H565" s="393"/>
      <c r="I565" s="393"/>
      <c r="J565" s="393"/>
      <c r="K565" s="393"/>
      <c r="L565" s="393"/>
      <c r="M565" s="393"/>
    </row>
    <row r="566">
      <c r="A566" s="393"/>
      <c r="B566" s="408"/>
      <c r="C566" s="408"/>
      <c r="D566" s="408"/>
      <c r="E566" s="393"/>
      <c r="F566" s="393"/>
      <c r="G566" s="393"/>
      <c r="H566" s="393"/>
      <c r="I566" s="393"/>
      <c r="J566" s="393"/>
      <c r="K566" s="393"/>
      <c r="L566" s="393"/>
      <c r="M566" s="393"/>
    </row>
    <row r="567">
      <c r="A567" s="393"/>
      <c r="B567" s="408"/>
      <c r="C567" s="408"/>
      <c r="D567" s="408"/>
      <c r="E567" s="393"/>
      <c r="F567" s="393"/>
      <c r="G567" s="393"/>
      <c r="H567" s="393"/>
      <c r="I567" s="393"/>
      <c r="J567" s="393"/>
      <c r="K567" s="393"/>
      <c r="L567" s="393"/>
      <c r="M567" s="393"/>
    </row>
    <row r="568">
      <c r="A568" s="393"/>
      <c r="B568" s="408"/>
      <c r="C568" s="408"/>
      <c r="D568" s="408"/>
      <c r="E568" s="393"/>
      <c r="F568" s="393"/>
      <c r="G568" s="393"/>
      <c r="H568" s="393"/>
      <c r="I568" s="393"/>
      <c r="J568" s="393"/>
      <c r="K568" s="393"/>
      <c r="L568" s="393"/>
      <c r="M568" s="393"/>
    </row>
    <row r="569">
      <c r="A569" s="393"/>
      <c r="B569" s="408"/>
      <c r="C569" s="408"/>
      <c r="D569" s="408"/>
      <c r="E569" s="393"/>
      <c r="F569" s="393"/>
      <c r="G569" s="393"/>
      <c r="H569" s="393"/>
      <c r="I569" s="393"/>
      <c r="J569" s="393"/>
      <c r="K569" s="393"/>
      <c r="L569" s="393"/>
      <c r="M569" s="393"/>
    </row>
    <row r="570">
      <c r="A570" s="393"/>
      <c r="B570" s="408"/>
      <c r="C570" s="408"/>
      <c r="D570" s="408"/>
      <c r="E570" s="393"/>
      <c r="F570" s="393"/>
      <c r="G570" s="393"/>
      <c r="H570" s="393"/>
      <c r="I570" s="393"/>
      <c r="J570" s="393"/>
      <c r="K570" s="393"/>
      <c r="L570" s="393"/>
      <c r="M570" s="393"/>
    </row>
    <row r="571">
      <c r="A571" s="393"/>
      <c r="B571" s="408"/>
      <c r="C571" s="408"/>
      <c r="D571" s="408"/>
      <c r="E571" s="393"/>
      <c r="F571" s="393"/>
      <c r="G571" s="393"/>
      <c r="H571" s="393"/>
      <c r="I571" s="393"/>
      <c r="J571" s="393"/>
      <c r="K571" s="393"/>
      <c r="L571" s="393"/>
      <c r="M571" s="393"/>
    </row>
    <row r="572">
      <c r="A572" s="393"/>
      <c r="B572" s="408"/>
      <c r="C572" s="408"/>
      <c r="D572" s="408"/>
      <c r="E572" s="393"/>
      <c r="F572" s="393"/>
      <c r="G572" s="393"/>
      <c r="H572" s="393"/>
      <c r="I572" s="393"/>
      <c r="J572" s="393"/>
      <c r="K572" s="393"/>
      <c r="L572" s="393"/>
      <c r="M572" s="393"/>
    </row>
    <row r="573">
      <c r="A573" s="393"/>
      <c r="B573" s="408"/>
      <c r="C573" s="408"/>
      <c r="D573" s="408"/>
      <c r="E573" s="393"/>
      <c r="F573" s="393"/>
      <c r="G573" s="393"/>
      <c r="H573" s="393"/>
      <c r="I573" s="393"/>
      <c r="J573" s="393"/>
      <c r="K573" s="393"/>
      <c r="L573" s="393"/>
      <c r="M573" s="393"/>
    </row>
    <row r="574">
      <c r="A574" s="393"/>
      <c r="B574" s="408"/>
      <c r="C574" s="408"/>
      <c r="D574" s="408"/>
      <c r="E574" s="393"/>
      <c r="F574" s="393"/>
      <c r="G574" s="393"/>
      <c r="H574" s="393"/>
      <c r="I574" s="393"/>
      <c r="J574" s="393"/>
      <c r="K574" s="393"/>
      <c r="L574" s="393"/>
      <c r="M574" s="393"/>
    </row>
    <row r="575">
      <c r="A575" s="393"/>
      <c r="B575" s="408"/>
      <c r="C575" s="408"/>
      <c r="D575" s="408"/>
      <c r="E575" s="393"/>
      <c r="F575" s="393"/>
      <c r="G575" s="393"/>
      <c r="H575" s="393"/>
      <c r="I575" s="393"/>
      <c r="J575" s="393"/>
      <c r="K575" s="393"/>
      <c r="L575" s="393"/>
      <c r="M575" s="393"/>
    </row>
    <row r="576">
      <c r="A576" s="393"/>
      <c r="B576" s="408"/>
      <c r="C576" s="408"/>
      <c r="D576" s="408"/>
      <c r="E576" s="393"/>
      <c r="F576" s="393"/>
      <c r="G576" s="393"/>
      <c r="H576" s="393"/>
      <c r="I576" s="393"/>
      <c r="J576" s="393"/>
      <c r="K576" s="393"/>
      <c r="L576" s="393"/>
      <c r="M576" s="393"/>
    </row>
    <row r="577">
      <c r="A577" s="393"/>
      <c r="B577" s="408"/>
      <c r="C577" s="408"/>
      <c r="D577" s="408"/>
      <c r="E577" s="393"/>
      <c r="F577" s="393"/>
      <c r="G577" s="393"/>
      <c r="H577" s="393"/>
      <c r="I577" s="393"/>
      <c r="J577" s="393"/>
      <c r="K577" s="393"/>
      <c r="L577" s="393"/>
      <c r="M577" s="393"/>
    </row>
    <row r="578">
      <c r="A578" s="393"/>
      <c r="B578" s="408"/>
      <c r="C578" s="408"/>
      <c r="D578" s="408"/>
      <c r="E578" s="393"/>
      <c r="F578" s="393"/>
      <c r="G578" s="393"/>
      <c r="H578" s="393"/>
      <c r="I578" s="393"/>
      <c r="J578" s="393"/>
      <c r="K578" s="393"/>
      <c r="L578" s="393"/>
      <c r="M578" s="393"/>
    </row>
    <row r="579">
      <c r="A579" s="393"/>
      <c r="B579" s="408"/>
      <c r="C579" s="408"/>
      <c r="D579" s="408"/>
      <c r="E579" s="393"/>
      <c r="F579" s="393"/>
      <c r="G579" s="393"/>
      <c r="H579" s="393"/>
      <c r="I579" s="393"/>
      <c r="J579" s="393"/>
      <c r="K579" s="393"/>
      <c r="L579" s="393"/>
      <c r="M579" s="393"/>
    </row>
    <row r="580">
      <c r="A580" s="393"/>
      <c r="B580" s="408"/>
      <c r="C580" s="408"/>
      <c r="D580" s="408"/>
      <c r="E580" s="393"/>
      <c r="F580" s="393"/>
      <c r="G580" s="393"/>
      <c r="H580" s="393"/>
      <c r="I580" s="393"/>
      <c r="J580" s="393"/>
      <c r="K580" s="393"/>
      <c r="L580" s="393"/>
      <c r="M580" s="393"/>
    </row>
    <row r="581">
      <c r="A581" s="393"/>
      <c r="B581" s="408"/>
      <c r="C581" s="408"/>
      <c r="D581" s="408"/>
      <c r="E581" s="393"/>
      <c r="F581" s="393"/>
      <c r="G581" s="393"/>
      <c r="H581" s="393"/>
      <c r="I581" s="393"/>
      <c r="J581" s="393"/>
      <c r="K581" s="393"/>
      <c r="L581" s="393"/>
      <c r="M581" s="393"/>
    </row>
    <row r="582">
      <c r="A582" s="393"/>
      <c r="B582" s="408"/>
      <c r="C582" s="408"/>
      <c r="D582" s="408"/>
      <c r="E582" s="393"/>
      <c r="F582" s="393"/>
      <c r="G582" s="393"/>
      <c r="H582" s="393"/>
      <c r="I582" s="393"/>
      <c r="J582" s="393"/>
      <c r="K582" s="393"/>
      <c r="L582" s="393"/>
      <c r="M582" s="393"/>
    </row>
    <row r="583">
      <c r="A583" s="393"/>
      <c r="B583" s="408"/>
      <c r="C583" s="408"/>
      <c r="D583" s="408"/>
      <c r="E583" s="393"/>
      <c r="F583" s="393"/>
      <c r="G583" s="393"/>
      <c r="H583" s="393"/>
      <c r="I583" s="393"/>
      <c r="J583" s="393"/>
      <c r="K583" s="393"/>
      <c r="L583" s="393"/>
      <c r="M583" s="393"/>
    </row>
    <row r="584">
      <c r="A584" s="393"/>
      <c r="B584" s="408"/>
      <c r="C584" s="408"/>
      <c r="D584" s="408"/>
      <c r="E584" s="393"/>
      <c r="F584" s="393"/>
      <c r="G584" s="393"/>
      <c r="H584" s="393"/>
      <c r="I584" s="393"/>
      <c r="J584" s="393"/>
      <c r="K584" s="393"/>
      <c r="L584" s="393"/>
      <c r="M584" s="393"/>
    </row>
    <row r="585">
      <c r="A585" s="393"/>
      <c r="B585" s="408"/>
      <c r="C585" s="408"/>
      <c r="D585" s="408"/>
      <c r="E585" s="393"/>
      <c r="F585" s="393"/>
      <c r="G585" s="393"/>
      <c r="H585" s="393"/>
      <c r="I585" s="393"/>
      <c r="J585" s="393"/>
      <c r="K585" s="393"/>
      <c r="L585" s="393"/>
      <c r="M585" s="393"/>
    </row>
    <row r="586">
      <c r="A586" s="393"/>
      <c r="B586" s="408"/>
      <c r="C586" s="408"/>
      <c r="D586" s="408"/>
      <c r="E586" s="393"/>
      <c r="F586" s="393"/>
      <c r="G586" s="393"/>
      <c r="H586" s="393"/>
      <c r="I586" s="393"/>
      <c r="J586" s="393"/>
      <c r="K586" s="393"/>
      <c r="L586" s="393"/>
      <c r="M586" s="393"/>
    </row>
    <row r="587">
      <c r="A587" s="393"/>
      <c r="B587" s="408"/>
      <c r="C587" s="408"/>
      <c r="D587" s="408"/>
      <c r="E587" s="393"/>
      <c r="F587" s="393"/>
      <c r="G587" s="393"/>
      <c r="H587" s="393"/>
      <c r="I587" s="393"/>
      <c r="J587" s="393"/>
      <c r="K587" s="393"/>
      <c r="L587" s="393"/>
      <c r="M587" s="393"/>
    </row>
    <row r="588">
      <c r="A588" s="393"/>
      <c r="B588" s="408"/>
      <c r="C588" s="408"/>
      <c r="D588" s="408"/>
      <c r="E588" s="393"/>
      <c r="F588" s="393"/>
      <c r="G588" s="393"/>
      <c r="H588" s="393"/>
      <c r="I588" s="393"/>
      <c r="J588" s="393"/>
      <c r="K588" s="393"/>
      <c r="L588" s="393"/>
      <c r="M588" s="393"/>
    </row>
    <row r="589">
      <c r="A589" s="393"/>
      <c r="B589" s="408"/>
      <c r="C589" s="408"/>
      <c r="D589" s="408"/>
      <c r="E589" s="393"/>
      <c r="F589" s="393"/>
      <c r="G589" s="393"/>
      <c r="H589" s="393"/>
      <c r="I589" s="393"/>
      <c r="J589" s="393"/>
      <c r="K589" s="393"/>
      <c r="L589" s="393"/>
      <c r="M589" s="393"/>
    </row>
    <row r="590">
      <c r="A590" s="393"/>
      <c r="B590" s="408"/>
      <c r="C590" s="408"/>
      <c r="D590" s="408"/>
      <c r="E590" s="393"/>
      <c r="F590" s="393"/>
      <c r="G590" s="393"/>
      <c r="H590" s="393"/>
      <c r="I590" s="393"/>
      <c r="J590" s="393"/>
      <c r="K590" s="393"/>
      <c r="L590" s="393"/>
      <c r="M590" s="393"/>
    </row>
    <row r="591">
      <c r="A591" s="393"/>
      <c r="B591" s="408"/>
      <c r="C591" s="408"/>
      <c r="D591" s="408"/>
      <c r="E591" s="393"/>
      <c r="F591" s="393"/>
      <c r="G591" s="393"/>
      <c r="H591" s="393"/>
      <c r="I591" s="393"/>
      <c r="J591" s="393"/>
      <c r="K591" s="393"/>
      <c r="L591" s="393"/>
      <c r="M591" s="393"/>
    </row>
    <row r="592">
      <c r="A592" s="393"/>
      <c r="B592" s="408"/>
      <c r="C592" s="408"/>
      <c r="D592" s="408"/>
      <c r="E592" s="393"/>
      <c r="F592" s="393"/>
      <c r="G592" s="393"/>
      <c r="H592" s="393"/>
      <c r="I592" s="393"/>
      <c r="J592" s="393"/>
      <c r="K592" s="393"/>
      <c r="L592" s="393"/>
      <c r="M592" s="393"/>
    </row>
    <row r="593">
      <c r="A593" s="393"/>
      <c r="B593" s="408"/>
      <c r="C593" s="408"/>
      <c r="D593" s="408"/>
      <c r="E593" s="393"/>
      <c r="F593" s="393"/>
      <c r="G593" s="393"/>
      <c r="H593" s="393"/>
      <c r="I593" s="393"/>
      <c r="J593" s="393"/>
      <c r="K593" s="393"/>
      <c r="L593" s="393"/>
      <c r="M593" s="393"/>
    </row>
    <row r="594">
      <c r="A594" s="393"/>
      <c r="B594" s="408"/>
      <c r="C594" s="408"/>
      <c r="D594" s="408"/>
      <c r="E594" s="393"/>
      <c r="F594" s="393"/>
      <c r="G594" s="393"/>
      <c r="H594" s="393"/>
      <c r="I594" s="393"/>
      <c r="J594" s="393"/>
      <c r="K594" s="393"/>
      <c r="L594" s="393"/>
      <c r="M594" s="393"/>
    </row>
    <row r="595">
      <c r="A595" s="393"/>
      <c r="B595" s="408"/>
      <c r="C595" s="408"/>
      <c r="D595" s="408"/>
      <c r="E595" s="393"/>
      <c r="F595" s="393"/>
      <c r="G595" s="393"/>
      <c r="H595" s="393"/>
      <c r="I595" s="393"/>
      <c r="J595" s="393"/>
      <c r="K595" s="393"/>
      <c r="L595" s="393"/>
      <c r="M595" s="393"/>
    </row>
    <row r="596">
      <c r="A596" s="393"/>
      <c r="B596" s="408"/>
      <c r="C596" s="408"/>
      <c r="D596" s="408"/>
      <c r="E596" s="393"/>
      <c r="F596" s="393"/>
      <c r="G596" s="393"/>
      <c r="H596" s="393"/>
      <c r="I596" s="393"/>
      <c r="J596" s="393"/>
      <c r="K596" s="393"/>
      <c r="L596" s="393"/>
      <c r="M596" s="393"/>
    </row>
    <row r="597">
      <c r="A597" s="393"/>
      <c r="B597" s="408"/>
      <c r="C597" s="408"/>
      <c r="D597" s="408"/>
      <c r="E597" s="393"/>
      <c r="F597" s="393"/>
      <c r="G597" s="393"/>
      <c r="H597" s="393"/>
      <c r="I597" s="393"/>
      <c r="J597" s="393"/>
      <c r="K597" s="393"/>
      <c r="L597" s="393"/>
      <c r="M597" s="393"/>
    </row>
    <row r="598">
      <c r="A598" s="393"/>
      <c r="B598" s="408"/>
      <c r="C598" s="408"/>
      <c r="D598" s="408"/>
      <c r="E598" s="393"/>
      <c r="F598" s="393"/>
      <c r="G598" s="393"/>
      <c r="H598" s="393"/>
      <c r="I598" s="393"/>
      <c r="J598" s="393"/>
      <c r="K598" s="393"/>
      <c r="L598" s="393"/>
      <c r="M598" s="393"/>
    </row>
    <row r="599">
      <c r="A599" s="393"/>
      <c r="B599" s="408"/>
      <c r="C599" s="408"/>
      <c r="D599" s="408"/>
      <c r="E599" s="393"/>
      <c r="F599" s="393"/>
      <c r="G599" s="393"/>
      <c r="H599" s="393"/>
      <c r="I599" s="393"/>
      <c r="J599" s="393"/>
      <c r="K599" s="393"/>
      <c r="L599" s="393"/>
      <c r="M599" s="393"/>
    </row>
    <row r="600">
      <c r="A600" s="393"/>
      <c r="B600" s="408"/>
      <c r="C600" s="408"/>
      <c r="D600" s="408"/>
      <c r="E600" s="393"/>
      <c r="F600" s="393"/>
      <c r="G600" s="393"/>
      <c r="H600" s="393"/>
      <c r="I600" s="393"/>
      <c r="J600" s="393"/>
      <c r="K600" s="393"/>
      <c r="L600" s="393"/>
      <c r="M600" s="393"/>
    </row>
    <row r="601">
      <c r="A601" s="393"/>
      <c r="B601" s="408"/>
      <c r="C601" s="408"/>
      <c r="D601" s="408"/>
      <c r="E601" s="393"/>
      <c r="F601" s="393"/>
      <c r="G601" s="393"/>
      <c r="H601" s="393"/>
      <c r="I601" s="393"/>
      <c r="J601" s="393"/>
      <c r="K601" s="393"/>
      <c r="L601" s="393"/>
      <c r="M601" s="393"/>
    </row>
    <row r="602">
      <c r="A602" s="393"/>
      <c r="B602" s="408"/>
      <c r="C602" s="408"/>
      <c r="D602" s="408"/>
      <c r="E602" s="393"/>
      <c r="F602" s="393"/>
      <c r="G602" s="393"/>
      <c r="H602" s="393"/>
      <c r="I602" s="393"/>
      <c r="J602" s="393"/>
      <c r="K602" s="393"/>
      <c r="L602" s="393"/>
      <c r="M602" s="393"/>
    </row>
    <row r="603">
      <c r="A603" s="393"/>
      <c r="B603" s="408"/>
      <c r="C603" s="408"/>
      <c r="D603" s="408"/>
      <c r="E603" s="393"/>
      <c r="F603" s="393"/>
      <c r="G603" s="393"/>
      <c r="H603" s="393"/>
      <c r="I603" s="393"/>
      <c r="J603" s="393"/>
      <c r="K603" s="393"/>
      <c r="L603" s="393"/>
      <c r="M603" s="393"/>
    </row>
    <row r="604">
      <c r="A604" s="393"/>
      <c r="B604" s="408"/>
      <c r="C604" s="408"/>
      <c r="D604" s="408"/>
      <c r="E604" s="393"/>
      <c r="F604" s="393"/>
      <c r="G604" s="393"/>
      <c r="H604" s="393"/>
      <c r="I604" s="393"/>
      <c r="J604" s="393"/>
      <c r="K604" s="393"/>
      <c r="L604" s="393"/>
      <c r="M604" s="393"/>
    </row>
    <row r="605">
      <c r="A605" s="393"/>
      <c r="B605" s="408"/>
      <c r="C605" s="408"/>
      <c r="D605" s="408"/>
      <c r="E605" s="393"/>
      <c r="F605" s="393"/>
      <c r="G605" s="393"/>
      <c r="H605" s="393"/>
      <c r="I605" s="393"/>
      <c r="J605" s="393"/>
      <c r="K605" s="393"/>
      <c r="L605" s="393"/>
      <c r="M605" s="393"/>
    </row>
    <row r="606">
      <c r="A606" s="393"/>
      <c r="B606" s="408"/>
      <c r="C606" s="408"/>
      <c r="D606" s="408"/>
      <c r="E606" s="393"/>
      <c r="F606" s="393"/>
      <c r="G606" s="393"/>
      <c r="H606" s="393"/>
      <c r="I606" s="393"/>
      <c r="J606" s="393"/>
      <c r="K606" s="393"/>
      <c r="L606" s="393"/>
      <c r="M606" s="393"/>
    </row>
    <row r="607">
      <c r="A607" s="393"/>
      <c r="B607" s="408"/>
      <c r="C607" s="408"/>
      <c r="D607" s="408"/>
      <c r="E607" s="393"/>
      <c r="F607" s="393"/>
      <c r="G607" s="393"/>
      <c r="H607" s="393"/>
      <c r="I607" s="393"/>
      <c r="J607" s="393"/>
      <c r="K607" s="393"/>
      <c r="L607" s="393"/>
      <c r="M607" s="393"/>
    </row>
    <row r="608">
      <c r="A608" s="393"/>
      <c r="B608" s="408"/>
      <c r="C608" s="408"/>
      <c r="D608" s="408"/>
      <c r="E608" s="393"/>
      <c r="F608" s="393"/>
      <c r="G608" s="393"/>
      <c r="H608" s="393"/>
      <c r="I608" s="393"/>
      <c r="J608" s="393"/>
      <c r="K608" s="393"/>
      <c r="L608" s="393"/>
      <c r="M608" s="393"/>
    </row>
    <row r="609">
      <c r="A609" s="393"/>
      <c r="B609" s="408"/>
      <c r="C609" s="408"/>
      <c r="D609" s="408"/>
      <c r="E609" s="393"/>
      <c r="F609" s="393"/>
      <c r="G609" s="393"/>
      <c r="H609" s="393"/>
      <c r="I609" s="393"/>
      <c r="J609" s="393"/>
      <c r="K609" s="393"/>
      <c r="L609" s="393"/>
      <c r="M609" s="393"/>
    </row>
    <row r="610">
      <c r="A610" s="393"/>
      <c r="B610" s="408"/>
      <c r="C610" s="408"/>
      <c r="D610" s="408"/>
      <c r="E610" s="393"/>
      <c r="F610" s="393"/>
      <c r="G610" s="393"/>
      <c r="H610" s="393"/>
      <c r="I610" s="393"/>
      <c r="J610" s="393"/>
      <c r="K610" s="393"/>
      <c r="L610" s="393"/>
      <c r="M610" s="393"/>
    </row>
    <row r="611">
      <c r="A611" s="393"/>
      <c r="B611" s="408"/>
      <c r="C611" s="408"/>
      <c r="D611" s="408"/>
      <c r="E611" s="393"/>
      <c r="F611" s="393"/>
      <c r="G611" s="393"/>
      <c r="H611" s="393"/>
      <c r="I611" s="393"/>
      <c r="J611" s="393"/>
      <c r="K611" s="393"/>
      <c r="L611" s="393"/>
      <c r="M611" s="393"/>
    </row>
    <row r="612">
      <c r="A612" s="393"/>
      <c r="B612" s="408"/>
      <c r="C612" s="408"/>
      <c r="D612" s="408"/>
      <c r="E612" s="393"/>
      <c r="F612" s="393"/>
      <c r="G612" s="393"/>
      <c r="H612" s="393"/>
      <c r="I612" s="393"/>
      <c r="J612" s="393"/>
      <c r="K612" s="393"/>
      <c r="L612" s="393"/>
      <c r="M612" s="393"/>
    </row>
    <row r="613">
      <c r="A613" s="393"/>
      <c r="B613" s="408"/>
      <c r="C613" s="408"/>
      <c r="D613" s="408"/>
      <c r="E613" s="393"/>
      <c r="F613" s="393"/>
      <c r="G613" s="393"/>
      <c r="H613" s="393"/>
      <c r="I613" s="393"/>
      <c r="J613" s="393"/>
      <c r="K613" s="393"/>
      <c r="L613" s="393"/>
      <c r="M613" s="393"/>
    </row>
    <row r="614">
      <c r="A614" s="393"/>
      <c r="B614" s="408"/>
      <c r="C614" s="408"/>
      <c r="D614" s="408"/>
      <c r="E614" s="393"/>
      <c r="F614" s="393"/>
      <c r="G614" s="393"/>
      <c r="H614" s="393"/>
      <c r="I614" s="393"/>
      <c r="J614" s="393"/>
      <c r="K614" s="393"/>
      <c r="L614" s="393"/>
      <c r="M614" s="393"/>
    </row>
    <row r="615">
      <c r="A615" s="393"/>
      <c r="B615" s="408"/>
      <c r="C615" s="408"/>
      <c r="D615" s="408"/>
      <c r="E615" s="393"/>
      <c r="F615" s="393"/>
      <c r="G615" s="393"/>
      <c r="H615" s="393"/>
      <c r="I615" s="393"/>
      <c r="J615" s="393"/>
      <c r="K615" s="393"/>
      <c r="L615" s="393"/>
      <c r="M615" s="393"/>
    </row>
    <row r="616">
      <c r="A616" s="393"/>
      <c r="B616" s="408"/>
      <c r="C616" s="408"/>
      <c r="D616" s="408"/>
      <c r="E616" s="393"/>
      <c r="F616" s="393"/>
      <c r="G616" s="393"/>
      <c r="H616" s="393"/>
      <c r="I616" s="393"/>
      <c r="J616" s="393"/>
      <c r="K616" s="393"/>
      <c r="L616" s="393"/>
      <c r="M616" s="393"/>
    </row>
    <row r="617">
      <c r="A617" s="393"/>
      <c r="B617" s="408"/>
      <c r="C617" s="408"/>
      <c r="D617" s="408"/>
      <c r="E617" s="393"/>
      <c r="F617" s="393"/>
      <c r="G617" s="393"/>
      <c r="H617" s="393"/>
      <c r="I617" s="393"/>
      <c r="J617" s="393"/>
      <c r="K617" s="393"/>
      <c r="L617" s="393"/>
      <c r="M617" s="393"/>
    </row>
    <row r="618">
      <c r="A618" s="393"/>
      <c r="B618" s="408"/>
      <c r="C618" s="408"/>
      <c r="D618" s="408"/>
      <c r="E618" s="393"/>
      <c r="F618" s="393"/>
      <c r="G618" s="393"/>
      <c r="H618" s="393"/>
      <c r="I618" s="393"/>
      <c r="J618" s="393"/>
      <c r="K618" s="393"/>
      <c r="L618" s="393"/>
      <c r="M618" s="393"/>
    </row>
    <row r="619">
      <c r="A619" s="393"/>
      <c r="B619" s="408"/>
      <c r="C619" s="408"/>
      <c r="D619" s="408"/>
      <c r="E619" s="393"/>
      <c r="F619" s="393"/>
      <c r="G619" s="393"/>
      <c r="H619" s="393"/>
      <c r="I619" s="393"/>
      <c r="J619" s="393"/>
      <c r="K619" s="393"/>
      <c r="L619" s="393"/>
      <c r="M619" s="393"/>
    </row>
    <row r="620">
      <c r="A620" s="393"/>
      <c r="B620" s="408"/>
      <c r="C620" s="408"/>
      <c r="D620" s="408"/>
      <c r="E620" s="393"/>
      <c r="F620" s="393"/>
      <c r="G620" s="393"/>
      <c r="H620" s="393"/>
      <c r="I620" s="393"/>
      <c r="J620" s="393"/>
      <c r="K620" s="393"/>
      <c r="L620" s="393"/>
      <c r="M620" s="393"/>
    </row>
    <row r="621">
      <c r="A621" s="393"/>
      <c r="B621" s="408"/>
      <c r="C621" s="408"/>
      <c r="D621" s="408"/>
      <c r="E621" s="393"/>
      <c r="F621" s="393"/>
      <c r="G621" s="393"/>
      <c r="H621" s="393"/>
      <c r="I621" s="393"/>
      <c r="J621" s="393"/>
      <c r="K621" s="393"/>
      <c r="L621" s="393"/>
      <c r="M621" s="393"/>
    </row>
    <row r="622">
      <c r="A622" s="393"/>
      <c r="B622" s="408"/>
      <c r="C622" s="408"/>
      <c r="D622" s="408"/>
      <c r="E622" s="393"/>
      <c r="F622" s="393"/>
      <c r="G622" s="393"/>
      <c r="H622" s="393"/>
      <c r="I622" s="393"/>
      <c r="J622" s="393"/>
      <c r="K622" s="393"/>
      <c r="L622" s="393"/>
      <c r="M622" s="393"/>
    </row>
    <row r="623">
      <c r="A623" s="393"/>
      <c r="B623" s="408"/>
      <c r="C623" s="408"/>
      <c r="D623" s="408"/>
      <c r="E623" s="393"/>
      <c r="F623" s="393"/>
      <c r="G623" s="393"/>
      <c r="H623" s="393"/>
      <c r="I623" s="393"/>
      <c r="J623" s="393"/>
      <c r="K623" s="393"/>
      <c r="L623" s="393"/>
      <c r="M623" s="393"/>
    </row>
    <row r="624">
      <c r="A624" s="393"/>
      <c r="B624" s="408"/>
      <c r="C624" s="408"/>
      <c r="D624" s="408"/>
      <c r="E624" s="393"/>
      <c r="F624" s="393"/>
      <c r="G624" s="393"/>
      <c r="H624" s="393"/>
      <c r="I624" s="393"/>
      <c r="J624" s="393"/>
      <c r="K624" s="393"/>
      <c r="L624" s="393"/>
      <c r="M624" s="393"/>
    </row>
    <row r="625">
      <c r="A625" s="393"/>
      <c r="B625" s="408"/>
      <c r="C625" s="408"/>
      <c r="D625" s="408"/>
      <c r="E625" s="393"/>
      <c r="F625" s="393"/>
      <c r="G625" s="393"/>
      <c r="H625" s="393"/>
      <c r="I625" s="393"/>
      <c r="J625" s="393"/>
      <c r="K625" s="393"/>
      <c r="L625" s="393"/>
      <c r="M625" s="393"/>
    </row>
    <row r="626">
      <c r="A626" s="393"/>
      <c r="B626" s="408"/>
      <c r="C626" s="408"/>
      <c r="D626" s="408"/>
      <c r="E626" s="393"/>
      <c r="F626" s="393"/>
      <c r="G626" s="393"/>
      <c r="H626" s="393"/>
      <c r="I626" s="393"/>
      <c r="J626" s="393"/>
      <c r="K626" s="393"/>
      <c r="L626" s="393"/>
      <c r="M626" s="393"/>
    </row>
    <row r="627">
      <c r="A627" s="393"/>
      <c r="B627" s="408"/>
      <c r="C627" s="408"/>
      <c r="D627" s="408"/>
      <c r="E627" s="393"/>
      <c r="F627" s="393"/>
      <c r="G627" s="393"/>
      <c r="H627" s="393"/>
      <c r="I627" s="393"/>
      <c r="J627" s="393"/>
      <c r="K627" s="393"/>
      <c r="L627" s="393"/>
      <c r="M627" s="393"/>
    </row>
    <row r="628">
      <c r="A628" s="393"/>
      <c r="B628" s="408"/>
      <c r="C628" s="408"/>
      <c r="D628" s="408"/>
      <c r="E628" s="393"/>
      <c r="F628" s="393"/>
      <c r="G628" s="393"/>
      <c r="H628" s="393"/>
      <c r="I628" s="393"/>
      <c r="J628" s="393"/>
      <c r="K628" s="393"/>
      <c r="L628" s="393"/>
      <c r="M628" s="393"/>
    </row>
    <row r="629">
      <c r="A629" s="393"/>
      <c r="B629" s="408"/>
      <c r="C629" s="408"/>
      <c r="D629" s="408"/>
      <c r="E629" s="393"/>
      <c r="F629" s="393"/>
      <c r="G629" s="393"/>
      <c r="H629" s="393"/>
      <c r="I629" s="393"/>
      <c r="J629" s="393"/>
      <c r="K629" s="393"/>
      <c r="L629" s="393"/>
      <c r="M629" s="393"/>
    </row>
    <row r="630">
      <c r="A630" s="393"/>
      <c r="B630" s="408"/>
      <c r="C630" s="408"/>
      <c r="D630" s="408"/>
      <c r="E630" s="393"/>
      <c r="F630" s="393"/>
      <c r="G630" s="393"/>
      <c r="H630" s="393"/>
      <c r="I630" s="393"/>
      <c r="J630" s="393"/>
      <c r="K630" s="393"/>
      <c r="L630" s="393"/>
      <c r="M630" s="393"/>
    </row>
    <row r="631">
      <c r="A631" s="393"/>
      <c r="B631" s="408"/>
      <c r="C631" s="408"/>
      <c r="D631" s="408"/>
      <c r="E631" s="393"/>
      <c r="F631" s="393"/>
      <c r="G631" s="393"/>
      <c r="H631" s="393"/>
      <c r="I631" s="393"/>
      <c r="J631" s="393"/>
      <c r="K631" s="393"/>
      <c r="L631" s="393"/>
      <c r="M631" s="393"/>
    </row>
    <row r="632">
      <c r="A632" s="393"/>
      <c r="B632" s="408"/>
      <c r="C632" s="408"/>
      <c r="D632" s="408"/>
      <c r="E632" s="393"/>
      <c r="F632" s="393"/>
      <c r="G632" s="393"/>
      <c r="H632" s="393"/>
      <c r="I632" s="393"/>
      <c r="J632" s="393"/>
      <c r="K632" s="393"/>
      <c r="L632" s="393"/>
      <c r="M632" s="393"/>
    </row>
    <row r="633">
      <c r="A633" s="393"/>
      <c r="B633" s="408"/>
      <c r="C633" s="408"/>
      <c r="D633" s="408"/>
      <c r="E633" s="393"/>
      <c r="F633" s="393"/>
      <c r="G633" s="393"/>
      <c r="H633" s="393"/>
      <c r="I633" s="393"/>
      <c r="J633" s="393"/>
      <c r="K633" s="393"/>
      <c r="L633" s="393"/>
      <c r="M633" s="393"/>
    </row>
    <row r="634">
      <c r="A634" s="393"/>
      <c r="B634" s="408"/>
      <c r="C634" s="408"/>
      <c r="D634" s="408"/>
      <c r="E634" s="393"/>
      <c r="F634" s="393"/>
      <c r="G634" s="393"/>
      <c r="H634" s="393"/>
      <c r="I634" s="393"/>
      <c r="J634" s="393"/>
      <c r="K634" s="393"/>
      <c r="L634" s="393"/>
      <c r="M634" s="393"/>
    </row>
    <row r="635">
      <c r="A635" s="393"/>
      <c r="B635" s="408"/>
      <c r="C635" s="408"/>
      <c r="D635" s="408"/>
      <c r="E635" s="393"/>
      <c r="F635" s="393"/>
      <c r="G635" s="393"/>
      <c r="H635" s="393"/>
      <c r="I635" s="393"/>
      <c r="J635" s="393"/>
      <c r="K635" s="393"/>
      <c r="L635" s="393"/>
      <c r="M635" s="393"/>
    </row>
    <row r="636">
      <c r="A636" s="393"/>
      <c r="B636" s="408"/>
      <c r="C636" s="408"/>
      <c r="D636" s="408"/>
      <c r="E636" s="393"/>
      <c r="F636" s="393"/>
      <c r="G636" s="393"/>
      <c r="H636" s="393"/>
      <c r="I636" s="393"/>
      <c r="J636" s="393"/>
      <c r="K636" s="393"/>
      <c r="L636" s="393"/>
      <c r="M636" s="393"/>
    </row>
    <row r="637">
      <c r="A637" s="393"/>
      <c r="B637" s="408"/>
      <c r="C637" s="408"/>
      <c r="D637" s="408"/>
      <c r="E637" s="393"/>
      <c r="F637" s="393"/>
      <c r="G637" s="393"/>
      <c r="H637" s="393"/>
      <c r="I637" s="393"/>
      <c r="J637" s="393"/>
      <c r="K637" s="393"/>
      <c r="L637" s="393"/>
      <c r="M637" s="393"/>
    </row>
    <row r="638">
      <c r="A638" s="393"/>
      <c r="B638" s="408"/>
      <c r="C638" s="408"/>
      <c r="D638" s="408"/>
      <c r="E638" s="393"/>
      <c r="F638" s="393"/>
      <c r="G638" s="393"/>
      <c r="H638" s="393"/>
      <c r="I638" s="393"/>
      <c r="J638" s="393"/>
      <c r="K638" s="393"/>
      <c r="L638" s="393"/>
      <c r="M638" s="393"/>
    </row>
    <row r="639">
      <c r="A639" s="393"/>
      <c r="B639" s="408"/>
      <c r="C639" s="408"/>
      <c r="D639" s="408"/>
      <c r="E639" s="393"/>
      <c r="F639" s="393"/>
      <c r="G639" s="393"/>
      <c r="H639" s="393"/>
      <c r="I639" s="393"/>
      <c r="J639" s="393"/>
      <c r="K639" s="393"/>
      <c r="L639" s="393"/>
      <c r="M639" s="393"/>
    </row>
    <row r="640">
      <c r="A640" s="393"/>
      <c r="B640" s="408"/>
      <c r="C640" s="408"/>
      <c r="D640" s="408"/>
      <c r="E640" s="393"/>
      <c r="F640" s="393"/>
      <c r="G640" s="393"/>
      <c r="H640" s="393"/>
      <c r="I640" s="393"/>
      <c r="J640" s="393"/>
      <c r="K640" s="393"/>
      <c r="L640" s="393"/>
      <c r="M640" s="393"/>
    </row>
    <row r="641">
      <c r="A641" s="393"/>
      <c r="B641" s="408"/>
      <c r="C641" s="408"/>
      <c r="D641" s="408"/>
      <c r="E641" s="393"/>
      <c r="F641" s="393"/>
      <c r="G641" s="393"/>
      <c r="H641" s="393"/>
      <c r="I641" s="393"/>
      <c r="J641" s="393"/>
      <c r="K641" s="393"/>
      <c r="L641" s="393"/>
      <c r="M641" s="393"/>
    </row>
    <row r="642">
      <c r="A642" s="393"/>
      <c r="B642" s="408"/>
      <c r="C642" s="408"/>
      <c r="D642" s="408"/>
      <c r="E642" s="393"/>
      <c r="F642" s="393"/>
      <c r="G642" s="393"/>
      <c r="H642" s="393"/>
      <c r="I642" s="393"/>
      <c r="J642" s="393"/>
      <c r="K642" s="393"/>
      <c r="L642" s="393"/>
      <c r="M642" s="393"/>
    </row>
    <row r="643">
      <c r="A643" s="393"/>
      <c r="B643" s="408"/>
      <c r="C643" s="408"/>
      <c r="D643" s="408"/>
      <c r="E643" s="393"/>
      <c r="F643" s="393"/>
      <c r="G643" s="393"/>
      <c r="H643" s="393"/>
      <c r="I643" s="393"/>
      <c r="J643" s="393"/>
      <c r="K643" s="393"/>
      <c r="L643" s="393"/>
      <c r="M643" s="393"/>
    </row>
    <row r="644">
      <c r="A644" s="393"/>
      <c r="B644" s="408"/>
      <c r="C644" s="408"/>
      <c r="D644" s="408"/>
      <c r="E644" s="393"/>
      <c r="F644" s="393"/>
      <c r="G644" s="393"/>
      <c r="H644" s="393"/>
      <c r="I644" s="393"/>
      <c r="J644" s="393"/>
      <c r="K644" s="393"/>
      <c r="L644" s="393"/>
      <c r="M644" s="393"/>
    </row>
    <row r="645">
      <c r="A645" s="393"/>
      <c r="B645" s="408"/>
      <c r="C645" s="408"/>
      <c r="D645" s="408"/>
      <c r="E645" s="393"/>
      <c r="F645" s="393"/>
      <c r="G645" s="393"/>
      <c r="H645" s="393"/>
      <c r="I645" s="393"/>
      <c r="J645" s="393"/>
      <c r="K645" s="393"/>
      <c r="L645" s="393"/>
      <c r="M645" s="393"/>
    </row>
    <row r="646">
      <c r="A646" s="393"/>
      <c r="B646" s="408"/>
      <c r="C646" s="408"/>
      <c r="D646" s="408"/>
      <c r="E646" s="393"/>
      <c r="F646" s="393"/>
      <c r="G646" s="393"/>
      <c r="H646" s="393"/>
      <c r="I646" s="393"/>
      <c r="J646" s="393"/>
      <c r="K646" s="393"/>
      <c r="L646" s="393"/>
      <c r="M646" s="393"/>
    </row>
    <row r="647">
      <c r="A647" s="393"/>
      <c r="B647" s="408"/>
      <c r="C647" s="408"/>
      <c r="D647" s="408"/>
      <c r="E647" s="393"/>
      <c r="F647" s="393"/>
      <c r="G647" s="393"/>
      <c r="H647" s="393"/>
      <c r="I647" s="393"/>
      <c r="J647" s="393"/>
      <c r="K647" s="393"/>
      <c r="L647" s="393"/>
      <c r="M647" s="393"/>
    </row>
    <row r="648">
      <c r="A648" s="393"/>
      <c r="B648" s="408"/>
      <c r="C648" s="408"/>
      <c r="D648" s="408"/>
      <c r="E648" s="393"/>
      <c r="F648" s="393"/>
      <c r="G648" s="393"/>
      <c r="H648" s="393"/>
      <c r="I648" s="393"/>
      <c r="J648" s="393"/>
      <c r="K648" s="393"/>
      <c r="L648" s="393"/>
      <c r="M648" s="393"/>
    </row>
    <row r="649">
      <c r="A649" s="393"/>
      <c r="B649" s="408"/>
      <c r="C649" s="408"/>
      <c r="D649" s="408"/>
      <c r="E649" s="393"/>
      <c r="F649" s="393"/>
      <c r="G649" s="393"/>
      <c r="H649" s="393"/>
      <c r="I649" s="393"/>
      <c r="J649" s="393"/>
      <c r="K649" s="393"/>
      <c r="L649" s="393"/>
      <c r="M649" s="393"/>
    </row>
    <row r="650">
      <c r="A650" s="393"/>
      <c r="B650" s="408"/>
      <c r="C650" s="408"/>
      <c r="D650" s="408"/>
      <c r="E650" s="393"/>
      <c r="F650" s="393"/>
      <c r="G650" s="393"/>
      <c r="H650" s="393"/>
      <c r="I650" s="393"/>
      <c r="J650" s="393"/>
      <c r="K650" s="393"/>
      <c r="L650" s="393"/>
      <c r="M650" s="393"/>
    </row>
    <row r="651">
      <c r="A651" s="393"/>
      <c r="B651" s="408"/>
      <c r="C651" s="408"/>
      <c r="D651" s="408"/>
      <c r="E651" s="393"/>
      <c r="F651" s="393"/>
      <c r="G651" s="393"/>
      <c r="H651" s="393"/>
      <c r="I651" s="393"/>
      <c r="J651" s="393"/>
      <c r="K651" s="393"/>
      <c r="L651" s="393"/>
      <c r="M651" s="393"/>
    </row>
    <row r="652">
      <c r="A652" s="393"/>
      <c r="B652" s="408"/>
      <c r="C652" s="408"/>
      <c r="D652" s="408"/>
      <c r="E652" s="393"/>
      <c r="F652" s="393"/>
      <c r="G652" s="393"/>
      <c r="H652" s="393"/>
      <c r="I652" s="393"/>
      <c r="J652" s="393"/>
      <c r="K652" s="393"/>
      <c r="L652" s="393"/>
      <c r="M652" s="393"/>
    </row>
    <row r="653">
      <c r="A653" s="393"/>
      <c r="B653" s="408"/>
      <c r="C653" s="408"/>
      <c r="D653" s="408"/>
      <c r="E653" s="393"/>
      <c r="F653" s="393"/>
      <c r="G653" s="393"/>
      <c r="H653" s="393"/>
      <c r="I653" s="393"/>
      <c r="J653" s="393"/>
      <c r="K653" s="393"/>
      <c r="L653" s="393"/>
      <c r="M653" s="393"/>
    </row>
    <row r="654">
      <c r="A654" s="393"/>
      <c r="B654" s="408"/>
      <c r="C654" s="408"/>
      <c r="D654" s="408"/>
      <c r="E654" s="393"/>
      <c r="F654" s="393"/>
      <c r="G654" s="393"/>
      <c r="H654" s="393"/>
      <c r="I654" s="393"/>
      <c r="J654" s="393"/>
      <c r="K654" s="393"/>
      <c r="L654" s="393"/>
      <c r="M654" s="393"/>
    </row>
    <row r="655">
      <c r="A655" s="393"/>
      <c r="B655" s="408"/>
      <c r="C655" s="408"/>
      <c r="D655" s="408"/>
      <c r="E655" s="393"/>
      <c r="F655" s="393"/>
      <c r="G655" s="393"/>
      <c r="H655" s="393"/>
      <c r="I655" s="393"/>
      <c r="J655" s="393"/>
      <c r="K655" s="393"/>
      <c r="L655" s="393"/>
      <c r="M655" s="393"/>
    </row>
    <row r="656">
      <c r="A656" s="393"/>
      <c r="B656" s="408"/>
      <c r="C656" s="408"/>
      <c r="D656" s="408"/>
      <c r="E656" s="393"/>
      <c r="F656" s="393"/>
      <c r="G656" s="393"/>
      <c r="H656" s="393"/>
      <c r="I656" s="393"/>
      <c r="J656" s="393"/>
      <c r="K656" s="393"/>
      <c r="L656" s="393"/>
      <c r="M656" s="393"/>
    </row>
    <row r="657">
      <c r="A657" s="393"/>
      <c r="B657" s="408"/>
      <c r="C657" s="408"/>
      <c r="D657" s="408"/>
      <c r="E657" s="393"/>
      <c r="F657" s="393"/>
      <c r="G657" s="393"/>
      <c r="H657" s="393"/>
      <c r="I657" s="393"/>
      <c r="J657" s="393"/>
      <c r="K657" s="393"/>
      <c r="L657" s="393"/>
      <c r="M657" s="393"/>
    </row>
    <row r="658">
      <c r="A658" s="393"/>
      <c r="B658" s="408"/>
      <c r="C658" s="408"/>
      <c r="D658" s="408"/>
      <c r="E658" s="393"/>
      <c r="F658" s="393"/>
      <c r="G658" s="393"/>
      <c r="H658" s="393"/>
      <c r="I658" s="393"/>
      <c r="J658" s="393"/>
      <c r="K658" s="393"/>
      <c r="L658" s="393"/>
      <c r="M658" s="393"/>
    </row>
    <row r="659">
      <c r="A659" s="393"/>
      <c r="B659" s="408"/>
      <c r="C659" s="408"/>
      <c r="D659" s="408"/>
      <c r="E659" s="393"/>
      <c r="F659" s="393"/>
      <c r="G659" s="393"/>
      <c r="H659" s="393"/>
      <c r="I659" s="393"/>
      <c r="J659" s="393"/>
      <c r="K659" s="393"/>
      <c r="L659" s="393"/>
      <c r="M659" s="393"/>
    </row>
    <row r="660">
      <c r="A660" s="393"/>
      <c r="B660" s="408"/>
      <c r="C660" s="408"/>
      <c r="D660" s="408"/>
      <c r="E660" s="393"/>
      <c r="F660" s="393"/>
      <c r="G660" s="393"/>
      <c r="H660" s="393"/>
      <c r="I660" s="393"/>
      <c r="J660" s="393"/>
      <c r="K660" s="393"/>
      <c r="L660" s="393"/>
      <c r="M660" s="393"/>
    </row>
    <row r="661">
      <c r="A661" s="393"/>
      <c r="B661" s="408"/>
      <c r="C661" s="408"/>
      <c r="D661" s="408"/>
      <c r="E661" s="393"/>
      <c r="F661" s="393"/>
      <c r="G661" s="393"/>
      <c r="H661" s="393"/>
      <c r="I661" s="393"/>
      <c r="J661" s="393"/>
      <c r="K661" s="393"/>
      <c r="L661" s="393"/>
      <c r="M661" s="393"/>
    </row>
    <row r="662">
      <c r="A662" s="393"/>
      <c r="B662" s="408"/>
      <c r="C662" s="408"/>
      <c r="D662" s="408"/>
      <c r="E662" s="393"/>
      <c r="F662" s="393"/>
      <c r="G662" s="393"/>
      <c r="H662" s="393"/>
      <c r="I662" s="393"/>
      <c r="J662" s="393"/>
      <c r="K662" s="393"/>
      <c r="L662" s="393"/>
      <c r="M662" s="393"/>
    </row>
    <row r="663">
      <c r="A663" s="393"/>
      <c r="B663" s="408"/>
      <c r="C663" s="408"/>
      <c r="D663" s="408"/>
      <c r="E663" s="393"/>
      <c r="F663" s="393"/>
      <c r="G663" s="393"/>
      <c r="H663" s="393"/>
      <c r="I663" s="393"/>
      <c r="J663" s="393"/>
      <c r="K663" s="393"/>
      <c r="L663" s="393"/>
      <c r="M663" s="393"/>
    </row>
    <row r="664">
      <c r="A664" s="393"/>
      <c r="B664" s="408"/>
      <c r="C664" s="408"/>
      <c r="D664" s="408"/>
      <c r="E664" s="393"/>
      <c r="F664" s="393"/>
      <c r="G664" s="393"/>
      <c r="H664" s="393"/>
      <c r="I664" s="393"/>
      <c r="J664" s="393"/>
      <c r="K664" s="393"/>
      <c r="L664" s="393"/>
      <c r="M664" s="393"/>
    </row>
    <row r="665">
      <c r="A665" s="393"/>
      <c r="B665" s="408"/>
      <c r="C665" s="408"/>
      <c r="D665" s="408"/>
      <c r="E665" s="393"/>
      <c r="F665" s="393"/>
      <c r="G665" s="393"/>
      <c r="H665" s="393"/>
      <c r="I665" s="393"/>
      <c r="J665" s="393"/>
      <c r="K665" s="393"/>
      <c r="L665" s="393"/>
      <c r="M665" s="393"/>
    </row>
    <row r="666">
      <c r="A666" s="393"/>
      <c r="B666" s="408"/>
      <c r="C666" s="408"/>
      <c r="D666" s="408"/>
      <c r="E666" s="393"/>
      <c r="F666" s="393"/>
      <c r="G666" s="393"/>
      <c r="H666" s="393"/>
      <c r="I666" s="393"/>
      <c r="J666" s="393"/>
      <c r="K666" s="393"/>
      <c r="L666" s="393"/>
      <c r="M666" s="393"/>
    </row>
    <row r="667">
      <c r="A667" s="393"/>
      <c r="B667" s="408"/>
      <c r="C667" s="408"/>
      <c r="D667" s="408"/>
      <c r="E667" s="393"/>
      <c r="F667" s="393"/>
      <c r="G667" s="393"/>
      <c r="H667" s="393"/>
      <c r="I667" s="393"/>
      <c r="J667" s="393"/>
      <c r="K667" s="393"/>
      <c r="L667" s="393"/>
      <c r="M667" s="393"/>
    </row>
    <row r="668">
      <c r="A668" s="393"/>
      <c r="B668" s="408"/>
      <c r="C668" s="408"/>
      <c r="D668" s="408"/>
      <c r="E668" s="393"/>
      <c r="F668" s="393"/>
      <c r="G668" s="393"/>
      <c r="H668" s="393"/>
      <c r="I668" s="393"/>
      <c r="J668" s="393"/>
      <c r="K668" s="393"/>
      <c r="L668" s="393"/>
      <c r="M668" s="393"/>
    </row>
    <row r="669">
      <c r="A669" s="393"/>
      <c r="B669" s="408"/>
      <c r="C669" s="408"/>
      <c r="D669" s="408"/>
      <c r="E669" s="393"/>
      <c r="F669" s="393"/>
      <c r="G669" s="393"/>
      <c r="H669" s="393"/>
      <c r="I669" s="393"/>
      <c r="J669" s="393"/>
      <c r="K669" s="393"/>
      <c r="L669" s="393"/>
      <c r="M669" s="393"/>
    </row>
    <row r="670">
      <c r="A670" s="393"/>
      <c r="B670" s="408"/>
      <c r="C670" s="408"/>
      <c r="D670" s="408"/>
      <c r="E670" s="393"/>
      <c r="F670" s="393"/>
      <c r="G670" s="393"/>
      <c r="H670" s="393"/>
      <c r="I670" s="393"/>
      <c r="J670" s="393"/>
      <c r="K670" s="393"/>
      <c r="L670" s="393"/>
      <c r="M670" s="393"/>
    </row>
    <row r="671">
      <c r="A671" s="393"/>
      <c r="B671" s="408"/>
      <c r="C671" s="408"/>
      <c r="D671" s="408"/>
      <c r="E671" s="393"/>
      <c r="F671" s="393"/>
      <c r="G671" s="393"/>
      <c r="H671" s="393"/>
      <c r="I671" s="393"/>
      <c r="J671" s="393"/>
      <c r="K671" s="393"/>
      <c r="L671" s="393"/>
      <c r="M671" s="393"/>
    </row>
    <row r="672">
      <c r="A672" s="393"/>
      <c r="B672" s="408"/>
      <c r="C672" s="408"/>
      <c r="D672" s="408"/>
      <c r="E672" s="393"/>
      <c r="F672" s="393"/>
      <c r="G672" s="393"/>
      <c r="H672" s="393"/>
      <c r="I672" s="393"/>
      <c r="J672" s="393"/>
      <c r="K672" s="393"/>
      <c r="L672" s="393"/>
      <c r="M672" s="393"/>
    </row>
    <row r="673">
      <c r="A673" s="393"/>
      <c r="B673" s="408"/>
      <c r="C673" s="408"/>
      <c r="D673" s="408"/>
      <c r="E673" s="393"/>
      <c r="F673" s="393"/>
      <c r="G673" s="393"/>
      <c r="H673" s="393"/>
      <c r="I673" s="393"/>
      <c r="J673" s="393"/>
      <c r="K673" s="393"/>
      <c r="L673" s="393"/>
      <c r="M673" s="393"/>
    </row>
    <row r="674">
      <c r="A674" s="393"/>
      <c r="B674" s="408"/>
      <c r="C674" s="408"/>
      <c r="D674" s="408"/>
      <c r="E674" s="393"/>
      <c r="F674" s="393"/>
      <c r="G674" s="393"/>
      <c r="H674" s="393"/>
      <c r="I674" s="393"/>
      <c r="J674" s="393"/>
      <c r="K674" s="393"/>
      <c r="L674" s="393"/>
      <c r="M674" s="393"/>
    </row>
    <row r="675">
      <c r="A675" s="393"/>
      <c r="B675" s="408"/>
      <c r="C675" s="408"/>
      <c r="D675" s="408"/>
      <c r="E675" s="393"/>
      <c r="F675" s="393"/>
      <c r="G675" s="393"/>
      <c r="H675" s="393"/>
      <c r="I675" s="393"/>
      <c r="J675" s="393"/>
      <c r="K675" s="393"/>
      <c r="L675" s="393"/>
      <c r="M675" s="393"/>
    </row>
    <row r="676">
      <c r="A676" s="393"/>
      <c r="B676" s="408"/>
      <c r="C676" s="408"/>
      <c r="D676" s="408"/>
      <c r="E676" s="393"/>
      <c r="F676" s="393"/>
      <c r="G676" s="393"/>
      <c r="H676" s="393"/>
      <c r="I676" s="393"/>
      <c r="J676" s="393"/>
      <c r="K676" s="393"/>
      <c r="L676" s="393"/>
      <c r="M676" s="393"/>
    </row>
    <row r="677">
      <c r="A677" s="393"/>
      <c r="B677" s="408"/>
      <c r="C677" s="408"/>
      <c r="D677" s="408"/>
      <c r="E677" s="393"/>
      <c r="F677" s="393"/>
      <c r="G677" s="393"/>
      <c r="H677" s="393"/>
      <c r="I677" s="393"/>
      <c r="J677" s="393"/>
      <c r="K677" s="393"/>
      <c r="L677" s="393"/>
      <c r="M677" s="393"/>
    </row>
    <row r="678">
      <c r="A678" s="393"/>
      <c r="B678" s="408"/>
      <c r="C678" s="408"/>
      <c r="D678" s="408"/>
      <c r="E678" s="393"/>
      <c r="F678" s="393"/>
      <c r="G678" s="393"/>
      <c r="H678" s="393"/>
      <c r="I678" s="393"/>
      <c r="J678" s="393"/>
      <c r="K678" s="393"/>
      <c r="L678" s="393"/>
      <c r="M678" s="393"/>
    </row>
    <row r="679">
      <c r="A679" s="393"/>
      <c r="B679" s="408"/>
      <c r="C679" s="408"/>
      <c r="D679" s="408"/>
      <c r="E679" s="393"/>
      <c r="F679" s="393"/>
      <c r="G679" s="393"/>
      <c r="H679" s="393"/>
      <c r="I679" s="393"/>
      <c r="J679" s="393"/>
      <c r="K679" s="393"/>
      <c r="L679" s="393"/>
      <c r="M679" s="393"/>
    </row>
    <row r="680">
      <c r="A680" s="393"/>
      <c r="B680" s="408"/>
      <c r="C680" s="408"/>
      <c r="D680" s="408"/>
      <c r="E680" s="393"/>
      <c r="F680" s="393"/>
      <c r="G680" s="393"/>
      <c r="H680" s="393"/>
      <c r="I680" s="393"/>
      <c r="J680" s="393"/>
      <c r="K680" s="393"/>
      <c r="L680" s="393"/>
      <c r="M680" s="393"/>
    </row>
    <row r="681">
      <c r="A681" s="393"/>
      <c r="B681" s="408"/>
      <c r="C681" s="408"/>
      <c r="D681" s="408"/>
      <c r="E681" s="393"/>
      <c r="F681" s="393"/>
      <c r="G681" s="393"/>
      <c r="H681" s="393"/>
      <c r="I681" s="393"/>
      <c r="J681" s="393"/>
      <c r="K681" s="393"/>
      <c r="L681" s="393"/>
      <c r="M681" s="393"/>
    </row>
    <row r="682">
      <c r="A682" s="393"/>
      <c r="B682" s="408"/>
      <c r="C682" s="408"/>
      <c r="D682" s="408"/>
      <c r="E682" s="393"/>
      <c r="F682" s="393"/>
      <c r="G682" s="393"/>
      <c r="H682" s="393"/>
      <c r="I682" s="393"/>
      <c r="J682" s="393"/>
      <c r="K682" s="393"/>
      <c r="L682" s="393"/>
      <c r="M682" s="393"/>
    </row>
    <row r="683">
      <c r="A683" s="393"/>
      <c r="B683" s="408"/>
      <c r="C683" s="408"/>
      <c r="D683" s="408"/>
      <c r="E683" s="393"/>
      <c r="F683" s="393"/>
      <c r="G683" s="393"/>
      <c r="H683" s="393"/>
      <c r="I683" s="393"/>
      <c r="J683" s="393"/>
      <c r="K683" s="393"/>
      <c r="L683" s="393"/>
      <c r="M683" s="393"/>
    </row>
    <row r="684">
      <c r="A684" s="393"/>
      <c r="B684" s="408"/>
      <c r="C684" s="408"/>
      <c r="D684" s="408"/>
      <c r="E684" s="393"/>
      <c r="F684" s="393"/>
      <c r="G684" s="393"/>
      <c r="H684" s="393"/>
      <c r="I684" s="393"/>
      <c r="J684" s="393"/>
      <c r="K684" s="393"/>
      <c r="L684" s="393"/>
      <c r="M684" s="393"/>
    </row>
    <row r="685">
      <c r="A685" s="393"/>
      <c r="B685" s="408"/>
      <c r="C685" s="408"/>
      <c r="D685" s="408"/>
      <c r="E685" s="393"/>
      <c r="F685" s="393"/>
      <c r="G685" s="393"/>
      <c r="H685" s="393"/>
      <c r="I685" s="393"/>
      <c r="J685" s="393"/>
      <c r="K685" s="393"/>
      <c r="L685" s="393"/>
      <c r="M685" s="393"/>
    </row>
    <row r="686">
      <c r="A686" s="393"/>
      <c r="B686" s="408"/>
      <c r="C686" s="408"/>
      <c r="D686" s="408"/>
      <c r="E686" s="393"/>
      <c r="F686" s="393"/>
      <c r="G686" s="393"/>
      <c r="H686" s="393"/>
      <c r="I686" s="393"/>
      <c r="J686" s="393"/>
      <c r="K686" s="393"/>
      <c r="L686" s="393"/>
      <c r="M686" s="393"/>
    </row>
    <row r="687">
      <c r="A687" s="393"/>
      <c r="B687" s="408"/>
      <c r="C687" s="408"/>
      <c r="D687" s="408"/>
      <c r="E687" s="393"/>
      <c r="F687" s="393"/>
      <c r="G687" s="393"/>
      <c r="H687" s="393"/>
      <c r="I687" s="393"/>
      <c r="J687" s="393"/>
      <c r="K687" s="393"/>
      <c r="L687" s="393"/>
      <c r="M687" s="393"/>
    </row>
    <row r="688">
      <c r="A688" s="393"/>
      <c r="B688" s="408"/>
      <c r="C688" s="408"/>
      <c r="D688" s="408"/>
      <c r="E688" s="393"/>
      <c r="F688" s="393"/>
      <c r="G688" s="393"/>
      <c r="H688" s="393"/>
      <c r="I688" s="393"/>
      <c r="J688" s="393"/>
      <c r="K688" s="393"/>
      <c r="L688" s="393"/>
      <c r="M688" s="393"/>
    </row>
    <row r="689">
      <c r="A689" s="393"/>
      <c r="B689" s="408"/>
      <c r="C689" s="408"/>
      <c r="D689" s="408"/>
      <c r="E689" s="393"/>
      <c r="F689" s="393"/>
      <c r="G689" s="393"/>
      <c r="H689" s="393"/>
      <c r="I689" s="393"/>
      <c r="J689" s="393"/>
      <c r="K689" s="393"/>
      <c r="L689" s="393"/>
      <c r="M689" s="393"/>
    </row>
    <row r="690">
      <c r="A690" s="393"/>
      <c r="B690" s="408"/>
      <c r="C690" s="408"/>
      <c r="D690" s="408"/>
      <c r="E690" s="393"/>
      <c r="F690" s="393"/>
      <c r="G690" s="393"/>
      <c r="H690" s="393"/>
      <c r="I690" s="393"/>
      <c r="J690" s="393"/>
      <c r="K690" s="393"/>
      <c r="L690" s="393"/>
      <c r="M690" s="393"/>
    </row>
    <row r="691">
      <c r="A691" s="393"/>
      <c r="B691" s="408"/>
      <c r="C691" s="408"/>
      <c r="D691" s="408"/>
      <c r="E691" s="393"/>
      <c r="F691" s="393"/>
      <c r="G691" s="393"/>
      <c r="H691" s="393"/>
      <c r="I691" s="393"/>
      <c r="J691" s="393"/>
      <c r="K691" s="393"/>
      <c r="L691" s="393"/>
      <c r="M691" s="393"/>
    </row>
    <row r="692">
      <c r="A692" s="393"/>
      <c r="B692" s="408"/>
      <c r="C692" s="408"/>
      <c r="D692" s="408"/>
      <c r="E692" s="393"/>
      <c r="F692" s="393"/>
      <c r="G692" s="393"/>
      <c r="H692" s="393"/>
      <c r="I692" s="393"/>
      <c r="J692" s="393"/>
      <c r="K692" s="393"/>
      <c r="L692" s="393"/>
      <c r="M692" s="393"/>
    </row>
    <row r="693">
      <c r="A693" s="393"/>
      <c r="B693" s="408"/>
      <c r="C693" s="408"/>
      <c r="D693" s="408"/>
      <c r="E693" s="393"/>
      <c r="F693" s="393"/>
      <c r="G693" s="393"/>
      <c r="H693" s="393"/>
      <c r="I693" s="393"/>
      <c r="J693" s="393"/>
      <c r="K693" s="393"/>
      <c r="L693" s="393"/>
      <c r="M693" s="393"/>
    </row>
    <row r="694">
      <c r="A694" s="393"/>
      <c r="B694" s="408"/>
      <c r="C694" s="408"/>
      <c r="D694" s="408"/>
      <c r="E694" s="393"/>
      <c r="F694" s="393"/>
      <c r="G694" s="393"/>
      <c r="H694" s="393"/>
      <c r="I694" s="393"/>
      <c r="J694" s="393"/>
      <c r="K694" s="393"/>
      <c r="L694" s="393"/>
      <c r="M694" s="393"/>
    </row>
    <row r="695">
      <c r="A695" s="393"/>
      <c r="B695" s="408"/>
      <c r="C695" s="408"/>
      <c r="D695" s="408"/>
      <c r="E695" s="393"/>
      <c r="F695" s="393"/>
      <c r="G695" s="393"/>
      <c r="H695" s="393"/>
      <c r="I695" s="393"/>
      <c r="J695" s="393"/>
      <c r="K695" s="393"/>
      <c r="L695" s="393"/>
      <c r="M695" s="393"/>
    </row>
    <row r="696">
      <c r="A696" s="393"/>
      <c r="B696" s="408"/>
      <c r="C696" s="408"/>
      <c r="D696" s="408"/>
      <c r="E696" s="393"/>
      <c r="F696" s="393"/>
      <c r="G696" s="393"/>
      <c r="H696" s="393"/>
      <c r="I696" s="393"/>
      <c r="J696" s="393"/>
      <c r="K696" s="393"/>
      <c r="L696" s="393"/>
      <c r="M696" s="393"/>
    </row>
    <row r="697">
      <c r="A697" s="393"/>
      <c r="B697" s="408"/>
      <c r="C697" s="408"/>
      <c r="D697" s="408"/>
      <c r="E697" s="393"/>
      <c r="F697" s="393"/>
      <c r="G697" s="393"/>
      <c r="H697" s="393"/>
      <c r="I697" s="393"/>
      <c r="J697" s="393"/>
      <c r="K697" s="393"/>
      <c r="L697" s="393"/>
      <c r="M697" s="393"/>
    </row>
    <row r="698">
      <c r="A698" s="393"/>
      <c r="B698" s="408"/>
      <c r="C698" s="408"/>
      <c r="D698" s="408"/>
      <c r="E698" s="393"/>
      <c r="F698" s="393"/>
      <c r="G698" s="393"/>
      <c r="H698" s="393"/>
      <c r="I698" s="393"/>
      <c r="J698" s="393"/>
      <c r="K698" s="393"/>
      <c r="L698" s="393"/>
      <c r="M698" s="393"/>
    </row>
    <row r="699">
      <c r="A699" s="393"/>
      <c r="B699" s="408"/>
      <c r="C699" s="408"/>
      <c r="D699" s="408"/>
      <c r="E699" s="393"/>
      <c r="F699" s="393"/>
      <c r="G699" s="393"/>
      <c r="H699" s="393"/>
      <c r="I699" s="393"/>
      <c r="J699" s="393"/>
      <c r="K699" s="393"/>
      <c r="L699" s="393"/>
      <c r="M699" s="393"/>
    </row>
    <row r="700">
      <c r="A700" s="393"/>
      <c r="B700" s="408"/>
      <c r="C700" s="408"/>
      <c r="D700" s="408"/>
      <c r="E700" s="393"/>
      <c r="F700" s="393"/>
      <c r="G700" s="393"/>
      <c r="H700" s="393"/>
      <c r="I700" s="393"/>
      <c r="J700" s="393"/>
      <c r="K700" s="393"/>
      <c r="L700" s="393"/>
      <c r="M700" s="393"/>
    </row>
    <row r="701">
      <c r="A701" s="393"/>
      <c r="B701" s="408"/>
      <c r="C701" s="408"/>
      <c r="D701" s="408"/>
      <c r="E701" s="393"/>
      <c r="F701" s="393"/>
      <c r="G701" s="393"/>
      <c r="H701" s="393"/>
      <c r="I701" s="393"/>
      <c r="J701" s="393"/>
      <c r="K701" s="393"/>
      <c r="L701" s="393"/>
      <c r="M701" s="393"/>
    </row>
    <row r="702">
      <c r="A702" s="393"/>
      <c r="B702" s="408"/>
      <c r="C702" s="408"/>
      <c r="D702" s="408"/>
      <c r="E702" s="393"/>
      <c r="F702" s="393"/>
      <c r="G702" s="393"/>
      <c r="H702" s="393"/>
      <c r="I702" s="393"/>
      <c r="J702" s="393"/>
      <c r="K702" s="393"/>
      <c r="L702" s="393"/>
      <c r="M702" s="393"/>
    </row>
    <row r="703">
      <c r="A703" s="393"/>
      <c r="B703" s="408"/>
      <c r="C703" s="408"/>
      <c r="D703" s="408"/>
      <c r="E703" s="393"/>
      <c r="F703" s="393"/>
      <c r="G703" s="393"/>
      <c r="H703" s="393"/>
      <c r="I703" s="393"/>
      <c r="J703" s="393"/>
      <c r="K703" s="393"/>
      <c r="L703" s="393"/>
      <c r="M703" s="393"/>
    </row>
    <row r="704">
      <c r="A704" s="393"/>
      <c r="B704" s="408"/>
      <c r="C704" s="408"/>
      <c r="D704" s="408"/>
      <c r="E704" s="393"/>
      <c r="F704" s="393"/>
      <c r="G704" s="393"/>
      <c r="H704" s="393"/>
      <c r="I704" s="393"/>
      <c r="J704" s="393"/>
      <c r="K704" s="393"/>
      <c r="L704" s="393"/>
      <c r="M704" s="393"/>
    </row>
    <row r="705">
      <c r="A705" s="393"/>
      <c r="B705" s="408"/>
      <c r="C705" s="408"/>
      <c r="D705" s="408"/>
      <c r="E705" s="393"/>
      <c r="F705" s="393"/>
      <c r="G705" s="393"/>
      <c r="H705" s="393"/>
      <c r="I705" s="393"/>
      <c r="J705" s="393"/>
      <c r="K705" s="393"/>
      <c r="L705" s="393"/>
      <c r="M705" s="393"/>
    </row>
    <row r="706">
      <c r="A706" s="393"/>
      <c r="B706" s="408"/>
      <c r="C706" s="408"/>
      <c r="D706" s="408"/>
      <c r="E706" s="393"/>
      <c r="F706" s="393"/>
      <c r="G706" s="393"/>
      <c r="H706" s="393"/>
      <c r="I706" s="393"/>
      <c r="J706" s="393"/>
      <c r="K706" s="393"/>
      <c r="L706" s="393"/>
      <c r="M706" s="393"/>
    </row>
    <row r="707">
      <c r="A707" s="393"/>
      <c r="B707" s="408"/>
      <c r="C707" s="408"/>
      <c r="D707" s="408"/>
      <c r="E707" s="393"/>
      <c r="F707" s="393"/>
      <c r="G707" s="393"/>
      <c r="H707" s="393"/>
      <c r="I707" s="393"/>
      <c r="J707" s="393"/>
      <c r="K707" s="393"/>
      <c r="L707" s="393"/>
      <c r="M707" s="393"/>
    </row>
    <row r="708">
      <c r="A708" s="393"/>
      <c r="B708" s="408"/>
      <c r="C708" s="408"/>
      <c r="D708" s="408"/>
      <c r="E708" s="393"/>
      <c r="F708" s="393"/>
      <c r="G708" s="393"/>
      <c r="H708" s="393"/>
      <c r="I708" s="393"/>
      <c r="J708" s="393"/>
      <c r="K708" s="393"/>
      <c r="L708" s="393"/>
      <c r="M708" s="393"/>
    </row>
    <row r="709">
      <c r="A709" s="393"/>
      <c r="B709" s="408"/>
      <c r="C709" s="408"/>
      <c r="D709" s="408"/>
      <c r="E709" s="393"/>
      <c r="F709" s="393"/>
      <c r="G709" s="393"/>
      <c r="H709" s="393"/>
      <c r="I709" s="393"/>
      <c r="J709" s="393"/>
      <c r="K709" s="393"/>
      <c r="L709" s="393"/>
      <c r="M709" s="393"/>
    </row>
    <row r="710">
      <c r="A710" s="393"/>
      <c r="B710" s="408"/>
      <c r="C710" s="408"/>
      <c r="D710" s="408"/>
      <c r="E710" s="393"/>
      <c r="F710" s="393"/>
      <c r="G710" s="393"/>
      <c r="H710" s="393"/>
      <c r="I710" s="393"/>
      <c r="J710" s="393"/>
      <c r="K710" s="393"/>
      <c r="L710" s="393"/>
      <c r="M710" s="393"/>
    </row>
    <row r="711">
      <c r="A711" s="393"/>
      <c r="B711" s="408"/>
      <c r="C711" s="408"/>
      <c r="D711" s="408"/>
      <c r="E711" s="393"/>
      <c r="F711" s="393"/>
      <c r="G711" s="393"/>
      <c r="H711" s="393"/>
      <c r="I711" s="393"/>
      <c r="J711" s="393"/>
      <c r="K711" s="393"/>
      <c r="L711" s="393"/>
      <c r="M711" s="393"/>
    </row>
    <row r="712">
      <c r="A712" s="393"/>
      <c r="B712" s="408"/>
      <c r="C712" s="408"/>
      <c r="D712" s="408"/>
      <c r="E712" s="393"/>
      <c r="F712" s="393"/>
      <c r="G712" s="393"/>
      <c r="H712" s="393"/>
      <c r="I712" s="393"/>
      <c r="J712" s="393"/>
      <c r="K712" s="393"/>
      <c r="L712" s="393"/>
      <c r="M712" s="393"/>
    </row>
    <row r="713">
      <c r="A713" s="393"/>
      <c r="B713" s="408"/>
      <c r="C713" s="408"/>
      <c r="D713" s="408"/>
      <c r="E713" s="393"/>
      <c r="F713" s="393"/>
      <c r="G713" s="393"/>
      <c r="H713" s="393"/>
      <c r="I713" s="393"/>
      <c r="J713" s="393"/>
      <c r="K713" s="393"/>
      <c r="L713" s="393"/>
      <c r="M713" s="393"/>
    </row>
    <row r="714">
      <c r="A714" s="393"/>
      <c r="B714" s="408"/>
      <c r="C714" s="408"/>
      <c r="D714" s="408"/>
      <c r="E714" s="393"/>
      <c r="F714" s="393"/>
      <c r="G714" s="393"/>
      <c r="H714" s="393"/>
      <c r="I714" s="393"/>
      <c r="J714" s="393"/>
      <c r="K714" s="393"/>
      <c r="L714" s="393"/>
      <c r="M714" s="393"/>
    </row>
    <row r="715">
      <c r="A715" s="393"/>
      <c r="B715" s="408"/>
      <c r="C715" s="408"/>
      <c r="D715" s="408"/>
      <c r="E715" s="393"/>
      <c r="F715" s="393"/>
      <c r="G715" s="393"/>
      <c r="H715" s="393"/>
      <c r="I715" s="393"/>
      <c r="J715" s="393"/>
      <c r="K715" s="393"/>
      <c r="L715" s="393"/>
      <c r="M715" s="393"/>
    </row>
    <row r="716">
      <c r="A716" s="393"/>
      <c r="B716" s="408"/>
      <c r="C716" s="408"/>
      <c r="D716" s="408"/>
      <c r="E716" s="393"/>
      <c r="F716" s="393"/>
      <c r="G716" s="393"/>
      <c r="H716" s="393"/>
      <c r="I716" s="393"/>
      <c r="J716" s="393"/>
      <c r="K716" s="393"/>
      <c r="L716" s="393"/>
      <c r="M716" s="393"/>
    </row>
    <row r="717">
      <c r="A717" s="393"/>
      <c r="B717" s="408"/>
      <c r="C717" s="408"/>
      <c r="D717" s="408"/>
      <c r="E717" s="393"/>
      <c r="F717" s="393"/>
      <c r="G717" s="393"/>
      <c r="H717" s="393"/>
      <c r="I717" s="393"/>
      <c r="J717" s="393"/>
      <c r="K717" s="393"/>
      <c r="L717" s="393"/>
      <c r="M717" s="393"/>
    </row>
    <row r="718">
      <c r="A718" s="393"/>
      <c r="B718" s="408"/>
      <c r="C718" s="408"/>
      <c r="D718" s="408"/>
      <c r="E718" s="393"/>
      <c r="F718" s="393"/>
      <c r="G718" s="393"/>
      <c r="H718" s="393"/>
      <c r="I718" s="393"/>
      <c r="J718" s="393"/>
      <c r="K718" s="393"/>
      <c r="L718" s="393"/>
      <c r="M718" s="393"/>
    </row>
    <row r="719">
      <c r="A719" s="393"/>
      <c r="B719" s="408"/>
      <c r="C719" s="408"/>
      <c r="D719" s="408"/>
      <c r="E719" s="393"/>
      <c r="F719" s="393"/>
      <c r="G719" s="393"/>
      <c r="H719" s="393"/>
      <c r="I719" s="393"/>
      <c r="J719" s="393"/>
      <c r="K719" s="393"/>
      <c r="L719" s="393"/>
      <c r="M719" s="393"/>
    </row>
    <row r="720">
      <c r="A720" s="393"/>
      <c r="B720" s="408"/>
      <c r="C720" s="408"/>
      <c r="D720" s="408"/>
      <c r="E720" s="393"/>
      <c r="F720" s="393"/>
      <c r="G720" s="393"/>
      <c r="H720" s="393"/>
      <c r="I720" s="393"/>
      <c r="J720" s="393"/>
      <c r="K720" s="393"/>
      <c r="L720" s="393"/>
      <c r="M720" s="393"/>
    </row>
    <row r="721">
      <c r="A721" s="393"/>
      <c r="B721" s="408"/>
      <c r="C721" s="408"/>
      <c r="D721" s="408"/>
      <c r="E721" s="393"/>
      <c r="F721" s="393"/>
      <c r="G721" s="393"/>
      <c r="H721" s="393"/>
      <c r="I721" s="393"/>
      <c r="J721" s="393"/>
      <c r="K721" s="393"/>
      <c r="L721" s="393"/>
      <c r="M721" s="393"/>
    </row>
    <row r="722">
      <c r="A722" s="393"/>
      <c r="B722" s="408"/>
      <c r="C722" s="408"/>
      <c r="D722" s="408"/>
      <c r="E722" s="393"/>
      <c r="F722" s="393"/>
      <c r="G722" s="393"/>
      <c r="H722" s="393"/>
      <c r="I722" s="393"/>
      <c r="J722" s="393"/>
      <c r="K722" s="393"/>
      <c r="L722" s="393"/>
      <c r="M722" s="393"/>
    </row>
    <row r="723">
      <c r="A723" s="393"/>
      <c r="B723" s="408"/>
      <c r="C723" s="408"/>
      <c r="D723" s="408"/>
      <c r="E723" s="393"/>
      <c r="F723" s="393"/>
      <c r="G723" s="393"/>
      <c r="H723" s="393"/>
      <c r="I723" s="393"/>
      <c r="J723" s="393"/>
      <c r="K723" s="393"/>
      <c r="L723" s="393"/>
      <c r="M723" s="393"/>
    </row>
    <row r="724">
      <c r="A724" s="393"/>
      <c r="B724" s="408"/>
      <c r="C724" s="408"/>
      <c r="D724" s="408"/>
      <c r="E724" s="393"/>
      <c r="F724" s="393"/>
      <c r="G724" s="393"/>
      <c r="H724" s="393"/>
      <c r="I724" s="393"/>
      <c r="J724" s="393"/>
      <c r="K724" s="393"/>
      <c r="L724" s="393"/>
      <c r="M724" s="393"/>
    </row>
    <row r="725">
      <c r="A725" s="393"/>
      <c r="B725" s="408"/>
      <c r="C725" s="408"/>
      <c r="D725" s="408"/>
      <c r="E725" s="393"/>
      <c r="F725" s="393"/>
      <c r="G725" s="393"/>
      <c r="H725" s="393"/>
      <c r="I725" s="393"/>
      <c r="J725" s="393"/>
      <c r="K725" s="393"/>
      <c r="L725" s="393"/>
      <c r="M725" s="393"/>
    </row>
    <row r="726">
      <c r="A726" s="393"/>
      <c r="B726" s="408"/>
      <c r="C726" s="408"/>
      <c r="D726" s="408"/>
      <c r="E726" s="393"/>
      <c r="F726" s="393"/>
      <c r="G726" s="393"/>
      <c r="H726" s="393"/>
      <c r="I726" s="393"/>
      <c r="J726" s="393"/>
      <c r="K726" s="393"/>
      <c r="L726" s="393"/>
      <c r="M726" s="393"/>
    </row>
    <row r="727">
      <c r="A727" s="393"/>
      <c r="B727" s="408"/>
      <c r="C727" s="408"/>
      <c r="D727" s="408"/>
      <c r="E727" s="393"/>
      <c r="F727" s="393"/>
      <c r="G727" s="393"/>
      <c r="H727" s="393"/>
      <c r="I727" s="393"/>
      <c r="J727" s="393"/>
      <c r="K727" s="393"/>
      <c r="L727" s="393"/>
      <c r="M727" s="393"/>
    </row>
    <row r="728">
      <c r="A728" s="393"/>
      <c r="B728" s="408"/>
      <c r="C728" s="408"/>
      <c r="D728" s="408"/>
      <c r="E728" s="393"/>
      <c r="F728" s="393"/>
      <c r="G728" s="393"/>
      <c r="H728" s="393"/>
      <c r="I728" s="393"/>
      <c r="J728" s="393"/>
      <c r="K728" s="393"/>
      <c r="L728" s="393"/>
      <c r="M728" s="393"/>
    </row>
    <row r="729">
      <c r="A729" s="393"/>
      <c r="B729" s="408"/>
      <c r="C729" s="408"/>
      <c r="D729" s="408"/>
      <c r="E729" s="393"/>
      <c r="F729" s="393"/>
      <c r="G729" s="393"/>
      <c r="H729" s="393"/>
      <c r="I729" s="393"/>
      <c r="J729" s="393"/>
      <c r="K729" s="393"/>
      <c r="L729" s="393"/>
      <c r="M729" s="393"/>
    </row>
    <row r="730">
      <c r="A730" s="393"/>
      <c r="B730" s="408"/>
      <c r="C730" s="408"/>
      <c r="D730" s="408"/>
      <c r="E730" s="393"/>
      <c r="F730" s="393"/>
      <c r="G730" s="393"/>
      <c r="H730" s="393"/>
      <c r="I730" s="393"/>
      <c r="J730" s="393"/>
      <c r="K730" s="393"/>
      <c r="L730" s="393"/>
      <c r="M730" s="393"/>
    </row>
    <row r="731">
      <c r="A731" s="393"/>
      <c r="B731" s="408"/>
      <c r="C731" s="408"/>
      <c r="D731" s="408"/>
      <c r="E731" s="393"/>
      <c r="F731" s="393"/>
      <c r="G731" s="393"/>
      <c r="H731" s="393"/>
      <c r="I731" s="393"/>
      <c r="J731" s="393"/>
      <c r="K731" s="393"/>
      <c r="L731" s="393"/>
      <c r="M731" s="393"/>
    </row>
    <row r="732">
      <c r="A732" s="393"/>
      <c r="B732" s="408"/>
      <c r="C732" s="408"/>
      <c r="D732" s="408"/>
      <c r="E732" s="393"/>
      <c r="F732" s="393"/>
      <c r="G732" s="393"/>
      <c r="H732" s="393"/>
      <c r="I732" s="393"/>
      <c r="J732" s="393"/>
      <c r="K732" s="393"/>
      <c r="L732" s="393"/>
      <c r="M732" s="393"/>
    </row>
    <row r="733">
      <c r="A733" s="393"/>
      <c r="B733" s="408"/>
      <c r="C733" s="408"/>
      <c r="D733" s="408"/>
      <c r="E733" s="393"/>
      <c r="F733" s="393"/>
      <c r="G733" s="393"/>
      <c r="H733" s="393"/>
      <c r="I733" s="393"/>
      <c r="J733" s="393"/>
      <c r="K733" s="393"/>
      <c r="L733" s="393"/>
      <c r="M733" s="393"/>
    </row>
    <row r="734">
      <c r="A734" s="393"/>
      <c r="B734" s="408"/>
      <c r="C734" s="408"/>
      <c r="D734" s="408"/>
      <c r="E734" s="393"/>
      <c r="F734" s="393"/>
      <c r="G734" s="393"/>
      <c r="H734" s="393"/>
      <c r="I734" s="393"/>
      <c r="J734" s="393"/>
      <c r="K734" s="393"/>
      <c r="L734" s="393"/>
      <c r="M734" s="393"/>
    </row>
    <row r="735">
      <c r="A735" s="393"/>
      <c r="B735" s="408"/>
      <c r="C735" s="408"/>
      <c r="D735" s="408"/>
      <c r="E735" s="393"/>
      <c r="F735" s="393"/>
      <c r="G735" s="393"/>
      <c r="H735" s="393"/>
      <c r="I735" s="393"/>
      <c r="J735" s="393"/>
      <c r="K735" s="393"/>
      <c r="L735" s="393"/>
      <c r="M735" s="393"/>
    </row>
    <row r="736">
      <c r="A736" s="393"/>
      <c r="B736" s="408"/>
      <c r="C736" s="408"/>
      <c r="D736" s="408"/>
      <c r="E736" s="393"/>
      <c r="F736" s="393"/>
      <c r="G736" s="393"/>
      <c r="H736" s="393"/>
      <c r="I736" s="393"/>
      <c r="J736" s="393"/>
      <c r="K736" s="393"/>
      <c r="L736" s="393"/>
      <c r="M736" s="393"/>
    </row>
    <row r="737">
      <c r="A737" s="393"/>
      <c r="B737" s="408"/>
      <c r="C737" s="408"/>
      <c r="D737" s="408"/>
      <c r="E737" s="393"/>
      <c r="F737" s="393"/>
      <c r="G737" s="393"/>
      <c r="H737" s="393"/>
      <c r="I737" s="393"/>
      <c r="J737" s="393"/>
      <c r="K737" s="393"/>
      <c r="L737" s="393"/>
      <c r="M737" s="393"/>
    </row>
    <row r="738">
      <c r="A738" s="393"/>
      <c r="B738" s="408"/>
      <c r="C738" s="408"/>
      <c r="D738" s="408"/>
      <c r="E738" s="393"/>
      <c r="F738" s="393"/>
      <c r="G738" s="393"/>
      <c r="H738" s="393"/>
      <c r="I738" s="393"/>
      <c r="J738" s="393"/>
      <c r="K738" s="393"/>
      <c r="L738" s="393"/>
      <c r="M738" s="393"/>
    </row>
    <row r="739">
      <c r="A739" s="393"/>
      <c r="B739" s="408"/>
      <c r="C739" s="408"/>
      <c r="D739" s="408"/>
      <c r="E739" s="393"/>
      <c r="F739" s="393"/>
      <c r="G739" s="393"/>
      <c r="H739" s="393"/>
      <c r="I739" s="393"/>
      <c r="J739" s="393"/>
      <c r="K739" s="393"/>
      <c r="L739" s="393"/>
      <c r="M739" s="393"/>
    </row>
    <row r="740">
      <c r="A740" s="393"/>
      <c r="B740" s="408"/>
      <c r="C740" s="408"/>
      <c r="D740" s="408"/>
      <c r="E740" s="393"/>
      <c r="F740" s="393"/>
      <c r="G740" s="393"/>
      <c r="H740" s="393"/>
      <c r="I740" s="393"/>
      <c r="J740" s="393"/>
      <c r="K740" s="393"/>
      <c r="L740" s="393"/>
      <c r="M740" s="393"/>
    </row>
    <row r="741">
      <c r="A741" s="393"/>
      <c r="B741" s="408"/>
      <c r="C741" s="408"/>
      <c r="D741" s="408"/>
      <c r="E741" s="393"/>
      <c r="F741" s="393"/>
      <c r="G741" s="393"/>
      <c r="H741" s="393"/>
      <c r="I741" s="393"/>
      <c r="J741" s="393"/>
      <c r="K741" s="393"/>
      <c r="L741" s="393"/>
      <c r="M741" s="393"/>
    </row>
    <row r="742">
      <c r="A742" s="393"/>
      <c r="B742" s="408"/>
      <c r="C742" s="408"/>
      <c r="D742" s="408"/>
      <c r="E742" s="393"/>
      <c r="F742" s="393"/>
      <c r="G742" s="393"/>
      <c r="H742" s="393"/>
      <c r="I742" s="393"/>
      <c r="J742" s="393"/>
      <c r="K742" s="393"/>
      <c r="L742" s="393"/>
      <c r="M742" s="393"/>
    </row>
    <row r="743">
      <c r="A743" s="393"/>
      <c r="B743" s="408"/>
      <c r="C743" s="408"/>
      <c r="D743" s="408"/>
      <c r="E743" s="393"/>
      <c r="F743" s="393"/>
      <c r="G743" s="393"/>
      <c r="H743" s="393"/>
      <c r="I743" s="393"/>
      <c r="J743" s="393"/>
      <c r="K743" s="393"/>
      <c r="L743" s="393"/>
      <c r="M743" s="393"/>
    </row>
    <row r="744">
      <c r="A744" s="393"/>
      <c r="B744" s="408"/>
      <c r="C744" s="408"/>
      <c r="D744" s="408"/>
      <c r="E744" s="393"/>
      <c r="F744" s="393"/>
      <c r="G744" s="393"/>
      <c r="H744" s="393"/>
      <c r="I744" s="393"/>
      <c r="J744" s="393"/>
      <c r="K744" s="393"/>
      <c r="L744" s="393"/>
      <c r="M744" s="393"/>
    </row>
    <row r="745">
      <c r="A745" s="393"/>
      <c r="B745" s="408"/>
      <c r="C745" s="408"/>
      <c r="D745" s="408"/>
      <c r="E745" s="393"/>
      <c r="F745" s="393"/>
      <c r="G745" s="393"/>
      <c r="H745" s="393"/>
      <c r="I745" s="393"/>
      <c r="J745" s="393"/>
      <c r="K745" s="393"/>
      <c r="L745" s="393"/>
      <c r="M745" s="393"/>
    </row>
    <row r="746">
      <c r="A746" s="393"/>
      <c r="B746" s="408"/>
      <c r="C746" s="408"/>
      <c r="D746" s="408"/>
      <c r="E746" s="393"/>
      <c r="F746" s="393"/>
      <c r="G746" s="393"/>
      <c r="H746" s="393"/>
      <c r="I746" s="393"/>
      <c r="J746" s="393"/>
      <c r="K746" s="393"/>
      <c r="L746" s="393"/>
      <c r="M746" s="393"/>
    </row>
    <row r="747">
      <c r="A747" s="393"/>
      <c r="B747" s="408"/>
      <c r="C747" s="408"/>
      <c r="D747" s="408"/>
      <c r="E747" s="393"/>
      <c r="F747" s="393"/>
      <c r="G747" s="393"/>
      <c r="H747" s="393"/>
      <c r="I747" s="393"/>
      <c r="J747" s="393"/>
      <c r="K747" s="393"/>
      <c r="L747" s="393"/>
      <c r="M747" s="393"/>
    </row>
    <row r="748">
      <c r="A748" s="393"/>
      <c r="B748" s="408"/>
      <c r="C748" s="408"/>
      <c r="D748" s="408"/>
      <c r="E748" s="393"/>
      <c r="F748" s="393"/>
      <c r="G748" s="393"/>
      <c r="H748" s="393"/>
      <c r="I748" s="393"/>
      <c r="J748" s="393"/>
      <c r="K748" s="393"/>
      <c r="L748" s="393"/>
      <c r="M748" s="393"/>
    </row>
    <row r="749">
      <c r="A749" s="393"/>
      <c r="B749" s="408"/>
      <c r="C749" s="408"/>
      <c r="D749" s="408"/>
      <c r="E749" s="393"/>
      <c r="F749" s="393"/>
      <c r="G749" s="393"/>
      <c r="H749" s="393"/>
      <c r="I749" s="393"/>
      <c r="J749" s="393"/>
      <c r="K749" s="393"/>
      <c r="L749" s="393"/>
      <c r="M749" s="393"/>
    </row>
    <row r="750">
      <c r="A750" s="393"/>
      <c r="B750" s="408"/>
      <c r="C750" s="408"/>
      <c r="D750" s="408"/>
      <c r="E750" s="393"/>
      <c r="F750" s="393"/>
      <c r="G750" s="393"/>
      <c r="H750" s="393"/>
      <c r="I750" s="393"/>
      <c r="J750" s="393"/>
      <c r="K750" s="393"/>
      <c r="L750" s="393"/>
      <c r="M750" s="393"/>
    </row>
    <row r="751">
      <c r="A751" s="393"/>
      <c r="B751" s="408"/>
      <c r="C751" s="408"/>
      <c r="D751" s="408"/>
      <c r="E751" s="393"/>
      <c r="F751" s="393"/>
      <c r="G751" s="393"/>
      <c r="H751" s="393"/>
      <c r="I751" s="393"/>
      <c r="J751" s="393"/>
      <c r="K751" s="393"/>
      <c r="L751" s="393"/>
      <c r="M751" s="393"/>
    </row>
    <row r="752">
      <c r="A752" s="393"/>
      <c r="B752" s="408"/>
      <c r="C752" s="408"/>
      <c r="D752" s="408"/>
      <c r="E752" s="393"/>
      <c r="F752" s="393"/>
      <c r="G752" s="393"/>
      <c r="H752" s="393"/>
      <c r="I752" s="393"/>
      <c r="J752" s="393"/>
      <c r="K752" s="393"/>
      <c r="L752" s="393"/>
      <c r="M752" s="393"/>
    </row>
    <row r="753">
      <c r="A753" s="393"/>
      <c r="B753" s="408"/>
      <c r="C753" s="408"/>
      <c r="D753" s="408"/>
      <c r="E753" s="393"/>
      <c r="F753" s="393"/>
      <c r="G753" s="393"/>
      <c r="H753" s="393"/>
      <c r="I753" s="393"/>
      <c r="J753" s="393"/>
      <c r="K753" s="393"/>
      <c r="L753" s="393"/>
      <c r="M753" s="393"/>
    </row>
    <row r="754">
      <c r="A754" s="393"/>
      <c r="B754" s="408"/>
      <c r="C754" s="408"/>
      <c r="D754" s="408"/>
      <c r="E754" s="393"/>
      <c r="F754" s="393"/>
      <c r="G754" s="393"/>
      <c r="H754" s="393"/>
      <c r="I754" s="393"/>
      <c r="J754" s="393"/>
      <c r="K754" s="393"/>
      <c r="L754" s="393"/>
      <c r="M754" s="393"/>
    </row>
    <row r="755">
      <c r="A755" s="393"/>
      <c r="B755" s="408"/>
      <c r="C755" s="408"/>
      <c r="D755" s="408"/>
      <c r="E755" s="393"/>
      <c r="F755" s="393"/>
      <c r="G755" s="393"/>
      <c r="H755" s="393"/>
      <c r="I755" s="393"/>
      <c r="J755" s="393"/>
      <c r="K755" s="393"/>
      <c r="L755" s="393"/>
      <c r="M755" s="393"/>
    </row>
    <row r="756">
      <c r="A756" s="393"/>
      <c r="B756" s="408"/>
      <c r="C756" s="408"/>
      <c r="D756" s="408"/>
      <c r="E756" s="393"/>
      <c r="F756" s="393"/>
      <c r="G756" s="393"/>
      <c r="H756" s="393"/>
      <c r="I756" s="393"/>
      <c r="J756" s="393"/>
      <c r="K756" s="393"/>
      <c r="L756" s="393"/>
      <c r="M756" s="393"/>
    </row>
    <row r="757">
      <c r="A757" s="393"/>
      <c r="B757" s="408"/>
      <c r="C757" s="408"/>
      <c r="D757" s="408"/>
      <c r="E757" s="393"/>
      <c r="F757" s="393"/>
      <c r="G757" s="393"/>
      <c r="H757" s="393"/>
      <c r="I757" s="393"/>
      <c r="J757" s="393"/>
      <c r="K757" s="393"/>
      <c r="L757" s="393"/>
      <c r="M757" s="393"/>
    </row>
    <row r="758">
      <c r="A758" s="393"/>
      <c r="B758" s="408"/>
      <c r="C758" s="408"/>
      <c r="D758" s="408"/>
      <c r="E758" s="393"/>
      <c r="F758" s="393"/>
      <c r="G758" s="393"/>
      <c r="H758" s="393"/>
      <c r="I758" s="393"/>
      <c r="J758" s="393"/>
      <c r="K758" s="393"/>
      <c r="L758" s="393"/>
      <c r="M758" s="393"/>
    </row>
    <row r="759">
      <c r="A759" s="393"/>
      <c r="B759" s="408"/>
      <c r="C759" s="408"/>
      <c r="D759" s="408"/>
      <c r="E759" s="393"/>
      <c r="F759" s="393"/>
      <c r="G759" s="393"/>
      <c r="H759" s="393"/>
      <c r="I759" s="393"/>
      <c r="J759" s="393"/>
      <c r="K759" s="393"/>
      <c r="L759" s="393"/>
      <c r="M759" s="393"/>
    </row>
    <row r="760">
      <c r="A760" s="393"/>
      <c r="B760" s="408"/>
      <c r="C760" s="408"/>
      <c r="D760" s="408"/>
      <c r="E760" s="393"/>
      <c r="F760" s="393"/>
      <c r="G760" s="393"/>
      <c r="H760" s="393"/>
      <c r="I760" s="393"/>
      <c r="J760" s="393"/>
      <c r="K760" s="393"/>
      <c r="L760" s="393"/>
      <c r="M760" s="393"/>
    </row>
    <row r="761">
      <c r="A761" s="393"/>
      <c r="B761" s="408"/>
      <c r="C761" s="408"/>
      <c r="D761" s="408"/>
      <c r="E761" s="393"/>
      <c r="F761" s="393"/>
      <c r="G761" s="393"/>
      <c r="H761" s="393"/>
      <c r="I761" s="393"/>
      <c r="J761" s="393"/>
      <c r="K761" s="393"/>
      <c r="L761" s="393"/>
      <c r="M761" s="393"/>
    </row>
    <row r="762">
      <c r="A762" s="393"/>
      <c r="B762" s="408"/>
      <c r="C762" s="408"/>
      <c r="D762" s="408"/>
      <c r="E762" s="393"/>
      <c r="F762" s="393"/>
      <c r="G762" s="393"/>
      <c r="H762" s="393"/>
      <c r="I762" s="393"/>
      <c r="J762" s="393"/>
      <c r="K762" s="393"/>
      <c r="L762" s="393"/>
      <c r="M762" s="393"/>
    </row>
    <row r="763">
      <c r="A763" s="393"/>
      <c r="B763" s="408"/>
      <c r="C763" s="408"/>
      <c r="D763" s="408"/>
      <c r="E763" s="393"/>
      <c r="F763" s="393"/>
      <c r="G763" s="393"/>
      <c r="H763" s="393"/>
      <c r="I763" s="393"/>
      <c r="J763" s="393"/>
      <c r="K763" s="393"/>
      <c r="L763" s="393"/>
      <c r="M763" s="393"/>
    </row>
    <row r="764">
      <c r="A764" s="393"/>
      <c r="B764" s="408"/>
      <c r="C764" s="408"/>
      <c r="D764" s="408"/>
      <c r="E764" s="393"/>
      <c r="F764" s="393"/>
      <c r="G764" s="393"/>
      <c r="H764" s="393"/>
      <c r="I764" s="393"/>
      <c r="J764" s="393"/>
      <c r="K764" s="393"/>
      <c r="L764" s="393"/>
      <c r="M764" s="393"/>
    </row>
    <row r="765">
      <c r="A765" s="393"/>
      <c r="B765" s="408"/>
      <c r="C765" s="408"/>
      <c r="D765" s="408"/>
      <c r="E765" s="393"/>
      <c r="F765" s="393"/>
      <c r="G765" s="393"/>
      <c r="H765" s="393"/>
      <c r="I765" s="393"/>
      <c r="J765" s="393"/>
      <c r="K765" s="393"/>
      <c r="L765" s="393"/>
      <c r="M765" s="393"/>
    </row>
    <row r="766">
      <c r="A766" s="393"/>
      <c r="B766" s="408"/>
      <c r="C766" s="408"/>
      <c r="D766" s="408"/>
      <c r="E766" s="393"/>
      <c r="F766" s="393"/>
      <c r="G766" s="393"/>
      <c r="H766" s="393"/>
      <c r="I766" s="393"/>
      <c r="J766" s="393"/>
      <c r="K766" s="393"/>
      <c r="L766" s="393"/>
      <c r="M766" s="393"/>
    </row>
    <row r="767">
      <c r="A767" s="393"/>
      <c r="B767" s="408"/>
      <c r="C767" s="408"/>
      <c r="D767" s="408"/>
      <c r="E767" s="393"/>
      <c r="F767" s="393"/>
      <c r="G767" s="393"/>
      <c r="H767" s="393"/>
      <c r="I767" s="393"/>
      <c r="J767" s="393"/>
      <c r="K767" s="393"/>
      <c r="L767" s="393"/>
      <c r="M767" s="393"/>
    </row>
    <row r="768">
      <c r="A768" s="393"/>
      <c r="B768" s="408"/>
      <c r="C768" s="408"/>
      <c r="D768" s="408"/>
      <c r="E768" s="393"/>
      <c r="F768" s="393"/>
      <c r="G768" s="393"/>
      <c r="H768" s="393"/>
      <c r="I768" s="393"/>
      <c r="J768" s="393"/>
      <c r="K768" s="393"/>
      <c r="L768" s="393"/>
      <c r="M768" s="393"/>
    </row>
    <row r="769">
      <c r="A769" s="393"/>
      <c r="B769" s="408"/>
      <c r="C769" s="408"/>
      <c r="D769" s="408"/>
      <c r="E769" s="393"/>
      <c r="F769" s="393"/>
      <c r="G769" s="393"/>
      <c r="H769" s="393"/>
      <c r="I769" s="393"/>
      <c r="J769" s="393"/>
      <c r="K769" s="393"/>
      <c r="L769" s="393"/>
      <c r="M769" s="393"/>
    </row>
    <row r="770">
      <c r="A770" s="393"/>
      <c r="B770" s="408"/>
      <c r="C770" s="408"/>
      <c r="D770" s="408"/>
      <c r="E770" s="393"/>
      <c r="F770" s="393"/>
      <c r="G770" s="393"/>
      <c r="H770" s="393"/>
      <c r="I770" s="393"/>
      <c r="J770" s="393"/>
      <c r="K770" s="393"/>
      <c r="L770" s="393"/>
      <c r="M770" s="393"/>
    </row>
    <row r="771">
      <c r="A771" s="393"/>
      <c r="B771" s="408"/>
      <c r="C771" s="408"/>
      <c r="D771" s="408"/>
      <c r="E771" s="393"/>
      <c r="F771" s="393"/>
      <c r="G771" s="393"/>
      <c r="H771" s="393"/>
      <c r="I771" s="393"/>
      <c r="J771" s="393"/>
      <c r="K771" s="393"/>
      <c r="L771" s="393"/>
      <c r="M771" s="393"/>
    </row>
    <row r="772">
      <c r="A772" s="393"/>
      <c r="B772" s="408"/>
      <c r="C772" s="408"/>
      <c r="D772" s="408"/>
      <c r="E772" s="393"/>
      <c r="F772" s="393"/>
      <c r="G772" s="393"/>
      <c r="H772" s="393"/>
      <c r="I772" s="393"/>
      <c r="J772" s="393"/>
      <c r="K772" s="393"/>
      <c r="L772" s="393"/>
      <c r="M772" s="393"/>
    </row>
    <row r="773">
      <c r="A773" s="393"/>
      <c r="B773" s="408"/>
      <c r="C773" s="408"/>
      <c r="D773" s="408"/>
      <c r="E773" s="393"/>
      <c r="F773" s="393"/>
      <c r="G773" s="393"/>
      <c r="H773" s="393"/>
      <c r="I773" s="393"/>
      <c r="J773" s="393"/>
      <c r="K773" s="393"/>
      <c r="L773" s="393"/>
      <c r="M773" s="393"/>
    </row>
    <row r="774">
      <c r="A774" s="393"/>
      <c r="B774" s="408"/>
      <c r="C774" s="408"/>
      <c r="D774" s="408"/>
      <c r="E774" s="393"/>
      <c r="F774" s="393"/>
      <c r="G774" s="393"/>
      <c r="H774" s="393"/>
      <c r="I774" s="393"/>
      <c r="J774" s="393"/>
      <c r="K774" s="393"/>
      <c r="L774" s="393"/>
      <c r="M774" s="393"/>
    </row>
    <row r="775">
      <c r="A775" s="393"/>
      <c r="B775" s="408"/>
      <c r="C775" s="408"/>
      <c r="D775" s="408"/>
      <c r="E775" s="393"/>
      <c r="F775" s="393"/>
      <c r="G775" s="393"/>
      <c r="H775" s="393"/>
      <c r="I775" s="393"/>
      <c r="J775" s="393"/>
      <c r="K775" s="393"/>
      <c r="L775" s="393"/>
      <c r="M775" s="393"/>
    </row>
    <row r="776">
      <c r="A776" s="393"/>
      <c r="B776" s="408"/>
      <c r="C776" s="408"/>
      <c r="D776" s="408"/>
      <c r="E776" s="393"/>
      <c r="F776" s="393"/>
      <c r="G776" s="393"/>
      <c r="H776" s="393"/>
      <c r="I776" s="393"/>
      <c r="J776" s="393"/>
      <c r="K776" s="393"/>
      <c r="L776" s="393"/>
      <c r="M776" s="393"/>
    </row>
    <row r="777">
      <c r="A777" s="393"/>
      <c r="B777" s="408"/>
      <c r="C777" s="408"/>
      <c r="D777" s="408"/>
      <c r="E777" s="393"/>
      <c r="F777" s="393"/>
      <c r="G777" s="393"/>
      <c r="H777" s="393"/>
      <c r="I777" s="393"/>
      <c r="J777" s="393"/>
      <c r="K777" s="393"/>
      <c r="L777" s="393"/>
      <c r="M777" s="393"/>
    </row>
    <row r="778">
      <c r="A778" s="393"/>
      <c r="B778" s="408"/>
      <c r="C778" s="408"/>
      <c r="D778" s="408"/>
      <c r="E778" s="393"/>
      <c r="F778" s="393"/>
      <c r="G778" s="393"/>
      <c r="H778" s="393"/>
      <c r="I778" s="393"/>
      <c r="J778" s="393"/>
      <c r="K778" s="393"/>
      <c r="L778" s="393"/>
      <c r="M778" s="393"/>
    </row>
    <row r="779">
      <c r="A779" s="393"/>
      <c r="B779" s="408"/>
      <c r="C779" s="408"/>
      <c r="D779" s="408"/>
      <c r="E779" s="393"/>
      <c r="F779" s="393"/>
      <c r="G779" s="393"/>
      <c r="H779" s="393"/>
      <c r="I779" s="393"/>
      <c r="J779" s="393"/>
      <c r="K779" s="393"/>
      <c r="L779" s="393"/>
      <c r="M779" s="393"/>
    </row>
    <row r="780">
      <c r="A780" s="393"/>
      <c r="B780" s="408"/>
      <c r="C780" s="408"/>
      <c r="D780" s="408"/>
      <c r="E780" s="393"/>
      <c r="F780" s="393"/>
      <c r="G780" s="393"/>
      <c r="H780" s="393"/>
      <c r="I780" s="393"/>
      <c r="J780" s="393"/>
      <c r="K780" s="393"/>
      <c r="L780" s="393"/>
      <c r="M780" s="393"/>
    </row>
    <row r="781">
      <c r="A781" s="393"/>
      <c r="B781" s="408"/>
      <c r="C781" s="408"/>
      <c r="D781" s="408"/>
      <c r="E781" s="393"/>
      <c r="F781" s="393"/>
      <c r="G781" s="393"/>
      <c r="H781" s="393"/>
      <c r="I781" s="393"/>
      <c r="J781" s="393"/>
      <c r="K781" s="393"/>
      <c r="L781" s="393"/>
      <c r="M781" s="393"/>
    </row>
    <row r="782">
      <c r="A782" s="393"/>
      <c r="B782" s="408"/>
      <c r="C782" s="408"/>
      <c r="D782" s="408"/>
      <c r="E782" s="393"/>
      <c r="F782" s="393"/>
      <c r="G782" s="393"/>
      <c r="H782" s="393"/>
      <c r="I782" s="393"/>
      <c r="J782" s="393"/>
      <c r="K782" s="393"/>
      <c r="L782" s="393"/>
      <c r="M782" s="393"/>
    </row>
    <row r="783">
      <c r="A783" s="393"/>
      <c r="B783" s="408"/>
      <c r="C783" s="408"/>
      <c r="D783" s="408"/>
      <c r="E783" s="393"/>
      <c r="F783" s="393"/>
      <c r="G783" s="393"/>
      <c r="H783" s="393"/>
      <c r="I783" s="393"/>
      <c r="J783" s="393"/>
      <c r="K783" s="393"/>
      <c r="L783" s="393"/>
      <c r="M783" s="393"/>
    </row>
    <row r="784">
      <c r="A784" s="393"/>
      <c r="B784" s="408"/>
      <c r="C784" s="408"/>
      <c r="D784" s="408"/>
      <c r="E784" s="393"/>
      <c r="F784" s="393"/>
      <c r="G784" s="393"/>
      <c r="H784" s="393"/>
      <c r="I784" s="393"/>
      <c r="J784" s="393"/>
      <c r="K784" s="393"/>
      <c r="L784" s="393"/>
      <c r="M784" s="393"/>
    </row>
    <row r="785">
      <c r="A785" s="393"/>
      <c r="B785" s="408"/>
      <c r="C785" s="408"/>
      <c r="D785" s="408"/>
      <c r="E785" s="393"/>
      <c r="F785" s="393"/>
      <c r="G785" s="393"/>
      <c r="H785" s="393"/>
      <c r="I785" s="393"/>
      <c r="J785" s="393"/>
      <c r="K785" s="393"/>
      <c r="L785" s="393"/>
      <c r="M785" s="393"/>
    </row>
    <row r="786">
      <c r="A786" s="393"/>
      <c r="B786" s="408"/>
      <c r="C786" s="408"/>
      <c r="D786" s="408"/>
      <c r="E786" s="393"/>
      <c r="F786" s="393"/>
      <c r="G786" s="393"/>
      <c r="H786" s="393"/>
      <c r="I786" s="393"/>
      <c r="J786" s="393"/>
      <c r="K786" s="393"/>
      <c r="L786" s="393"/>
      <c r="M786" s="393"/>
    </row>
    <row r="787">
      <c r="A787" s="393"/>
      <c r="B787" s="408"/>
      <c r="C787" s="408"/>
      <c r="D787" s="408"/>
      <c r="E787" s="393"/>
      <c r="F787" s="393"/>
      <c r="G787" s="393"/>
      <c r="H787" s="393"/>
      <c r="I787" s="393"/>
      <c r="J787" s="393"/>
      <c r="K787" s="393"/>
      <c r="L787" s="393"/>
      <c r="M787" s="393"/>
    </row>
    <row r="788">
      <c r="A788" s="393"/>
      <c r="B788" s="408"/>
      <c r="C788" s="408"/>
      <c r="D788" s="408"/>
      <c r="E788" s="393"/>
      <c r="F788" s="393"/>
      <c r="G788" s="393"/>
      <c r="H788" s="393"/>
      <c r="I788" s="393"/>
      <c r="J788" s="393"/>
      <c r="K788" s="393"/>
      <c r="L788" s="393"/>
      <c r="M788" s="393"/>
    </row>
    <row r="789">
      <c r="A789" s="393"/>
      <c r="B789" s="408"/>
      <c r="C789" s="408"/>
      <c r="D789" s="408"/>
      <c r="E789" s="393"/>
      <c r="F789" s="393"/>
      <c r="G789" s="393"/>
      <c r="H789" s="393"/>
      <c r="I789" s="393"/>
      <c r="J789" s="393"/>
      <c r="K789" s="393"/>
      <c r="L789" s="393"/>
      <c r="M789" s="393"/>
    </row>
    <row r="790">
      <c r="A790" s="393"/>
      <c r="B790" s="408"/>
      <c r="C790" s="408"/>
      <c r="D790" s="408"/>
      <c r="E790" s="393"/>
      <c r="F790" s="393"/>
      <c r="G790" s="393"/>
      <c r="H790" s="393"/>
      <c r="I790" s="393"/>
      <c r="J790" s="393"/>
      <c r="K790" s="393"/>
      <c r="L790" s="393"/>
      <c r="M790" s="393"/>
    </row>
    <row r="791">
      <c r="A791" s="393"/>
      <c r="B791" s="408"/>
      <c r="C791" s="408"/>
      <c r="D791" s="408"/>
      <c r="E791" s="393"/>
      <c r="F791" s="393"/>
      <c r="G791" s="393"/>
      <c r="H791" s="393"/>
      <c r="I791" s="393"/>
      <c r="J791" s="393"/>
      <c r="K791" s="393"/>
      <c r="L791" s="393"/>
      <c r="M791" s="393"/>
    </row>
    <row r="792">
      <c r="A792" s="393"/>
      <c r="B792" s="408"/>
      <c r="C792" s="408"/>
      <c r="D792" s="408"/>
      <c r="E792" s="393"/>
      <c r="F792" s="393"/>
      <c r="G792" s="393"/>
      <c r="H792" s="393"/>
      <c r="I792" s="393"/>
      <c r="J792" s="393"/>
      <c r="K792" s="393"/>
      <c r="L792" s="393"/>
      <c r="M792" s="393"/>
    </row>
    <row r="793">
      <c r="A793" s="393"/>
      <c r="B793" s="408"/>
      <c r="C793" s="408"/>
      <c r="D793" s="408"/>
      <c r="E793" s="393"/>
      <c r="F793" s="393"/>
      <c r="G793" s="393"/>
      <c r="H793" s="393"/>
      <c r="I793" s="393"/>
      <c r="J793" s="393"/>
      <c r="K793" s="393"/>
      <c r="L793" s="393"/>
      <c r="M793" s="393"/>
    </row>
    <row r="794">
      <c r="A794" s="393"/>
      <c r="B794" s="408"/>
      <c r="C794" s="408"/>
      <c r="D794" s="408"/>
      <c r="E794" s="393"/>
      <c r="F794" s="393"/>
      <c r="G794" s="393"/>
      <c r="H794" s="393"/>
      <c r="I794" s="393"/>
      <c r="J794" s="393"/>
      <c r="K794" s="393"/>
      <c r="L794" s="393"/>
      <c r="M794" s="393"/>
    </row>
    <row r="795">
      <c r="A795" s="393"/>
      <c r="B795" s="408"/>
      <c r="C795" s="408"/>
      <c r="D795" s="408"/>
      <c r="E795" s="393"/>
      <c r="F795" s="393"/>
      <c r="G795" s="393"/>
      <c r="H795" s="393"/>
      <c r="I795" s="393"/>
      <c r="J795" s="393"/>
      <c r="K795" s="393"/>
      <c r="L795" s="393"/>
      <c r="M795" s="393"/>
    </row>
    <row r="796">
      <c r="A796" s="393"/>
      <c r="B796" s="408"/>
      <c r="C796" s="408"/>
      <c r="D796" s="408"/>
      <c r="E796" s="393"/>
      <c r="F796" s="393"/>
      <c r="G796" s="393"/>
      <c r="H796" s="393"/>
      <c r="I796" s="393"/>
      <c r="J796" s="393"/>
      <c r="K796" s="393"/>
      <c r="L796" s="393"/>
      <c r="M796" s="393"/>
    </row>
    <row r="797">
      <c r="A797" s="393"/>
      <c r="B797" s="408"/>
      <c r="C797" s="408"/>
      <c r="D797" s="408"/>
      <c r="E797" s="393"/>
      <c r="F797" s="393"/>
      <c r="G797" s="393"/>
      <c r="H797" s="393"/>
      <c r="I797" s="393"/>
      <c r="J797" s="393"/>
      <c r="K797" s="393"/>
      <c r="L797" s="393"/>
      <c r="M797" s="393"/>
    </row>
    <row r="798">
      <c r="A798" s="393"/>
      <c r="B798" s="408"/>
      <c r="C798" s="408"/>
      <c r="D798" s="408"/>
      <c r="E798" s="393"/>
      <c r="F798" s="393"/>
      <c r="G798" s="393"/>
      <c r="H798" s="393"/>
      <c r="I798" s="393"/>
      <c r="J798" s="393"/>
      <c r="K798" s="393"/>
      <c r="L798" s="393"/>
      <c r="M798" s="393"/>
    </row>
    <row r="799">
      <c r="A799" s="393"/>
      <c r="B799" s="408"/>
      <c r="C799" s="408"/>
      <c r="D799" s="408"/>
      <c r="E799" s="393"/>
      <c r="F799" s="393"/>
      <c r="G799" s="393"/>
      <c r="H799" s="393"/>
      <c r="I799" s="393"/>
      <c r="J799" s="393"/>
      <c r="K799" s="393"/>
      <c r="L799" s="393"/>
      <c r="M799" s="393"/>
    </row>
    <row r="800">
      <c r="A800" s="393"/>
      <c r="B800" s="408"/>
      <c r="C800" s="408"/>
      <c r="D800" s="408"/>
      <c r="E800" s="393"/>
      <c r="F800" s="393"/>
      <c r="G800" s="393"/>
      <c r="H800" s="393"/>
      <c r="I800" s="393"/>
      <c r="J800" s="393"/>
      <c r="K800" s="393"/>
      <c r="L800" s="393"/>
      <c r="M800" s="393"/>
    </row>
    <row r="801">
      <c r="A801" s="393"/>
      <c r="B801" s="408"/>
      <c r="C801" s="408"/>
      <c r="D801" s="408"/>
      <c r="E801" s="393"/>
      <c r="F801" s="393"/>
      <c r="G801" s="393"/>
      <c r="H801" s="393"/>
      <c r="I801" s="393"/>
      <c r="J801" s="393"/>
      <c r="K801" s="393"/>
      <c r="L801" s="393"/>
      <c r="M801" s="393"/>
    </row>
    <row r="802">
      <c r="A802" s="393"/>
      <c r="B802" s="408"/>
      <c r="C802" s="408"/>
      <c r="D802" s="408"/>
      <c r="E802" s="393"/>
      <c r="F802" s="393"/>
      <c r="G802" s="393"/>
      <c r="H802" s="393"/>
      <c r="I802" s="393"/>
      <c r="J802" s="393"/>
      <c r="K802" s="393"/>
      <c r="L802" s="393"/>
      <c r="M802" s="393"/>
    </row>
    <row r="803">
      <c r="A803" s="393"/>
      <c r="B803" s="408"/>
      <c r="C803" s="408"/>
      <c r="D803" s="408"/>
      <c r="E803" s="393"/>
      <c r="F803" s="393"/>
      <c r="G803" s="393"/>
      <c r="H803" s="393"/>
      <c r="I803" s="393"/>
      <c r="J803" s="393"/>
      <c r="K803" s="393"/>
      <c r="L803" s="393"/>
      <c r="M803" s="393"/>
    </row>
    <row r="804">
      <c r="A804" s="393"/>
      <c r="B804" s="408"/>
      <c r="C804" s="408"/>
      <c r="D804" s="408"/>
      <c r="E804" s="393"/>
      <c r="F804" s="393"/>
      <c r="G804" s="393"/>
      <c r="H804" s="393"/>
      <c r="I804" s="393"/>
      <c r="J804" s="393"/>
      <c r="K804" s="393"/>
      <c r="L804" s="393"/>
      <c r="M804" s="393"/>
    </row>
    <row r="805">
      <c r="A805" s="393"/>
      <c r="B805" s="408"/>
      <c r="C805" s="408"/>
      <c r="D805" s="408"/>
      <c r="E805" s="393"/>
      <c r="F805" s="393"/>
      <c r="G805" s="393"/>
      <c r="H805" s="393"/>
      <c r="I805" s="393"/>
      <c r="J805" s="393"/>
      <c r="K805" s="393"/>
      <c r="L805" s="393"/>
      <c r="M805" s="393"/>
    </row>
    <row r="806">
      <c r="A806" s="393"/>
      <c r="B806" s="408"/>
      <c r="C806" s="408"/>
      <c r="D806" s="408"/>
      <c r="E806" s="393"/>
      <c r="F806" s="393"/>
      <c r="G806" s="393"/>
      <c r="H806" s="393"/>
      <c r="I806" s="393"/>
      <c r="J806" s="393"/>
      <c r="K806" s="393"/>
      <c r="L806" s="393"/>
      <c r="M806" s="393"/>
    </row>
    <row r="807">
      <c r="A807" s="393"/>
      <c r="B807" s="408"/>
      <c r="C807" s="408"/>
      <c r="D807" s="408"/>
      <c r="E807" s="393"/>
      <c r="F807" s="393"/>
      <c r="G807" s="393"/>
      <c r="H807" s="393"/>
      <c r="I807" s="393"/>
      <c r="J807" s="393"/>
      <c r="K807" s="393"/>
      <c r="L807" s="393"/>
      <c r="M807" s="393"/>
    </row>
    <row r="808">
      <c r="A808" s="393"/>
      <c r="B808" s="408"/>
      <c r="C808" s="408"/>
      <c r="D808" s="408"/>
      <c r="E808" s="393"/>
      <c r="F808" s="393"/>
      <c r="G808" s="393"/>
      <c r="H808" s="393"/>
      <c r="I808" s="393"/>
      <c r="J808" s="393"/>
      <c r="K808" s="393"/>
      <c r="L808" s="393"/>
      <c r="M808" s="393"/>
    </row>
    <row r="809">
      <c r="A809" s="393"/>
      <c r="B809" s="408"/>
      <c r="C809" s="408"/>
      <c r="D809" s="408"/>
      <c r="E809" s="393"/>
      <c r="F809" s="393"/>
      <c r="G809" s="393"/>
      <c r="H809" s="393"/>
      <c r="I809" s="393"/>
      <c r="J809" s="393"/>
      <c r="K809" s="393"/>
      <c r="L809" s="393"/>
      <c r="M809" s="393"/>
    </row>
    <row r="810">
      <c r="A810" s="393"/>
      <c r="B810" s="408"/>
      <c r="C810" s="408"/>
      <c r="D810" s="408"/>
      <c r="E810" s="393"/>
      <c r="F810" s="393"/>
      <c r="G810" s="393"/>
      <c r="H810" s="393"/>
      <c r="I810" s="393"/>
      <c r="J810" s="393"/>
      <c r="K810" s="393"/>
      <c r="L810" s="393"/>
      <c r="M810" s="393"/>
    </row>
    <row r="811">
      <c r="A811" s="393"/>
      <c r="B811" s="408"/>
      <c r="C811" s="408"/>
      <c r="D811" s="408"/>
      <c r="E811" s="393"/>
      <c r="F811" s="393"/>
      <c r="G811" s="393"/>
      <c r="H811" s="393"/>
      <c r="I811" s="393"/>
      <c r="J811" s="393"/>
      <c r="K811" s="393"/>
      <c r="L811" s="393"/>
      <c r="M811" s="393"/>
    </row>
    <row r="812">
      <c r="A812" s="393"/>
      <c r="B812" s="408"/>
      <c r="C812" s="408"/>
      <c r="D812" s="408"/>
      <c r="E812" s="393"/>
      <c r="F812" s="393"/>
      <c r="G812" s="393"/>
      <c r="H812" s="393"/>
      <c r="I812" s="393"/>
      <c r="J812" s="393"/>
      <c r="K812" s="393"/>
      <c r="L812" s="393"/>
      <c r="M812" s="393"/>
    </row>
    <row r="813">
      <c r="A813" s="393"/>
      <c r="B813" s="408"/>
      <c r="C813" s="408"/>
      <c r="D813" s="408"/>
      <c r="E813" s="393"/>
      <c r="F813" s="393"/>
      <c r="G813" s="393"/>
      <c r="H813" s="393"/>
      <c r="I813" s="393"/>
      <c r="J813" s="393"/>
      <c r="K813" s="393"/>
      <c r="L813" s="393"/>
      <c r="M813" s="393"/>
    </row>
    <row r="814">
      <c r="A814" s="393"/>
      <c r="B814" s="408"/>
      <c r="C814" s="408"/>
      <c r="D814" s="408"/>
      <c r="E814" s="393"/>
      <c r="F814" s="393"/>
      <c r="G814" s="393"/>
      <c r="H814" s="393"/>
      <c r="I814" s="393"/>
      <c r="J814" s="393"/>
      <c r="K814" s="393"/>
      <c r="L814" s="393"/>
      <c r="M814" s="393"/>
    </row>
    <row r="815">
      <c r="A815" s="393"/>
      <c r="B815" s="408"/>
      <c r="C815" s="408"/>
      <c r="D815" s="408"/>
      <c r="E815" s="393"/>
      <c r="F815" s="393"/>
      <c r="G815" s="393"/>
      <c r="H815" s="393"/>
      <c r="I815" s="393"/>
      <c r="J815" s="393"/>
      <c r="K815" s="393"/>
      <c r="L815" s="393"/>
      <c r="M815" s="393"/>
    </row>
    <row r="816">
      <c r="A816" s="393"/>
      <c r="B816" s="408"/>
      <c r="C816" s="408"/>
      <c r="D816" s="408"/>
      <c r="E816" s="393"/>
      <c r="F816" s="393"/>
      <c r="G816" s="393"/>
      <c r="H816" s="393"/>
      <c r="I816" s="393"/>
      <c r="J816" s="393"/>
      <c r="K816" s="393"/>
      <c r="L816" s="393"/>
      <c r="M816" s="393"/>
    </row>
    <row r="817">
      <c r="A817" s="393"/>
      <c r="B817" s="408"/>
      <c r="C817" s="408"/>
      <c r="D817" s="408"/>
      <c r="E817" s="393"/>
      <c r="F817" s="393"/>
      <c r="G817" s="393"/>
      <c r="H817" s="393"/>
      <c r="I817" s="393"/>
      <c r="J817" s="393"/>
      <c r="K817" s="393"/>
      <c r="L817" s="393"/>
      <c r="M817" s="393"/>
    </row>
    <row r="818">
      <c r="A818" s="393"/>
      <c r="B818" s="408"/>
      <c r="C818" s="408"/>
      <c r="D818" s="408"/>
      <c r="E818" s="393"/>
      <c r="F818" s="393"/>
      <c r="G818" s="393"/>
      <c r="H818" s="393"/>
      <c r="I818" s="393"/>
      <c r="J818" s="393"/>
      <c r="K818" s="393"/>
      <c r="L818" s="393"/>
      <c r="M818" s="393"/>
    </row>
    <row r="819">
      <c r="A819" s="393"/>
      <c r="B819" s="408"/>
      <c r="C819" s="408"/>
      <c r="D819" s="408"/>
      <c r="E819" s="393"/>
      <c r="F819" s="393"/>
      <c r="G819" s="393"/>
      <c r="H819" s="393"/>
      <c r="I819" s="393"/>
      <c r="J819" s="393"/>
      <c r="K819" s="393"/>
      <c r="L819" s="393"/>
      <c r="M819" s="393"/>
    </row>
    <row r="820">
      <c r="A820" s="393"/>
      <c r="B820" s="408"/>
      <c r="C820" s="408"/>
      <c r="D820" s="408"/>
      <c r="E820" s="393"/>
      <c r="F820" s="393"/>
      <c r="G820" s="393"/>
      <c r="H820" s="393"/>
      <c r="I820" s="393"/>
      <c r="J820" s="393"/>
      <c r="K820" s="393"/>
      <c r="L820" s="393"/>
      <c r="M820" s="393"/>
    </row>
    <row r="821">
      <c r="A821" s="393"/>
      <c r="B821" s="408"/>
      <c r="C821" s="408"/>
      <c r="D821" s="408"/>
      <c r="E821" s="393"/>
      <c r="F821" s="393"/>
      <c r="G821" s="393"/>
      <c r="H821" s="393"/>
      <c r="I821" s="393"/>
      <c r="J821" s="393"/>
      <c r="K821" s="393"/>
      <c r="L821" s="393"/>
      <c r="M821" s="393"/>
    </row>
    <row r="822">
      <c r="A822" s="393"/>
      <c r="B822" s="408"/>
      <c r="C822" s="408"/>
      <c r="D822" s="408"/>
      <c r="E822" s="393"/>
      <c r="F822" s="393"/>
      <c r="G822" s="393"/>
      <c r="H822" s="393"/>
      <c r="I822" s="393"/>
      <c r="J822" s="393"/>
      <c r="K822" s="393"/>
      <c r="L822" s="393"/>
      <c r="M822" s="393"/>
    </row>
    <row r="823">
      <c r="A823" s="393"/>
      <c r="B823" s="408"/>
      <c r="C823" s="408"/>
      <c r="D823" s="408"/>
      <c r="E823" s="393"/>
      <c r="F823" s="393"/>
      <c r="G823" s="393"/>
      <c r="H823" s="393"/>
      <c r="I823" s="393"/>
      <c r="J823" s="393"/>
      <c r="K823" s="393"/>
      <c r="L823" s="393"/>
      <c r="M823" s="393"/>
    </row>
    <row r="824">
      <c r="A824" s="393"/>
      <c r="B824" s="408"/>
      <c r="C824" s="408"/>
      <c r="D824" s="408"/>
      <c r="E824" s="393"/>
      <c r="F824" s="393"/>
      <c r="G824" s="393"/>
      <c r="H824" s="393"/>
      <c r="I824" s="393"/>
      <c r="J824" s="393"/>
      <c r="K824" s="393"/>
      <c r="L824" s="393"/>
      <c r="M824" s="393"/>
    </row>
    <row r="825">
      <c r="A825" s="393"/>
      <c r="B825" s="408"/>
      <c r="C825" s="408"/>
      <c r="D825" s="408"/>
      <c r="E825" s="393"/>
      <c r="F825" s="393"/>
      <c r="G825" s="393"/>
      <c r="H825" s="393"/>
      <c r="I825" s="393"/>
      <c r="J825" s="393"/>
      <c r="K825" s="393"/>
      <c r="L825" s="393"/>
      <c r="M825" s="393"/>
    </row>
    <row r="826">
      <c r="A826" s="393"/>
      <c r="B826" s="408"/>
      <c r="C826" s="408"/>
      <c r="D826" s="408"/>
      <c r="E826" s="393"/>
      <c r="F826" s="393"/>
      <c r="G826" s="393"/>
      <c r="H826" s="393"/>
      <c r="I826" s="393"/>
      <c r="J826" s="393"/>
      <c r="K826" s="393"/>
      <c r="L826" s="393"/>
      <c r="M826" s="393"/>
    </row>
    <row r="827">
      <c r="A827" s="393"/>
      <c r="B827" s="408"/>
      <c r="C827" s="408"/>
      <c r="D827" s="408"/>
      <c r="E827" s="393"/>
      <c r="F827" s="393"/>
      <c r="G827" s="393"/>
      <c r="H827" s="393"/>
      <c r="I827" s="393"/>
      <c r="J827" s="393"/>
      <c r="K827" s="393"/>
      <c r="L827" s="393"/>
      <c r="M827" s="393"/>
    </row>
    <row r="828">
      <c r="A828" s="393"/>
      <c r="B828" s="408"/>
      <c r="C828" s="408"/>
      <c r="D828" s="408"/>
      <c r="E828" s="393"/>
      <c r="F828" s="393"/>
      <c r="G828" s="393"/>
      <c r="H828" s="393"/>
      <c r="I828" s="393"/>
      <c r="J828" s="393"/>
      <c r="K828" s="393"/>
      <c r="L828" s="393"/>
      <c r="M828" s="393"/>
    </row>
    <row r="829">
      <c r="A829" s="393"/>
      <c r="B829" s="408"/>
      <c r="C829" s="408"/>
      <c r="D829" s="408"/>
      <c r="E829" s="393"/>
      <c r="F829" s="393"/>
      <c r="G829" s="393"/>
      <c r="H829" s="393"/>
      <c r="I829" s="393"/>
      <c r="J829" s="393"/>
      <c r="K829" s="393"/>
      <c r="L829" s="393"/>
      <c r="M829" s="393"/>
    </row>
    <row r="830">
      <c r="A830" s="393"/>
      <c r="B830" s="408"/>
      <c r="C830" s="408"/>
      <c r="D830" s="408"/>
      <c r="E830" s="393"/>
      <c r="F830" s="393"/>
      <c r="G830" s="393"/>
      <c r="H830" s="393"/>
      <c r="I830" s="393"/>
      <c r="J830" s="393"/>
      <c r="K830" s="393"/>
      <c r="L830" s="393"/>
      <c r="M830" s="393"/>
    </row>
    <row r="831">
      <c r="A831" s="393"/>
      <c r="B831" s="408"/>
      <c r="C831" s="408"/>
      <c r="D831" s="408"/>
      <c r="E831" s="393"/>
      <c r="F831" s="393"/>
      <c r="G831" s="393"/>
      <c r="H831" s="393"/>
      <c r="I831" s="393"/>
      <c r="J831" s="393"/>
      <c r="K831" s="393"/>
      <c r="L831" s="393"/>
      <c r="M831" s="393"/>
    </row>
    <row r="832">
      <c r="A832" s="393"/>
      <c r="B832" s="408"/>
      <c r="C832" s="408"/>
      <c r="D832" s="408"/>
      <c r="E832" s="393"/>
      <c r="F832" s="393"/>
      <c r="G832" s="393"/>
      <c r="H832" s="393"/>
      <c r="I832" s="393"/>
      <c r="J832" s="393"/>
      <c r="K832" s="393"/>
      <c r="L832" s="393"/>
      <c r="M832" s="393"/>
    </row>
    <row r="833">
      <c r="A833" s="393"/>
      <c r="B833" s="408"/>
      <c r="C833" s="408"/>
      <c r="D833" s="408"/>
      <c r="E833" s="393"/>
      <c r="F833" s="393"/>
      <c r="G833" s="393"/>
      <c r="H833" s="393"/>
      <c r="I833" s="393"/>
      <c r="J833" s="393"/>
      <c r="K833" s="393"/>
      <c r="L833" s="393"/>
      <c r="M833" s="393"/>
    </row>
    <row r="834">
      <c r="A834" s="393"/>
      <c r="B834" s="408"/>
      <c r="C834" s="408"/>
      <c r="D834" s="408"/>
      <c r="E834" s="393"/>
      <c r="F834" s="393"/>
      <c r="G834" s="393"/>
      <c r="H834" s="393"/>
      <c r="I834" s="393"/>
      <c r="J834" s="393"/>
      <c r="K834" s="393"/>
      <c r="L834" s="393"/>
      <c r="M834" s="393"/>
    </row>
    <row r="835">
      <c r="A835" s="393"/>
      <c r="B835" s="408"/>
      <c r="C835" s="408"/>
      <c r="D835" s="408"/>
      <c r="E835" s="393"/>
      <c r="F835" s="393"/>
      <c r="G835" s="393"/>
      <c r="H835" s="393"/>
      <c r="I835" s="393"/>
      <c r="J835" s="393"/>
      <c r="K835" s="393"/>
      <c r="L835" s="393"/>
      <c r="M835" s="393"/>
    </row>
    <row r="836">
      <c r="A836" s="393"/>
      <c r="B836" s="408"/>
      <c r="C836" s="408"/>
      <c r="D836" s="408"/>
      <c r="E836" s="393"/>
      <c r="F836" s="393"/>
      <c r="G836" s="393"/>
      <c r="H836" s="393"/>
      <c r="I836" s="393"/>
      <c r="J836" s="393"/>
      <c r="K836" s="393"/>
      <c r="L836" s="393"/>
      <c r="M836" s="393"/>
    </row>
    <row r="837">
      <c r="A837" s="393"/>
      <c r="B837" s="408"/>
      <c r="C837" s="408"/>
      <c r="D837" s="408"/>
      <c r="E837" s="393"/>
      <c r="F837" s="393"/>
      <c r="G837" s="393"/>
      <c r="H837" s="393"/>
      <c r="I837" s="393"/>
      <c r="J837" s="393"/>
      <c r="K837" s="393"/>
      <c r="L837" s="393"/>
      <c r="M837" s="393"/>
    </row>
    <row r="838">
      <c r="A838" s="393"/>
      <c r="B838" s="408"/>
      <c r="C838" s="408"/>
      <c r="D838" s="408"/>
      <c r="E838" s="393"/>
      <c r="F838" s="393"/>
      <c r="G838" s="393"/>
      <c r="H838" s="393"/>
      <c r="I838" s="393"/>
      <c r="J838" s="393"/>
      <c r="K838" s="393"/>
      <c r="L838" s="393"/>
      <c r="M838" s="393"/>
    </row>
    <row r="839">
      <c r="A839" s="393"/>
      <c r="B839" s="408"/>
      <c r="C839" s="408"/>
      <c r="D839" s="408"/>
      <c r="E839" s="393"/>
      <c r="F839" s="393"/>
      <c r="G839" s="393"/>
      <c r="H839" s="393"/>
      <c r="I839" s="393"/>
      <c r="J839" s="393"/>
      <c r="K839" s="393"/>
      <c r="L839" s="393"/>
      <c r="M839" s="393"/>
    </row>
    <row r="840">
      <c r="A840" s="393"/>
      <c r="B840" s="408"/>
      <c r="C840" s="408"/>
      <c r="D840" s="408"/>
      <c r="E840" s="393"/>
      <c r="F840" s="393"/>
      <c r="G840" s="393"/>
      <c r="H840" s="393"/>
      <c r="I840" s="393"/>
      <c r="J840" s="393"/>
      <c r="K840" s="393"/>
      <c r="L840" s="393"/>
      <c r="M840" s="393"/>
    </row>
    <row r="841">
      <c r="A841" s="393"/>
      <c r="B841" s="408"/>
      <c r="C841" s="408"/>
      <c r="D841" s="408"/>
      <c r="E841" s="393"/>
      <c r="F841" s="393"/>
      <c r="G841" s="393"/>
      <c r="H841" s="393"/>
      <c r="I841" s="393"/>
      <c r="J841" s="393"/>
      <c r="K841" s="393"/>
      <c r="L841" s="393"/>
      <c r="M841" s="393"/>
    </row>
    <row r="842">
      <c r="A842" s="393"/>
      <c r="B842" s="408"/>
      <c r="C842" s="408"/>
      <c r="D842" s="408"/>
      <c r="E842" s="393"/>
      <c r="F842" s="393"/>
      <c r="G842" s="393"/>
      <c r="H842" s="393"/>
      <c r="I842" s="393"/>
      <c r="J842" s="393"/>
      <c r="K842" s="393"/>
      <c r="L842" s="393"/>
      <c r="M842" s="393"/>
    </row>
    <row r="843">
      <c r="A843" s="393"/>
      <c r="B843" s="408"/>
      <c r="C843" s="408"/>
      <c r="D843" s="408"/>
      <c r="E843" s="393"/>
      <c r="F843" s="393"/>
      <c r="G843" s="393"/>
      <c r="H843" s="393"/>
      <c r="I843" s="393"/>
      <c r="J843" s="393"/>
      <c r="K843" s="393"/>
      <c r="L843" s="393"/>
      <c r="M843" s="393"/>
    </row>
    <row r="844">
      <c r="A844" s="393"/>
      <c r="B844" s="408"/>
      <c r="C844" s="408"/>
      <c r="D844" s="408"/>
      <c r="E844" s="393"/>
      <c r="F844" s="393"/>
      <c r="G844" s="393"/>
      <c r="H844" s="393"/>
      <c r="I844" s="393"/>
      <c r="J844" s="393"/>
      <c r="K844" s="393"/>
      <c r="L844" s="393"/>
      <c r="M844" s="393"/>
    </row>
    <row r="845">
      <c r="A845" s="393"/>
      <c r="B845" s="408"/>
      <c r="C845" s="408"/>
      <c r="D845" s="408"/>
      <c r="E845" s="393"/>
      <c r="F845" s="393"/>
      <c r="G845" s="393"/>
      <c r="H845" s="393"/>
      <c r="I845" s="393"/>
      <c r="J845" s="393"/>
      <c r="K845" s="393"/>
      <c r="L845" s="393"/>
      <c r="M845" s="393"/>
    </row>
    <row r="846">
      <c r="A846" s="393"/>
      <c r="B846" s="408"/>
      <c r="C846" s="408"/>
      <c r="D846" s="408"/>
      <c r="E846" s="393"/>
      <c r="F846" s="393"/>
      <c r="G846" s="393"/>
      <c r="H846" s="393"/>
      <c r="I846" s="393"/>
      <c r="J846" s="393"/>
      <c r="K846" s="393"/>
      <c r="L846" s="393"/>
      <c r="M846" s="393"/>
    </row>
    <row r="847">
      <c r="A847" s="393"/>
      <c r="B847" s="408"/>
      <c r="C847" s="408"/>
      <c r="D847" s="408"/>
      <c r="E847" s="393"/>
      <c r="F847" s="393"/>
      <c r="G847" s="393"/>
      <c r="H847" s="393"/>
      <c r="I847" s="393"/>
      <c r="J847" s="393"/>
      <c r="K847" s="393"/>
      <c r="L847" s="393"/>
      <c r="M847" s="393"/>
    </row>
    <row r="848">
      <c r="A848" s="393"/>
      <c r="B848" s="408"/>
      <c r="C848" s="408"/>
      <c r="D848" s="408"/>
      <c r="E848" s="393"/>
      <c r="F848" s="393"/>
      <c r="G848" s="393"/>
      <c r="H848" s="393"/>
      <c r="I848" s="393"/>
      <c r="J848" s="393"/>
      <c r="K848" s="393"/>
      <c r="L848" s="393"/>
      <c r="M848" s="393"/>
    </row>
    <row r="849">
      <c r="A849" s="393"/>
      <c r="B849" s="408"/>
      <c r="C849" s="408"/>
      <c r="D849" s="408"/>
      <c r="E849" s="393"/>
      <c r="F849" s="393"/>
      <c r="G849" s="393"/>
      <c r="H849" s="393"/>
      <c r="I849" s="393"/>
      <c r="J849" s="393"/>
      <c r="K849" s="393"/>
      <c r="L849" s="393"/>
      <c r="M849" s="393"/>
    </row>
    <row r="850">
      <c r="A850" s="393"/>
      <c r="B850" s="408"/>
      <c r="C850" s="408"/>
      <c r="D850" s="408"/>
      <c r="E850" s="393"/>
      <c r="F850" s="393"/>
      <c r="G850" s="393"/>
      <c r="H850" s="393"/>
      <c r="I850" s="393"/>
      <c r="J850" s="393"/>
      <c r="K850" s="393"/>
      <c r="L850" s="393"/>
      <c r="M850" s="393"/>
    </row>
    <row r="851">
      <c r="A851" s="393"/>
      <c r="B851" s="408"/>
      <c r="C851" s="408"/>
      <c r="D851" s="408"/>
      <c r="E851" s="393"/>
      <c r="F851" s="393"/>
      <c r="G851" s="393"/>
      <c r="H851" s="393"/>
      <c r="I851" s="393"/>
      <c r="J851" s="393"/>
      <c r="K851" s="393"/>
      <c r="L851" s="393"/>
      <c r="M851" s="393"/>
    </row>
    <row r="852">
      <c r="A852" s="393"/>
      <c r="B852" s="408"/>
      <c r="C852" s="408"/>
      <c r="D852" s="408"/>
      <c r="E852" s="393"/>
      <c r="F852" s="393"/>
      <c r="G852" s="393"/>
      <c r="H852" s="393"/>
      <c r="I852" s="393"/>
      <c r="J852" s="393"/>
      <c r="K852" s="393"/>
      <c r="L852" s="393"/>
      <c r="M852" s="393"/>
    </row>
    <row r="853">
      <c r="A853" s="393"/>
      <c r="B853" s="408"/>
      <c r="C853" s="408"/>
      <c r="D853" s="408"/>
      <c r="E853" s="393"/>
      <c r="F853" s="393"/>
      <c r="G853" s="393"/>
      <c r="H853" s="393"/>
      <c r="I853" s="393"/>
      <c r="J853" s="393"/>
      <c r="K853" s="393"/>
      <c r="L853" s="393"/>
      <c r="M853" s="393"/>
    </row>
    <row r="854">
      <c r="A854" s="393"/>
      <c r="B854" s="408"/>
      <c r="C854" s="408"/>
      <c r="D854" s="408"/>
      <c r="E854" s="393"/>
      <c r="F854" s="393"/>
      <c r="G854" s="393"/>
      <c r="H854" s="393"/>
      <c r="I854" s="393"/>
      <c r="J854" s="393"/>
      <c r="K854" s="393"/>
      <c r="L854" s="393"/>
      <c r="M854" s="393"/>
    </row>
    <row r="855">
      <c r="A855" s="393"/>
      <c r="B855" s="408"/>
      <c r="C855" s="408"/>
      <c r="D855" s="408"/>
      <c r="E855" s="393"/>
      <c r="F855" s="393"/>
      <c r="G855" s="393"/>
      <c r="H855" s="393"/>
      <c r="I855" s="393"/>
      <c r="J855" s="393"/>
      <c r="K855" s="393"/>
      <c r="L855" s="393"/>
      <c r="M855" s="393"/>
    </row>
    <row r="856">
      <c r="A856" s="393"/>
      <c r="B856" s="408"/>
      <c r="C856" s="408"/>
      <c r="D856" s="408"/>
      <c r="E856" s="393"/>
      <c r="F856" s="393"/>
      <c r="G856" s="393"/>
      <c r="H856" s="393"/>
      <c r="I856" s="393"/>
      <c r="J856" s="393"/>
      <c r="K856" s="393"/>
      <c r="L856" s="393"/>
      <c r="M856" s="393"/>
    </row>
    <row r="857">
      <c r="A857" s="393"/>
      <c r="B857" s="408"/>
      <c r="C857" s="408"/>
      <c r="D857" s="408"/>
      <c r="E857" s="393"/>
      <c r="F857" s="393"/>
      <c r="G857" s="393"/>
      <c r="H857" s="393"/>
      <c r="I857" s="393"/>
      <c r="J857" s="393"/>
      <c r="K857" s="393"/>
      <c r="L857" s="393"/>
      <c r="M857" s="393"/>
    </row>
    <row r="858">
      <c r="A858" s="393"/>
      <c r="B858" s="408"/>
      <c r="C858" s="408"/>
      <c r="D858" s="408"/>
      <c r="E858" s="393"/>
      <c r="F858" s="393"/>
      <c r="G858" s="393"/>
      <c r="H858" s="393"/>
      <c r="I858" s="393"/>
      <c r="J858" s="393"/>
      <c r="K858" s="393"/>
      <c r="L858" s="393"/>
      <c r="M858" s="393"/>
    </row>
    <row r="859">
      <c r="A859" s="393"/>
      <c r="B859" s="408"/>
      <c r="C859" s="408"/>
      <c r="D859" s="408"/>
      <c r="E859" s="393"/>
      <c r="F859" s="393"/>
      <c r="G859" s="393"/>
      <c r="H859" s="393"/>
      <c r="I859" s="393"/>
      <c r="J859" s="393"/>
      <c r="K859" s="393"/>
      <c r="L859" s="393"/>
      <c r="M859" s="393"/>
    </row>
    <row r="860">
      <c r="A860" s="393"/>
      <c r="B860" s="408"/>
      <c r="C860" s="408"/>
      <c r="D860" s="408"/>
      <c r="E860" s="393"/>
      <c r="F860" s="393"/>
      <c r="G860" s="393"/>
      <c r="H860" s="393"/>
      <c r="I860" s="393"/>
      <c r="J860" s="393"/>
      <c r="K860" s="393"/>
      <c r="L860" s="393"/>
      <c r="M860" s="393"/>
    </row>
    <row r="861">
      <c r="A861" s="393"/>
      <c r="B861" s="408"/>
      <c r="C861" s="408"/>
      <c r="D861" s="408"/>
      <c r="E861" s="393"/>
      <c r="F861" s="393"/>
      <c r="G861" s="393"/>
      <c r="H861" s="393"/>
      <c r="I861" s="393"/>
      <c r="J861" s="393"/>
      <c r="K861" s="393"/>
      <c r="L861" s="393"/>
      <c r="M861" s="393"/>
    </row>
    <row r="862">
      <c r="A862" s="393"/>
      <c r="B862" s="408"/>
      <c r="C862" s="408"/>
      <c r="D862" s="408"/>
      <c r="E862" s="393"/>
      <c r="F862" s="393"/>
      <c r="G862" s="393"/>
      <c r="H862" s="393"/>
      <c r="I862" s="393"/>
      <c r="J862" s="393"/>
      <c r="K862" s="393"/>
      <c r="L862" s="393"/>
      <c r="M862" s="393"/>
    </row>
    <row r="863">
      <c r="A863" s="393"/>
      <c r="B863" s="408"/>
      <c r="C863" s="408"/>
      <c r="D863" s="408"/>
      <c r="E863" s="393"/>
      <c r="F863" s="393"/>
      <c r="G863" s="393"/>
      <c r="H863" s="393"/>
      <c r="I863" s="393"/>
      <c r="J863" s="393"/>
      <c r="K863" s="393"/>
      <c r="L863" s="393"/>
      <c r="M863" s="393"/>
    </row>
    <row r="864">
      <c r="A864" s="393"/>
      <c r="B864" s="408"/>
      <c r="C864" s="408"/>
      <c r="D864" s="408"/>
      <c r="E864" s="393"/>
      <c r="F864" s="393"/>
      <c r="G864" s="393"/>
      <c r="H864" s="393"/>
      <c r="I864" s="393"/>
      <c r="J864" s="393"/>
      <c r="K864" s="393"/>
      <c r="L864" s="393"/>
      <c r="M864" s="393"/>
    </row>
    <row r="865">
      <c r="A865" s="393"/>
      <c r="B865" s="408"/>
      <c r="C865" s="408"/>
      <c r="D865" s="408"/>
      <c r="E865" s="393"/>
      <c r="F865" s="393"/>
      <c r="G865" s="393"/>
      <c r="H865" s="393"/>
      <c r="I865" s="393"/>
      <c r="J865" s="393"/>
      <c r="K865" s="393"/>
      <c r="L865" s="393"/>
      <c r="M865" s="393"/>
    </row>
    <row r="866">
      <c r="A866" s="393"/>
      <c r="B866" s="408"/>
      <c r="C866" s="408"/>
      <c r="D866" s="408"/>
      <c r="E866" s="393"/>
      <c r="F866" s="393"/>
      <c r="G866" s="393"/>
      <c r="H866" s="393"/>
      <c r="I866" s="393"/>
      <c r="J866" s="393"/>
      <c r="K866" s="393"/>
      <c r="L866" s="393"/>
      <c r="M866" s="393"/>
    </row>
    <row r="867">
      <c r="A867" s="393"/>
      <c r="B867" s="408"/>
      <c r="C867" s="408"/>
      <c r="D867" s="408"/>
      <c r="E867" s="393"/>
      <c r="F867" s="393"/>
      <c r="G867" s="393"/>
      <c r="H867" s="393"/>
      <c r="I867" s="393"/>
      <c r="J867" s="393"/>
      <c r="K867" s="393"/>
      <c r="L867" s="393"/>
      <c r="M867" s="393"/>
    </row>
    <row r="868">
      <c r="A868" s="393"/>
      <c r="B868" s="408"/>
      <c r="C868" s="408"/>
      <c r="D868" s="408"/>
      <c r="E868" s="393"/>
      <c r="F868" s="393"/>
      <c r="G868" s="393"/>
      <c r="H868" s="393"/>
      <c r="I868" s="393"/>
      <c r="J868" s="393"/>
      <c r="K868" s="393"/>
      <c r="L868" s="393"/>
      <c r="M868" s="393"/>
    </row>
    <row r="869">
      <c r="A869" s="393"/>
      <c r="B869" s="408"/>
      <c r="C869" s="408"/>
      <c r="D869" s="408"/>
      <c r="E869" s="393"/>
      <c r="F869" s="393"/>
      <c r="G869" s="393"/>
      <c r="H869" s="393"/>
      <c r="I869" s="393"/>
      <c r="J869" s="393"/>
      <c r="K869" s="393"/>
      <c r="L869" s="393"/>
      <c r="M869" s="393"/>
    </row>
    <row r="870">
      <c r="A870" s="393"/>
      <c r="B870" s="408"/>
      <c r="C870" s="408"/>
      <c r="D870" s="408"/>
      <c r="E870" s="393"/>
      <c r="F870" s="393"/>
      <c r="G870" s="393"/>
      <c r="H870" s="393"/>
      <c r="I870" s="393"/>
      <c r="J870" s="393"/>
      <c r="K870" s="393"/>
      <c r="L870" s="393"/>
      <c r="M870" s="393"/>
    </row>
    <row r="871">
      <c r="A871" s="393"/>
      <c r="B871" s="408"/>
      <c r="C871" s="408"/>
      <c r="D871" s="408"/>
      <c r="E871" s="393"/>
      <c r="F871" s="393"/>
      <c r="G871" s="393"/>
      <c r="H871" s="393"/>
      <c r="I871" s="393"/>
      <c r="J871" s="393"/>
      <c r="K871" s="393"/>
      <c r="L871" s="393"/>
      <c r="M871" s="393"/>
    </row>
    <row r="872">
      <c r="A872" s="393"/>
      <c r="B872" s="408"/>
      <c r="C872" s="408"/>
      <c r="D872" s="408"/>
      <c r="E872" s="393"/>
      <c r="F872" s="393"/>
      <c r="G872" s="393"/>
      <c r="H872" s="393"/>
      <c r="I872" s="393"/>
      <c r="J872" s="393"/>
      <c r="K872" s="393"/>
      <c r="L872" s="393"/>
      <c r="M872" s="393"/>
    </row>
    <row r="873">
      <c r="A873" s="393"/>
      <c r="B873" s="408"/>
      <c r="C873" s="408"/>
      <c r="D873" s="408"/>
      <c r="E873" s="393"/>
      <c r="F873" s="393"/>
      <c r="G873" s="393"/>
      <c r="H873" s="393"/>
      <c r="I873" s="393"/>
      <c r="J873" s="393"/>
      <c r="K873" s="393"/>
      <c r="L873" s="393"/>
      <c r="M873" s="393"/>
    </row>
    <row r="874">
      <c r="A874" s="393"/>
      <c r="B874" s="408"/>
      <c r="C874" s="408"/>
      <c r="D874" s="408"/>
      <c r="E874" s="393"/>
      <c r="F874" s="393"/>
      <c r="G874" s="393"/>
      <c r="H874" s="393"/>
      <c r="I874" s="393"/>
      <c r="J874" s="393"/>
      <c r="K874" s="393"/>
      <c r="L874" s="393"/>
      <c r="M874" s="393"/>
    </row>
    <row r="875">
      <c r="A875" s="393"/>
      <c r="B875" s="408"/>
      <c r="C875" s="408"/>
      <c r="D875" s="408"/>
      <c r="E875" s="393"/>
      <c r="F875" s="393"/>
      <c r="G875" s="393"/>
      <c r="H875" s="393"/>
      <c r="I875" s="393"/>
      <c r="J875" s="393"/>
      <c r="K875" s="393"/>
      <c r="L875" s="393"/>
      <c r="M875" s="393"/>
    </row>
    <row r="876">
      <c r="A876" s="393"/>
      <c r="B876" s="408"/>
      <c r="C876" s="408"/>
      <c r="D876" s="408"/>
      <c r="E876" s="393"/>
      <c r="F876" s="393"/>
      <c r="G876" s="393"/>
      <c r="H876" s="393"/>
      <c r="I876" s="393"/>
      <c r="J876" s="393"/>
      <c r="K876" s="393"/>
      <c r="L876" s="393"/>
      <c r="M876" s="393"/>
    </row>
    <row r="877">
      <c r="A877" s="393"/>
      <c r="B877" s="408"/>
      <c r="C877" s="408"/>
      <c r="D877" s="408"/>
      <c r="E877" s="393"/>
      <c r="F877" s="393"/>
      <c r="G877" s="393"/>
      <c r="H877" s="393"/>
      <c r="I877" s="393"/>
      <c r="J877" s="393"/>
      <c r="K877" s="393"/>
      <c r="L877" s="393"/>
      <c r="M877" s="393"/>
    </row>
    <row r="878">
      <c r="A878" s="393"/>
      <c r="B878" s="408"/>
      <c r="C878" s="408"/>
      <c r="D878" s="408"/>
      <c r="E878" s="393"/>
      <c r="F878" s="393"/>
      <c r="G878" s="393"/>
      <c r="H878" s="393"/>
      <c r="I878" s="393"/>
      <c r="J878" s="393"/>
      <c r="K878" s="393"/>
      <c r="L878" s="393"/>
      <c r="M878" s="393"/>
    </row>
    <row r="879">
      <c r="A879" s="393"/>
      <c r="B879" s="408"/>
      <c r="C879" s="408"/>
      <c r="D879" s="408"/>
      <c r="E879" s="393"/>
      <c r="F879" s="393"/>
      <c r="G879" s="393"/>
      <c r="H879" s="393"/>
      <c r="I879" s="393"/>
      <c r="J879" s="393"/>
      <c r="K879" s="393"/>
      <c r="L879" s="393"/>
      <c r="M879" s="393"/>
    </row>
    <row r="880">
      <c r="A880" s="393"/>
      <c r="B880" s="408"/>
      <c r="C880" s="408"/>
      <c r="D880" s="408"/>
      <c r="E880" s="393"/>
      <c r="F880" s="393"/>
      <c r="G880" s="393"/>
      <c r="H880" s="393"/>
      <c r="I880" s="393"/>
      <c r="J880" s="393"/>
      <c r="K880" s="393"/>
      <c r="L880" s="393"/>
      <c r="M880" s="393"/>
    </row>
    <row r="881">
      <c r="A881" s="393"/>
      <c r="B881" s="408"/>
      <c r="C881" s="408"/>
      <c r="D881" s="408"/>
      <c r="E881" s="393"/>
      <c r="F881" s="393"/>
      <c r="G881" s="393"/>
      <c r="H881" s="393"/>
      <c r="I881" s="393"/>
      <c r="J881" s="393"/>
      <c r="K881" s="393"/>
      <c r="L881" s="393"/>
      <c r="M881" s="393"/>
    </row>
    <row r="882">
      <c r="A882" s="393"/>
      <c r="B882" s="408"/>
      <c r="C882" s="408"/>
      <c r="D882" s="408"/>
      <c r="E882" s="393"/>
      <c r="F882" s="393"/>
      <c r="G882" s="393"/>
      <c r="H882" s="393"/>
      <c r="I882" s="393"/>
      <c r="J882" s="393"/>
      <c r="K882" s="393"/>
      <c r="L882" s="393"/>
      <c r="M882" s="393"/>
    </row>
    <row r="883">
      <c r="A883" s="393"/>
      <c r="B883" s="408"/>
      <c r="C883" s="408"/>
      <c r="D883" s="408"/>
      <c r="E883" s="393"/>
      <c r="F883" s="393"/>
      <c r="G883" s="393"/>
      <c r="H883" s="393"/>
      <c r="I883" s="393"/>
      <c r="J883" s="393"/>
      <c r="K883" s="393"/>
      <c r="L883" s="393"/>
      <c r="M883" s="393"/>
    </row>
    <row r="884">
      <c r="A884" s="393"/>
      <c r="B884" s="408"/>
      <c r="C884" s="408"/>
      <c r="D884" s="408"/>
      <c r="E884" s="393"/>
      <c r="F884" s="393"/>
      <c r="G884" s="393"/>
      <c r="H884" s="393"/>
      <c r="I884" s="393"/>
      <c r="J884" s="393"/>
      <c r="K884" s="393"/>
      <c r="L884" s="393"/>
      <c r="M884" s="393"/>
    </row>
    <row r="885">
      <c r="A885" s="393"/>
      <c r="B885" s="408"/>
      <c r="C885" s="408"/>
      <c r="D885" s="408"/>
      <c r="E885" s="393"/>
      <c r="F885" s="393"/>
      <c r="G885" s="393"/>
      <c r="H885" s="393"/>
      <c r="I885" s="393"/>
      <c r="J885" s="393"/>
      <c r="K885" s="393"/>
      <c r="L885" s="393"/>
      <c r="M885" s="393"/>
    </row>
    <row r="886">
      <c r="A886" s="393"/>
      <c r="B886" s="408"/>
      <c r="C886" s="408"/>
      <c r="D886" s="408"/>
      <c r="E886" s="393"/>
      <c r="F886" s="393"/>
      <c r="G886" s="393"/>
      <c r="H886" s="393"/>
      <c r="I886" s="393"/>
      <c r="J886" s="393"/>
      <c r="K886" s="393"/>
      <c r="L886" s="393"/>
      <c r="M886" s="393"/>
    </row>
    <row r="887">
      <c r="A887" s="393"/>
      <c r="B887" s="408"/>
      <c r="C887" s="408"/>
      <c r="D887" s="408"/>
      <c r="E887" s="393"/>
      <c r="F887" s="393"/>
      <c r="G887" s="393"/>
      <c r="H887" s="393"/>
      <c r="I887" s="393"/>
      <c r="J887" s="393"/>
      <c r="K887" s="393"/>
      <c r="L887" s="393"/>
      <c r="M887" s="393"/>
    </row>
    <row r="888">
      <c r="A888" s="393"/>
      <c r="B888" s="408"/>
      <c r="C888" s="408"/>
      <c r="D888" s="408"/>
      <c r="E888" s="393"/>
      <c r="F888" s="393"/>
      <c r="G888" s="393"/>
      <c r="H888" s="393"/>
      <c r="I888" s="393"/>
      <c r="J888" s="393"/>
      <c r="K888" s="393"/>
      <c r="L888" s="393"/>
      <c r="M888" s="393"/>
    </row>
    <row r="889">
      <c r="A889" s="393"/>
      <c r="B889" s="408"/>
      <c r="C889" s="408"/>
      <c r="D889" s="408"/>
      <c r="E889" s="393"/>
      <c r="F889" s="393"/>
      <c r="G889" s="393"/>
      <c r="H889" s="393"/>
      <c r="I889" s="393"/>
      <c r="J889" s="393"/>
      <c r="K889" s="393"/>
      <c r="L889" s="393"/>
      <c r="M889" s="393"/>
    </row>
    <row r="890">
      <c r="A890" s="393"/>
      <c r="B890" s="408"/>
      <c r="C890" s="408"/>
      <c r="D890" s="408"/>
      <c r="E890" s="393"/>
      <c r="F890" s="393"/>
      <c r="G890" s="393"/>
      <c r="H890" s="393"/>
      <c r="I890" s="393"/>
      <c r="J890" s="393"/>
      <c r="K890" s="393"/>
      <c r="L890" s="393"/>
      <c r="M890" s="393"/>
    </row>
    <row r="891">
      <c r="A891" s="393"/>
      <c r="B891" s="408"/>
      <c r="C891" s="408"/>
      <c r="D891" s="408"/>
      <c r="E891" s="393"/>
      <c r="F891" s="393"/>
      <c r="G891" s="393"/>
      <c r="H891" s="393"/>
      <c r="I891" s="393"/>
      <c r="J891" s="393"/>
      <c r="K891" s="393"/>
      <c r="L891" s="393"/>
      <c r="M891" s="393"/>
    </row>
    <row r="892">
      <c r="A892" s="393"/>
      <c r="B892" s="408"/>
      <c r="C892" s="408"/>
      <c r="D892" s="408"/>
      <c r="E892" s="393"/>
      <c r="F892" s="393"/>
      <c r="G892" s="393"/>
      <c r="H892" s="393"/>
      <c r="I892" s="393"/>
      <c r="J892" s="393"/>
      <c r="K892" s="393"/>
      <c r="L892" s="393"/>
      <c r="M892" s="393"/>
    </row>
    <row r="893">
      <c r="A893" s="393"/>
      <c r="B893" s="408"/>
      <c r="C893" s="408"/>
      <c r="D893" s="408"/>
      <c r="E893" s="393"/>
      <c r="F893" s="393"/>
      <c r="G893" s="393"/>
      <c r="H893" s="393"/>
      <c r="I893" s="393"/>
      <c r="J893" s="393"/>
      <c r="K893" s="393"/>
      <c r="L893" s="393"/>
      <c r="M893" s="393"/>
    </row>
    <row r="894">
      <c r="A894" s="393"/>
      <c r="B894" s="408"/>
      <c r="C894" s="408"/>
      <c r="D894" s="408"/>
      <c r="E894" s="393"/>
      <c r="F894" s="393"/>
      <c r="G894" s="393"/>
      <c r="H894" s="393"/>
      <c r="I894" s="393"/>
      <c r="J894" s="393"/>
      <c r="K894" s="393"/>
      <c r="L894" s="393"/>
      <c r="M894" s="393"/>
    </row>
    <row r="895">
      <c r="A895" s="393"/>
      <c r="B895" s="408"/>
      <c r="C895" s="408"/>
      <c r="D895" s="408"/>
      <c r="E895" s="393"/>
      <c r="F895" s="393"/>
      <c r="G895" s="393"/>
      <c r="H895" s="393"/>
      <c r="I895" s="393"/>
      <c r="J895" s="393"/>
      <c r="K895" s="393"/>
      <c r="L895" s="393"/>
      <c r="M895" s="393"/>
    </row>
    <row r="896">
      <c r="A896" s="393"/>
      <c r="B896" s="408"/>
      <c r="C896" s="408"/>
      <c r="D896" s="408"/>
      <c r="E896" s="393"/>
      <c r="F896" s="393"/>
      <c r="G896" s="393"/>
      <c r="H896" s="393"/>
      <c r="I896" s="393"/>
      <c r="J896" s="393"/>
      <c r="K896" s="393"/>
      <c r="L896" s="393"/>
      <c r="M896" s="393"/>
    </row>
    <row r="897">
      <c r="A897" s="393"/>
      <c r="B897" s="408"/>
      <c r="C897" s="408"/>
      <c r="D897" s="408"/>
      <c r="E897" s="393"/>
      <c r="F897" s="393"/>
      <c r="G897" s="393"/>
      <c r="H897" s="393"/>
      <c r="I897" s="393"/>
      <c r="J897" s="393"/>
      <c r="K897" s="393"/>
      <c r="L897" s="393"/>
      <c r="M897" s="393"/>
    </row>
    <row r="898">
      <c r="A898" s="393"/>
      <c r="B898" s="408"/>
      <c r="C898" s="408"/>
      <c r="D898" s="408"/>
      <c r="E898" s="393"/>
      <c r="F898" s="393"/>
      <c r="G898" s="393"/>
      <c r="H898" s="393"/>
      <c r="I898" s="393"/>
      <c r="J898" s="393"/>
      <c r="K898" s="393"/>
      <c r="L898" s="393"/>
      <c r="M898" s="393"/>
    </row>
    <row r="899">
      <c r="A899" s="393"/>
      <c r="B899" s="408"/>
      <c r="C899" s="408"/>
      <c r="D899" s="408"/>
      <c r="E899" s="393"/>
      <c r="F899" s="393"/>
      <c r="G899" s="393"/>
      <c r="H899" s="393"/>
      <c r="I899" s="393"/>
      <c r="J899" s="393"/>
      <c r="K899" s="393"/>
      <c r="L899" s="393"/>
      <c r="M899" s="393"/>
    </row>
    <row r="900">
      <c r="A900" s="393"/>
      <c r="B900" s="408"/>
      <c r="C900" s="408"/>
      <c r="D900" s="408"/>
      <c r="E900" s="393"/>
      <c r="F900" s="393"/>
      <c r="G900" s="393"/>
      <c r="H900" s="393"/>
      <c r="I900" s="393"/>
      <c r="J900" s="393"/>
      <c r="K900" s="393"/>
      <c r="L900" s="393"/>
      <c r="M900" s="393"/>
    </row>
    <row r="901">
      <c r="A901" s="393"/>
      <c r="B901" s="408"/>
      <c r="C901" s="408"/>
      <c r="D901" s="408"/>
      <c r="E901" s="393"/>
      <c r="F901" s="393"/>
      <c r="G901" s="393"/>
      <c r="H901" s="393"/>
      <c r="I901" s="393"/>
      <c r="J901" s="393"/>
      <c r="K901" s="393"/>
      <c r="L901" s="393"/>
      <c r="M901" s="393"/>
    </row>
    <row r="902">
      <c r="A902" s="393"/>
      <c r="B902" s="408"/>
      <c r="C902" s="408"/>
      <c r="D902" s="408"/>
      <c r="E902" s="393"/>
      <c r="F902" s="393"/>
      <c r="G902" s="393"/>
      <c r="H902" s="393"/>
      <c r="I902" s="393"/>
      <c r="J902" s="393"/>
      <c r="K902" s="393"/>
      <c r="L902" s="393"/>
      <c r="M902" s="393"/>
    </row>
    <row r="903">
      <c r="A903" s="393"/>
      <c r="B903" s="408"/>
      <c r="C903" s="408"/>
      <c r="D903" s="408"/>
      <c r="E903" s="393"/>
      <c r="F903" s="393"/>
      <c r="G903" s="393"/>
      <c r="H903" s="393"/>
      <c r="I903" s="393"/>
      <c r="J903" s="393"/>
      <c r="K903" s="393"/>
      <c r="L903" s="393"/>
      <c r="M903" s="393"/>
    </row>
    <row r="904">
      <c r="A904" s="393"/>
      <c r="B904" s="408"/>
      <c r="C904" s="408"/>
      <c r="D904" s="408"/>
      <c r="E904" s="393"/>
      <c r="F904" s="393"/>
      <c r="G904" s="393"/>
      <c r="H904" s="393"/>
      <c r="I904" s="393"/>
      <c r="J904" s="393"/>
      <c r="K904" s="393"/>
      <c r="L904" s="393"/>
      <c r="M904" s="393"/>
    </row>
    <row r="905">
      <c r="A905" s="393"/>
      <c r="B905" s="408"/>
      <c r="C905" s="408"/>
      <c r="D905" s="408"/>
      <c r="E905" s="393"/>
      <c r="F905" s="393"/>
      <c r="G905" s="393"/>
      <c r="H905" s="393"/>
      <c r="I905" s="393"/>
      <c r="J905" s="393"/>
      <c r="K905" s="393"/>
      <c r="L905" s="393"/>
      <c r="M905" s="393"/>
    </row>
    <row r="906">
      <c r="A906" s="393"/>
      <c r="B906" s="408"/>
      <c r="C906" s="408"/>
      <c r="D906" s="408"/>
      <c r="E906" s="393"/>
      <c r="F906" s="393"/>
      <c r="G906" s="393"/>
      <c r="H906" s="393"/>
      <c r="I906" s="393"/>
      <c r="J906" s="393"/>
      <c r="K906" s="393"/>
      <c r="L906" s="393"/>
      <c r="M906" s="393"/>
    </row>
    <row r="907">
      <c r="A907" s="393"/>
      <c r="B907" s="408"/>
      <c r="C907" s="408"/>
      <c r="D907" s="408"/>
      <c r="E907" s="393"/>
      <c r="F907" s="393"/>
      <c r="G907" s="393"/>
      <c r="H907" s="393"/>
      <c r="I907" s="393"/>
      <c r="J907" s="393"/>
      <c r="K907" s="393"/>
      <c r="L907" s="393"/>
      <c r="M907" s="393"/>
    </row>
    <row r="908">
      <c r="A908" s="393"/>
      <c r="B908" s="408"/>
      <c r="C908" s="408"/>
      <c r="D908" s="408"/>
      <c r="E908" s="393"/>
      <c r="F908" s="393"/>
      <c r="G908" s="393"/>
      <c r="H908" s="393"/>
      <c r="I908" s="393"/>
      <c r="J908" s="393"/>
      <c r="K908" s="393"/>
      <c r="L908" s="393"/>
      <c r="M908" s="393"/>
    </row>
    <row r="909">
      <c r="A909" s="393"/>
      <c r="B909" s="408"/>
      <c r="C909" s="408"/>
      <c r="D909" s="408"/>
      <c r="E909" s="393"/>
      <c r="F909" s="393"/>
      <c r="G909" s="393"/>
      <c r="H909" s="393"/>
      <c r="I909" s="393"/>
      <c r="J909" s="393"/>
      <c r="K909" s="393"/>
      <c r="L909" s="393"/>
      <c r="M909" s="393"/>
    </row>
    <row r="910">
      <c r="A910" s="393"/>
      <c r="B910" s="408"/>
      <c r="C910" s="408"/>
      <c r="D910" s="408"/>
      <c r="E910" s="393"/>
      <c r="F910" s="393"/>
      <c r="G910" s="393"/>
      <c r="H910" s="393"/>
      <c r="I910" s="393"/>
      <c r="J910" s="393"/>
      <c r="K910" s="393"/>
      <c r="L910" s="393"/>
      <c r="M910" s="393"/>
    </row>
    <row r="911">
      <c r="A911" s="393"/>
      <c r="B911" s="408"/>
      <c r="C911" s="408"/>
      <c r="D911" s="408"/>
      <c r="E911" s="393"/>
      <c r="F911" s="393"/>
      <c r="G911" s="393"/>
      <c r="H911" s="393"/>
      <c r="I911" s="393"/>
      <c r="J911" s="393"/>
      <c r="K911" s="393"/>
      <c r="L911" s="393"/>
      <c r="M911" s="393"/>
    </row>
    <row r="912">
      <c r="A912" s="393"/>
      <c r="B912" s="408"/>
      <c r="C912" s="408"/>
      <c r="D912" s="408"/>
      <c r="E912" s="393"/>
      <c r="F912" s="393"/>
      <c r="G912" s="393"/>
      <c r="H912" s="393"/>
      <c r="I912" s="393"/>
      <c r="J912" s="393"/>
      <c r="K912" s="393"/>
      <c r="L912" s="393"/>
      <c r="M912" s="393"/>
    </row>
    <row r="913">
      <c r="A913" s="393"/>
      <c r="B913" s="408"/>
      <c r="C913" s="408"/>
      <c r="D913" s="408"/>
      <c r="E913" s="393"/>
      <c r="F913" s="393"/>
      <c r="G913" s="393"/>
      <c r="H913" s="393"/>
      <c r="I913" s="393"/>
      <c r="J913" s="393"/>
      <c r="K913" s="393"/>
      <c r="L913" s="393"/>
      <c r="M913" s="393"/>
    </row>
    <row r="914">
      <c r="A914" s="393"/>
      <c r="B914" s="408"/>
      <c r="C914" s="408"/>
      <c r="D914" s="408"/>
      <c r="E914" s="393"/>
      <c r="F914" s="393"/>
      <c r="G914" s="393"/>
      <c r="H914" s="393"/>
      <c r="I914" s="393"/>
      <c r="J914" s="393"/>
      <c r="K914" s="393"/>
      <c r="L914" s="393"/>
      <c r="M914" s="393"/>
    </row>
    <row r="915">
      <c r="A915" s="393"/>
      <c r="B915" s="408"/>
      <c r="C915" s="408"/>
      <c r="D915" s="408"/>
      <c r="E915" s="393"/>
      <c r="F915" s="393"/>
      <c r="G915" s="393"/>
      <c r="H915" s="393"/>
      <c r="I915" s="393"/>
      <c r="J915" s="393"/>
      <c r="K915" s="393"/>
      <c r="L915" s="393"/>
      <c r="M915" s="393"/>
    </row>
    <row r="916">
      <c r="A916" s="393"/>
      <c r="B916" s="408"/>
      <c r="C916" s="408"/>
      <c r="D916" s="408"/>
      <c r="E916" s="393"/>
      <c r="F916" s="393"/>
      <c r="G916" s="393"/>
      <c r="H916" s="393"/>
      <c r="I916" s="393"/>
      <c r="J916" s="393"/>
      <c r="K916" s="393"/>
      <c r="L916" s="393"/>
      <c r="M916" s="393"/>
    </row>
    <row r="917">
      <c r="A917" s="393"/>
      <c r="B917" s="408"/>
      <c r="C917" s="408"/>
      <c r="D917" s="408"/>
      <c r="E917" s="393"/>
      <c r="F917" s="393"/>
      <c r="G917" s="393"/>
      <c r="H917" s="393"/>
      <c r="I917" s="393"/>
      <c r="J917" s="393"/>
      <c r="K917" s="393"/>
      <c r="L917" s="393"/>
      <c r="M917" s="393"/>
    </row>
    <row r="918">
      <c r="A918" s="393"/>
      <c r="B918" s="408"/>
      <c r="C918" s="408"/>
      <c r="D918" s="408"/>
      <c r="E918" s="393"/>
      <c r="F918" s="393"/>
      <c r="G918" s="393"/>
      <c r="H918" s="393"/>
      <c r="I918" s="393"/>
      <c r="J918" s="393"/>
      <c r="K918" s="393"/>
      <c r="L918" s="393"/>
      <c r="M918" s="393"/>
    </row>
    <row r="919">
      <c r="A919" s="393"/>
      <c r="B919" s="408"/>
      <c r="C919" s="408"/>
      <c r="D919" s="408"/>
      <c r="E919" s="393"/>
      <c r="F919" s="393"/>
      <c r="G919" s="393"/>
      <c r="H919" s="393"/>
      <c r="I919" s="393"/>
      <c r="J919" s="393"/>
      <c r="K919" s="393"/>
      <c r="L919" s="393"/>
      <c r="M919" s="393"/>
    </row>
    <row r="920">
      <c r="A920" s="393"/>
      <c r="B920" s="408"/>
      <c r="C920" s="408"/>
      <c r="D920" s="408"/>
      <c r="E920" s="393"/>
      <c r="F920" s="393"/>
      <c r="G920" s="393"/>
      <c r="H920" s="393"/>
      <c r="I920" s="393"/>
      <c r="J920" s="393"/>
      <c r="K920" s="393"/>
      <c r="L920" s="393"/>
      <c r="M920" s="393"/>
    </row>
    <row r="921">
      <c r="A921" s="393"/>
      <c r="B921" s="408"/>
      <c r="C921" s="408"/>
      <c r="D921" s="408"/>
      <c r="E921" s="393"/>
      <c r="F921" s="393"/>
      <c r="G921" s="393"/>
      <c r="H921" s="393"/>
      <c r="I921" s="393"/>
      <c r="J921" s="393"/>
      <c r="K921" s="393"/>
      <c r="L921" s="393"/>
      <c r="M921" s="393"/>
    </row>
    <row r="922">
      <c r="A922" s="393"/>
      <c r="B922" s="408"/>
      <c r="C922" s="408"/>
      <c r="D922" s="408"/>
      <c r="E922" s="393"/>
      <c r="F922" s="393"/>
      <c r="G922" s="393"/>
      <c r="H922" s="393"/>
      <c r="I922" s="393"/>
      <c r="J922" s="393"/>
      <c r="K922" s="393"/>
      <c r="L922" s="393"/>
      <c r="M922" s="393"/>
    </row>
    <row r="923">
      <c r="A923" s="393"/>
      <c r="B923" s="408"/>
      <c r="C923" s="408"/>
      <c r="D923" s="408"/>
      <c r="E923" s="393"/>
      <c r="F923" s="393"/>
      <c r="G923" s="393"/>
      <c r="H923" s="393"/>
      <c r="I923" s="393"/>
      <c r="J923" s="393"/>
      <c r="K923" s="393"/>
      <c r="L923" s="393"/>
      <c r="M923" s="393"/>
    </row>
    <row r="924">
      <c r="A924" s="393"/>
      <c r="B924" s="408"/>
      <c r="C924" s="408"/>
      <c r="D924" s="408"/>
      <c r="E924" s="393"/>
      <c r="F924" s="393"/>
      <c r="G924" s="393"/>
      <c r="H924" s="393"/>
      <c r="I924" s="393"/>
      <c r="J924" s="393"/>
      <c r="K924" s="393"/>
      <c r="L924" s="393"/>
      <c r="M924" s="393"/>
    </row>
    <row r="925">
      <c r="A925" s="393"/>
      <c r="B925" s="408"/>
      <c r="C925" s="408"/>
      <c r="D925" s="408"/>
      <c r="E925" s="393"/>
      <c r="F925" s="393"/>
      <c r="G925" s="393"/>
      <c r="H925" s="393"/>
      <c r="I925" s="393"/>
      <c r="J925" s="393"/>
      <c r="K925" s="393"/>
      <c r="L925" s="393"/>
      <c r="M925" s="393"/>
    </row>
    <row r="926">
      <c r="A926" s="393"/>
      <c r="B926" s="408"/>
      <c r="C926" s="408"/>
      <c r="D926" s="408"/>
      <c r="E926" s="393"/>
      <c r="F926" s="393"/>
      <c r="G926" s="393"/>
      <c r="H926" s="393"/>
      <c r="I926" s="393"/>
      <c r="J926" s="393"/>
      <c r="K926" s="393"/>
      <c r="L926" s="393"/>
      <c r="M926" s="393"/>
    </row>
    <row r="927">
      <c r="A927" s="393"/>
      <c r="B927" s="408"/>
      <c r="C927" s="408"/>
      <c r="D927" s="408"/>
      <c r="E927" s="393"/>
      <c r="F927" s="393"/>
      <c r="G927" s="393"/>
      <c r="H927" s="393"/>
      <c r="I927" s="393"/>
      <c r="J927" s="393"/>
      <c r="K927" s="393"/>
      <c r="L927" s="393"/>
      <c r="M927" s="393"/>
    </row>
    <row r="928">
      <c r="A928" s="393"/>
      <c r="B928" s="408"/>
      <c r="C928" s="408"/>
      <c r="D928" s="408"/>
      <c r="E928" s="393"/>
      <c r="F928" s="393"/>
      <c r="G928" s="393"/>
      <c r="H928" s="393"/>
      <c r="I928" s="393"/>
      <c r="J928" s="393"/>
      <c r="K928" s="393"/>
      <c r="L928" s="393"/>
      <c r="M928" s="393"/>
    </row>
    <row r="929">
      <c r="A929" s="393"/>
      <c r="B929" s="408"/>
      <c r="C929" s="408"/>
      <c r="D929" s="408"/>
      <c r="E929" s="393"/>
      <c r="F929" s="393"/>
      <c r="G929" s="393"/>
      <c r="H929" s="393"/>
      <c r="I929" s="393"/>
      <c r="J929" s="393"/>
      <c r="K929" s="393"/>
      <c r="L929" s="393"/>
      <c r="M929" s="393"/>
    </row>
    <row r="930">
      <c r="A930" s="393"/>
      <c r="B930" s="408"/>
      <c r="C930" s="408"/>
      <c r="D930" s="408"/>
      <c r="E930" s="393"/>
      <c r="F930" s="393"/>
      <c r="G930" s="393"/>
      <c r="H930" s="393"/>
      <c r="I930" s="393"/>
      <c r="J930" s="393"/>
      <c r="K930" s="393"/>
      <c r="L930" s="393"/>
      <c r="M930" s="393"/>
    </row>
    <row r="931">
      <c r="A931" s="393"/>
      <c r="B931" s="408"/>
      <c r="C931" s="408"/>
      <c r="D931" s="408"/>
      <c r="E931" s="393"/>
      <c r="F931" s="393"/>
      <c r="G931" s="393"/>
      <c r="H931" s="393"/>
      <c r="I931" s="393"/>
      <c r="J931" s="393"/>
      <c r="K931" s="393"/>
      <c r="L931" s="393"/>
      <c r="M931" s="393"/>
    </row>
    <row r="932">
      <c r="A932" s="393"/>
      <c r="B932" s="408"/>
      <c r="C932" s="408"/>
      <c r="D932" s="408"/>
      <c r="E932" s="393"/>
      <c r="F932" s="393"/>
      <c r="G932" s="393"/>
      <c r="H932" s="393"/>
      <c r="I932" s="393"/>
      <c r="J932" s="393"/>
      <c r="K932" s="393"/>
      <c r="L932" s="393"/>
      <c r="M932" s="393"/>
    </row>
    <row r="933">
      <c r="A933" s="393"/>
      <c r="B933" s="408"/>
      <c r="C933" s="408"/>
      <c r="D933" s="408"/>
      <c r="E933" s="393"/>
      <c r="F933" s="393"/>
      <c r="G933" s="393"/>
      <c r="H933" s="393"/>
      <c r="I933" s="393"/>
      <c r="J933" s="393"/>
      <c r="K933" s="393"/>
      <c r="L933" s="393"/>
      <c r="M933" s="393"/>
    </row>
    <row r="934">
      <c r="A934" s="393"/>
      <c r="B934" s="408"/>
      <c r="C934" s="408"/>
      <c r="D934" s="408"/>
      <c r="E934" s="393"/>
      <c r="F934" s="393"/>
      <c r="G934" s="393"/>
      <c r="H934" s="393"/>
      <c r="I934" s="393"/>
      <c r="J934" s="393"/>
      <c r="K934" s="393"/>
      <c r="L934" s="393"/>
      <c r="M934" s="393"/>
    </row>
    <row r="935">
      <c r="A935" s="393"/>
      <c r="B935" s="408"/>
      <c r="C935" s="408"/>
      <c r="D935" s="408"/>
      <c r="E935" s="393"/>
      <c r="F935" s="393"/>
      <c r="G935" s="393"/>
      <c r="H935" s="393"/>
      <c r="I935" s="393"/>
      <c r="J935" s="393"/>
      <c r="K935" s="393"/>
      <c r="L935" s="393"/>
      <c r="M935" s="393"/>
    </row>
    <row r="936">
      <c r="A936" s="393"/>
      <c r="B936" s="408"/>
      <c r="C936" s="408"/>
      <c r="D936" s="408"/>
      <c r="E936" s="393"/>
      <c r="F936" s="393"/>
      <c r="G936" s="393"/>
      <c r="H936" s="393"/>
      <c r="I936" s="393"/>
      <c r="J936" s="393"/>
      <c r="K936" s="393"/>
      <c r="L936" s="393"/>
      <c r="M936" s="393"/>
    </row>
    <row r="937">
      <c r="A937" s="393"/>
      <c r="B937" s="408"/>
      <c r="C937" s="408"/>
      <c r="D937" s="408"/>
      <c r="E937" s="393"/>
      <c r="F937" s="393"/>
      <c r="G937" s="393"/>
      <c r="H937" s="393"/>
      <c r="I937" s="393"/>
      <c r="J937" s="393"/>
      <c r="K937" s="393"/>
      <c r="L937" s="393"/>
      <c r="M937" s="393"/>
    </row>
    <row r="938">
      <c r="A938" s="393"/>
      <c r="B938" s="408"/>
      <c r="C938" s="408"/>
      <c r="D938" s="408"/>
      <c r="E938" s="393"/>
      <c r="F938" s="393"/>
      <c r="G938" s="393"/>
      <c r="H938" s="393"/>
      <c r="I938" s="393"/>
      <c r="J938" s="393"/>
      <c r="K938" s="393"/>
      <c r="L938" s="393"/>
      <c r="M938" s="393"/>
    </row>
    <row r="939">
      <c r="A939" s="393"/>
      <c r="B939" s="408"/>
      <c r="C939" s="408"/>
      <c r="D939" s="408"/>
      <c r="E939" s="393"/>
      <c r="F939" s="393"/>
      <c r="G939" s="393"/>
      <c r="H939" s="393"/>
      <c r="I939" s="393"/>
      <c r="J939" s="393"/>
      <c r="K939" s="393"/>
      <c r="L939" s="393"/>
      <c r="M939" s="393"/>
    </row>
    <row r="940">
      <c r="A940" s="393"/>
      <c r="B940" s="408"/>
      <c r="C940" s="408"/>
      <c r="D940" s="408"/>
      <c r="E940" s="393"/>
      <c r="F940" s="393"/>
      <c r="G940" s="393"/>
      <c r="H940" s="393"/>
      <c r="I940" s="393"/>
      <c r="J940" s="393"/>
      <c r="K940" s="393"/>
      <c r="L940" s="393"/>
      <c r="M940" s="393"/>
    </row>
    <row r="941">
      <c r="A941" s="393"/>
      <c r="B941" s="408"/>
      <c r="C941" s="408"/>
      <c r="D941" s="408"/>
      <c r="E941" s="393"/>
      <c r="F941" s="393"/>
      <c r="G941" s="393"/>
      <c r="H941" s="393"/>
      <c r="I941" s="393"/>
      <c r="J941" s="393"/>
      <c r="K941" s="393"/>
      <c r="L941" s="393"/>
      <c r="M941" s="393"/>
    </row>
    <row r="942">
      <c r="A942" s="393"/>
      <c r="B942" s="408"/>
      <c r="C942" s="408"/>
      <c r="D942" s="408"/>
      <c r="E942" s="393"/>
      <c r="F942" s="393"/>
      <c r="G942" s="393"/>
      <c r="H942" s="393"/>
      <c r="I942" s="393"/>
      <c r="J942" s="393"/>
      <c r="K942" s="393"/>
      <c r="L942" s="393"/>
      <c r="M942" s="393"/>
    </row>
    <row r="943">
      <c r="A943" s="393"/>
      <c r="B943" s="408"/>
      <c r="C943" s="408"/>
      <c r="D943" s="408"/>
      <c r="E943" s="393"/>
      <c r="F943" s="393"/>
      <c r="G943" s="393"/>
      <c r="H943" s="393"/>
      <c r="I943" s="393"/>
      <c r="J943" s="393"/>
      <c r="K943" s="393"/>
      <c r="L943" s="393"/>
      <c r="M943" s="393"/>
    </row>
    <row r="944">
      <c r="A944" s="393"/>
      <c r="B944" s="408"/>
      <c r="C944" s="408"/>
      <c r="D944" s="408"/>
      <c r="E944" s="393"/>
      <c r="F944" s="393"/>
      <c r="G944" s="393"/>
      <c r="H944" s="393"/>
      <c r="I944" s="393"/>
      <c r="J944" s="393"/>
      <c r="K944" s="393"/>
      <c r="L944" s="393"/>
      <c r="M944" s="393"/>
    </row>
    <row r="945">
      <c r="A945" s="393"/>
      <c r="B945" s="408"/>
      <c r="C945" s="408"/>
      <c r="D945" s="408"/>
      <c r="E945" s="393"/>
      <c r="F945" s="393"/>
      <c r="G945" s="393"/>
      <c r="H945" s="393"/>
      <c r="I945" s="393"/>
      <c r="J945" s="393"/>
      <c r="K945" s="393"/>
      <c r="L945" s="393"/>
      <c r="M945" s="393"/>
    </row>
    <row r="946">
      <c r="A946" s="393"/>
      <c r="B946" s="408"/>
      <c r="C946" s="408"/>
      <c r="D946" s="408"/>
      <c r="E946" s="393"/>
      <c r="F946" s="393"/>
      <c r="G946" s="393"/>
      <c r="H946" s="393"/>
      <c r="I946" s="393"/>
      <c r="J946" s="393"/>
      <c r="K946" s="393"/>
      <c r="L946" s="393"/>
      <c r="M946" s="393"/>
    </row>
    <row r="947">
      <c r="A947" s="393"/>
      <c r="B947" s="408"/>
      <c r="C947" s="408"/>
      <c r="D947" s="408"/>
      <c r="E947" s="393"/>
      <c r="F947" s="393"/>
      <c r="G947" s="393"/>
      <c r="H947" s="393"/>
      <c r="I947" s="393"/>
      <c r="J947" s="393"/>
      <c r="K947" s="393"/>
      <c r="L947" s="393"/>
      <c r="M947" s="393"/>
    </row>
    <row r="948">
      <c r="A948" s="393"/>
      <c r="B948" s="408"/>
      <c r="C948" s="408"/>
      <c r="D948" s="408"/>
      <c r="E948" s="393"/>
      <c r="F948" s="393"/>
      <c r="G948" s="393"/>
      <c r="H948" s="393"/>
      <c r="I948" s="393"/>
      <c r="J948" s="393"/>
      <c r="K948" s="393"/>
      <c r="L948" s="393"/>
      <c r="M948" s="393"/>
    </row>
    <row r="949">
      <c r="A949" s="393"/>
      <c r="B949" s="408"/>
      <c r="C949" s="408"/>
      <c r="D949" s="408"/>
      <c r="E949" s="393"/>
      <c r="F949" s="393"/>
      <c r="G949" s="393"/>
      <c r="H949" s="393"/>
      <c r="I949" s="393"/>
      <c r="J949" s="393"/>
      <c r="K949" s="393"/>
      <c r="L949" s="393"/>
      <c r="M949" s="393"/>
    </row>
    <row r="950">
      <c r="A950" s="393"/>
      <c r="B950" s="408"/>
      <c r="C950" s="408"/>
      <c r="D950" s="408"/>
      <c r="E950" s="393"/>
      <c r="F950" s="393"/>
      <c r="G950" s="393"/>
      <c r="H950" s="393"/>
      <c r="I950" s="393"/>
      <c r="J950" s="393"/>
      <c r="K950" s="393"/>
      <c r="L950" s="393"/>
      <c r="M950" s="393"/>
    </row>
    <row r="951">
      <c r="A951" s="393"/>
      <c r="B951" s="408"/>
      <c r="C951" s="408"/>
      <c r="D951" s="408"/>
      <c r="E951" s="393"/>
      <c r="F951" s="393"/>
      <c r="G951" s="393"/>
      <c r="H951" s="393"/>
      <c r="I951" s="393"/>
      <c r="J951" s="393"/>
      <c r="K951" s="393"/>
      <c r="L951" s="393"/>
      <c r="M951" s="393"/>
    </row>
    <row r="952">
      <c r="A952" s="393"/>
      <c r="B952" s="408"/>
      <c r="C952" s="408"/>
      <c r="D952" s="408"/>
      <c r="E952" s="393"/>
      <c r="F952" s="393"/>
      <c r="G952" s="393"/>
      <c r="H952" s="393"/>
      <c r="I952" s="393"/>
      <c r="J952" s="393"/>
      <c r="K952" s="393"/>
      <c r="L952" s="393"/>
      <c r="M952" s="393"/>
    </row>
    <row r="953">
      <c r="A953" s="393"/>
      <c r="B953" s="408"/>
      <c r="C953" s="408"/>
      <c r="D953" s="408"/>
      <c r="E953" s="393"/>
      <c r="F953" s="393"/>
      <c r="G953" s="393"/>
      <c r="H953" s="393"/>
      <c r="I953" s="393"/>
      <c r="J953" s="393"/>
      <c r="K953" s="393"/>
      <c r="L953" s="393"/>
      <c r="M953" s="393"/>
    </row>
    <row r="954">
      <c r="A954" s="393"/>
      <c r="B954" s="408"/>
      <c r="C954" s="408"/>
      <c r="D954" s="408"/>
      <c r="E954" s="393"/>
      <c r="F954" s="393"/>
      <c r="G954" s="393"/>
      <c r="H954" s="393"/>
      <c r="I954" s="393"/>
      <c r="J954" s="393"/>
      <c r="K954" s="393"/>
      <c r="L954" s="393"/>
      <c r="M954" s="393"/>
    </row>
    <row r="955">
      <c r="A955" s="393"/>
      <c r="B955" s="408"/>
      <c r="C955" s="408"/>
      <c r="D955" s="408"/>
      <c r="E955" s="393"/>
      <c r="F955" s="393"/>
      <c r="G955" s="393"/>
      <c r="H955" s="393"/>
      <c r="I955" s="393"/>
      <c r="J955" s="393"/>
      <c r="K955" s="393"/>
      <c r="L955" s="393"/>
      <c r="M955" s="393"/>
    </row>
    <row r="956">
      <c r="A956" s="393"/>
      <c r="B956" s="408"/>
      <c r="C956" s="408"/>
      <c r="D956" s="408"/>
      <c r="E956" s="393"/>
      <c r="F956" s="393"/>
      <c r="G956" s="393"/>
      <c r="H956" s="393"/>
      <c r="I956" s="393"/>
      <c r="J956" s="393"/>
      <c r="K956" s="393"/>
      <c r="L956" s="393"/>
      <c r="M956" s="393"/>
    </row>
    <row r="957">
      <c r="A957" s="393"/>
      <c r="B957" s="408"/>
      <c r="C957" s="408"/>
      <c r="D957" s="408"/>
      <c r="E957" s="393"/>
      <c r="F957" s="393"/>
      <c r="G957" s="393"/>
      <c r="H957" s="393"/>
      <c r="I957" s="393"/>
      <c r="J957" s="393"/>
      <c r="K957" s="393"/>
      <c r="L957" s="393"/>
      <c r="M957" s="393"/>
    </row>
    <row r="958">
      <c r="A958" s="393"/>
      <c r="B958" s="408"/>
      <c r="C958" s="408"/>
      <c r="D958" s="408"/>
      <c r="E958" s="393"/>
      <c r="F958" s="393"/>
      <c r="G958" s="393"/>
      <c r="H958" s="393"/>
      <c r="I958" s="393"/>
      <c r="J958" s="393"/>
      <c r="K958" s="393"/>
      <c r="L958" s="393"/>
      <c r="M958" s="393"/>
    </row>
    <row r="959">
      <c r="A959" s="393"/>
      <c r="B959" s="408"/>
      <c r="C959" s="408"/>
      <c r="D959" s="408"/>
      <c r="E959" s="393"/>
      <c r="F959" s="393"/>
      <c r="G959" s="393"/>
      <c r="H959" s="393"/>
      <c r="I959" s="393"/>
      <c r="J959" s="393"/>
      <c r="K959" s="393"/>
      <c r="L959" s="393"/>
      <c r="M959" s="393"/>
    </row>
    <row r="960">
      <c r="A960" s="393"/>
      <c r="B960" s="408"/>
      <c r="C960" s="408"/>
      <c r="D960" s="408"/>
      <c r="E960" s="393"/>
      <c r="F960" s="393"/>
      <c r="G960" s="393"/>
      <c r="H960" s="393"/>
      <c r="I960" s="393"/>
      <c r="J960" s="393"/>
      <c r="K960" s="393"/>
      <c r="L960" s="393"/>
      <c r="M960" s="393"/>
    </row>
    <row r="961">
      <c r="A961" s="393"/>
      <c r="B961" s="408"/>
      <c r="C961" s="408"/>
      <c r="D961" s="408"/>
      <c r="E961" s="393"/>
      <c r="F961" s="393"/>
      <c r="G961" s="393"/>
      <c r="H961" s="393"/>
      <c r="I961" s="393"/>
      <c r="J961" s="393"/>
      <c r="K961" s="393"/>
      <c r="L961" s="393"/>
      <c r="M961" s="393"/>
    </row>
    <row r="962">
      <c r="A962" s="393"/>
      <c r="B962" s="408"/>
      <c r="C962" s="408"/>
      <c r="D962" s="408"/>
      <c r="E962" s="393"/>
      <c r="F962" s="393"/>
      <c r="G962" s="393"/>
      <c r="H962" s="393"/>
      <c r="I962" s="393"/>
      <c r="J962" s="393"/>
      <c r="K962" s="393"/>
      <c r="L962" s="393"/>
      <c r="M962" s="393"/>
    </row>
    <row r="963">
      <c r="A963" s="393"/>
      <c r="B963" s="408"/>
      <c r="C963" s="408"/>
      <c r="D963" s="408"/>
      <c r="E963" s="393"/>
      <c r="F963" s="393"/>
      <c r="G963" s="393"/>
      <c r="H963" s="393"/>
      <c r="I963" s="393"/>
      <c r="J963" s="393"/>
      <c r="K963" s="393"/>
      <c r="L963" s="393"/>
      <c r="M963" s="393"/>
    </row>
    <row r="964">
      <c r="A964" s="393"/>
      <c r="B964" s="408"/>
      <c r="C964" s="408"/>
      <c r="D964" s="408"/>
      <c r="E964" s="393"/>
      <c r="F964" s="393"/>
      <c r="G964" s="393"/>
      <c r="H964" s="393"/>
      <c r="I964" s="393"/>
      <c r="J964" s="393"/>
      <c r="K964" s="393"/>
      <c r="L964" s="393"/>
      <c r="M964" s="393"/>
    </row>
    <row r="965">
      <c r="A965" s="393"/>
      <c r="B965" s="408"/>
      <c r="C965" s="408"/>
      <c r="D965" s="408"/>
      <c r="E965" s="393"/>
      <c r="F965" s="393"/>
      <c r="G965" s="393"/>
      <c r="H965" s="393"/>
      <c r="I965" s="393"/>
      <c r="J965" s="393"/>
      <c r="K965" s="393"/>
      <c r="L965" s="393"/>
      <c r="M965" s="393"/>
    </row>
    <row r="966">
      <c r="A966" s="393"/>
      <c r="B966" s="408"/>
      <c r="C966" s="408"/>
      <c r="D966" s="408"/>
      <c r="E966" s="393"/>
      <c r="F966" s="393"/>
      <c r="G966" s="393"/>
      <c r="H966" s="393"/>
      <c r="I966" s="393"/>
      <c r="J966" s="393"/>
      <c r="K966" s="393"/>
      <c r="L966" s="393"/>
      <c r="M966" s="393"/>
    </row>
    <row r="967">
      <c r="A967" s="393"/>
      <c r="B967" s="408"/>
      <c r="C967" s="408"/>
      <c r="D967" s="408"/>
      <c r="E967" s="393"/>
      <c r="F967" s="393"/>
      <c r="G967" s="393"/>
      <c r="H967" s="393"/>
      <c r="I967" s="393"/>
      <c r="J967" s="393"/>
      <c r="K967" s="393"/>
      <c r="L967" s="393"/>
      <c r="M967" s="393"/>
    </row>
    <row r="968">
      <c r="A968" s="393"/>
      <c r="B968" s="408"/>
      <c r="C968" s="408"/>
      <c r="D968" s="408"/>
      <c r="E968" s="393"/>
      <c r="F968" s="393"/>
      <c r="G968" s="393"/>
      <c r="H968" s="393"/>
      <c r="I968" s="393"/>
      <c r="J968" s="393"/>
      <c r="K968" s="393"/>
      <c r="L968" s="393"/>
      <c r="M968" s="393"/>
    </row>
    <row r="969">
      <c r="A969" s="393"/>
      <c r="B969" s="408"/>
      <c r="C969" s="408"/>
      <c r="D969" s="408"/>
      <c r="E969" s="393"/>
      <c r="F969" s="393"/>
      <c r="G969" s="393"/>
      <c r="H969" s="393"/>
      <c r="I969" s="393"/>
      <c r="J969" s="393"/>
      <c r="K969" s="393"/>
      <c r="L969" s="393"/>
      <c r="M969" s="393"/>
    </row>
    <row r="970">
      <c r="A970" s="393"/>
      <c r="B970" s="408"/>
      <c r="C970" s="408"/>
      <c r="D970" s="408"/>
      <c r="E970" s="393"/>
      <c r="F970" s="393"/>
      <c r="G970" s="393"/>
      <c r="H970" s="393"/>
      <c r="I970" s="393"/>
      <c r="J970" s="393"/>
      <c r="K970" s="393"/>
      <c r="L970" s="393"/>
      <c r="M970" s="393"/>
    </row>
    <row r="971">
      <c r="A971" s="393"/>
      <c r="B971" s="408"/>
      <c r="C971" s="408"/>
      <c r="D971" s="408"/>
      <c r="E971" s="393"/>
      <c r="F971" s="393"/>
      <c r="G971" s="393"/>
      <c r="H971" s="393"/>
      <c r="I971" s="393"/>
      <c r="J971" s="393"/>
      <c r="K971" s="393"/>
      <c r="L971" s="393"/>
      <c r="M971" s="393"/>
    </row>
    <row r="972">
      <c r="A972" s="393"/>
      <c r="B972" s="408"/>
      <c r="C972" s="408"/>
      <c r="D972" s="408"/>
      <c r="E972" s="393"/>
      <c r="F972" s="393"/>
      <c r="G972" s="393"/>
      <c r="H972" s="393"/>
      <c r="I972" s="393"/>
      <c r="J972" s="393"/>
      <c r="K972" s="393"/>
      <c r="L972" s="393"/>
      <c r="M972" s="393"/>
    </row>
    <row r="973">
      <c r="A973" s="393"/>
      <c r="B973" s="408"/>
      <c r="C973" s="408"/>
      <c r="D973" s="408"/>
      <c r="E973" s="393"/>
      <c r="F973" s="393"/>
      <c r="G973" s="393"/>
      <c r="H973" s="393"/>
      <c r="I973" s="393"/>
      <c r="J973" s="393"/>
      <c r="K973" s="393"/>
      <c r="L973" s="393"/>
      <c r="M973" s="393"/>
    </row>
    <row r="974">
      <c r="A974" s="393"/>
      <c r="B974" s="408"/>
      <c r="C974" s="408"/>
      <c r="D974" s="408"/>
      <c r="E974" s="393"/>
      <c r="F974" s="393"/>
      <c r="G974" s="393"/>
      <c r="H974" s="393"/>
      <c r="I974" s="393"/>
      <c r="J974" s="393"/>
      <c r="K974" s="393"/>
      <c r="L974" s="393"/>
      <c r="M974" s="393"/>
    </row>
    <row r="975">
      <c r="A975" s="393"/>
      <c r="B975" s="408"/>
      <c r="C975" s="408"/>
      <c r="D975" s="408"/>
      <c r="E975" s="393"/>
      <c r="F975" s="393"/>
      <c r="G975" s="393"/>
      <c r="H975" s="393"/>
      <c r="I975" s="393"/>
      <c r="J975" s="393"/>
      <c r="K975" s="393"/>
      <c r="L975" s="393"/>
      <c r="M975" s="393"/>
    </row>
    <row r="976">
      <c r="A976" s="393"/>
      <c r="B976" s="408"/>
      <c r="C976" s="408"/>
      <c r="D976" s="408"/>
      <c r="E976" s="393"/>
      <c r="F976" s="393"/>
      <c r="G976" s="393"/>
      <c r="H976" s="393"/>
      <c r="I976" s="393"/>
      <c r="J976" s="393"/>
      <c r="K976" s="393"/>
      <c r="L976" s="393"/>
      <c r="M976" s="393"/>
    </row>
    <row r="977">
      <c r="A977" s="393"/>
      <c r="B977" s="408"/>
      <c r="C977" s="408"/>
      <c r="D977" s="408"/>
      <c r="E977" s="393"/>
      <c r="F977" s="393"/>
      <c r="G977" s="393"/>
      <c r="H977" s="393"/>
      <c r="I977" s="393"/>
      <c r="J977" s="393"/>
      <c r="K977" s="393"/>
      <c r="L977" s="393"/>
      <c r="M977" s="393"/>
    </row>
    <row r="978">
      <c r="A978" s="393"/>
      <c r="B978" s="408"/>
      <c r="C978" s="408"/>
      <c r="D978" s="408"/>
      <c r="E978" s="393"/>
      <c r="F978" s="393"/>
      <c r="G978" s="393"/>
      <c r="H978" s="393"/>
      <c r="I978" s="393"/>
      <c r="J978" s="393"/>
      <c r="K978" s="393"/>
      <c r="L978" s="393"/>
      <c r="M978" s="393"/>
    </row>
    <row r="979">
      <c r="A979" s="393"/>
      <c r="B979" s="408"/>
      <c r="C979" s="408"/>
      <c r="D979" s="408"/>
      <c r="E979" s="393"/>
      <c r="F979" s="393"/>
      <c r="G979" s="393"/>
      <c r="H979" s="393"/>
      <c r="I979" s="393"/>
      <c r="J979" s="393"/>
      <c r="K979" s="393"/>
      <c r="L979" s="393"/>
      <c r="M979" s="393"/>
    </row>
    <row r="980">
      <c r="A980" s="393"/>
      <c r="B980" s="408"/>
      <c r="C980" s="408"/>
      <c r="D980" s="408"/>
      <c r="E980" s="393"/>
      <c r="F980" s="393"/>
      <c r="G980" s="393"/>
      <c r="H980" s="393"/>
      <c r="I980" s="393"/>
      <c r="J980" s="393"/>
      <c r="K980" s="393"/>
      <c r="L980" s="393"/>
      <c r="M980" s="393"/>
    </row>
    <row r="981">
      <c r="A981" s="393"/>
      <c r="B981" s="408"/>
      <c r="C981" s="408"/>
      <c r="D981" s="408"/>
      <c r="E981" s="393"/>
      <c r="F981" s="393"/>
      <c r="G981" s="393"/>
      <c r="H981" s="393"/>
      <c r="I981" s="393"/>
      <c r="J981" s="393"/>
      <c r="K981" s="393"/>
      <c r="L981" s="393"/>
      <c r="M981" s="393"/>
    </row>
    <row r="982">
      <c r="A982" s="393"/>
      <c r="B982" s="408"/>
      <c r="C982" s="408"/>
      <c r="D982" s="408"/>
      <c r="E982" s="393"/>
      <c r="F982" s="393"/>
      <c r="G982" s="393"/>
      <c r="H982" s="393"/>
      <c r="I982" s="393"/>
      <c r="J982" s="393"/>
      <c r="K982" s="393"/>
      <c r="L982" s="393"/>
      <c r="M982" s="393"/>
    </row>
    <row r="983">
      <c r="A983" s="393"/>
      <c r="B983" s="408"/>
      <c r="C983" s="408"/>
      <c r="D983" s="408"/>
      <c r="E983" s="393"/>
      <c r="F983" s="393"/>
      <c r="G983" s="393"/>
      <c r="H983" s="393"/>
      <c r="I983" s="393"/>
      <c r="J983" s="393"/>
      <c r="K983" s="393"/>
      <c r="L983" s="393"/>
      <c r="M983" s="393"/>
    </row>
    <row r="984">
      <c r="A984" s="393"/>
      <c r="B984" s="408"/>
      <c r="C984" s="408"/>
      <c r="D984" s="408"/>
      <c r="E984" s="393"/>
      <c r="F984" s="393"/>
      <c r="G984" s="393"/>
      <c r="H984" s="393"/>
      <c r="I984" s="393"/>
      <c r="J984" s="393"/>
      <c r="K984" s="393"/>
      <c r="L984" s="393"/>
      <c r="M984" s="393"/>
    </row>
    <row r="985">
      <c r="A985" s="393"/>
      <c r="B985" s="408"/>
      <c r="C985" s="408"/>
      <c r="D985" s="408"/>
      <c r="E985" s="393"/>
      <c r="F985" s="393"/>
      <c r="G985" s="393"/>
      <c r="H985" s="393"/>
      <c r="I985" s="393"/>
      <c r="J985" s="393"/>
      <c r="K985" s="393"/>
      <c r="L985" s="393"/>
      <c r="M985" s="393"/>
    </row>
    <row r="986">
      <c r="A986" s="393"/>
      <c r="B986" s="408"/>
      <c r="C986" s="408"/>
      <c r="D986" s="408"/>
      <c r="E986" s="393"/>
      <c r="F986" s="393"/>
      <c r="G986" s="393"/>
      <c r="H986" s="393"/>
      <c r="I986" s="393"/>
      <c r="J986" s="393"/>
      <c r="K986" s="393"/>
      <c r="L986" s="393"/>
      <c r="M986" s="393"/>
    </row>
    <row r="987">
      <c r="A987" s="393"/>
      <c r="B987" s="408"/>
      <c r="C987" s="408"/>
      <c r="D987" s="408"/>
      <c r="E987" s="393"/>
      <c r="F987" s="393"/>
      <c r="G987" s="393"/>
      <c r="H987" s="393"/>
      <c r="I987" s="393"/>
      <c r="J987" s="393"/>
      <c r="K987" s="393"/>
      <c r="L987" s="393"/>
      <c r="M987" s="393"/>
    </row>
    <row r="988">
      <c r="A988" s="393"/>
      <c r="B988" s="408"/>
      <c r="C988" s="408"/>
      <c r="D988" s="408"/>
      <c r="E988" s="393"/>
      <c r="F988" s="393"/>
      <c r="G988" s="393"/>
      <c r="H988" s="393"/>
      <c r="I988" s="393"/>
      <c r="J988" s="393"/>
      <c r="K988" s="393"/>
      <c r="L988" s="393"/>
      <c r="M988" s="393"/>
    </row>
    <row r="989">
      <c r="A989" s="393"/>
      <c r="B989" s="408"/>
      <c r="C989" s="408"/>
      <c r="D989" s="408"/>
      <c r="E989" s="393"/>
      <c r="F989" s="393"/>
      <c r="G989" s="393"/>
      <c r="H989" s="393"/>
      <c r="I989" s="393"/>
      <c r="J989" s="393"/>
      <c r="K989" s="393"/>
      <c r="L989" s="393"/>
      <c r="M989" s="393"/>
    </row>
    <row r="990">
      <c r="A990" s="393"/>
      <c r="B990" s="408"/>
      <c r="C990" s="408"/>
      <c r="D990" s="408"/>
      <c r="E990" s="393"/>
      <c r="F990" s="393"/>
      <c r="G990" s="393"/>
      <c r="H990" s="393"/>
      <c r="I990" s="393"/>
      <c r="J990" s="393"/>
      <c r="K990" s="393"/>
      <c r="L990" s="393"/>
      <c r="M990" s="393"/>
    </row>
    <row r="991">
      <c r="A991" s="393"/>
      <c r="B991" s="408"/>
      <c r="C991" s="408"/>
      <c r="D991" s="408"/>
      <c r="E991" s="393"/>
      <c r="F991" s="393"/>
      <c r="G991" s="393"/>
      <c r="H991" s="393"/>
      <c r="I991" s="393"/>
      <c r="J991" s="393"/>
      <c r="K991" s="393"/>
      <c r="L991" s="393"/>
      <c r="M991" s="393"/>
    </row>
    <row r="992">
      <c r="A992" s="393"/>
      <c r="B992" s="408"/>
      <c r="C992" s="408"/>
      <c r="D992" s="408"/>
      <c r="E992" s="393"/>
      <c r="F992" s="393"/>
      <c r="G992" s="393"/>
      <c r="H992" s="393"/>
      <c r="I992" s="393"/>
      <c r="J992" s="393"/>
      <c r="K992" s="393"/>
      <c r="L992" s="393"/>
      <c r="M992" s="393"/>
    </row>
    <row r="993">
      <c r="A993" s="393"/>
      <c r="B993" s="408"/>
      <c r="C993" s="408"/>
      <c r="D993" s="408"/>
      <c r="E993" s="393"/>
      <c r="F993" s="393"/>
      <c r="G993" s="393"/>
      <c r="H993" s="393"/>
      <c r="I993" s="393"/>
      <c r="J993" s="393"/>
      <c r="K993" s="393"/>
      <c r="L993" s="393"/>
      <c r="M993" s="393"/>
    </row>
    <row r="994">
      <c r="A994" s="393"/>
      <c r="B994" s="408"/>
      <c r="C994" s="408"/>
      <c r="D994" s="408"/>
      <c r="E994" s="393"/>
      <c r="F994" s="393"/>
      <c r="G994" s="393"/>
      <c r="H994" s="393"/>
      <c r="I994" s="393"/>
      <c r="J994" s="393"/>
      <c r="K994" s="393"/>
      <c r="L994" s="393"/>
      <c r="M994" s="393"/>
    </row>
    <row r="995">
      <c r="A995" s="393"/>
      <c r="B995" s="408"/>
      <c r="C995" s="408"/>
      <c r="D995" s="408"/>
      <c r="E995" s="393"/>
      <c r="F995" s="393"/>
      <c r="G995" s="393"/>
      <c r="H995" s="393"/>
      <c r="I995" s="393"/>
      <c r="J995" s="393"/>
      <c r="K995" s="393"/>
      <c r="L995" s="393"/>
      <c r="M995" s="393"/>
    </row>
    <row r="996">
      <c r="A996" s="393"/>
      <c r="B996" s="408"/>
      <c r="C996" s="408"/>
      <c r="D996" s="408"/>
      <c r="E996" s="393"/>
      <c r="F996" s="393"/>
      <c r="G996" s="393"/>
      <c r="H996" s="393"/>
      <c r="I996" s="393"/>
      <c r="J996" s="393"/>
      <c r="K996" s="393"/>
      <c r="L996" s="393"/>
      <c r="M996" s="393"/>
    </row>
    <row r="997">
      <c r="A997" s="393"/>
      <c r="B997" s="408"/>
      <c r="C997" s="408"/>
      <c r="D997" s="408"/>
      <c r="E997" s="393"/>
      <c r="F997" s="393"/>
      <c r="G997" s="393"/>
      <c r="H997" s="393"/>
      <c r="I997" s="393"/>
      <c r="J997" s="393"/>
      <c r="K997" s="393"/>
      <c r="L997" s="393"/>
      <c r="M997" s="393"/>
    </row>
    <row r="998">
      <c r="A998" s="393"/>
      <c r="B998" s="408"/>
      <c r="C998" s="408"/>
      <c r="D998" s="408"/>
      <c r="E998" s="393"/>
      <c r="F998" s="393"/>
      <c r="G998" s="393"/>
      <c r="H998" s="393"/>
      <c r="I998" s="393"/>
      <c r="J998" s="393"/>
      <c r="K998" s="393"/>
      <c r="L998" s="393"/>
      <c r="M998" s="393"/>
    </row>
    <row r="999">
      <c r="A999" s="393"/>
      <c r="B999" s="408"/>
      <c r="C999" s="408"/>
      <c r="D999" s="408"/>
      <c r="E999" s="393"/>
      <c r="F999" s="393"/>
      <c r="G999" s="393"/>
      <c r="H999" s="393"/>
      <c r="I999" s="393"/>
      <c r="J999" s="393"/>
      <c r="K999" s="393"/>
      <c r="L999" s="393"/>
      <c r="M999" s="393"/>
    </row>
    <row r="1000">
      <c r="A1000" s="393"/>
      <c r="B1000" s="408"/>
      <c r="C1000" s="408"/>
      <c r="D1000" s="408"/>
      <c r="E1000" s="393"/>
      <c r="F1000" s="393"/>
      <c r="G1000" s="393"/>
      <c r="H1000" s="393"/>
      <c r="I1000" s="393"/>
      <c r="J1000" s="393"/>
      <c r="K1000" s="393"/>
      <c r="L1000" s="393"/>
      <c r="M1000" s="393"/>
    </row>
    <row r="1001">
      <c r="A1001" s="393"/>
      <c r="B1001" s="408"/>
      <c r="C1001" s="408"/>
      <c r="D1001" s="408"/>
      <c r="E1001" s="393"/>
      <c r="F1001" s="393"/>
      <c r="G1001" s="393"/>
      <c r="H1001" s="393"/>
      <c r="I1001" s="393"/>
      <c r="J1001" s="393"/>
      <c r="K1001" s="393"/>
      <c r="L1001" s="393"/>
      <c r="M1001" s="393"/>
    </row>
  </sheetData>
  <conditionalFormatting sqref="B1:B1001">
    <cfRule type="notContainsBlanks" dxfId="51" priority="1">
      <formula>LEN(TRIM(B1))&gt;0</formula>
    </cfRule>
  </conditionalFormatting>
  <conditionalFormatting sqref="D1:D1001">
    <cfRule type="notContainsBlanks" dxfId="52" priority="2">
      <formula>LEN(TRIM(D1))&gt;0</formula>
    </cfRule>
  </conditionalFormatting>
  <conditionalFormatting sqref="C1:C1001">
    <cfRule type="notContainsBlanks" dxfId="53" priority="3">
      <formula>LEN(TRIM(C1))&gt;0</formula>
    </cfRule>
  </conditionalFormatting>
  <conditionalFormatting sqref="A1:M1001">
    <cfRule type="notContainsBlanks" dxfId="54" priority="4">
      <formula>LEN(TRIM(A1))&gt;0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1.5"/>
    <col customWidth="1" min="2" max="2" width="10.63"/>
    <col customWidth="1" min="3" max="3" width="16.5"/>
    <col customWidth="1" min="4" max="4" width="39.13"/>
    <col customWidth="1" min="5" max="5" width="14.25"/>
    <col customWidth="1" min="6" max="6" width="7.88"/>
    <col customWidth="1" min="7" max="7" width="16.88"/>
    <col customWidth="1" min="8" max="8" width="14.25"/>
    <col customWidth="1" min="9" max="9" width="11.75"/>
    <col customWidth="1" min="10" max="10" width="12.63"/>
    <col customWidth="1" min="11" max="11" width="13.38"/>
    <col customWidth="1" min="12" max="12" width="11.5"/>
    <col customWidth="1" min="13" max="15" width="14.75"/>
    <col customWidth="1" min="16" max="16" width="10.5"/>
    <col customWidth="1" min="17" max="18" width="10.38"/>
    <col customWidth="1" min="19" max="19" width="10.5"/>
  </cols>
  <sheetData>
    <row r="1" ht="24.0" customHeight="1">
      <c r="A1" s="409" t="s">
        <v>281</v>
      </c>
      <c r="B1" s="157"/>
      <c r="C1" s="410" t="str">
        <f>offset(A2:A356,MATCH(MAX(I3:I356),I3:I356,0),0,1)</f>
        <v>#N/A</v>
      </c>
      <c r="D1" s="410" t="str">
        <f>(MAX(I3:I356))</f>
        <v>#N/A</v>
      </c>
      <c r="E1" s="411" t="str">
        <f>offset(A2:A171,MATCH(MIN(I3:I171),I3:I171,0),0,1)</f>
        <v>#N/A</v>
      </c>
      <c r="F1" s="157"/>
      <c r="G1" s="157"/>
      <c r="H1" s="411" t="str">
        <f>(Min(I3:I356))</f>
        <v>#N/A</v>
      </c>
      <c r="I1" s="157"/>
      <c r="J1" s="157"/>
      <c r="K1" s="412"/>
      <c r="L1" s="413"/>
      <c r="N1" s="413"/>
      <c r="O1" s="413"/>
      <c r="P1" s="413"/>
      <c r="Q1" s="413"/>
      <c r="R1" s="413"/>
      <c r="S1" s="413"/>
    </row>
    <row r="2">
      <c r="A2" s="414" t="s">
        <v>70</v>
      </c>
      <c r="B2" s="415" t="s">
        <v>268</v>
      </c>
      <c r="C2" s="416" t="s">
        <v>235</v>
      </c>
      <c r="D2" s="417" t="s">
        <v>71</v>
      </c>
      <c r="E2" s="418" t="s">
        <v>74</v>
      </c>
      <c r="F2" s="416" t="s">
        <v>282</v>
      </c>
      <c r="G2" s="419" t="s">
        <v>83</v>
      </c>
      <c r="H2" s="416" t="s">
        <v>283</v>
      </c>
      <c r="I2" s="416" t="s">
        <v>284</v>
      </c>
      <c r="J2" s="420" t="s">
        <v>285</v>
      </c>
      <c r="K2" s="415" t="s">
        <v>286</v>
      </c>
      <c r="L2" s="415" t="s">
        <v>287</v>
      </c>
      <c r="M2" s="415" t="s">
        <v>288</v>
      </c>
      <c r="N2" s="415" t="s">
        <v>289</v>
      </c>
      <c r="O2" s="415" t="s">
        <v>288</v>
      </c>
      <c r="P2" s="421">
        <v>-0.15</v>
      </c>
      <c r="Q2" s="422">
        <v>-0.3</v>
      </c>
      <c r="R2" s="422">
        <v>-0.5</v>
      </c>
      <c r="S2" s="423">
        <v>-0.7</v>
      </c>
    </row>
    <row r="3">
      <c r="A3" s="424" t="str">
        <f t="array" ref="A3:C73">Sort(myDG(History!B3:B993,History!C3:C993,History!D3:D993,History!E3:E993))</f>
        <v>BOM:514183</v>
      </c>
      <c r="B3" s="425">
        <v>11.0</v>
      </c>
      <c r="C3" s="426">
        <v>143.25454545454545</v>
      </c>
      <c r="D3" s="425" t="str">
        <f>IFERROR(__xludf.DUMMYFUNCTION("if(ISBLANK(A3),"""",GOOGLEFINANCE(A3,""NAME""))"),"Black Rose Industries Ltd")</f>
        <v>Black Rose Industries Ltd</v>
      </c>
      <c r="E3" s="427" t="str">
        <f t="shared" ref="E3:E187" si="1">IF(ISBLANK(A3), "", IF(G3 &gt; 600000, "Mega Cap", IF(G3 &gt; 30000, "Large Cap", IF(G3 &gt; 7500, "Mid Cap", "Small Cap"))))</f>
        <v>Small Cap</v>
      </c>
      <c r="F3" s="426" t="str">
        <f t="shared" ref="F3:F191" si="2">IF(ISBLANK(A3), "", IF(AND(G3 &gt;= 0, G3 &lt;= 7500), "||||", IF(AND(G3 &gt; 7500, G3 &lt;= 30000), "|||", IF(AND(G3 &gt; 30000, G3 &lt;= 600000), "||", IF(G3 &gt; 600000, "|", "")))))
</f>
        <v>||||</v>
      </c>
      <c r="G3" s="32">
        <f>IFERROR(__xludf.DUMMYFUNCTION("if(ISBLANK(A3),"""",googlefinance(A3,""Marketcap"")/10000000)"),571.0470062)</f>
        <v>571.0470062</v>
      </c>
      <c r="H3" s="426">
        <f>IFERROR(__xludf.DUMMYFUNCTION("if(isblank(A3),"""",Googlefinance(A3, ""Price""))"),113.4)</f>
        <v>113.4</v>
      </c>
      <c r="I3" s="426">
        <f t="shared" ref="I3:I106" si="3">if(ISBLANK(A3),"",(B3*H3)-(B3*C3))</f>
        <v>-328.4</v>
      </c>
      <c r="J3" s="428">
        <f t="shared" ref="J3:J109" si="4">if(ISBLANK(A3),"",(H3-C3)/C3)</f>
        <v>-0.2084020815</v>
      </c>
      <c r="K3" s="429" t="str">
        <f t="shared" ref="K3:K258" si="5">if(ISBLANK(A3),"",if(H3&lt;=100,"10000",if(H3&gt;1000,"500","1000")))</f>
        <v>1000</v>
      </c>
      <c r="L3" s="429">
        <f t="shared" ref="L3:L106" si="6">if(isblank(A3),"",B3-K3)</f>
        <v>-989</v>
      </c>
      <c r="M3" s="429" t="str">
        <f t="shared" ref="M3:M585" si="7">if(ISBLANK(A3),"",if(L3&gt;=0,"Met","Not Met"))</f>
        <v>Not Met</v>
      </c>
      <c r="N3" s="430">
        <f t="shared" ref="N3:N112" si="8">if(ISBLANK(D3),"",(10000000/K3))</f>
        <v>10000</v>
      </c>
      <c r="O3" s="430" t="str">
        <f t="shared" ref="O3:O371" si="9">if(ISBLANK(A3),"",if(H3&gt;=N3,"Met","Not Met"))</f>
        <v>Not Met</v>
      </c>
      <c r="P3" s="431" t="str">
        <f t="shared" ref="P3:P100" si="10">if(ISBLANK(A3),"",if(H3&gt;=N3,"S",if(J3&lt;-15%,"B","H")))</f>
        <v>B</v>
      </c>
      <c r="Q3" s="431" t="str">
        <f t="shared" ref="Q3:Q100" si="11">if(ISBLANK(A3),"",if(H3&gt;=N3,"S",if(J3&lt;-30%,"B","H")))</f>
        <v>H</v>
      </c>
      <c r="R3" s="431" t="str">
        <f t="shared" ref="R3:R100" si="12">if(ISBLANK(A3),"",if(H3&gt;=N3,"S",if(J3&lt;-50%,"B","H")))</f>
        <v>H</v>
      </c>
      <c r="S3" s="431" t="str">
        <f t="shared" ref="S3:S100" si="13">if(ISBLANK(A3),"",if(H3&gt;=N3,"S",if(J3&lt;-70%,"B","H")))</f>
        <v>H</v>
      </c>
    </row>
    <row r="4">
      <c r="A4" s="424" t="s">
        <v>257</v>
      </c>
      <c r="B4" s="425">
        <v>55.0</v>
      </c>
      <c r="C4" s="426">
        <v>8.0</v>
      </c>
      <c r="D4" s="425" t="str">
        <f>IFERROR(__xludf.DUMMYFUNCTION("if(ISBLANK(A4),"""",GOOGLEFINANCE(A4,""NAME""))"),"Gennex Laboratories Ltd")</f>
        <v>Gennex Laboratories Ltd</v>
      </c>
      <c r="E4" s="427" t="str">
        <f t="shared" si="1"/>
        <v>Small Cap</v>
      </c>
      <c r="F4" s="426" t="str">
        <f t="shared" si="2"/>
        <v>||||</v>
      </c>
      <c r="G4" s="32">
        <f>IFERROR(__xludf.DUMMYFUNCTION("if(ISBLANK(A4),"""",googlefinance(A4,""Marketcap"")/10000000)"),242.9476)</f>
        <v>242.9476</v>
      </c>
      <c r="H4" s="426">
        <f>IFERROR(__xludf.DUMMYFUNCTION("if(isblank(A4),"""",Googlefinance(A4, ""Price""))"),10.0)</f>
        <v>10</v>
      </c>
      <c r="I4" s="426">
        <f t="shared" si="3"/>
        <v>110</v>
      </c>
      <c r="J4" s="428">
        <f t="shared" si="4"/>
        <v>0.25</v>
      </c>
      <c r="K4" s="429" t="str">
        <f t="shared" si="5"/>
        <v>10000</v>
      </c>
      <c r="L4" s="429">
        <f t="shared" si="6"/>
        <v>-9945</v>
      </c>
      <c r="M4" s="429" t="str">
        <f t="shared" si="7"/>
        <v>Not Met</v>
      </c>
      <c r="N4" s="430">
        <f t="shared" si="8"/>
        <v>1000</v>
      </c>
      <c r="O4" s="430" t="str">
        <f t="shared" si="9"/>
        <v>Not Met</v>
      </c>
      <c r="P4" s="431" t="str">
        <f t="shared" si="10"/>
        <v>H</v>
      </c>
      <c r="Q4" s="431" t="str">
        <f t="shared" si="11"/>
        <v>H</v>
      </c>
      <c r="R4" s="431" t="str">
        <f t="shared" si="12"/>
        <v>H</v>
      </c>
      <c r="S4" s="431" t="str">
        <f t="shared" si="13"/>
        <v>H</v>
      </c>
    </row>
    <row r="5">
      <c r="A5" s="424" t="s">
        <v>86</v>
      </c>
      <c r="B5" s="425">
        <v>6.0</v>
      </c>
      <c r="C5" s="426">
        <v>496.4173666666666</v>
      </c>
      <c r="D5" s="425" t="str">
        <f>IFERROR(__xludf.DUMMYFUNCTION("if(ISBLANK(A5),"""",GOOGLEFINANCE(A5,""NAME""))"),"Aarti Industries Ltd")</f>
        <v>Aarti Industries Ltd</v>
      </c>
      <c r="E5" s="427" t="str">
        <f t="shared" si="1"/>
        <v>Mid Cap</v>
      </c>
      <c r="F5" s="426" t="str">
        <f t="shared" si="2"/>
        <v>|||</v>
      </c>
      <c r="G5" s="32">
        <f>IFERROR(__xludf.DUMMYFUNCTION("if(ISBLANK(A5),"""",googlefinance(A5,""Marketcap"")/10000000)"),17360.0952973)</f>
        <v>17360.0953</v>
      </c>
      <c r="H5" s="426">
        <f>IFERROR(__xludf.DUMMYFUNCTION("if(isblank(A5),"""",Googlefinance(A5, ""Price""))"),478.6)</f>
        <v>478.6</v>
      </c>
      <c r="I5" s="426">
        <f t="shared" si="3"/>
        <v>-106.9042</v>
      </c>
      <c r="J5" s="428">
        <f t="shared" si="4"/>
        <v>-0.03589190843</v>
      </c>
      <c r="K5" s="429" t="str">
        <f t="shared" si="5"/>
        <v>1000</v>
      </c>
      <c r="L5" s="429">
        <f t="shared" si="6"/>
        <v>-994</v>
      </c>
      <c r="M5" s="429" t="str">
        <f t="shared" si="7"/>
        <v>Not Met</v>
      </c>
      <c r="N5" s="430">
        <f t="shared" si="8"/>
        <v>10000</v>
      </c>
      <c r="O5" s="430" t="str">
        <f t="shared" si="9"/>
        <v>Not Met</v>
      </c>
      <c r="P5" s="431" t="str">
        <f t="shared" si="10"/>
        <v>H</v>
      </c>
      <c r="Q5" s="431" t="str">
        <f t="shared" si="11"/>
        <v>H</v>
      </c>
      <c r="R5" s="431" t="str">
        <f t="shared" si="12"/>
        <v>H</v>
      </c>
      <c r="S5" s="431" t="str">
        <f t="shared" si="13"/>
        <v>H</v>
      </c>
    </row>
    <row r="6">
      <c r="A6" s="424" t="s">
        <v>43</v>
      </c>
      <c r="B6" s="425">
        <v>6.0</v>
      </c>
      <c r="C6" s="426">
        <v>954.4583333333334</v>
      </c>
      <c r="D6" s="425" t="str">
        <f>IFERROR(__xludf.DUMMYFUNCTION("if(ISBLANK(A6),"""",GOOGLEFINANCE(A6,""NAME""))"),"Affle 3i Ltd")</f>
        <v>Affle 3i Ltd</v>
      </c>
      <c r="E6" s="427" t="str">
        <f t="shared" si="1"/>
        <v>Mid Cap</v>
      </c>
      <c r="F6" s="426" t="str">
        <f t="shared" si="2"/>
        <v>|||</v>
      </c>
      <c r="G6" s="32">
        <f>IFERROR(__xludf.DUMMYFUNCTION("if(ISBLANK(A6),"""",googlefinance(A6,""Marketcap"")/10000000)"),20605.9572106)</f>
        <v>20605.95721</v>
      </c>
      <c r="H6" s="426">
        <f>IFERROR(__xludf.DUMMYFUNCTION("if(isblank(A6),"""",Googlefinance(A6, ""Price""))"),1465.1)</f>
        <v>1465.1</v>
      </c>
      <c r="I6" s="426">
        <f t="shared" si="3"/>
        <v>3063.85</v>
      </c>
      <c r="J6" s="428">
        <f t="shared" si="4"/>
        <v>0.5350067665</v>
      </c>
      <c r="K6" s="429" t="str">
        <f t="shared" si="5"/>
        <v>500</v>
      </c>
      <c r="L6" s="429">
        <f t="shared" si="6"/>
        <v>-494</v>
      </c>
      <c r="M6" s="429" t="str">
        <f t="shared" si="7"/>
        <v>Not Met</v>
      </c>
      <c r="N6" s="430">
        <f t="shared" si="8"/>
        <v>20000</v>
      </c>
      <c r="O6" s="430" t="str">
        <f t="shared" si="9"/>
        <v>Not Met</v>
      </c>
      <c r="P6" s="431" t="str">
        <f t="shared" si="10"/>
        <v>H</v>
      </c>
      <c r="Q6" s="431" t="str">
        <f t="shared" si="11"/>
        <v>H</v>
      </c>
      <c r="R6" s="431" t="str">
        <f t="shared" si="12"/>
        <v>H</v>
      </c>
      <c r="S6" s="431" t="str">
        <f t="shared" si="13"/>
        <v>H</v>
      </c>
    </row>
    <row r="7">
      <c r="A7" s="424" t="s">
        <v>87</v>
      </c>
      <c r="B7" s="425">
        <v>2.0</v>
      </c>
      <c r="C7" s="426">
        <v>2230.0</v>
      </c>
      <c r="D7" s="425" t="str">
        <f>IFERROR(__xludf.DUMMYFUNCTION("if(ISBLANK(A7),"""",GOOGLEFINANCE(A7,""NAME""))"),"Alkyl Amines Chemicals Ltd")</f>
        <v>Alkyl Amines Chemicals Ltd</v>
      </c>
      <c r="E7" s="427" t="str">
        <f t="shared" si="1"/>
        <v>Mid Cap</v>
      </c>
      <c r="F7" s="426" t="str">
        <f t="shared" si="2"/>
        <v>|||</v>
      </c>
      <c r="G7" s="32">
        <f>IFERROR(__xludf.DUMMYFUNCTION("if(ISBLANK(A7),"""",googlefinance(A7,""Marketcap"")/10000000)"),9157.1022823)</f>
        <v>9157.102282</v>
      </c>
      <c r="H7" s="426">
        <f>IFERROR(__xludf.DUMMYFUNCTION("if(isblank(A7),"""",Googlefinance(A7, ""Price""))"),1802.0)</f>
        <v>1802</v>
      </c>
      <c r="I7" s="426">
        <f t="shared" si="3"/>
        <v>-856</v>
      </c>
      <c r="J7" s="428">
        <f t="shared" si="4"/>
        <v>-0.1919282511</v>
      </c>
      <c r="K7" s="429" t="str">
        <f t="shared" si="5"/>
        <v>500</v>
      </c>
      <c r="L7" s="429">
        <f t="shared" si="6"/>
        <v>-498</v>
      </c>
      <c r="M7" s="429" t="str">
        <f t="shared" si="7"/>
        <v>Not Met</v>
      </c>
      <c r="N7" s="430">
        <f t="shared" si="8"/>
        <v>20000</v>
      </c>
      <c r="O7" s="430" t="str">
        <f t="shared" si="9"/>
        <v>Not Met</v>
      </c>
      <c r="P7" s="431" t="str">
        <f t="shared" si="10"/>
        <v>B</v>
      </c>
      <c r="Q7" s="431" t="str">
        <f t="shared" si="11"/>
        <v>H</v>
      </c>
      <c r="R7" s="431" t="str">
        <f t="shared" si="12"/>
        <v>H</v>
      </c>
      <c r="S7" s="431" t="str">
        <f t="shared" si="13"/>
        <v>H</v>
      </c>
    </row>
    <row r="8">
      <c r="A8" s="424" t="s">
        <v>258</v>
      </c>
      <c r="B8" s="425">
        <v>99.0</v>
      </c>
      <c r="C8" s="426">
        <v>76.78050505050506</v>
      </c>
      <c r="D8" s="425" t="str">
        <f>IFERROR(__xludf.DUMMYFUNCTION("if(ISBLANK(A8),"""",GOOGLEFINANCE(A8,""NAME""))"),"Allcargo Logistics Ltd")</f>
        <v>Allcargo Logistics Ltd</v>
      </c>
      <c r="E8" s="427" t="str">
        <f t="shared" si="1"/>
        <v>Small Cap</v>
      </c>
      <c r="F8" s="426" t="str">
        <f t="shared" si="2"/>
        <v>||||</v>
      </c>
      <c r="G8" s="32">
        <f>IFERROR(__xludf.DUMMYFUNCTION("if(ISBLANK(A8),"""",googlefinance(A8,""Marketcap"")/10000000)"),1198.2224)</f>
        <v>1198.2224</v>
      </c>
      <c r="H8" s="426">
        <f>IFERROR(__xludf.DUMMYFUNCTION("if(isblank(A8),"""",Googlefinance(A8, ""Price""))"),7.99)</f>
        <v>7.99</v>
      </c>
      <c r="I8" s="426">
        <f t="shared" si="3"/>
        <v>-6810.26</v>
      </c>
      <c r="J8" s="428">
        <f t="shared" si="4"/>
        <v>-0.8959371263</v>
      </c>
      <c r="K8" s="429" t="str">
        <f t="shared" si="5"/>
        <v>10000</v>
      </c>
      <c r="L8" s="429">
        <f t="shared" si="6"/>
        <v>-9901</v>
      </c>
      <c r="M8" s="429" t="str">
        <f t="shared" si="7"/>
        <v>Not Met</v>
      </c>
      <c r="N8" s="430">
        <f t="shared" si="8"/>
        <v>1000</v>
      </c>
      <c r="O8" s="430" t="str">
        <f t="shared" si="9"/>
        <v>Not Met</v>
      </c>
      <c r="P8" s="431" t="str">
        <f t="shared" si="10"/>
        <v>B</v>
      </c>
      <c r="Q8" s="431" t="str">
        <f t="shared" si="11"/>
        <v>B</v>
      </c>
      <c r="R8" s="431" t="str">
        <f t="shared" si="12"/>
        <v>B</v>
      </c>
      <c r="S8" s="431" t="str">
        <f t="shared" si="13"/>
        <v>B</v>
      </c>
    </row>
    <row r="9">
      <c r="A9" s="424" t="s">
        <v>89</v>
      </c>
      <c r="B9" s="425">
        <v>3.0</v>
      </c>
      <c r="C9" s="426">
        <v>2900.5833333333335</v>
      </c>
      <c r="D9" s="425" t="str">
        <f>IFERROR(__xludf.DUMMYFUNCTION("if(ISBLANK(A9),"""",GOOGLEFINANCE(A9,""NAME""))"),"Asian Paints Ltd")</f>
        <v>Asian Paints Ltd</v>
      </c>
      <c r="E9" s="427" t="str">
        <f t="shared" si="1"/>
        <v>Large Cap</v>
      </c>
      <c r="F9" s="426" t="str">
        <f t="shared" si="2"/>
        <v>||</v>
      </c>
      <c r="G9" s="32">
        <f>IFERROR(__xludf.DUMMYFUNCTION("if(ISBLANK(A9),"""",googlefinance(A9,""Marketcap"")/10000000)"),262067.7477967)</f>
        <v>262067.7478</v>
      </c>
      <c r="H9" s="426">
        <f>IFERROR(__xludf.DUMMYFUNCTION("if(isblank(A9),"""",Googlefinance(A9, ""Price""))"),2730.2)</f>
        <v>2730.2</v>
      </c>
      <c r="I9" s="426">
        <f t="shared" si="3"/>
        <v>-511.15</v>
      </c>
      <c r="J9" s="428">
        <f t="shared" si="4"/>
        <v>-0.05874105783</v>
      </c>
      <c r="K9" s="429" t="str">
        <f t="shared" si="5"/>
        <v>500</v>
      </c>
      <c r="L9" s="429">
        <f t="shared" si="6"/>
        <v>-497</v>
      </c>
      <c r="M9" s="429" t="str">
        <f t="shared" si="7"/>
        <v>Not Met</v>
      </c>
      <c r="N9" s="430">
        <f t="shared" si="8"/>
        <v>20000</v>
      </c>
      <c r="O9" s="430" t="str">
        <f t="shared" si="9"/>
        <v>Not Met</v>
      </c>
      <c r="P9" s="431" t="str">
        <f t="shared" si="10"/>
        <v>H</v>
      </c>
      <c r="Q9" s="431" t="str">
        <f t="shared" si="11"/>
        <v>H</v>
      </c>
      <c r="R9" s="431" t="str">
        <f t="shared" si="12"/>
        <v>H</v>
      </c>
      <c r="S9" s="431" t="str">
        <f t="shared" si="13"/>
        <v>H</v>
      </c>
    </row>
    <row r="10">
      <c r="A10" s="432" t="s">
        <v>90</v>
      </c>
      <c r="B10" s="433">
        <v>2.0</v>
      </c>
      <c r="C10" s="434">
        <v>1545.0</v>
      </c>
      <c r="D10" s="425" t="str">
        <f>IFERROR(__xludf.DUMMYFUNCTION("if(ISBLANK(A10),"""",GOOGLEFINANCE(A10,""NAME""))"),"Astral Ltd")</f>
        <v>Astral Ltd</v>
      </c>
      <c r="E10" s="427" t="str">
        <f t="shared" si="1"/>
        <v>Large Cap</v>
      </c>
      <c r="F10" s="426" t="str">
        <f t="shared" si="2"/>
        <v>||</v>
      </c>
      <c r="G10" s="32">
        <f>IFERROR(__xludf.DUMMYFUNCTION("if(ISBLANK(A10),"""",googlefinance(A10,""Marketcap"")/10000000)"),36451.0430988)</f>
        <v>36451.0431</v>
      </c>
      <c r="H10" s="426">
        <f>IFERROR(__xludf.DUMMYFUNCTION("if(isblank(A10),"""",Googlefinance(A10, ""Price""))"),1356.9)</f>
        <v>1356.9</v>
      </c>
      <c r="I10" s="426">
        <f t="shared" si="3"/>
        <v>-376.2</v>
      </c>
      <c r="J10" s="428">
        <f t="shared" si="4"/>
        <v>-0.1217475728</v>
      </c>
      <c r="K10" s="429" t="str">
        <f t="shared" si="5"/>
        <v>500</v>
      </c>
      <c r="L10" s="429">
        <f t="shared" si="6"/>
        <v>-498</v>
      </c>
      <c r="M10" s="429" t="str">
        <f t="shared" si="7"/>
        <v>Not Met</v>
      </c>
      <c r="N10" s="430">
        <f t="shared" si="8"/>
        <v>20000</v>
      </c>
      <c r="O10" s="430" t="str">
        <f t="shared" si="9"/>
        <v>Not Met</v>
      </c>
      <c r="P10" s="431" t="str">
        <f t="shared" si="10"/>
        <v>H</v>
      </c>
      <c r="Q10" s="431" t="str">
        <f t="shared" si="11"/>
        <v>H</v>
      </c>
      <c r="R10" s="431" t="str">
        <f t="shared" si="12"/>
        <v>H</v>
      </c>
      <c r="S10" s="431" t="str">
        <f t="shared" si="13"/>
        <v>H</v>
      </c>
    </row>
    <row r="11">
      <c r="A11" s="435" t="s">
        <v>91</v>
      </c>
      <c r="B11" s="436">
        <v>6.0</v>
      </c>
      <c r="C11" s="437">
        <v>579.6</v>
      </c>
      <c r="D11" s="425" t="str">
        <f>IFERROR(__xludf.DUMMYFUNCTION("if(ISBLANK(A11),"""",GOOGLEFINANCE(A11,""NAME""))"),"AU Small Finance Bank Ltd")</f>
        <v>AU Small Finance Bank Ltd</v>
      </c>
      <c r="E11" s="427" t="str">
        <f t="shared" si="1"/>
        <v>Large Cap</v>
      </c>
      <c r="F11" s="426" t="str">
        <f t="shared" si="2"/>
        <v>||</v>
      </c>
      <c r="G11" s="32">
        <f>IFERROR(__xludf.DUMMYFUNCTION("if(ISBLANK(A11),"""",googlefinance(A11,""Marketcap"")/10000000)"),79446.9502445)</f>
        <v>79446.95024</v>
      </c>
      <c r="H11" s="426">
        <f>IFERROR(__xludf.DUMMYFUNCTION("if(isblank(A11),"""",Googlefinance(A11, ""Price""))"),1066.0)</f>
        <v>1066</v>
      </c>
      <c r="I11" s="426">
        <f t="shared" si="3"/>
        <v>2918.4</v>
      </c>
      <c r="J11" s="428">
        <f t="shared" si="4"/>
        <v>0.8391994479</v>
      </c>
      <c r="K11" s="429" t="str">
        <f t="shared" si="5"/>
        <v>500</v>
      </c>
      <c r="L11" s="429">
        <f t="shared" si="6"/>
        <v>-494</v>
      </c>
      <c r="M11" s="429" t="str">
        <f t="shared" si="7"/>
        <v>Not Met</v>
      </c>
      <c r="N11" s="430">
        <f t="shared" si="8"/>
        <v>20000</v>
      </c>
      <c r="O11" s="430" t="str">
        <f t="shared" si="9"/>
        <v>Not Met</v>
      </c>
      <c r="P11" s="431" t="str">
        <f t="shared" si="10"/>
        <v>H</v>
      </c>
      <c r="Q11" s="431" t="str">
        <f t="shared" si="11"/>
        <v>H</v>
      </c>
      <c r="R11" s="431" t="str">
        <f t="shared" si="12"/>
        <v>H</v>
      </c>
      <c r="S11" s="431" t="str">
        <f t="shared" si="13"/>
        <v>H</v>
      </c>
    </row>
    <row r="12">
      <c r="A12" s="424" t="s">
        <v>259</v>
      </c>
      <c r="B12" s="425">
        <v>100.0</v>
      </c>
      <c r="C12" s="426">
        <v>162.886</v>
      </c>
      <c r="D12" s="425" t="str">
        <f>IFERROR(__xludf.DUMMYFUNCTION("if(ISBLANK(A12),"""",GOOGLEFINANCE(A12,""NAME""))"),"Bajaj Housing Finance Ltd")</f>
        <v>Bajaj Housing Finance Ltd</v>
      </c>
      <c r="E12" s="427" t="str">
        <f t="shared" si="1"/>
        <v>Large Cap</v>
      </c>
      <c r="F12" s="426" t="str">
        <f t="shared" si="2"/>
        <v>||</v>
      </c>
      <c r="G12" s="32">
        <f>IFERROR(__xludf.DUMMYFUNCTION("if(ISBLANK(A12),"""",googlefinance(A12,""Marketcap"")/10000000)"),73803.1388934)</f>
        <v>73803.13889</v>
      </c>
      <c r="H12" s="426">
        <f>IFERROR(__xludf.DUMMYFUNCTION("if(isblank(A12),"""",Googlefinance(A12, ""Price""))"),88.37)</f>
        <v>88.37</v>
      </c>
      <c r="I12" s="426">
        <f t="shared" si="3"/>
        <v>-7451.6</v>
      </c>
      <c r="J12" s="428">
        <f t="shared" si="4"/>
        <v>-0.4574733249</v>
      </c>
      <c r="K12" s="429" t="str">
        <f t="shared" si="5"/>
        <v>10000</v>
      </c>
      <c r="L12" s="429">
        <f t="shared" si="6"/>
        <v>-9900</v>
      </c>
      <c r="M12" s="429" t="str">
        <f t="shared" si="7"/>
        <v>Not Met</v>
      </c>
      <c r="N12" s="430">
        <f t="shared" si="8"/>
        <v>1000</v>
      </c>
      <c r="O12" s="430" t="str">
        <f t="shared" si="9"/>
        <v>Not Met</v>
      </c>
      <c r="P12" s="431" t="str">
        <f t="shared" si="10"/>
        <v>B</v>
      </c>
      <c r="Q12" s="431" t="str">
        <f t="shared" si="11"/>
        <v>B</v>
      </c>
      <c r="R12" s="431" t="str">
        <f t="shared" si="12"/>
        <v>H</v>
      </c>
      <c r="S12" s="431" t="str">
        <f t="shared" si="13"/>
        <v>H</v>
      </c>
    </row>
    <row r="13">
      <c r="A13" s="424" t="s">
        <v>94</v>
      </c>
      <c r="B13" s="425">
        <v>9.0</v>
      </c>
      <c r="C13" s="426">
        <v>548.3</v>
      </c>
      <c r="D13" s="425" t="str">
        <f>IFERROR(__xludf.DUMMYFUNCTION("if(ISBLANK(A13),"""",GOOGLEFINANCE(A13,""NAME""))"),"Berger Paints India Ltd")</f>
        <v>Berger Paints India Ltd</v>
      </c>
      <c r="E13" s="427" t="str">
        <f t="shared" si="1"/>
        <v>Large Cap</v>
      </c>
      <c r="F13" s="426" t="str">
        <f t="shared" si="2"/>
        <v>||</v>
      </c>
      <c r="G13" s="32">
        <f>IFERROR(__xludf.DUMMYFUNCTION("if(ISBLANK(A13),"""",googlefinance(A13,""Marketcap"")/10000000)"),59337.4062917)</f>
        <v>59337.40629</v>
      </c>
      <c r="H13" s="426">
        <f>IFERROR(__xludf.DUMMYFUNCTION("if(isblank(A13),"""",Googlefinance(A13, ""Price""))"),509.9)</f>
        <v>509.9</v>
      </c>
      <c r="I13" s="426">
        <f t="shared" si="3"/>
        <v>-345.6</v>
      </c>
      <c r="J13" s="428">
        <f t="shared" si="4"/>
        <v>-0.07003465256</v>
      </c>
      <c r="K13" s="429" t="str">
        <f t="shared" si="5"/>
        <v>1000</v>
      </c>
      <c r="L13" s="429">
        <f t="shared" si="6"/>
        <v>-991</v>
      </c>
      <c r="M13" s="429" t="str">
        <f t="shared" si="7"/>
        <v>Not Met</v>
      </c>
      <c r="N13" s="430">
        <f t="shared" si="8"/>
        <v>10000</v>
      </c>
      <c r="O13" s="430" t="str">
        <f t="shared" si="9"/>
        <v>Not Met</v>
      </c>
      <c r="P13" s="431" t="str">
        <f t="shared" si="10"/>
        <v>H</v>
      </c>
      <c r="Q13" s="431" t="str">
        <f t="shared" si="11"/>
        <v>H</v>
      </c>
      <c r="R13" s="431" t="str">
        <f t="shared" si="12"/>
        <v>H</v>
      </c>
      <c r="S13" s="431" t="str">
        <f t="shared" si="13"/>
        <v>H</v>
      </c>
    </row>
    <row r="14">
      <c r="A14" s="424" t="s">
        <v>95</v>
      </c>
      <c r="B14" s="425">
        <v>11.0</v>
      </c>
      <c r="C14" s="426">
        <v>438.54090909090917</v>
      </c>
      <c r="D14" s="425" t="str">
        <f>IFERROR(__xludf.DUMMYFUNCTION("if(ISBLANK(A14),"""",GOOGLEFINANCE(A14,""NAME""))"),"BSE Ltd")</f>
        <v>BSE Ltd</v>
      </c>
      <c r="E14" s="427" t="str">
        <f t="shared" si="1"/>
        <v>Large Cap</v>
      </c>
      <c r="F14" s="426" t="str">
        <f t="shared" si="2"/>
        <v>||</v>
      </c>
      <c r="G14" s="32">
        <f>IFERROR(__xludf.DUMMYFUNCTION("if(ISBLANK(A14),"""",googlefinance(A14,""Marketcap"")/10000000)"),149833.1179282)</f>
        <v>149833.1179</v>
      </c>
      <c r="H14" s="426">
        <f>IFERROR(__xludf.DUMMYFUNCTION("if(isblank(A14),"""",Googlefinance(A14, ""Price""))"),3678.7)</f>
        <v>3678.7</v>
      </c>
      <c r="I14" s="426">
        <f t="shared" si="3"/>
        <v>35641.75</v>
      </c>
      <c r="J14" s="428">
        <f t="shared" si="4"/>
        <v>7.388499052</v>
      </c>
      <c r="K14" s="429" t="str">
        <f t="shared" si="5"/>
        <v>500</v>
      </c>
      <c r="L14" s="429">
        <f t="shared" si="6"/>
        <v>-489</v>
      </c>
      <c r="M14" s="429" t="str">
        <f t="shared" si="7"/>
        <v>Not Met</v>
      </c>
      <c r="N14" s="430">
        <f t="shared" si="8"/>
        <v>20000</v>
      </c>
      <c r="O14" s="430" t="str">
        <f t="shared" si="9"/>
        <v>Not Met</v>
      </c>
      <c r="P14" s="431" t="str">
        <f t="shared" si="10"/>
        <v>H</v>
      </c>
      <c r="Q14" s="431" t="str">
        <f t="shared" si="11"/>
        <v>H</v>
      </c>
      <c r="R14" s="431" t="str">
        <f t="shared" si="12"/>
        <v>H</v>
      </c>
      <c r="S14" s="431" t="str">
        <f t="shared" si="13"/>
        <v>H</v>
      </c>
    </row>
    <row r="15">
      <c r="A15" s="424" t="s">
        <v>96</v>
      </c>
      <c r="B15" s="425">
        <v>2.0</v>
      </c>
      <c r="C15" s="426">
        <v>2349.0</v>
      </c>
      <c r="D15" s="425" t="str">
        <f>IFERROR(__xludf.DUMMYFUNCTION("if(ISBLANK(A15),"""",GOOGLEFINANCE(A15,""NAME""))"),"Computer Age Management Services Ltd")</f>
        <v>Computer Age Management Services Ltd</v>
      </c>
      <c r="E15" s="427" t="str">
        <f t="shared" si="1"/>
        <v>Mid Cap</v>
      </c>
      <c r="F15" s="426" t="str">
        <f t="shared" si="2"/>
        <v>|||</v>
      </c>
      <c r="G15" s="32">
        <f>IFERROR(__xludf.DUMMYFUNCTION("if(ISBLANK(A15),"""",googlefinance(A15,""Marketcap"")/10000000)"),19294.1917485)</f>
        <v>19294.19175</v>
      </c>
      <c r="H15" s="426">
        <f>IFERROR(__xludf.DUMMYFUNCTION("if(isblank(A15),"""",Googlefinance(A15, ""Price""))"),777.35)</f>
        <v>777.35</v>
      </c>
      <c r="I15" s="426">
        <f t="shared" si="3"/>
        <v>-3143.3</v>
      </c>
      <c r="J15" s="428">
        <f t="shared" si="4"/>
        <v>-0.6690719455</v>
      </c>
      <c r="K15" s="429" t="str">
        <f t="shared" si="5"/>
        <v>1000</v>
      </c>
      <c r="L15" s="429">
        <f t="shared" si="6"/>
        <v>-998</v>
      </c>
      <c r="M15" s="429" t="str">
        <f t="shared" si="7"/>
        <v>Not Met</v>
      </c>
      <c r="N15" s="430">
        <f t="shared" si="8"/>
        <v>10000</v>
      </c>
      <c r="O15" s="430" t="str">
        <f t="shared" si="9"/>
        <v>Not Met</v>
      </c>
      <c r="P15" s="431" t="str">
        <f t="shared" si="10"/>
        <v>B</v>
      </c>
      <c r="Q15" s="431" t="str">
        <f t="shared" si="11"/>
        <v>B</v>
      </c>
      <c r="R15" s="431" t="str">
        <f t="shared" si="12"/>
        <v>B</v>
      </c>
      <c r="S15" s="431" t="str">
        <f t="shared" si="13"/>
        <v>H</v>
      </c>
    </row>
    <row r="16">
      <c r="A16" s="424" t="s">
        <v>97</v>
      </c>
      <c r="B16" s="425">
        <v>8.0</v>
      </c>
      <c r="C16" s="426">
        <v>548.5625</v>
      </c>
      <c r="D16" s="425" t="str">
        <f>IFERROR(__xludf.DUMMYFUNCTION("if(ISBLANK(A16),"""",GOOGLEFINANCE(A16,""NAME""))"),"Central Depository Services (India) Ltd")</f>
        <v>Central Depository Services (India) Ltd</v>
      </c>
      <c r="E16" s="427" t="str">
        <f t="shared" si="1"/>
        <v>Mid Cap</v>
      </c>
      <c r="F16" s="426" t="str">
        <f t="shared" si="2"/>
        <v>|||</v>
      </c>
      <c r="G16" s="32">
        <f>IFERROR(__xludf.DUMMYFUNCTION("if(ISBLANK(A16),"""",googlefinance(A16,""Marketcap"")/10000000)"),28382.18642)</f>
        <v>28382.18642</v>
      </c>
      <c r="H16" s="426">
        <f>IFERROR(__xludf.DUMMYFUNCTION("if(isblank(A16),"""",Googlefinance(A16, ""Price""))"),1358.0)</f>
        <v>1358</v>
      </c>
      <c r="I16" s="426">
        <f t="shared" si="3"/>
        <v>6475.5</v>
      </c>
      <c r="J16" s="428">
        <f t="shared" si="4"/>
        <v>1.475561126</v>
      </c>
      <c r="K16" s="429" t="str">
        <f t="shared" si="5"/>
        <v>500</v>
      </c>
      <c r="L16" s="429">
        <f t="shared" si="6"/>
        <v>-492</v>
      </c>
      <c r="M16" s="429" t="str">
        <f t="shared" si="7"/>
        <v>Not Met</v>
      </c>
      <c r="N16" s="430">
        <f t="shared" si="8"/>
        <v>20000</v>
      </c>
      <c r="O16" s="430" t="str">
        <f t="shared" si="9"/>
        <v>Not Met</v>
      </c>
      <c r="P16" s="431" t="str">
        <f t="shared" si="10"/>
        <v>H</v>
      </c>
      <c r="Q16" s="431" t="str">
        <f t="shared" si="11"/>
        <v>H</v>
      </c>
      <c r="R16" s="431" t="str">
        <f t="shared" si="12"/>
        <v>H</v>
      </c>
      <c r="S16" s="431" t="str">
        <f t="shared" si="13"/>
        <v>H</v>
      </c>
    </row>
    <row r="17">
      <c r="A17" s="424" t="s">
        <v>98</v>
      </c>
      <c r="B17" s="425">
        <v>10.0</v>
      </c>
      <c r="C17" s="426">
        <v>6.3</v>
      </c>
      <c r="D17" s="425" t="str">
        <f>IFERROR(__xludf.DUMMYFUNCTION("if(ISBLANK(A17),"""",GOOGLEFINANCE(A17,""NAME""))"),"CG Power and Industrial Solutions Ltd")</f>
        <v>CG Power and Industrial Solutions Ltd</v>
      </c>
      <c r="E17" s="427" t="str">
        <f t="shared" si="1"/>
        <v>Large Cap</v>
      </c>
      <c r="F17" s="426" t="str">
        <f t="shared" si="2"/>
        <v>||</v>
      </c>
      <c r="G17" s="32">
        <f>IFERROR(__xludf.DUMMYFUNCTION("if(ISBLANK(A17),"""",googlefinance(A17,""Marketcap"")/10000000)"),139273.68)</f>
        <v>139273.68</v>
      </c>
      <c r="H17" s="426">
        <f>IFERROR(__xludf.DUMMYFUNCTION("if(isblank(A17),"""",Googlefinance(A17, ""Price""))"),910.45)</f>
        <v>910.45</v>
      </c>
      <c r="I17" s="426">
        <f t="shared" si="3"/>
        <v>9041.5</v>
      </c>
      <c r="J17" s="428">
        <f t="shared" si="4"/>
        <v>143.515873</v>
      </c>
      <c r="K17" s="429" t="str">
        <f t="shared" si="5"/>
        <v>1000</v>
      </c>
      <c r="L17" s="429">
        <f t="shared" si="6"/>
        <v>-990</v>
      </c>
      <c r="M17" s="429" t="str">
        <f t="shared" si="7"/>
        <v>Not Met</v>
      </c>
      <c r="N17" s="430">
        <f t="shared" si="8"/>
        <v>10000</v>
      </c>
      <c r="O17" s="430" t="str">
        <f t="shared" si="9"/>
        <v>Not Met</v>
      </c>
      <c r="P17" s="431" t="str">
        <f t="shared" si="10"/>
        <v>H</v>
      </c>
      <c r="Q17" s="431" t="str">
        <f t="shared" si="11"/>
        <v>H</v>
      </c>
      <c r="R17" s="431" t="str">
        <f t="shared" si="12"/>
        <v>H</v>
      </c>
      <c r="S17" s="431" t="str">
        <f t="shared" si="13"/>
        <v>H</v>
      </c>
    </row>
    <row r="18">
      <c r="A18" s="424" t="s">
        <v>103</v>
      </c>
      <c r="B18" s="425">
        <v>3.0</v>
      </c>
      <c r="C18" s="426">
        <v>3051.2999999999997</v>
      </c>
      <c r="D18" s="425" t="str">
        <f>IFERROR(__xludf.DUMMYFUNCTION("if(ISBLANK(A18),"""",GOOGLEFINANCE(A18,""NAME""))"),"Dixon Technologies (India) Ltd")</f>
        <v>Dixon Technologies (India) Ltd</v>
      </c>
      <c r="E18" s="427" t="str">
        <f t="shared" si="1"/>
        <v>Large Cap</v>
      </c>
      <c r="F18" s="426" t="str">
        <f t="shared" si="2"/>
        <v>||</v>
      </c>
      <c r="G18" s="32">
        <f>IFERROR(__xludf.DUMMYFUNCTION("if(ISBLANK(A18),"""",googlefinance(A18,""Marketcap"")/10000000)"),80859.432304)</f>
        <v>80859.4323</v>
      </c>
      <c r="H18" s="426">
        <f>IFERROR(__xludf.DUMMYFUNCTION("if(isblank(A18),"""",Googlefinance(A18, ""Price""))"),13237.0)</f>
        <v>13237</v>
      </c>
      <c r="I18" s="426">
        <f t="shared" si="3"/>
        <v>30557.1</v>
      </c>
      <c r="J18" s="428">
        <f t="shared" si="4"/>
        <v>3.338150952</v>
      </c>
      <c r="K18" s="429" t="str">
        <f t="shared" si="5"/>
        <v>500</v>
      </c>
      <c r="L18" s="429">
        <f t="shared" si="6"/>
        <v>-497</v>
      </c>
      <c r="M18" s="429" t="str">
        <f t="shared" si="7"/>
        <v>Not Met</v>
      </c>
      <c r="N18" s="430">
        <f t="shared" si="8"/>
        <v>20000</v>
      </c>
      <c r="O18" s="430" t="str">
        <f t="shared" si="9"/>
        <v>Not Met</v>
      </c>
      <c r="P18" s="431" t="str">
        <f t="shared" si="10"/>
        <v>H</v>
      </c>
      <c r="Q18" s="431" t="str">
        <f t="shared" si="11"/>
        <v>H</v>
      </c>
      <c r="R18" s="431" t="str">
        <f t="shared" si="12"/>
        <v>H</v>
      </c>
      <c r="S18" s="431" t="str">
        <f t="shared" si="13"/>
        <v>H</v>
      </c>
    </row>
    <row r="19">
      <c r="A19" s="424" t="s">
        <v>104</v>
      </c>
      <c r="B19" s="425">
        <v>6.0</v>
      </c>
      <c r="C19" s="426">
        <v>3710.65</v>
      </c>
      <c r="D19" s="425" t="str">
        <f>IFERROR(__xludf.DUMMYFUNCTION("if(ISBLANK(A19),"""",GOOGLEFINANCE(A19,""NAME""))"),"Avenue Supermarts Ltd")</f>
        <v>Avenue Supermarts Ltd</v>
      </c>
      <c r="E19" s="427" t="str">
        <f t="shared" si="1"/>
        <v>Large Cap</v>
      </c>
      <c r="F19" s="426" t="str">
        <f t="shared" si="2"/>
        <v>||</v>
      </c>
      <c r="G19" s="32">
        <f>IFERROR(__xludf.DUMMYFUNCTION("if(ISBLANK(A19),"""",googlefinance(A19,""Marketcap"")/10000000)"),264613.3948661)</f>
        <v>264613.3949</v>
      </c>
      <c r="H19" s="426">
        <f>IFERROR(__xludf.DUMMYFUNCTION("if(isblank(A19),"""",Googlefinance(A19, ""Price""))"),4070.0)</f>
        <v>4070</v>
      </c>
      <c r="I19" s="426">
        <f t="shared" si="3"/>
        <v>2156.1</v>
      </c>
      <c r="J19" s="428">
        <f t="shared" si="4"/>
        <v>0.0968428712</v>
      </c>
      <c r="K19" s="429" t="str">
        <f t="shared" si="5"/>
        <v>500</v>
      </c>
      <c r="L19" s="429">
        <f t="shared" si="6"/>
        <v>-494</v>
      </c>
      <c r="M19" s="429" t="str">
        <f t="shared" si="7"/>
        <v>Not Met</v>
      </c>
      <c r="N19" s="430">
        <f t="shared" si="8"/>
        <v>20000</v>
      </c>
      <c r="O19" s="430" t="str">
        <f t="shared" si="9"/>
        <v>Not Met</v>
      </c>
      <c r="P19" s="431" t="str">
        <f t="shared" si="10"/>
        <v>H</v>
      </c>
      <c r="Q19" s="431" t="str">
        <f t="shared" si="11"/>
        <v>H</v>
      </c>
      <c r="R19" s="431" t="str">
        <f t="shared" si="12"/>
        <v>H</v>
      </c>
      <c r="S19" s="431" t="str">
        <f t="shared" si="13"/>
        <v>H</v>
      </c>
    </row>
    <row r="20">
      <c r="A20" s="435" t="s">
        <v>260</v>
      </c>
      <c r="B20" s="436">
        <v>600.0</v>
      </c>
      <c r="C20" s="437">
        <v>41.541625</v>
      </c>
      <c r="D20" s="425" t="str">
        <f>IFERROR(__xludf.DUMMYFUNCTION("if(ISBLANK(A20),"""",GOOGLEFINANCE(A20,""NAME""))"),"Easy Trip Planners Ltd")</f>
        <v>Easy Trip Planners Ltd</v>
      </c>
      <c r="E20" s="427" t="str">
        <f t="shared" si="1"/>
        <v>Small Cap</v>
      </c>
      <c r="F20" s="426" t="str">
        <f t="shared" si="2"/>
        <v>||||</v>
      </c>
      <c r="G20" s="32">
        <f>IFERROR(__xludf.DUMMYFUNCTION("if(ISBLANK(A20),"""",googlefinance(A20,""Marketcap"")/10000000)"),1259.5521656)</f>
        <v>1259.552166</v>
      </c>
      <c r="H20" s="426">
        <f>IFERROR(__xludf.DUMMYFUNCTION("if(isblank(A20),"""",Googlefinance(A20, ""Price""))"),7.17)</f>
        <v>7.17</v>
      </c>
      <c r="I20" s="426">
        <f t="shared" si="3"/>
        <v>-20622.975</v>
      </c>
      <c r="J20" s="428">
        <f t="shared" si="4"/>
        <v>-0.8274020335</v>
      </c>
      <c r="K20" s="429" t="str">
        <f t="shared" si="5"/>
        <v>10000</v>
      </c>
      <c r="L20" s="429">
        <f t="shared" si="6"/>
        <v>-9400</v>
      </c>
      <c r="M20" s="429" t="str">
        <f t="shared" si="7"/>
        <v>Not Met</v>
      </c>
      <c r="N20" s="430">
        <f t="shared" si="8"/>
        <v>1000</v>
      </c>
      <c r="O20" s="430" t="str">
        <f t="shared" si="9"/>
        <v>Not Met</v>
      </c>
      <c r="P20" s="431" t="str">
        <f t="shared" si="10"/>
        <v>B</v>
      </c>
      <c r="Q20" s="431" t="str">
        <f t="shared" si="11"/>
        <v>B</v>
      </c>
      <c r="R20" s="431" t="str">
        <f t="shared" si="12"/>
        <v>B</v>
      </c>
      <c r="S20" s="431" t="str">
        <f t="shared" si="13"/>
        <v>B</v>
      </c>
    </row>
    <row r="21">
      <c r="A21" s="424" t="s">
        <v>105</v>
      </c>
      <c r="B21" s="425">
        <v>6.0</v>
      </c>
      <c r="C21" s="426">
        <v>285.2083333333333</v>
      </c>
      <c r="D21" s="425" t="str">
        <f>IFERROR(__xludf.DUMMYFUNCTION("if(ISBLANK(A21),"""",GOOGLEFINANCE(A21,""NAME""))"),"Fineotex Chemical Ltd")</f>
        <v>Fineotex Chemical Ltd</v>
      </c>
      <c r="E21" s="427" t="str">
        <f t="shared" si="1"/>
        <v>Small Cap</v>
      </c>
      <c r="F21" s="426" t="str">
        <f t="shared" si="2"/>
        <v>||||</v>
      </c>
      <c r="G21" s="32">
        <f>IFERROR(__xludf.DUMMYFUNCTION("if(ISBLANK(A21),"""",googlefinance(A21,""Marketcap"")/10000000)"),4330.77534)</f>
        <v>4330.77534</v>
      </c>
      <c r="H21" s="426">
        <f>IFERROR(__xludf.DUMMYFUNCTION("if(isblank(A21),"""",Googlefinance(A21, ""Price""))"),37.19)</f>
        <v>37.19</v>
      </c>
      <c r="I21" s="426">
        <f t="shared" si="3"/>
        <v>-1488.11</v>
      </c>
      <c r="J21" s="428">
        <f t="shared" si="4"/>
        <v>-0.8696040906</v>
      </c>
      <c r="K21" s="429" t="str">
        <f t="shared" si="5"/>
        <v>10000</v>
      </c>
      <c r="L21" s="429">
        <f t="shared" si="6"/>
        <v>-9994</v>
      </c>
      <c r="M21" s="429" t="str">
        <f t="shared" si="7"/>
        <v>Not Met</v>
      </c>
      <c r="N21" s="430">
        <f t="shared" si="8"/>
        <v>1000</v>
      </c>
      <c r="O21" s="430" t="str">
        <f t="shared" si="9"/>
        <v>Not Met</v>
      </c>
      <c r="P21" s="431" t="str">
        <f t="shared" si="10"/>
        <v>B</v>
      </c>
      <c r="Q21" s="431" t="str">
        <f t="shared" si="11"/>
        <v>B</v>
      </c>
      <c r="R21" s="431" t="str">
        <f t="shared" si="12"/>
        <v>B</v>
      </c>
      <c r="S21" s="431" t="str">
        <f t="shared" si="13"/>
        <v>B</v>
      </c>
    </row>
    <row r="22">
      <c r="A22" s="424" t="s">
        <v>106</v>
      </c>
      <c r="B22" s="425">
        <v>10.0</v>
      </c>
      <c r="C22" s="426">
        <v>84.9</v>
      </c>
      <c r="D22" s="425" t="str">
        <f>IFERROR(__xludf.DUMMYFUNCTION("if(ISBLANK(A22),"""",GOOGLEFINANCE(A22,""NAME""))"),"Federal Bank Ltd")</f>
        <v>Federal Bank Ltd</v>
      </c>
      <c r="E22" s="427" t="str">
        <f t="shared" si="1"/>
        <v>Large Cap</v>
      </c>
      <c r="F22" s="426" t="str">
        <f t="shared" si="2"/>
        <v>||</v>
      </c>
      <c r="G22" s="32">
        <f>IFERROR(__xludf.DUMMYFUNCTION("if(ISBLANK(A22),"""",googlefinance(A22,""Marketcap"")/10000000)"),81475.6907902)</f>
        <v>81475.69079</v>
      </c>
      <c r="H22" s="426">
        <f>IFERROR(__xludf.DUMMYFUNCTION("if(isblank(A22),"""",Googlefinance(A22, ""Price""))"),331.2)</f>
        <v>331.2</v>
      </c>
      <c r="I22" s="426">
        <f t="shared" si="3"/>
        <v>2463</v>
      </c>
      <c r="J22" s="428">
        <f t="shared" si="4"/>
        <v>2.901060071</v>
      </c>
      <c r="K22" s="429" t="str">
        <f t="shared" si="5"/>
        <v>1000</v>
      </c>
      <c r="L22" s="429">
        <f t="shared" si="6"/>
        <v>-990</v>
      </c>
      <c r="M22" s="429" t="str">
        <f t="shared" si="7"/>
        <v>Not Met</v>
      </c>
      <c r="N22" s="430">
        <f t="shared" si="8"/>
        <v>10000</v>
      </c>
      <c r="O22" s="430" t="str">
        <f t="shared" si="9"/>
        <v>Not Met</v>
      </c>
      <c r="P22" s="431" t="str">
        <f t="shared" si="10"/>
        <v>H</v>
      </c>
      <c r="Q22" s="431" t="str">
        <f t="shared" si="11"/>
        <v>H</v>
      </c>
      <c r="R22" s="431" t="str">
        <f t="shared" si="12"/>
        <v>H</v>
      </c>
      <c r="S22" s="431" t="str">
        <f t="shared" si="13"/>
        <v>H</v>
      </c>
    </row>
    <row r="23">
      <c r="A23" s="424" t="s">
        <v>261</v>
      </c>
      <c r="B23" s="425">
        <v>50.0</v>
      </c>
      <c r="C23" s="426">
        <v>9.6</v>
      </c>
      <c r="D23" s="425" t="str">
        <f>IFERROR(__xludf.DUMMYFUNCTION("if(ISBLANK(A23),"""",GOOGLEFINANCE(A23,""NAME""))"),"Orient Green Power Company Ltd")</f>
        <v>Orient Green Power Company Ltd</v>
      </c>
      <c r="E23" s="427" t="str">
        <f t="shared" si="1"/>
        <v>Small Cap</v>
      </c>
      <c r="F23" s="426" t="str">
        <f t="shared" si="2"/>
        <v>||||</v>
      </c>
      <c r="G23" s="32">
        <f>IFERROR(__xludf.DUMMYFUNCTION("if(ISBLANK(A23),"""",googlefinance(A23,""Marketcap"")/10000000)"),1204.6799788)</f>
        <v>1204.679979</v>
      </c>
      <c r="H23" s="426">
        <f>IFERROR(__xludf.DUMMYFUNCTION("if(isblank(A23),"""",Googlefinance(A23, ""Price""))"),10.27)</f>
        <v>10.27</v>
      </c>
      <c r="I23" s="426">
        <f t="shared" si="3"/>
        <v>33.5</v>
      </c>
      <c r="J23" s="428">
        <f t="shared" si="4"/>
        <v>0.06979166667</v>
      </c>
      <c r="K23" s="429" t="str">
        <f t="shared" si="5"/>
        <v>10000</v>
      </c>
      <c r="L23" s="429">
        <f t="shared" si="6"/>
        <v>-9950</v>
      </c>
      <c r="M23" s="429" t="str">
        <f t="shared" si="7"/>
        <v>Not Met</v>
      </c>
      <c r="N23" s="430">
        <f t="shared" si="8"/>
        <v>1000</v>
      </c>
      <c r="O23" s="430" t="str">
        <f t="shared" si="9"/>
        <v>Not Met</v>
      </c>
      <c r="P23" s="431" t="str">
        <f t="shared" si="10"/>
        <v>H</v>
      </c>
      <c r="Q23" s="431" t="str">
        <f t="shared" si="11"/>
        <v>H</v>
      </c>
      <c r="R23" s="431" t="str">
        <f t="shared" si="12"/>
        <v>H</v>
      </c>
      <c r="S23" s="431" t="str">
        <f t="shared" si="13"/>
        <v>H</v>
      </c>
    </row>
    <row r="24">
      <c r="A24" s="424" t="s">
        <v>109</v>
      </c>
      <c r="B24" s="425">
        <v>880.0</v>
      </c>
      <c r="C24" s="426">
        <v>10.654545454545454</v>
      </c>
      <c r="D24" s="425" t="str">
        <f>IFERROR(__xludf.DUMMYFUNCTION("if(ISBLANK(A24),"""",GOOGLEFINANCE(A24,""NAME""))"),"GVK Power &amp; Infrastructure Ltd")</f>
        <v>GVK Power &amp; Infrastructure Ltd</v>
      </c>
      <c r="E24" s="427" t="str">
        <f t="shared" si="1"/>
        <v>Small Cap</v>
      </c>
      <c r="F24" s="426" t="str">
        <f t="shared" si="2"/>
        <v>||||</v>
      </c>
      <c r="G24" s="32">
        <f>IFERROR(__xludf.DUMMYFUNCTION("if(ISBLANK(A24),"""",googlefinance(A24,""Marketcap"")/10000000)"),412.2669829)</f>
        <v>412.2669829</v>
      </c>
      <c r="H24" s="426">
        <f>IFERROR(__xludf.DUMMYFUNCTION("if(isblank(A24),"""",Googlefinance(A24, ""Price""))"),2.61)</f>
        <v>2.61</v>
      </c>
      <c r="I24" s="426">
        <f t="shared" si="3"/>
        <v>-7079.2</v>
      </c>
      <c r="J24" s="428">
        <f t="shared" si="4"/>
        <v>-0.7550341297</v>
      </c>
      <c r="K24" s="429" t="str">
        <f t="shared" si="5"/>
        <v>10000</v>
      </c>
      <c r="L24" s="429">
        <f t="shared" si="6"/>
        <v>-9120</v>
      </c>
      <c r="M24" s="429" t="str">
        <f t="shared" si="7"/>
        <v>Not Met</v>
      </c>
      <c r="N24" s="430">
        <f t="shared" si="8"/>
        <v>1000</v>
      </c>
      <c r="O24" s="430" t="str">
        <f t="shared" si="9"/>
        <v>Not Met</v>
      </c>
      <c r="P24" s="431" t="str">
        <f t="shared" si="10"/>
        <v>B</v>
      </c>
      <c r="Q24" s="431" t="str">
        <f t="shared" si="11"/>
        <v>B</v>
      </c>
      <c r="R24" s="431" t="str">
        <f t="shared" si="12"/>
        <v>B</v>
      </c>
      <c r="S24" s="431" t="str">
        <f t="shared" si="13"/>
        <v>B</v>
      </c>
    </row>
    <row r="25">
      <c r="A25" s="424" t="s">
        <v>110</v>
      </c>
      <c r="B25" s="425">
        <v>2.0</v>
      </c>
      <c r="C25" s="426">
        <v>1258.0</v>
      </c>
      <c r="D25" s="425" t="str">
        <f>IFERROR(__xludf.DUMMYFUNCTION("if(ISBLANK(A25),"""",GOOGLEFINANCE(A25,""NAME""))"),"Happiest Minds Technologies Ltd")</f>
        <v>Happiest Minds Technologies Ltd</v>
      </c>
      <c r="E25" s="427" t="str">
        <f t="shared" si="1"/>
        <v>Small Cap</v>
      </c>
      <c r="F25" s="426" t="str">
        <f t="shared" si="2"/>
        <v>||||</v>
      </c>
      <c r="G25" s="32">
        <f>IFERROR(__xludf.DUMMYFUNCTION("if(ISBLANK(A25),"""",googlefinance(A25,""Marketcap"")/10000000)"),5251.653405)</f>
        <v>5251.653405</v>
      </c>
      <c r="H25" s="426">
        <f>IFERROR(__xludf.DUMMYFUNCTION("if(isblank(A25),"""",Googlefinance(A25, ""Price""))"),349.5)</f>
        <v>349.5</v>
      </c>
      <c r="I25" s="426">
        <f t="shared" si="3"/>
        <v>-1817</v>
      </c>
      <c r="J25" s="428">
        <f t="shared" si="4"/>
        <v>-0.7221780604</v>
      </c>
      <c r="K25" s="429" t="str">
        <f t="shared" si="5"/>
        <v>1000</v>
      </c>
      <c r="L25" s="429">
        <f t="shared" si="6"/>
        <v>-998</v>
      </c>
      <c r="M25" s="429" t="str">
        <f t="shared" si="7"/>
        <v>Not Met</v>
      </c>
      <c r="N25" s="430">
        <f t="shared" si="8"/>
        <v>10000</v>
      </c>
      <c r="O25" s="430" t="str">
        <f t="shared" si="9"/>
        <v>Not Met</v>
      </c>
      <c r="P25" s="431" t="str">
        <f t="shared" si="10"/>
        <v>B</v>
      </c>
      <c r="Q25" s="431" t="str">
        <f t="shared" si="11"/>
        <v>B</v>
      </c>
      <c r="R25" s="431" t="str">
        <f t="shared" si="12"/>
        <v>B</v>
      </c>
      <c r="S25" s="431" t="str">
        <f t="shared" si="13"/>
        <v>B</v>
      </c>
    </row>
    <row r="26">
      <c r="A26" s="424" t="s">
        <v>111</v>
      </c>
      <c r="B26" s="425">
        <v>3.0</v>
      </c>
      <c r="C26" s="426">
        <v>1226.0666666666666</v>
      </c>
      <c r="D26" s="425" t="str">
        <f>IFERROR(__xludf.DUMMYFUNCTION("if(ISBLANK(A26),"""",GOOGLEFINANCE(A26,""NAME""))"),"HCL Technologies Ltd")</f>
        <v>HCL Technologies Ltd</v>
      </c>
      <c r="E26" s="427" t="str">
        <f t="shared" si="1"/>
        <v>Large Cap</v>
      </c>
      <c r="F26" s="426" t="str">
        <f t="shared" si="2"/>
        <v>||</v>
      </c>
      <c r="G26" s="32">
        <f>IFERROR(__xludf.DUMMYFUNCTION("if(ISBLANK(A26),"""",googlefinance(A26,""Marketcap"")/10000000)"),316574.622)</f>
        <v>316574.622</v>
      </c>
      <c r="H26" s="426">
        <f>IFERROR(__xludf.DUMMYFUNCTION("if(isblank(A26),"""",Googlefinance(A26, ""Price""))"),1170.0)</f>
        <v>1170</v>
      </c>
      <c r="I26" s="426">
        <f t="shared" si="3"/>
        <v>-168.2</v>
      </c>
      <c r="J26" s="428">
        <f t="shared" si="4"/>
        <v>-0.04572888913</v>
      </c>
      <c r="K26" s="429" t="str">
        <f t="shared" si="5"/>
        <v>500</v>
      </c>
      <c r="L26" s="429">
        <f t="shared" si="6"/>
        <v>-497</v>
      </c>
      <c r="M26" s="429" t="str">
        <f t="shared" si="7"/>
        <v>Not Met</v>
      </c>
      <c r="N26" s="430">
        <f t="shared" si="8"/>
        <v>20000</v>
      </c>
      <c r="O26" s="430" t="str">
        <f t="shared" si="9"/>
        <v>Not Met</v>
      </c>
      <c r="P26" s="431" t="str">
        <f t="shared" si="10"/>
        <v>H</v>
      </c>
      <c r="Q26" s="431" t="str">
        <f t="shared" si="11"/>
        <v>H</v>
      </c>
      <c r="R26" s="431" t="str">
        <f t="shared" si="12"/>
        <v>H</v>
      </c>
      <c r="S26" s="431" t="str">
        <f t="shared" si="13"/>
        <v>H</v>
      </c>
    </row>
    <row r="27">
      <c r="A27" s="424" t="s">
        <v>113</v>
      </c>
      <c r="B27" s="425">
        <v>2.0</v>
      </c>
      <c r="C27" s="426">
        <v>1461.37</v>
      </c>
      <c r="D27" s="425" t="str">
        <f>IFERROR(__xludf.DUMMYFUNCTION("if(ISBLANK(A27),"""",GOOGLEFINANCE(A27,""NAME""))"),"HDFC Bank Ltd")</f>
        <v>HDFC Bank Ltd</v>
      </c>
      <c r="E27" s="427" t="str">
        <f t="shared" si="1"/>
        <v>Mid Cap</v>
      </c>
      <c r="F27" s="426" t="str">
        <f t="shared" si="2"/>
        <v>|||</v>
      </c>
      <c r="G27" s="32">
        <f>IFERROR(__xludf.DUMMYFUNCTION("if(ISBLANK(A27),"""",googlefinance(A27,""Marketcap"")/10000000)"),13727.1521463)</f>
        <v>13727.15215</v>
      </c>
      <c r="H27" s="426">
        <f>IFERROR(__xludf.DUMMYFUNCTION("if(isblank(A27),"""",Googlefinance(A27, ""Price""))"),827.5)</f>
        <v>827.5</v>
      </c>
      <c r="I27" s="426">
        <f t="shared" si="3"/>
        <v>-1267.74</v>
      </c>
      <c r="J27" s="428">
        <f t="shared" si="4"/>
        <v>-0.4337505218</v>
      </c>
      <c r="K27" s="429" t="str">
        <f t="shared" si="5"/>
        <v>1000</v>
      </c>
      <c r="L27" s="429">
        <f t="shared" si="6"/>
        <v>-998</v>
      </c>
      <c r="M27" s="429" t="str">
        <f t="shared" si="7"/>
        <v>Not Met</v>
      </c>
      <c r="N27" s="430">
        <f t="shared" si="8"/>
        <v>10000</v>
      </c>
      <c r="O27" s="430" t="str">
        <f t="shared" si="9"/>
        <v>Not Met</v>
      </c>
      <c r="P27" s="431" t="str">
        <f t="shared" si="10"/>
        <v>B</v>
      </c>
      <c r="Q27" s="431" t="str">
        <f t="shared" si="11"/>
        <v>B</v>
      </c>
      <c r="R27" s="431" t="str">
        <f t="shared" si="12"/>
        <v>H</v>
      </c>
      <c r="S27" s="431" t="str">
        <f t="shared" si="13"/>
        <v>H</v>
      </c>
    </row>
    <row r="28">
      <c r="A28" s="424" t="s">
        <v>114</v>
      </c>
      <c r="B28" s="425">
        <v>6.0</v>
      </c>
      <c r="C28" s="426">
        <v>585.9833333333333</v>
      </c>
      <c r="D28" s="425" t="str">
        <f>IFERROR(__xludf.DUMMYFUNCTION("if(ISBLANK(A28),"""",GOOGLEFINANCE(A28,""NAME""))"),"HDFC Life Insurance Company Ltd")</f>
        <v>HDFC Life Insurance Company Ltd</v>
      </c>
      <c r="E28" s="427" t="str">
        <f t="shared" si="1"/>
        <v>Large Cap</v>
      </c>
      <c r="F28" s="426" t="str">
        <f t="shared" si="2"/>
        <v>||</v>
      </c>
      <c r="G28" s="32">
        <f>IFERROR(__xludf.DUMMYFUNCTION("if(ISBLANK(A28),"""",googlefinance(A28,""Marketcap"")/10000000)"),124397.577125)</f>
        <v>124397.5771</v>
      </c>
      <c r="H28" s="426">
        <f>IFERROR(__xludf.DUMMYFUNCTION("if(isblank(A28),"""",Googlefinance(A28, ""Price""))"),572.75)</f>
        <v>572.75</v>
      </c>
      <c r="I28" s="426">
        <f t="shared" si="3"/>
        <v>-79.4</v>
      </c>
      <c r="J28" s="428">
        <f t="shared" si="4"/>
        <v>-0.02258312239</v>
      </c>
      <c r="K28" s="429" t="str">
        <f t="shared" si="5"/>
        <v>1000</v>
      </c>
      <c r="L28" s="429">
        <f t="shared" si="6"/>
        <v>-994</v>
      </c>
      <c r="M28" s="429" t="str">
        <f t="shared" si="7"/>
        <v>Not Met</v>
      </c>
      <c r="N28" s="430">
        <f t="shared" si="8"/>
        <v>10000</v>
      </c>
      <c r="O28" s="430" t="str">
        <f t="shared" si="9"/>
        <v>Not Met</v>
      </c>
      <c r="P28" s="431" t="str">
        <f t="shared" si="10"/>
        <v>H</v>
      </c>
      <c r="Q28" s="431" t="str">
        <f t="shared" si="11"/>
        <v>H</v>
      </c>
      <c r="R28" s="431" t="str">
        <f t="shared" si="12"/>
        <v>H</v>
      </c>
      <c r="S28" s="431" t="str">
        <f t="shared" si="13"/>
        <v>H</v>
      </c>
    </row>
    <row r="29">
      <c r="A29" s="424" t="s">
        <v>115</v>
      </c>
      <c r="B29" s="425">
        <v>3.0</v>
      </c>
      <c r="C29" s="426">
        <v>2372.1</v>
      </c>
      <c r="D29" s="425" t="str">
        <f>IFERROR(__xludf.DUMMYFUNCTION("if(ISBLANK(A29),"""",GOOGLEFINANCE(A29,""NAME""))"),"Hindustan Unilever Ltd")</f>
        <v>Hindustan Unilever Ltd</v>
      </c>
      <c r="E29" s="427" t="str">
        <f t="shared" si="1"/>
        <v>Large Cap</v>
      </c>
      <c r="F29" s="426" t="str">
        <f t="shared" si="2"/>
        <v>||</v>
      </c>
      <c r="G29" s="32">
        <f>IFERROR(__xludf.DUMMYFUNCTION("if(ISBLANK(A29),"""",googlefinance(A29,""Marketcap"")/10000000)"),519039.3151724)</f>
        <v>519039.3152</v>
      </c>
      <c r="H29" s="426">
        <f>IFERROR(__xludf.DUMMYFUNCTION("if(isblank(A29),"""",Googlefinance(A29, ""Price""))"),2203.1)</f>
        <v>2203.1</v>
      </c>
      <c r="I29" s="426">
        <f t="shared" si="3"/>
        <v>-507</v>
      </c>
      <c r="J29" s="428">
        <f t="shared" si="4"/>
        <v>-0.0712448885</v>
      </c>
      <c r="K29" s="429" t="str">
        <f t="shared" si="5"/>
        <v>500</v>
      </c>
      <c r="L29" s="429">
        <f t="shared" si="6"/>
        <v>-497</v>
      </c>
      <c r="M29" s="429" t="str">
        <f t="shared" si="7"/>
        <v>Not Met</v>
      </c>
      <c r="N29" s="430">
        <f t="shared" si="8"/>
        <v>20000</v>
      </c>
      <c r="O29" s="430" t="str">
        <f t="shared" si="9"/>
        <v>Not Met</v>
      </c>
      <c r="P29" s="431" t="str">
        <f t="shared" si="10"/>
        <v>H</v>
      </c>
      <c r="Q29" s="431" t="str">
        <f t="shared" si="11"/>
        <v>H</v>
      </c>
      <c r="R29" s="431" t="str">
        <f t="shared" si="12"/>
        <v>H</v>
      </c>
      <c r="S29" s="431" t="str">
        <f t="shared" si="13"/>
        <v>H</v>
      </c>
    </row>
    <row r="30">
      <c r="A30" s="425" t="s">
        <v>116</v>
      </c>
      <c r="B30" s="425">
        <v>10.0</v>
      </c>
      <c r="C30" s="426">
        <v>519.9300000000001</v>
      </c>
      <c r="D30" s="425" t="str">
        <f>IFERROR(__xludf.DUMMYFUNCTION("if(ISBLANK(A30),"""",GOOGLEFINANCE(A30,""NAME""))"),"HLE Glascoat Ltd")</f>
        <v>HLE Glascoat Ltd</v>
      </c>
      <c r="E30" s="427" t="str">
        <f t="shared" si="1"/>
        <v>Small Cap</v>
      </c>
      <c r="F30" s="426" t="str">
        <f t="shared" si="2"/>
        <v>||||</v>
      </c>
      <c r="G30" s="32">
        <f>IFERROR(__xludf.DUMMYFUNCTION("if(ISBLANK(A30),"""",googlefinance(A30,""Marketcap"")/10000000)"),2805.971496)</f>
        <v>2805.971496</v>
      </c>
      <c r="H30" s="426">
        <f>IFERROR(__xludf.DUMMYFUNCTION("if(isblank(A30),"""",Googlefinance(A30, ""Price""))"),404.0)</f>
        <v>404</v>
      </c>
      <c r="I30" s="426">
        <f t="shared" si="3"/>
        <v>-1159.3</v>
      </c>
      <c r="J30" s="428">
        <f t="shared" si="4"/>
        <v>-0.2229723232</v>
      </c>
      <c r="K30" s="429" t="str">
        <f t="shared" si="5"/>
        <v>1000</v>
      </c>
      <c r="L30" s="429">
        <f t="shared" si="6"/>
        <v>-990</v>
      </c>
      <c r="M30" s="429" t="str">
        <f t="shared" si="7"/>
        <v>Not Met</v>
      </c>
      <c r="N30" s="430">
        <f t="shared" si="8"/>
        <v>10000</v>
      </c>
      <c r="O30" s="430" t="str">
        <f t="shared" si="9"/>
        <v>Not Met</v>
      </c>
      <c r="P30" s="431" t="str">
        <f t="shared" si="10"/>
        <v>B</v>
      </c>
      <c r="Q30" s="431" t="str">
        <f t="shared" si="11"/>
        <v>H</v>
      </c>
      <c r="R30" s="431" t="str">
        <f t="shared" si="12"/>
        <v>H</v>
      </c>
      <c r="S30" s="431" t="str">
        <f t="shared" si="13"/>
        <v>H</v>
      </c>
    </row>
    <row r="31">
      <c r="A31" s="425" t="s">
        <v>117</v>
      </c>
      <c r="B31" s="425">
        <v>10.0</v>
      </c>
      <c r="C31" s="426">
        <v>408.2</v>
      </c>
      <c r="D31" s="425" t="str">
        <f>IFERROR(__xludf.DUMMYFUNCTION("if(ISBLANK(A31),"""",GOOGLEFINANCE(A31,""NAME""))"),"Hindustan Foods Ltd(NDA)")</f>
        <v>Hindustan Foods Ltd(NDA)</v>
      </c>
      <c r="E31" s="427" t="str">
        <f t="shared" si="1"/>
        <v>Small Cap</v>
      </c>
      <c r="F31" s="426" t="str">
        <f t="shared" si="2"/>
        <v>||||</v>
      </c>
      <c r="G31" s="32">
        <f>IFERROR(__xludf.DUMMYFUNCTION("if(ISBLANK(A31),"""",googlefinance(A31,""Marketcap"")/10000000)"),6542.7804)</f>
        <v>6542.7804</v>
      </c>
      <c r="H31" s="426">
        <f>IFERROR(__xludf.DUMMYFUNCTION("if(isblank(A31),"""",Googlefinance(A31, ""Price""))"),540.0)</f>
        <v>540</v>
      </c>
      <c r="I31" s="426">
        <f t="shared" si="3"/>
        <v>1318</v>
      </c>
      <c r="J31" s="428">
        <f t="shared" si="4"/>
        <v>0.3228809407</v>
      </c>
      <c r="K31" s="429" t="str">
        <f t="shared" si="5"/>
        <v>1000</v>
      </c>
      <c r="L31" s="429">
        <f t="shared" si="6"/>
        <v>-990</v>
      </c>
      <c r="M31" s="429" t="str">
        <f t="shared" si="7"/>
        <v>Not Met</v>
      </c>
      <c r="N31" s="430">
        <f t="shared" si="8"/>
        <v>10000</v>
      </c>
      <c r="O31" s="430" t="str">
        <f t="shared" si="9"/>
        <v>Not Met</v>
      </c>
      <c r="P31" s="431" t="str">
        <f t="shared" si="10"/>
        <v>H</v>
      </c>
      <c r="Q31" s="431" t="str">
        <f t="shared" si="11"/>
        <v>H</v>
      </c>
      <c r="R31" s="431" t="str">
        <f t="shared" si="12"/>
        <v>H</v>
      </c>
      <c r="S31" s="431" t="str">
        <f t="shared" si="13"/>
        <v>H</v>
      </c>
    </row>
    <row r="32">
      <c r="A32" s="425" t="s">
        <v>119</v>
      </c>
      <c r="B32" s="425">
        <v>3.0</v>
      </c>
      <c r="C32" s="426">
        <v>267.6667</v>
      </c>
      <c r="D32" s="425" t="str">
        <f>IFERROR(__xludf.DUMMYFUNCTION("if(ISBLANK(A32),"""",GOOGLEFINANCE(A32,""NAME""))"),"Indian Energy Exchange Ltd")</f>
        <v>Indian Energy Exchange Ltd</v>
      </c>
      <c r="E32" s="427" t="str">
        <f t="shared" si="1"/>
        <v>Mid Cap</v>
      </c>
      <c r="F32" s="426" t="str">
        <f t="shared" si="2"/>
        <v>|||</v>
      </c>
      <c r="G32" s="32">
        <f>IFERROR(__xludf.DUMMYFUNCTION("if(ISBLANK(A32),"""",googlefinance(A32,""Marketcap"")/10000000)"),10891.223141)</f>
        <v>10891.22314</v>
      </c>
      <c r="H32" s="426">
        <f>IFERROR(__xludf.DUMMYFUNCTION("if(isblank(A32),"""",Googlefinance(A32, ""Price""))"),122.44)</f>
        <v>122.44</v>
      </c>
      <c r="I32" s="426">
        <f t="shared" si="3"/>
        <v>-435.6801</v>
      </c>
      <c r="J32" s="428">
        <f t="shared" si="4"/>
        <v>-0.5425654368</v>
      </c>
      <c r="K32" s="429" t="str">
        <f t="shared" si="5"/>
        <v>1000</v>
      </c>
      <c r="L32" s="429">
        <f t="shared" si="6"/>
        <v>-997</v>
      </c>
      <c r="M32" s="429" t="str">
        <f t="shared" si="7"/>
        <v>Not Met</v>
      </c>
      <c r="N32" s="430">
        <f t="shared" si="8"/>
        <v>10000</v>
      </c>
      <c r="O32" s="430" t="str">
        <f t="shared" si="9"/>
        <v>Not Met</v>
      </c>
      <c r="P32" s="431" t="str">
        <f t="shared" si="10"/>
        <v>B</v>
      </c>
      <c r="Q32" s="431" t="str">
        <f t="shared" si="11"/>
        <v>B</v>
      </c>
      <c r="R32" s="431" t="str">
        <f t="shared" si="12"/>
        <v>B</v>
      </c>
      <c r="S32" s="431" t="str">
        <f t="shared" si="13"/>
        <v>H</v>
      </c>
    </row>
    <row r="33">
      <c r="A33" s="425" t="s">
        <v>120</v>
      </c>
      <c r="B33" s="425">
        <v>6.0</v>
      </c>
      <c r="C33" s="426">
        <v>1386.825</v>
      </c>
      <c r="D33" s="425" t="str">
        <f>IFERROR(__xludf.DUMMYFUNCTION("if(ISBLANK(A33),"""",GOOGLEFINANCE(A33,""NAME""))"),"Infosys Ltd")</f>
        <v>Infosys Ltd</v>
      </c>
      <c r="E33" s="427" t="str">
        <f t="shared" si="1"/>
        <v>Small Cap</v>
      </c>
      <c r="F33" s="426" t="str">
        <f t="shared" si="2"/>
        <v>||||</v>
      </c>
      <c r="G33" s="32">
        <f>IFERROR(__xludf.DUMMYFUNCTION("if(ISBLANK(A33),"""",googlefinance(A33,""Marketcap"")/10000000)"),4537.1518373)</f>
        <v>4537.151837</v>
      </c>
      <c r="H33" s="426">
        <f>IFERROR(__xludf.DUMMYFUNCTION("if(isblank(A33),"""",Googlefinance(A33, ""Price""))"),1071.9)</f>
        <v>1071.9</v>
      </c>
      <c r="I33" s="426">
        <f t="shared" si="3"/>
        <v>-1889.55</v>
      </c>
      <c r="J33" s="428">
        <f t="shared" si="4"/>
        <v>-0.227083446</v>
      </c>
      <c r="K33" s="429" t="str">
        <f t="shared" si="5"/>
        <v>500</v>
      </c>
      <c r="L33" s="429">
        <f t="shared" si="6"/>
        <v>-494</v>
      </c>
      <c r="M33" s="429" t="str">
        <f t="shared" si="7"/>
        <v>Not Met</v>
      </c>
      <c r="N33" s="430">
        <f t="shared" si="8"/>
        <v>20000</v>
      </c>
      <c r="O33" s="430" t="str">
        <f t="shared" si="9"/>
        <v>Not Met</v>
      </c>
      <c r="P33" s="431" t="str">
        <f t="shared" si="10"/>
        <v>B</v>
      </c>
      <c r="Q33" s="431" t="str">
        <f t="shared" si="11"/>
        <v>H</v>
      </c>
      <c r="R33" s="431" t="str">
        <f t="shared" si="12"/>
        <v>H</v>
      </c>
      <c r="S33" s="431" t="str">
        <f t="shared" si="13"/>
        <v>H</v>
      </c>
    </row>
    <row r="34">
      <c r="A34" s="436" t="s">
        <v>121</v>
      </c>
      <c r="B34" s="436">
        <v>3.0</v>
      </c>
      <c r="C34" s="437">
        <v>252.0</v>
      </c>
      <c r="D34" s="425" t="str">
        <f>IFERROR(__xludf.DUMMYFUNCTION("if(ISBLANK(A34),"""",GOOGLEFINANCE(A34,""NAME""))"),"India Pesticides Ltd")</f>
        <v>India Pesticides Ltd</v>
      </c>
      <c r="E34" s="427" t="str">
        <f t="shared" si="1"/>
        <v>Small Cap</v>
      </c>
      <c r="F34" s="426" t="str">
        <f t="shared" si="2"/>
        <v>||||</v>
      </c>
      <c r="G34" s="32">
        <f>IFERROR(__xludf.DUMMYFUNCTION("if(ISBLANK(A34),"""",googlefinance(A34,""Marketcap"")/10000000)"),1837.5610542)</f>
        <v>1837.561054</v>
      </c>
      <c r="H34" s="426">
        <f>IFERROR(__xludf.DUMMYFUNCTION("if(isblank(A34),"""",Googlefinance(A34, ""Price""))"),158.5)</f>
        <v>158.5</v>
      </c>
      <c r="I34" s="426">
        <f t="shared" si="3"/>
        <v>-280.5</v>
      </c>
      <c r="J34" s="428">
        <f t="shared" si="4"/>
        <v>-0.371031746</v>
      </c>
      <c r="K34" s="429" t="str">
        <f t="shared" si="5"/>
        <v>1000</v>
      </c>
      <c r="L34" s="429">
        <f t="shared" si="6"/>
        <v>-997</v>
      </c>
      <c r="M34" s="429" t="str">
        <f t="shared" si="7"/>
        <v>Not Met</v>
      </c>
      <c r="N34" s="430">
        <f t="shared" si="8"/>
        <v>10000</v>
      </c>
      <c r="O34" s="430" t="str">
        <f t="shared" si="9"/>
        <v>Not Met</v>
      </c>
      <c r="P34" s="431" t="str">
        <f t="shared" si="10"/>
        <v>B</v>
      </c>
      <c r="Q34" s="431" t="str">
        <f t="shared" si="11"/>
        <v>B</v>
      </c>
      <c r="R34" s="431" t="str">
        <f t="shared" si="12"/>
        <v>H</v>
      </c>
      <c r="S34" s="431" t="str">
        <f t="shared" si="13"/>
        <v>H</v>
      </c>
    </row>
    <row r="35">
      <c r="A35" s="425" t="s">
        <v>122</v>
      </c>
      <c r="B35" s="425">
        <v>90.0</v>
      </c>
      <c r="C35" s="426">
        <v>175.95555555555555</v>
      </c>
      <c r="D35" s="425" t="str">
        <f>IFERROR(__xludf.DUMMYFUNCTION("if(ISBLANK(A35),"""",GOOGLEFINANCE(A35,""NAME""))"),"Ircon International Ltd")</f>
        <v>Ircon International Ltd</v>
      </c>
      <c r="E35" s="427" t="str">
        <f t="shared" si="1"/>
        <v>Mid Cap</v>
      </c>
      <c r="F35" s="426" t="str">
        <f t="shared" si="2"/>
        <v>|||</v>
      </c>
      <c r="G35" s="32">
        <f>IFERROR(__xludf.DUMMYFUNCTION("if(ISBLANK(A35),"""",googlefinance(A35,""Marketcap"")/10000000)"),12524.4403813)</f>
        <v>12524.44038</v>
      </c>
      <c r="H35" s="426">
        <f>IFERROR(__xludf.DUMMYFUNCTION("if(isblank(A35),"""",Googlefinance(A35, ""Price""))"),133.03)</f>
        <v>133.03</v>
      </c>
      <c r="I35" s="426">
        <f t="shared" si="3"/>
        <v>-3863.3</v>
      </c>
      <c r="J35" s="428">
        <f t="shared" si="4"/>
        <v>-0.2439568073</v>
      </c>
      <c r="K35" s="429" t="str">
        <f t="shared" si="5"/>
        <v>1000</v>
      </c>
      <c r="L35" s="429">
        <f t="shared" si="6"/>
        <v>-910</v>
      </c>
      <c r="M35" s="429" t="str">
        <f t="shared" si="7"/>
        <v>Not Met</v>
      </c>
      <c r="N35" s="430">
        <f t="shared" si="8"/>
        <v>10000</v>
      </c>
      <c r="O35" s="430" t="str">
        <f t="shared" si="9"/>
        <v>Not Met</v>
      </c>
      <c r="P35" s="431" t="str">
        <f t="shared" si="10"/>
        <v>B</v>
      </c>
      <c r="Q35" s="431" t="str">
        <f t="shared" si="11"/>
        <v>H</v>
      </c>
      <c r="R35" s="431" t="str">
        <f t="shared" si="12"/>
        <v>H</v>
      </c>
      <c r="S35" s="431" t="str">
        <f t="shared" si="13"/>
        <v>H</v>
      </c>
    </row>
    <row r="36">
      <c r="A36" s="425" t="s">
        <v>123</v>
      </c>
      <c r="B36" s="425">
        <v>12.0</v>
      </c>
      <c r="C36" s="426">
        <v>873.6333333333333</v>
      </c>
      <c r="D36" s="425" t="str">
        <f>IFERROR(__xludf.DUMMYFUNCTION("if(ISBLANK(A36),"""",GOOGLEFINANCE(A36,""NAME""))"),"Indian Railway Ctrng nd Trsm Corp Ltd")</f>
        <v>Indian Railway Ctrng nd Trsm Corp Ltd</v>
      </c>
      <c r="E36" s="427" t="str">
        <f t="shared" si="1"/>
        <v>Large Cap</v>
      </c>
      <c r="F36" s="426" t="str">
        <f t="shared" si="2"/>
        <v>||</v>
      </c>
      <c r="G36" s="32">
        <f>IFERROR(__xludf.DUMMYFUNCTION("if(ISBLANK(A36),"""",googlefinance(A36,""Marketcap"")/10000000)"),40061.4856208)</f>
        <v>40061.48562</v>
      </c>
      <c r="H36" s="426">
        <f>IFERROR(__xludf.DUMMYFUNCTION("if(isblank(A36),"""",Googlefinance(A36, ""Price""))"),501.65)</f>
        <v>501.65</v>
      </c>
      <c r="I36" s="426">
        <f t="shared" si="3"/>
        <v>-4463.8</v>
      </c>
      <c r="J36" s="428">
        <f t="shared" si="4"/>
        <v>-0.4257888512</v>
      </c>
      <c r="K36" s="429" t="str">
        <f t="shared" si="5"/>
        <v>1000</v>
      </c>
      <c r="L36" s="429">
        <f t="shared" si="6"/>
        <v>-988</v>
      </c>
      <c r="M36" s="429" t="str">
        <f t="shared" si="7"/>
        <v>Not Met</v>
      </c>
      <c r="N36" s="430">
        <f t="shared" si="8"/>
        <v>10000</v>
      </c>
      <c r="O36" s="430" t="str">
        <f t="shared" si="9"/>
        <v>Not Met</v>
      </c>
      <c r="P36" s="431" t="str">
        <f t="shared" si="10"/>
        <v>B</v>
      </c>
      <c r="Q36" s="431" t="str">
        <f t="shared" si="11"/>
        <v>B</v>
      </c>
      <c r="R36" s="431" t="str">
        <f t="shared" si="12"/>
        <v>H</v>
      </c>
      <c r="S36" s="431" t="str">
        <f t="shared" si="13"/>
        <v>H</v>
      </c>
    </row>
    <row r="37">
      <c r="A37" s="425" t="s">
        <v>124</v>
      </c>
      <c r="B37" s="425">
        <v>330.0</v>
      </c>
      <c r="C37" s="426">
        <v>68.972</v>
      </c>
      <c r="D37" s="425" t="str">
        <f>IFERROR(__xludf.DUMMYFUNCTION("if(ISBLANK(A37),"""",GOOGLEFINANCE(A37,""NAME""))"),"Indian Railway Finance Corp Ltd")</f>
        <v>Indian Railway Finance Corp Ltd</v>
      </c>
      <c r="E37" s="427" t="str">
        <f t="shared" si="1"/>
        <v>Large Cap</v>
      </c>
      <c r="F37" s="426" t="str">
        <f t="shared" si="2"/>
        <v>||</v>
      </c>
      <c r="G37" s="32">
        <f>IFERROR(__xludf.DUMMYFUNCTION("if(ISBLANK(A37),"""",googlefinance(A37,""Marketcap"")/10000000)"),117593.1601603)</f>
        <v>117593.1602</v>
      </c>
      <c r="H37" s="426">
        <f>IFERROR(__xludf.DUMMYFUNCTION("if(isblank(A37),"""",Googlefinance(A37, ""Price""))"),89.9)</f>
        <v>89.9</v>
      </c>
      <c r="I37" s="426">
        <f t="shared" si="3"/>
        <v>6906.24</v>
      </c>
      <c r="J37" s="428">
        <f t="shared" si="4"/>
        <v>0.3034274778</v>
      </c>
      <c r="K37" s="429" t="str">
        <f t="shared" si="5"/>
        <v>10000</v>
      </c>
      <c r="L37" s="429">
        <f t="shared" si="6"/>
        <v>-9670</v>
      </c>
      <c r="M37" s="429" t="str">
        <f t="shared" si="7"/>
        <v>Not Met</v>
      </c>
      <c r="N37" s="430">
        <f t="shared" si="8"/>
        <v>1000</v>
      </c>
      <c r="O37" s="430" t="str">
        <f t="shared" si="9"/>
        <v>Not Met</v>
      </c>
      <c r="P37" s="431" t="str">
        <f t="shared" si="10"/>
        <v>H</v>
      </c>
      <c r="Q37" s="431" t="str">
        <f t="shared" si="11"/>
        <v>H</v>
      </c>
      <c r="R37" s="431" t="str">
        <f t="shared" si="12"/>
        <v>H</v>
      </c>
      <c r="S37" s="431" t="str">
        <f t="shared" si="13"/>
        <v>H</v>
      </c>
    </row>
    <row r="38">
      <c r="A38" s="425" t="s">
        <v>126</v>
      </c>
      <c r="B38" s="425">
        <v>1620.0</v>
      </c>
      <c r="C38" s="426">
        <v>344.25704938271605</v>
      </c>
      <c r="D38" s="425" t="str">
        <f>IFERROR(__xludf.DUMMYFUNCTION("if(ISBLANK(A38),"""",GOOGLEFINANCE(A38,""NAME""))"),"Jio Financial Services Ltd")</f>
        <v>Jio Financial Services Ltd</v>
      </c>
      <c r="E38" s="427" t="str">
        <f t="shared" si="1"/>
        <v>Large Cap</v>
      </c>
      <c r="F38" s="426" t="str">
        <f t="shared" si="2"/>
        <v>||</v>
      </c>
      <c r="G38" s="32">
        <f>IFERROR(__xludf.DUMMYFUNCTION("if(ISBLANK(A38),"""",googlefinance(A38,""Marketcap"")/10000000)"),154808.5606037)</f>
        <v>154808.5606</v>
      </c>
      <c r="H38" s="426">
        <f>IFERROR(__xludf.DUMMYFUNCTION("if(isblank(A38),"""",Googlefinance(A38, ""Price""))"),243.0)</f>
        <v>243</v>
      </c>
      <c r="I38" s="426">
        <f t="shared" si="3"/>
        <v>-164036.42</v>
      </c>
      <c r="J38" s="428">
        <f t="shared" si="4"/>
        <v>-0.2941321015</v>
      </c>
      <c r="K38" s="429" t="str">
        <f t="shared" si="5"/>
        <v>1000</v>
      </c>
      <c r="L38" s="429">
        <f t="shared" si="6"/>
        <v>620</v>
      </c>
      <c r="M38" s="429" t="str">
        <f t="shared" si="7"/>
        <v>Met</v>
      </c>
      <c r="N38" s="430">
        <f t="shared" si="8"/>
        <v>10000</v>
      </c>
      <c r="O38" s="430" t="str">
        <f t="shared" si="9"/>
        <v>Not Met</v>
      </c>
      <c r="P38" s="431" t="str">
        <f t="shared" si="10"/>
        <v>B</v>
      </c>
      <c r="Q38" s="431" t="str">
        <f t="shared" si="11"/>
        <v>H</v>
      </c>
      <c r="R38" s="431" t="str">
        <f t="shared" si="12"/>
        <v>H</v>
      </c>
      <c r="S38" s="431" t="str">
        <f t="shared" si="13"/>
        <v>H</v>
      </c>
    </row>
    <row r="39">
      <c r="A39" s="425" t="s">
        <v>127</v>
      </c>
      <c r="B39" s="425">
        <v>3.0</v>
      </c>
      <c r="C39" s="426">
        <v>451.0333333333333</v>
      </c>
      <c r="D39" s="425" t="str">
        <f>IFERROR(__xludf.DUMMYFUNCTION("if(ISBLANK(A39),"""",GOOGLEFINANCE(A39,""NAME""))"),"Jubilant FoodWorks Ltd")</f>
        <v>Jubilant FoodWorks Ltd</v>
      </c>
      <c r="E39" s="427" t="str">
        <f t="shared" si="1"/>
        <v>Mid Cap</v>
      </c>
      <c r="F39" s="426" t="str">
        <f t="shared" si="2"/>
        <v>|||</v>
      </c>
      <c r="G39" s="32">
        <f>IFERROR(__xludf.DUMMYFUNCTION("if(ISBLANK(A39),"""",googlefinance(A39,""Marketcap"")/10000000)"),29937.8209465)</f>
        <v>29937.82095</v>
      </c>
      <c r="H39" s="426">
        <f>IFERROR(__xludf.DUMMYFUNCTION("if(isblank(A39),"""",Googlefinance(A39, ""Price""))"),455.7)</f>
        <v>455.7</v>
      </c>
      <c r="I39" s="426">
        <f t="shared" si="3"/>
        <v>14</v>
      </c>
      <c r="J39" s="428">
        <f t="shared" si="4"/>
        <v>0.01034661148</v>
      </c>
      <c r="K39" s="429" t="str">
        <f t="shared" si="5"/>
        <v>1000</v>
      </c>
      <c r="L39" s="429">
        <f t="shared" si="6"/>
        <v>-997</v>
      </c>
      <c r="M39" s="429" t="str">
        <f t="shared" si="7"/>
        <v>Not Met</v>
      </c>
      <c r="N39" s="430">
        <f t="shared" si="8"/>
        <v>10000</v>
      </c>
      <c r="O39" s="430" t="str">
        <f t="shared" si="9"/>
        <v>Not Met</v>
      </c>
      <c r="P39" s="431" t="str">
        <f t="shared" si="10"/>
        <v>H</v>
      </c>
      <c r="Q39" s="431" t="str">
        <f t="shared" si="11"/>
        <v>H</v>
      </c>
      <c r="R39" s="431" t="str">
        <f t="shared" si="12"/>
        <v>H</v>
      </c>
      <c r="S39" s="431" t="str">
        <f t="shared" si="13"/>
        <v>H</v>
      </c>
    </row>
    <row r="40">
      <c r="A40" s="425" t="s">
        <v>128</v>
      </c>
      <c r="B40" s="425">
        <v>26.0</v>
      </c>
      <c r="C40" s="426">
        <v>515.8461615384615</v>
      </c>
      <c r="D40" s="425" t="str">
        <f>IFERROR(__xludf.DUMMYFUNCTION("if(ISBLANK(A40),"""",GOOGLEFINANCE(A40,""NAME""))"),"Latent View Analytics Ltd")</f>
        <v>Latent View Analytics Ltd</v>
      </c>
      <c r="E40" s="427" t="str">
        <f t="shared" si="1"/>
        <v>Small Cap</v>
      </c>
      <c r="F40" s="426" t="str">
        <f t="shared" si="2"/>
        <v>||||</v>
      </c>
      <c r="G40" s="32">
        <f>IFERROR(__xludf.DUMMYFUNCTION("if(ISBLANK(A40),"""",googlefinance(A40,""Marketcap"")/10000000)"),6232.3834456)</f>
        <v>6232.383446</v>
      </c>
      <c r="H40" s="426">
        <f>IFERROR(__xludf.DUMMYFUNCTION("if(isblank(A40),"""",Googlefinance(A40, ""Price""))"),301.8)</f>
        <v>301.8</v>
      </c>
      <c r="I40" s="426">
        <f t="shared" si="3"/>
        <v>-5565.2002</v>
      </c>
      <c r="J40" s="428">
        <f t="shared" si="4"/>
        <v>-0.4149418518</v>
      </c>
      <c r="K40" s="429" t="str">
        <f t="shared" si="5"/>
        <v>1000</v>
      </c>
      <c r="L40" s="429">
        <f t="shared" si="6"/>
        <v>-974</v>
      </c>
      <c r="M40" s="429" t="str">
        <f t="shared" si="7"/>
        <v>Not Met</v>
      </c>
      <c r="N40" s="430">
        <f t="shared" si="8"/>
        <v>10000</v>
      </c>
      <c r="O40" s="430" t="str">
        <f t="shared" si="9"/>
        <v>Not Met</v>
      </c>
      <c r="P40" s="431" t="str">
        <f t="shared" si="10"/>
        <v>B</v>
      </c>
      <c r="Q40" s="431" t="str">
        <f t="shared" si="11"/>
        <v>B</v>
      </c>
      <c r="R40" s="431" t="str">
        <f t="shared" si="12"/>
        <v>H</v>
      </c>
      <c r="S40" s="431" t="str">
        <f t="shared" si="13"/>
        <v>H</v>
      </c>
    </row>
    <row r="41">
      <c r="A41" s="424" t="s">
        <v>129</v>
      </c>
      <c r="B41" s="425">
        <v>9.0</v>
      </c>
      <c r="C41" s="426">
        <v>888.4277777777778</v>
      </c>
      <c r="D41" s="425" t="str">
        <f>IFERROR(__xludf.DUMMYFUNCTION("if(ISBLANK(A41),"""",GOOGLEFINANCE(A41,""NAME""))"),"Life Insurance Corporation of India")</f>
        <v>Life Insurance Corporation of India</v>
      </c>
      <c r="E41" s="427" t="str">
        <f t="shared" si="1"/>
        <v>Large Cap</v>
      </c>
      <c r="F41" s="426" t="str">
        <f t="shared" si="2"/>
        <v>||</v>
      </c>
      <c r="G41" s="32">
        <f>IFERROR(__xludf.DUMMYFUNCTION("if(ISBLANK(A41),"""",googlefinance(A41,""Marketcap"")/10000000)"),275436.5896613)</f>
        <v>275436.5897</v>
      </c>
      <c r="H41" s="426">
        <f>IFERROR(__xludf.DUMMYFUNCTION("if(isblank(A41),"""",Googlefinance(A41, ""Price""))"),435.5)</f>
        <v>435.5</v>
      </c>
      <c r="I41" s="426">
        <f t="shared" si="3"/>
        <v>-4076.35</v>
      </c>
      <c r="J41" s="428">
        <f t="shared" si="4"/>
        <v>-0.509808213</v>
      </c>
      <c r="K41" s="429" t="str">
        <f t="shared" si="5"/>
        <v>1000</v>
      </c>
      <c r="L41" s="429">
        <f t="shared" si="6"/>
        <v>-991</v>
      </c>
      <c r="M41" s="429" t="str">
        <f t="shared" si="7"/>
        <v>Not Met</v>
      </c>
      <c r="N41" s="430">
        <f t="shared" si="8"/>
        <v>10000</v>
      </c>
      <c r="O41" s="430" t="str">
        <f t="shared" si="9"/>
        <v>Not Met</v>
      </c>
      <c r="P41" s="431" t="str">
        <f t="shared" si="10"/>
        <v>B</v>
      </c>
      <c r="Q41" s="431" t="str">
        <f t="shared" si="11"/>
        <v>B</v>
      </c>
      <c r="R41" s="431" t="str">
        <f t="shared" si="12"/>
        <v>B</v>
      </c>
      <c r="S41" s="431" t="str">
        <f t="shared" si="13"/>
        <v>H</v>
      </c>
    </row>
    <row r="42">
      <c r="A42" s="436" t="s">
        <v>131</v>
      </c>
      <c r="B42" s="425">
        <v>3.0</v>
      </c>
      <c r="C42" s="426">
        <v>4451.366666666666</v>
      </c>
      <c r="D42" s="425" t="str">
        <f>IFERROR(__xludf.DUMMYFUNCTION("if(ISBLANK(A42),"""",GOOGLEFINANCE(A42,""NAME""))"),"L&amp;T Technology Services Ltd")</f>
        <v>L&amp;T Technology Services Ltd</v>
      </c>
      <c r="E42" s="427" t="str">
        <f t="shared" si="1"/>
        <v>Large Cap</v>
      </c>
      <c r="F42" s="426" t="str">
        <f t="shared" si="2"/>
        <v>||</v>
      </c>
      <c r="G42" s="32">
        <f>IFERROR(__xludf.DUMMYFUNCTION("if(ISBLANK(A42),"""",googlefinance(A42,""Marketcap"")/10000000)"),34344.9803)</f>
        <v>34344.9803</v>
      </c>
      <c r="H42" s="426">
        <f>IFERROR(__xludf.DUMMYFUNCTION("if(isblank(A42),"""",Googlefinance(A42, ""Price""))"),3238.0)</f>
        <v>3238</v>
      </c>
      <c r="I42" s="426">
        <f t="shared" si="3"/>
        <v>-3640.1</v>
      </c>
      <c r="J42" s="428">
        <f t="shared" si="4"/>
        <v>-0.2725829521</v>
      </c>
      <c r="K42" s="429" t="str">
        <f t="shared" si="5"/>
        <v>500</v>
      </c>
      <c r="L42" s="429">
        <f t="shared" si="6"/>
        <v>-497</v>
      </c>
      <c r="M42" s="429" t="str">
        <f t="shared" si="7"/>
        <v>Not Met</v>
      </c>
      <c r="N42" s="430">
        <f t="shared" si="8"/>
        <v>20000</v>
      </c>
      <c r="O42" s="430" t="str">
        <f t="shared" si="9"/>
        <v>Not Met</v>
      </c>
      <c r="P42" s="431" t="str">
        <f t="shared" si="10"/>
        <v>B</v>
      </c>
      <c r="Q42" s="431" t="str">
        <f t="shared" si="11"/>
        <v>H</v>
      </c>
      <c r="R42" s="431" t="str">
        <f t="shared" si="12"/>
        <v>H</v>
      </c>
      <c r="S42" s="431" t="str">
        <f t="shared" si="13"/>
        <v>H</v>
      </c>
    </row>
    <row r="43">
      <c r="A43" s="425" t="s">
        <v>208</v>
      </c>
      <c r="B43" s="425">
        <v>16.0</v>
      </c>
      <c r="C43" s="426">
        <v>18.9955</v>
      </c>
      <c r="D43" s="425" t="str">
        <f>IFERROR(__xludf.DUMMYFUNCTION("if(ISBLANK(A43),"""",GOOGLEFINANCE(A43,""NAME""))"),"Motherson Sumi Wiring India Ltd")</f>
        <v>Motherson Sumi Wiring India Ltd</v>
      </c>
      <c r="E43" s="427" t="str">
        <f t="shared" si="1"/>
        <v>Mid Cap</v>
      </c>
      <c r="F43" s="426" t="str">
        <f t="shared" si="2"/>
        <v>|||</v>
      </c>
      <c r="G43" s="32">
        <f>IFERROR(__xludf.DUMMYFUNCTION("if(ISBLANK(A43),"""",googlefinance(A43,""Marketcap"")/10000000)"),18254.7512077)</f>
        <v>18254.75121</v>
      </c>
      <c r="H43" s="426">
        <f>IFERROR(__xludf.DUMMYFUNCTION("if(isblank(A43),"""",Googlefinance(A43, ""Price""))"),41.35)</f>
        <v>41.35</v>
      </c>
      <c r="I43" s="426">
        <f t="shared" si="3"/>
        <v>357.672</v>
      </c>
      <c r="J43" s="428">
        <f t="shared" si="4"/>
        <v>1.176831355</v>
      </c>
      <c r="K43" s="429" t="str">
        <f t="shared" si="5"/>
        <v>10000</v>
      </c>
      <c r="L43" s="429">
        <f t="shared" si="6"/>
        <v>-9984</v>
      </c>
      <c r="M43" s="429" t="str">
        <f t="shared" si="7"/>
        <v>Not Met</v>
      </c>
      <c r="N43" s="430">
        <f t="shared" si="8"/>
        <v>1000</v>
      </c>
      <c r="O43" s="430" t="str">
        <f t="shared" si="9"/>
        <v>Not Met</v>
      </c>
      <c r="P43" s="431" t="str">
        <f t="shared" si="10"/>
        <v>H</v>
      </c>
      <c r="Q43" s="431" t="str">
        <f t="shared" si="11"/>
        <v>H</v>
      </c>
      <c r="R43" s="431" t="str">
        <f t="shared" si="12"/>
        <v>H</v>
      </c>
      <c r="S43" s="431" t="str">
        <f t="shared" si="13"/>
        <v>H</v>
      </c>
    </row>
    <row r="44">
      <c r="A44" s="425" t="s">
        <v>135</v>
      </c>
      <c r="B44" s="425">
        <v>3.0</v>
      </c>
      <c r="C44" s="426">
        <v>1889.8666666666668</v>
      </c>
      <c r="D44" s="425" t="str">
        <f>IFERROR(__xludf.DUMMYFUNCTION("if(ISBLANK(A44),"""",GOOGLEFINANCE(A44,""NAME""))"),"MTAR Technologies Ltd")</f>
        <v>MTAR Technologies Ltd</v>
      </c>
      <c r="E44" s="427" t="str">
        <f t="shared" si="1"/>
        <v>Mid Cap</v>
      </c>
      <c r="F44" s="426" t="str">
        <f t="shared" si="2"/>
        <v>|||</v>
      </c>
      <c r="G44" s="32">
        <f>IFERROR(__xludf.DUMMYFUNCTION("if(ISBLANK(A44),"""",googlefinance(A44,""Marketcap"")/10000000)"),21547.2100835)</f>
        <v>21547.21008</v>
      </c>
      <c r="H44" s="426">
        <f>IFERROR(__xludf.DUMMYFUNCTION("if(isblank(A44),"""",Googlefinance(A44, ""Price""))"),7000.0)</f>
        <v>7000</v>
      </c>
      <c r="I44" s="426">
        <f t="shared" si="3"/>
        <v>15330.4</v>
      </c>
      <c r="J44" s="428">
        <f t="shared" si="4"/>
        <v>2.703965006</v>
      </c>
      <c r="K44" s="429" t="str">
        <f t="shared" si="5"/>
        <v>500</v>
      </c>
      <c r="L44" s="429">
        <f t="shared" si="6"/>
        <v>-497</v>
      </c>
      <c r="M44" s="429" t="str">
        <f t="shared" si="7"/>
        <v>Not Met</v>
      </c>
      <c r="N44" s="430">
        <f t="shared" si="8"/>
        <v>20000</v>
      </c>
      <c r="O44" s="430" t="str">
        <f t="shared" si="9"/>
        <v>Not Met</v>
      </c>
      <c r="P44" s="431" t="str">
        <f t="shared" si="10"/>
        <v>H</v>
      </c>
      <c r="Q44" s="431" t="str">
        <f t="shared" si="11"/>
        <v>H</v>
      </c>
      <c r="R44" s="431" t="str">
        <f t="shared" si="12"/>
        <v>H</v>
      </c>
      <c r="S44" s="431" t="str">
        <f t="shared" si="13"/>
        <v>H</v>
      </c>
    </row>
    <row r="45">
      <c r="A45" s="425" t="s">
        <v>136</v>
      </c>
      <c r="B45" s="425">
        <v>12.0</v>
      </c>
      <c r="C45" s="426">
        <v>1202.4166666666667</v>
      </c>
      <c r="D45" s="425" t="str">
        <f>IFERROR(__xludf.DUMMYFUNCTION("if(ISBLANK(A45),"""",GOOGLEFINANCE(A45,""NAME""))"),"Muthoot Finance Ltd")</f>
        <v>Muthoot Finance Ltd</v>
      </c>
      <c r="E45" s="427" t="str">
        <f t="shared" si="1"/>
        <v>Large Cap</v>
      </c>
      <c r="F45" s="426" t="str">
        <f t="shared" si="2"/>
        <v>||</v>
      </c>
      <c r="G45" s="32">
        <f>IFERROR(__xludf.DUMMYFUNCTION("if(ISBLANK(A45),"""",googlefinance(A45,""Marketcap"")/10000000)"),125546.230395)</f>
        <v>125546.2304</v>
      </c>
      <c r="H45" s="426">
        <f>IFERROR(__xludf.DUMMYFUNCTION("if(isblank(A45),"""",Googlefinance(A45, ""Price""))"),3116.0)</f>
        <v>3116</v>
      </c>
      <c r="I45" s="426">
        <f t="shared" si="3"/>
        <v>22963</v>
      </c>
      <c r="J45" s="428">
        <f t="shared" si="4"/>
        <v>1.591447779</v>
      </c>
      <c r="K45" s="429" t="str">
        <f t="shared" si="5"/>
        <v>500</v>
      </c>
      <c r="L45" s="429">
        <f t="shared" si="6"/>
        <v>-488</v>
      </c>
      <c r="M45" s="429" t="str">
        <f t="shared" si="7"/>
        <v>Not Met</v>
      </c>
      <c r="N45" s="430">
        <f t="shared" si="8"/>
        <v>20000</v>
      </c>
      <c r="O45" s="430" t="str">
        <f t="shared" si="9"/>
        <v>Not Met</v>
      </c>
      <c r="P45" s="431" t="str">
        <f t="shared" si="10"/>
        <v>H</v>
      </c>
      <c r="Q45" s="431" t="str">
        <f t="shared" si="11"/>
        <v>H</v>
      </c>
      <c r="R45" s="431" t="str">
        <f t="shared" si="12"/>
        <v>H</v>
      </c>
      <c r="S45" s="431" t="str">
        <f t="shared" si="13"/>
        <v>H</v>
      </c>
    </row>
    <row r="46">
      <c r="A46" s="425" t="s">
        <v>137</v>
      </c>
      <c r="B46" s="425">
        <v>18.0</v>
      </c>
      <c r="C46" s="426">
        <v>698.8166666666667</v>
      </c>
      <c r="D46" s="425" t="str">
        <f>IFERROR(__xludf.DUMMYFUNCTION("if(ISBLANK(A46),"""",GOOGLEFINANCE(A46,""NAME""))"),"Nazara Technologies Ltd")</f>
        <v>Nazara Technologies Ltd</v>
      </c>
      <c r="E46" s="427" t="str">
        <f t="shared" si="1"/>
        <v>Mid Cap</v>
      </c>
      <c r="F46" s="426" t="str">
        <f t="shared" si="2"/>
        <v>|||</v>
      </c>
      <c r="G46" s="32">
        <f>IFERROR(__xludf.DUMMYFUNCTION("if(ISBLANK(A46),"""",googlefinance(A46,""Marketcap"")/10000000)"),11184.3351048)</f>
        <v>11184.3351</v>
      </c>
      <c r="H46" s="426">
        <f>IFERROR(__xludf.DUMMYFUNCTION("if(isblank(A46),"""",Googlefinance(A46, ""Price""))"),301.9)</f>
        <v>301.9</v>
      </c>
      <c r="I46" s="426">
        <f t="shared" si="3"/>
        <v>-7144.5</v>
      </c>
      <c r="J46" s="428">
        <f t="shared" si="4"/>
        <v>-0.5679839729</v>
      </c>
      <c r="K46" s="429" t="str">
        <f t="shared" si="5"/>
        <v>1000</v>
      </c>
      <c r="L46" s="429">
        <f t="shared" si="6"/>
        <v>-982</v>
      </c>
      <c r="M46" s="429" t="str">
        <f t="shared" si="7"/>
        <v>Not Met</v>
      </c>
      <c r="N46" s="430">
        <f t="shared" si="8"/>
        <v>10000</v>
      </c>
      <c r="O46" s="430" t="str">
        <f t="shared" si="9"/>
        <v>Not Met</v>
      </c>
      <c r="P46" s="431" t="str">
        <f t="shared" si="10"/>
        <v>B</v>
      </c>
      <c r="Q46" s="431" t="str">
        <f t="shared" si="11"/>
        <v>B</v>
      </c>
      <c r="R46" s="431" t="str">
        <f t="shared" si="12"/>
        <v>B</v>
      </c>
      <c r="S46" s="431" t="str">
        <f t="shared" si="13"/>
        <v>H</v>
      </c>
    </row>
    <row r="47">
      <c r="A47" s="425" t="s">
        <v>138</v>
      </c>
      <c r="B47" s="425">
        <v>4.0</v>
      </c>
      <c r="C47" s="426">
        <v>2552.325</v>
      </c>
      <c r="D47" s="425" t="str">
        <f>IFERROR(__xludf.DUMMYFUNCTION("if(ISBLANK(A47),"""",GOOGLEFINANCE(A47,""NAME""))"),"Nestle India Ltd")</f>
        <v>Nestle India Ltd</v>
      </c>
      <c r="E47" s="427" t="str">
        <f t="shared" si="1"/>
        <v>Large Cap</v>
      </c>
      <c r="F47" s="426" t="str">
        <f t="shared" si="2"/>
        <v>||</v>
      </c>
      <c r="G47" s="32">
        <f>IFERROR(__xludf.DUMMYFUNCTION("if(ISBLANK(A47),"""",googlefinance(A47,""Marketcap"")/10000000)"),282864.3853677)</f>
        <v>282864.3854</v>
      </c>
      <c r="H47" s="426">
        <f>IFERROR(__xludf.DUMMYFUNCTION("if(isblank(A47),"""",Googlefinance(A47, ""Price""))"),1466.9)</f>
        <v>1466.9</v>
      </c>
      <c r="I47" s="426">
        <f t="shared" si="3"/>
        <v>-4341.7</v>
      </c>
      <c r="J47" s="428">
        <f t="shared" si="4"/>
        <v>-0.4252691174</v>
      </c>
      <c r="K47" s="429" t="str">
        <f t="shared" si="5"/>
        <v>500</v>
      </c>
      <c r="L47" s="429">
        <f t="shared" si="6"/>
        <v>-496</v>
      </c>
      <c r="M47" s="429" t="str">
        <f t="shared" si="7"/>
        <v>Not Met</v>
      </c>
      <c r="N47" s="430">
        <f t="shared" si="8"/>
        <v>20000</v>
      </c>
      <c r="O47" s="430" t="str">
        <f t="shared" si="9"/>
        <v>Not Met</v>
      </c>
      <c r="P47" s="431" t="str">
        <f t="shared" si="10"/>
        <v>B</v>
      </c>
      <c r="Q47" s="431" t="str">
        <f t="shared" si="11"/>
        <v>B</v>
      </c>
      <c r="R47" s="431" t="str">
        <f t="shared" si="12"/>
        <v>H</v>
      </c>
      <c r="S47" s="431" t="str">
        <f t="shared" si="13"/>
        <v>H</v>
      </c>
    </row>
    <row r="48">
      <c r="A48" s="425" t="s">
        <v>139</v>
      </c>
      <c r="B48" s="425">
        <v>82.0</v>
      </c>
      <c r="C48" s="426">
        <v>72.9560975609756</v>
      </c>
      <c r="D48" s="425" t="str">
        <f>IFERROR(__xludf.DUMMYFUNCTION("if(ISBLANK(A48),"""",GOOGLEFINANCE(A48,""NAME""))"),"Paradeep Phosphates Ltd")</f>
        <v>Paradeep Phosphates Ltd</v>
      </c>
      <c r="E48" s="427" t="str">
        <f t="shared" si="1"/>
        <v>Mid Cap</v>
      </c>
      <c r="F48" s="426" t="str">
        <f t="shared" si="2"/>
        <v>|||</v>
      </c>
      <c r="G48" s="32">
        <f>IFERROR(__xludf.DUMMYFUNCTION("if(ISBLANK(A48),"""",googlefinance(A48,""Marketcap"")/10000000)"),14455.528575)</f>
        <v>14455.52858</v>
      </c>
      <c r="H48" s="426">
        <f>IFERROR(__xludf.DUMMYFUNCTION("if(isblank(A48),"""",Googlefinance(A48, ""Price""))"),139.3)</f>
        <v>139.3</v>
      </c>
      <c r="I48" s="426">
        <f t="shared" si="3"/>
        <v>5440.2</v>
      </c>
      <c r="J48" s="428">
        <f t="shared" si="4"/>
        <v>0.9093674779</v>
      </c>
      <c r="K48" s="429" t="str">
        <f t="shared" si="5"/>
        <v>1000</v>
      </c>
      <c r="L48" s="429">
        <f t="shared" si="6"/>
        <v>-918</v>
      </c>
      <c r="M48" s="429" t="str">
        <f t="shared" si="7"/>
        <v>Not Met</v>
      </c>
      <c r="N48" s="430">
        <f t="shared" si="8"/>
        <v>10000</v>
      </c>
      <c r="O48" s="430" t="str">
        <f t="shared" si="9"/>
        <v>Not Met</v>
      </c>
      <c r="P48" s="431" t="str">
        <f t="shared" si="10"/>
        <v>H</v>
      </c>
      <c r="Q48" s="431" t="str">
        <f t="shared" si="11"/>
        <v>H</v>
      </c>
      <c r="R48" s="431" t="str">
        <f t="shared" si="12"/>
        <v>H</v>
      </c>
      <c r="S48" s="431" t="str">
        <f t="shared" si="13"/>
        <v>H</v>
      </c>
    </row>
    <row r="49">
      <c r="A49" s="425" t="s">
        <v>140</v>
      </c>
      <c r="B49" s="425">
        <v>1.0</v>
      </c>
      <c r="C49" s="426">
        <v>794.0</v>
      </c>
      <c r="D49" s="425" t="str">
        <f>IFERROR(__xludf.DUMMYFUNCTION("if(ISBLANK(A49),"""",GOOGLEFINANCE(A49,""NAME""))"),"Paras Defence and Space Technologies Ltd")</f>
        <v>Paras Defence and Space Technologies Ltd</v>
      </c>
      <c r="E49" s="427" t="str">
        <f t="shared" si="1"/>
        <v>Mid Cap</v>
      </c>
      <c r="F49" s="426" t="str">
        <f t="shared" si="2"/>
        <v>|||</v>
      </c>
      <c r="G49" s="32">
        <f>IFERROR(__xludf.DUMMYFUNCTION("if(ISBLANK(A49),"""",googlefinance(A49,""Marketcap"")/10000000)"),10436.0546727)</f>
        <v>10436.05467</v>
      </c>
      <c r="H49" s="426">
        <f>IFERROR(__xludf.DUMMYFUNCTION("if(isblank(A49),"""",Googlefinance(A49, ""Price""))"),1292.0)</f>
        <v>1292</v>
      </c>
      <c r="I49" s="426">
        <f t="shared" si="3"/>
        <v>498</v>
      </c>
      <c r="J49" s="428">
        <f t="shared" si="4"/>
        <v>0.6272040302</v>
      </c>
      <c r="K49" s="429" t="str">
        <f t="shared" si="5"/>
        <v>500</v>
      </c>
      <c r="L49" s="429">
        <f t="shared" si="6"/>
        <v>-499</v>
      </c>
      <c r="M49" s="429" t="str">
        <f t="shared" si="7"/>
        <v>Not Met</v>
      </c>
      <c r="N49" s="430">
        <f t="shared" si="8"/>
        <v>20000</v>
      </c>
      <c r="O49" s="430" t="str">
        <f t="shared" si="9"/>
        <v>Not Met</v>
      </c>
      <c r="P49" s="431" t="str">
        <f t="shared" si="10"/>
        <v>H</v>
      </c>
      <c r="Q49" s="431" t="str">
        <f t="shared" si="11"/>
        <v>H</v>
      </c>
      <c r="R49" s="431" t="str">
        <f t="shared" si="12"/>
        <v>H</v>
      </c>
      <c r="S49" s="431" t="str">
        <f t="shared" si="13"/>
        <v>H</v>
      </c>
    </row>
    <row r="50">
      <c r="A50" s="425" t="s">
        <v>145</v>
      </c>
      <c r="B50" s="425">
        <v>12.0</v>
      </c>
      <c r="C50" s="426">
        <v>548.9833333333333</v>
      </c>
      <c r="D50" s="425" t="str">
        <f>IFERROR(__xludf.DUMMYFUNCTION("if(ISBLANK(A50),"""",GOOGLEFINANCE(A50,""NAME""))"),"Prince Pipes and Fittings Ltd")</f>
        <v>Prince Pipes and Fittings Ltd</v>
      </c>
      <c r="E50" s="427" t="str">
        <f t="shared" si="1"/>
        <v>Small Cap</v>
      </c>
      <c r="F50" s="426" t="str">
        <f t="shared" si="2"/>
        <v>||||</v>
      </c>
      <c r="G50" s="32">
        <f>IFERROR(__xludf.DUMMYFUNCTION("if(ISBLANK(A50),"""",googlefinance(A50,""Marketcap"")/10000000)"),2987.9604925)</f>
        <v>2987.960493</v>
      </c>
      <c r="H50" s="426">
        <f>IFERROR(__xludf.DUMMYFUNCTION("if(isblank(A50),"""",Googlefinance(A50, ""Price""))"),269.9)</f>
        <v>269.9</v>
      </c>
      <c r="I50" s="426">
        <f t="shared" si="3"/>
        <v>-3349</v>
      </c>
      <c r="J50" s="428">
        <f t="shared" si="4"/>
        <v>-0.5083639455</v>
      </c>
      <c r="K50" s="429" t="str">
        <f t="shared" si="5"/>
        <v>1000</v>
      </c>
      <c r="L50" s="429">
        <f t="shared" si="6"/>
        <v>-988</v>
      </c>
      <c r="M50" s="429" t="str">
        <f t="shared" si="7"/>
        <v>Not Met</v>
      </c>
      <c r="N50" s="430">
        <f t="shared" si="8"/>
        <v>10000</v>
      </c>
      <c r="O50" s="430" t="str">
        <f t="shared" si="9"/>
        <v>Not Met</v>
      </c>
      <c r="P50" s="431" t="str">
        <f t="shared" si="10"/>
        <v>B</v>
      </c>
      <c r="Q50" s="431" t="str">
        <f t="shared" si="11"/>
        <v>B</v>
      </c>
      <c r="R50" s="431" t="str">
        <f t="shared" si="12"/>
        <v>B</v>
      </c>
      <c r="S50" s="431" t="str">
        <f t="shared" si="13"/>
        <v>H</v>
      </c>
    </row>
    <row r="51">
      <c r="A51" s="425" t="s">
        <v>146</v>
      </c>
      <c r="B51" s="425">
        <v>4.0</v>
      </c>
      <c r="C51" s="426">
        <v>122.875</v>
      </c>
      <c r="D51" s="425" t="str">
        <f>IFERROR(__xludf.DUMMYFUNCTION("if(ISBLANK(A51),"""",GOOGLEFINANCE(A51,""NAME""))"),"Railtel Corporation of India Ltd")</f>
        <v>Railtel Corporation of India Ltd</v>
      </c>
      <c r="E51" s="427" t="str">
        <f t="shared" si="1"/>
        <v>Mid Cap</v>
      </c>
      <c r="F51" s="426" t="str">
        <f t="shared" si="2"/>
        <v>|||</v>
      </c>
      <c r="G51" s="32">
        <f>IFERROR(__xludf.DUMMYFUNCTION("if(ISBLANK(A51),"""",googlefinance(A51,""Marketcap"")/10000000)"),9990.8088872)</f>
        <v>9990.808887</v>
      </c>
      <c r="H51" s="426">
        <f>IFERROR(__xludf.DUMMYFUNCTION("if(isblank(A51),"""",Googlefinance(A51, ""Price""))"),311.3)</f>
        <v>311.3</v>
      </c>
      <c r="I51" s="426">
        <f t="shared" si="3"/>
        <v>753.7</v>
      </c>
      <c r="J51" s="428">
        <f t="shared" si="4"/>
        <v>1.533468973</v>
      </c>
      <c r="K51" s="429" t="str">
        <f t="shared" si="5"/>
        <v>1000</v>
      </c>
      <c r="L51" s="429">
        <f t="shared" si="6"/>
        <v>-996</v>
      </c>
      <c r="M51" s="429" t="str">
        <f t="shared" si="7"/>
        <v>Not Met</v>
      </c>
      <c r="N51" s="430">
        <f t="shared" si="8"/>
        <v>10000</v>
      </c>
      <c r="O51" s="430" t="str">
        <f t="shared" si="9"/>
        <v>Not Met</v>
      </c>
      <c r="P51" s="431" t="str">
        <f t="shared" si="10"/>
        <v>H</v>
      </c>
      <c r="Q51" s="431" t="str">
        <f t="shared" si="11"/>
        <v>H</v>
      </c>
      <c r="R51" s="431" t="str">
        <f t="shared" si="12"/>
        <v>H</v>
      </c>
      <c r="S51" s="431" t="str">
        <f t="shared" si="13"/>
        <v>H</v>
      </c>
    </row>
    <row r="52">
      <c r="A52" s="425" t="s">
        <v>148</v>
      </c>
      <c r="B52" s="425">
        <v>3.0</v>
      </c>
      <c r="C52" s="426">
        <v>2299.23</v>
      </c>
      <c r="D52" s="425" t="str">
        <f>IFERROR(__xludf.DUMMYFUNCTION("if(ISBLANK(A52),"""",GOOGLEFINANCE(A52,""NAME""))"),"Reliance Industries Ltd")</f>
        <v>Reliance Industries Ltd</v>
      </c>
      <c r="E52" s="427" t="str">
        <f t="shared" si="1"/>
        <v>Mega Cap</v>
      </c>
      <c r="F52" s="426" t="str">
        <f t="shared" si="2"/>
        <v>|</v>
      </c>
      <c r="G52" s="32">
        <f>IFERROR(__xludf.DUMMYFUNCTION("if(ISBLANK(A52),"""",googlefinance(A52,""Marketcap"")/10000000)"),1767711.9387287)</f>
        <v>1767711.939</v>
      </c>
      <c r="H52" s="426">
        <f>IFERROR(__xludf.DUMMYFUNCTION("if(isblank(A52),"""",Googlefinance(A52, ""Price""))"),1305.0)</f>
        <v>1305</v>
      </c>
      <c r="I52" s="426">
        <f t="shared" si="3"/>
        <v>-2982.69</v>
      </c>
      <c r="J52" s="428">
        <f t="shared" si="4"/>
        <v>-0.4324186793</v>
      </c>
      <c r="K52" s="429" t="str">
        <f t="shared" si="5"/>
        <v>500</v>
      </c>
      <c r="L52" s="429">
        <f t="shared" si="6"/>
        <v>-497</v>
      </c>
      <c r="M52" s="429" t="str">
        <f t="shared" si="7"/>
        <v>Not Met</v>
      </c>
      <c r="N52" s="430">
        <f t="shared" si="8"/>
        <v>20000</v>
      </c>
      <c r="O52" s="430" t="str">
        <f t="shared" si="9"/>
        <v>Not Met</v>
      </c>
      <c r="P52" s="431" t="str">
        <f t="shared" si="10"/>
        <v>B</v>
      </c>
      <c r="Q52" s="431" t="str">
        <f t="shared" si="11"/>
        <v>B</v>
      </c>
      <c r="R52" s="431" t="str">
        <f t="shared" si="12"/>
        <v>H</v>
      </c>
      <c r="S52" s="431" t="str">
        <f t="shared" si="13"/>
        <v>H</v>
      </c>
    </row>
    <row r="53">
      <c r="A53" s="425" t="s">
        <v>149</v>
      </c>
      <c r="B53" s="425">
        <v>1310.0</v>
      </c>
      <c r="C53" s="426">
        <v>75.85570992366412</v>
      </c>
      <c r="D53" s="425" t="str">
        <f>IFERROR(__xludf.DUMMYFUNCTION("if(ISBLANK(A53),"""",GOOGLEFINANCE(A53,""NAME""))"),"Rattanindia Enterprises Ltd")</f>
        <v>Rattanindia Enterprises Ltd</v>
      </c>
      <c r="E53" s="427" t="str">
        <f t="shared" si="1"/>
        <v>Small Cap</v>
      </c>
      <c r="F53" s="426" t="str">
        <f t="shared" si="2"/>
        <v>||||</v>
      </c>
      <c r="G53" s="32">
        <f>IFERROR(__xludf.DUMMYFUNCTION("if(ISBLANK(A53),"""",googlefinance(A53,""Marketcap"")/10000000)"),4543.1184407)</f>
        <v>4543.118441</v>
      </c>
      <c r="H53" s="426">
        <f>IFERROR(__xludf.DUMMYFUNCTION("if(isblank(A53),"""",Googlefinance(A53, ""Price""))"),32.9)</f>
        <v>32.9</v>
      </c>
      <c r="I53" s="426">
        <f t="shared" si="3"/>
        <v>-56271.98</v>
      </c>
      <c r="J53" s="428">
        <f t="shared" si="4"/>
        <v>-0.5662818259</v>
      </c>
      <c r="K53" s="429" t="str">
        <f t="shared" si="5"/>
        <v>10000</v>
      </c>
      <c r="L53" s="429">
        <f t="shared" si="6"/>
        <v>-8690</v>
      </c>
      <c r="M53" s="429" t="str">
        <f t="shared" si="7"/>
        <v>Not Met</v>
      </c>
      <c r="N53" s="430">
        <f t="shared" si="8"/>
        <v>1000</v>
      </c>
      <c r="O53" s="430" t="str">
        <f t="shared" si="9"/>
        <v>Not Met</v>
      </c>
      <c r="P53" s="431" t="str">
        <f t="shared" si="10"/>
        <v>B</v>
      </c>
      <c r="Q53" s="431" t="str">
        <f t="shared" si="11"/>
        <v>B</v>
      </c>
      <c r="R53" s="431" t="str">
        <f t="shared" si="12"/>
        <v>B</v>
      </c>
      <c r="S53" s="431" t="str">
        <f t="shared" si="13"/>
        <v>H</v>
      </c>
    </row>
    <row r="54">
      <c r="A54" s="425" t="s">
        <v>150</v>
      </c>
      <c r="B54" s="425">
        <v>90.0</v>
      </c>
      <c r="C54" s="426">
        <v>327.7655555555556</v>
      </c>
      <c r="D54" s="425" t="str">
        <f>IFERROR(__xludf.DUMMYFUNCTION("if(ISBLANK(A54),"""",GOOGLEFINANCE(A54,""NAME""))"),"Rail Vikas Nigam Ltd")</f>
        <v>Rail Vikas Nigam Ltd</v>
      </c>
      <c r="E54" s="427" t="str">
        <f t="shared" si="1"/>
        <v>Large Cap</v>
      </c>
      <c r="F54" s="426" t="str">
        <f t="shared" si="2"/>
        <v>||</v>
      </c>
      <c r="G54" s="32">
        <f>IFERROR(__xludf.DUMMYFUNCTION("if(ISBLANK(A54),"""",googlefinance(A54,""Marketcap"")/10000000)"),48552.045675)</f>
        <v>48552.04568</v>
      </c>
      <c r="H54" s="426">
        <f>IFERROR(__xludf.DUMMYFUNCTION("if(isblank(A54),"""",Googlefinance(A54, ""Price""))"),232.4)</f>
        <v>232.4</v>
      </c>
      <c r="I54" s="426">
        <f t="shared" si="3"/>
        <v>-8582.9</v>
      </c>
      <c r="J54" s="428">
        <f t="shared" si="4"/>
        <v>-0.2909566119</v>
      </c>
      <c r="K54" s="429" t="str">
        <f t="shared" si="5"/>
        <v>1000</v>
      </c>
      <c r="L54" s="429">
        <f t="shared" si="6"/>
        <v>-910</v>
      </c>
      <c r="M54" s="429" t="str">
        <f t="shared" si="7"/>
        <v>Not Met</v>
      </c>
      <c r="N54" s="430">
        <f t="shared" si="8"/>
        <v>10000</v>
      </c>
      <c r="O54" s="430" t="str">
        <f t="shared" si="9"/>
        <v>Not Met</v>
      </c>
      <c r="P54" s="431" t="str">
        <f t="shared" si="10"/>
        <v>B</v>
      </c>
      <c r="Q54" s="431" t="str">
        <f t="shared" si="11"/>
        <v>H</v>
      </c>
      <c r="R54" s="431" t="str">
        <f t="shared" si="12"/>
        <v>H</v>
      </c>
      <c r="S54" s="431" t="str">
        <f t="shared" si="13"/>
        <v>H</v>
      </c>
    </row>
    <row r="55">
      <c r="A55" s="425" t="s">
        <v>151</v>
      </c>
      <c r="B55" s="425">
        <v>3.0</v>
      </c>
      <c r="C55" s="426">
        <v>694.9666666666667</v>
      </c>
      <c r="D55" s="425" t="str">
        <f>IFERROR(__xludf.DUMMYFUNCTION("if(ISBLANK(A55),"""",GOOGLEFINANCE(A55,""NAME""))"),"SBI Cards and Payment Services Ltd")</f>
        <v>SBI Cards and Payment Services Ltd</v>
      </c>
      <c r="E55" s="427" t="str">
        <f t="shared" si="1"/>
        <v>Large Cap</v>
      </c>
      <c r="F55" s="426" t="str">
        <f t="shared" si="2"/>
        <v>||</v>
      </c>
      <c r="G55" s="32">
        <f>IFERROR(__xludf.DUMMYFUNCTION("if(ISBLANK(A55),"""",googlefinance(A55,""Marketcap"")/10000000)"),57515.5766592)</f>
        <v>57515.57666</v>
      </c>
      <c r="H55" s="426">
        <f>IFERROR(__xludf.DUMMYFUNCTION("if(isblank(A55),"""",Googlefinance(A55, ""Price""))"),604.4)</f>
        <v>604.4</v>
      </c>
      <c r="I55" s="426">
        <f t="shared" si="3"/>
        <v>-271.7</v>
      </c>
      <c r="J55" s="428">
        <f t="shared" si="4"/>
        <v>-0.1303180009</v>
      </c>
      <c r="K55" s="429" t="str">
        <f t="shared" si="5"/>
        <v>1000</v>
      </c>
      <c r="L55" s="429">
        <f t="shared" si="6"/>
        <v>-997</v>
      </c>
      <c r="M55" s="429" t="str">
        <f t="shared" si="7"/>
        <v>Not Met</v>
      </c>
      <c r="N55" s="430">
        <f t="shared" si="8"/>
        <v>10000</v>
      </c>
      <c r="O55" s="430" t="str">
        <f t="shared" si="9"/>
        <v>Not Met</v>
      </c>
      <c r="P55" s="431" t="str">
        <f t="shared" si="10"/>
        <v>H</v>
      </c>
      <c r="Q55" s="431" t="str">
        <f t="shared" si="11"/>
        <v>H</v>
      </c>
      <c r="R55" s="431" t="str">
        <f t="shared" si="12"/>
        <v>H</v>
      </c>
      <c r="S55" s="431" t="str">
        <f t="shared" si="13"/>
        <v>H</v>
      </c>
    </row>
    <row r="56">
      <c r="A56" s="425" t="s">
        <v>152</v>
      </c>
      <c r="B56" s="425">
        <v>10.0</v>
      </c>
      <c r="C56" s="426">
        <v>155.0</v>
      </c>
      <c r="D56" s="425" t="str">
        <f>IFERROR(__xludf.DUMMYFUNCTION("if(ISBLANK(A56),"""",GOOGLEFINANCE(A56,""NAME""))"),"State Bank of India")</f>
        <v>State Bank of India</v>
      </c>
      <c r="E56" s="427" t="str">
        <f t="shared" si="1"/>
        <v>Mega Cap</v>
      </c>
      <c r="F56" s="426" t="str">
        <f t="shared" si="2"/>
        <v>|</v>
      </c>
      <c r="G56" s="32">
        <f>IFERROR(__xludf.DUMMYFUNCTION("if(ISBLANK(A56),"""",googlefinance(A56,""Marketcap"")/10000000)"),957953.4773313)</f>
        <v>957953.4773</v>
      </c>
      <c r="H56" s="426">
        <f>IFERROR(__xludf.DUMMYFUNCTION("if(isblank(A56),"""",Googlefinance(A56, ""Price""))"),1036.2)</f>
        <v>1036.2</v>
      </c>
      <c r="I56" s="426">
        <f t="shared" si="3"/>
        <v>8812</v>
      </c>
      <c r="J56" s="428">
        <f t="shared" si="4"/>
        <v>5.68516129</v>
      </c>
      <c r="K56" s="429" t="str">
        <f t="shared" si="5"/>
        <v>500</v>
      </c>
      <c r="L56" s="429">
        <f t="shared" si="6"/>
        <v>-490</v>
      </c>
      <c r="M56" s="429" t="str">
        <f t="shared" si="7"/>
        <v>Not Met</v>
      </c>
      <c r="N56" s="430">
        <f t="shared" si="8"/>
        <v>20000</v>
      </c>
      <c r="O56" s="430" t="str">
        <f t="shared" si="9"/>
        <v>Not Met</v>
      </c>
      <c r="P56" s="431" t="str">
        <f t="shared" si="10"/>
        <v>H</v>
      </c>
      <c r="Q56" s="431" t="str">
        <f t="shared" si="11"/>
        <v>H</v>
      </c>
      <c r="R56" s="431" t="str">
        <f t="shared" si="12"/>
        <v>H</v>
      </c>
      <c r="S56" s="431" t="str">
        <f t="shared" si="13"/>
        <v>H</v>
      </c>
    </row>
    <row r="57">
      <c r="A57" s="425" t="s">
        <v>154</v>
      </c>
      <c r="B57" s="425">
        <v>10.0</v>
      </c>
      <c r="C57" s="426">
        <v>16.85</v>
      </c>
      <c r="D57" s="425" t="str">
        <f>IFERROR(__xludf.DUMMYFUNCTION("if(ISBLANK(A57),"""",GOOGLEFINANCE(A57,""NAME""))"),"Suzlon Energy Ltd")</f>
        <v>Suzlon Energy Ltd</v>
      </c>
      <c r="E57" s="427" t="str">
        <f t="shared" si="1"/>
        <v>Large Cap</v>
      </c>
      <c r="F57" s="426" t="str">
        <f t="shared" si="2"/>
        <v>||</v>
      </c>
      <c r="G57" s="32">
        <f>IFERROR(__xludf.DUMMYFUNCTION("if(ISBLANK(A57),"""",googlefinance(A57,""Marketcap"")/10000000)"),74547.0963334)</f>
        <v>74547.09633</v>
      </c>
      <c r="H57" s="426">
        <f>IFERROR(__xludf.DUMMYFUNCTION("if(isblank(A57),"""",Googlefinance(A57, ""Price""))"),54.4)</f>
        <v>54.4</v>
      </c>
      <c r="I57" s="426">
        <f t="shared" si="3"/>
        <v>375.5</v>
      </c>
      <c r="J57" s="428">
        <f t="shared" si="4"/>
        <v>2.228486647</v>
      </c>
      <c r="K57" s="429" t="str">
        <f t="shared" si="5"/>
        <v>10000</v>
      </c>
      <c r="L57" s="429">
        <f t="shared" si="6"/>
        <v>-9990</v>
      </c>
      <c r="M57" s="429" t="str">
        <f t="shared" si="7"/>
        <v>Not Met</v>
      </c>
      <c r="N57" s="430">
        <f t="shared" si="8"/>
        <v>1000</v>
      </c>
      <c r="O57" s="430" t="str">
        <f t="shared" si="9"/>
        <v>Not Met</v>
      </c>
      <c r="P57" s="431" t="str">
        <f t="shared" si="10"/>
        <v>H</v>
      </c>
      <c r="Q57" s="431" t="str">
        <f t="shared" si="11"/>
        <v>H</v>
      </c>
      <c r="R57" s="431" t="str">
        <f t="shared" si="12"/>
        <v>H</v>
      </c>
      <c r="S57" s="431" t="str">
        <f t="shared" si="13"/>
        <v>H</v>
      </c>
    </row>
    <row r="58">
      <c r="A58" s="425" t="s">
        <v>262</v>
      </c>
      <c r="B58" s="425">
        <v>101.0</v>
      </c>
      <c r="C58" s="426">
        <v>14.844455445544554</v>
      </c>
      <c r="D58" s="425" t="str">
        <f>IFERROR(__xludf.DUMMYFUNCTION("if(ISBLANK(A58),"""",GOOGLEFINANCE(A58,""NAME""))"),"Syncom Formulations (India) Ltd")</f>
        <v>Syncom Formulations (India) Ltd</v>
      </c>
      <c r="E58" s="427" t="str">
        <f t="shared" si="1"/>
        <v>Small Cap</v>
      </c>
      <c r="F58" s="426" t="str">
        <f t="shared" si="2"/>
        <v>||||</v>
      </c>
      <c r="G58" s="32">
        <f>IFERROR(__xludf.DUMMYFUNCTION("if(ISBLANK(A58),"""",googlefinance(A58,""Marketcap"")/10000000)"),1309.4200286)</f>
        <v>1309.420029</v>
      </c>
      <c r="H58" s="426">
        <f>IFERROR(__xludf.DUMMYFUNCTION("if(isblank(A58),"""",Googlefinance(A58, ""Price""))"),13.93)</f>
        <v>13.93</v>
      </c>
      <c r="I58" s="426">
        <f t="shared" si="3"/>
        <v>-92.36</v>
      </c>
      <c r="J58" s="428">
        <f t="shared" si="4"/>
        <v>-0.06160249185</v>
      </c>
      <c r="K58" s="429" t="str">
        <f t="shared" si="5"/>
        <v>10000</v>
      </c>
      <c r="L58" s="429">
        <f t="shared" si="6"/>
        <v>-9899</v>
      </c>
      <c r="M58" s="429" t="str">
        <f t="shared" si="7"/>
        <v>Not Met</v>
      </c>
      <c r="N58" s="430">
        <f t="shared" si="8"/>
        <v>1000</v>
      </c>
      <c r="O58" s="430" t="str">
        <f t="shared" si="9"/>
        <v>Not Met</v>
      </c>
      <c r="P58" s="431" t="str">
        <f t="shared" si="10"/>
        <v>H</v>
      </c>
      <c r="Q58" s="431" t="str">
        <f t="shared" si="11"/>
        <v>H</v>
      </c>
      <c r="R58" s="431" t="str">
        <f t="shared" si="12"/>
        <v>H</v>
      </c>
      <c r="S58" s="431" t="str">
        <f t="shared" si="13"/>
        <v>H</v>
      </c>
    </row>
    <row r="59">
      <c r="A59" s="425" t="s">
        <v>263</v>
      </c>
      <c r="B59" s="425">
        <v>100.0</v>
      </c>
      <c r="C59" s="426">
        <v>53.05</v>
      </c>
      <c r="D59" s="425" t="str">
        <f>IFERROR(__xludf.DUMMYFUNCTION("if(ISBLANK(A59),"""",GOOGLEFINANCE(A59,""NAME""))"),"Tarc Ltd")</f>
        <v>Tarc Ltd</v>
      </c>
      <c r="E59" s="427" t="str">
        <f t="shared" si="1"/>
        <v>Small Cap</v>
      </c>
      <c r="F59" s="426" t="str">
        <f t="shared" si="2"/>
        <v>||||</v>
      </c>
      <c r="G59" s="32">
        <f>IFERROR(__xludf.DUMMYFUNCTION("if(ISBLANK(A59),"""",googlefinance(A59,""Marketcap"")/10000000)"),3756.5593465)</f>
        <v>3756.559347</v>
      </c>
      <c r="H59" s="426">
        <f>IFERROR(__xludf.DUMMYFUNCTION("if(isblank(A59),"""",Googlefinance(A59, ""Price""))"),126.7)</f>
        <v>126.7</v>
      </c>
      <c r="I59" s="426">
        <f t="shared" si="3"/>
        <v>7365</v>
      </c>
      <c r="J59" s="428">
        <f t="shared" si="4"/>
        <v>1.388312912</v>
      </c>
      <c r="K59" s="429" t="str">
        <f t="shared" si="5"/>
        <v>1000</v>
      </c>
      <c r="L59" s="429">
        <f t="shared" si="6"/>
        <v>-900</v>
      </c>
      <c r="M59" s="429" t="str">
        <f t="shared" si="7"/>
        <v>Not Met</v>
      </c>
      <c r="N59" s="430">
        <f t="shared" si="8"/>
        <v>10000</v>
      </c>
      <c r="O59" s="430" t="str">
        <f t="shared" si="9"/>
        <v>Not Met</v>
      </c>
      <c r="P59" s="431" t="str">
        <f t="shared" si="10"/>
        <v>H</v>
      </c>
      <c r="Q59" s="431" t="str">
        <f t="shared" si="11"/>
        <v>H</v>
      </c>
      <c r="R59" s="431" t="str">
        <f t="shared" si="12"/>
        <v>H</v>
      </c>
      <c r="S59" s="431" t="str">
        <f t="shared" si="13"/>
        <v>H</v>
      </c>
    </row>
    <row r="60">
      <c r="A60" s="425" t="s">
        <v>155</v>
      </c>
      <c r="B60" s="425">
        <v>2.0</v>
      </c>
      <c r="C60" s="426">
        <v>571.0</v>
      </c>
      <c r="D60" s="425" t="str">
        <f>IFERROR(__xludf.DUMMYFUNCTION("if(ISBLANK(A60),"""",GOOGLEFINANCE(A60,""NAME""))"),"Tata Consumer Products Ltd")</f>
        <v>Tata Consumer Products Ltd</v>
      </c>
      <c r="E60" s="427" t="str">
        <f t="shared" si="1"/>
        <v>Large Cap</v>
      </c>
      <c r="F60" s="426" t="str">
        <f t="shared" si="2"/>
        <v>||</v>
      </c>
      <c r="G60" s="32">
        <f>IFERROR(__xludf.DUMMYFUNCTION("if(ISBLANK(A60),"""",googlefinance(A60,""Marketcap"")/10000000)"),110659.1191426)</f>
        <v>110659.1191</v>
      </c>
      <c r="H60" s="426">
        <f>IFERROR(__xludf.DUMMYFUNCTION("if(isblank(A60),"""",Googlefinance(A60, ""Price""))"),1121.1)</f>
        <v>1121.1</v>
      </c>
      <c r="I60" s="426">
        <f t="shared" si="3"/>
        <v>1100.2</v>
      </c>
      <c r="J60" s="428">
        <f t="shared" si="4"/>
        <v>0.9633975482</v>
      </c>
      <c r="K60" s="429" t="str">
        <f t="shared" si="5"/>
        <v>500</v>
      </c>
      <c r="L60" s="429">
        <f t="shared" si="6"/>
        <v>-498</v>
      </c>
      <c r="M60" s="429" t="str">
        <f t="shared" si="7"/>
        <v>Not Met</v>
      </c>
      <c r="N60" s="430">
        <f t="shared" si="8"/>
        <v>20000</v>
      </c>
      <c r="O60" s="430" t="str">
        <f t="shared" si="9"/>
        <v>Not Met</v>
      </c>
      <c r="P60" s="431" t="str">
        <f t="shared" si="10"/>
        <v>H</v>
      </c>
      <c r="Q60" s="431" t="str">
        <f t="shared" si="11"/>
        <v>H</v>
      </c>
      <c r="R60" s="431" t="str">
        <f t="shared" si="12"/>
        <v>H</v>
      </c>
      <c r="S60" s="431" t="str">
        <f t="shared" si="13"/>
        <v>H</v>
      </c>
    </row>
    <row r="61">
      <c r="A61" s="425" t="s">
        <v>157</v>
      </c>
      <c r="B61" s="425">
        <v>10.0</v>
      </c>
      <c r="C61" s="426">
        <v>296.55</v>
      </c>
      <c r="D61" s="425" t="str">
        <f>IFERROR(__xludf.DUMMYFUNCTION("if(ISBLANK(A61),"""",GOOGLEFINANCE(A61,""NAME""))"),"#N/A")</f>
        <v>#N/A</v>
      </c>
      <c r="E61" s="427" t="str">
        <f t="shared" si="1"/>
        <v>#N/A</v>
      </c>
      <c r="F61" s="426" t="str">
        <f t="shared" si="2"/>
        <v>#N/A</v>
      </c>
      <c r="G61" s="32" t="str">
        <f>IFERROR(__xludf.DUMMYFUNCTION("if(ISBLANK(A61),"""",googlefinance(A61,""Marketcap"")/10000000)"),"#N/A")</f>
        <v>#N/A</v>
      </c>
      <c r="H61" s="426" t="str">
        <f>IFERROR(__xludf.DUMMYFUNCTION("if(isblank(A61),"""",Googlefinance(A61, ""Price""))"),"#N/A")</f>
        <v>#N/A</v>
      </c>
      <c r="I61" s="426" t="str">
        <f t="shared" si="3"/>
        <v>#N/A</v>
      </c>
      <c r="J61" s="428" t="str">
        <f t="shared" si="4"/>
        <v>#N/A</v>
      </c>
      <c r="K61" s="429" t="str">
        <f t="shared" si="5"/>
        <v>#N/A</v>
      </c>
      <c r="L61" s="429" t="str">
        <f t="shared" si="6"/>
        <v>#N/A</v>
      </c>
      <c r="M61" s="429" t="str">
        <f t="shared" si="7"/>
        <v>#N/A</v>
      </c>
      <c r="N61" s="430" t="str">
        <f t="shared" si="8"/>
        <v>#N/A</v>
      </c>
      <c r="O61" s="430" t="str">
        <f t="shared" si="9"/>
        <v>#N/A</v>
      </c>
      <c r="P61" s="431" t="str">
        <f t="shared" si="10"/>
        <v>#N/A</v>
      </c>
      <c r="Q61" s="431" t="str">
        <f t="shared" si="11"/>
        <v>#N/A</v>
      </c>
      <c r="R61" s="431" t="str">
        <f t="shared" si="12"/>
        <v>#N/A</v>
      </c>
      <c r="S61" s="431" t="str">
        <f t="shared" si="13"/>
        <v>#N/A</v>
      </c>
    </row>
    <row r="62">
      <c r="A62" s="425" t="s">
        <v>161</v>
      </c>
      <c r="B62" s="425">
        <v>3.0</v>
      </c>
      <c r="C62" s="426">
        <v>3336.6666666666665</v>
      </c>
      <c r="D62" s="425" t="str">
        <f>IFERROR(__xludf.DUMMYFUNCTION("if(ISBLANK(A62),"""",GOOGLEFINANCE(A62,""NAME""))"),"Titan Company Ltd")</f>
        <v>Titan Company Ltd</v>
      </c>
      <c r="E62" s="427" t="str">
        <f t="shared" si="1"/>
        <v>Large Cap</v>
      </c>
      <c r="F62" s="426" t="str">
        <f t="shared" si="2"/>
        <v>||</v>
      </c>
      <c r="G62" s="32">
        <f>IFERROR(__xludf.DUMMYFUNCTION("if(ISBLANK(A62),"""",googlefinance(A62,""Marketcap"")/10000000)"),408367.7652339)</f>
        <v>408367.7652</v>
      </c>
      <c r="H62" s="426">
        <f>IFERROR(__xludf.DUMMYFUNCTION("if(isblank(A62),"""",Googlefinance(A62, ""Price""))"),4591.2)</f>
        <v>4591.2</v>
      </c>
      <c r="I62" s="426">
        <f t="shared" si="3"/>
        <v>3763.6</v>
      </c>
      <c r="J62" s="428">
        <f t="shared" si="4"/>
        <v>0.375984016</v>
      </c>
      <c r="K62" s="429" t="str">
        <f t="shared" si="5"/>
        <v>500</v>
      </c>
      <c r="L62" s="429">
        <f t="shared" si="6"/>
        <v>-497</v>
      </c>
      <c r="M62" s="429" t="str">
        <f t="shared" si="7"/>
        <v>Not Met</v>
      </c>
      <c r="N62" s="430">
        <f t="shared" si="8"/>
        <v>20000</v>
      </c>
      <c r="O62" s="430" t="str">
        <f t="shared" si="9"/>
        <v>Not Met</v>
      </c>
      <c r="P62" s="431" t="str">
        <f t="shared" si="10"/>
        <v>H</v>
      </c>
      <c r="Q62" s="431" t="str">
        <f t="shared" si="11"/>
        <v>H</v>
      </c>
      <c r="R62" s="431" t="str">
        <f t="shared" si="12"/>
        <v>H</v>
      </c>
      <c r="S62" s="431" t="str">
        <f t="shared" si="13"/>
        <v>H</v>
      </c>
    </row>
    <row r="63">
      <c r="A63" s="425" t="s">
        <v>162</v>
      </c>
      <c r="B63" s="425">
        <v>100.0</v>
      </c>
      <c r="C63" s="426">
        <v>80.0</v>
      </c>
      <c r="D63" s="425" t="str">
        <f>IFERROR(__xludf.DUMMYFUNCTION("if(ISBLANK(A63),"""",GOOGLEFINANCE(A63,""NAME""))"),"Tracxn Technologies Ltd")</f>
        <v>Tracxn Technologies Ltd</v>
      </c>
      <c r="E63" s="427" t="str">
        <f t="shared" si="1"/>
        <v>Small Cap</v>
      </c>
      <c r="F63" s="426" t="str">
        <f t="shared" si="2"/>
        <v>||||</v>
      </c>
      <c r="G63" s="32">
        <f>IFERROR(__xludf.DUMMYFUNCTION("if(ISBLANK(A63),"""",googlefinance(A63,""Marketcap"")/10000000)"),322.1904282)</f>
        <v>322.1904282</v>
      </c>
      <c r="H63" s="426">
        <f>IFERROR(__xludf.DUMMYFUNCTION("if(isblank(A63),"""",Googlefinance(A63, ""Price""))"),30.27)</f>
        <v>30.27</v>
      </c>
      <c r="I63" s="426">
        <f t="shared" si="3"/>
        <v>-4973</v>
      </c>
      <c r="J63" s="428">
        <f t="shared" si="4"/>
        <v>-0.621625</v>
      </c>
      <c r="K63" s="429" t="str">
        <f t="shared" si="5"/>
        <v>10000</v>
      </c>
      <c r="L63" s="429">
        <f t="shared" si="6"/>
        <v>-9900</v>
      </c>
      <c r="M63" s="429" t="str">
        <f t="shared" si="7"/>
        <v>Not Met</v>
      </c>
      <c r="N63" s="430">
        <f t="shared" si="8"/>
        <v>1000</v>
      </c>
      <c r="O63" s="430" t="str">
        <f t="shared" si="9"/>
        <v>Not Met</v>
      </c>
      <c r="P63" s="431" t="str">
        <f t="shared" si="10"/>
        <v>B</v>
      </c>
      <c r="Q63" s="431" t="str">
        <f t="shared" si="11"/>
        <v>B</v>
      </c>
      <c r="R63" s="431" t="str">
        <f t="shared" si="12"/>
        <v>B</v>
      </c>
      <c r="S63" s="431" t="str">
        <f t="shared" si="13"/>
        <v>H</v>
      </c>
    </row>
    <row r="64">
      <c r="A64" s="425" t="s">
        <v>164</v>
      </c>
      <c r="B64" s="425">
        <v>2000.0</v>
      </c>
      <c r="C64" s="426">
        <v>38.3233521</v>
      </c>
      <c r="D64" s="425" t="str">
        <f>IFERROR(__xludf.DUMMYFUNCTION("if(ISBLANK(A64),"""",GOOGLEFINANCE(A64,""NAME""))"),"Trident Ltd")</f>
        <v>Trident Ltd</v>
      </c>
      <c r="E64" s="427" t="str">
        <f t="shared" si="1"/>
        <v>Mid Cap</v>
      </c>
      <c r="F64" s="426" t="str">
        <f t="shared" si="2"/>
        <v>|||</v>
      </c>
      <c r="G64" s="32">
        <f>IFERROR(__xludf.DUMMYFUNCTION("if(ISBLANK(A64),"""",googlefinance(A64,""Marketcap"")/10000000)"),13073.0945448)</f>
        <v>13073.09454</v>
      </c>
      <c r="H64" s="426">
        <f>IFERROR(__xludf.DUMMYFUNCTION("if(isblank(A64),"""",Googlefinance(A64, ""Price""))"),25.96)</f>
        <v>25.96</v>
      </c>
      <c r="I64" s="426">
        <f t="shared" si="3"/>
        <v>-24726.7042</v>
      </c>
      <c r="J64" s="428">
        <f t="shared" si="4"/>
        <v>-0.3226062289</v>
      </c>
      <c r="K64" s="429" t="str">
        <f t="shared" si="5"/>
        <v>10000</v>
      </c>
      <c r="L64" s="429">
        <f t="shared" si="6"/>
        <v>-8000</v>
      </c>
      <c r="M64" s="429" t="str">
        <f t="shared" si="7"/>
        <v>Not Met</v>
      </c>
      <c r="N64" s="430">
        <f t="shared" si="8"/>
        <v>1000</v>
      </c>
      <c r="O64" s="430" t="str">
        <f t="shared" si="9"/>
        <v>Not Met</v>
      </c>
      <c r="P64" s="431" t="str">
        <f t="shared" si="10"/>
        <v>B</v>
      </c>
      <c r="Q64" s="431" t="str">
        <f t="shared" si="11"/>
        <v>B</v>
      </c>
      <c r="R64" s="431" t="str">
        <f t="shared" si="12"/>
        <v>H</v>
      </c>
      <c r="S64" s="431" t="str">
        <f t="shared" si="13"/>
        <v>H</v>
      </c>
    </row>
    <row r="65">
      <c r="A65" s="425" t="s">
        <v>165</v>
      </c>
      <c r="B65" s="425">
        <v>2.0</v>
      </c>
      <c r="C65" s="426">
        <v>350.825</v>
      </c>
      <c r="D65" s="425" t="str">
        <f>IFERROR(__xludf.DUMMYFUNCTION("if(ISBLANK(A65),"""",GOOGLEFINANCE(A65,""NAME""))"),"UNO Minda Ltd")</f>
        <v>UNO Minda Ltd</v>
      </c>
      <c r="E65" s="427" t="str">
        <f t="shared" si="1"/>
        <v>Large Cap</v>
      </c>
      <c r="F65" s="426" t="str">
        <f t="shared" si="2"/>
        <v>||</v>
      </c>
      <c r="G65" s="32">
        <f>IFERROR(__xludf.DUMMYFUNCTION("if(ISBLANK(A65),"""",googlefinance(A65,""Marketcap"")/10000000)"),65028.58)</f>
        <v>65028.58</v>
      </c>
      <c r="H65" s="426">
        <f>IFERROR(__xludf.DUMMYFUNCTION("if(isblank(A65),"""",Googlefinance(A65, ""Price""))"),1126.0)</f>
        <v>1126</v>
      </c>
      <c r="I65" s="426">
        <f t="shared" si="3"/>
        <v>1550.35</v>
      </c>
      <c r="J65" s="428">
        <f t="shared" si="4"/>
        <v>2.209577425</v>
      </c>
      <c r="K65" s="429" t="str">
        <f t="shared" si="5"/>
        <v>500</v>
      </c>
      <c r="L65" s="429">
        <f t="shared" si="6"/>
        <v>-498</v>
      </c>
      <c r="M65" s="429" t="str">
        <f t="shared" si="7"/>
        <v>Not Met</v>
      </c>
      <c r="N65" s="430">
        <f t="shared" si="8"/>
        <v>20000</v>
      </c>
      <c r="O65" s="430" t="str">
        <f t="shared" si="9"/>
        <v>Not Met</v>
      </c>
      <c r="P65" s="431" t="str">
        <f t="shared" si="10"/>
        <v>H</v>
      </c>
      <c r="Q65" s="431" t="str">
        <f t="shared" si="11"/>
        <v>H</v>
      </c>
      <c r="R65" s="431" t="str">
        <f t="shared" si="12"/>
        <v>H</v>
      </c>
      <c r="S65" s="431" t="str">
        <f t="shared" si="13"/>
        <v>H</v>
      </c>
    </row>
    <row r="66">
      <c r="A66" s="425" t="s">
        <v>166</v>
      </c>
      <c r="B66" s="425">
        <v>100.0</v>
      </c>
      <c r="C66" s="426">
        <v>6.84</v>
      </c>
      <c r="D66" s="425" t="str">
        <f>IFERROR(__xludf.DUMMYFUNCTION("if(ISBLANK(A66),"""",GOOGLEFINANCE(A66,""NAME""))"),"Urja Global Ltd")</f>
        <v>Urja Global Ltd</v>
      </c>
      <c r="E66" s="427" t="str">
        <f t="shared" si="1"/>
        <v>Small Cap</v>
      </c>
      <c r="F66" s="426" t="str">
        <f t="shared" si="2"/>
        <v>||||</v>
      </c>
      <c r="G66" s="32">
        <f>IFERROR(__xludf.DUMMYFUNCTION("if(ISBLANK(A66),"""",googlefinance(A66,""Marketcap"")/10000000)"),504.435188)</f>
        <v>504.435188</v>
      </c>
      <c r="H66" s="426">
        <f>IFERROR(__xludf.DUMMYFUNCTION("if(isblank(A66),"""",Googlefinance(A66, ""Price""))"),9.59)</f>
        <v>9.59</v>
      </c>
      <c r="I66" s="426">
        <f t="shared" si="3"/>
        <v>275</v>
      </c>
      <c r="J66" s="428">
        <f t="shared" si="4"/>
        <v>0.4020467836</v>
      </c>
      <c r="K66" s="429" t="str">
        <f t="shared" si="5"/>
        <v>10000</v>
      </c>
      <c r="L66" s="429">
        <f t="shared" si="6"/>
        <v>-9900</v>
      </c>
      <c r="M66" s="429" t="str">
        <f t="shared" si="7"/>
        <v>Not Met</v>
      </c>
      <c r="N66" s="430">
        <f t="shared" si="8"/>
        <v>1000</v>
      </c>
      <c r="O66" s="430" t="str">
        <f t="shared" si="9"/>
        <v>Not Met</v>
      </c>
      <c r="P66" s="431" t="str">
        <f t="shared" si="10"/>
        <v>H</v>
      </c>
      <c r="Q66" s="431" t="str">
        <f t="shared" si="11"/>
        <v>H</v>
      </c>
      <c r="R66" s="431" t="str">
        <f t="shared" si="12"/>
        <v>H</v>
      </c>
      <c r="S66" s="431" t="str">
        <f t="shared" si="13"/>
        <v>H</v>
      </c>
    </row>
    <row r="67">
      <c r="A67" s="425" t="s">
        <v>264</v>
      </c>
      <c r="B67" s="425">
        <v>280.0</v>
      </c>
      <c r="C67" s="426">
        <v>48.63928571428571</v>
      </c>
      <c r="D67" s="425" t="str">
        <f>IFERROR(__xludf.DUMMYFUNCTION("if(ISBLANK(A67),"""",GOOGLEFINANCE(A67,""NAME""))"),"Utkarsh Small Finance Bank Ltd")</f>
        <v>Utkarsh Small Finance Bank Ltd</v>
      </c>
      <c r="E67" s="427" t="str">
        <f t="shared" si="1"/>
        <v>Small Cap</v>
      </c>
      <c r="F67" s="426" t="str">
        <f t="shared" si="2"/>
        <v>||||</v>
      </c>
      <c r="G67" s="32">
        <f>IFERROR(__xludf.DUMMYFUNCTION("if(ISBLANK(A67),"""",googlefinance(A67,""Marketcap"")/10000000)"),2589.2059989)</f>
        <v>2589.205999</v>
      </c>
      <c r="H67" s="426">
        <f>IFERROR(__xludf.DUMMYFUNCTION("if(isblank(A67),"""",Googlefinance(A67, ""Price""))"),14.55)</f>
        <v>14.55</v>
      </c>
      <c r="I67" s="426">
        <f t="shared" si="3"/>
        <v>-9545</v>
      </c>
      <c r="J67" s="428">
        <f t="shared" si="4"/>
        <v>-0.7008590939</v>
      </c>
      <c r="K67" s="429" t="str">
        <f t="shared" si="5"/>
        <v>10000</v>
      </c>
      <c r="L67" s="429">
        <f t="shared" si="6"/>
        <v>-9720</v>
      </c>
      <c r="M67" s="429" t="str">
        <f t="shared" si="7"/>
        <v>Not Met</v>
      </c>
      <c r="N67" s="430">
        <f t="shared" si="8"/>
        <v>1000</v>
      </c>
      <c r="O67" s="430" t="str">
        <f t="shared" si="9"/>
        <v>Not Met</v>
      </c>
      <c r="P67" s="431" t="str">
        <f t="shared" si="10"/>
        <v>B</v>
      </c>
      <c r="Q67" s="431" t="str">
        <f t="shared" si="11"/>
        <v>B</v>
      </c>
      <c r="R67" s="431" t="str">
        <f t="shared" si="12"/>
        <v>B</v>
      </c>
      <c r="S67" s="431" t="str">
        <f t="shared" si="13"/>
        <v>B</v>
      </c>
    </row>
    <row r="68">
      <c r="A68" s="425" t="s">
        <v>167</v>
      </c>
      <c r="B68" s="425">
        <v>5.0</v>
      </c>
      <c r="C68" s="426">
        <v>156.4</v>
      </c>
      <c r="D68" s="425" t="str">
        <f>IFERROR(__xludf.DUMMYFUNCTION("if(ISBLANK(A68),"""",GOOGLEFINANCE(A68,""NAME""))"),"Varun Beverages Ltd")</f>
        <v>Varun Beverages Ltd</v>
      </c>
      <c r="E68" s="427" t="str">
        <f t="shared" si="1"/>
        <v>Large Cap</v>
      </c>
      <c r="F68" s="426" t="str">
        <f t="shared" si="2"/>
        <v>||</v>
      </c>
      <c r="G68" s="32">
        <f>IFERROR(__xludf.DUMMYFUNCTION("if(ISBLANK(A68),"""",googlefinance(A68,""Marketcap"")/10000000)"),163851.56825)</f>
        <v>163851.5683</v>
      </c>
      <c r="H68" s="426">
        <f>IFERROR(__xludf.DUMMYFUNCTION("if(isblank(A68),"""",Googlefinance(A68, ""Price""))"),484.0)</f>
        <v>484</v>
      </c>
      <c r="I68" s="426">
        <f t="shared" si="3"/>
        <v>1638</v>
      </c>
      <c r="J68" s="428">
        <f t="shared" si="4"/>
        <v>2.094629156</v>
      </c>
      <c r="K68" s="429" t="str">
        <f t="shared" si="5"/>
        <v>1000</v>
      </c>
      <c r="L68" s="429">
        <f t="shared" si="6"/>
        <v>-995</v>
      </c>
      <c r="M68" s="429" t="str">
        <f t="shared" si="7"/>
        <v>Not Met</v>
      </c>
      <c r="N68" s="430">
        <f t="shared" si="8"/>
        <v>10000</v>
      </c>
      <c r="O68" s="430" t="str">
        <f t="shared" si="9"/>
        <v>Not Met</v>
      </c>
      <c r="P68" s="431" t="str">
        <f t="shared" si="10"/>
        <v>H</v>
      </c>
      <c r="Q68" s="431" t="str">
        <f t="shared" si="11"/>
        <v>H</v>
      </c>
      <c r="R68" s="431" t="str">
        <f t="shared" si="12"/>
        <v>H</v>
      </c>
      <c r="S68" s="431" t="str">
        <f t="shared" si="13"/>
        <v>H</v>
      </c>
    </row>
    <row r="69">
      <c r="A69" s="425" t="s">
        <v>265</v>
      </c>
      <c r="B69" s="425">
        <v>200.0</v>
      </c>
      <c r="C69" s="426">
        <v>5.09</v>
      </c>
      <c r="D69" s="425" t="str">
        <f>IFERROR(__xludf.DUMMYFUNCTION("if(ISBLANK(A69),"""",GOOGLEFINANCE(A69,""NAME""))"),"Vikas Lifecare Ltd")</f>
        <v>Vikas Lifecare Ltd</v>
      </c>
      <c r="E69" s="427" t="str">
        <f t="shared" si="1"/>
        <v>Small Cap</v>
      </c>
      <c r="F69" s="426" t="str">
        <f t="shared" si="2"/>
        <v>||||</v>
      </c>
      <c r="G69" s="32">
        <f>IFERROR(__xludf.DUMMYFUNCTION("if(ISBLANK(A69),"""",googlefinance(A69,""Marketcap"")/10000000)"),267.5168887)</f>
        <v>267.5168887</v>
      </c>
      <c r="H69" s="426">
        <f>IFERROR(__xludf.DUMMYFUNCTION("if(isblank(A69),"""",Googlefinance(A69, ""Price""))"),1.44)</f>
        <v>1.44</v>
      </c>
      <c r="I69" s="426">
        <f t="shared" si="3"/>
        <v>-730</v>
      </c>
      <c r="J69" s="428">
        <f t="shared" si="4"/>
        <v>-0.7170923379</v>
      </c>
      <c r="K69" s="429" t="str">
        <f t="shared" si="5"/>
        <v>10000</v>
      </c>
      <c r="L69" s="429">
        <f t="shared" si="6"/>
        <v>-9800</v>
      </c>
      <c r="M69" s="429" t="str">
        <f t="shared" si="7"/>
        <v>Not Met</v>
      </c>
      <c r="N69" s="430">
        <f t="shared" si="8"/>
        <v>1000</v>
      </c>
      <c r="O69" s="430" t="str">
        <f t="shared" si="9"/>
        <v>Not Met</v>
      </c>
      <c r="P69" s="431" t="str">
        <f t="shared" si="10"/>
        <v>B</v>
      </c>
      <c r="Q69" s="431" t="str">
        <f t="shared" si="11"/>
        <v>B</v>
      </c>
      <c r="R69" s="431" t="str">
        <f t="shared" si="12"/>
        <v>B</v>
      </c>
      <c r="S69" s="431" t="str">
        <f t="shared" si="13"/>
        <v>B</v>
      </c>
    </row>
    <row r="70">
      <c r="A70" s="425" t="s">
        <v>266</v>
      </c>
      <c r="B70" s="425">
        <v>3.0</v>
      </c>
      <c r="C70" s="426">
        <v>1603.3333333333333</v>
      </c>
      <c r="D70" s="425" t="str">
        <f>IFERROR(__xludf.DUMMYFUNCTION("if(ISBLANK(A70),"""",GOOGLEFINANCE(A70,""NAME""))"),"Yasho Industries Ltd")</f>
        <v>Yasho Industries Ltd</v>
      </c>
      <c r="E70" s="427" t="str">
        <f t="shared" si="1"/>
        <v>Small Cap</v>
      </c>
      <c r="F70" s="426" t="str">
        <f t="shared" si="2"/>
        <v>||||</v>
      </c>
      <c r="G70" s="32">
        <f>IFERROR(__xludf.DUMMYFUNCTION("if(ISBLANK(A70),"""",googlefinance(A70,""Marketcap"")/10000000)"),3477.7469218)</f>
        <v>3477.746922</v>
      </c>
      <c r="H70" s="426">
        <f>IFERROR(__xludf.DUMMYFUNCTION("if(isblank(A70),"""",Googlefinance(A70, ""Price""))"),2884.4)</f>
        <v>2884.4</v>
      </c>
      <c r="I70" s="426">
        <f t="shared" si="3"/>
        <v>3843.2</v>
      </c>
      <c r="J70" s="428">
        <f t="shared" si="4"/>
        <v>0.799002079</v>
      </c>
      <c r="K70" s="429" t="str">
        <f t="shared" si="5"/>
        <v>500</v>
      </c>
      <c r="L70" s="429">
        <f t="shared" si="6"/>
        <v>-497</v>
      </c>
      <c r="M70" s="429" t="str">
        <f t="shared" si="7"/>
        <v>Not Met</v>
      </c>
      <c r="N70" s="430">
        <f t="shared" si="8"/>
        <v>20000</v>
      </c>
      <c r="O70" s="430" t="str">
        <f t="shared" si="9"/>
        <v>Not Met</v>
      </c>
      <c r="P70" s="431" t="str">
        <f t="shared" si="10"/>
        <v>H</v>
      </c>
      <c r="Q70" s="431" t="str">
        <f t="shared" si="11"/>
        <v>H</v>
      </c>
      <c r="R70" s="431" t="str">
        <f t="shared" si="12"/>
        <v>H</v>
      </c>
      <c r="S70" s="431" t="str">
        <f t="shared" si="13"/>
        <v>H</v>
      </c>
    </row>
    <row r="71">
      <c r="A71" s="425" t="s">
        <v>171</v>
      </c>
      <c r="B71" s="425">
        <v>30.0</v>
      </c>
      <c r="C71" s="426">
        <v>20.16</v>
      </c>
      <c r="D71" s="425" t="str">
        <f>IFERROR(__xludf.DUMMYFUNCTION("if(ISBLANK(A71),"""",GOOGLEFINANCE(A71,""NAME""))"),"Yes Bank Ltd")</f>
        <v>Yes Bank Ltd</v>
      </c>
      <c r="E71" s="427" t="str">
        <f t="shared" si="1"/>
        <v>Large Cap</v>
      </c>
      <c r="F71" s="426" t="str">
        <f t="shared" si="2"/>
        <v>||</v>
      </c>
      <c r="G71" s="32">
        <f>IFERROR(__xludf.DUMMYFUNCTION("if(ISBLANK(A71),"""",googlefinance(A71,""Marketcap"")/10000000)"),75330.9675481)</f>
        <v>75330.96755</v>
      </c>
      <c r="H71" s="426">
        <f>IFERROR(__xludf.DUMMYFUNCTION("if(isblank(A71),"""",Googlefinance(A71, ""Price""))"),24.05)</f>
        <v>24.05</v>
      </c>
      <c r="I71" s="426">
        <f t="shared" si="3"/>
        <v>116.7</v>
      </c>
      <c r="J71" s="428">
        <f t="shared" si="4"/>
        <v>0.1929563492</v>
      </c>
      <c r="K71" s="429" t="str">
        <f t="shared" si="5"/>
        <v>10000</v>
      </c>
      <c r="L71" s="429">
        <f t="shared" si="6"/>
        <v>-9970</v>
      </c>
      <c r="M71" s="429" t="str">
        <f t="shared" si="7"/>
        <v>Not Met</v>
      </c>
      <c r="N71" s="430">
        <f t="shared" si="8"/>
        <v>1000</v>
      </c>
      <c r="O71" s="430" t="str">
        <f t="shared" si="9"/>
        <v>Not Met</v>
      </c>
      <c r="P71" s="431" t="str">
        <f t="shared" si="10"/>
        <v>H</v>
      </c>
      <c r="Q71" s="431" t="str">
        <f t="shared" si="11"/>
        <v>H</v>
      </c>
      <c r="R71" s="431" t="str">
        <f t="shared" si="12"/>
        <v>H</v>
      </c>
      <c r="S71" s="431" t="str">
        <f t="shared" si="13"/>
        <v>H</v>
      </c>
    </row>
    <row r="72">
      <c r="A72" s="425" t="s">
        <v>172</v>
      </c>
      <c r="B72" s="425">
        <v>20.0</v>
      </c>
      <c r="C72" s="426">
        <v>1038.1799999999998</v>
      </c>
      <c r="D72" s="425" t="str">
        <f>IFERROR(__xludf.DUMMYFUNCTION("if(ISBLANK(A72),"""",GOOGLEFINANCE(A72,""NAME""))"),"Zen Technologies Limited")</f>
        <v>Zen Technologies Limited</v>
      </c>
      <c r="E72" s="427" t="str">
        <f t="shared" si="1"/>
        <v>Mid Cap</v>
      </c>
      <c r="F72" s="426" t="str">
        <f t="shared" si="2"/>
        <v>|||</v>
      </c>
      <c r="G72" s="32">
        <f>IFERROR(__xludf.DUMMYFUNCTION("if(ISBLANK(A72),"""",googlefinance(A72,""Marketcap"")/10000000)"),16756.6611106)</f>
        <v>16756.66111</v>
      </c>
      <c r="H72" s="426">
        <f>IFERROR(__xludf.DUMMYFUNCTION("if(isblank(A72),"""",Googlefinance(A72, ""Price""))"),1861.0)</f>
        <v>1861</v>
      </c>
      <c r="I72" s="426">
        <f t="shared" si="3"/>
        <v>16456.4</v>
      </c>
      <c r="J72" s="428">
        <f t="shared" si="4"/>
        <v>0.792560057</v>
      </c>
      <c r="K72" s="429" t="str">
        <f t="shared" si="5"/>
        <v>500</v>
      </c>
      <c r="L72" s="429">
        <f t="shared" si="6"/>
        <v>-480</v>
      </c>
      <c r="M72" s="429" t="str">
        <f t="shared" si="7"/>
        <v>Not Met</v>
      </c>
      <c r="N72" s="430">
        <f t="shared" si="8"/>
        <v>20000</v>
      </c>
      <c r="O72" s="430" t="str">
        <f t="shared" si="9"/>
        <v>Not Met</v>
      </c>
      <c r="P72" s="431" t="str">
        <f t="shared" si="10"/>
        <v>H</v>
      </c>
      <c r="Q72" s="431" t="str">
        <f t="shared" si="11"/>
        <v>H</v>
      </c>
      <c r="R72" s="431" t="str">
        <f t="shared" si="12"/>
        <v>H</v>
      </c>
      <c r="S72" s="431" t="str">
        <f t="shared" si="13"/>
        <v>H</v>
      </c>
    </row>
    <row r="73">
      <c r="A73" s="425" t="s">
        <v>267</v>
      </c>
      <c r="B73" s="425">
        <v>2.0</v>
      </c>
      <c r="C73" s="426">
        <v>155.0</v>
      </c>
      <c r="D73" s="425" t="str">
        <f>IFERROR(__xludf.DUMMYFUNCTION("if(ISBLANK(A73),"""",GOOGLEFINANCE(A73,""NAME""))"),"#N/A")</f>
        <v>#N/A</v>
      </c>
      <c r="E73" s="427" t="str">
        <f t="shared" si="1"/>
        <v>#N/A</v>
      </c>
      <c r="F73" s="426" t="str">
        <f t="shared" si="2"/>
        <v>#N/A</v>
      </c>
      <c r="G73" s="32" t="str">
        <f>IFERROR(__xludf.DUMMYFUNCTION("if(ISBLANK(A73),"""",googlefinance(A73,""Marketcap"")/10000000)"),"#N/A")</f>
        <v>#N/A</v>
      </c>
      <c r="H73" s="426" t="str">
        <f>IFERROR(__xludf.DUMMYFUNCTION("if(isblank(A73),"""",Googlefinance(A73, ""Price""))"),"#N/A")</f>
        <v>#N/A</v>
      </c>
      <c r="I73" s="426" t="str">
        <f t="shared" si="3"/>
        <v>#N/A</v>
      </c>
      <c r="J73" s="428" t="str">
        <f t="shared" si="4"/>
        <v>#N/A</v>
      </c>
      <c r="K73" s="429" t="str">
        <f t="shared" si="5"/>
        <v>#N/A</v>
      </c>
      <c r="L73" s="429" t="str">
        <f t="shared" si="6"/>
        <v>#N/A</v>
      </c>
      <c r="M73" s="429" t="str">
        <f t="shared" si="7"/>
        <v>#N/A</v>
      </c>
      <c r="N73" s="430" t="str">
        <f t="shared" si="8"/>
        <v>#N/A</v>
      </c>
      <c r="O73" s="430" t="str">
        <f t="shared" si="9"/>
        <v>#N/A</v>
      </c>
      <c r="P73" s="431" t="str">
        <f t="shared" si="10"/>
        <v>#N/A</v>
      </c>
      <c r="Q73" s="431" t="str">
        <f t="shared" si="11"/>
        <v>#N/A</v>
      </c>
      <c r="R73" s="431" t="str">
        <f t="shared" si="12"/>
        <v>#N/A</v>
      </c>
      <c r="S73" s="431" t="str">
        <f t="shared" si="13"/>
        <v>#N/A</v>
      </c>
    </row>
    <row r="74">
      <c r="A74" s="425"/>
      <c r="B74" s="425"/>
      <c r="C74" s="426"/>
      <c r="D74" s="425" t="str">
        <f>IFERROR(__xludf.DUMMYFUNCTION("if(ISBLANK(A74),"""",GOOGLEFINANCE(A74,""NAME""))"),"")</f>
        <v/>
      </c>
      <c r="E74" s="427" t="str">
        <f t="shared" si="1"/>
        <v/>
      </c>
      <c r="F74" s="426" t="str">
        <f t="shared" si="2"/>
        <v/>
      </c>
      <c r="G74" s="32" t="str">
        <f>IFERROR(__xludf.DUMMYFUNCTION("if(ISBLANK(A74),"""",googlefinance(A74,""Marketcap"")/10000000)"),"")</f>
        <v/>
      </c>
      <c r="H74" s="426" t="str">
        <f>IFERROR(__xludf.DUMMYFUNCTION("if(isblank(A74),"""",Googlefinance(A74, ""Price""))"),"")</f>
        <v/>
      </c>
      <c r="I74" s="426" t="str">
        <f t="shared" si="3"/>
        <v/>
      </c>
      <c r="J74" s="428" t="str">
        <f t="shared" si="4"/>
        <v/>
      </c>
      <c r="K74" s="429" t="str">
        <f t="shared" si="5"/>
        <v/>
      </c>
      <c r="L74" s="429" t="str">
        <f t="shared" si="6"/>
        <v/>
      </c>
      <c r="M74" s="429" t="str">
        <f t="shared" si="7"/>
        <v/>
      </c>
      <c r="N74" s="430" t="str">
        <f t="shared" si="8"/>
        <v>#DIV/0!</v>
      </c>
      <c r="O74" s="430" t="str">
        <f t="shared" si="9"/>
        <v/>
      </c>
      <c r="P74" s="431" t="str">
        <f t="shared" si="10"/>
        <v/>
      </c>
      <c r="Q74" s="431" t="str">
        <f t="shared" si="11"/>
        <v/>
      </c>
      <c r="R74" s="431" t="str">
        <f t="shared" si="12"/>
        <v/>
      </c>
      <c r="S74" s="431" t="str">
        <f t="shared" si="13"/>
        <v/>
      </c>
    </row>
    <row r="75">
      <c r="A75" s="425"/>
      <c r="B75" s="425"/>
      <c r="C75" s="426"/>
      <c r="D75" s="425" t="str">
        <f>IFERROR(__xludf.DUMMYFUNCTION("if(ISBLANK(A75),"""",GOOGLEFINANCE(A75,""NAME""))"),"")</f>
        <v/>
      </c>
      <c r="E75" s="427" t="str">
        <f t="shared" si="1"/>
        <v/>
      </c>
      <c r="F75" s="426" t="str">
        <f t="shared" si="2"/>
        <v/>
      </c>
      <c r="G75" s="32" t="str">
        <f>IFERROR(__xludf.DUMMYFUNCTION("if(ISBLANK(A75),"""",googlefinance(A75,""Marketcap"")/10000000)"),"")</f>
        <v/>
      </c>
      <c r="H75" s="426" t="str">
        <f>IFERROR(__xludf.DUMMYFUNCTION("if(isblank(A75),"""",Googlefinance(A75, ""Price""))"),"")</f>
        <v/>
      </c>
      <c r="I75" s="426" t="str">
        <f t="shared" si="3"/>
        <v/>
      </c>
      <c r="J75" s="428" t="str">
        <f t="shared" si="4"/>
        <v/>
      </c>
      <c r="K75" s="429" t="str">
        <f t="shared" si="5"/>
        <v/>
      </c>
      <c r="L75" s="429" t="str">
        <f t="shared" si="6"/>
        <v/>
      </c>
      <c r="M75" s="429" t="str">
        <f t="shared" si="7"/>
        <v/>
      </c>
      <c r="N75" s="430" t="str">
        <f t="shared" si="8"/>
        <v>#DIV/0!</v>
      </c>
      <c r="O75" s="430" t="str">
        <f t="shared" si="9"/>
        <v/>
      </c>
      <c r="P75" s="431" t="str">
        <f t="shared" si="10"/>
        <v/>
      </c>
      <c r="Q75" s="431" t="str">
        <f t="shared" si="11"/>
        <v/>
      </c>
      <c r="R75" s="431" t="str">
        <f t="shared" si="12"/>
        <v/>
      </c>
      <c r="S75" s="431" t="str">
        <f t="shared" si="13"/>
        <v/>
      </c>
    </row>
    <row r="76">
      <c r="A76" s="425"/>
      <c r="B76" s="425"/>
      <c r="C76" s="426"/>
      <c r="D76" s="425" t="str">
        <f>IFERROR(__xludf.DUMMYFUNCTION("if(ISBLANK(A76),"""",GOOGLEFINANCE(A76,""NAME""))"),"")</f>
        <v/>
      </c>
      <c r="E76" s="427" t="str">
        <f t="shared" si="1"/>
        <v/>
      </c>
      <c r="F76" s="426" t="str">
        <f t="shared" si="2"/>
        <v/>
      </c>
      <c r="G76" s="32" t="str">
        <f>IFERROR(__xludf.DUMMYFUNCTION("if(ISBLANK(A76),"""",googlefinance(A76,""Marketcap"")/10000000)"),"")</f>
        <v/>
      </c>
      <c r="H76" s="426" t="str">
        <f>IFERROR(__xludf.DUMMYFUNCTION("if(isblank(A76),"""",Googlefinance(A76, ""Price""))"),"")</f>
        <v/>
      </c>
      <c r="I76" s="426" t="str">
        <f t="shared" si="3"/>
        <v/>
      </c>
      <c r="J76" s="428" t="str">
        <f t="shared" si="4"/>
        <v/>
      </c>
      <c r="K76" s="429" t="str">
        <f t="shared" si="5"/>
        <v/>
      </c>
      <c r="L76" s="429" t="str">
        <f t="shared" si="6"/>
        <v/>
      </c>
      <c r="M76" s="429" t="str">
        <f t="shared" si="7"/>
        <v/>
      </c>
      <c r="N76" s="430" t="str">
        <f t="shared" si="8"/>
        <v>#DIV/0!</v>
      </c>
      <c r="O76" s="430" t="str">
        <f t="shared" si="9"/>
        <v/>
      </c>
      <c r="P76" s="431" t="str">
        <f t="shared" si="10"/>
        <v/>
      </c>
      <c r="Q76" s="431" t="str">
        <f t="shared" si="11"/>
        <v/>
      </c>
      <c r="R76" s="431" t="str">
        <f t="shared" si="12"/>
        <v/>
      </c>
      <c r="S76" s="431" t="str">
        <f t="shared" si="13"/>
        <v/>
      </c>
    </row>
    <row r="77">
      <c r="A77" s="425"/>
      <c r="B77" s="425"/>
      <c r="C77" s="426"/>
      <c r="D77" s="425" t="str">
        <f>IFERROR(__xludf.DUMMYFUNCTION("if(ISBLANK(A77),"""",GOOGLEFINANCE(A77,""NAME""))"),"")</f>
        <v/>
      </c>
      <c r="E77" s="427" t="str">
        <f t="shared" si="1"/>
        <v/>
      </c>
      <c r="F77" s="426" t="str">
        <f t="shared" si="2"/>
        <v/>
      </c>
      <c r="G77" s="32" t="str">
        <f>IFERROR(__xludf.DUMMYFUNCTION("if(ISBLANK(A77),"""",googlefinance(A77,""Marketcap"")/10000000)"),"")</f>
        <v/>
      </c>
      <c r="H77" s="426" t="str">
        <f>IFERROR(__xludf.DUMMYFUNCTION("if(isblank(A77),"""",Googlefinance(A77, ""Price""))"),"")</f>
        <v/>
      </c>
      <c r="I77" s="426" t="str">
        <f t="shared" si="3"/>
        <v/>
      </c>
      <c r="J77" s="428" t="str">
        <f t="shared" si="4"/>
        <v/>
      </c>
      <c r="K77" s="429" t="str">
        <f t="shared" si="5"/>
        <v/>
      </c>
      <c r="L77" s="429" t="str">
        <f t="shared" si="6"/>
        <v/>
      </c>
      <c r="M77" s="429" t="str">
        <f t="shared" si="7"/>
        <v/>
      </c>
      <c r="N77" s="430" t="str">
        <f t="shared" si="8"/>
        <v>#DIV/0!</v>
      </c>
      <c r="O77" s="430" t="str">
        <f t="shared" si="9"/>
        <v/>
      </c>
      <c r="P77" s="431" t="str">
        <f t="shared" si="10"/>
        <v/>
      </c>
      <c r="Q77" s="431" t="str">
        <f t="shared" si="11"/>
        <v/>
      </c>
      <c r="R77" s="431" t="str">
        <f t="shared" si="12"/>
        <v/>
      </c>
      <c r="S77" s="431" t="str">
        <f t="shared" si="13"/>
        <v/>
      </c>
    </row>
    <row r="78">
      <c r="A78" s="436"/>
      <c r="B78" s="425"/>
      <c r="C78" s="426"/>
      <c r="D78" s="425" t="str">
        <f>IFERROR(__xludf.DUMMYFUNCTION("if(ISBLANK(A78),"""",GOOGLEFINANCE(A78,""NAME""))"),"")</f>
        <v/>
      </c>
      <c r="E78" s="427" t="str">
        <f t="shared" si="1"/>
        <v/>
      </c>
      <c r="F78" s="426" t="str">
        <f t="shared" si="2"/>
        <v/>
      </c>
      <c r="G78" s="32" t="str">
        <f>IFERROR(__xludf.DUMMYFUNCTION("if(ISBLANK(A78),"""",googlefinance(A78,""Marketcap"")/10000000)"),"")</f>
        <v/>
      </c>
      <c r="H78" s="426" t="str">
        <f>IFERROR(__xludf.DUMMYFUNCTION("if(isblank(A78),"""",Googlefinance(A78, ""Price""))"),"")</f>
        <v/>
      </c>
      <c r="I78" s="426" t="str">
        <f t="shared" si="3"/>
        <v/>
      </c>
      <c r="J78" s="428" t="str">
        <f t="shared" si="4"/>
        <v/>
      </c>
      <c r="K78" s="429" t="str">
        <f t="shared" si="5"/>
        <v/>
      </c>
      <c r="L78" s="429" t="str">
        <f t="shared" si="6"/>
        <v/>
      </c>
      <c r="M78" s="429" t="str">
        <f t="shared" si="7"/>
        <v/>
      </c>
      <c r="N78" s="430" t="str">
        <f t="shared" si="8"/>
        <v>#DIV/0!</v>
      </c>
      <c r="O78" s="430" t="str">
        <f t="shared" si="9"/>
        <v/>
      </c>
      <c r="P78" s="431" t="str">
        <f t="shared" si="10"/>
        <v/>
      </c>
      <c r="Q78" s="431" t="str">
        <f t="shared" si="11"/>
        <v/>
      </c>
      <c r="R78" s="431" t="str">
        <f t="shared" si="12"/>
        <v/>
      </c>
      <c r="S78" s="431" t="str">
        <f t="shared" si="13"/>
        <v/>
      </c>
    </row>
    <row r="79">
      <c r="A79" s="425"/>
      <c r="B79" s="425"/>
      <c r="C79" s="426"/>
      <c r="D79" s="425" t="str">
        <f>IFERROR(__xludf.DUMMYFUNCTION("if(ISBLANK(A79),"""",GOOGLEFINANCE(A79,""NAME""))"),"")</f>
        <v/>
      </c>
      <c r="E79" s="427" t="str">
        <f t="shared" si="1"/>
        <v/>
      </c>
      <c r="F79" s="426" t="str">
        <f t="shared" si="2"/>
        <v/>
      </c>
      <c r="G79" s="32" t="str">
        <f>IFERROR(__xludf.DUMMYFUNCTION("if(ISBLANK(A79),"""",googlefinance(A79,""Marketcap"")/10000000)"),"")</f>
        <v/>
      </c>
      <c r="H79" s="426" t="str">
        <f>IFERROR(__xludf.DUMMYFUNCTION("if(isblank(A79),"""",Googlefinance(A79, ""Price""))"),"")</f>
        <v/>
      </c>
      <c r="I79" s="426" t="str">
        <f t="shared" si="3"/>
        <v/>
      </c>
      <c r="J79" s="428" t="str">
        <f t="shared" si="4"/>
        <v/>
      </c>
      <c r="K79" s="429" t="str">
        <f t="shared" si="5"/>
        <v/>
      </c>
      <c r="L79" s="429" t="str">
        <f t="shared" si="6"/>
        <v/>
      </c>
      <c r="M79" s="429" t="str">
        <f t="shared" si="7"/>
        <v/>
      </c>
      <c r="N79" s="430" t="str">
        <f t="shared" si="8"/>
        <v>#DIV/0!</v>
      </c>
      <c r="O79" s="430" t="str">
        <f t="shared" si="9"/>
        <v/>
      </c>
      <c r="P79" s="431" t="str">
        <f t="shared" si="10"/>
        <v/>
      </c>
      <c r="Q79" s="431" t="str">
        <f t="shared" si="11"/>
        <v/>
      </c>
      <c r="R79" s="431" t="str">
        <f t="shared" si="12"/>
        <v/>
      </c>
      <c r="S79" s="431" t="str">
        <f t="shared" si="13"/>
        <v/>
      </c>
    </row>
    <row r="80">
      <c r="A80" s="425"/>
      <c r="B80" s="425"/>
      <c r="C80" s="426"/>
      <c r="D80" s="425" t="str">
        <f>IFERROR(__xludf.DUMMYFUNCTION("if(ISBLANK(A80),"""",GOOGLEFINANCE(A80,""NAME""))"),"")</f>
        <v/>
      </c>
      <c r="E80" s="427" t="str">
        <f t="shared" si="1"/>
        <v/>
      </c>
      <c r="F80" s="426" t="str">
        <f t="shared" si="2"/>
        <v/>
      </c>
      <c r="G80" s="32" t="str">
        <f>IFERROR(__xludf.DUMMYFUNCTION("if(ISBLANK(A80),"""",googlefinance(A80,""Marketcap"")/10000000)"),"")</f>
        <v/>
      </c>
      <c r="H80" s="426" t="str">
        <f>IFERROR(__xludf.DUMMYFUNCTION("if(isblank(A80),"""",Googlefinance(A80, ""Price""))"),"")</f>
        <v/>
      </c>
      <c r="I80" s="426" t="str">
        <f t="shared" si="3"/>
        <v/>
      </c>
      <c r="J80" s="428" t="str">
        <f t="shared" si="4"/>
        <v/>
      </c>
      <c r="K80" s="429" t="str">
        <f t="shared" si="5"/>
        <v/>
      </c>
      <c r="L80" s="429" t="str">
        <f t="shared" si="6"/>
        <v/>
      </c>
      <c r="M80" s="429" t="str">
        <f t="shared" si="7"/>
        <v/>
      </c>
      <c r="N80" s="430" t="str">
        <f t="shared" si="8"/>
        <v>#DIV/0!</v>
      </c>
      <c r="O80" s="430" t="str">
        <f t="shared" si="9"/>
        <v/>
      </c>
      <c r="P80" s="431" t="str">
        <f t="shared" si="10"/>
        <v/>
      </c>
      <c r="Q80" s="431" t="str">
        <f t="shared" si="11"/>
        <v/>
      </c>
      <c r="R80" s="431" t="str">
        <f t="shared" si="12"/>
        <v/>
      </c>
      <c r="S80" s="431" t="str">
        <f t="shared" si="13"/>
        <v/>
      </c>
    </row>
    <row r="81">
      <c r="A81" s="425"/>
      <c r="B81" s="425"/>
      <c r="C81" s="426"/>
      <c r="D81" s="425" t="str">
        <f>IFERROR(__xludf.DUMMYFUNCTION("if(ISBLANK(A81),"""",GOOGLEFINANCE(A81,""NAME""))"),"")</f>
        <v/>
      </c>
      <c r="E81" s="427" t="str">
        <f t="shared" si="1"/>
        <v/>
      </c>
      <c r="F81" s="426" t="str">
        <f t="shared" si="2"/>
        <v/>
      </c>
      <c r="G81" s="32" t="str">
        <f>IFERROR(__xludf.DUMMYFUNCTION("if(ISBLANK(A81),"""",googlefinance(A81,""Marketcap"")/10000000)"),"")</f>
        <v/>
      </c>
      <c r="H81" s="426" t="str">
        <f>IFERROR(__xludf.DUMMYFUNCTION("if(isblank(A81),"""",Googlefinance(A81, ""Price""))"),"")</f>
        <v/>
      </c>
      <c r="I81" s="426" t="str">
        <f t="shared" si="3"/>
        <v/>
      </c>
      <c r="J81" s="428" t="str">
        <f t="shared" si="4"/>
        <v/>
      </c>
      <c r="K81" s="429" t="str">
        <f t="shared" si="5"/>
        <v/>
      </c>
      <c r="L81" s="429" t="str">
        <f t="shared" si="6"/>
        <v/>
      </c>
      <c r="M81" s="429" t="str">
        <f t="shared" si="7"/>
        <v/>
      </c>
      <c r="N81" s="430" t="str">
        <f t="shared" si="8"/>
        <v>#DIV/0!</v>
      </c>
      <c r="O81" s="430" t="str">
        <f t="shared" si="9"/>
        <v/>
      </c>
      <c r="P81" s="431" t="str">
        <f t="shared" si="10"/>
        <v/>
      </c>
      <c r="Q81" s="431" t="str">
        <f t="shared" si="11"/>
        <v/>
      </c>
      <c r="R81" s="431" t="str">
        <f t="shared" si="12"/>
        <v/>
      </c>
      <c r="S81" s="431" t="str">
        <f t="shared" si="13"/>
        <v/>
      </c>
    </row>
    <row r="82">
      <c r="A82" s="425"/>
      <c r="B82" s="425"/>
      <c r="C82" s="426"/>
      <c r="D82" s="425" t="str">
        <f>IFERROR(__xludf.DUMMYFUNCTION("if(ISBLANK(A82),"""",GOOGLEFINANCE(A82,""NAME""))"),"")</f>
        <v/>
      </c>
      <c r="E82" s="427" t="str">
        <f t="shared" si="1"/>
        <v/>
      </c>
      <c r="F82" s="426" t="str">
        <f t="shared" si="2"/>
        <v/>
      </c>
      <c r="G82" s="32" t="str">
        <f>IFERROR(__xludf.DUMMYFUNCTION("if(ISBLANK(A82),"""",googlefinance(A82,""Marketcap"")/10000000)"),"")</f>
        <v/>
      </c>
      <c r="H82" s="426" t="str">
        <f>IFERROR(__xludf.DUMMYFUNCTION("if(isblank(A82),"""",Googlefinance(A82, ""Price""))"),"")</f>
        <v/>
      </c>
      <c r="I82" s="426" t="str">
        <f t="shared" si="3"/>
        <v/>
      </c>
      <c r="J82" s="428" t="str">
        <f t="shared" si="4"/>
        <v/>
      </c>
      <c r="K82" s="429" t="str">
        <f t="shared" si="5"/>
        <v/>
      </c>
      <c r="L82" s="429" t="str">
        <f t="shared" si="6"/>
        <v/>
      </c>
      <c r="M82" s="429" t="str">
        <f t="shared" si="7"/>
        <v/>
      </c>
      <c r="N82" s="430" t="str">
        <f t="shared" si="8"/>
        <v>#DIV/0!</v>
      </c>
      <c r="O82" s="430" t="str">
        <f t="shared" si="9"/>
        <v/>
      </c>
      <c r="P82" s="431" t="str">
        <f t="shared" si="10"/>
        <v/>
      </c>
      <c r="Q82" s="431" t="str">
        <f t="shared" si="11"/>
        <v/>
      </c>
      <c r="R82" s="431" t="str">
        <f t="shared" si="12"/>
        <v/>
      </c>
      <c r="S82" s="431" t="str">
        <f t="shared" si="13"/>
        <v/>
      </c>
    </row>
    <row r="83">
      <c r="A83" s="425"/>
      <c r="B83" s="425"/>
      <c r="C83" s="426"/>
      <c r="D83" s="425" t="str">
        <f>IFERROR(__xludf.DUMMYFUNCTION("if(ISBLANK(A83),"""",GOOGLEFINANCE(A83,""NAME""))"),"")</f>
        <v/>
      </c>
      <c r="E83" s="427" t="str">
        <f t="shared" si="1"/>
        <v/>
      </c>
      <c r="F83" s="426" t="str">
        <f t="shared" si="2"/>
        <v/>
      </c>
      <c r="G83" s="32" t="str">
        <f>IFERROR(__xludf.DUMMYFUNCTION("if(ISBLANK(A83),"""",googlefinance(A83,""Marketcap"")/10000000)"),"")</f>
        <v/>
      </c>
      <c r="H83" s="426" t="str">
        <f>IFERROR(__xludf.DUMMYFUNCTION("if(isblank(A83),"""",Googlefinance(A83, ""Price""))"),"")</f>
        <v/>
      </c>
      <c r="I83" s="426" t="str">
        <f t="shared" si="3"/>
        <v/>
      </c>
      <c r="J83" s="428" t="str">
        <f t="shared" si="4"/>
        <v/>
      </c>
      <c r="K83" s="429" t="str">
        <f t="shared" si="5"/>
        <v/>
      </c>
      <c r="L83" s="429" t="str">
        <f t="shared" si="6"/>
        <v/>
      </c>
      <c r="M83" s="429" t="str">
        <f t="shared" si="7"/>
        <v/>
      </c>
      <c r="N83" s="430" t="str">
        <f t="shared" si="8"/>
        <v>#DIV/0!</v>
      </c>
      <c r="O83" s="430" t="str">
        <f t="shared" si="9"/>
        <v/>
      </c>
      <c r="P83" s="431" t="str">
        <f t="shared" si="10"/>
        <v/>
      </c>
      <c r="Q83" s="431" t="str">
        <f t="shared" si="11"/>
        <v/>
      </c>
      <c r="R83" s="431" t="str">
        <f t="shared" si="12"/>
        <v/>
      </c>
      <c r="S83" s="431" t="str">
        <f t="shared" si="13"/>
        <v/>
      </c>
    </row>
    <row r="84">
      <c r="A84" s="425"/>
      <c r="B84" s="425"/>
      <c r="C84" s="426"/>
      <c r="D84" s="425" t="str">
        <f>IFERROR(__xludf.DUMMYFUNCTION("if(ISBLANK(A84),"""",GOOGLEFINANCE(A84,""NAME""))"),"")</f>
        <v/>
      </c>
      <c r="E84" s="427" t="str">
        <f t="shared" si="1"/>
        <v/>
      </c>
      <c r="F84" s="426" t="str">
        <f t="shared" si="2"/>
        <v/>
      </c>
      <c r="G84" s="32" t="str">
        <f>IFERROR(__xludf.DUMMYFUNCTION("if(ISBLANK(A84),"""",googlefinance(A84,""Marketcap"")/10000000)"),"")</f>
        <v/>
      </c>
      <c r="H84" s="426" t="str">
        <f>IFERROR(__xludf.DUMMYFUNCTION("if(isblank(A84),"""",Googlefinance(A84, ""Price""))"),"")</f>
        <v/>
      </c>
      <c r="I84" s="426" t="str">
        <f t="shared" si="3"/>
        <v/>
      </c>
      <c r="J84" s="428" t="str">
        <f t="shared" si="4"/>
        <v/>
      </c>
      <c r="K84" s="429" t="str">
        <f t="shared" si="5"/>
        <v/>
      </c>
      <c r="L84" s="429" t="str">
        <f t="shared" si="6"/>
        <v/>
      </c>
      <c r="M84" s="429" t="str">
        <f t="shared" si="7"/>
        <v/>
      </c>
      <c r="N84" s="430" t="str">
        <f t="shared" si="8"/>
        <v>#DIV/0!</v>
      </c>
      <c r="O84" s="430" t="str">
        <f t="shared" si="9"/>
        <v/>
      </c>
      <c r="P84" s="431" t="str">
        <f t="shared" si="10"/>
        <v/>
      </c>
      <c r="Q84" s="431" t="str">
        <f t="shared" si="11"/>
        <v/>
      </c>
      <c r="R84" s="431" t="str">
        <f t="shared" si="12"/>
        <v/>
      </c>
      <c r="S84" s="431" t="str">
        <f t="shared" si="13"/>
        <v/>
      </c>
    </row>
    <row r="85">
      <c r="A85" s="425"/>
      <c r="B85" s="425"/>
      <c r="C85" s="426"/>
      <c r="D85" s="425" t="str">
        <f>IFERROR(__xludf.DUMMYFUNCTION("if(ISBLANK(A85),"""",GOOGLEFINANCE(A85,""NAME""))"),"")</f>
        <v/>
      </c>
      <c r="E85" s="427" t="str">
        <f t="shared" si="1"/>
        <v/>
      </c>
      <c r="F85" s="426" t="str">
        <f t="shared" si="2"/>
        <v/>
      </c>
      <c r="G85" s="32" t="str">
        <f>IFERROR(__xludf.DUMMYFUNCTION("if(ISBLANK(A85),"""",googlefinance(A85,""Marketcap"")/10000000)"),"")</f>
        <v/>
      </c>
      <c r="H85" s="426" t="str">
        <f>IFERROR(__xludf.DUMMYFUNCTION("if(isblank(A85),"""",Googlefinance(A85, ""Price""))"),"")</f>
        <v/>
      </c>
      <c r="I85" s="426" t="str">
        <f t="shared" si="3"/>
        <v/>
      </c>
      <c r="J85" s="428" t="str">
        <f t="shared" si="4"/>
        <v/>
      </c>
      <c r="K85" s="429" t="str">
        <f t="shared" si="5"/>
        <v/>
      </c>
      <c r="L85" s="429" t="str">
        <f t="shared" si="6"/>
        <v/>
      </c>
      <c r="M85" s="429" t="str">
        <f t="shared" si="7"/>
        <v/>
      </c>
      <c r="N85" s="430" t="str">
        <f t="shared" si="8"/>
        <v>#DIV/0!</v>
      </c>
      <c r="O85" s="430" t="str">
        <f t="shared" si="9"/>
        <v/>
      </c>
      <c r="P85" s="431" t="str">
        <f t="shared" si="10"/>
        <v/>
      </c>
      <c r="Q85" s="431" t="str">
        <f t="shared" si="11"/>
        <v/>
      </c>
      <c r="R85" s="431" t="str">
        <f t="shared" si="12"/>
        <v/>
      </c>
      <c r="S85" s="431" t="str">
        <f t="shared" si="13"/>
        <v/>
      </c>
    </row>
    <row r="86">
      <c r="A86" s="425"/>
      <c r="B86" s="425"/>
      <c r="C86" s="426"/>
      <c r="D86" s="425" t="str">
        <f>IFERROR(__xludf.DUMMYFUNCTION("if(ISBLANK(A86),"""",GOOGLEFINANCE(A86,""NAME""))"),"")</f>
        <v/>
      </c>
      <c r="E86" s="427" t="str">
        <f t="shared" si="1"/>
        <v/>
      </c>
      <c r="F86" s="426" t="str">
        <f t="shared" si="2"/>
        <v/>
      </c>
      <c r="G86" s="32" t="str">
        <f>IFERROR(__xludf.DUMMYFUNCTION("if(ISBLANK(A86),"""",googlefinance(A86,""Marketcap"")/10000000)"),"")</f>
        <v/>
      </c>
      <c r="H86" s="426" t="str">
        <f>IFERROR(__xludf.DUMMYFUNCTION("if(isblank(A86),"""",Googlefinance(A86, ""Price""))"),"")</f>
        <v/>
      </c>
      <c r="I86" s="426" t="str">
        <f t="shared" si="3"/>
        <v/>
      </c>
      <c r="J86" s="428" t="str">
        <f t="shared" si="4"/>
        <v/>
      </c>
      <c r="K86" s="429" t="str">
        <f t="shared" si="5"/>
        <v/>
      </c>
      <c r="L86" s="429" t="str">
        <f t="shared" si="6"/>
        <v/>
      </c>
      <c r="M86" s="429" t="str">
        <f t="shared" si="7"/>
        <v/>
      </c>
      <c r="N86" s="430" t="str">
        <f t="shared" si="8"/>
        <v>#DIV/0!</v>
      </c>
      <c r="O86" s="430" t="str">
        <f t="shared" si="9"/>
        <v/>
      </c>
      <c r="P86" s="431" t="str">
        <f t="shared" si="10"/>
        <v/>
      </c>
      <c r="Q86" s="431" t="str">
        <f t="shared" si="11"/>
        <v/>
      </c>
      <c r="R86" s="431" t="str">
        <f t="shared" si="12"/>
        <v/>
      </c>
      <c r="S86" s="431" t="str">
        <f t="shared" si="13"/>
        <v/>
      </c>
    </row>
    <row r="87">
      <c r="A87" s="425"/>
      <c r="B87" s="425"/>
      <c r="C87" s="426"/>
      <c r="D87" s="425" t="str">
        <f>IFERROR(__xludf.DUMMYFUNCTION("if(ISBLANK(A87),"""",GOOGLEFINANCE(A87,""NAME""))"),"")</f>
        <v/>
      </c>
      <c r="E87" s="427" t="str">
        <f t="shared" si="1"/>
        <v/>
      </c>
      <c r="F87" s="426" t="str">
        <f t="shared" si="2"/>
        <v/>
      </c>
      <c r="G87" s="32" t="str">
        <f>IFERROR(__xludf.DUMMYFUNCTION("if(ISBLANK(A87),"""",googlefinance(A87,""Marketcap"")/10000000)"),"")</f>
        <v/>
      </c>
      <c r="H87" s="426" t="str">
        <f>IFERROR(__xludf.DUMMYFUNCTION("if(isblank(A87),"""",Googlefinance(A87, ""Price""))"),"")</f>
        <v/>
      </c>
      <c r="I87" s="426" t="str">
        <f t="shared" si="3"/>
        <v/>
      </c>
      <c r="J87" s="428" t="str">
        <f t="shared" si="4"/>
        <v/>
      </c>
      <c r="K87" s="429" t="str">
        <f t="shared" si="5"/>
        <v/>
      </c>
      <c r="L87" s="429" t="str">
        <f t="shared" si="6"/>
        <v/>
      </c>
      <c r="M87" s="429" t="str">
        <f t="shared" si="7"/>
        <v/>
      </c>
      <c r="N87" s="430" t="str">
        <f t="shared" si="8"/>
        <v>#DIV/0!</v>
      </c>
      <c r="O87" s="430" t="str">
        <f t="shared" si="9"/>
        <v/>
      </c>
      <c r="P87" s="431" t="str">
        <f t="shared" si="10"/>
        <v/>
      </c>
      <c r="Q87" s="431" t="str">
        <f t="shared" si="11"/>
        <v/>
      </c>
      <c r="R87" s="431" t="str">
        <f t="shared" si="12"/>
        <v/>
      </c>
      <c r="S87" s="431" t="str">
        <f t="shared" si="13"/>
        <v/>
      </c>
    </row>
    <row r="88">
      <c r="A88" s="425"/>
      <c r="B88" s="425"/>
      <c r="C88" s="426"/>
      <c r="D88" s="425" t="str">
        <f>IFERROR(__xludf.DUMMYFUNCTION("if(ISBLANK(A88),"""",GOOGLEFINANCE(A88,""NAME""))"),"")</f>
        <v/>
      </c>
      <c r="E88" s="427" t="str">
        <f t="shared" si="1"/>
        <v/>
      </c>
      <c r="F88" s="426" t="str">
        <f t="shared" si="2"/>
        <v/>
      </c>
      <c r="G88" s="32" t="str">
        <f>IFERROR(__xludf.DUMMYFUNCTION("if(ISBLANK(A88),"""",googlefinance(A88,""Marketcap"")/10000000)"),"")</f>
        <v/>
      </c>
      <c r="H88" s="426" t="str">
        <f>IFERROR(__xludf.DUMMYFUNCTION("if(isblank(A88),"""",Googlefinance(A88, ""Price""))"),"")</f>
        <v/>
      </c>
      <c r="I88" s="426" t="str">
        <f t="shared" si="3"/>
        <v/>
      </c>
      <c r="J88" s="428" t="str">
        <f t="shared" si="4"/>
        <v/>
      </c>
      <c r="K88" s="429" t="str">
        <f t="shared" si="5"/>
        <v/>
      </c>
      <c r="L88" s="429" t="str">
        <f t="shared" si="6"/>
        <v/>
      </c>
      <c r="M88" s="429" t="str">
        <f t="shared" si="7"/>
        <v/>
      </c>
      <c r="N88" s="430" t="str">
        <f t="shared" si="8"/>
        <v>#DIV/0!</v>
      </c>
      <c r="O88" s="430" t="str">
        <f t="shared" si="9"/>
        <v/>
      </c>
      <c r="P88" s="431" t="str">
        <f t="shared" si="10"/>
        <v/>
      </c>
      <c r="Q88" s="431" t="str">
        <f t="shared" si="11"/>
        <v/>
      </c>
      <c r="R88" s="431" t="str">
        <f t="shared" si="12"/>
        <v/>
      </c>
      <c r="S88" s="431" t="str">
        <f t="shared" si="13"/>
        <v/>
      </c>
    </row>
    <row r="89">
      <c r="A89" s="425"/>
      <c r="B89" s="425"/>
      <c r="C89" s="426"/>
      <c r="D89" s="425" t="str">
        <f>IFERROR(__xludf.DUMMYFUNCTION("if(ISBLANK(A89),"""",GOOGLEFINANCE(A89,""NAME""))"),"")</f>
        <v/>
      </c>
      <c r="E89" s="427" t="str">
        <f t="shared" si="1"/>
        <v/>
      </c>
      <c r="F89" s="426" t="str">
        <f t="shared" si="2"/>
        <v/>
      </c>
      <c r="G89" s="32" t="str">
        <f>IFERROR(__xludf.DUMMYFUNCTION("if(ISBLANK(A89),"""",googlefinance(A89,""Marketcap"")/10000000)"),"")</f>
        <v/>
      </c>
      <c r="H89" s="426" t="str">
        <f>IFERROR(__xludf.DUMMYFUNCTION("if(isblank(A89),"""",Googlefinance(A89, ""Price""))"),"")</f>
        <v/>
      </c>
      <c r="I89" s="426" t="str">
        <f t="shared" si="3"/>
        <v/>
      </c>
      <c r="J89" s="428" t="str">
        <f t="shared" si="4"/>
        <v/>
      </c>
      <c r="K89" s="429" t="str">
        <f t="shared" si="5"/>
        <v/>
      </c>
      <c r="L89" s="429" t="str">
        <f t="shared" si="6"/>
        <v/>
      </c>
      <c r="M89" s="429" t="str">
        <f t="shared" si="7"/>
        <v/>
      </c>
      <c r="N89" s="430" t="str">
        <f t="shared" si="8"/>
        <v>#DIV/0!</v>
      </c>
      <c r="O89" s="430" t="str">
        <f t="shared" si="9"/>
        <v/>
      </c>
      <c r="P89" s="431" t="str">
        <f t="shared" si="10"/>
        <v/>
      </c>
      <c r="Q89" s="431" t="str">
        <f t="shared" si="11"/>
        <v/>
      </c>
      <c r="R89" s="431" t="str">
        <f t="shared" si="12"/>
        <v/>
      </c>
      <c r="S89" s="431" t="str">
        <f t="shared" si="13"/>
        <v/>
      </c>
    </row>
    <row r="90">
      <c r="A90" s="425"/>
      <c r="B90" s="425"/>
      <c r="C90" s="426"/>
      <c r="D90" s="425" t="str">
        <f>IFERROR(__xludf.DUMMYFUNCTION("if(ISBLANK(A90),"""",GOOGLEFINANCE(A90,""NAME""))"),"")</f>
        <v/>
      </c>
      <c r="E90" s="427" t="str">
        <f t="shared" si="1"/>
        <v/>
      </c>
      <c r="F90" s="426" t="str">
        <f t="shared" si="2"/>
        <v/>
      </c>
      <c r="G90" s="32" t="str">
        <f>IFERROR(__xludf.DUMMYFUNCTION("if(ISBLANK(A90),"""",googlefinance(A90,""Marketcap"")/10000000)"),"")</f>
        <v/>
      </c>
      <c r="H90" s="426" t="str">
        <f>IFERROR(__xludf.DUMMYFUNCTION("if(isblank(A90),"""",Googlefinance(A90, ""Price""))"),"")</f>
        <v/>
      </c>
      <c r="I90" s="426" t="str">
        <f t="shared" si="3"/>
        <v/>
      </c>
      <c r="J90" s="428" t="str">
        <f t="shared" si="4"/>
        <v/>
      </c>
      <c r="K90" s="429" t="str">
        <f t="shared" si="5"/>
        <v/>
      </c>
      <c r="L90" s="429" t="str">
        <f t="shared" si="6"/>
        <v/>
      </c>
      <c r="M90" s="429" t="str">
        <f t="shared" si="7"/>
        <v/>
      </c>
      <c r="N90" s="430" t="str">
        <f t="shared" si="8"/>
        <v>#DIV/0!</v>
      </c>
      <c r="O90" s="430" t="str">
        <f t="shared" si="9"/>
        <v/>
      </c>
      <c r="P90" s="431" t="str">
        <f t="shared" si="10"/>
        <v/>
      </c>
      <c r="Q90" s="431" t="str">
        <f t="shared" si="11"/>
        <v/>
      </c>
      <c r="R90" s="431" t="str">
        <f t="shared" si="12"/>
        <v/>
      </c>
      <c r="S90" s="431" t="str">
        <f t="shared" si="13"/>
        <v/>
      </c>
    </row>
    <row r="91">
      <c r="A91" s="425"/>
      <c r="B91" s="425"/>
      <c r="C91" s="426"/>
      <c r="D91" s="425" t="str">
        <f>IFERROR(__xludf.DUMMYFUNCTION("if(ISBLANK(A91),"""",GOOGLEFINANCE(A91,""NAME""))"),"")</f>
        <v/>
      </c>
      <c r="E91" s="427" t="str">
        <f t="shared" si="1"/>
        <v/>
      </c>
      <c r="F91" s="426" t="str">
        <f t="shared" si="2"/>
        <v/>
      </c>
      <c r="G91" s="32" t="str">
        <f>IFERROR(__xludf.DUMMYFUNCTION("if(ISBLANK(A91),"""",googlefinance(A91,""Marketcap"")/10000000)"),"")</f>
        <v/>
      </c>
      <c r="H91" s="426" t="str">
        <f>IFERROR(__xludf.DUMMYFUNCTION("if(isblank(A91),"""",Googlefinance(A91, ""Price""))"),"")</f>
        <v/>
      </c>
      <c r="I91" s="426" t="str">
        <f t="shared" si="3"/>
        <v/>
      </c>
      <c r="J91" s="428" t="str">
        <f t="shared" si="4"/>
        <v/>
      </c>
      <c r="K91" s="429" t="str">
        <f t="shared" si="5"/>
        <v/>
      </c>
      <c r="L91" s="429" t="str">
        <f t="shared" si="6"/>
        <v/>
      </c>
      <c r="M91" s="429" t="str">
        <f t="shared" si="7"/>
        <v/>
      </c>
      <c r="N91" s="430" t="str">
        <f t="shared" si="8"/>
        <v>#DIV/0!</v>
      </c>
      <c r="O91" s="430" t="str">
        <f t="shared" si="9"/>
        <v/>
      </c>
      <c r="P91" s="431" t="str">
        <f t="shared" si="10"/>
        <v/>
      </c>
      <c r="Q91" s="431" t="str">
        <f t="shared" si="11"/>
        <v/>
      </c>
      <c r="R91" s="431" t="str">
        <f t="shared" si="12"/>
        <v/>
      </c>
      <c r="S91" s="431" t="str">
        <f t="shared" si="13"/>
        <v/>
      </c>
    </row>
    <row r="92">
      <c r="A92" s="425"/>
      <c r="B92" s="425"/>
      <c r="C92" s="426"/>
      <c r="D92" s="425" t="str">
        <f>IFERROR(__xludf.DUMMYFUNCTION("if(ISBLANK(A92),"""",GOOGLEFINANCE(A92,""NAME""))"),"")</f>
        <v/>
      </c>
      <c r="E92" s="427" t="str">
        <f t="shared" si="1"/>
        <v/>
      </c>
      <c r="F92" s="426" t="str">
        <f t="shared" si="2"/>
        <v/>
      </c>
      <c r="G92" s="32" t="str">
        <f>IFERROR(__xludf.DUMMYFUNCTION("if(ISBLANK(A92),"""",googlefinance(A92,""Marketcap"")/10000000)"),"")</f>
        <v/>
      </c>
      <c r="H92" s="426" t="str">
        <f>IFERROR(__xludf.DUMMYFUNCTION("if(isblank(A92),"""",Googlefinance(A92, ""Price""))"),"")</f>
        <v/>
      </c>
      <c r="I92" s="426" t="str">
        <f t="shared" si="3"/>
        <v/>
      </c>
      <c r="J92" s="428" t="str">
        <f t="shared" si="4"/>
        <v/>
      </c>
      <c r="K92" s="429" t="str">
        <f t="shared" si="5"/>
        <v/>
      </c>
      <c r="L92" s="429" t="str">
        <f t="shared" si="6"/>
        <v/>
      </c>
      <c r="M92" s="429" t="str">
        <f t="shared" si="7"/>
        <v/>
      </c>
      <c r="N92" s="430" t="str">
        <f t="shared" si="8"/>
        <v>#DIV/0!</v>
      </c>
      <c r="O92" s="430" t="str">
        <f t="shared" si="9"/>
        <v/>
      </c>
      <c r="P92" s="431" t="str">
        <f t="shared" si="10"/>
        <v/>
      </c>
      <c r="Q92" s="431" t="str">
        <f t="shared" si="11"/>
        <v/>
      </c>
      <c r="R92" s="431" t="str">
        <f t="shared" si="12"/>
        <v/>
      </c>
      <c r="S92" s="431" t="str">
        <f t="shared" si="13"/>
        <v/>
      </c>
    </row>
    <row r="93">
      <c r="A93" s="425"/>
      <c r="B93" s="425"/>
      <c r="C93" s="426"/>
      <c r="D93" s="425" t="str">
        <f>IFERROR(__xludf.DUMMYFUNCTION("if(ISBLANK(A93),"""",GOOGLEFINANCE(A93,""NAME""))"),"")</f>
        <v/>
      </c>
      <c r="E93" s="427" t="str">
        <f t="shared" si="1"/>
        <v/>
      </c>
      <c r="F93" s="426" t="str">
        <f t="shared" si="2"/>
        <v/>
      </c>
      <c r="G93" s="32" t="str">
        <f>IFERROR(__xludf.DUMMYFUNCTION("if(ISBLANK(A93),"""",googlefinance(A93,""Marketcap"")/10000000)"),"")</f>
        <v/>
      </c>
      <c r="H93" s="426" t="str">
        <f>IFERROR(__xludf.DUMMYFUNCTION("if(isblank(A93),"""",Googlefinance(A93, ""Price""))"),"")</f>
        <v/>
      </c>
      <c r="I93" s="426" t="str">
        <f t="shared" si="3"/>
        <v/>
      </c>
      <c r="J93" s="428" t="str">
        <f t="shared" si="4"/>
        <v/>
      </c>
      <c r="K93" s="429" t="str">
        <f t="shared" si="5"/>
        <v/>
      </c>
      <c r="L93" s="429" t="str">
        <f t="shared" si="6"/>
        <v/>
      </c>
      <c r="M93" s="429" t="str">
        <f t="shared" si="7"/>
        <v/>
      </c>
      <c r="N93" s="430" t="str">
        <f t="shared" si="8"/>
        <v>#DIV/0!</v>
      </c>
      <c r="O93" s="430" t="str">
        <f t="shared" si="9"/>
        <v/>
      </c>
      <c r="P93" s="431" t="str">
        <f t="shared" si="10"/>
        <v/>
      </c>
      <c r="Q93" s="431" t="str">
        <f t="shared" si="11"/>
        <v/>
      </c>
      <c r="R93" s="431" t="str">
        <f t="shared" si="12"/>
        <v/>
      </c>
      <c r="S93" s="431" t="str">
        <f t="shared" si="13"/>
        <v/>
      </c>
    </row>
    <row r="94">
      <c r="A94" s="425"/>
      <c r="B94" s="425"/>
      <c r="C94" s="426"/>
      <c r="D94" s="425" t="str">
        <f>IFERROR(__xludf.DUMMYFUNCTION("if(ISBLANK(A94),"""",GOOGLEFINANCE(A94,""NAME""))"),"")</f>
        <v/>
      </c>
      <c r="E94" s="427" t="str">
        <f t="shared" si="1"/>
        <v/>
      </c>
      <c r="F94" s="426" t="str">
        <f t="shared" si="2"/>
        <v/>
      </c>
      <c r="G94" s="32" t="str">
        <f>IFERROR(__xludf.DUMMYFUNCTION("if(ISBLANK(A94),"""",googlefinance(A94,""Marketcap"")/10000000)"),"")</f>
        <v/>
      </c>
      <c r="H94" s="426" t="str">
        <f>IFERROR(__xludf.DUMMYFUNCTION("if(isblank(A94),"""",Googlefinance(A94, ""Price""))"),"")</f>
        <v/>
      </c>
      <c r="I94" s="426" t="str">
        <f t="shared" si="3"/>
        <v/>
      </c>
      <c r="J94" s="428" t="str">
        <f t="shared" si="4"/>
        <v/>
      </c>
      <c r="K94" s="429" t="str">
        <f t="shared" si="5"/>
        <v/>
      </c>
      <c r="L94" s="429" t="str">
        <f t="shared" si="6"/>
        <v/>
      </c>
      <c r="M94" s="429" t="str">
        <f t="shared" si="7"/>
        <v/>
      </c>
      <c r="N94" s="430" t="str">
        <f t="shared" si="8"/>
        <v>#DIV/0!</v>
      </c>
      <c r="O94" s="430" t="str">
        <f t="shared" si="9"/>
        <v/>
      </c>
      <c r="P94" s="431" t="str">
        <f t="shared" si="10"/>
        <v/>
      </c>
      <c r="Q94" s="431" t="str">
        <f t="shared" si="11"/>
        <v/>
      </c>
      <c r="R94" s="431" t="str">
        <f t="shared" si="12"/>
        <v/>
      </c>
      <c r="S94" s="431" t="str">
        <f t="shared" si="13"/>
        <v/>
      </c>
    </row>
    <row r="95">
      <c r="A95" s="425"/>
      <c r="B95" s="425"/>
      <c r="C95" s="426"/>
      <c r="D95" s="425" t="str">
        <f>IFERROR(__xludf.DUMMYFUNCTION("if(ISBLANK(A95),"""",GOOGLEFINANCE(A95,""NAME""))"),"")</f>
        <v/>
      </c>
      <c r="E95" s="427" t="str">
        <f t="shared" si="1"/>
        <v/>
      </c>
      <c r="F95" s="426" t="str">
        <f t="shared" si="2"/>
        <v/>
      </c>
      <c r="G95" s="32" t="str">
        <f>IFERROR(__xludf.DUMMYFUNCTION("if(ISBLANK(A95),"""",googlefinance(A95,""Marketcap"")/10000000)"),"")</f>
        <v/>
      </c>
      <c r="H95" s="426" t="str">
        <f>IFERROR(__xludf.DUMMYFUNCTION("if(isblank(A95),"""",Googlefinance(A95, ""Price""))"),"")</f>
        <v/>
      </c>
      <c r="I95" s="426" t="str">
        <f t="shared" si="3"/>
        <v/>
      </c>
      <c r="J95" s="428" t="str">
        <f t="shared" si="4"/>
        <v/>
      </c>
      <c r="K95" s="429" t="str">
        <f t="shared" si="5"/>
        <v/>
      </c>
      <c r="L95" s="429" t="str">
        <f t="shared" si="6"/>
        <v/>
      </c>
      <c r="M95" s="429" t="str">
        <f t="shared" si="7"/>
        <v/>
      </c>
      <c r="N95" s="430" t="str">
        <f t="shared" si="8"/>
        <v>#DIV/0!</v>
      </c>
      <c r="O95" s="430" t="str">
        <f t="shared" si="9"/>
        <v/>
      </c>
      <c r="P95" s="431" t="str">
        <f t="shared" si="10"/>
        <v/>
      </c>
      <c r="Q95" s="431" t="str">
        <f t="shared" si="11"/>
        <v/>
      </c>
      <c r="R95" s="431" t="str">
        <f t="shared" si="12"/>
        <v/>
      </c>
      <c r="S95" s="431" t="str">
        <f t="shared" si="13"/>
        <v/>
      </c>
    </row>
    <row r="96">
      <c r="A96" s="425"/>
      <c r="B96" s="425"/>
      <c r="C96" s="426"/>
      <c r="D96" s="425" t="str">
        <f>IFERROR(__xludf.DUMMYFUNCTION("if(ISBLANK(A96),"""",GOOGLEFINANCE(A96,""NAME""))"),"")</f>
        <v/>
      </c>
      <c r="E96" s="427" t="str">
        <f t="shared" si="1"/>
        <v/>
      </c>
      <c r="F96" s="426" t="str">
        <f t="shared" si="2"/>
        <v/>
      </c>
      <c r="G96" s="32" t="str">
        <f>IFERROR(__xludf.DUMMYFUNCTION("if(ISBLANK(A96),"""",googlefinance(A96,""Marketcap"")/10000000)"),"")</f>
        <v/>
      </c>
      <c r="H96" s="426" t="str">
        <f>IFERROR(__xludf.DUMMYFUNCTION("if(isblank(A96),"""",Googlefinance(A96, ""Price""))"),"")</f>
        <v/>
      </c>
      <c r="I96" s="426" t="str">
        <f t="shared" si="3"/>
        <v/>
      </c>
      <c r="J96" s="428" t="str">
        <f t="shared" si="4"/>
        <v/>
      </c>
      <c r="K96" s="429" t="str">
        <f t="shared" si="5"/>
        <v/>
      </c>
      <c r="L96" s="429" t="str">
        <f t="shared" si="6"/>
        <v/>
      </c>
      <c r="M96" s="429" t="str">
        <f t="shared" si="7"/>
        <v/>
      </c>
      <c r="N96" s="430" t="str">
        <f t="shared" si="8"/>
        <v>#DIV/0!</v>
      </c>
      <c r="O96" s="430" t="str">
        <f t="shared" si="9"/>
        <v/>
      </c>
      <c r="P96" s="431" t="str">
        <f t="shared" si="10"/>
        <v/>
      </c>
      <c r="Q96" s="431" t="str">
        <f t="shared" si="11"/>
        <v/>
      </c>
      <c r="R96" s="431" t="str">
        <f t="shared" si="12"/>
        <v/>
      </c>
      <c r="S96" s="431" t="str">
        <f t="shared" si="13"/>
        <v/>
      </c>
    </row>
    <row r="97">
      <c r="A97" s="425"/>
      <c r="B97" s="425"/>
      <c r="C97" s="426"/>
      <c r="D97" s="425" t="str">
        <f>IFERROR(__xludf.DUMMYFUNCTION("if(ISBLANK(A97),"""",GOOGLEFINANCE(A97,""NAME""))"),"")</f>
        <v/>
      </c>
      <c r="E97" s="427" t="str">
        <f t="shared" si="1"/>
        <v/>
      </c>
      <c r="F97" s="426" t="str">
        <f t="shared" si="2"/>
        <v/>
      </c>
      <c r="G97" s="32" t="str">
        <f>IFERROR(__xludf.DUMMYFUNCTION("if(ISBLANK(A97),"""",googlefinance(A97,""Marketcap"")/10000000)"),"")</f>
        <v/>
      </c>
      <c r="H97" s="426" t="str">
        <f>IFERROR(__xludf.DUMMYFUNCTION("if(isblank(A97),"""",Googlefinance(A97, ""Price""))"),"")</f>
        <v/>
      </c>
      <c r="I97" s="426" t="str">
        <f t="shared" si="3"/>
        <v/>
      </c>
      <c r="J97" s="428" t="str">
        <f t="shared" si="4"/>
        <v/>
      </c>
      <c r="K97" s="429" t="str">
        <f t="shared" si="5"/>
        <v/>
      </c>
      <c r="L97" s="429" t="str">
        <f t="shared" si="6"/>
        <v/>
      </c>
      <c r="M97" s="429" t="str">
        <f t="shared" si="7"/>
        <v/>
      </c>
      <c r="N97" s="430" t="str">
        <f t="shared" si="8"/>
        <v>#DIV/0!</v>
      </c>
      <c r="O97" s="430" t="str">
        <f t="shared" si="9"/>
        <v/>
      </c>
      <c r="P97" s="431" t="str">
        <f t="shared" si="10"/>
        <v/>
      </c>
      <c r="Q97" s="431" t="str">
        <f t="shared" si="11"/>
        <v/>
      </c>
      <c r="R97" s="431" t="str">
        <f t="shared" si="12"/>
        <v/>
      </c>
      <c r="S97" s="431" t="str">
        <f t="shared" si="13"/>
        <v/>
      </c>
    </row>
    <row r="98">
      <c r="A98" s="425"/>
      <c r="B98" s="425"/>
      <c r="C98" s="426"/>
      <c r="D98" s="425" t="str">
        <f>IFERROR(__xludf.DUMMYFUNCTION("if(ISBLANK(A98),"""",GOOGLEFINANCE(A98,""NAME""))"),"")</f>
        <v/>
      </c>
      <c r="E98" s="427" t="str">
        <f t="shared" si="1"/>
        <v/>
      </c>
      <c r="F98" s="426" t="str">
        <f t="shared" si="2"/>
        <v/>
      </c>
      <c r="G98" s="32" t="str">
        <f>IFERROR(__xludf.DUMMYFUNCTION("if(ISBLANK(A98),"""",googlefinance(A98,""Marketcap"")/10000000)"),"")</f>
        <v/>
      </c>
      <c r="H98" s="426" t="str">
        <f>IFERROR(__xludf.DUMMYFUNCTION("if(isblank(A98),"""",Googlefinance(A98, ""Price""))"),"")</f>
        <v/>
      </c>
      <c r="I98" s="426" t="str">
        <f t="shared" si="3"/>
        <v/>
      </c>
      <c r="J98" s="428" t="str">
        <f t="shared" si="4"/>
        <v/>
      </c>
      <c r="K98" s="429" t="str">
        <f t="shared" si="5"/>
        <v/>
      </c>
      <c r="L98" s="429" t="str">
        <f t="shared" si="6"/>
        <v/>
      </c>
      <c r="M98" s="429" t="str">
        <f t="shared" si="7"/>
        <v/>
      </c>
      <c r="N98" s="430" t="str">
        <f t="shared" si="8"/>
        <v>#DIV/0!</v>
      </c>
      <c r="O98" s="430" t="str">
        <f t="shared" si="9"/>
        <v/>
      </c>
      <c r="P98" s="431" t="str">
        <f t="shared" si="10"/>
        <v/>
      </c>
      <c r="Q98" s="431" t="str">
        <f t="shared" si="11"/>
        <v/>
      </c>
      <c r="R98" s="431" t="str">
        <f t="shared" si="12"/>
        <v/>
      </c>
      <c r="S98" s="431" t="str">
        <f t="shared" si="13"/>
        <v/>
      </c>
    </row>
    <row r="99">
      <c r="A99" s="425"/>
      <c r="B99" s="425"/>
      <c r="C99" s="426"/>
      <c r="D99" s="425" t="str">
        <f>IFERROR(__xludf.DUMMYFUNCTION("if(ISBLANK(A99),"""",GOOGLEFINANCE(A99,""NAME""))"),"")</f>
        <v/>
      </c>
      <c r="E99" s="427" t="str">
        <f t="shared" si="1"/>
        <v/>
      </c>
      <c r="F99" s="426" t="str">
        <f t="shared" si="2"/>
        <v/>
      </c>
      <c r="G99" s="32" t="str">
        <f>IFERROR(__xludf.DUMMYFUNCTION("if(ISBLANK(A99),"""",googlefinance(A99,""Marketcap"")/10000000)"),"")</f>
        <v/>
      </c>
      <c r="H99" s="426" t="str">
        <f>IFERROR(__xludf.DUMMYFUNCTION("if(isblank(A99),"""",Googlefinance(A99, ""Price""))"),"")</f>
        <v/>
      </c>
      <c r="I99" s="426" t="str">
        <f t="shared" si="3"/>
        <v/>
      </c>
      <c r="J99" s="428" t="str">
        <f t="shared" si="4"/>
        <v/>
      </c>
      <c r="K99" s="429" t="str">
        <f t="shared" si="5"/>
        <v/>
      </c>
      <c r="L99" s="429" t="str">
        <f t="shared" si="6"/>
        <v/>
      </c>
      <c r="M99" s="429" t="str">
        <f t="shared" si="7"/>
        <v/>
      </c>
      <c r="N99" s="430" t="str">
        <f t="shared" si="8"/>
        <v>#DIV/0!</v>
      </c>
      <c r="O99" s="430" t="str">
        <f t="shared" si="9"/>
        <v/>
      </c>
      <c r="P99" s="431" t="str">
        <f t="shared" si="10"/>
        <v/>
      </c>
      <c r="Q99" s="431" t="str">
        <f t="shared" si="11"/>
        <v/>
      </c>
      <c r="R99" s="431" t="str">
        <f t="shared" si="12"/>
        <v/>
      </c>
      <c r="S99" s="431" t="str">
        <f t="shared" si="13"/>
        <v/>
      </c>
    </row>
    <row r="100">
      <c r="A100" s="425"/>
      <c r="B100" s="425"/>
      <c r="C100" s="426"/>
      <c r="D100" s="425" t="str">
        <f>IFERROR(__xludf.DUMMYFUNCTION("if(ISBLANK(A100),"""",GOOGLEFINANCE(A100,""NAME""))"),"")</f>
        <v/>
      </c>
      <c r="E100" s="427" t="str">
        <f t="shared" si="1"/>
        <v/>
      </c>
      <c r="F100" s="426" t="str">
        <f t="shared" si="2"/>
        <v/>
      </c>
      <c r="G100" s="32" t="str">
        <f>IFERROR(__xludf.DUMMYFUNCTION("if(ISBLANK(A100),"""",googlefinance(A100,""Marketcap"")/10000000)"),"")</f>
        <v/>
      </c>
      <c r="H100" s="426" t="str">
        <f>IFERROR(__xludf.DUMMYFUNCTION("if(isblank(A100),"""",Googlefinance(A100, ""Price""))"),"")</f>
        <v/>
      </c>
      <c r="I100" s="426" t="str">
        <f t="shared" si="3"/>
        <v/>
      </c>
      <c r="J100" s="428" t="str">
        <f t="shared" si="4"/>
        <v/>
      </c>
      <c r="K100" s="429" t="str">
        <f t="shared" si="5"/>
        <v/>
      </c>
      <c r="L100" s="429" t="str">
        <f t="shared" si="6"/>
        <v/>
      </c>
      <c r="M100" s="429" t="str">
        <f t="shared" si="7"/>
        <v/>
      </c>
      <c r="N100" s="430" t="str">
        <f t="shared" si="8"/>
        <v>#DIV/0!</v>
      </c>
      <c r="O100" s="430" t="str">
        <f t="shared" si="9"/>
        <v/>
      </c>
      <c r="P100" s="431" t="str">
        <f t="shared" si="10"/>
        <v/>
      </c>
      <c r="Q100" s="431" t="str">
        <f t="shared" si="11"/>
        <v/>
      </c>
      <c r="R100" s="431" t="str">
        <f t="shared" si="12"/>
        <v/>
      </c>
      <c r="S100" s="431" t="str">
        <f t="shared" si="13"/>
        <v/>
      </c>
    </row>
    <row r="101">
      <c r="A101" s="425"/>
      <c r="B101" s="425"/>
      <c r="C101" s="426"/>
      <c r="D101" s="425" t="str">
        <f>IFERROR(__xludf.DUMMYFUNCTION("if(ISBLANK(A101),"""",GOOGLEFINANCE(A101,""NAME""))"),"")</f>
        <v/>
      </c>
      <c r="E101" s="427" t="str">
        <f t="shared" si="1"/>
        <v/>
      </c>
      <c r="F101" s="426" t="str">
        <f t="shared" si="2"/>
        <v/>
      </c>
      <c r="G101" s="32" t="str">
        <f>IFERROR(__xludf.DUMMYFUNCTION("if(ISBLANK(A101),"""",googlefinance(A101,""Marketcap"")/10000000)"),"")</f>
        <v/>
      </c>
      <c r="H101" s="426" t="str">
        <f>IFERROR(__xludf.DUMMYFUNCTION("if(isblank(A101),"""",Googlefinance(A101, ""Price""))"),"")</f>
        <v/>
      </c>
      <c r="I101" s="426" t="str">
        <f t="shared" si="3"/>
        <v/>
      </c>
      <c r="J101" s="428" t="str">
        <f t="shared" si="4"/>
        <v/>
      </c>
      <c r="K101" s="429" t="str">
        <f t="shared" si="5"/>
        <v/>
      </c>
      <c r="L101" s="429" t="str">
        <f t="shared" si="6"/>
        <v/>
      </c>
      <c r="M101" s="429" t="str">
        <f t="shared" si="7"/>
        <v/>
      </c>
      <c r="N101" s="430" t="str">
        <f t="shared" si="8"/>
        <v>#DIV/0!</v>
      </c>
      <c r="O101" s="430" t="str">
        <f t="shared" si="9"/>
        <v/>
      </c>
      <c r="P101" s="431"/>
      <c r="Q101" s="431"/>
      <c r="R101" s="431"/>
      <c r="S101" s="431"/>
    </row>
    <row r="102">
      <c r="A102" s="425"/>
      <c r="B102" s="425"/>
      <c r="C102" s="426"/>
      <c r="D102" s="425" t="str">
        <f>IFERROR(__xludf.DUMMYFUNCTION("if(ISBLANK(A102),"""",GOOGLEFINANCE(A102,""NAME""))"),"")</f>
        <v/>
      </c>
      <c r="E102" s="427" t="str">
        <f t="shared" si="1"/>
        <v/>
      </c>
      <c r="F102" s="426" t="str">
        <f t="shared" si="2"/>
        <v/>
      </c>
      <c r="G102" s="32" t="str">
        <f>IFERROR(__xludf.DUMMYFUNCTION("if(ISBLANK(A102),"""",googlefinance(A102,""Marketcap"")/10000000)"),"")</f>
        <v/>
      </c>
      <c r="H102" s="426" t="str">
        <f>IFERROR(__xludf.DUMMYFUNCTION("if(isblank(A102),"""",Googlefinance(A102, ""Price""))"),"")</f>
        <v/>
      </c>
      <c r="I102" s="426" t="str">
        <f t="shared" si="3"/>
        <v/>
      </c>
      <c r="J102" s="428" t="str">
        <f t="shared" si="4"/>
        <v/>
      </c>
      <c r="K102" s="429" t="str">
        <f t="shared" si="5"/>
        <v/>
      </c>
      <c r="L102" s="429" t="str">
        <f t="shared" si="6"/>
        <v/>
      </c>
      <c r="M102" s="429" t="str">
        <f t="shared" si="7"/>
        <v/>
      </c>
      <c r="N102" s="430" t="str">
        <f t="shared" si="8"/>
        <v>#DIV/0!</v>
      </c>
      <c r="O102" s="430" t="str">
        <f t="shared" si="9"/>
        <v/>
      </c>
      <c r="P102" s="431"/>
      <c r="Q102" s="431"/>
      <c r="R102" s="431"/>
      <c r="S102" s="431"/>
    </row>
    <row r="103">
      <c r="A103" s="425"/>
      <c r="B103" s="425"/>
      <c r="C103" s="426"/>
      <c r="D103" s="425" t="str">
        <f>IFERROR(__xludf.DUMMYFUNCTION("if(ISBLANK(A103),"""",GOOGLEFINANCE(A103,""NAME""))"),"")</f>
        <v/>
      </c>
      <c r="E103" s="427" t="str">
        <f t="shared" si="1"/>
        <v/>
      </c>
      <c r="F103" s="426" t="str">
        <f t="shared" si="2"/>
        <v/>
      </c>
      <c r="G103" s="32" t="str">
        <f>IFERROR(__xludf.DUMMYFUNCTION("if(ISBLANK(A103),"""",googlefinance(A103,""Marketcap"")/10000000)"),"")</f>
        <v/>
      </c>
      <c r="H103" s="426" t="str">
        <f>IFERROR(__xludf.DUMMYFUNCTION("if(isblank(A103),"""",Googlefinance(A103, ""Price""))"),"")</f>
        <v/>
      </c>
      <c r="I103" s="426" t="str">
        <f t="shared" si="3"/>
        <v/>
      </c>
      <c r="J103" s="428" t="str">
        <f t="shared" si="4"/>
        <v/>
      </c>
      <c r="K103" s="429" t="str">
        <f t="shared" si="5"/>
        <v/>
      </c>
      <c r="L103" s="429" t="str">
        <f t="shared" si="6"/>
        <v/>
      </c>
      <c r="M103" s="429" t="str">
        <f t="shared" si="7"/>
        <v/>
      </c>
      <c r="N103" s="430" t="str">
        <f t="shared" si="8"/>
        <v>#DIV/0!</v>
      </c>
      <c r="O103" s="430" t="str">
        <f t="shared" si="9"/>
        <v/>
      </c>
      <c r="P103" s="431"/>
      <c r="Q103" s="431"/>
      <c r="R103" s="431"/>
      <c r="S103" s="431"/>
    </row>
    <row r="104">
      <c r="A104" s="425"/>
      <c r="B104" s="425"/>
      <c r="C104" s="426"/>
      <c r="D104" s="425" t="str">
        <f>IFERROR(__xludf.DUMMYFUNCTION("if(ISBLANK(A104),"""",GOOGLEFINANCE(A104,""NAME""))"),"")</f>
        <v/>
      </c>
      <c r="E104" s="427" t="str">
        <f t="shared" si="1"/>
        <v/>
      </c>
      <c r="F104" s="426" t="str">
        <f t="shared" si="2"/>
        <v/>
      </c>
      <c r="G104" s="32" t="str">
        <f>IFERROR(__xludf.DUMMYFUNCTION("if(ISBLANK(A104),"""",googlefinance(A104,""Marketcap"")/10000000)"),"")</f>
        <v/>
      </c>
      <c r="H104" s="426" t="str">
        <f>IFERROR(__xludf.DUMMYFUNCTION("if(isblank(A104),"""",Googlefinance(A104, ""Price""))"),"")</f>
        <v/>
      </c>
      <c r="I104" s="426" t="str">
        <f t="shared" si="3"/>
        <v/>
      </c>
      <c r="J104" s="428" t="str">
        <f t="shared" si="4"/>
        <v/>
      </c>
      <c r="K104" s="429" t="str">
        <f t="shared" si="5"/>
        <v/>
      </c>
      <c r="L104" s="429" t="str">
        <f t="shared" si="6"/>
        <v/>
      </c>
      <c r="M104" s="429" t="str">
        <f t="shared" si="7"/>
        <v/>
      </c>
      <c r="N104" s="430" t="str">
        <f t="shared" si="8"/>
        <v>#DIV/0!</v>
      </c>
      <c r="O104" s="430" t="str">
        <f t="shared" si="9"/>
        <v/>
      </c>
      <c r="P104" s="431"/>
      <c r="Q104" s="431"/>
      <c r="R104" s="431"/>
      <c r="S104" s="431"/>
    </row>
    <row r="105">
      <c r="A105" s="425"/>
      <c r="B105" s="425"/>
      <c r="C105" s="426"/>
      <c r="D105" s="425" t="str">
        <f>IFERROR(__xludf.DUMMYFUNCTION("if(ISBLANK(A105),"""",GOOGLEFINANCE(A105,""NAME""))"),"")</f>
        <v/>
      </c>
      <c r="E105" s="427" t="str">
        <f t="shared" si="1"/>
        <v/>
      </c>
      <c r="F105" s="426" t="str">
        <f t="shared" si="2"/>
        <v/>
      </c>
      <c r="G105" s="32" t="str">
        <f>IFERROR(__xludf.DUMMYFUNCTION("if(ISBLANK(A105),"""",googlefinance(A105,""Marketcap"")/10000000)"),"")</f>
        <v/>
      </c>
      <c r="H105" s="426" t="str">
        <f>IFERROR(__xludf.DUMMYFUNCTION("if(isblank(A105),"""",Googlefinance(A105, ""Price""))"),"")</f>
        <v/>
      </c>
      <c r="I105" s="426" t="str">
        <f t="shared" si="3"/>
        <v/>
      </c>
      <c r="J105" s="428" t="str">
        <f t="shared" si="4"/>
        <v/>
      </c>
      <c r="K105" s="429" t="str">
        <f t="shared" si="5"/>
        <v/>
      </c>
      <c r="L105" s="429" t="str">
        <f t="shared" si="6"/>
        <v/>
      </c>
      <c r="M105" s="429" t="str">
        <f t="shared" si="7"/>
        <v/>
      </c>
      <c r="N105" s="430" t="str">
        <f t="shared" si="8"/>
        <v>#DIV/0!</v>
      </c>
      <c r="O105" s="430" t="str">
        <f t="shared" si="9"/>
        <v/>
      </c>
      <c r="P105" s="431"/>
      <c r="Q105" s="431"/>
      <c r="R105" s="431"/>
      <c r="S105" s="431"/>
    </row>
    <row r="106">
      <c r="A106" s="425"/>
      <c r="B106" s="425"/>
      <c r="C106" s="426"/>
      <c r="D106" s="425" t="str">
        <f>IFERROR(__xludf.DUMMYFUNCTION("if(ISBLANK(A106),"""",GOOGLEFINANCE(A106,""NAME""))"),"")</f>
        <v/>
      </c>
      <c r="E106" s="427" t="str">
        <f t="shared" si="1"/>
        <v/>
      </c>
      <c r="F106" s="426" t="str">
        <f t="shared" si="2"/>
        <v/>
      </c>
      <c r="G106" s="32" t="str">
        <f>IFERROR(__xludf.DUMMYFUNCTION("if(ISBLANK(A106),"""",googlefinance(A106,""Marketcap"")/10000000)"),"")</f>
        <v/>
      </c>
      <c r="H106" s="426" t="str">
        <f>IFERROR(__xludf.DUMMYFUNCTION("if(isblank(A106),"""",Googlefinance(A106, ""Price""))"),"")</f>
        <v/>
      </c>
      <c r="I106" s="426" t="str">
        <f t="shared" si="3"/>
        <v/>
      </c>
      <c r="J106" s="428" t="str">
        <f t="shared" si="4"/>
        <v/>
      </c>
      <c r="K106" s="429" t="str">
        <f t="shared" si="5"/>
        <v/>
      </c>
      <c r="L106" s="429" t="str">
        <f t="shared" si="6"/>
        <v/>
      </c>
      <c r="M106" s="429" t="str">
        <f t="shared" si="7"/>
        <v/>
      </c>
      <c r="N106" s="430" t="str">
        <f t="shared" si="8"/>
        <v>#DIV/0!</v>
      </c>
      <c r="O106" s="430" t="str">
        <f t="shared" si="9"/>
        <v/>
      </c>
      <c r="P106" s="431"/>
      <c r="Q106" s="431"/>
      <c r="R106" s="431"/>
      <c r="S106" s="431"/>
    </row>
    <row r="107">
      <c r="A107" s="425"/>
      <c r="B107" s="425"/>
      <c r="C107" s="426"/>
      <c r="D107" s="425" t="str">
        <f>IFERROR(__xludf.DUMMYFUNCTION("if(ISBLANK(A107),"""",GOOGLEFINANCE(A107,""NAME""))"),"")</f>
        <v/>
      </c>
      <c r="E107" s="427" t="str">
        <f t="shared" si="1"/>
        <v/>
      </c>
      <c r="F107" s="426" t="str">
        <f t="shared" si="2"/>
        <v/>
      </c>
      <c r="G107" s="32" t="str">
        <f>IFERROR(__xludf.DUMMYFUNCTION("if(ISBLANK(A107),"""",googlefinance(A107,""Marketcap"")/10000000)"),"")</f>
        <v/>
      </c>
      <c r="H107" s="426" t="str">
        <f>IFERROR(__xludf.DUMMYFUNCTION("if(isblank(A107),"""",Googlefinance(A107, ""Price""))"),"")</f>
        <v/>
      </c>
      <c r="I107" s="438"/>
      <c r="J107" s="428" t="str">
        <f t="shared" si="4"/>
        <v/>
      </c>
      <c r="K107" s="429" t="str">
        <f t="shared" si="5"/>
        <v/>
      </c>
      <c r="L107" s="439"/>
      <c r="M107" s="429" t="str">
        <f t="shared" si="7"/>
        <v/>
      </c>
      <c r="N107" s="430" t="str">
        <f t="shared" si="8"/>
        <v>#DIV/0!</v>
      </c>
      <c r="O107" s="430" t="str">
        <f t="shared" si="9"/>
        <v/>
      </c>
      <c r="P107" s="431"/>
      <c r="Q107" s="431"/>
      <c r="R107" s="431"/>
      <c r="S107" s="431"/>
    </row>
    <row r="108">
      <c r="A108" s="425"/>
      <c r="B108" s="425"/>
      <c r="C108" s="426"/>
      <c r="D108" s="425" t="str">
        <f>IFERROR(__xludf.DUMMYFUNCTION("if(ISBLANK(A108),"""",GOOGLEFINANCE(A108,""NAME""))"),"")</f>
        <v/>
      </c>
      <c r="E108" s="427" t="str">
        <f t="shared" si="1"/>
        <v/>
      </c>
      <c r="F108" s="426" t="str">
        <f t="shared" si="2"/>
        <v/>
      </c>
      <c r="G108" s="32" t="str">
        <f>IFERROR(__xludf.DUMMYFUNCTION("if(ISBLANK(A108),"""",googlefinance(A108,""Marketcap"")/10000000)"),"")</f>
        <v/>
      </c>
      <c r="H108" s="426" t="str">
        <f>IFERROR(__xludf.DUMMYFUNCTION("if(isblank(A108),"""",Googlefinance(A108, ""Price""))"),"")</f>
        <v/>
      </c>
      <c r="I108" s="438"/>
      <c r="J108" s="428" t="str">
        <f t="shared" si="4"/>
        <v/>
      </c>
      <c r="K108" s="429" t="str">
        <f t="shared" si="5"/>
        <v/>
      </c>
      <c r="L108" s="439"/>
      <c r="M108" s="429" t="str">
        <f t="shared" si="7"/>
        <v/>
      </c>
      <c r="N108" s="430" t="str">
        <f t="shared" si="8"/>
        <v>#DIV/0!</v>
      </c>
      <c r="O108" s="430" t="str">
        <f t="shared" si="9"/>
        <v/>
      </c>
      <c r="P108" s="431"/>
      <c r="Q108" s="431"/>
      <c r="R108" s="431"/>
      <c r="S108" s="431"/>
    </row>
    <row r="109">
      <c r="A109" s="425"/>
      <c r="B109" s="425"/>
      <c r="C109" s="426"/>
      <c r="D109" s="440"/>
      <c r="E109" s="427" t="str">
        <f t="shared" si="1"/>
        <v/>
      </c>
      <c r="F109" s="426" t="str">
        <f t="shared" si="2"/>
        <v/>
      </c>
      <c r="G109" s="32" t="str">
        <f>IFERROR(__xludf.DUMMYFUNCTION("if(ISBLANK(A109),"""",googlefinance(A109,""Marketcap"")/10000000)"),"")</f>
        <v/>
      </c>
      <c r="H109" s="426" t="str">
        <f>IFERROR(__xludf.DUMMYFUNCTION("if(isblank(A109),"""",Googlefinance(A109, ""Price""))"),"")</f>
        <v/>
      </c>
      <c r="I109" s="438"/>
      <c r="J109" s="428" t="str">
        <f t="shared" si="4"/>
        <v/>
      </c>
      <c r="K109" s="429" t="str">
        <f t="shared" si="5"/>
        <v/>
      </c>
      <c r="L109" s="439"/>
      <c r="M109" s="429" t="str">
        <f t="shared" si="7"/>
        <v/>
      </c>
      <c r="N109" s="430" t="str">
        <f t="shared" si="8"/>
        <v/>
      </c>
      <c r="O109" s="430" t="str">
        <f t="shared" si="9"/>
        <v/>
      </c>
      <c r="P109" s="431"/>
      <c r="Q109" s="431"/>
      <c r="R109" s="431"/>
      <c r="S109" s="431"/>
    </row>
    <row r="110">
      <c r="A110" s="425"/>
      <c r="B110" s="425"/>
      <c r="C110" s="426"/>
      <c r="D110" s="440"/>
      <c r="E110" s="427" t="str">
        <f t="shared" si="1"/>
        <v/>
      </c>
      <c r="F110" s="426" t="str">
        <f t="shared" si="2"/>
        <v/>
      </c>
      <c r="G110" s="32" t="str">
        <f>IFERROR(__xludf.DUMMYFUNCTION("if(ISBLANK(A110),"""",googlefinance(A110,""Marketcap"")/10000000)"),"")</f>
        <v/>
      </c>
      <c r="H110" s="426" t="str">
        <f>IFERROR(__xludf.DUMMYFUNCTION("if(isblank(A110),"""",Googlefinance(A110, ""Price""))"),"")</f>
        <v/>
      </c>
      <c r="I110" s="438"/>
      <c r="J110" s="441"/>
      <c r="K110" s="429" t="str">
        <f t="shared" si="5"/>
        <v/>
      </c>
      <c r="L110" s="439"/>
      <c r="M110" s="429" t="str">
        <f t="shared" si="7"/>
        <v/>
      </c>
      <c r="N110" s="430" t="str">
        <f t="shared" si="8"/>
        <v/>
      </c>
      <c r="O110" s="430" t="str">
        <f t="shared" si="9"/>
        <v/>
      </c>
      <c r="P110" s="431"/>
      <c r="Q110" s="431"/>
      <c r="R110" s="431"/>
      <c r="S110" s="431"/>
    </row>
    <row r="111">
      <c r="A111" s="425"/>
      <c r="B111" s="425"/>
      <c r="C111" s="426"/>
      <c r="D111" s="440"/>
      <c r="E111" s="427" t="str">
        <f t="shared" si="1"/>
        <v/>
      </c>
      <c r="F111" s="426" t="str">
        <f t="shared" si="2"/>
        <v/>
      </c>
      <c r="G111" s="32" t="str">
        <f>IFERROR(__xludf.DUMMYFUNCTION("if(ISBLANK(A111),"""",googlefinance(A111,""Marketcap"")/10000000)"),"")</f>
        <v/>
      </c>
      <c r="H111" s="426" t="str">
        <f>IFERROR(__xludf.DUMMYFUNCTION("if(isblank(A111),"""",Googlefinance(A111, ""Price""))"),"")</f>
        <v/>
      </c>
      <c r="I111" s="438"/>
      <c r="J111" s="441"/>
      <c r="K111" s="429" t="str">
        <f t="shared" si="5"/>
        <v/>
      </c>
      <c r="L111" s="439"/>
      <c r="M111" s="429" t="str">
        <f t="shared" si="7"/>
        <v/>
      </c>
      <c r="N111" s="430" t="str">
        <f t="shared" si="8"/>
        <v/>
      </c>
      <c r="O111" s="430" t="str">
        <f t="shared" si="9"/>
        <v/>
      </c>
      <c r="P111" s="431"/>
      <c r="Q111" s="431"/>
      <c r="R111" s="431"/>
      <c r="S111" s="431"/>
    </row>
    <row r="112">
      <c r="A112" s="425"/>
      <c r="B112" s="425"/>
      <c r="C112" s="426"/>
      <c r="D112" s="440"/>
      <c r="E112" s="427" t="str">
        <f t="shared" si="1"/>
        <v/>
      </c>
      <c r="F112" s="426" t="str">
        <f t="shared" si="2"/>
        <v/>
      </c>
      <c r="G112" s="32" t="str">
        <f>IFERROR(__xludf.DUMMYFUNCTION("if(ISBLANK(A112),"""",googlefinance(A112,""Marketcap"")/10000000)"),"")</f>
        <v/>
      </c>
      <c r="H112" s="426" t="str">
        <f>IFERROR(__xludf.DUMMYFUNCTION("if(isblank(A112),"""",Googlefinance(A112, ""Price""))"),"")</f>
        <v/>
      </c>
      <c r="I112" s="438"/>
      <c r="J112" s="441"/>
      <c r="K112" s="429" t="str">
        <f t="shared" si="5"/>
        <v/>
      </c>
      <c r="L112" s="439"/>
      <c r="M112" s="429" t="str">
        <f t="shared" si="7"/>
        <v/>
      </c>
      <c r="N112" s="430" t="str">
        <f t="shared" si="8"/>
        <v/>
      </c>
      <c r="O112" s="430" t="str">
        <f t="shared" si="9"/>
        <v/>
      </c>
      <c r="P112" s="431"/>
      <c r="Q112" s="431"/>
      <c r="R112" s="431"/>
      <c r="S112" s="431"/>
    </row>
    <row r="113">
      <c r="A113" s="425"/>
      <c r="B113" s="425"/>
      <c r="C113" s="426"/>
      <c r="D113" s="440"/>
      <c r="E113" s="427" t="str">
        <f t="shared" si="1"/>
        <v/>
      </c>
      <c r="F113" s="426" t="str">
        <f t="shared" si="2"/>
        <v/>
      </c>
      <c r="G113" s="32" t="str">
        <f>IFERROR(__xludf.DUMMYFUNCTION("if(ISBLANK(A113),"""",googlefinance(A113,""Marketcap"")/10000000)"),"")</f>
        <v/>
      </c>
      <c r="H113" s="426" t="str">
        <f>IFERROR(__xludf.DUMMYFUNCTION("if(isblank(A113),"""",Googlefinance(A113, ""Price""))"),"")</f>
        <v/>
      </c>
      <c r="I113" s="438"/>
      <c r="J113" s="441"/>
      <c r="K113" s="429" t="str">
        <f t="shared" si="5"/>
        <v/>
      </c>
      <c r="L113" s="439"/>
      <c r="M113" s="429" t="str">
        <f t="shared" si="7"/>
        <v/>
      </c>
      <c r="N113" s="439"/>
      <c r="O113" s="430" t="str">
        <f t="shared" si="9"/>
        <v/>
      </c>
      <c r="P113" s="431"/>
      <c r="Q113" s="431"/>
      <c r="R113" s="431"/>
      <c r="S113" s="431"/>
    </row>
    <row r="114">
      <c r="A114" s="425"/>
      <c r="B114" s="425"/>
      <c r="C114" s="426"/>
      <c r="D114" s="440"/>
      <c r="E114" s="427" t="str">
        <f t="shared" si="1"/>
        <v/>
      </c>
      <c r="F114" s="426" t="str">
        <f t="shared" si="2"/>
        <v/>
      </c>
      <c r="G114" s="32" t="str">
        <f>IFERROR(__xludf.DUMMYFUNCTION("if(ISBLANK(A114),"""",googlefinance(A114,""Marketcap"")/10000000)"),"")</f>
        <v/>
      </c>
      <c r="H114" s="426" t="str">
        <f>IFERROR(__xludf.DUMMYFUNCTION("if(isblank(A114),"""",Googlefinance(A114, ""Price""))"),"")</f>
        <v/>
      </c>
      <c r="I114" s="438"/>
      <c r="J114" s="441"/>
      <c r="K114" s="429" t="str">
        <f t="shared" si="5"/>
        <v/>
      </c>
      <c r="L114" s="439"/>
      <c r="M114" s="429" t="str">
        <f t="shared" si="7"/>
        <v/>
      </c>
      <c r="N114" s="439"/>
      <c r="O114" s="430" t="str">
        <f t="shared" si="9"/>
        <v/>
      </c>
      <c r="P114" s="431"/>
      <c r="Q114" s="431"/>
      <c r="R114" s="431"/>
      <c r="S114" s="431"/>
    </row>
    <row r="115">
      <c r="A115" s="425"/>
      <c r="B115" s="425"/>
      <c r="C115" s="426"/>
      <c r="D115" s="440"/>
      <c r="E115" s="427" t="str">
        <f t="shared" si="1"/>
        <v/>
      </c>
      <c r="F115" s="426" t="str">
        <f t="shared" si="2"/>
        <v/>
      </c>
      <c r="G115" s="32" t="str">
        <f>IFERROR(__xludf.DUMMYFUNCTION("if(ISBLANK(A115),"""",googlefinance(A115,""Marketcap"")/10000000)"),"")</f>
        <v/>
      </c>
      <c r="H115" s="426" t="str">
        <f>IFERROR(__xludf.DUMMYFUNCTION("if(isblank(A115),"""",Googlefinance(A115, ""Price""))"),"")</f>
        <v/>
      </c>
      <c r="I115" s="438"/>
      <c r="J115" s="441"/>
      <c r="K115" s="429" t="str">
        <f t="shared" si="5"/>
        <v/>
      </c>
      <c r="L115" s="439"/>
      <c r="M115" s="429" t="str">
        <f t="shared" si="7"/>
        <v/>
      </c>
      <c r="N115" s="439"/>
      <c r="O115" s="430" t="str">
        <f t="shared" si="9"/>
        <v/>
      </c>
      <c r="P115" s="431"/>
      <c r="Q115" s="431"/>
      <c r="R115" s="431"/>
      <c r="S115" s="431"/>
    </row>
    <row r="116">
      <c r="A116" s="425"/>
      <c r="B116" s="425"/>
      <c r="C116" s="426"/>
      <c r="D116" s="440"/>
      <c r="E116" s="427" t="str">
        <f t="shared" si="1"/>
        <v/>
      </c>
      <c r="F116" s="426" t="str">
        <f t="shared" si="2"/>
        <v/>
      </c>
      <c r="G116" s="32" t="str">
        <f>IFERROR(__xludf.DUMMYFUNCTION("if(ISBLANK(A116),"""",googlefinance(A116,""Marketcap"")/10000000)"),"")</f>
        <v/>
      </c>
      <c r="H116" s="426" t="str">
        <f>IFERROR(__xludf.DUMMYFUNCTION("if(isblank(A116),"""",Googlefinance(A116, ""Price""))"),"")</f>
        <v/>
      </c>
      <c r="I116" s="438"/>
      <c r="J116" s="441"/>
      <c r="K116" s="429" t="str">
        <f t="shared" si="5"/>
        <v/>
      </c>
      <c r="L116" s="439"/>
      <c r="M116" s="429" t="str">
        <f t="shared" si="7"/>
        <v/>
      </c>
      <c r="N116" s="439"/>
      <c r="O116" s="430" t="str">
        <f t="shared" si="9"/>
        <v/>
      </c>
      <c r="P116" s="431"/>
      <c r="Q116" s="431"/>
      <c r="R116" s="431"/>
      <c r="S116" s="431"/>
    </row>
    <row r="117">
      <c r="A117" s="425"/>
      <c r="B117" s="425"/>
      <c r="C117" s="426"/>
      <c r="D117" s="440"/>
      <c r="E117" s="427" t="str">
        <f t="shared" si="1"/>
        <v/>
      </c>
      <c r="F117" s="426" t="str">
        <f t="shared" si="2"/>
        <v/>
      </c>
      <c r="G117" s="32" t="str">
        <f>IFERROR(__xludf.DUMMYFUNCTION("if(ISBLANK(A117),"""",googlefinance(A117,""Marketcap"")/10000000)"),"")</f>
        <v/>
      </c>
      <c r="H117" s="426" t="str">
        <f>IFERROR(__xludf.DUMMYFUNCTION("if(isblank(A117),"""",Googlefinance(A117, ""Price""))"),"")</f>
        <v/>
      </c>
      <c r="I117" s="438"/>
      <c r="J117" s="441"/>
      <c r="K117" s="429" t="str">
        <f t="shared" si="5"/>
        <v/>
      </c>
      <c r="L117" s="439"/>
      <c r="M117" s="429" t="str">
        <f t="shared" si="7"/>
        <v/>
      </c>
      <c r="N117" s="439"/>
      <c r="O117" s="430" t="str">
        <f t="shared" si="9"/>
        <v/>
      </c>
      <c r="P117" s="431"/>
      <c r="Q117" s="431"/>
      <c r="R117" s="431"/>
      <c r="S117" s="431"/>
    </row>
    <row r="118">
      <c r="A118" s="425"/>
      <c r="B118" s="425"/>
      <c r="C118" s="426"/>
      <c r="D118" s="440"/>
      <c r="E118" s="427" t="str">
        <f t="shared" si="1"/>
        <v/>
      </c>
      <c r="F118" s="426" t="str">
        <f t="shared" si="2"/>
        <v/>
      </c>
      <c r="G118" s="32" t="str">
        <f>IFERROR(__xludf.DUMMYFUNCTION("if(ISBLANK(A118),"""",googlefinance(A118,""Marketcap"")/10000000)"),"")</f>
        <v/>
      </c>
      <c r="H118" s="426" t="str">
        <f>IFERROR(__xludf.DUMMYFUNCTION("if(isblank(A118),"""",Googlefinance(A118, ""Price""))"),"")</f>
        <v/>
      </c>
      <c r="I118" s="438"/>
      <c r="J118" s="441"/>
      <c r="K118" s="429" t="str">
        <f t="shared" si="5"/>
        <v/>
      </c>
      <c r="L118" s="439"/>
      <c r="M118" s="429" t="str">
        <f t="shared" si="7"/>
        <v/>
      </c>
      <c r="N118" s="439"/>
      <c r="O118" s="430" t="str">
        <f t="shared" si="9"/>
        <v/>
      </c>
      <c r="P118" s="431"/>
      <c r="Q118" s="431"/>
      <c r="R118" s="431"/>
      <c r="S118" s="431"/>
    </row>
    <row r="119">
      <c r="A119" s="425"/>
      <c r="B119" s="425"/>
      <c r="C119" s="426"/>
      <c r="D119" s="440"/>
      <c r="E119" s="427" t="str">
        <f t="shared" si="1"/>
        <v/>
      </c>
      <c r="F119" s="426" t="str">
        <f t="shared" si="2"/>
        <v/>
      </c>
      <c r="G119" s="32" t="str">
        <f>IFERROR(__xludf.DUMMYFUNCTION("if(ISBLANK(A119),"""",googlefinance(A119,""Marketcap"")/10000000)"),"")</f>
        <v/>
      </c>
      <c r="H119" s="426" t="str">
        <f>IFERROR(__xludf.DUMMYFUNCTION("if(isblank(A119),"""",Googlefinance(A119, ""Price""))"),"")</f>
        <v/>
      </c>
      <c r="I119" s="438"/>
      <c r="J119" s="441"/>
      <c r="K119" s="429" t="str">
        <f t="shared" si="5"/>
        <v/>
      </c>
      <c r="L119" s="439"/>
      <c r="M119" s="429" t="str">
        <f t="shared" si="7"/>
        <v/>
      </c>
      <c r="N119" s="439"/>
      <c r="O119" s="430" t="str">
        <f t="shared" si="9"/>
        <v/>
      </c>
      <c r="P119" s="431"/>
      <c r="Q119" s="431"/>
      <c r="R119" s="431"/>
      <c r="S119" s="431"/>
    </row>
    <row r="120">
      <c r="A120" s="425"/>
      <c r="B120" s="425"/>
      <c r="C120" s="426"/>
      <c r="D120" s="440"/>
      <c r="E120" s="427" t="str">
        <f t="shared" si="1"/>
        <v/>
      </c>
      <c r="F120" s="426" t="str">
        <f t="shared" si="2"/>
        <v/>
      </c>
      <c r="G120" s="32" t="str">
        <f>IFERROR(__xludf.DUMMYFUNCTION("if(ISBLANK(A120),"""",googlefinance(A120,""Marketcap"")/10000000)"),"")</f>
        <v/>
      </c>
      <c r="H120" s="426" t="str">
        <f>IFERROR(__xludf.DUMMYFUNCTION("if(isblank(A120),"""",Googlefinance(A120, ""Price""))"),"")</f>
        <v/>
      </c>
      <c r="I120" s="438"/>
      <c r="J120" s="441"/>
      <c r="K120" s="429" t="str">
        <f t="shared" si="5"/>
        <v/>
      </c>
      <c r="L120" s="439"/>
      <c r="M120" s="429" t="str">
        <f t="shared" si="7"/>
        <v/>
      </c>
      <c r="N120" s="439"/>
      <c r="O120" s="430" t="str">
        <f t="shared" si="9"/>
        <v/>
      </c>
      <c r="P120" s="431"/>
      <c r="Q120" s="431"/>
      <c r="R120" s="431"/>
      <c r="S120" s="431"/>
    </row>
    <row r="121">
      <c r="A121" s="425"/>
      <c r="B121" s="425"/>
      <c r="C121" s="426"/>
      <c r="D121" s="440"/>
      <c r="E121" s="427" t="str">
        <f t="shared" si="1"/>
        <v/>
      </c>
      <c r="F121" s="426" t="str">
        <f t="shared" si="2"/>
        <v/>
      </c>
      <c r="G121" s="32" t="str">
        <f>IFERROR(__xludf.DUMMYFUNCTION("if(ISBLANK(A121),"""",googlefinance(A121,""Marketcap"")/10000000)"),"")</f>
        <v/>
      </c>
      <c r="H121" s="426" t="str">
        <f>IFERROR(__xludf.DUMMYFUNCTION("if(isblank(A121),"""",Googlefinance(A121, ""Price""))"),"")</f>
        <v/>
      </c>
      <c r="I121" s="438"/>
      <c r="J121" s="441"/>
      <c r="K121" s="429" t="str">
        <f t="shared" si="5"/>
        <v/>
      </c>
      <c r="L121" s="439"/>
      <c r="M121" s="429" t="str">
        <f t="shared" si="7"/>
        <v/>
      </c>
      <c r="N121" s="439"/>
      <c r="O121" s="430" t="str">
        <f t="shared" si="9"/>
        <v/>
      </c>
      <c r="P121" s="431"/>
      <c r="Q121" s="431"/>
      <c r="R121" s="431"/>
      <c r="S121" s="431"/>
    </row>
    <row r="122">
      <c r="A122" s="425"/>
      <c r="B122" s="425"/>
      <c r="C122" s="426"/>
      <c r="D122" s="440"/>
      <c r="E122" s="427" t="str">
        <f t="shared" si="1"/>
        <v/>
      </c>
      <c r="F122" s="426" t="str">
        <f t="shared" si="2"/>
        <v/>
      </c>
      <c r="G122" s="32" t="str">
        <f>IFERROR(__xludf.DUMMYFUNCTION("if(ISBLANK(A122),"""",googlefinance(A122,""Marketcap"")/10000000)"),"")</f>
        <v/>
      </c>
      <c r="H122" s="426" t="str">
        <f>IFERROR(__xludf.DUMMYFUNCTION("if(isblank(A122),"""",Googlefinance(A122, ""Price""))"),"")</f>
        <v/>
      </c>
      <c r="I122" s="438"/>
      <c r="J122" s="441"/>
      <c r="K122" s="429" t="str">
        <f t="shared" si="5"/>
        <v/>
      </c>
      <c r="L122" s="439"/>
      <c r="M122" s="429" t="str">
        <f t="shared" si="7"/>
        <v/>
      </c>
      <c r="N122" s="439"/>
      <c r="O122" s="430" t="str">
        <f t="shared" si="9"/>
        <v/>
      </c>
      <c r="P122" s="431"/>
      <c r="Q122" s="431"/>
      <c r="R122" s="431"/>
      <c r="S122" s="431"/>
    </row>
    <row r="123">
      <c r="A123" s="425"/>
      <c r="B123" s="425"/>
      <c r="C123" s="426"/>
      <c r="D123" s="440"/>
      <c r="E123" s="427" t="str">
        <f t="shared" si="1"/>
        <v/>
      </c>
      <c r="F123" s="426" t="str">
        <f t="shared" si="2"/>
        <v/>
      </c>
      <c r="G123" s="32" t="str">
        <f>IFERROR(__xludf.DUMMYFUNCTION("if(ISBLANK(A123),"""",googlefinance(A123,""Marketcap"")/10000000)"),"")</f>
        <v/>
      </c>
      <c r="H123" s="426" t="str">
        <f>IFERROR(__xludf.DUMMYFUNCTION("if(isblank(A123),"""",Googlefinance(A123, ""Price""))"),"")</f>
        <v/>
      </c>
      <c r="I123" s="438"/>
      <c r="J123" s="441"/>
      <c r="K123" s="429" t="str">
        <f t="shared" si="5"/>
        <v/>
      </c>
      <c r="L123" s="439"/>
      <c r="M123" s="429" t="str">
        <f t="shared" si="7"/>
        <v/>
      </c>
      <c r="N123" s="439"/>
      <c r="O123" s="430" t="str">
        <f t="shared" si="9"/>
        <v/>
      </c>
      <c r="P123" s="431"/>
      <c r="Q123" s="431"/>
      <c r="R123" s="431"/>
      <c r="S123" s="431"/>
    </row>
    <row r="124">
      <c r="A124" s="425"/>
      <c r="B124" s="425"/>
      <c r="C124" s="426"/>
      <c r="D124" s="440"/>
      <c r="E124" s="427" t="str">
        <f t="shared" si="1"/>
        <v/>
      </c>
      <c r="F124" s="426" t="str">
        <f t="shared" si="2"/>
        <v/>
      </c>
      <c r="G124" s="32" t="str">
        <f>IFERROR(__xludf.DUMMYFUNCTION("if(ISBLANK(A124),"""",googlefinance(A124,""Marketcap"")/10000000)"),"")</f>
        <v/>
      </c>
      <c r="H124" s="426" t="str">
        <f>IFERROR(__xludf.DUMMYFUNCTION("if(isblank(A124),"""",Googlefinance(A124, ""Price""))"),"")</f>
        <v/>
      </c>
      <c r="I124" s="438"/>
      <c r="J124" s="441"/>
      <c r="K124" s="429" t="str">
        <f t="shared" si="5"/>
        <v/>
      </c>
      <c r="L124" s="439"/>
      <c r="M124" s="429" t="str">
        <f t="shared" si="7"/>
        <v/>
      </c>
      <c r="N124" s="439"/>
      <c r="O124" s="430" t="str">
        <f t="shared" si="9"/>
        <v/>
      </c>
      <c r="P124" s="431"/>
      <c r="Q124" s="431"/>
      <c r="R124" s="431"/>
      <c r="S124" s="431"/>
    </row>
    <row r="125">
      <c r="A125" s="425"/>
      <c r="B125" s="425"/>
      <c r="C125" s="426"/>
      <c r="D125" s="440"/>
      <c r="E125" s="427" t="str">
        <f t="shared" si="1"/>
        <v/>
      </c>
      <c r="F125" s="426" t="str">
        <f t="shared" si="2"/>
        <v/>
      </c>
      <c r="G125" s="32" t="str">
        <f>IFERROR(__xludf.DUMMYFUNCTION("if(ISBLANK(A125),"""",googlefinance(A125,""Marketcap"")/10000000)"),"")</f>
        <v/>
      </c>
      <c r="H125" s="426" t="str">
        <f>IFERROR(__xludf.DUMMYFUNCTION("if(isblank(A125),"""",Googlefinance(A125, ""Price""))"),"")</f>
        <v/>
      </c>
      <c r="I125" s="438"/>
      <c r="J125" s="441"/>
      <c r="K125" s="429" t="str">
        <f t="shared" si="5"/>
        <v/>
      </c>
      <c r="L125" s="439"/>
      <c r="M125" s="429" t="str">
        <f t="shared" si="7"/>
        <v/>
      </c>
      <c r="N125" s="439"/>
      <c r="O125" s="430" t="str">
        <f t="shared" si="9"/>
        <v/>
      </c>
      <c r="P125" s="431"/>
      <c r="Q125" s="431"/>
      <c r="R125" s="431"/>
      <c r="S125" s="431"/>
    </row>
    <row r="126">
      <c r="A126" s="425"/>
      <c r="B126" s="425"/>
      <c r="C126" s="426"/>
      <c r="D126" s="440"/>
      <c r="E126" s="427" t="str">
        <f t="shared" si="1"/>
        <v/>
      </c>
      <c r="F126" s="426" t="str">
        <f t="shared" si="2"/>
        <v/>
      </c>
      <c r="G126" s="32" t="str">
        <f>IFERROR(__xludf.DUMMYFUNCTION("if(ISBLANK(A126),"""",googlefinance(A126,""Marketcap"")/10000000)"),"")</f>
        <v/>
      </c>
      <c r="H126" s="438"/>
      <c r="I126" s="438"/>
      <c r="J126" s="441"/>
      <c r="K126" s="429" t="str">
        <f t="shared" si="5"/>
        <v/>
      </c>
      <c r="L126" s="439"/>
      <c r="M126" s="429" t="str">
        <f t="shared" si="7"/>
        <v/>
      </c>
      <c r="N126" s="439"/>
      <c r="O126" s="430" t="str">
        <f t="shared" si="9"/>
        <v/>
      </c>
      <c r="P126" s="431"/>
      <c r="Q126" s="431"/>
      <c r="R126" s="431"/>
      <c r="S126" s="431"/>
    </row>
    <row r="127">
      <c r="A127" s="425"/>
      <c r="B127" s="425"/>
      <c r="C127" s="426"/>
      <c r="D127" s="440"/>
      <c r="E127" s="427" t="str">
        <f t="shared" si="1"/>
        <v/>
      </c>
      <c r="F127" s="426" t="str">
        <f t="shared" si="2"/>
        <v/>
      </c>
      <c r="G127" s="32" t="str">
        <f>IFERROR(__xludf.DUMMYFUNCTION("if(ISBLANK(A127),"""",googlefinance(A127,""Marketcap"")/10000000)"),"")</f>
        <v/>
      </c>
      <c r="H127" s="438"/>
      <c r="I127" s="438"/>
      <c r="J127" s="441"/>
      <c r="K127" s="429" t="str">
        <f t="shared" si="5"/>
        <v/>
      </c>
      <c r="L127" s="439"/>
      <c r="M127" s="429" t="str">
        <f t="shared" si="7"/>
        <v/>
      </c>
      <c r="N127" s="439"/>
      <c r="O127" s="430" t="str">
        <f t="shared" si="9"/>
        <v/>
      </c>
      <c r="P127" s="431"/>
      <c r="Q127" s="431"/>
      <c r="R127" s="431"/>
      <c r="S127" s="431"/>
    </row>
    <row r="128">
      <c r="A128" s="425"/>
      <c r="B128" s="425"/>
      <c r="C128" s="426"/>
      <c r="D128" s="440"/>
      <c r="E128" s="427" t="str">
        <f t="shared" si="1"/>
        <v/>
      </c>
      <c r="F128" s="426" t="str">
        <f t="shared" si="2"/>
        <v/>
      </c>
      <c r="G128" s="32" t="str">
        <f>IFERROR(__xludf.DUMMYFUNCTION("if(ISBLANK(A128),"""",googlefinance(A128,""Marketcap"")/10000000)"),"")</f>
        <v/>
      </c>
      <c r="H128" s="438"/>
      <c r="I128" s="438"/>
      <c r="J128" s="441"/>
      <c r="K128" s="429" t="str">
        <f t="shared" si="5"/>
        <v/>
      </c>
      <c r="L128" s="439"/>
      <c r="M128" s="429" t="str">
        <f t="shared" si="7"/>
        <v/>
      </c>
      <c r="N128" s="439"/>
      <c r="O128" s="430" t="str">
        <f t="shared" si="9"/>
        <v/>
      </c>
      <c r="P128" s="431"/>
      <c r="Q128" s="431"/>
      <c r="R128" s="431"/>
      <c r="S128" s="431"/>
    </row>
    <row r="129">
      <c r="A129" s="425"/>
      <c r="B129" s="425"/>
      <c r="C129" s="426"/>
      <c r="D129" s="440"/>
      <c r="E129" s="427" t="str">
        <f t="shared" si="1"/>
        <v/>
      </c>
      <c r="F129" s="426" t="str">
        <f t="shared" si="2"/>
        <v/>
      </c>
      <c r="G129" s="32" t="str">
        <f>IFERROR(__xludf.DUMMYFUNCTION("if(ISBLANK(A129),"""",googlefinance(A129,""Marketcap"")/10000000)"),"")</f>
        <v/>
      </c>
      <c r="H129" s="438"/>
      <c r="I129" s="438"/>
      <c r="J129" s="441"/>
      <c r="K129" s="429" t="str">
        <f t="shared" si="5"/>
        <v/>
      </c>
      <c r="L129" s="439"/>
      <c r="M129" s="429" t="str">
        <f t="shared" si="7"/>
        <v/>
      </c>
      <c r="N129" s="439"/>
      <c r="O129" s="430" t="str">
        <f t="shared" si="9"/>
        <v/>
      </c>
      <c r="P129" s="431"/>
      <c r="Q129" s="431"/>
      <c r="R129" s="431"/>
      <c r="S129" s="431"/>
    </row>
    <row r="130">
      <c r="A130" s="425"/>
      <c r="B130" s="425"/>
      <c r="C130" s="426"/>
      <c r="D130" s="440"/>
      <c r="E130" s="427" t="str">
        <f t="shared" si="1"/>
        <v/>
      </c>
      <c r="F130" s="426" t="str">
        <f t="shared" si="2"/>
        <v/>
      </c>
      <c r="G130" s="32" t="str">
        <f>IFERROR(__xludf.DUMMYFUNCTION("if(ISBLANK(A130),"""",googlefinance(A130,""Marketcap"")/10000000)"),"")</f>
        <v/>
      </c>
      <c r="H130" s="438"/>
      <c r="I130" s="438"/>
      <c r="J130" s="441"/>
      <c r="K130" s="429" t="str">
        <f t="shared" si="5"/>
        <v/>
      </c>
      <c r="L130" s="439"/>
      <c r="M130" s="429" t="str">
        <f t="shared" si="7"/>
        <v/>
      </c>
      <c r="N130" s="439"/>
      <c r="O130" s="430" t="str">
        <f t="shared" si="9"/>
        <v/>
      </c>
      <c r="P130" s="431"/>
      <c r="Q130" s="431"/>
      <c r="R130" s="431"/>
      <c r="S130" s="431"/>
    </row>
    <row r="131">
      <c r="A131" s="425"/>
      <c r="B131" s="425"/>
      <c r="C131" s="426"/>
      <c r="D131" s="440"/>
      <c r="E131" s="427" t="str">
        <f t="shared" si="1"/>
        <v/>
      </c>
      <c r="F131" s="426" t="str">
        <f t="shared" si="2"/>
        <v/>
      </c>
      <c r="G131" s="32" t="str">
        <f>IFERROR(__xludf.DUMMYFUNCTION("if(ISBLANK(A131),"""",googlefinance(A131,""Marketcap"")/10000000)"),"")</f>
        <v/>
      </c>
      <c r="H131" s="438"/>
      <c r="I131" s="438"/>
      <c r="J131" s="441"/>
      <c r="K131" s="429" t="str">
        <f t="shared" si="5"/>
        <v/>
      </c>
      <c r="L131" s="439"/>
      <c r="M131" s="429" t="str">
        <f t="shared" si="7"/>
        <v/>
      </c>
      <c r="N131" s="439"/>
      <c r="O131" s="430" t="str">
        <f t="shared" si="9"/>
        <v/>
      </c>
      <c r="P131" s="431"/>
      <c r="Q131" s="431"/>
      <c r="R131" s="431"/>
      <c r="S131" s="431"/>
    </row>
    <row r="132">
      <c r="A132" s="425"/>
      <c r="B132" s="425"/>
      <c r="C132" s="426"/>
      <c r="D132" s="440"/>
      <c r="E132" s="427" t="str">
        <f t="shared" si="1"/>
        <v/>
      </c>
      <c r="F132" s="426" t="str">
        <f t="shared" si="2"/>
        <v/>
      </c>
      <c r="G132" s="32" t="str">
        <f>IFERROR(__xludf.DUMMYFUNCTION("if(ISBLANK(A132),"""",googlefinance(A132,""Marketcap"")/10000000)"),"")</f>
        <v/>
      </c>
      <c r="H132" s="438"/>
      <c r="I132" s="438"/>
      <c r="J132" s="441"/>
      <c r="K132" s="429" t="str">
        <f t="shared" si="5"/>
        <v/>
      </c>
      <c r="L132" s="439"/>
      <c r="M132" s="429" t="str">
        <f t="shared" si="7"/>
        <v/>
      </c>
      <c r="N132" s="439"/>
      <c r="O132" s="430" t="str">
        <f t="shared" si="9"/>
        <v/>
      </c>
      <c r="P132" s="431"/>
      <c r="Q132" s="431"/>
      <c r="R132" s="431"/>
      <c r="S132" s="431"/>
    </row>
    <row r="133">
      <c r="A133" s="425"/>
      <c r="B133" s="425"/>
      <c r="C133" s="426"/>
      <c r="D133" s="440"/>
      <c r="E133" s="427" t="str">
        <f t="shared" si="1"/>
        <v/>
      </c>
      <c r="F133" s="426" t="str">
        <f t="shared" si="2"/>
        <v/>
      </c>
      <c r="G133" s="32" t="str">
        <f>IFERROR(__xludf.DUMMYFUNCTION("if(ISBLANK(A133),"""",googlefinance(A133,""Marketcap"")/10000000)"),"")</f>
        <v/>
      </c>
      <c r="H133" s="438"/>
      <c r="I133" s="438"/>
      <c r="J133" s="441"/>
      <c r="K133" s="429" t="str">
        <f t="shared" si="5"/>
        <v/>
      </c>
      <c r="L133" s="439"/>
      <c r="M133" s="429" t="str">
        <f t="shared" si="7"/>
        <v/>
      </c>
      <c r="N133" s="439"/>
      <c r="O133" s="430" t="str">
        <f t="shared" si="9"/>
        <v/>
      </c>
      <c r="P133" s="431"/>
      <c r="Q133" s="431"/>
      <c r="R133" s="431"/>
      <c r="S133" s="431"/>
    </row>
    <row r="134">
      <c r="A134" s="425"/>
      <c r="B134" s="425"/>
      <c r="C134" s="426"/>
      <c r="D134" s="440"/>
      <c r="E134" s="427" t="str">
        <f t="shared" si="1"/>
        <v/>
      </c>
      <c r="F134" s="426" t="str">
        <f t="shared" si="2"/>
        <v/>
      </c>
      <c r="G134" s="32" t="str">
        <f>IFERROR(__xludf.DUMMYFUNCTION("if(ISBLANK(A134),"""",googlefinance(A134,""Marketcap"")/10000000)"),"")</f>
        <v/>
      </c>
      <c r="H134" s="438"/>
      <c r="I134" s="438"/>
      <c r="J134" s="441"/>
      <c r="K134" s="429" t="str">
        <f t="shared" si="5"/>
        <v/>
      </c>
      <c r="L134" s="439"/>
      <c r="M134" s="429" t="str">
        <f t="shared" si="7"/>
        <v/>
      </c>
      <c r="N134" s="439"/>
      <c r="O134" s="430" t="str">
        <f t="shared" si="9"/>
        <v/>
      </c>
      <c r="P134" s="431"/>
      <c r="Q134" s="431"/>
      <c r="R134" s="431"/>
      <c r="S134" s="431"/>
    </row>
    <row r="135">
      <c r="A135" s="425"/>
      <c r="B135" s="425"/>
      <c r="C135" s="426"/>
      <c r="D135" s="440"/>
      <c r="E135" s="427" t="str">
        <f t="shared" si="1"/>
        <v/>
      </c>
      <c r="F135" s="426" t="str">
        <f t="shared" si="2"/>
        <v/>
      </c>
      <c r="G135" s="32" t="str">
        <f>IFERROR(__xludf.DUMMYFUNCTION("if(ISBLANK(A135),"""",googlefinance(A135,""Marketcap"")/10000000)"),"")</f>
        <v/>
      </c>
      <c r="H135" s="438"/>
      <c r="I135" s="438"/>
      <c r="J135" s="441"/>
      <c r="K135" s="429" t="str">
        <f t="shared" si="5"/>
        <v/>
      </c>
      <c r="L135" s="439"/>
      <c r="M135" s="429" t="str">
        <f t="shared" si="7"/>
        <v/>
      </c>
      <c r="N135" s="439"/>
      <c r="O135" s="430" t="str">
        <f t="shared" si="9"/>
        <v/>
      </c>
      <c r="P135" s="431"/>
      <c r="Q135" s="431"/>
      <c r="R135" s="431"/>
      <c r="S135" s="431"/>
    </row>
    <row r="136">
      <c r="A136" s="425"/>
      <c r="B136" s="425"/>
      <c r="C136" s="426"/>
      <c r="D136" s="440"/>
      <c r="E136" s="427" t="str">
        <f t="shared" si="1"/>
        <v/>
      </c>
      <c r="F136" s="426" t="str">
        <f t="shared" si="2"/>
        <v/>
      </c>
      <c r="G136" s="32" t="str">
        <f>IFERROR(__xludf.DUMMYFUNCTION("if(ISBLANK(A136),"""",googlefinance(A136,""Marketcap"")/10000000)"),"")</f>
        <v/>
      </c>
      <c r="H136" s="438"/>
      <c r="I136" s="438"/>
      <c r="J136" s="441"/>
      <c r="K136" s="429" t="str">
        <f t="shared" si="5"/>
        <v/>
      </c>
      <c r="L136" s="439"/>
      <c r="M136" s="429" t="str">
        <f t="shared" si="7"/>
        <v/>
      </c>
      <c r="N136" s="439"/>
      <c r="O136" s="430" t="str">
        <f t="shared" si="9"/>
        <v/>
      </c>
      <c r="P136" s="431"/>
      <c r="Q136" s="431"/>
      <c r="R136" s="431"/>
      <c r="S136" s="431"/>
    </row>
    <row r="137">
      <c r="A137" s="425"/>
      <c r="B137" s="425"/>
      <c r="C137" s="426"/>
      <c r="D137" s="440"/>
      <c r="E137" s="427" t="str">
        <f t="shared" si="1"/>
        <v/>
      </c>
      <c r="F137" s="426" t="str">
        <f t="shared" si="2"/>
        <v/>
      </c>
      <c r="G137" s="32" t="str">
        <f>IFERROR(__xludf.DUMMYFUNCTION("if(ISBLANK(A137),"""",googlefinance(A137,""Marketcap"")/10000000)"),"")</f>
        <v/>
      </c>
      <c r="H137" s="438"/>
      <c r="I137" s="438"/>
      <c r="J137" s="441"/>
      <c r="K137" s="429" t="str">
        <f t="shared" si="5"/>
        <v/>
      </c>
      <c r="L137" s="439"/>
      <c r="M137" s="429" t="str">
        <f t="shared" si="7"/>
        <v/>
      </c>
      <c r="N137" s="439"/>
      <c r="O137" s="430" t="str">
        <f t="shared" si="9"/>
        <v/>
      </c>
      <c r="P137" s="431"/>
      <c r="Q137" s="431"/>
      <c r="R137" s="431"/>
      <c r="S137" s="431"/>
    </row>
    <row r="138">
      <c r="A138" s="425"/>
      <c r="B138" s="425"/>
      <c r="C138" s="426"/>
      <c r="D138" s="440"/>
      <c r="E138" s="427" t="str">
        <f t="shared" si="1"/>
        <v/>
      </c>
      <c r="F138" s="426" t="str">
        <f t="shared" si="2"/>
        <v/>
      </c>
      <c r="G138" s="32" t="str">
        <f>IFERROR(__xludf.DUMMYFUNCTION("if(ISBLANK(A138),"""",googlefinance(A138,""Marketcap"")/10000000)"),"")</f>
        <v/>
      </c>
      <c r="H138" s="438"/>
      <c r="I138" s="438"/>
      <c r="J138" s="441"/>
      <c r="K138" s="429" t="str">
        <f t="shared" si="5"/>
        <v/>
      </c>
      <c r="L138" s="439"/>
      <c r="M138" s="429" t="str">
        <f t="shared" si="7"/>
        <v/>
      </c>
      <c r="N138" s="439"/>
      <c r="O138" s="430" t="str">
        <f t="shared" si="9"/>
        <v/>
      </c>
      <c r="P138" s="431"/>
      <c r="Q138" s="431"/>
      <c r="R138" s="431"/>
      <c r="S138" s="431"/>
    </row>
    <row r="139">
      <c r="A139" s="425"/>
      <c r="B139" s="425"/>
      <c r="C139" s="426"/>
      <c r="D139" s="440"/>
      <c r="E139" s="427" t="str">
        <f t="shared" si="1"/>
        <v/>
      </c>
      <c r="F139" s="426" t="str">
        <f t="shared" si="2"/>
        <v/>
      </c>
      <c r="G139" s="32" t="str">
        <f>IFERROR(__xludf.DUMMYFUNCTION("if(ISBLANK(A139),"""",googlefinance(A139,""Marketcap"")/10000000)"),"")</f>
        <v/>
      </c>
      <c r="H139" s="438"/>
      <c r="I139" s="438"/>
      <c r="J139" s="441"/>
      <c r="K139" s="429" t="str">
        <f t="shared" si="5"/>
        <v/>
      </c>
      <c r="L139" s="439"/>
      <c r="M139" s="429" t="str">
        <f t="shared" si="7"/>
        <v/>
      </c>
      <c r="N139" s="439"/>
      <c r="O139" s="430" t="str">
        <f t="shared" si="9"/>
        <v/>
      </c>
      <c r="P139" s="431"/>
      <c r="Q139" s="431"/>
      <c r="R139" s="431"/>
      <c r="S139" s="431"/>
    </row>
    <row r="140">
      <c r="A140" s="425"/>
      <c r="B140" s="425"/>
      <c r="C140" s="426"/>
      <c r="D140" s="440"/>
      <c r="E140" s="427" t="str">
        <f t="shared" si="1"/>
        <v/>
      </c>
      <c r="F140" s="426" t="str">
        <f t="shared" si="2"/>
        <v/>
      </c>
      <c r="G140" s="32" t="str">
        <f>IFERROR(__xludf.DUMMYFUNCTION("if(ISBLANK(A140),"""",googlefinance(A140,""Marketcap"")/10000000)"),"")</f>
        <v/>
      </c>
      <c r="H140" s="438"/>
      <c r="I140" s="438"/>
      <c r="J140" s="441"/>
      <c r="K140" s="429" t="str">
        <f t="shared" si="5"/>
        <v/>
      </c>
      <c r="L140" s="439"/>
      <c r="M140" s="429" t="str">
        <f t="shared" si="7"/>
        <v/>
      </c>
      <c r="N140" s="439"/>
      <c r="O140" s="430" t="str">
        <f t="shared" si="9"/>
        <v/>
      </c>
      <c r="P140" s="431"/>
      <c r="Q140" s="431"/>
      <c r="R140" s="431"/>
      <c r="S140" s="431"/>
    </row>
    <row r="141">
      <c r="A141" s="425"/>
      <c r="B141" s="425"/>
      <c r="C141" s="426"/>
      <c r="D141" s="440"/>
      <c r="E141" s="427" t="str">
        <f t="shared" si="1"/>
        <v/>
      </c>
      <c r="F141" s="426" t="str">
        <f t="shared" si="2"/>
        <v/>
      </c>
      <c r="G141" s="32" t="str">
        <f>IFERROR(__xludf.DUMMYFUNCTION("if(ISBLANK(A141),"""",googlefinance(A141,""Marketcap"")/10000000)"),"")</f>
        <v/>
      </c>
      <c r="H141" s="438"/>
      <c r="I141" s="438"/>
      <c r="J141" s="441"/>
      <c r="K141" s="429" t="str">
        <f t="shared" si="5"/>
        <v/>
      </c>
      <c r="L141" s="439"/>
      <c r="M141" s="429" t="str">
        <f t="shared" si="7"/>
        <v/>
      </c>
      <c r="N141" s="439"/>
      <c r="O141" s="430" t="str">
        <f t="shared" si="9"/>
        <v/>
      </c>
      <c r="P141" s="431"/>
      <c r="Q141" s="431"/>
      <c r="R141" s="431"/>
      <c r="S141" s="431"/>
    </row>
    <row r="142">
      <c r="A142" s="425"/>
      <c r="B142" s="425"/>
      <c r="C142" s="426"/>
      <c r="D142" s="440"/>
      <c r="E142" s="427" t="str">
        <f t="shared" si="1"/>
        <v/>
      </c>
      <c r="F142" s="426" t="str">
        <f t="shared" si="2"/>
        <v/>
      </c>
      <c r="G142" s="32" t="str">
        <f>IFERROR(__xludf.DUMMYFUNCTION("if(ISBLANK(A142),"""",googlefinance(A142,""Marketcap"")/10000000)"),"")</f>
        <v/>
      </c>
      <c r="H142" s="438"/>
      <c r="I142" s="438"/>
      <c r="J142" s="441"/>
      <c r="K142" s="429" t="str">
        <f t="shared" si="5"/>
        <v/>
      </c>
      <c r="L142" s="439"/>
      <c r="M142" s="429" t="str">
        <f t="shared" si="7"/>
        <v/>
      </c>
      <c r="N142" s="439"/>
      <c r="O142" s="430" t="str">
        <f t="shared" si="9"/>
        <v/>
      </c>
      <c r="P142" s="431"/>
      <c r="Q142" s="431"/>
      <c r="R142" s="431"/>
      <c r="S142" s="431"/>
    </row>
    <row r="143">
      <c r="A143" s="425"/>
      <c r="B143" s="425"/>
      <c r="C143" s="426"/>
      <c r="D143" s="440"/>
      <c r="E143" s="427" t="str">
        <f t="shared" si="1"/>
        <v/>
      </c>
      <c r="F143" s="426" t="str">
        <f t="shared" si="2"/>
        <v/>
      </c>
      <c r="G143" s="32" t="str">
        <f>IFERROR(__xludf.DUMMYFUNCTION("if(ISBLANK(A143),"""",googlefinance(A143,""Marketcap"")/10000000)"),"")</f>
        <v/>
      </c>
      <c r="H143" s="438"/>
      <c r="I143" s="438"/>
      <c r="J143" s="441"/>
      <c r="K143" s="429" t="str">
        <f t="shared" si="5"/>
        <v/>
      </c>
      <c r="L143" s="439"/>
      <c r="M143" s="429" t="str">
        <f t="shared" si="7"/>
        <v/>
      </c>
      <c r="N143" s="439"/>
      <c r="O143" s="430" t="str">
        <f t="shared" si="9"/>
        <v/>
      </c>
      <c r="P143" s="431"/>
      <c r="Q143" s="431"/>
      <c r="R143" s="431"/>
      <c r="S143" s="431"/>
    </row>
    <row r="144">
      <c r="A144" s="425"/>
      <c r="B144" s="425"/>
      <c r="C144" s="426"/>
      <c r="D144" s="440"/>
      <c r="E144" s="427" t="str">
        <f t="shared" si="1"/>
        <v/>
      </c>
      <c r="F144" s="426" t="str">
        <f t="shared" si="2"/>
        <v/>
      </c>
      <c r="G144" s="32" t="str">
        <f>IFERROR(__xludf.DUMMYFUNCTION("if(ISBLANK(A144),"""",googlefinance(A144,""Marketcap"")/10000000)"),"")</f>
        <v/>
      </c>
      <c r="H144" s="438"/>
      <c r="I144" s="438"/>
      <c r="J144" s="441"/>
      <c r="K144" s="429" t="str">
        <f t="shared" si="5"/>
        <v/>
      </c>
      <c r="L144" s="439"/>
      <c r="M144" s="429" t="str">
        <f t="shared" si="7"/>
        <v/>
      </c>
      <c r="N144" s="439"/>
      <c r="O144" s="430" t="str">
        <f t="shared" si="9"/>
        <v/>
      </c>
      <c r="P144" s="431"/>
      <c r="Q144" s="431"/>
      <c r="R144" s="431"/>
      <c r="S144" s="431"/>
    </row>
    <row r="145">
      <c r="A145" s="425"/>
      <c r="B145" s="425"/>
      <c r="C145" s="426"/>
      <c r="D145" s="440"/>
      <c r="E145" s="427" t="str">
        <f t="shared" si="1"/>
        <v/>
      </c>
      <c r="F145" s="426" t="str">
        <f t="shared" si="2"/>
        <v/>
      </c>
      <c r="G145" s="32" t="str">
        <f>IFERROR(__xludf.DUMMYFUNCTION("if(ISBLANK(A145),"""",googlefinance(A145,""Marketcap"")/10000000)"),"")</f>
        <v/>
      </c>
      <c r="H145" s="438"/>
      <c r="I145" s="438"/>
      <c r="J145" s="441"/>
      <c r="K145" s="429" t="str">
        <f t="shared" si="5"/>
        <v/>
      </c>
      <c r="L145" s="439"/>
      <c r="M145" s="429" t="str">
        <f t="shared" si="7"/>
        <v/>
      </c>
      <c r="N145" s="439"/>
      <c r="O145" s="430" t="str">
        <f t="shared" si="9"/>
        <v/>
      </c>
      <c r="P145" s="431"/>
      <c r="Q145" s="431"/>
      <c r="R145" s="431"/>
      <c r="S145" s="431"/>
    </row>
    <row r="146">
      <c r="A146" s="425"/>
      <c r="B146" s="425"/>
      <c r="C146" s="426"/>
      <c r="D146" s="440"/>
      <c r="E146" s="427" t="str">
        <f t="shared" si="1"/>
        <v/>
      </c>
      <c r="F146" s="426" t="str">
        <f t="shared" si="2"/>
        <v/>
      </c>
      <c r="G146" s="32" t="str">
        <f>IFERROR(__xludf.DUMMYFUNCTION("if(ISBLANK(A146),"""",googlefinance(A146,""Marketcap"")/10000000)"),"")</f>
        <v/>
      </c>
      <c r="H146" s="438"/>
      <c r="I146" s="438"/>
      <c r="J146" s="441"/>
      <c r="K146" s="429" t="str">
        <f t="shared" si="5"/>
        <v/>
      </c>
      <c r="L146" s="439"/>
      <c r="M146" s="429" t="str">
        <f t="shared" si="7"/>
        <v/>
      </c>
      <c r="N146" s="439"/>
      <c r="O146" s="430" t="str">
        <f t="shared" si="9"/>
        <v/>
      </c>
      <c r="P146" s="431"/>
      <c r="Q146" s="431"/>
      <c r="R146" s="431"/>
      <c r="S146" s="431"/>
    </row>
    <row r="147">
      <c r="A147" s="425"/>
      <c r="B147" s="425"/>
      <c r="C147" s="426"/>
      <c r="D147" s="440"/>
      <c r="E147" s="427" t="str">
        <f t="shared" si="1"/>
        <v/>
      </c>
      <c r="F147" s="426" t="str">
        <f t="shared" si="2"/>
        <v/>
      </c>
      <c r="G147" s="32" t="str">
        <f>IFERROR(__xludf.DUMMYFUNCTION("if(ISBLANK(A147),"""",googlefinance(A147,""Marketcap"")/10000000)"),"")</f>
        <v/>
      </c>
      <c r="H147" s="438"/>
      <c r="I147" s="438"/>
      <c r="J147" s="441"/>
      <c r="K147" s="429" t="str">
        <f t="shared" si="5"/>
        <v/>
      </c>
      <c r="L147" s="439"/>
      <c r="M147" s="429" t="str">
        <f t="shared" si="7"/>
        <v/>
      </c>
      <c r="N147" s="439"/>
      <c r="O147" s="430" t="str">
        <f t="shared" si="9"/>
        <v/>
      </c>
      <c r="P147" s="431"/>
      <c r="Q147" s="431"/>
      <c r="R147" s="431"/>
      <c r="S147" s="431"/>
    </row>
    <row r="148">
      <c r="A148" s="425"/>
      <c r="B148" s="425"/>
      <c r="C148" s="426"/>
      <c r="D148" s="440"/>
      <c r="E148" s="427" t="str">
        <f t="shared" si="1"/>
        <v/>
      </c>
      <c r="F148" s="426" t="str">
        <f t="shared" si="2"/>
        <v/>
      </c>
      <c r="G148" s="32" t="str">
        <f>IFERROR(__xludf.DUMMYFUNCTION("if(ISBLANK(A148),"""",googlefinance(A148,""Marketcap"")/10000000)"),"")</f>
        <v/>
      </c>
      <c r="H148" s="438"/>
      <c r="I148" s="438"/>
      <c r="J148" s="441"/>
      <c r="K148" s="429" t="str">
        <f t="shared" si="5"/>
        <v/>
      </c>
      <c r="L148" s="439"/>
      <c r="M148" s="429" t="str">
        <f t="shared" si="7"/>
        <v/>
      </c>
      <c r="N148" s="439"/>
      <c r="O148" s="430" t="str">
        <f t="shared" si="9"/>
        <v/>
      </c>
      <c r="P148" s="431"/>
      <c r="Q148" s="431"/>
      <c r="R148" s="431"/>
      <c r="S148" s="431"/>
    </row>
    <row r="149">
      <c r="A149" s="425"/>
      <c r="B149" s="425"/>
      <c r="C149" s="426"/>
      <c r="D149" s="440"/>
      <c r="E149" s="427" t="str">
        <f t="shared" si="1"/>
        <v/>
      </c>
      <c r="F149" s="426" t="str">
        <f t="shared" si="2"/>
        <v/>
      </c>
      <c r="G149" s="32" t="str">
        <f>IFERROR(__xludf.DUMMYFUNCTION("if(ISBLANK(A149),"""",googlefinance(A149,""Marketcap"")/10000000)"),"")</f>
        <v/>
      </c>
      <c r="H149" s="438"/>
      <c r="I149" s="438"/>
      <c r="J149" s="441"/>
      <c r="K149" s="429" t="str">
        <f t="shared" si="5"/>
        <v/>
      </c>
      <c r="L149" s="439"/>
      <c r="M149" s="429" t="str">
        <f t="shared" si="7"/>
        <v/>
      </c>
      <c r="N149" s="439"/>
      <c r="O149" s="430" t="str">
        <f t="shared" si="9"/>
        <v/>
      </c>
      <c r="P149" s="431"/>
      <c r="Q149" s="431"/>
      <c r="R149" s="431"/>
      <c r="S149" s="431"/>
    </row>
    <row r="150">
      <c r="A150" s="425"/>
      <c r="B150" s="425"/>
      <c r="C150" s="426"/>
      <c r="D150" s="440"/>
      <c r="E150" s="427" t="str">
        <f t="shared" si="1"/>
        <v/>
      </c>
      <c r="F150" s="426" t="str">
        <f t="shared" si="2"/>
        <v/>
      </c>
      <c r="G150" s="32" t="str">
        <f>IFERROR(__xludf.DUMMYFUNCTION("if(ISBLANK(A150),"""",googlefinance(A150,""Marketcap"")/10000000)"),"")</f>
        <v/>
      </c>
      <c r="H150" s="438"/>
      <c r="I150" s="438"/>
      <c r="J150" s="441"/>
      <c r="K150" s="429" t="str">
        <f t="shared" si="5"/>
        <v/>
      </c>
      <c r="L150" s="439"/>
      <c r="M150" s="429" t="str">
        <f t="shared" si="7"/>
        <v/>
      </c>
      <c r="N150" s="439"/>
      <c r="O150" s="430" t="str">
        <f t="shared" si="9"/>
        <v/>
      </c>
      <c r="P150" s="431"/>
      <c r="Q150" s="431"/>
      <c r="R150" s="431"/>
      <c r="S150" s="431"/>
    </row>
    <row r="151">
      <c r="A151" s="425"/>
      <c r="B151" s="425"/>
      <c r="C151" s="426"/>
      <c r="D151" s="440"/>
      <c r="E151" s="427" t="str">
        <f t="shared" si="1"/>
        <v/>
      </c>
      <c r="F151" s="426" t="str">
        <f t="shared" si="2"/>
        <v/>
      </c>
      <c r="G151" s="32" t="str">
        <f>IFERROR(__xludf.DUMMYFUNCTION("if(ISBLANK(A151),"""",googlefinance(A151,""Marketcap"")/10000000)"),"")</f>
        <v/>
      </c>
      <c r="H151" s="438"/>
      <c r="I151" s="438"/>
      <c r="J151" s="441"/>
      <c r="K151" s="429" t="str">
        <f t="shared" si="5"/>
        <v/>
      </c>
      <c r="L151" s="439"/>
      <c r="M151" s="429" t="str">
        <f t="shared" si="7"/>
        <v/>
      </c>
      <c r="N151" s="439"/>
      <c r="O151" s="430" t="str">
        <f t="shared" si="9"/>
        <v/>
      </c>
      <c r="P151" s="431"/>
      <c r="Q151" s="431"/>
      <c r="R151" s="431"/>
      <c r="S151" s="431"/>
    </row>
    <row r="152">
      <c r="A152" s="425"/>
      <c r="B152" s="425"/>
      <c r="C152" s="426"/>
      <c r="D152" s="440"/>
      <c r="E152" s="427" t="str">
        <f t="shared" si="1"/>
        <v/>
      </c>
      <c r="F152" s="426" t="str">
        <f t="shared" si="2"/>
        <v/>
      </c>
      <c r="G152" s="32" t="str">
        <f>IFERROR(__xludf.DUMMYFUNCTION("if(ISBLANK(A152),"""",googlefinance(A152,""Marketcap"")/10000000)"),"")</f>
        <v/>
      </c>
      <c r="H152" s="438"/>
      <c r="I152" s="438"/>
      <c r="J152" s="441"/>
      <c r="K152" s="429" t="str">
        <f t="shared" si="5"/>
        <v/>
      </c>
      <c r="L152" s="439"/>
      <c r="M152" s="429" t="str">
        <f t="shared" si="7"/>
        <v/>
      </c>
      <c r="N152" s="439"/>
      <c r="O152" s="430" t="str">
        <f t="shared" si="9"/>
        <v/>
      </c>
      <c r="P152" s="431"/>
      <c r="Q152" s="431"/>
      <c r="R152" s="431"/>
      <c r="S152" s="431"/>
    </row>
    <row r="153">
      <c r="A153" s="425"/>
      <c r="B153" s="425"/>
      <c r="C153" s="426"/>
      <c r="D153" s="440"/>
      <c r="E153" s="427" t="str">
        <f t="shared" si="1"/>
        <v/>
      </c>
      <c r="F153" s="426" t="str">
        <f t="shared" si="2"/>
        <v/>
      </c>
      <c r="G153" s="32" t="str">
        <f>IFERROR(__xludf.DUMMYFUNCTION("if(ISBLANK(A153),"""",googlefinance(A153,""Marketcap"")/10000000)"),"")</f>
        <v/>
      </c>
      <c r="H153" s="438"/>
      <c r="I153" s="438"/>
      <c r="J153" s="441"/>
      <c r="K153" s="429" t="str">
        <f t="shared" si="5"/>
        <v/>
      </c>
      <c r="L153" s="439"/>
      <c r="M153" s="429" t="str">
        <f t="shared" si="7"/>
        <v/>
      </c>
      <c r="N153" s="439"/>
      <c r="O153" s="430" t="str">
        <f t="shared" si="9"/>
        <v/>
      </c>
      <c r="P153" s="431"/>
      <c r="Q153" s="431"/>
      <c r="R153" s="431"/>
      <c r="S153" s="431"/>
    </row>
    <row r="154">
      <c r="A154" s="425"/>
      <c r="B154" s="425"/>
      <c r="C154" s="426"/>
      <c r="D154" s="440"/>
      <c r="E154" s="427" t="str">
        <f t="shared" si="1"/>
        <v/>
      </c>
      <c r="F154" s="426" t="str">
        <f t="shared" si="2"/>
        <v/>
      </c>
      <c r="G154" s="32" t="str">
        <f>IFERROR(__xludf.DUMMYFUNCTION("if(ISBLANK(A154),"""",googlefinance(A154,""Marketcap"")/10000000)"),"")</f>
        <v/>
      </c>
      <c r="H154" s="438"/>
      <c r="I154" s="438"/>
      <c r="J154" s="441"/>
      <c r="K154" s="429" t="str">
        <f t="shared" si="5"/>
        <v/>
      </c>
      <c r="L154" s="439"/>
      <c r="M154" s="429" t="str">
        <f t="shared" si="7"/>
        <v/>
      </c>
      <c r="N154" s="439"/>
      <c r="O154" s="430" t="str">
        <f t="shared" si="9"/>
        <v/>
      </c>
      <c r="P154" s="431"/>
      <c r="Q154" s="431"/>
      <c r="R154" s="431"/>
      <c r="S154" s="431"/>
    </row>
    <row r="155">
      <c r="A155" s="425"/>
      <c r="B155" s="425"/>
      <c r="C155" s="426"/>
      <c r="D155" s="440"/>
      <c r="E155" s="427" t="str">
        <f t="shared" si="1"/>
        <v/>
      </c>
      <c r="F155" s="426" t="str">
        <f t="shared" si="2"/>
        <v/>
      </c>
      <c r="G155" s="32" t="str">
        <f>IFERROR(__xludf.DUMMYFUNCTION("if(ISBLANK(A155),"""",googlefinance(A155,""Marketcap"")/10000000)"),"")</f>
        <v/>
      </c>
      <c r="H155" s="438"/>
      <c r="I155" s="438"/>
      <c r="J155" s="441"/>
      <c r="K155" s="429" t="str">
        <f t="shared" si="5"/>
        <v/>
      </c>
      <c r="L155" s="439"/>
      <c r="M155" s="429" t="str">
        <f t="shared" si="7"/>
        <v/>
      </c>
      <c r="N155" s="439"/>
      <c r="O155" s="430" t="str">
        <f t="shared" si="9"/>
        <v/>
      </c>
      <c r="P155" s="431"/>
      <c r="Q155" s="431"/>
      <c r="R155" s="431"/>
      <c r="S155" s="431"/>
    </row>
    <row r="156">
      <c r="A156" s="425"/>
      <c r="B156" s="425"/>
      <c r="C156" s="426"/>
      <c r="D156" s="440"/>
      <c r="E156" s="427" t="str">
        <f t="shared" si="1"/>
        <v/>
      </c>
      <c r="F156" s="426" t="str">
        <f t="shared" si="2"/>
        <v/>
      </c>
      <c r="G156" s="32" t="str">
        <f>IFERROR(__xludf.DUMMYFUNCTION("if(ISBLANK(A156),"""",googlefinance(A156,""Marketcap"")/10000000)"),"")</f>
        <v/>
      </c>
      <c r="H156" s="438"/>
      <c r="I156" s="438"/>
      <c r="J156" s="441"/>
      <c r="K156" s="429" t="str">
        <f t="shared" si="5"/>
        <v/>
      </c>
      <c r="L156" s="439"/>
      <c r="M156" s="429" t="str">
        <f t="shared" si="7"/>
        <v/>
      </c>
      <c r="N156" s="439"/>
      <c r="O156" s="430" t="str">
        <f t="shared" si="9"/>
        <v/>
      </c>
      <c r="P156" s="431"/>
      <c r="Q156" s="431"/>
      <c r="R156" s="431"/>
      <c r="S156" s="431"/>
    </row>
    <row r="157">
      <c r="A157" s="425"/>
      <c r="B157" s="425"/>
      <c r="C157" s="426"/>
      <c r="D157" s="440"/>
      <c r="E157" s="427" t="str">
        <f t="shared" si="1"/>
        <v/>
      </c>
      <c r="F157" s="426" t="str">
        <f t="shared" si="2"/>
        <v/>
      </c>
      <c r="G157" s="32" t="str">
        <f>IFERROR(__xludf.DUMMYFUNCTION("if(ISBLANK(A157),"""",googlefinance(A157,""Marketcap"")/10000000)"),"")</f>
        <v/>
      </c>
      <c r="H157" s="438"/>
      <c r="I157" s="438"/>
      <c r="J157" s="441"/>
      <c r="K157" s="429" t="str">
        <f t="shared" si="5"/>
        <v/>
      </c>
      <c r="L157" s="439"/>
      <c r="M157" s="429" t="str">
        <f t="shared" si="7"/>
        <v/>
      </c>
      <c r="N157" s="439"/>
      <c r="O157" s="430" t="str">
        <f t="shared" si="9"/>
        <v/>
      </c>
      <c r="P157" s="431"/>
      <c r="Q157" s="431"/>
      <c r="R157" s="431"/>
      <c r="S157" s="431"/>
    </row>
    <row r="158">
      <c r="A158" s="425"/>
      <c r="B158" s="425"/>
      <c r="C158" s="426"/>
      <c r="D158" s="440"/>
      <c r="E158" s="427" t="str">
        <f t="shared" si="1"/>
        <v/>
      </c>
      <c r="F158" s="426" t="str">
        <f t="shared" si="2"/>
        <v/>
      </c>
      <c r="G158" s="32" t="str">
        <f>IFERROR(__xludf.DUMMYFUNCTION("if(ISBLANK(A158),"""",googlefinance(A158,""Marketcap"")/10000000)"),"")</f>
        <v/>
      </c>
      <c r="H158" s="438"/>
      <c r="I158" s="438"/>
      <c r="J158" s="441"/>
      <c r="K158" s="429" t="str">
        <f t="shared" si="5"/>
        <v/>
      </c>
      <c r="L158" s="439"/>
      <c r="M158" s="429" t="str">
        <f t="shared" si="7"/>
        <v/>
      </c>
      <c r="N158" s="439"/>
      <c r="O158" s="430" t="str">
        <f t="shared" si="9"/>
        <v/>
      </c>
      <c r="P158" s="431"/>
      <c r="Q158" s="431"/>
      <c r="R158" s="431"/>
      <c r="S158" s="431"/>
    </row>
    <row r="159">
      <c r="A159" s="425"/>
      <c r="B159" s="425"/>
      <c r="C159" s="426"/>
      <c r="D159" s="440"/>
      <c r="E159" s="427" t="str">
        <f t="shared" si="1"/>
        <v/>
      </c>
      <c r="F159" s="426" t="str">
        <f t="shared" si="2"/>
        <v/>
      </c>
      <c r="G159" s="32" t="str">
        <f>IFERROR(__xludf.DUMMYFUNCTION("if(ISBLANK(A159),"""",googlefinance(A159,""Marketcap"")/10000000)"),"")</f>
        <v/>
      </c>
      <c r="H159" s="438"/>
      <c r="I159" s="438"/>
      <c r="J159" s="441"/>
      <c r="K159" s="429" t="str">
        <f t="shared" si="5"/>
        <v/>
      </c>
      <c r="L159" s="439"/>
      <c r="M159" s="429" t="str">
        <f t="shared" si="7"/>
        <v/>
      </c>
      <c r="N159" s="439"/>
      <c r="O159" s="430" t="str">
        <f t="shared" si="9"/>
        <v/>
      </c>
      <c r="P159" s="431"/>
      <c r="Q159" s="431"/>
      <c r="R159" s="431"/>
      <c r="S159" s="431"/>
    </row>
    <row r="160">
      <c r="A160" s="425"/>
      <c r="B160" s="425"/>
      <c r="C160" s="426"/>
      <c r="D160" s="440"/>
      <c r="E160" s="427" t="str">
        <f t="shared" si="1"/>
        <v/>
      </c>
      <c r="F160" s="426" t="str">
        <f t="shared" si="2"/>
        <v/>
      </c>
      <c r="G160" s="32" t="str">
        <f>IFERROR(__xludf.DUMMYFUNCTION("if(ISBLANK(A160),"""",googlefinance(A160,""Marketcap"")/10000000)"),"")</f>
        <v/>
      </c>
      <c r="H160" s="438"/>
      <c r="I160" s="438"/>
      <c r="J160" s="441"/>
      <c r="K160" s="429" t="str">
        <f t="shared" si="5"/>
        <v/>
      </c>
      <c r="L160" s="439"/>
      <c r="M160" s="429" t="str">
        <f t="shared" si="7"/>
        <v/>
      </c>
      <c r="N160" s="439"/>
      <c r="O160" s="430" t="str">
        <f t="shared" si="9"/>
        <v/>
      </c>
      <c r="P160" s="431"/>
      <c r="Q160" s="431"/>
      <c r="R160" s="431"/>
      <c r="S160" s="431"/>
    </row>
    <row r="161">
      <c r="A161" s="425"/>
      <c r="B161" s="425"/>
      <c r="C161" s="426"/>
      <c r="D161" s="440"/>
      <c r="E161" s="427" t="str">
        <f t="shared" si="1"/>
        <v/>
      </c>
      <c r="F161" s="426" t="str">
        <f t="shared" si="2"/>
        <v/>
      </c>
      <c r="G161" s="32" t="str">
        <f>IFERROR(__xludf.DUMMYFUNCTION("if(ISBLANK(A161),"""",googlefinance(A161,""Marketcap"")/10000000)"),"")</f>
        <v/>
      </c>
      <c r="H161" s="438"/>
      <c r="I161" s="438"/>
      <c r="J161" s="441"/>
      <c r="K161" s="429" t="str">
        <f t="shared" si="5"/>
        <v/>
      </c>
      <c r="L161" s="439"/>
      <c r="M161" s="429" t="str">
        <f t="shared" si="7"/>
        <v/>
      </c>
      <c r="N161" s="439"/>
      <c r="O161" s="430" t="str">
        <f t="shared" si="9"/>
        <v/>
      </c>
      <c r="P161" s="431"/>
      <c r="Q161" s="431"/>
      <c r="R161" s="431"/>
      <c r="S161" s="431"/>
    </row>
    <row r="162">
      <c r="A162" s="425"/>
      <c r="B162" s="425"/>
      <c r="C162" s="426"/>
      <c r="D162" s="440"/>
      <c r="E162" s="427" t="str">
        <f t="shared" si="1"/>
        <v/>
      </c>
      <c r="F162" s="426" t="str">
        <f t="shared" si="2"/>
        <v/>
      </c>
      <c r="G162" s="442"/>
      <c r="H162" s="438"/>
      <c r="I162" s="438"/>
      <c r="J162" s="441"/>
      <c r="K162" s="429" t="str">
        <f t="shared" si="5"/>
        <v/>
      </c>
      <c r="L162" s="439"/>
      <c r="M162" s="429" t="str">
        <f t="shared" si="7"/>
        <v/>
      </c>
      <c r="N162" s="439"/>
      <c r="O162" s="430" t="str">
        <f t="shared" si="9"/>
        <v/>
      </c>
      <c r="P162" s="431"/>
      <c r="Q162" s="431"/>
      <c r="R162" s="431"/>
      <c r="S162" s="431"/>
    </row>
    <row r="163">
      <c r="A163" s="425"/>
      <c r="B163" s="425"/>
      <c r="C163" s="426"/>
      <c r="D163" s="440"/>
      <c r="E163" s="427" t="str">
        <f t="shared" si="1"/>
        <v/>
      </c>
      <c r="F163" s="426" t="str">
        <f t="shared" si="2"/>
        <v/>
      </c>
      <c r="G163" s="442"/>
      <c r="H163" s="438"/>
      <c r="I163" s="438"/>
      <c r="J163" s="441"/>
      <c r="K163" s="429" t="str">
        <f t="shared" si="5"/>
        <v/>
      </c>
      <c r="L163" s="439"/>
      <c r="M163" s="429" t="str">
        <f t="shared" si="7"/>
        <v/>
      </c>
      <c r="N163" s="439"/>
      <c r="O163" s="430" t="str">
        <f t="shared" si="9"/>
        <v/>
      </c>
      <c r="P163" s="431"/>
      <c r="Q163" s="431"/>
      <c r="R163" s="431"/>
      <c r="S163" s="431"/>
    </row>
    <row r="164">
      <c r="A164" s="425"/>
      <c r="B164" s="425"/>
      <c r="C164" s="426"/>
      <c r="D164" s="440"/>
      <c r="E164" s="427" t="str">
        <f t="shared" si="1"/>
        <v/>
      </c>
      <c r="F164" s="426" t="str">
        <f t="shared" si="2"/>
        <v/>
      </c>
      <c r="G164" s="442"/>
      <c r="H164" s="438"/>
      <c r="I164" s="438"/>
      <c r="J164" s="441"/>
      <c r="K164" s="429" t="str">
        <f t="shared" si="5"/>
        <v/>
      </c>
      <c r="L164" s="439"/>
      <c r="M164" s="429" t="str">
        <f t="shared" si="7"/>
        <v/>
      </c>
      <c r="N164" s="439"/>
      <c r="O164" s="430" t="str">
        <f t="shared" si="9"/>
        <v/>
      </c>
      <c r="P164" s="431"/>
      <c r="Q164" s="431"/>
      <c r="R164" s="431"/>
      <c r="S164" s="431"/>
    </row>
    <row r="165">
      <c r="A165" s="425"/>
      <c r="B165" s="425"/>
      <c r="C165" s="426"/>
      <c r="D165" s="440"/>
      <c r="E165" s="427" t="str">
        <f t="shared" si="1"/>
        <v/>
      </c>
      <c r="F165" s="426" t="str">
        <f t="shared" si="2"/>
        <v/>
      </c>
      <c r="G165" s="442"/>
      <c r="H165" s="438"/>
      <c r="I165" s="438"/>
      <c r="J165" s="441"/>
      <c r="K165" s="429" t="str">
        <f t="shared" si="5"/>
        <v/>
      </c>
      <c r="L165" s="439"/>
      <c r="M165" s="429" t="str">
        <f t="shared" si="7"/>
        <v/>
      </c>
      <c r="N165" s="439"/>
      <c r="O165" s="430" t="str">
        <f t="shared" si="9"/>
        <v/>
      </c>
      <c r="P165" s="431"/>
      <c r="Q165" s="431"/>
      <c r="R165" s="431"/>
      <c r="S165" s="431"/>
    </row>
    <row r="166">
      <c r="A166" s="425"/>
      <c r="B166" s="425"/>
      <c r="C166" s="426"/>
      <c r="D166" s="440"/>
      <c r="E166" s="427" t="str">
        <f t="shared" si="1"/>
        <v/>
      </c>
      <c r="F166" s="426" t="str">
        <f t="shared" si="2"/>
        <v/>
      </c>
      <c r="G166" s="442"/>
      <c r="H166" s="438"/>
      <c r="I166" s="438"/>
      <c r="J166" s="441"/>
      <c r="K166" s="429" t="str">
        <f t="shared" si="5"/>
        <v/>
      </c>
      <c r="L166" s="439"/>
      <c r="M166" s="429" t="str">
        <f t="shared" si="7"/>
        <v/>
      </c>
      <c r="N166" s="439"/>
      <c r="O166" s="430" t="str">
        <f t="shared" si="9"/>
        <v/>
      </c>
      <c r="P166" s="431"/>
      <c r="Q166" s="431"/>
      <c r="R166" s="431"/>
      <c r="S166" s="431"/>
    </row>
    <row r="167">
      <c r="A167" s="425"/>
      <c r="B167" s="425"/>
      <c r="C167" s="426"/>
      <c r="D167" s="440"/>
      <c r="E167" s="427" t="str">
        <f t="shared" si="1"/>
        <v/>
      </c>
      <c r="F167" s="426" t="str">
        <f t="shared" si="2"/>
        <v/>
      </c>
      <c r="G167" s="442"/>
      <c r="H167" s="438"/>
      <c r="I167" s="438"/>
      <c r="J167" s="441"/>
      <c r="K167" s="429" t="str">
        <f t="shared" si="5"/>
        <v/>
      </c>
      <c r="L167" s="439"/>
      <c r="M167" s="429" t="str">
        <f t="shared" si="7"/>
        <v/>
      </c>
      <c r="N167" s="439"/>
      <c r="O167" s="430" t="str">
        <f t="shared" si="9"/>
        <v/>
      </c>
      <c r="P167" s="431"/>
      <c r="Q167" s="431"/>
      <c r="R167" s="431"/>
      <c r="S167" s="431"/>
    </row>
    <row r="168">
      <c r="A168" s="425"/>
      <c r="B168" s="425"/>
      <c r="C168" s="426"/>
      <c r="D168" s="440"/>
      <c r="E168" s="427" t="str">
        <f t="shared" si="1"/>
        <v/>
      </c>
      <c r="F168" s="426" t="str">
        <f t="shared" si="2"/>
        <v/>
      </c>
      <c r="G168" s="442"/>
      <c r="H168" s="438"/>
      <c r="I168" s="438"/>
      <c r="J168" s="441"/>
      <c r="K168" s="429" t="str">
        <f t="shared" si="5"/>
        <v/>
      </c>
      <c r="L168" s="439"/>
      <c r="M168" s="429" t="str">
        <f t="shared" si="7"/>
        <v/>
      </c>
      <c r="N168" s="439"/>
      <c r="O168" s="430" t="str">
        <f t="shared" si="9"/>
        <v/>
      </c>
      <c r="P168" s="431"/>
      <c r="Q168" s="431"/>
      <c r="R168" s="431"/>
      <c r="S168" s="431"/>
    </row>
    <row r="169">
      <c r="A169" s="425"/>
      <c r="B169" s="425"/>
      <c r="C169" s="426"/>
      <c r="D169" s="440"/>
      <c r="E169" s="427" t="str">
        <f t="shared" si="1"/>
        <v/>
      </c>
      <c r="F169" s="426" t="str">
        <f t="shared" si="2"/>
        <v/>
      </c>
      <c r="G169" s="442"/>
      <c r="H169" s="438"/>
      <c r="I169" s="438"/>
      <c r="J169" s="441"/>
      <c r="K169" s="429" t="str">
        <f t="shared" si="5"/>
        <v/>
      </c>
      <c r="L169" s="439"/>
      <c r="M169" s="429" t="str">
        <f t="shared" si="7"/>
        <v/>
      </c>
      <c r="N169" s="439"/>
      <c r="O169" s="430" t="str">
        <f t="shared" si="9"/>
        <v/>
      </c>
      <c r="P169" s="431"/>
      <c r="Q169" s="431"/>
      <c r="R169" s="431"/>
      <c r="S169" s="431"/>
    </row>
    <row r="170">
      <c r="A170" s="425"/>
      <c r="B170" s="425"/>
      <c r="C170" s="426"/>
      <c r="D170" s="440"/>
      <c r="E170" s="427" t="str">
        <f t="shared" si="1"/>
        <v/>
      </c>
      <c r="F170" s="426" t="str">
        <f t="shared" si="2"/>
        <v/>
      </c>
      <c r="G170" s="442"/>
      <c r="H170" s="438"/>
      <c r="I170" s="438"/>
      <c r="J170" s="441"/>
      <c r="K170" s="429" t="str">
        <f t="shared" si="5"/>
        <v/>
      </c>
      <c r="L170" s="439"/>
      <c r="M170" s="429" t="str">
        <f t="shared" si="7"/>
        <v/>
      </c>
      <c r="N170" s="439"/>
      <c r="O170" s="430" t="str">
        <f t="shared" si="9"/>
        <v/>
      </c>
      <c r="P170" s="431"/>
      <c r="Q170" s="431"/>
      <c r="R170" s="431"/>
      <c r="S170" s="431"/>
    </row>
    <row r="171">
      <c r="A171" s="425"/>
      <c r="B171" s="425"/>
      <c r="C171" s="426"/>
      <c r="D171" s="440"/>
      <c r="E171" s="427" t="str">
        <f t="shared" si="1"/>
        <v/>
      </c>
      <c r="F171" s="426" t="str">
        <f t="shared" si="2"/>
        <v/>
      </c>
      <c r="G171" s="442"/>
      <c r="H171" s="438"/>
      <c r="I171" s="438"/>
      <c r="J171" s="441"/>
      <c r="K171" s="429" t="str">
        <f t="shared" si="5"/>
        <v/>
      </c>
      <c r="L171" s="439"/>
      <c r="M171" s="429" t="str">
        <f t="shared" si="7"/>
        <v/>
      </c>
      <c r="N171" s="439"/>
      <c r="O171" s="430" t="str">
        <f t="shared" si="9"/>
        <v/>
      </c>
      <c r="P171" s="431"/>
      <c r="Q171" s="431"/>
      <c r="R171" s="431"/>
      <c r="S171" s="431"/>
    </row>
    <row r="172">
      <c r="A172" s="425"/>
      <c r="B172" s="425"/>
      <c r="C172" s="426"/>
      <c r="D172" s="440"/>
      <c r="E172" s="427" t="str">
        <f t="shared" si="1"/>
        <v/>
      </c>
      <c r="F172" s="426" t="str">
        <f t="shared" si="2"/>
        <v/>
      </c>
      <c r="G172" s="442"/>
      <c r="H172" s="438"/>
      <c r="I172" s="438"/>
      <c r="J172" s="441"/>
      <c r="K172" s="429" t="str">
        <f t="shared" si="5"/>
        <v/>
      </c>
      <c r="L172" s="439"/>
      <c r="M172" s="429" t="str">
        <f t="shared" si="7"/>
        <v/>
      </c>
      <c r="N172" s="439"/>
      <c r="O172" s="430" t="str">
        <f t="shared" si="9"/>
        <v/>
      </c>
      <c r="P172" s="431"/>
      <c r="Q172" s="431"/>
      <c r="R172" s="431"/>
      <c r="S172" s="431"/>
    </row>
    <row r="173">
      <c r="A173" s="425"/>
      <c r="B173" s="425"/>
      <c r="C173" s="426"/>
      <c r="D173" s="440"/>
      <c r="E173" s="427" t="str">
        <f t="shared" si="1"/>
        <v/>
      </c>
      <c r="F173" s="426" t="str">
        <f t="shared" si="2"/>
        <v/>
      </c>
      <c r="G173" s="442"/>
      <c r="H173" s="438"/>
      <c r="I173" s="438"/>
      <c r="J173" s="441"/>
      <c r="K173" s="429" t="str">
        <f t="shared" si="5"/>
        <v/>
      </c>
      <c r="L173" s="439"/>
      <c r="M173" s="429" t="str">
        <f t="shared" si="7"/>
        <v/>
      </c>
      <c r="N173" s="439"/>
      <c r="O173" s="430" t="str">
        <f t="shared" si="9"/>
        <v/>
      </c>
      <c r="P173" s="431"/>
      <c r="Q173" s="431"/>
      <c r="R173" s="431"/>
      <c r="S173" s="431"/>
    </row>
    <row r="174">
      <c r="A174" s="425"/>
      <c r="B174" s="425"/>
      <c r="C174" s="426"/>
      <c r="D174" s="440"/>
      <c r="E174" s="427" t="str">
        <f t="shared" si="1"/>
        <v/>
      </c>
      <c r="F174" s="426" t="str">
        <f t="shared" si="2"/>
        <v/>
      </c>
      <c r="G174" s="442"/>
      <c r="H174" s="438"/>
      <c r="I174" s="438"/>
      <c r="J174" s="441"/>
      <c r="K174" s="429" t="str">
        <f t="shared" si="5"/>
        <v/>
      </c>
      <c r="L174" s="439"/>
      <c r="M174" s="429" t="str">
        <f t="shared" si="7"/>
        <v/>
      </c>
      <c r="N174" s="439"/>
      <c r="O174" s="430" t="str">
        <f t="shared" si="9"/>
        <v/>
      </c>
      <c r="P174" s="431"/>
      <c r="Q174" s="431"/>
      <c r="R174" s="431"/>
      <c r="S174" s="431"/>
    </row>
    <row r="175">
      <c r="A175" s="425"/>
      <c r="B175" s="425"/>
      <c r="C175" s="426"/>
      <c r="D175" s="440"/>
      <c r="E175" s="427" t="str">
        <f t="shared" si="1"/>
        <v/>
      </c>
      <c r="F175" s="426" t="str">
        <f t="shared" si="2"/>
        <v/>
      </c>
      <c r="G175" s="442"/>
      <c r="H175" s="438"/>
      <c r="I175" s="438"/>
      <c r="J175" s="441"/>
      <c r="K175" s="429" t="str">
        <f t="shared" si="5"/>
        <v/>
      </c>
      <c r="L175" s="439"/>
      <c r="M175" s="429" t="str">
        <f t="shared" si="7"/>
        <v/>
      </c>
      <c r="N175" s="439"/>
      <c r="O175" s="430" t="str">
        <f t="shared" si="9"/>
        <v/>
      </c>
      <c r="P175" s="431"/>
      <c r="Q175" s="431"/>
      <c r="R175" s="431"/>
      <c r="S175" s="431"/>
    </row>
    <row r="176">
      <c r="A176" s="425"/>
      <c r="B176" s="425"/>
      <c r="C176" s="426"/>
      <c r="D176" s="440"/>
      <c r="E176" s="427" t="str">
        <f t="shared" si="1"/>
        <v/>
      </c>
      <c r="F176" s="426" t="str">
        <f t="shared" si="2"/>
        <v/>
      </c>
      <c r="G176" s="442"/>
      <c r="H176" s="438"/>
      <c r="I176" s="438"/>
      <c r="J176" s="441"/>
      <c r="K176" s="429" t="str">
        <f t="shared" si="5"/>
        <v/>
      </c>
      <c r="L176" s="439"/>
      <c r="M176" s="429" t="str">
        <f t="shared" si="7"/>
        <v/>
      </c>
      <c r="N176" s="439"/>
      <c r="O176" s="430" t="str">
        <f t="shared" si="9"/>
        <v/>
      </c>
      <c r="P176" s="431"/>
      <c r="Q176" s="431"/>
      <c r="R176" s="431"/>
      <c r="S176" s="431"/>
    </row>
    <row r="177">
      <c r="A177" s="425"/>
      <c r="B177" s="425"/>
      <c r="C177" s="426"/>
      <c r="D177" s="440"/>
      <c r="E177" s="427" t="str">
        <f t="shared" si="1"/>
        <v/>
      </c>
      <c r="F177" s="426" t="str">
        <f t="shared" si="2"/>
        <v/>
      </c>
      <c r="G177" s="442"/>
      <c r="H177" s="438"/>
      <c r="I177" s="438"/>
      <c r="J177" s="441"/>
      <c r="K177" s="429" t="str">
        <f t="shared" si="5"/>
        <v/>
      </c>
      <c r="L177" s="439"/>
      <c r="M177" s="429" t="str">
        <f t="shared" si="7"/>
        <v/>
      </c>
      <c r="N177" s="439"/>
      <c r="O177" s="430" t="str">
        <f t="shared" si="9"/>
        <v/>
      </c>
      <c r="P177" s="431"/>
      <c r="Q177" s="431"/>
      <c r="R177" s="431"/>
      <c r="S177" s="431"/>
    </row>
    <row r="178">
      <c r="A178" s="425"/>
      <c r="B178" s="425"/>
      <c r="C178" s="426"/>
      <c r="D178" s="440"/>
      <c r="E178" s="427" t="str">
        <f t="shared" si="1"/>
        <v/>
      </c>
      <c r="F178" s="426" t="str">
        <f t="shared" si="2"/>
        <v/>
      </c>
      <c r="G178" s="442"/>
      <c r="H178" s="438"/>
      <c r="I178" s="438"/>
      <c r="J178" s="441"/>
      <c r="K178" s="429" t="str">
        <f t="shared" si="5"/>
        <v/>
      </c>
      <c r="L178" s="439"/>
      <c r="M178" s="429" t="str">
        <f t="shared" si="7"/>
        <v/>
      </c>
      <c r="N178" s="439"/>
      <c r="O178" s="430" t="str">
        <f t="shared" si="9"/>
        <v/>
      </c>
      <c r="P178" s="431"/>
      <c r="Q178" s="431"/>
      <c r="R178" s="431"/>
      <c r="S178" s="431"/>
    </row>
    <row r="179">
      <c r="A179" s="425"/>
      <c r="B179" s="425"/>
      <c r="C179" s="426"/>
      <c r="D179" s="440"/>
      <c r="E179" s="427" t="str">
        <f t="shared" si="1"/>
        <v/>
      </c>
      <c r="F179" s="426" t="str">
        <f t="shared" si="2"/>
        <v/>
      </c>
      <c r="G179" s="442"/>
      <c r="H179" s="438"/>
      <c r="I179" s="438"/>
      <c r="J179" s="441"/>
      <c r="K179" s="429" t="str">
        <f t="shared" si="5"/>
        <v/>
      </c>
      <c r="L179" s="439"/>
      <c r="M179" s="429" t="str">
        <f t="shared" si="7"/>
        <v/>
      </c>
      <c r="N179" s="439"/>
      <c r="O179" s="430" t="str">
        <f t="shared" si="9"/>
        <v/>
      </c>
      <c r="P179" s="431"/>
      <c r="Q179" s="431"/>
      <c r="R179" s="431"/>
      <c r="S179" s="431"/>
    </row>
    <row r="180">
      <c r="A180" s="425"/>
      <c r="B180" s="425"/>
      <c r="C180" s="426"/>
      <c r="D180" s="440"/>
      <c r="E180" s="427" t="str">
        <f t="shared" si="1"/>
        <v/>
      </c>
      <c r="F180" s="426" t="str">
        <f t="shared" si="2"/>
        <v/>
      </c>
      <c r="G180" s="442"/>
      <c r="H180" s="438"/>
      <c r="I180" s="438"/>
      <c r="J180" s="441"/>
      <c r="K180" s="429" t="str">
        <f t="shared" si="5"/>
        <v/>
      </c>
      <c r="L180" s="439"/>
      <c r="M180" s="429" t="str">
        <f t="shared" si="7"/>
        <v/>
      </c>
      <c r="N180" s="439"/>
      <c r="O180" s="430" t="str">
        <f t="shared" si="9"/>
        <v/>
      </c>
      <c r="P180" s="431"/>
      <c r="Q180" s="431"/>
      <c r="R180" s="431"/>
      <c r="S180" s="431"/>
    </row>
    <row r="181">
      <c r="A181" s="425"/>
      <c r="B181" s="425"/>
      <c r="C181" s="426"/>
      <c r="D181" s="440"/>
      <c r="E181" s="427" t="str">
        <f t="shared" si="1"/>
        <v/>
      </c>
      <c r="F181" s="426" t="str">
        <f t="shared" si="2"/>
        <v/>
      </c>
      <c r="G181" s="442"/>
      <c r="H181" s="438"/>
      <c r="I181" s="438"/>
      <c r="J181" s="441"/>
      <c r="K181" s="429" t="str">
        <f t="shared" si="5"/>
        <v/>
      </c>
      <c r="L181" s="439"/>
      <c r="M181" s="429" t="str">
        <f t="shared" si="7"/>
        <v/>
      </c>
      <c r="N181" s="439"/>
      <c r="O181" s="430" t="str">
        <f t="shared" si="9"/>
        <v/>
      </c>
      <c r="P181" s="431"/>
      <c r="Q181" s="431"/>
      <c r="R181" s="431"/>
      <c r="S181" s="431"/>
    </row>
    <row r="182">
      <c r="A182" s="425"/>
      <c r="B182" s="425"/>
      <c r="C182" s="426"/>
      <c r="D182" s="440"/>
      <c r="E182" s="427" t="str">
        <f t="shared" si="1"/>
        <v/>
      </c>
      <c r="F182" s="426" t="str">
        <f t="shared" si="2"/>
        <v/>
      </c>
      <c r="G182" s="442"/>
      <c r="H182" s="438"/>
      <c r="I182" s="438"/>
      <c r="J182" s="441"/>
      <c r="K182" s="429" t="str">
        <f t="shared" si="5"/>
        <v/>
      </c>
      <c r="L182" s="439"/>
      <c r="M182" s="429" t="str">
        <f t="shared" si="7"/>
        <v/>
      </c>
      <c r="N182" s="439"/>
      <c r="O182" s="430" t="str">
        <f t="shared" si="9"/>
        <v/>
      </c>
      <c r="P182" s="431"/>
      <c r="Q182" s="431"/>
      <c r="R182" s="431"/>
      <c r="S182" s="431"/>
    </row>
    <row r="183">
      <c r="A183" s="425"/>
      <c r="B183" s="425"/>
      <c r="C183" s="426"/>
      <c r="D183" s="440"/>
      <c r="E183" s="427" t="str">
        <f t="shared" si="1"/>
        <v/>
      </c>
      <c r="F183" s="426" t="str">
        <f t="shared" si="2"/>
        <v/>
      </c>
      <c r="G183" s="442"/>
      <c r="H183" s="438"/>
      <c r="I183" s="438"/>
      <c r="J183" s="441"/>
      <c r="K183" s="429" t="str">
        <f t="shared" si="5"/>
        <v/>
      </c>
      <c r="L183" s="439"/>
      <c r="M183" s="429" t="str">
        <f t="shared" si="7"/>
        <v/>
      </c>
      <c r="N183" s="439"/>
      <c r="O183" s="430" t="str">
        <f t="shared" si="9"/>
        <v/>
      </c>
      <c r="P183" s="431"/>
      <c r="Q183" s="431"/>
      <c r="R183" s="431"/>
      <c r="S183" s="431"/>
    </row>
    <row r="184">
      <c r="A184" s="425"/>
      <c r="B184" s="425"/>
      <c r="C184" s="426"/>
      <c r="D184" s="440"/>
      <c r="E184" s="427" t="str">
        <f t="shared" si="1"/>
        <v/>
      </c>
      <c r="F184" s="426" t="str">
        <f t="shared" si="2"/>
        <v/>
      </c>
      <c r="G184" s="442"/>
      <c r="H184" s="438"/>
      <c r="I184" s="438"/>
      <c r="J184" s="441"/>
      <c r="K184" s="429" t="str">
        <f t="shared" si="5"/>
        <v/>
      </c>
      <c r="L184" s="439"/>
      <c r="M184" s="429" t="str">
        <f t="shared" si="7"/>
        <v/>
      </c>
      <c r="N184" s="439"/>
      <c r="O184" s="430" t="str">
        <f t="shared" si="9"/>
        <v/>
      </c>
      <c r="P184" s="431"/>
      <c r="Q184" s="431"/>
      <c r="R184" s="431"/>
      <c r="S184" s="431"/>
    </row>
    <row r="185">
      <c r="A185" s="425"/>
      <c r="B185" s="425"/>
      <c r="C185" s="426"/>
      <c r="D185" s="440"/>
      <c r="E185" s="427" t="str">
        <f t="shared" si="1"/>
        <v/>
      </c>
      <c r="F185" s="426" t="str">
        <f t="shared" si="2"/>
        <v/>
      </c>
      <c r="G185" s="442"/>
      <c r="H185" s="438"/>
      <c r="I185" s="438"/>
      <c r="J185" s="441"/>
      <c r="K185" s="429" t="str">
        <f t="shared" si="5"/>
        <v/>
      </c>
      <c r="L185" s="439"/>
      <c r="M185" s="429" t="str">
        <f t="shared" si="7"/>
        <v/>
      </c>
      <c r="N185" s="439"/>
      <c r="O185" s="430" t="str">
        <f t="shared" si="9"/>
        <v/>
      </c>
      <c r="P185" s="431"/>
      <c r="Q185" s="431"/>
      <c r="R185" s="431"/>
      <c r="S185" s="431"/>
    </row>
    <row r="186">
      <c r="A186" s="425"/>
      <c r="B186" s="425"/>
      <c r="C186" s="426"/>
      <c r="D186" s="440"/>
      <c r="E186" s="427" t="str">
        <f t="shared" si="1"/>
        <v/>
      </c>
      <c r="F186" s="426" t="str">
        <f t="shared" si="2"/>
        <v/>
      </c>
      <c r="G186" s="442"/>
      <c r="H186" s="438"/>
      <c r="I186" s="438"/>
      <c r="J186" s="441"/>
      <c r="K186" s="429" t="str">
        <f t="shared" si="5"/>
        <v/>
      </c>
      <c r="L186" s="439"/>
      <c r="M186" s="429" t="str">
        <f t="shared" si="7"/>
        <v/>
      </c>
      <c r="N186" s="439"/>
      <c r="O186" s="430" t="str">
        <f t="shared" si="9"/>
        <v/>
      </c>
      <c r="P186" s="431"/>
      <c r="Q186" s="431"/>
      <c r="R186" s="431"/>
      <c r="S186" s="431"/>
    </row>
    <row r="187">
      <c r="A187" s="425"/>
      <c r="B187" s="425"/>
      <c r="C187" s="426"/>
      <c r="D187" s="440"/>
      <c r="E187" s="427" t="str">
        <f t="shared" si="1"/>
        <v/>
      </c>
      <c r="F187" s="426" t="str">
        <f t="shared" si="2"/>
        <v/>
      </c>
      <c r="G187" s="442"/>
      <c r="H187" s="438"/>
      <c r="I187" s="438"/>
      <c r="J187" s="441"/>
      <c r="K187" s="429" t="str">
        <f t="shared" si="5"/>
        <v/>
      </c>
      <c r="L187" s="439"/>
      <c r="M187" s="429" t="str">
        <f t="shared" si="7"/>
        <v/>
      </c>
      <c r="N187" s="439"/>
      <c r="O187" s="430" t="str">
        <f t="shared" si="9"/>
        <v/>
      </c>
      <c r="P187" s="431"/>
      <c r="Q187" s="431"/>
      <c r="R187" s="431"/>
      <c r="S187" s="431"/>
    </row>
    <row r="188">
      <c r="A188" s="425"/>
      <c r="B188" s="425"/>
      <c r="C188" s="426"/>
      <c r="D188" s="440"/>
      <c r="E188" s="443"/>
      <c r="F188" s="426" t="str">
        <f t="shared" si="2"/>
        <v/>
      </c>
      <c r="G188" s="442"/>
      <c r="H188" s="438"/>
      <c r="I188" s="438"/>
      <c r="J188" s="441"/>
      <c r="K188" s="429" t="str">
        <f t="shared" si="5"/>
        <v/>
      </c>
      <c r="L188" s="439"/>
      <c r="M188" s="429" t="str">
        <f t="shared" si="7"/>
        <v/>
      </c>
      <c r="N188" s="439"/>
      <c r="O188" s="430" t="str">
        <f t="shared" si="9"/>
        <v/>
      </c>
      <c r="P188" s="431"/>
      <c r="Q188" s="431"/>
      <c r="R188" s="431"/>
      <c r="S188" s="431"/>
    </row>
    <row r="189">
      <c r="A189" s="425"/>
      <c r="B189" s="425"/>
      <c r="C189" s="426"/>
      <c r="D189" s="440"/>
      <c r="E189" s="443"/>
      <c r="F189" s="426" t="str">
        <f t="shared" si="2"/>
        <v/>
      </c>
      <c r="G189" s="442"/>
      <c r="H189" s="438"/>
      <c r="I189" s="438"/>
      <c r="J189" s="441"/>
      <c r="K189" s="429" t="str">
        <f t="shared" si="5"/>
        <v/>
      </c>
      <c r="L189" s="439"/>
      <c r="M189" s="429" t="str">
        <f t="shared" si="7"/>
        <v/>
      </c>
      <c r="N189" s="439"/>
      <c r="O189" s="430" t="str">
        <f t="shared" si="9"/>
        <v/>
      </c>
      <c r="P189" s="431"/>
      <c r="Q189" s="431"/>
      <c r="R189" s="431"/>
      <c r="S189" s="431"/>
    </row>
    <row r="190">
      <c r="A190" s="425"/>
      <c r="B190" s="425"/>
      <c r="C190" s="426"/>
      <c r="D190" s="440"/>
      <c r="E190" s="443"/>
      <c r="F190" s="426" t="str">
        <f t="shared" si="2"/>
        <v/>
      </c>
      <c r="G190" s="442"/>
      <c r="H190" s="438"/>
      <c r="I190" s="438"/>
      <c r="J190" s="441"/>
      <c r="K190" s="429" t="str">
        <f t="shared" si="5"/>
        <v/>
      </c>
      <c r="L190" s="439"/>
      <c r="M190" s="429" t="str">
        <f t="shared" si="7"/>
        <v/>
      </c>
      <c r="N190" s="439"/>
      <c r="O190" s="430" t="str">
        <f t="shared" si="9"/>
        <v/>
      </c>
      <c r="P190" s="431"/>
      <c r="Q190" s="431"/>
      <c r="R190" s="431"/>
      <c r="S190" s="431"/>
    </row>
    <row r="191">
      <c r="A191" s="425"/>
      <c r="B191" s="425"/>
      <c r="C191" s="426"/>
      <c r="D191" s="440"/>
      <c r="E191" s="443"/>
      <c r="F191" s="426" t="str">
        <f t="shared" si="2"/>
        <v/>
      </c>
      <c r="G191" s="442"/>
      <c r="H191" s="438"/>
      <c r="I191" s="438"/>
      <c r="J191" s="441"/>
      <c r="K191" s="429" t="str">
        <f t="shared" si="5"/>
        <v/>
      </c>
      <c r="L191" s="439"/>
      <c r="M191" s="429" t="str">
        <f t="shared" si="7"/>
        <v/>
      </c>
      <c r="N191" s="439"/>
      <c r="O191" s="430" t="str">
        <f t="shared" si="9"/>
        <v/>
      </c>
      <c r="P191" s="431"/>
      <c r="Q191" s="431"/>
      <c r="R191" s="431"/>
      <c r="S191" s="431"/>
    </row>
    <row r="192">
      <c r="A192" s="425"/>
      <c r="B192" s="425"/>
      <c r="C192" s="426"/>
      <c r="D192" s="440"/>
      <c r="E192" s="443"/>
      <c r="F192" s="438"/>
      <c r="G192" s="442"/>
      <c r="H192" s="438"/>
      <c r="I192" s="438"/>
      <c r="J192" s="441"/>
      <c r="K192" s="429" t="str">
        <f t="shared" si="5"/>
        <v/>
      </c>
      <c r="L192" s="439"/>
      <c r="M192" s="429" t="str">
        <f t="shared" si="7"/>
        <v/>
      </c>
      <c r="N192" s="439"/>
      <c r="O192" s="430" t="str">
        <f t="shared" si="9"/>
        <v/>
      </c>
      <c r="P192" s="431"/>
      <c r="Q192" s="431"/>
      <c r="R192" s="431"/>
      <c r="S192" s="431"/>
    </row>
    <row r="193">
      <c r="A193" s="425"/>
      <c r="B193" s="425"/>
      <c r="C193" s="426"/>
      <c r="D193" s="440"/>
      <c r="E193" s="443"/>
      <c r="F193" s="438"/>
      <c r="G193" s="442"/>
      <c r="H193" s="438"/>
      <c r="I193" s="438"/>
      <c r="J193" s="441"/>
      <c r="K193" s="429" t="str">
        <f t="shared" si="5"/>
        <v/>
      </c>
      <c r="L193" s="439"/>
      <c r="M193" s="429" t="str">
        <f t="shared" si="7"/>
        <v/>
      </c>
      <c r="N193" s="439"/>
      <c r="O193" s="430" t="str">
        <f t="shared" si="9"/>
        <v/>
      </c>
      <c r="P193" s="431"/>
      <c r="Q193" s="431"/>
      <c r="R193" s="431"/>
      <c r="S193" s="431"/>
    </row>
    <row r="194">
      <c r="A194" s="425"/>
      <c r="B194" s="425"/>
      <c r="C194" s="426"/>
      <c r="D194" s="440"/>
      <c r="E194" s="443"/>
      <c r="F194" s="438"/>
      <c r="G194" s="442"/>
      <c r="H194" s="438"/>
      <c r="I194" s="438"/>
      <c r="J194" s="441"/>
      <c r="K194" s="429" t="str">
        <f t="shared" si="5"/>
        <v/>
      </c>
      <c r="L194" s="439"/>
      <c r="M194" s="429" t="str">
        <f t="shared" si="7"/>
        <v/>
      </c>
      <c r="N194" s="439"/>
      <c r="O194" s="430" t="str">
        <f t="shared" si="9"/>
        <v/>
      </c>
      <c r="P194" s="431"/>
      <c r="Q194" s="431"/>
      <c r="R194" s="431"/>
      <c r="S194" s="431"/>
    </row>
    <row r="195">
      <c r="A195" s="425"/>
      <c r="B195" s="425"/>
      <c r="C195" s="426"/>
      <c r="D195" s="440"/>
      <c r="E195" s="443"/>
      <c r="F195" s="438"/>
      <c r="G195" s="442"/>
      <c r="H195" s="438"/>
      <c r="I195" s="438"/>
      <c r="J195" s="441"/>
      <c r="K195" s="429" t="str">
        <f t="shared" si="5"/>
        <v/>
      </c>
      <c r="L195" s="439"/>
      <c r="M195" s="429" t="str">
        <f t="shared" si="7"/>
        <v/>
      </c>
      <c r="N195" s="439"/>
      <c r="O195" s="430" t="str">
        <f t="shared" si="9"/>
        <v/>
      </c>
      <c r="P195" s="431"/>
      <c r="Q195" s="431"/>
      <c r="R195" s="431"/>
      <c r="S195" s="431"/>
    </row>
    <row r="196">
      <c r="A196" s="425"/>
      <c r="B196" s="425"/>
      <c r="C196" s="426"/>
      <c r="D196" s="440"/>
      <c r="E196" s="443"/>
      <c r="F196" s="438"/>
      <c r="G196" s="442"/>
      <c r="H196" s="438"/>
      <c r="I196" s="438"/>
      <c r="J196" s="441"/>
      <c r="K196" s="429" t="str">
        <f t="shared" si="5"/>
        <v/>
      </c>
      <c r="L196" s="439"/>
      <c r="M196" s="429" t="str">
        <f t="shared" si="7"/>
        <v/>
      </c>
      <c r="N196" s="439"/>
      <c r="O196" s="430" t="str">
        <f t="shared" si="9"/>
        <v/>
      </c>
      <c r="P196" s="431"/>
      <c r="Q196" s="431"/>
      <c r="R196" s="431"/>
      <c r="S196" s="431"/>
    </row>
    <row r="197">
      <c r="A197" s="425"/>
      <c r="B197" s="425"/>
      <c r="C197" s="426"/>
      <c r="D197" s="440"/>
      <c r="E197" s="443"/>
      <c r="F197" s="438"/>
      <c r="G197" s="442"/>
      <c r="H197" s="438"/>
      <c r="I197" s="438"/>
      <c r="J197" s="441"/>
      <c r="K197" s="429" t="str">
        <f t="shared" si="5"/>
        <v/>
      </c>
      <c r="L197" s="439"/>
      <c r="M197" s="429" t="str">
        <f t="shared" si="7"/>
        <v/>
      </c>
      <c r="N197" s="439"/>
      <c r="O197" s="430" t="str">
        <f t="shared" si="9"/>
        <v/>
      </c>
      <c r="P197" s="431"/>
      <c r="Q197" s="431"/>
      <c r="R197" s="431"/>
      <c r="S197" s="431"/>
    </row>
    <row r="198">
      <c r="A198" s="425"/>
      <c r="B198" s="425"/>
      <c r="C198" s="426"/>
      <c r="D198" s="440"/>
      <c r="E198" s="443"/>
      <c r="F198" s="438"/>
      <c r="G198" s="442"/>
      <c r="H198" s="438"/>
      <c r="I198" s="438"/>
      <c r="J198" s="441"/>
      <c r="K198" s="429" t="str">
        <f t="shared" si="5"/>
        <v/>
      </c>
      <c r="L198" s="439"/>
      <c r="M198" s="429" t="str">
        <f t="shared" si="7"/>
        <v/>
      </c>
      <c r="N198" s="439"/>
      <c r="O198" s="430" t="str">
        <f t="shared" si="9"/>
        <v/>
      </c>
      <c r="P198" s="431"/>
      <c r="Q198" s="431"/>
      <c r="R198" s="431"/>
      <c r="S198" s="431"/>
    </row>
    <row r="199">
      <c r="A199" s="425"/>
      <c r="B199" s="425"/>
      <c r="C199" s="426"/>
      <c r="D199" s="440"/>
      <c r="E199" s="443"/>
      <c r="F199" s="438"/>
      <c r="G199" s="442"/>
      <c r="H199" s="438"/>
      <c r="I199" s="438"/>
      <c r="J199" s="441"/>
      <c r="K199" s="429" t="str">
        <f t="shared" si="5"/>
        <v/>
      </c>
      <c r="L199" s="439"/>
      <c r="M199" s="429" t="str">
        <f t="shared" si="7"/>
        <v/>
      </c>
      <c r="N199" s="439"/>
      <c r="O199" s="430" t="str">
        <f t="shared" si="9"/>
        <v/>
      </c>
      <c r="P199" s="431"/>
      <c r="Q199" s="431"/>
      <c r="R199" s="431"/>
      <c r="S199" s="431"/>
    </row>
    <row r="200">
      <c r="A200" s="444"/>
      <c r="B200" s="444"/>
      <c r="C200" s="445"/>
      <c r="D200" s="446"/>
      <c r="E200" s="447"/>
      <c r="F200" s="448"/>
      <c r="G200" s="449"/>
      <c r="H200" s="448"/>
      <c r="I200" s="448"/>
      <c r="J200" s="450"/>
      <c r="K200" s="429" t="str">
        <f t="shared" si="5"/>
        <v/>
      </c>
      <c r="L200" s="451"/>
      <c r="M200" s="429" t="str">
        <f t="shared" si="7"/>
        <v/>
      </c>
      <c r="N200" s="451"/>
      <c r="O200" s="430" t="str">
        <f t="shared" si="9"/>
        <v/>
      </c>
      <c r="P200" s="431"/>
      <c r="Q200" s="431"/>
      <c r="R200" s="431"/>
      <c r="S200" s="431"/>
    </row>
    <row r="201">
      <c r="A201" s="444"/>
      <c r="B201" s="444"/>
      <c r="C201" s="445"/>
      <c r="D201" s="446"/>
      <c r="E201" s="447"/>
      <c r="F201" s="448"/>
      <c r="G201" s="449"/>
      <c r="H201" s="448"/>
      <c r="I201" s="448"/>
      <c r="J201" s="450"/>
      <c r="K201" s="429" t="str">
        <f t="shared" si="5"/>
        <v/>
      </c>
      <c r="L201" s="451"/>
      <c r="M201" s="429" t="str">
        <f t="shared" si="7"/>
        <v/>
      </c>
      <c r="N201" s="451"/>
      <c r="O201" s="430" t="str">
        <f t="shared" si="9"/>
        <v/>
      </c>
      <c r="P201" s="431"/>
      <c r="Q201" s="431"/>
      <c r="R201" s="431"/>
      <c r="S201" s="431"/>
    </row>
    <row r="202">
      <c r="A202" s="444"/>
      <c r="B202" s="444"/>
      <c r="C202" s="445"/>
      <c r="D202" s="446"/>
      <c r="E202" s="447"/>
      <c r="F202" s="448"/>
      <c r="G202" s="449"/>
      <c r="H202" s="448"/>
      <c r="I202" s="448"/>
      <c r="J202" s="450"/>
      <c r="K202" s="429" t="str">
        <f t="shared" si="5"/>
        <v/>
      </c>
      <c r="L202" s="451"/>
      <c r="M202" s="429" t="str">
        <f t="shared" si="7"/>
        <v/>
      </c>
      <c r="N202" s="451"/>
      <c r="O202" s="430" t="str">
        <f t="shared" si="9"/>
        <v/>
      </c>
      <c r="P202" s="431"/>
      <c r="Q202" s="431"/>
      <c r="R202" s="431"/>
      <c r="S202" s="431"/>
    </row>
    <row r="203">
      <c r="A203" s="444"/>
      <c r="B203" s="444"/>
      <c r="C203" s="445"/>
      <c r="D203" s="446"/>
      <c r="E203" s="447"/>
      <c r="F203" s="448"/>
      <c r="G203" s="449"/>
      <c r="H203" s="448"/>
      <c r="I203" s="448"/>
      <c r="J203" s="450"/>
      <c r="K203" s="429" t="str">
        <f t="shared" si="5"/>
        <v/>
      </c>
      <c r="L203" s="451"/>
      <c r="M203" s="429" t="str">
        <f t="shared" si="7"/>
        <v/>
      </c>
      <c r="N203" s="451"/>
      <c r="O203" s="430" t="str">
        <f t="shared" si="9"/>
        <v/>
      </c>
      <c r="P203" s="431"/>
      <c r="Q203" s="431"/>
      <c r="R203" s="431"/>
      <c r="S203" s="431"/>
    </row>
    <row r="204">
      <c r="A204" s="444"/>
      <c r="B204" s="444"/>
      <c r="C204" s="445"/>
      <c r="D204" s="446"/>
      <c r="E204" s="447"/>
      <c r="F204" s="448"/>
      <c r="G204" s="449"/>
      <c r="H204" s="448"/>
      <c r="I204" s="448"/>
      <c r="J204" s="450"/>
      <c r="K204" s="429" t="str">
        <f t="shared" si="5"/>
        <v/>
      </c>
      <c r="L204" s="451"/>
      <c r="M204" s="429" t="str">
        <f t="shared" si="7"/>
        <v/>
      </c>
      <c r="N204" s="451"/>
      <c r="O204" s="430" t="str">
        <f t="shared" si="9"/>
        <v/>
      </c>
      <c r="P204" s="431"/>
      <c r="Q204" s="431"/>
      <c r="R204" s="431"/>
      <c r="S204" s="431"/>
    </row>
    <row r="205">
      <c r="A205" s="444"/>
      <c r="B205" s="444"/>
      <c r="C205" s="445"/>
      <c r="D205" s="446"/>
      <c r="E205" s="447"/>
      <c r="F205" s="448"/>
      <c r="G205" s="449"/>
      <c r="H205" s="448"/>
      <c r="I205" s="448"/>
      <c r="J205" s="450"/>
      <c r="K205" s="429" t="str">
        <f t="shared" si="5"/>
        <v/>
      </c>
      <c r="L205" s="451"/>
      <c r="M205" s="429" t="str">
        <f t="shared" si="7"/>
        <v/>
      </c>
      <c r="N205" s="451"/>
      <c r="O205" s="430" t="str">
        <f t="shared" si="9"/>
        <v/>
      </c>
      <c r="P205" s="431"/>
      <c r="Q205" s="431"/>
      <c r="R205" s="431"/>
      <c r="S205" s="431"/>
    </row>
    <row r="206">
      <c r="A206" s="444"/>
      <c r="B206" s="444"/>
      <c r="C206" s="445"/>
      <c r="D206" s="446"/>
      <c r="E206" s="447"/>
      <c r="F206" s="448"/>
      <c r="G206" s="449"/>
      <c r="H206" s="448"/>
      <c r="I206" s="448"/>
      <c r="J206" s="450"/>
      <c r="K206" s="429" t="str">
        <f t="shared" si="5"/>
        <v/>
      </c>
      <c r="L206" s="451"/>
      <c r="M206" s="429" t="str">
        <f t="shared" si="7"/>
        <v/>
      </c>
      <c r="N206" s="451"/>
      <c r="O206" s="430" t="str">
        <f t="shared" si="9"/>
        <v/>
      </c>
      <c r="P206" s="431"/>
      <c r="Q206" s="431"/>
      <c r="R206" s="431"/>
      <c r="S206" s="431"/>
    </row>
    <row r="207">
      <c r="A207" s="444"/>
      <c r="B207" s="444"/>
      <c r="C207" s="445"/>
      <c r="D207" s="446"/>
      <c r="E207" s="447"/>
      <c r="F207" s="448"/>
      <c r="G207" s="449"/>
      <c r="H207" s="448"/>
      <c r="I207" s="448"/>
      <c r="J207" s="450"/>
      <c r="K207" s="429" t="str">
        <f t="shared" si="5"/>
        <v/>
      </c>
      <c r="L207" s="451"/>
      <c r="M207" s="429" t="str">
        <f t="shared" si="7"/>
        <v/>
      </c>
      <c r="N207" s="451"/>
      <c r="O207" s="430" t="str">
        <f t="shared" si="9"/>
        <v/>
      </c>
      <c r="P207" s="431"/>
      <c r="Q207" s="431"/>
      <c r="R207" s="431"/>
      <c r="S207" s="431"/>
    </row>
    <row r="208">
      <c r="A208" s="444"/>
      <c r="B208" s="444"/>
      <c r="C208" s="445"/>
      <c r="D208" s="446"/>
      <c r="E208" s="447"/>
      <c r="F208" s="448"/>
      <c r="G208" s="449"/>
      <c r="H208" s="448"/>
      <c r="I208" s="448"/>
      <c r="J208" s="450"/>
      <c r="K208" s="429" t="str">
        <f t="shared" si="5"/>
        <v/>
      </c>
      <c r="L208" s="451"/>
      <c r="M208" s="429" t="str">
        <f t="shared" si="7"/>
        <v/>
      </c>
      <c r="N208" s="451"/>
      <c r="O208" s="430" t="str">
        <f t="shared" si="9"/>
        <v/>
      </c>
      <c r="P208" s="431"/>
      <c r="Q208" s="431"/>
      <c r="R208" s="431"/>
      <c r="S208" s="431"/>
    </row>
    <row r="209">
      <c r="A209" s="444"/>
      <c r="B209" s="444"/>
      <c r="C209" s="445"/>
      <c r="D209" s="446"/>
      <c r="E209" s="447"/>
      <c r="F209" s="448"/>
      <c r="G209" s="449"/>
      <c r="H209" s="448"/>
      <c r="I209" s="448"/>
      <c r="J209" s="450"/>
      <c r="K209" s="429" t="str">
        <f t="shared" si="5"/>
        <v/>
      </c>
      <c r="L209" s="451"/>
      <c r="M209" s="429" t="str">
        <f t="shared" si="7"/>
        <v/>
      </c>
      <c r="N209" s="451"/>
      <c r="O209" s="430" t="str">
        <f t="shared" si="9"/>
        <v/>
      </c>
      <c r="P209" s="431"/>
      <c r="Q209" s="431"/>
      <c r="R209" s="431"/>
      <c r="S209" s="431"/>
    </row>
    <row r="210">
      <c r="A210" s="444"/>
      <c r="B210" s="444"/>
      <c r="C210" s="445"/>
      <c r="D210" s="446"/>
      <c r="E210" s="447"/>
      <c r="F210" s="448"/>
      <c r="G210" s="449"/>
      <c r="H210" s="448"/>
      <c r="I210" s="448"/>
      <c r="J210" s="450"/>
      <c r="K210" s="429" t="str">
        <f t="shared" si="5"/>
        <v/>
      </c>
      <c r="L210" s="451"/>
      <c r="M210" s="429" t="str">
        <f t="shared" si="7"/>
        <v/>
      </c>
      <c r="N210" s="451"/>
      <c r="O210" s="430" t="str">
        <f t="shared" si="9"/>
        <v/>
      </c>
      <c r="P210" s="431"/>
      <c r="Q210" s="431"/>
      <c r="R210" s="431"/>
      <c r="S210" s="431"/>
    </row>
    <row r="211">
      <c r="A211" s="444"/>
      <c r="B211" s="444"/>
      <c r="C211" s="445"/>
      <c r="D211" s="446"/>
      <c r="E211" s="447"/>
      <c r="F211" s="448"/>
      <c r="G211" s="449"/>
      <c r="H211" s="448"/>
      <c r="I211" s="448"/>
      <c r="J211" s="450"/>
      <c r="K211" s="429" t="str">
        <f t="shared" si="5"/>
        <v/>
      </c>
      <c r="L211" s="451"/>
      <c r="M211" s="429" t="str">
        <f t="shared" si="7"/>
        <v/>
      </c>
      <c r="N211" s="451"/>
      <c r="O211" s="430" t="str">
        <f t="shared" si="9"/>
        <v/>
      </c>
      <c r="P211" s="431"/>
      <c r="Q211" s="431"/>
      <c r="R211" s="431"/>
      <c r="S211" s="431"/>
    </row>
    <row r="212">
      <c r="A212" s="444"/>
      <c r="B212" s="444"/>
      <c r="C212" s="445"/>
      <c r="D212" s="446"/>
      <c r="E212" s="447"/>
      <c r="F212" s="448"/>
      <c r="G212" s="449"/>
      <c r="H212" s="448"/>
      <c r="I212" s="448"/>
      <c r="J212" s="450"/>
      <c r="K212" s="429" t="str">
        <f t="shared" si="5"/>
        <v/>
      </c>
      <c r="L212" s="451"/>
      <c r="M212" s="429" t="str">
        <f t="shared" si="7"/>
        <v/>
      </c>
      <c r="N212" s="451"/>
      <c r="O212" s="430" t="str">
        <f t="shared" si="9"/>
        <v/>
      </c>
      <c r="P212" s="431"/>
      <c r="Q212" s="431"/>
      <c r="R212" s="431"/>
      <c r="S212" s="431"/>
    </row>
    <row r="213">
      <c r="A213" s="444"/>
      <c r="B213" s="444"/>
      <c r="C213" s="445"/>
      <c r="D213" s="446"/>
      <c r="E213" s="447"/>
      <c r="F213" s="448"/>
      <c r="G213" s="449"/>
      <c r="H213" s="448"/>
      <c r="I213" s="448"/>
      <c r="J213" s="450"/>
      <c r="K213" s="429" t="str">
        <f t="shared" si="5"/>
        <v/>
      </c>
      <c r="L213" s="451"/>
      <c r="M213" s="429" t="str">
        <f t="shared" si="7"/>
        <v/>
      </c>
      <c r="N213" s="451"/>
      <c r="O213" s="430" t="str">
        <f t="shared" si="9"/>
        <v/>
      </c>
      <c r="P213" s="431"/>
      <c r="Q213" s="431"/>
      <c r="R213" s="431"/>
      <c r="S213" s="431"/>
    </row>
    <row r="214">
      <c r="A214" s="444"/>
      <c r="B214" s="444"/>
      <c r="C214" s="445"/>
      <c r="D214" s="446"/>
      <c r="E214" s="447"/>
      <c r="F214" s="448"/>
      <c r="G214" s="449"/>
      <c r="H214" s="448"/>
      <c r="I214" s="448"/>
      <c r="J214" s="450"/>
      <c r="K214" s="429" t="str">
        <f t="shared" si="5"/>
        <v/>
      </c>
      <c r="L214" s="451"/>
      <c r="M214" s="429" t="str">
        <f t="shared" si="7"/>
        <v/>
      </c>
      <c r="N214" s="451"/>
      <c r="O214" s="430" t="str">
        <f t="shared" si="9"/>
        <v/>
      </c>
      <c r="P214" s="431"/>
      <c r="Q214" s="431"/>
      <c r="R214" s="431"/>
      <c r="S214" s="431"/>
    </row>
    <row r="215">
      <c r="A215" s="444"/>
      <c r="B215" s="444"/>
      <c r="C215" s="445"/>
      <c r="D215" s="446"/>
      <c r="E215" s="447"/>
      <c r="F215" s="448"/>
      <c r="G215" s="449"/>
      <c r="H215" s="448"/>
      <c r="I215" s="448"/>
      <c r="J215" s="450"/>
      <c r="K215" s="429" t="str">
        <f t="shared" si="5"/>
        <v/>
      </c>
      <c r="L215" s="451"/>
      <c r="M215" s="429" t="str">
        <f t="shared" si="7"/>
        <v/>
      </c>
      <c r="N215" s="451"/>
      <c r="O215" s="430" t="str">
        <f t="shared" si="9"/>
        <v/>
      </c>
      <c r="P215" s="431"/>
      <c r="Q215" s="431"/>
      <c r="R215" s="431"/>
      <c r="S215" s="431"/>
    </row>
    <row r="216">
      <c r="A216" s="444"/>
      <c r="B216" s="444"/>
      <c r="C216" s="445"/>
      <c r="D216" s="446"/>
      <c r="E216" s="447"/>
      <c r="F216" s="448"/>
      <c r="G216" s="449"/>
      <c r="H216" s="448"/>
      <c r="I216" s="448"/>
      <c r="J216" s="450"/>
      <c r="K216" s="429" t="str">
        <f t="shared" si="5"/>
        <v/>
      </c>
      <c r="L216" s="451"/>
      <c r="M216" s="429" t="str">
        <f t="shared" si="7"/>
        <v/>
      </c>
      <c r="N216" s="451"/>
      <c r="O216" s="430" t="str">
        <f t="shared" si="9"/>
        <v/>
      </c>
      <c r="P216" s="431"/>
      <c r="Q216" s="431"/>
      <c r="R216" s="431"/>
      <c r="S216" s="431"/>
    </row>
    <row r="217">
      <c r="A217" s="444"/>
      <c r="B217" s="444"/>
      <c r="C217" s="445"/>
      <c r="D217" s="446"/>
      <c r="E217" s="447"/>
      <c r="F217" s="448"/>
      <c r="G217" s="449"/>
      <c r="H217" s="448"/>
      <c r="I217" s="448"/>
      <c r="J217" s="450"/>
      <c r="K217" s="429" t="str">
        <f t="shared" si="5"/>
        <v/>
      </c>
      <c r="L217" s="451"/>
      <c r="M217" s="429" t="str">
        <f t="shared" si="7"/>
        <v/>
      </c>
      <c r="N217" s="451"/>
      <c r="O217" s="430" t="str">
        <f t="shared" si="9"/>
        <v/>
      </c>
      <c r="P217" s="431"/>
      <c r="Q217" s="431"/>
      <c r="R217" s="431"/>
      <c r="S217" s="431"/>
    </row>
    <row r="218">
      <c r="A218" s="444"/>
      <c r="B218" s="444"/>
      <c r="C218" s="445"/>
      <c r="D218" s="446"/>
      <c r="E218" s="447"/>
      <c r="F218" s="448"/>
      <c r="G218" s="449"/>
      <c r="H218" s="448"/>
      <c r="I218" s="448"/>
      <c r="J218" s="450"/>
      <c r="K218" s="429" t="str">
        <f t="shared" si="5"/>
        <v/>
      </c>
      <c r="L218" s="451"/>
      <c r="M218" s="429" t="str">
        <f t="shared" si="7"/>
        <v/>
      </c>
      <c r="N218" s="451"/>
      <c r="O218" s="430" t="str">
        <f t="shared" si="9"/>
        <v/>
      </c>
      <c r="P218" s="431"/>
      <c r="Q218" s="431"/>
      <c r="R218" s="431"/>
      <c r="S218" s="431"/>
    </row>
    <row r="219">
      <c r="A219" s="444"/>
      <c r="B219" s="444"/>
      <c r="C219" s="445"/>
      <c r="D219" s="446"/>
      <c r="E219" s="447"/>
      <c r="F219" s="448"/>
      <c r="G219" s="449"/>
      <c r="H219" s="448"/>
      <c r="I219" s="448"/>
      <c r="J219" s="450"/>
      <c r="K219" s="429" t="str">
        <f t="shared" si="5"/>
        <v/>
      </c>
      <c r="L219" s="451"/>
      <c r="M219" s="429" t="str">
        <f t="shared" si="7"/>
        <v/>
      </c>
      <c r="N219" s="451"/>
      <c r="O219" s="430" t="str">
        <f t="shared" si="9"/>
        <v/>
      </c>
      <c r="P219" s="431"/>
      <c r="Q219" s="431"/>
      <c r="R219" s="431"/>
      <c r="S219" s="431"/>
    </row>
    <row r="220">
      <c r="A220" s="444"/>
      <c r="B220" s="444"/>
      <c r="C220" s="445"/>
      <c r="D220" s="446"/>
      <c r="E220" s="447"/>
      <c r="F220" s="448"/>
      <c r="G220" s="449"/>
      <c r="H220" s="448"/>
      <c r="I220" s="448"/>
      <c r="J220" s="450"/>
      <c r="K220" s="429" t="str">
        <f t="shared" si="5"/>
        <v/>
      </c>
      <c r="L220" s="451"/>
      <c r="M220" s="429" t="str">
        <f t="shared" si="7"/>
        <v/>
      </c>
      <c r="N220" s="451"/>
      <c r="O220" s="430" t="str">
        <f t="shared" si="9"/>
        <v/>
      </c>
      <c r="P220" s="431"/>
      <c r="Q220" s="431"/>
      <c r="R220" s="431"/>
      <c r="S220" s="431"/>
    </row>
    <row r="221">
      <c r="A221" s="444"/>
      <c r="B221" s="444"/>
      <c r="C221" s="445"/>
      <c r="D221" s="446"/>
      <c r="E221" s="447"/>
      <c r="F221" s="448"/>
      <c r="G221" s="449"/>
      <c r="H221" s="448"/>
      <c r="I221" s="448"/>
      <c r="J221" s="450"/>
      <c r="K221" s="429" t="str">
        <f t="shared" si="5"/>
        <v/>
      </c>
      <c r="L221" s="451"/>
      <c r="M221" s="429" t="str">
        <f t="shared" si="7"/>
        <v/>
      </c>
      <c r="N221" s="451"/>
      <c r="O221" s="430" t="str">
        <f t="shared" si="9"/>
        <v/>
      </c>
      <c r="P221" s="431"/>
      <c r="Q221" s="431"/>
      <c r="R221" s="431"/>
      <c r="S221" s="431"/>
    </row>
    <row r="222">
      <c r="A222" s="444"/>
      <c r="B222" s="444"/>
      <c r="C222" s="445"/>
      <c r="D222" s="446"/>
      <c r="E222" s="447"/>
      <c r="F222" s="448"/>
      <c r="G222" s="449"/>
      <c r="H222" s="448"/>
      <c r="I222" s="448"/>
      <c r="J222" s="450"/>
      <c r="K222" s="429" t="str">
        <f t="shared" si="5"/>
        <v/>
      </c>
      <c r="L222" s="451"/>
      <c r="M222" s="429" t="str">
        <f t="shared" si="7"/>
        <v/>
      </c>
      <c r="N222" s="451"/>
      <c r="O222" s="430" t="str">
        <f t="shared" si="9"/>
        <v/>
      </c>
      <c r="P222" s="431"/>
      <c r="Q222" s="431"/>
      <c r="R222" s="431"/>
      <c r="S222" s="431"/>
    </row>
    <row r="223">
      <c r="A223" s="444"/>
      <c r="B223" s="444"/>
      <c r="C223" s="445"/>
      <c r="D223" s="446"/>
      <c r="E223" s="447"/>
      <c r="F223" s="448"/>
      <c r="G223" s="449"/>
      <c r="H223" s="448"/>
      <c r="I223" s="448"/>
      <c r="J223" s="450"/>
      <c r="K223" s="429" t="str">
        <f t="shared" si="5"/>
        <v/>
      </c>
      <c r="L223" s="451"/>
      <c r="M223" s="429" t="str">
        <f t="shared" si="7"/>
        <v/>
      </c>
      <c r="N223" s="451"/>
      <c r="O223" s="430" t="str">
        <f t="shared" si="9"/>
        <v/>
      </c>
      <c r="P223" s="431"/>
      <c r="Q223" s="431"/>
      <c r="R223" s="431"/>
      <c r="S223" s="431"/>
    </row>
    <row r="224">
      <c r="A224" s="444"/>
      <c r="B224" s="444"/>
      <c r="C224" s="445"/>
      <c r="D224" s="446"/>
      <c r="E224" s="447"/>
      <c r="F224" s="448"/>
      <c r="G224" s="449"/>
      <c r="H224" s="448"/>
      <c r="I224" s="448"/>
      <c r="J224" s="450"/>
      <c r="K224" s="429" t="str">
        <f t="shared" si="5"/>
        <v/>
      </c>
      <c r="L224" s="451"/>
      <c r="M224" s="429" t="str">
        <f t="shared" si="7"/>
        <v/>
      </c>
      <c r="N224" s="451"/>
      <c r="O224" s="430" t="str">
        <f t="shared" si="9"/>
        <v/>
      </c>
      <c r="P224" s="431"/>
      <c r="Q224" s="431"/>
      <c r="R224" s="431"/>
      <c r="S224" s="431"/>
    </row>
    <row r="225">
      <c r="A225" s="444"/>
      <c r="B225" s="444"/>
      <c r="C225" s="445"/>
      <c r="D225" s="446"/>
      <c r="E225" s="447"/>
      <c r="F225" s="448"/>
      <c r="G225" s="449"/>
      <c r="H225" s="448"/>
      <c r="I225" s="448"/>
      <c r="J225" s="450"/>
      <c r="K225" s="429" t="str">
        <f t="shared" si="5"/>
        <v/>
      </c>
      <c r="L225" s="451"/>
      <c r="M225" s="429" t="str">
        <f t="shared" si="7"/>
        <v/>
      </c>
      <c r="N225" s="451"/>
      <c r="O225" s="430" t="str">
        <f t="shared" si="9"/>
        <v/>
      </c>
      <c r="P225" s="431"/>
      <c r="Q225" s="431"/>
      <c r="R225" s="431"/>
      <c r="S225" s="431"/>
    </row>
    <row r="226">
      <c r="A226" s="444"/>
      <c r="B226" s="444"/>
      <c r="C226" s="445"/>
      <c r="D226" s="446"/>
      <c r="E226" s="447"/>
      <c r="F226" s="448"/>
      <c r="G226" s="449"/>
      <c r="H226" s="448"/>
      <c r="I226" s="448"/>
      <c r="J226" s="450"/>
      <c r="K226" s="429" t="str">
        <f t="shared" si="5"/>
        <v/>
      </c>
      <c r="L226" s="451"/>
      <c r="M226" s="429" t="str">
        <f t="shared" si="7"/>
        <v/>
      </c>
      <c r="N226" s="451"/>
      <c r="O226" s="430" t="str">
        <f t="shared" si="9"/>
        <v/>
      </c>
      <c r="P226" s="431"/>
      <c r="Q226" s="431"/>
      <c r="R226" s="431"/>
      <c r="S226" s="431"/>
    </row>
    <row r="227">
      <c r="A227" s="444"/>
      <c r="B227" s="444"/>
      <c r="C227" s="445"/>
      <c r="D227" s="446"/>
      <c r="E227" s="447"/>
      <c r="F227" s="448"/>
      <c r="G227" s="449"/>
      <c r="H227" s="448"/>
      <c r="I227" s="448"/>
      <c r="J227" s="450"/>
      <c r="K227" s="429" t="str">
        <f t="shared" si="5"/>
        <v/>
      </c>
      <c r="L227" s="451"/>
      <c r="M227" s="429" t="str">
        <f t="shared" si="7"/>
        <v/>
      </c>
      <c r="N227" s="451"/>
      <c r="O227" s="430" t="str">
        <f t="shared" si="9"/>
        <v/>
      </c>
      <c r="P227" s="431"/>
      <c r="Q227" s="431"/>
      <c r="R227" s="431"/>
      <c r="S227" s="431"/>
    </row>
    <row r="228">
      <c r="A228" s="444"/>
      <c r="B228" s="444"/>
      <c r="C228" s="445"/>
      <c r="D228" s="446"/>
      <c r="E228" s="447"/>
      <c r="F228" s="448"/>
      <c r="G228" s="449"/>
      <c r="H228" s="448"/>
      <c r="I228" s="448"/>
      <c r="J228" s="450"/>
      <c r="K228" s="429" t="str">
        <f t="shared" si="5"/>
        <v/>
      </c>
      <c r="L228" s="451"/>
      <c r="M228" s="429" t="str">
        <f t="shared" si="7"/>
        <v/>
      </c>
      <c r="N228" s="451"/>
      <c r="O228" s="430" t="str">
        <f t="shared" si="9"/>
        <v/>
      </c>
      <c r="P228" s="431"/>
      <c r="Q228" s="431"/>
      <c r="R228" s="431"/>
      <c r="S228" s="431"/>
    </row>
    <row r="229">
      <c r="A229" s="444"/>
      <c r="B229" s="444"/>
      <c r="C229" s="445"/>
      <c r="D229" s="446"/>
      <c r="E229" s="447"/>
      <c r="F229" s="448"/>
      <c r="G229" s="449"/>
      <c r="H229" s="448"/>
      <c r="I229" s="448"/>
      <c r="J229" s="450"/>
      <c r="K229" s="429" t="str">
        <f t="shared" si="5"/>
        <v/>
      </c>
      <c r="L229" s="451"/>
      <c r="M229" s="429" t="str">
        <f t="shared" si="7"/>
        <v/>
      </c>
      <c r="N229" s="451"/>
      <c r="O229" s="430" t="str">
        <f t="shared" si="9"/>
        <v/>
      </c>
      <c r="P229" s="431"/>
      <c r="Q229" s="431"/>
      <c r="R229" s="431"/>
      <c r="S229" s="431"/>
    </row>
    <row r="230">
      <c r="A230" s="444"/>
      <c r="B230" s="444"/>
      <c r="C230" s="445"/>
      <c r="D230" s="446"/>
      <c r="E230" s="447"/>
      <c r="F230" s="448"/>
      <c r="G230" s="449"/>
      <c r="H230" s="448"/>
      <c r="I230" s="448"/>
      <c r="J230" s="450"/>
      <c r="K230" s="429" t="str">
        <f t="shared" si="5"/>
        <v/>
      </c>
      <c r="L230" s="451"/>
      <c r="M230" s="429" t="str">
        <f t="shared" si="7"/>
        <v/>
      </c>
      <c r="N230" s="451"/>
      <c r="O230" s="430" t="str">
        <f t="shared" si="9"/>
        <v/>
      </c>
      <c r="P230" s="431"/>
      <c r="Q230" s="431"/>
      <c r="R230" s="431"/>
      <c r="S230" s="431"/>
    </row>
    <row r="231">
      <c r="A231" s="444"/>
      <c r="B231" s="444"/>
      <c r="C231" s="445"/>
      <c r="D231" s="446"/>
      <c r="E231" s="447"/>
      <c r="F231" s="448"/>
      <c r="G231" s="449"/>
      <c r="H231" s="448"/>
      <c r="I231" s="448"/>
      <c r="J231" s="450"/>
      <c r="K231" s="429" t="str">
        <f t="shared" si="5"/>
        <v/>
      </c>
      <c r="L231" s="451"/>
      <c r="M231" s="429" t="str">
        <f t="shared" si="7"/>
        <v/>
      </c>
      <c r="N231" s="451"/>
      <c r="O231" s="430" t="str">
        <f t="shared" si="9"/>
        <v/>
      </c>
      <c r="P231" s="431"/>
      <c r="Q231" s="431"/>
      <c r="R231" s="431"/>
      <c r="S231" s="431"/>
    </row>
    <row r="232">
      <c r="A232" s="444"/>
      <c r="B232" s="444"/>
      <c r="C232" s="445"/>
      <c r="D232" s="446"/>
      <c r="E232" s="447"/>
      <c r="F232" s="448"/>
      <c r="G232" s="449"/>
      <c r="H232" s="448"/>
      <c r="I232" s="448"/>
      <c r="J232" s="450"/>
      <c r="K232" s="429" t="str">
        <f t="shared" si="5"/>
        <v/>
      </c>
      <c r="L232" s="451"/>
      <c r="M232" s="429" t="str">
        <f t="shared" si="7"/>
        <v/>
      </c>
      <c r="N232" s="451"/>
      <c r="O232" s="430" t="str">
        <f t="shared" si="9"/>
        <v/>
      </c>
      <c r="P232" s="431"/>
      <c r="Q232" s="431"/>
      <c r="R232" s="431"/>
      <c r="S232" s="431"/>
    </row>
    <row r="233">
      <c r="A233" s="444"/>
      <c r="B233" s="444"/>
      <c r="C233" s="445"/>
      <c r="D233" s="446"/>
      <c r="E233" s="447"/>
      <c r="F233" s="448"/>
      <c r="G233" s="449"/>
      <c r="H233" s="448"/>
      <c r="I233" s="448"/>
      <c r="J233" s="450"/>
      <c r="K233" s="429" t="str">
        <f t="shared" si="5"/>
        <v/>
      </c>
      <c r="L233" s="451"/>
      <c r="M233" s="429" t="str">
        <f t="shared" si="7"/>
        <v/>
      </c>
      <c r="N233" s="451"/>
      <c r="O233" s="430" t="str">
        <f t="shared" si="9"/>
        <v/>
      </c>
      <c r="P233" s="431"/>
      <c r="Q233" s="431"/>
      <c r="R233" s="431"/>
      <c r="S233" s="431"/>
    </row>
    <row r="234">
      <c r="A234" s="444"/>
      <c r="B234" s="444"/>
      <c r="C234" s="445"/>
      <c r="D234" s="446"/>
      <c r="E234" s="447"/>
      <c r="F234" s="448"/>
      <c r="G234" s="449"/>
      <c r="H234" s="448"/>
      <c r="I234" s="448"/>
      <c r="J234" s="450"/>
      <c r="K234" s="429" t="str">
        <f t="shared" si="5"/>
        <v/>
      </c>
      <c r="L234" s="451"/>
      <c r="M234" s="429" t="str">
        <f t="shared" si="7"/>
        <v/>
      </c>
      <c r="N234" s="451"/>
      <c r="O234" s="430" t="str">
        <f t="shared" si="9"/>
        <v/>
      </c>
      <c r="P234" s="431"/>
      <c r="Q234" s="431"/>
      <c r="R234" s="431"/>
      <c r="S234" s="431"/>
    </row>
    <row r="235">
      <c r="A235" s="444"/>
      <c r="B235" s="444"/>
      <c r="C235" s="445"/>
      <c r="D235" s="446"/>
      <c r="E235" s="447"/>
      <c r="F235" s="448"/>
      <c r="G235" s="449"/>
      <c r="H235" s="448"/>
      <c r="I235" s="448"/>
      <c r="J235" s="450"/>
      <c r="K235" s="429" t="str">
        <f t="shared" si="5"/>
        <v/>
      </c>
      <c r="L235" s="451"/>
      <c r="M235" s="429" t="str">
        <f t="shared" si="7"/>
        <v/>
      </c>
      <c r="N235" s="451"/>
      <c r="O235" s="430" t="str">
        <f t="shared" si="9"/>
        <v/>
      </c>
      <c r="P235" s="431"/>
      <c r="Q235" s="431"/>
      <c r="R235" s="431"/>
      <c r="S235" s="431"/>
    </row>
    <row r="236">
      <c r="A236" s="444"/>
      <c r="B236" s="444"/>
      <c r="C236" s="445"/>
      <c r="D236" s="446"/>
      <c r="E236" s="447"/>
      <c r="F236" s="448"/>
      <c r="G236" s="449"/>
      <c r="H236" s="448"/>
      <c r="I236" s="448"/>
      <c r="J236" s="450"/>
      <c r="K236" s="429" t="str">
        <f t="shared" si="5"/>
        <v/>
      </c>
      <c r="L236" s="451"/>
      <c r="M236" s="429" t="str">
        <f t="shared" si="7"/>
        <v/>
      </c>
      <c r="N236" s="451"/>
      <c r="O236" s="430" t="str">
        <f t="shared" si="9"/>
        <v/>
      </c>
      <c r="P236" s="431"/>
      <c r="Q236" s="431"/>
      <c r="R236" s="431"/>
      <c r="S236" s="431"/>
    </row>
    <row r="237">
      <c r="A237" s="444"/>
      <c r="B237" s="444"/>
      <c r="C237" s="445"/>
      <c r="D237" s="446"/>
      <c r="E237" s="447"/>
      <c r="F237" s="448"/>
      <c r="G237" s="449"/>
      <c r="H237" s="448"/>
      <c r="I237" s="448"/>
      <c r="J237" s="450"/>
      <c r="K237" s="429" t="str">
        <f t="shared" si="5"/>
        <v/>
      </c>
      <c r="L237" s="451"/>
      <c r="M237" s="429" t="str">
        <f t="shared" si="7"/>
        <v/>
      </c>
      <c r="N237" s="451"/>
      <c r="O237" s="430" t="str">
        <f t="shared" si="9"/>
        <v/>
      </c>
      <c r="P237" s="431"/>
      <c r="Q237" s="431"/>
      <c r="R237" s="431"/>
      <c r="S237" s="431"/>
    </row>
    <row r="238">
      <c r="A238" s="444"/>
      <c r="B238" s="444"/>
      <c r="C238" s="445"/>
      <c r="D238" s="446"/>
      <c r="E238" s="447"/>
      <c r="F238" s="448"/>
      <c r="G238" s="449"/>
      <c r="H238" s="448"/>
      <c r="I238" s="448"/>
      <c r="J238" s="450"/>
      <c r="K238" s="429" t="str">
        <f t="shared" si="5"/>
        <v/>
      </c>
      <c r="L238" s="451"/>
      <c r="M238" s="429" t="str">
        <f t="shared" si="7"/>
        <v/>
      </c>
      <c r="N238" s="451"/>
      <c r="O238" s="430" t="str">
        <f t="shared" si="9"/>
        <v/>
      </c>
      <c r="P238" s="431"/>
      <c r="Q238" s="431"/>
      <c r="R238" s="431"/>
      <c r="S238" s="431"/>
    </row>
    <row r="239">
      <c r="A239" s="444"/>
      <c r="B239" s="444"/>
      <c r="C239" s="445"/>
      <c r="D239" s="446"/>
      <c r="E239" s="447"/>
      <c r="F239" s="448"/>
      <c r="G239" s="449"/>
      <c r="H239" s="448"/>
      <c r="I239" s="448"/>
      <c r="J239" s="450"/>
      <c r="K239" s="429" t="str">
        <f t="shared" si="5"/>
        <v/>
      </c>
      <c r="L239" s="451"/>
      <c r="M239" s="429" t="str">
        <f t="shared" si="7"/>
        <v/>
      </c>
      <c r="N239" s="451"/>
      <c r="O239" s="430" t="str">
        <f t="shared" si="9"/>
        <v/>
      </c>
      <c r="P239" s="431"/>
      <c r="Q239" s="431"/>
      <c r="R239" s="431"/>
      <c r="S239" s="431"/>
    </row>
    <row r="240">
      <c r="A240" s="444"/>
      <c r="B240" s="444"/>
      <c r="C240" s="445"/>
      <c r="D240" s="446"/>
      <c r="E240" s="447"/>
      <c r="F240" s="448"/>
      <c r="G240" s="449"/>
      <c r="H240" s="448"/>
      <c r="I240" s="448"/>
      <c r="J240" s="450"/>
      <c r="K240" s="429" t="str">
        <f t="shared" si="5"/>
        <v/>
      </c>
      <c r="L240" s="451"/>
      <c r="M240" s="429" t="str">
        <f t="shared" si="7"/>
        <v/>
      </c>
      <c r="N240" s="451"/>
      <c r="O240" s="430" t="str">
        <f t="shared" si="9"/>
        <v/>
      </c>
      <c r="P240" s="431"/>
      <c r="Q240" s="431"/>
      <c r="R240" s="431"/>
      <c r="S240" s="431"/>
    </row>
    <row r="241">
      <c r="A241" s="444"/>
      <c r="B241" s="444"/>
      <c r="C241" s="445"/>
      <c r="D241" s="446"/>
      <c r="E241" s="447"/>
      <c r="F241" s="448"/>
      <c r="G241" s="449"/>
      <c r="H241" s="448"/>
      <c r="I241" s="448"/>
      <c r="J241" s="450"/>
      <c r="K241" s="429" t="str">
        <f t="shared" si="5"/>
        <v/>
      </c>
      <c r="L241" s="451"/>
      <c r="M241" s="429" t="str">
        <f t="shared" si="7"/>
        <v/>
      </c>
      <c r="N241" s="451"/>
      <c r="O241" s="430" t="str">
        <f t="shared" si="9"/>
        <v/>
      </c>
      <c r="P241" s="431"/>
      <c r="Q241" s="431"/>
      <c r="R241" s="431"/>
      <c r="S241" s="431"/>
    </row>
    <row r="242">
      <c r="A242" s="444"/>
      <c r="B242" s="444"/>
      <c r="C242" s="445"/>
      <c r="D242" s="446"/>
      <c r="E242" s="447"/>
      <c r="F242" s="448"/>
      <c r="G242" s="449"/>
      <c r="H242" s="448"/>
      <c r="I242" s="448"/>
      <c r="J242" s="450"/>
      <c r="K242" s="429" t="str">
        <f t="shared" si="5"/>
        <v/>
      </c>
      <c r="L242" s="451"/>
      <c r="M242" s="429" t="str">
        <f t="shared" si="7"/>
        <v/>
      </c>
      <c r="N242" s="451"/>
      <c r="O242" s="430" t="str">
        <f t="shared" si="9"/>
        <v/>
      </c>
      <c r="P242" s="431"/>
      <c r="Q242" s="431"/>
      <c r="R242" s="431"/>
      <c r="S242" s="431"/>
    </row>
    <row r="243">
      <c r="A243" s="444"/>
      <c r="B243" s="444"/>
      <c r="C243" s="445"/>
      <c r="D243" s="446"/>
      <c r="E243" s="447"/>
      <c r="F243" s="448"/>
      <c r="G243" s="449"/>
      <c r="H243" s="448"/>
      <c r="I243" s="448"/>
      <c r="J243" s="450"/>
      <c r="K243" s="429" t="str">
        <f t="shared" si="5"/>
        <v/>
      </c>
      <c r="L243" s="451"/>
      <c r="M243" s="429" t="str">
        <f t="shared" si="7"/>
        <v/>
      </c>
      <c r="N243" s="451"/>
      <c r="O243" s="430" t="str">
        <f t="shared" si="9"/>
        <v/>
      </c>
      <c r="P243" s="431"/>
      <c r="Q243" s="431"/>
      <c r="R243" s="431"/>
      <c r="S243" s="431"/>
    </row>
    <row r="244">
      <c r="A244" s="444"/>
      <c r="B244" s="444"/>
      <c r="C244" s="445"/>
      <c r="D244" s="446"/>
      <c r="E244" s="447"/>
      <c r="F244" s="448"/>
      <c r="G244" s="449"/>
      <c r="H244" s="448"/>
      <c r="I244" s="448"/>
      <c r="J244" s="450"/>
      <c r="K244" s="429" t="str">
        <f t="shared" si="5"/>
        <v/>
      </c>
      <c r="L244" s="451"/>
      <c r="M244" s="429" t="str">
        <f t="shared" si="7"/>
        <v/>
      </c>
      <c r="N244" s="451"/>
      <c r="O244" s="430" t="str">
        <f t="shared" si="9"/>
        <v/>
      </c>
      <c r="P244" s="431"/>
      <c r="Q244" s="431"/>
      <c r="R244" s="431"/>
      <c r="S244" s="431"/>
    </row>
    <row r="245">
      <c r="A245" s="444"/>
      <c r="B245" s="444"/>
      <c r="C245" s="445"/>
      <c r="D245" s="446"/>
      <c r="E245" s="447"/>
      <c r="F245" s="448"/>
      <c r="G245" s="449"/>
      <c r="H245" s="448"/>
      <c r="I245" s="448"/>
      <c r="J245" s="450"/>
      <c r="K245" s="429" t="str">
        <f t="shared" si="5"/>
        <v/>
      </c>
      <c r="L245" s="451"/>
      <c r="M245" s="429" t="str">
        <f t="shared" si="7"/>
        <v/>
      </c>
      <c r="N245" s="451"/>
      <c r="O245" s="430" t="str">
        <f t="shared" si="9"/>
        <v/>
      </c>
      <c r="P245" s="431"/>
      <c r="Q245" s="431"/>
      <c r="R245" s="431"/>
      <c r="S245" s="431"/>
    </row>
    <row r="246">
      <c r="A246" s="444"/>
      <c r="B246" s="444"/>
      <c r="C246" s="445"/>
      <c r="D246" s="446"/>
      <c r="E246" s="447"/>
      <c r="F246" s="448"/>
      <c r="G246" s="449"/>
      <c r="H246" s="448"/>
      <c r="I246" s="448"/>
      <c r="J246" s="450"/>
      <c r="K246" s="429" t="str">
        <f t="shared" si="5"/>
        <v/>
      </c>
      <c r="L246" s="451"/>
      <c r="M246" s="429" t="str">
        <f t="shared" si="7"/>
        <v/>
      </c>
      <c r="N246" s="451"/>
      <c r="O246" s="430" t="str">
        <f t="shared" si="9"/>
        <v/>
      </c>
      <c r="P246" s="431"/>
      <c r="Q246" s="431"/>
      <c r="R246" s="431"/>
      <c r="S246" s="431"/>
    </row>
    <row r="247">
      <c r="A247" s="444"/>
      <c r="B247" s="444"/>
      <c r="C247" s="445"/>
      <c r="D247" s="446"/>
      <c r="E247" s="447"/>
      <c r="F247" s="448"/>
      <c r="G247" s="449"/>
      <c r="H247" s="448"/>
      <c r="I247" s="448"/>
      <c r="J247" s="450"/>
      <c r="K247" s="429" t="str">
        <f t="shared" si="5"/>
        <v/>
      </c>
      <c r="L247" s="451"/>
      <c r="M247" s="429" t="str">
        <f t="shared" si="7"/>
        <v/>
      </c>
      <c r="N247" s="451"/>
      <c r="O247" s="430" t="str">
        <f t="shared" si="9"/>
        <v/>
      </c>
      <c r="P247" s="431"/>
      <c r="Q247" s="431"/>
      <c r="R247" s="431"/>
      <c r="S247" s="431"/>
    </row>
    <row r="248">
      <c r="A248" s="444"/>
      <c r="B248" s="444"/>
      <c r="C248" s="445"/>
      <c r="D248" s="446"/>
      <c r="E248" s="447"/>
      <c r="F248" s="448"/>
      <c r="G248" s="449"/>
      <c r="H248" s="448"/>
      <c r="I248" s="448"/>
      <c r="J248" s="450"/>
      <c r="K248" s="429" t="str">
        <f t="shared" si="5"/>
        <v/>
      </c>
      <c r="L248" s="451"/>
      <c r="M248" s="429" t="str">
        <f t="shared" si="7"/>
        <v/>
      </c>
      <c r="N248" s="451"/>
      <c r="O248" s="430" t="str">
        <f t="shared" si="9"/>
        <v/>
      </c>
      <c r="P248" s="431"/>
      <c r="Q248" s="431"/>
      <c r="R248" s="431"/>
      <c r="S248" s="431"/>
    </row>
    <row r="249">
      <c r="A249" s="444"/>
      <c r="B249" s="444"/>
      <c r="C249" s="445"/>
      <c r="D249" s="446"/>
      <c r="E249" s="447"/>
      <c r="F249" s="448"/>
      <c r="G249" s="449"/>
      <c r="H249" s="448"/>
      <c r="I249" s="448"/>
      <c r="J249" s="450"/>
      <c r="K249" s="429" t="str">
        <f t="shared" si="5"/>
        <v/>
      </c>
      <c r="L249" s="451"/>
      <c r="M249" s="429" t="str">
        <f t="shared" si="7"/>
        <v/>
      </c>
      <c r="N249" s="451"/>
      <c r="O249" s="430" t="str">
        <f t="shared" si="9"/>
        <v/>
      </c>
      <c r="P249" s="431"/>
      <c r="Q249" s="431"/>
      <c r="R249" s="431"/>
      <c r="S249" s="431"/>
    </row>
    <row r="250">
      <c r="A250" s="444"/>
      <c r="B250" s="444"/>
      <c r="C250" s="445"/>
      <c r="D250" s="446"/>
      <c r="E250" s="447"/>
      <c r="F250" s="448"/>
      <c r="G250" s="449"/>
      <c r="H250" s="448"/>
      <c r="I250" s="448"/>
      <c r="J250" s="450"/>
      <c r="K250" s="429" t="str">
        <f t="shared" si="5"/>
        <v/>
      </c>
      <c r="L250" s="451"/>
      <c r="M250" s="429" t="str">
        <f t="shared" si="7"/>
        <v/>
      </c>
      <c r="N250" s="451"/>
      <c r="O250" s="430" t="str">
        <f t="shared" si="9"/>
        <v/>
      </c>
      <c r="P250" s="431"/>
      <c r="Q250" s="431"/>
      <c r="R250" s="431"/>
      <c r="S250" s="431"/>
    </row>
    <row r="251">
      <c r="A251" s="444"/>
      <c r="B251" s="444"/>
      <c r="C251" s="445"/>
      <c r="D251" s="446"/>
      <c r="E251" s="447"/>
      <c r="F251" s="448"/>
      <c r="G251" s="449"/>
      <c r="H251" s="448"/>
      <c r="I251" s="448"/>
      <c r="J251" s="450"/>
      <c r="K251" s="429" t="str">
        <f t="shared" si="5"/>
        <v/>
      </c>
      <c r="L251" s="451"/>
      <c r="M251" s="429" t="str">
        <f t="shared" si="7"/>
        <v/>
      </c>
      <c r="N251" s="451"/>
      <c r="O251" s="430" t="str">
        <f t="shared" si="9"/>
        <v/>
      </c>
      <c r="P251" s="431"/>
      <c r="Q251" s="431"/>
      <c r="R251" s="431"/>
      <c r="S251" s="431"/>
    </row>
    <row r="252">
      <c r="A252" s="444"/>
      <c r="B252" s="444"/>
      <c r="C252" s="445"/>
      <c r="D252" s="446"/>
      <c r="E252" s="447"/>
      <c r="F252" s="448"/>
      <c r="G252" s="449"/>
      <c r="H252" s="448"/>
      <c r="I252" s="448"/>
      <c r="J252" s="450"/>
      <c r="K252" s="429" t="str">
        <f t="shared" si="5"/>
        <v/>
      </c>
      <c r="L252" s="451"/>
      <c r="M252" s="429" t="str">
        <f t="shared" si="7"/>
        <v/>
      </c>
      <c r="N252" s="451"/>
      <c r="O252" s="430" t="str">
        <f t="shared" si="9"/>
        <v/>
      </c>
      <c r="P252" s="431"/>
      <c r="Q252" s="431"/>
      <c r="R252" s="431"/>
      <c r="S252" s="431"/>
    </row>
    <row r="253">
      <c r="A253" s="444"/>
      <c r="B253" s="444"/>
      <c r="C253" s="445"/>
      <c r="D253" s="446"/>
      <c r="E253" s="447"/>
      <c r="F253" s="448"/>
      <c r="G253" s="449"/>
      <c r="H253" s="448"/>
      <c r="I253" s="448"/>
      <c r="J253" s="450"/>
      <c r="K253" s="429" t="str">
        <f t="shared" si="5"/>
        <v/>
      </c>
      <c r="L253" s="451"/>
      <c r="M253" s="429" t="str">
        <f t="shared" si="7"/>
        <v/>
      </c>
      <c r="N253" s="451"/>
      <c r="O253" s="430" t="str">
        <f t="shared" si="9"/>
        <v/>
      </c>
      <c r="P253" s="431"/>
      <c r="Q253" s="431"/>
      <c r="R253" s="431"/>
      <c r="S253" s="431"/>
    </row>
    <row r="254">
      <c r="A254" s="444"/>
      <c r="B254" s="444"/>
      <c r="C254" s="445"/>
      <c r="D254" s="446"/>
      <c r="E254" s="447"/>
      <c r="F254" s="448"/>
      <c r="G254" s="449"/>
      <c r="H254" s="448"/>
      <c r="I254" s="448"/>
      <c r="J254" s="450"/>
      <c r="K254" s="429" t="str">
        <f t="shared" si="5"/>
        <v/>
      </c>
      <c r="L254" s="451"/>
      <c r="M254" s="429" t="str">
        <f t="shared" si="7"/>
        <v/>
      </c>
      <c r="N254" s="451"/>
      <c r="O254" s="430" t="str">
        <f t="shared" si="9"/>
        <v/>
      </c>
      <c r="P254" s="431"/>
      <c r="Q254" s="431"/>
      <c r="R254" s="431"/>
      <c r="S254" s="431"/>
    </row>
    <row r="255">
      <c r="A255" s="444"/>
      <c r="B255" s="444"/>
      <c r="C255" s="445"/>
      <c r="D255" s="446"/>
      <c r="E255" s="447"/>
      <c r="F255" s="448"/>
      <c r="G255" s="449"/>
      <c r="H255" s="448"/>
      <c r="I255" s="448"/>
      <c r="J255" s="450"/>
      <c r="K255" s="429" t="str">
        <f t="shared" si="5"/>
        <v/>
      </c>
      <c r="L255" s="451"/>
      <c r="M255" s="429" t="str">
        <f t="shared" si="7"/>
        <v/>
      </c>
      <c r="N255" s="451"/>
      <c r="O255" s="430" t="str">
        <f t="shared" si="9"/>
        <v/>
      </c>
      <c r="P255" s="431"/>
      <c r="Q255" s="431"/>
      <c r="R255" s="431"/>
      <c r="S255" s="431"/>
    </row>
    <row r="256">
      <c r="A256" s="444"/>
      <c r="B256" s="444"/>
      <c r="C256" s="445"/>
      <c r="D256" s="446"/>
      <c r="E256" s="447"/>
      <c r="F256" s="448"/>
      <c r="G256" s="449"/>
      <c r="H256" s="448"/>
      <c r="I256" s="448"/>
      <c r="J256" s="450"/>
      <c r="K256" s="429" t="str">
        <f t="shared" si="5"/>
        <v/>
      </c>
      <c r="L256" s="451"/>
      <c r="M256" s="429" t="str">
        <f t="shared" si="7"/>
        <v/>
      </c>
      <c r="N256" s="451"/>
      <c r="O256" s="430" t="str">
        <f t="shared" si="9"/>
        <v/>
      </c>
      <c r="P256" s="431"/>
      <c r="Q256" s="431"/>
      <c r="R256" s="431"/>
      <c r="S256" s="431"/>
    </row>
    <row r="257">
      <c r="A257" s="444"/>
      <c r="B257" s="444"/>
      <c r="C257" s="445"/>
      <c r="D257" s="446"/>
      <c r="E257" s="447"/>
      <c r="F257" s="448"/>
      <c r="G257" s="449"/>
      <c r="H257" s="448"/>
      <c r="I257" s="448"/>
      <c r="J257" s="450"/>
      <c r="K257" s="429" t="str">
        <f t="shared" si="5"/>
        <v/>
      </c>
      <c r="L257" s="451"/>
      <c r="M257" s="429" t="str">
        <f t="shared" si="7"/>
        <v/>
      </c>
      <c r="N257" s="451"/>
      <c r="O257" s="430" t="str">
        <f t="shared" si="9"/>
        <v/>
      </c>
      <c r="P257" s="431"/>
      <c r="Q257" s="431"/>
      <c r="R257" s="431"/>
      <c r="S257" s="431"/>
    </row>
    <row r="258">
      <c r="A258" s="444"/>
      <c r="B258" s="444"/>
      <c r="C258" s="445"/>
      <c r="D258" s="446"/>
      <c r="E258" s="447"/>
      <c r="F258" s="448"/>
      <c r="G258" s="449"/>
      <c r="H258" s="448"/>
      <c r="I258" s="448"/>
      <c r="J258" s="450"/>
      <c r="K258" s="429" t="str">
        <f t="shared" si="5"/>
        <v/>
      </c>
      <c r="L258" s="451"/>
      <c r="M258" s="429" t="str">
        <f t="shared" si="7"/>
        <v/>
      </c>
      <c r="N258" s="451"/>
      <c r="O258" s="430" t="str">
        <f t="shared" si="9"/>
        <v/>
      </c>
      <c r="P258" s="431"/>
      <c r="Q258" s="431"/>
      <c r="R258" s="431"/>
      <c r="S258" s="431"/>
    </row>
    <row r="259">
      <c r="A259" s="444"/>
      <c r="B259" s="444"/>
      <c r="C259" s="445"/>
      <c r="D259" s="446"/>
      <c r="E259" s="447"/>
      <c r="F259" s="448"/>
      <c r="G259" s="449"/>
      <c r="H259" s="448"/>
      <c r="I259" s="448"/>
      <c r="J259" s="450"/>
      <c r="K259" s="451"/>
      <c r="L259" s="451"/>
      <c r="M259" s="429" t="str">
        <f t="shared" si="7"/>
        <v/>
      </c>
      <c r="N259" s="451"/>
      <c r="O259" s="430" t="str">
        <f t="shared" si="9"/>
        <v/>
      </c>
      <c r="P259" s="431"/>
      <c r="Q259" s="431"/>
      <c r="R259" s="431"/>
      <c r="S259" s="431"/>
    </row>
    <row r="260">
      <c r="A260" s="444"/>
      <c r="B260" s="444"/>
      <c r="C260" s="445"/>
      <c r="D260" s="446"/>
      <c r="E260" s="447"/>
      <c r="F260" s="448"/>
      <c r="G260" s="449"/>
      <c r="H260" s="448"/>
      <c r="I260" s="448"/>
      <c r="J260" s="450"/>
      <c r="K260" s="451"/>
      <c r="L260" s="451"/>
      <c r="M260" s="429" t="str">
        <f t="shared" si="7"/>
        <v/>
      </c>
      <c r="N260" s="451"/>
      <c r="O260" s="430" t="str">
        <f t="shared" si="9"/>
        <v/>
      </c>
      <c r="P260" s="431"/>
      <c r="Q260" s="431"/>
      <c r="R260" s="431"/>
      <c r="S260" s="431"/>
    </row>
    <row r="261">
      <c r="A261" s="444"/>
      <c r="B261" s="444"/>
      <c r="C261" s="445"/>
      <c r="D261" s="446"/>
      <c r="E261" s="447"/>
      <c r="F261" s="448"/>
      <c r="G261" s="449"/>
      <c r="H261" s="448"/>
      <c r="I261" s="448"/>
      <c r="J261" s="450"/>
      <c r="K261" s="451"/>
      <c r="L261" s="451"/>
      <c r="M261" s="429" t="str">
        <f t="shared" si="7"/>
        <v/>
      </c>
      <c r="N261" s="451"/>
      <c r="O261" s="430" t="str">
        <f t="shared" si="9"/>
        <v/>
      </c>
      <c r="P261" s="431"/>
      <c r="Q261" s="431"/>
      <c r="R261" s="431"/>
      <c r="S261" s="431"/>
    </row>
    <row r="262">
      <c r="A262" s="444"/>
      <c r="B262" s="444"/>
      <c r="C262" s="445"/>
      <c r="D262" s="446"/>
      <c r="E262" s="447"/>
      <c r="F262" s="448"/>
      <c r="G262" s="449"/>
      <c r="H262" s="448"/>
      <c r="I262" s="448"/>
      <c r="J262" s="450"/>
      <c r="K262" s="451"/>
      <c r="L262" s="451"/>
      <c r="M262" s="429" t="str">
        <f t="shared" si="7"/>
        <v/>
      </c>
      <c r="N262" s="451"/>
      <c r="O262" s="430" t="str">
        <f t="shared" si="9"/>
        <v/>
      </c>
      <c r="P262" s="431"/>
      <c r="Q262" s="431"/>
      <c r="R262" s="431"/>
      <c r="S262" s="431"/>
    </row>
    <row r="263">
      <c r="A263" s="444"/>
      <c r="B263" s="444"/>
      <c r="C263" s="445"/>
      <c r="D263" s="446"/>
      <c r="E263" s="447"/>
      <c r="F263" s="448"/>
      <c r="G263" s="449"/>
      <c r="H263" s="448"/>
      <c r="I263" s="448"/>
      <c r="J263" s="450"/>
      <c r="K263" s="451"/>
      <c r="L263" s="451"/>
      <c r="M263" s="429" t="str">
        <f t="shared" si="7"/>
        <v/>
      </c>
      <c r="N263" s="451"/>
      <c r="O263" s="430" t="str">
        <f t="shared" si="9"/>
        <v/>
      </c>
      <c r="P263" s="431"/>
      <c r="Q263" s="431"/>
      <c r="R263" s="431"/>
      <c r="S263" s="431"/>
    </row>
    <row r="264">
      <c r="A264" s="444"/>
      <c r="B264" s="444"/>
      <c r="C264" s="445"/>
      <c r="D264" s="446"/>
      <c r="E264" s="447"/>
      <c r="F264" s="448"/>
      <c r="G264" s="449"/>
      <c r="H264" s="448"/>
      <c r="I264" s="448"/>
      <c r="J264" s="450"/>
      <c r="K264" s="451"/>
      <c r="L264" s="451"/>
      <c r="M264" s="429" t="str">
        <f t="shared" si="7"/>
        <v/>
      </c>
      <c r="N264" s="451"/>
      <c r="O264" s="430" t="str">
        <f t="shared" si="9"/>
        <v/>
      </c>
      <c r="P264" s="431"/>
      <c r="Q264" s="431"/>
      <c r="R264" s="431"/>
      <c r="S264" s="431"/>
    </row>
    <row r="265">
      <c r="A265" s="444"/>
      <c r="B265" s="444"/>
      <c r="C265" s="445"/>
      <c r="D265" s="446"/>
      <c r="E265" s="447"/>
      <c r="F265" s="448"/>
      <c r="G265" s="449"/>
      <c r="H265" s="448"/>
      <c r="I265" s="448"/>
      <c r="J265" s="450"/>
      <c r="K265" s="451"/>
      <c r="L265" s="451"/>
      <c r="M265" s="429" t="str">
        <f t="shared" si="7"/>
        <v/>
      </c>
      <c r="N265" s="451"/>
      <c r="O265" s="430" t="str">
        <f t="shared" si="9"/>
        <v/>
      </c>
      <c r="P265" s="431"/>
      <c r="Q265" s="431"/>
      <c r="R265" s="431"/>
      <c r="S265" s="431"/>
    </row>
    <row r="266">
      <c r="A266" s="444"/>
      <c r="B266" s="444"/>
      <c r="C266" s="445"/>
      <c r="D266" s="446"/>
      <c r="E266" s="447"/>
      <c r="F266" s="448"/>
      <c r="G266" s="449"/>
      <c r="H266" s="448"/>
      <c r="I266" s="448"/>
      <c r="J266" s="450"/>
      <c r="K266" s="451"/>
      <c r="L266" s="451"/>
      <c r="M266" s="429" t="str">
        <f t="shared" si="7"/>
        <v/>
      </c>
      <c r="N266" s="451"/>
      <c r="O266" s="430" t="str">
        <f t="shared" si="9"/>
        <v/>
      </c>
      <c r="P266" s="431"/>
      <c r="Q266" s="431"/>
      <c r="R266" s="431"/>
      <c r="S266" s="431"/>
    </row>
    <row r="267">
      <c r="A267" s="444"/>
      <c r="B267" s="444"/>
      <c r="C267" s="445"/>
      <c r="D267" s="446"/>
      <c r="E267" s="447"/>
      <c r="F267" s="448"/>
      <c r="G267" s="449"/>
      <c r="H267" s="448"/>
      <c r="I267" s="448"/>
      <c r="J267" s="450"/>
      <c r="K267" s="451"/>
      <c r="L267" s="451"/>
      <c r="M267" s="429" t="str">
        <f t="shared" si="7"/>
        <v/>
      </c>
      <c r="N267" s="451"/>
      <c r="O267" s="430" t="str">
        <f t="shared" si="9"/>
        <v/>
      </c>
      <c r="P267" s="431"/>
      <c r="Q267" s="431"/>
      <c r="R267" s="431"/>
      <c r="S267" s="431"/>
    </row>
    <row r="268">
      <c r="A268" s="444"/>
      <c r="B268" s="444"/>
      <c r="C268" s="445"/>
      <c r="D268" s="446"/>
      <c r="E268" s="447"/>
      <c r="F268" s="448"/>
      <c r="G268" s="449"/>
      <c r="H268" s="448"/>
      <c r="I268" s="448"/>
      <c r="J268" s="450"/>
      <c r="K268" s="451"/>
      <c r="L268" s="451"/>
      <c r="M268" s="429" t="str">
        <f t="shared" si="7"/>
        <v/>
      </c>
      <c r="N268" s="451"/>
      <c r="O268" s="430" t="str">
        <f t="shared" si="9"/>
        <v/>
      </c>
      <c r="P268" s="431"/>
      <c r="Q268" s="431"/>
      <c r="R268" s="431"/>
      <c r="S268" s="431"/>
    </row>
    <row r="269">
      <c r="A269" s="444"/>
      <c r="B269" s="444"/>
      <c r="C269" s="445"/>
      <c r="D269" s="446"/>
      <c r="E269" s="447"/>
      <c r="F269" s="448"/>
      <c r="G269" s="449"/>
      <c r="H269" s="448"/>
      <c r="I269" s="448"/>
      <c r="J269" s="450"/>
      <c r="K269" s="451"/>
      <c r="L269" s="451"/>
      <c r="M269" s="429" t="str">
        <f t="shared" si="7"/>
        <v/>
      </c>
      <c r="N269" s="451"/>
      <c r="O269" s="430" t="str">
        <f t="shared" si="9"/>
        <v/>
      </c>
      <c r="P269" s="431"/>
      <c r="Q269" s="431"/>
      <c r="R269" s="431"/>
      <c r="S269" s="431"/>
    </row>
    <row r="270">
      <c r="A270" s="444"/>
      <c r="B270" s="444"/>
      <c r="C270" s="445"/>
      <c r="D270" s="446"/>
      <c r="E270" s="447"/>
      <c r="F270" s="448"/>
      <c r="G270" s="449"/>
      <c r="H270" s="448"/>
      <c r="I270" s="448"/>
      <c r="J270" s="450"/>
      <c r="K270" s="451"/>
      <c r="L270" s="451"/>
      <c r="M270" s="429" t="str">
        <f t="shared" si="7"/>
        <v/>
      </c>
      <c r="N270" s="451"/>
      <c r="O270" s="430" t="str">
        <f t="shared" si="9"/>
        <v/>
      </c>
      <c r="P270" s="431"/>
      <c r="Q270" s="431"/>
      <c r="R270" s="431"/>
      <c r="S270" s="431"/>
    </row>
    <row r="271">
      <c r="A271" s="444"/>
      <c r="B271" s="444"/>
      <c r="C271" s="445"/>
      <c r="D271" s="446"/>
      <c r="E271" s="447"/>
      <c r="F271" s="448"/>
      <c r="G271" s="449"/>
      <c r="H271" s="448"/>
      <c r="I271" s="448"/>
      <c r="J271" s="450"/>
      <c r="K271" s="451"/>
      <c r="L271" s="451"/>
      <c r="M271" s="429" t="str">
        <f t="shared" si="7"/>
        <v/>
      </c>
      <c r="N271" s="451"/>
      <c r="O271" s="430" t="str">
        <f t="shared" si="9"/>
        <v/>
      </c>
      <c r="P271" s="431"/>
      <c r="Q271" s="431"/>
      <c r="R271" s="431"/>
      <c r="S271" s="431"/>
    </row>
    <row r="272">
      <c r="A272" s="444"/>
      <c r="B272" s="444"/>
      <c r="C272" s="445"/>
      <c r="D272" s="446"/>
      <c r="E272" s="447"/>
      <c r="F272" s="448"/>
      <c r="G272" s="449"/>
      <c r="H272" s="448"/>
      <c r="I272" s="448"/>
      <c r="J272" s="450"/>
      <c r="K272" s="451"/>
      <c r="L272" s="451"/>
      <c r="M272" s="429" t="str">
        <f t="shared" si="7"/>
        <v/>
      </c>
      <c r="N272" s="451"/>
      <c r="O272" s="430" t="str">
        <f t="shared" si="9"/>
        <v/>
      </c>
      <c r="P272" s="431"/>
      <c r="Q272" s="431"/>
      <c r="R272" s="431"/>
      <c r="S272" s="431"/>
    </row>
    <row r="273">
      <c r="A273" s="444"/>
      <c r="B273" s="444"/>
      <c r="C273" s="445"/>
      <c r="D273" s="446"/>
      <c r="E273" s="447"/>
      <c r="F273" s="448"/>
      <c r="G273" s="449"/>
      <c r="H273" s="448"/>
      <c r="I273" s="448"/>
      <c r="J273" s="450"/>
      <c r="K273" s="451"/>
      <c r="L273" s="451"/>
      <c r="M273" s="429" t="str">
        <f t="shared" si="7"/>
        <v/>
      </c>
      <c r="N273" s="451"/>
      <c r="O273" s="430" t="str">
        <f t="shared" si="9"/>
        <v/>
      </c>
      <c r="P273" s="431"/>
      <c r="Q273" s="431"/>
      <c r="R273" s="431"/>
      <c r="S273" s="431"/>
    </row>
    <row r="274">
      <c r="A274" s="444"/>
      <c r="B274" s="444"/>
      <c r="C274" s="445"/>
      <c r="D274" s="446"/>
      <c r="E274" s="447"/>
      <c r="F274" s="448"/>
      <c r="G274" s="449"/>
      <c r="H274" s="448"/>
      <c r="I274" s="448"/>
      <c r="J274" s="450"/>
      <c r="K274" s="451"/>
      <c r="L274" s="451"/>
      <c r="M274" s="429" t="str">
        <f t="shared" si="7"/>
        <v/>
      </c>
      <c r="N274" s="451"/>
      <c r="O274" s="430" t="str">
        <f t="shared" si="9"/>
        <v/>
      </c>
      <c r="P274" s="431"/>
      <c r="Q274" s="431"/>
      <c r="R274" s="431"/>
      <c r="S274" s="431"/>
    </row>
    <row r="275">
      <c r="A275" s="444"/>
      <c r="B275" s="444"/>
      <c r="C275" s="445"/>
      <c r="D275" s="446"/>
      <c r="E275" s="447"/>
      <c r="F275" s="448"/>
      <c r="G275" s="449"/>
      <c r="H275" s="448"/>
      <c r="I275" s="448"/>
      <c r="J275" s="450"/>
      <c r="K275" s="451"/>
      <c r="L275" s="451"/>
      <c r="M275" s="429" t="str">
        <f t="shared" si="7"/>
        <v/>
      </c>
      <c r="N275" s="451"/>
      <c r="O275" s="430" t="str">
        <f t="shared" si="9"/>
        <v/>
      </c>
      <c r="P275" s="431"/>
      <c r="Q275" s="431"/>
      <c r="R275" s="431"/>
      <c r="S275" s="431"/>
    </row>
    <row r="276">
      <c r="A276" s="444"/>
      <c r="B276" s="444"/>
      <c r="C276" s="445"/>
      <c r="D276" s="446"/>
      <c r="E276" s="447"/>
      <c r="F276" s="448"/>
      <c r="G276" s="449"/>
      <c r="H276" s="448"/>
      <c r="I276" s="448"/>
      <c r="J276" s="450"/>
      <c r="K276" s="451"/>
      <c r="L276" s="451"/>
      <c r="M276" s="429" t="str">
        <f t="shared" si="7"/>
        <v/>
      </c>
      <c r="N276" s="451"/>
      <c r="O276" s="430" t="str">
        <f t="shared" si="9"/>
        <v/>
      </c>
      <c r="P276" s="431"/>
      <c r="Q276" s="431"/>
      <c r="R276" s="431"/>
      <c r="S276" s="431"/>
    </row>
    <row r="277">
      <c r="A277" s="444"/>
      <c r="B277" s="444"/>
      <c r="C277" s="445"/>
      <c r="D277" s="446"/>
      <c r="E277" s="447"/>
      <c r="F277" s="448"/>
      <c r="G277" s="449"/>
      <c r="H277" s="448"/>
      <c r="I277" s="448"/>
      <c r="J277" s="450"/>
      <c r="K277" s="451"/>
      <c r="L277" s="451"/>
      <c r="M277" s="429" t="str">
        <f t="shared" si="7"/>
        <v/>
      </c>
      <c r="N277" s="451"/>
      <c r="O277" s="430" t="str">
        <f t="shared" si="9"/>
        <v/>
      </c>
      <c r="P277" s="431"/>
      <c r="Q277" s="431"/>
      <c r="R277" s="431"/>
      <c r="S277" s="431"/>
    </row>
    <row r="278">
      <c r="A278" s="444"/>
      <c r="B278" s="444"/>
      <c r="C278" s="445"/>
      <c r="D278" s="446"/>
      <c r="E278" s="447"/>
      <c r="F278" s="448"/>
      <c r="G278" s="449"/>
      <c r="H278" s="448"/>
      <c r="I278" s="448"/>
      <c r="J278" s="450"/>
      <c r="K278" s="451"/>
      <c r="L278" s="451"/>
      <c r="M278" s="429" t="str">
        <f t="shared" si="7"/>
        <v/>
      </c>
      <c r="N278" s="451"/>
      <c r="O278" s="430" t="str">
        <f t="shared" si="9"/>
        <v/>
      </c>
      <c r="P278" s="431"/>
      <c r="Q278" s="431"/>
      <c r="R278" s="431"/>
      <c r="S278" s="431"/>
    </row>
    <row r="279">
      <c r="A279" s="444"/>
      <c r="B279" s="444"/>
      <c r="C279" s="445"/>
      <c r="D279" s="446"/>
      <c r="E279" s="447"/>
      <c r="F279" s="448"/>
      <c r="G279" s="449"/>
      <c r="H279" s="448"/>
      <c r="I279" s="448"/>
      <c r="J279" s="450"/>
      <c r="K279" s="451"/>
      <c r="L279" s="451"/>
      <c r="M279" s="429" t="str">
        <f t="shared" si="7"/>
        <v/>
      </c>
      <c r="N279" s="451"/>
      <c r="O279" s="430" t="str">
        <f t="shared" si="9"/>
        <v/>
      </c>
      <c r="P279" s="431"/>
      <c r="Q279" s="431"/>
      <c r="R279" s="431"/>
      <c r="S279" s="431"/>
    </row>
    <row r="280">
      <c r="A280" s="444"/>
      <c r="B280" s="444"/>
      <c r="C280" s="445"/>
      <c r="D280" s="446"/>
      <c r="E280" s="447"/>
      <c r="F280" s="448"/>
      <c r="G280" s="449"/>
      <c r="H280" s="448"/>
      <c r="I280" s="448"/>
      <c r="J280" s="450"/>
      <c r="K280" s="451"/>
      <c r="L280" s="451"/>
      <c r="M280" s="429" t="str">
        <f t="shared" si="7"/>
        <v/>
      </c>
      <c r="N280" s="451"/>
      <c r="O280" s="430" t="str">
        <f t="shared" si="9"/>
        <v/>
      </c>
      <c r="P280" s="431"/>
      <c r="Q280" s="431"/>
      <c r="R280" s="431"/>
      <c r="S280" s="431"/>
    </row>
    <row r="281">
      <c r="A281" s="444"/>
      <c r="B281" s="444"/>
      <c r="C281" s="445"/>
      <c r="D281" s="446"/>
      <c r="E281" s="447"/>
      <c r="F281" s="448"/>
      <c r="G281" s="449"/>
      <c r="H281" s="448"/>
      <c r="I281" s="448"/>
      <c r="J281" s="450"/>
      <c r="K281" s="451"/>
      <c r="L281" s="451"/>
      <c r="M281" s="429" t="str">
        <f t="shared" si="7"/>
        <v/>
      </c>
      <c r="N281" s="451"/>
      <c r="O281" s="430" t="str">
        <f t="shared" si="9"/>
        <v/>
      </c>
      <c r="P281" s="431"/>
      <c r="Q281" s="431"/>
      <c r="R281" s="431"/>
      <c r="S281" s="431"/>
    </row>
    <row r="282">
      <c r="A282" s="444"/>
      <c r="B282" s="444"/>
      <c r="C282" s="445"/>
      <c r="D282" s="446"/>
      <c r="E282" s="447"/>
      <c r="F282" s="448"/>
      <c r="G282" s="449"/>
      <c r="H282" s="448"/>
      <c r="I282" s="448"/>
      <c r="J282" s="450"/>
      <c r="K282" s="451"/>
      <c r="L282" s="451"/>
      <c r="M282" s="429" t="str">
        <f t="shared" si="7"/>
        <v/>
      </c>
      <c r="N282" s="451"/>
      <c r="O282" s="430" t="str">
        <f t="shared" si="9"/>
        <v/>
      </c>
      <c r="P282" s="431"/>
      <c r="Q282" s="431"/>
      <c r="R282" s="431"/>
      <c r="S282" s="431"/>
    </row>
    <row r="283">
      <c r="A283" s="444"/>
      <c r="B283" s="444"/>
      <c r="C283" s="445"/>
      <c r="D283" s="446"/>
      <c r="E283" s="447"/>
      <c r="F283" s="448"/>
      <c r="G283" s="449"/>
      <c r="H283" s="448"/>
      <c r="I283" s="448"/>
      <c r="J283" s="450"/>
      <c r="K283" s="451"/>
      <c r="L283" s="451"/>
      <c r="M283" s="429" t="str">
        <f t="shared" si="7"/>
        <v/>
      </c>
      <c r="N283" s="451"/>
      <c r="O283" s="430" t="str">
        <f t="shared" si="9"/>
        <v/>
      </c>
      <c r="P283" s="431"/>
      <c r="Q283" s="431"/>
      <c r="R283" s="431"/>
      <c r="S283" s="431"/>
    </row>
    <row r="284">
      <c r="A284" s="444"/>
      <c r="B284" s="444"/>
      <c r="C284" s="445"/>
      <c r="D284" s="446"/>
      <c r="E284" s="447"/>
      <c r="F284" s="448"/>
      <c r="G284" s="449"/>
      <c r="H284" s="448"/>
      <c r="I284" s="448"/>
      <c r="J284" s="450"/>
      <c r="K284" s="451"/>
      <c r="L284" s="451"/>
      <c r="M284" s="429" t="str">
        <f t="shared" si="7"/>
        <v/>
      </c>
      <c r="N284" s="451"/>
      <c r="O284" s="430" t="str">
        <f t="shared" si="9"/>
        <v/>
      </c>
      <c r="P284" s="431"/>
      <c r="Q284" s="431"/>
      <c r="R284" s="431"/>
      <c r="S284" s="431"/>
    </row>
    <row r="285">
      <c r="A285" s="444"/>
      <c r="B285" s="444"/>
      <c r="C285" s="445"/>
      <c r="D285" s="446"/>
      <c r="E285" s="447"/>
      <c r="F285" s="448"/>
      <c r="G285" s="449"/>
      <c r="H285" s="448"/>
      <c r="I285" s="448"/>
      <c r="J285" s="450"/>
      <c r="K285" s="451"/>
      <c r="L285" s="451"/>
      <c r="M285" s="429" t="str">
        <f t="shared" si="7"/>
        <v/>
      </c>
      <c r="N285" s="451"/>
      <c r="O285" s="430" t="str">
        <f t="shared" si="9"/>
        <v/>
      </c>
      <c r="P285" s="431"/>
      <c r="Q285" s="431"/>
      <c r="R285" s="431"/>
      <c r="S285" s="431"/>
    </row>
    <row r="286">
      <c r="A286" s="444"/>
      <c r="B286" s="444"/>
      <c r="C286" s="445"/>
      <c r="D286" s="446"/>
      <c r="E286" s="447"/>
      <c r="F286" s="448"/>
      <c r="G286" s="449"/>
      <c r="H286" s="448"/>
      <c r="I286" s="448"/>
      <c r="J286" s="450"/>
      <c r="K286" s="451"/>
      <c r="L286" s="451"/>
      <c r="M286" s="429" t="str">
        <f t="shared" si="7"/>
        <v/>
      </c>
      <c r="N286" s="451"/>
      <c r="O286" s="430" t="str">
        <f t="shared" si="9"/>
        <v/>
      </c>
      <c r="P286" s="431"/>
      <c r="Q286" s="431"/>
      <c r="R286" s="431"/>
      <c r="S286" s="431"/>
    </row>
    <row r="287">
      <c r="A287" s="444"/>
      <c r="B287" s="444"/>
      <c r="C287" s="445"/>
      <c r="D287" s="446"/>
      <c r="E287" s="447"/>
      <c r="F287" s="448"/>
      <c r="G287" s="449"/>
      <c r="H287" s="448"/>
      <c r="I287" s="448"/>
      <c r="J287" s="450"/>
      <c r="K287" s="451"/>
      <c r="L287" s="451"/>
      <c r="M287" s="429" t="str">
        <f t="shared" si="7"/>
        <v/>
      </c>
      <c r="N287" s="451"/>
      <c r="O287" s="430" t="str">
        <f t="shared" si="9"/>
        <v/>
      </c>
      <c r="P287" s="431"/>
      <c r="Q287" s="431"/>
      <c r="R287" s="431"/>
      <c r="S287" s="431"/>
    </row>
    <row r="288">
      <c r="A288" s="444"/>
      <c r="B288" s="444"/>
      <c r="C288" s="445"/>
      <c r="D288" s="446"/>
      <c r="E288" s="447"/>
      <c r="F288" s="448"/>
      <c r="G288" s="449"/>
      <c r="H288" s="448"/>
      <c r="I288" s="448"/>
      <c r="J288" s="450"/>
      <c r="K288" s="451"/>
      <c r="L288" s="451"/>
      <c r="M288" s="429" t="str">
        <f t="shared" si="7"/>
        <v/>
      </c>
      <c r="N288" s="451"/>
      <c r="O288" s="430" t="str">
        <f t="shared" si="9"/>
        <v/>
      </c>
      <c r="P288" s="431"/>
      <c r="Q288" s="431"/>
      <c r="R288" s="431"/>
      <c r="S288" s="431"/>
    </row>
    <row r="289">
      <c r="A289" s="444"/>
      <c r="B289" s="444"/>
      <c r="C289" s="445"/>
      <c r="D289" s="446"/>
      <c r="E289" s="447"/>
      <c r="F289" s="448"/>
      <c r="G289" s="449"/>
      <c r="H289" s="448"/>
      <c r="I289" s="448"/>
      <c r="J289" s="450"/>
      <c r="K289" s="451"/>
      <c r="L289" s="451"/>
      <c r="M289" s="429" t="str">
        <f t="shared" si="7"/>
        <v/>
      </c>
      <c r="N289" s="451"/>
      <c r="O289" s="430" t="str">
        <f t="shared" si="9"/>
        <v/>
      </c>
      <c r="P289" s="431"/>
      <c r="Q289" s="431"/>
      <c r="R289" s="431"/>
      <c r="S289" s="431"/>
    </row>
    <row r="290">
      <c r="A290" s="444"/>
      <c r="B290" s="444"/>
      <c r="C290" s="445"/>
      <c r="D290" s="446"/>
      <c r="E290" s="447"/>
      <c r="F290" s="448"/>
      <c r="G290" s="449"/>
      <c r="H290" s="448"/>
      <c r="I290" s="448"/>
      <c r="J290" s="450"/>
      <c r="K290" s="451"/>
      <c r="L290" s="451"/>
      <c r="M290" s="429" t="str">
        <f t="shared" si="7"/>
        <v/>
      </c>
      <c r="N290" s="451"/>
      <c r="O290" s="430" t="str">
        <f t="shared" si="9"/>
        <v/>
      </c>
      <c r="P290" s="431"/>
      <c r="Q290" s="431"/>
      <c r="R290" s="431"/>
      <c r="S290" s="431"/>
    </row>
    <row r="291">
      <c r="A291" s="444"/>
      <c r="B291" s="444"/>
      <c r="C291" s="445"/>
      <c r="D291" s="446"/>
      <c r="E291" s="447"/>
      <c r="F291" s="448"/>
      <c r="G291" s="449"/>
      <c r="H291" s="448"/>
      <c r="I291" s="448"/>
      <c r="J291" s="450"/>
      <c r="K291" s="451"/>
      <c r="L291" s="451"/>
      <c r="M291" s="429" t="str">
        <f t="shared" si="7"/>
        <v/>
      </c>
      <c r="N291" s="451"/>
      <c r="O291" s="430" t="str">
        <f t="shared" si="9"/>
        <v/>
      </c>
      <c r="P291" s="431"/>
      <c r="Q291" s="431"/>
      <c r="R291" s="431"/>
      <c r="S291" s="431"/>
    </row>
    <row r="292">
      <c r="A292" s="444"/>
      <c r="B292" s="444"/>
      <c r="C292" s="445"/>
      <c r="D292" s="446"/>
      <c r="E292" s="447"/>
      <c r="F292" s="448"/>
      <c r="G292" s="449"/>
      <c r="H292" s="448"/>
      <c r="I292" s="448"/>
      <c r="J292" s="450"/>
      <c r="K292" s="451"/>
      <c r="L292" s="451"/>
      <c r="M292" s="429" t="str">
        <f t="shared" si="7"/>
        <v/>
      </c>
      <c r="N292" s="451"/>
      <c r="O292" s="430" t="str">
        <f t="shared" si="9"/>
        <v/>
      </c>
      <c r="P292" s="431"/>
      <c r="Q292" s="431"/>
      <c r="R292" s="431"/>
      <c r="S292" s="431"/>
    </row>
    <row r="293">
      <c r="A293" s="444"/>
      <c r="B293" s="444"/>
      <c r="C293" s="445"/>
      <c r="D293" s="446"/>
      <c r="E293" s="447"/>
      <c r="F293" s="448"/>
      <c r="G293" s="449"/>
      <c r="H293" s="448"/>
      <c r="I293" s="448"/>
      <c r="J293" s="450"/>
      <c r="K293" s="451"/>
      <c r="L293" s="451"/>
      <c r="M293" s="429" t="str">
        <f t="shared" si="7"/>
        <v/>
      </c>
      <c r="N293" s="451"/>
      <c r="O293" s="430" t="str">
        <f t="shared" si="9"/>
        <v/>
      </c>
      <c r="P293" s="431"/>
      <c r="Q293" s="431"/>
      <c r="R293" s="431"/>
      <c r="S293" s="431"/>
    </row>
    <row r="294">
      <c r="A294" s="444"/>
      <c r="B294" s="444"/>
      <c r="C294" s="445"/>
      <c r="D294" s="446"/>
      <c r="E294" s="447"/>
      <c r="F294" s="448"/>
      <c r="G294" s="449"/>
      <c r="H294" s="448"/>
      <c r="I294" s="448"/>
      <c r="J294" s="450"/>
      <c r="K294" s="451"/>
      <c r="L294" s="451"/>
      <c r="M294" s="429" t="str">
        <f t="shared" si="7"/>
        <v/>
      </c>
      <c r="N294" s="451"/>
      <c r="O294" s="430" t="str">
        <f t="shared" si="9"/>
        <v/>
      </c>
      <c r="P294" s="431"/>
      <c r="Q294" s="431"/>
      <c r="R294" s="431"/>
      <c r="S294" s="431"/>
    </row>
    <row r="295">
      <c r="A295" s="444"/>
      <c r="B295" s="444"/>
      <c r="C295" s="445"/>
      <c r="D295" s="446"/>
      <c r="E295" s="447"/>
      <c r="F295" s="448"/>
      <c r="G295" s="449"/>
      <c r="H295" s="448"/>
      <c r="I295" s="448"/>
      <c r="J295" s="450"/>
      <c r="K295" s="451"/>
      <c r="L295" s="451"/>
      <c r="M295" s="429" t="str">
        <f t="shared" si="7"/>
        <v/>
      </c>
      <c r="N295" s="451"/>
      <c r="O295" s="430" t="str">
        <f t="shared" si="9"/>
        <v/>
      </c>
      <c r="P295" s="431"/>
      <c r="Q295" s="431"/>
      <c r="R295" s="431"/>
      <c r="S295" s="431"/>
    </row>
    <row r="296">
      <c r="A296" s="444"/>
      <c r="B296" s="444"/>
      <c r="C296" s="445"/>
      <c r="D296" s="446"/>
      <c r="E296" s="447"/>
      <c r="F296" s="448"/>
      <c r="G296" s="449"/>
      <c r="H296" s="448"/>
      <c r="I296" s="448"/>
      <c r="J296" s="450"/>
      <c r="K296" s="451"/>
      <c r="L296" s="451"/>
      <c r="M296" s="429" t="str">
        <f t="shared" si="7"/>
        <v/>
      </c>
      <c r="N296" s="451"/>
      <c r="O296" s="430" t="str">
        <f t="shared" si="9"/>
        <v/>
      </c>
      <c r="P296" s="431"/>
      <c r="Q296" s="431"/>
      <c r="R296" s="431"/>
      <c r="S296" s="431"/>
    </row>
    <row r="297">
      <c r="A297" s="444"/>
      <c r="B297" s="444"/>
      <c r="C297" s="445"/>
      <c r="D297" s="446"/>
      <c r="E297" s="447"/>
      <c r="F297" s="448"/>
      <c r="G297" s="449"/>
      <c r="H297" s="448"/>
      <c r="I297" s="448"/>
      <c r="J297" s="450"/>
      <c r="K297" s="451"/>
      <c r="L297" s="451"/>
      <c r="M297" s="429" t="str">
        <f t="shared" si="7"/>
        <v/>
      </c>
      <c r="N297" s="451"/>
      <c r="O297" s="430" t="str">
        <f t="shared" si="9"/>
        <v/>
      </c>
      <c r="P297" s="431"/>
      <c r="Q297" s="431"/>
      <c r="R297" s="431"/>
      <c r="S297" s="431"/>
    </row>
    <row r="298">
      <c r="A298" s="444"/>
      <c r="B298" s="444"/>
      <c r="C298" s="445"/>
      <c r="D298" s="446"/>
      <c r="E298" s="447"/>
      <c r="F298" s="448"/>
      <c r="G298" s="449"/>
      <c r="H298" s="448"/>
      <c r="I298" s="448"/>
      <c r="J298" s="450"/>
      <c r="K298" s="451"/>
      <c r="L298" s="451"/>
      <c r="M298" s="429" t="str">
        <f t="shared" si="7"/>
        <v/>
      </c>
      <c r="N298" s="451"/>
      <c r="O298" s="430" t="str">
        <f t="shared" si="9"/>
        <v/>
      </c>
      <c r="P298" s="431"/>
      <c r="Q298" s="431"/>
      <c r="R298" s="431"/>
      <c r="S298" s="431"/>
    </row>
    <row r="299">
      <c r="A299" s="444"/>
      <c r="B299" s="444"/>
      <c r="C299" s="445"/>
      <c r="D299" s="446"/>
      <c r="E299" s="447"/>
      <c r="F299" s="448"/>
      <c r="G299" s="449"/>
      <c r="H299" s="448"/>
      <c r="I299" s="448"/>
      <c r="J299" s="450"/>
      <c r="K299" s="451"/>
      <c r="L299" s="451"/>
      <c r="M299" s="429" t="str">
        <f t="shared" si="7"/>
        <v/>
      </c>
      <c r="N299" s="451"/>
      <c r="O299" s="430" t="str">
        <f t="shared" si="9"/>
        <v/>
      </c>
      <c r="P299" s="431"/>
      <c r="Q299" s="431"/>
      <c r="R299" s="431"/>
      <c r="S299" s="431"/>
    </row>
    <row r="300">
      <c r="A300" s="444"/>
      <c r="B300" s="444"/>
      <c r="C300" s="445"/>
      <c r="D300" s="446"/>
      <c r="E300" s="447"/>
      <c r="F300" s="448"/>
      <c r="G300" s="449"/>
      <c r="H300" s="448"/>
      <c r="I300" s="448"/>
      <c r="J300" s="450"/>
      <c r="K300" s="451"/>
      <c r="L300" s="451"/>
      <c r="M300" s="429" t="str">
        <f t="shared" si="7"/>
        <v/>
      </c>
      <c r="N300" s="451"/>
      <c r="O300" s="430" t="str">
        <f t="shared" si="9"/>
        <v/>
      </c>
      <c r="P300" s="431"/>
      <c r="Q300" s="431"/>
      <c r="R300" s="431"/>
      <c r="S300" s="431"/>
    </row>
    <row r="301">
      <c r="A301" s="444"/>
      <c r="B301" s="444"/>
      <c r="C301" s="445"/>
      <c r="D301" s="446"/>
      <c r="E301" s="447"/>
      <c r="F301" s="448"/>
      <c r="G301" s="449"/>
      <c r="H301" s="448"/>
      <c r="I301" s="448"/>
      <c r="J301" s="450"/>
      <c r="K301" s="451"/>
      <c r="L301" s="451"/>
      <c r="M301" s="429" t="str">
        <f t="shared" si="7"/>
        <v/>
      </c>
      <c r="N301" s="451"/>
      <c r="O301" s="430" t="str">
        <f t="shared" si="9"/>
        <v/>
      </c>
      <c r="P301" s="431"/>
      <c r="Q301" s="431"/>
      <c r="R301" s="431"/>
      <c r="S301" s="431"/>
    </row>
    <row r="302">
      <c r="A302" s="444"/>
      <c r="B302" s="444"/>
      <c r="C302" s="445"/>
      <c r="D302" s="446"/>
      <c r="E302" s="447"/>
      <c r="F302" s="448"/>
      <c r="G302" s="449"/>
      <c r="H302" s="448"/>
      <c r="I302" s="448"/>
      <c r="J302" s="450"/>
      <c r="K302" s="451"/>
      <c r="L302" s="451"/>
      <c r="M302" s="429" t="str">
        <f t="shared" si="7"/>
        <v/>
      </c>
      <c r="N302" s="451"/>
      <c r="O302" s="430" t="str">
        <f t="shared" si="9"/>
        <v/>
      </c>
      <c r="P302" s="431"/>
      <c r="Q302" s="431"/>
      <c r="R302" s="431"/>
      <c r="S302" s="431"/>
    </row>
    <row r="303">
      <c r="A303" s="444"/>
      <c r="B303" s="444"/>
      <c r="C303" s="445"/>
      <c r="D303" s="446"/>
      <c r="E303" s="447"/>
      <c r="F303" s="448"/>
      <c r="G303" s="449"/>
      <c r="H303" s="448"/>
      <c r="I303" s="448"/>
      <c r="J303" s="450"/>
      <c r="K303" s="451"/>
      <c r="L303" s="451"/>
      <c r="M303" s="429" t="str">
        <f t="shared" si="7"/>
        <v/>
      </c>
      <c r="N303" s="451"/>
      <c r="O303" s="430" t="str">
        <f t="shared" si="9"/>
        <v/>
      </c>
      <c r="P303" s="431"/>
      <c r="Q303" s="431"/>
      <c r="R303" s="431"/>
      <c r="S303" s="431"/>
    </row>
    <row r="304">
      <c r="A304" s="444"/>
      <c r="B304" s="444"/>
      <c r="C304" s="445"/>
      <c r="D304" s="446"/>
      <c r="E304" s="447"/>
      <c r="F304" s="448"/>
      <c r="G304" s="449"/>
      <c r="H304" s="448"/>
      <c r="I304" s="448"/>
      <c r="J304" s="450"/>
      <c r="K304" s="451"/>
      <c r="L304" s="451"/>
      <c r="M304" s="429" t="str">
        <f t="shared" si="7"/>
        <v/>
      </c>
      <c r="N304" s="451"/>
      <c r="O304" s="430" t="str">
        <f t="shared" si="9"/>
        <v/>
      </c>
      <c r="P304" s="431"/>
      <c r="Q304" s="431"/>
      <c r="R304" s="431"/>
      <c r="S304" s="431"/>
    </row>
    <row r="305">
      <c r="A305" s="444"/>
      <c r="B305" s="444"/>
      <c r="C305" s="445"/>
      <c r="D305" s="446"/>
      <c r="E305" s="447"/>
      <c r="F305" s="448"/>
      <c r="G305" s="449"/>
      <c r="H305" s="448"/>
      <c r="I305" s="448"/>
      <c r="J305" s="450"/>
      <c r="K305" s="451"/>
      <c r="L305" s="451"/>
      <c r="M305" s="429" t="str">
        <f t="shared" si="7"/>
        <v/>
      </c>
      <c r="N305" s="451"/>
      <c r="O305" s="430" t="str">
        <f t="shared" si="9"/>
        <v/>
      </c>
      <c r="P305" s="431"/>
      <c r="Q305" s="431"/>
      <c r="R305" s="431"/>
      <c r="S305" s="431"/>
    </row>
    <row r="306">
      <c r="A306" s="444"/>
      <c r="B306" s="444"/>
      <c r="C306" s="445"/>
      <c r="D306" s="446"/>
      <c r="E306" s="447"/>
      <c r="F306" s="448"/>
      <c r="G306" s="449"/>
      <c r="H306" s="448"/>
      <c r="I306" s="448"/>
      <c r="J306" s="450"/>
      <c r="K306" s="451"/>
      <c r="L306" s="451"/>
      <c r="M306" s="429" t="str">
        <f t="shared" si="7"/>
        <v/>
      </c>
      <c r="N306" s="451"/>
      <c r="O306" s="430" t="str">
        <f t="shared" si="9"/>
        <v/>
      </c>
      <c r="P306" s="431"/>
      <c r="Q306" s="431"/>
      <c r="R306" s="431"/>
      <c r="S306" s="431"/>
    </row>
    <row r="307">
      <c r="A307" s="444"/>
      <c r="B307" s="444"/>
      <c r="C307" s="445"/>
      <c r="D307" s="446"/>
      <c r="E307" s="447"/>
      <c r="F307" s="448"/>
      <c r="G307" s="449"/>
      <c r="H307" s="448"/>
      <c r="I307" s="448"/>
      <c r="J307" s="450"/>
      <c r="K307" s="451"/>
      <c r="L307" s="451"/>
      <c r="M307" s="429" t="str">
        <f t="shared" si="7"/>
        <v/>
      </c>
      <c r="N307" s="451"/>
      <c r="O307" s="430" t="str">
        <f t="shared" si="9"/>
        <v/>
      </c>
      <c r="P307" s="431"/>
      <c r="Q307" s="431"/>
      <c r="R307" s="431"/>
      <c r="S307" s="431"/>
    </row>
    <row r="308">
      <c r="A308" s="444"/>
      <c r="B308" s="444"/>
      <c r="C308" s="445"/>
      <c r="D308" s="446"/>
      <c r="E308" s="447"/>
      <c r="F308" s="448"/>
      <c r="G308" s="449"/>
      <c r="H308" s="448"/>
      <c r="I308" s="448"/>
      <c r="J308" s="450"/>
      <c r="K308" s="451"/>
      <c r="L308" s="451"/>
      <c r="M308" s="429" t="str">
        <f t="shared" si="7"/>
        <v/>
      </c>
      <c r="N308" s="451"/>
      <c r="O308" s="430" t="str">
        <f t="shared" si="9"/>
        <v/>
      </c>
      <c r="P308" s="431"/>
      <c r="Q308" s="431"/>
      <c r="R308" s="431"/>
      <c r="S308" s="431"/>
    </row>
    <row r="309">
      <c r="A309" s="444"/>
      <c r="B309" s="444"/>
      <c r="C309" s="445"/>
      <c r="D309" s="446"/>
      <c r="E309" s="447"/>
      <c r="F309" s="448"/>
      <c r="G309" s="449"/>
      <c r="H309" s="448"/>
      <c r="I309" s="448"/>
      <c r="J309" s="450"/>
      <c r="K309" s="451"/>
      <c r="L309" s="451"/>
      <c r="M309" s="429" t="str">
        <f t="shared" si="7"/>
        <v/>
      </c>
      <c r="N309" s="451"/>
      <c r="O309" s="430" t="str">
        <f t="shared" si="9"/>
        <v/>
      </c>
      <c r="P309" s="431"/>
      <c r="Q309" s="431"/>
      <c r="R309" s="431"/>
      <c r="S309" s="431"/>
    </row>
    <row r="310">
      <c r="A310" s="444"/>
      <c r="B310" s="444"/>
      <c r="C310" s="445"/>
      <c r="D310" s="446"/>
      <c r="E310" s="447"/>
      <c r="F310" s="448"/>
      <c r="G310" s="449"/>
      <c r="H310" s="448"/>
      <c r="I310" s="448"/>
      <c r="J310" s="450"/>
      <c r="K310" s="451"/>
      <c r="L310" s="451"/>
      <c r="M310" s="429" t="str">
        <f t="shared" si="7"/>
        <v/>
      </c>
      <c r="N310" s="451"/>
      <c r="O310" s="430" t="str">
        <f t="shared" si="9"/>
        <v/>
      </c>
      <c r="P310" s="431"/>
      <c r="Q310" s="431"/>
      <c r="R310" s="431"/>
      <c r="S310" s="431"/>
    </row>
    <row r="311">
      <c r="A311" s="444"/>
      <c r="B311" s="444"/>
      <c r="C311" s="445"/>
      <c r="D311" s="446"/>
      <c r="E311" s="447"/>
      <c r="F311" s="448"/>
      <c r="G311" s="449"/>
      <c r="H311" s="448"/>
      <c r="I311" s="448"/>
      <c r="J311" s="450"/>
      <c r="K311" s="451"/>
      <c r="L311" s="451"/>
      <c r="M311" s="429" t="str">
        <f t="shared" si="7"/>
        <v/>
      </c>
      <c r="N311" s="451"/>
      <c r="O311" s="430" t="str">
        <f t="shared" si="9"/>
        <v/>
      </c>
      <c r="P311" s="431"/>
      <c r="Q311" s="431"/>
      <c r="R311" s="431"/>
      <c r="S311" s="431"/>
    </row>
    <row r="312">
      <c r="A312" s="444"/>
      <c r="B312" s="444"/>
      <c r="C312" s="445"/>
      <c r="D312" s="446"/>
      <c r="E312" s="447"/>
      <c r="F312" s="448"/>
      <c r="G312" s="449"/>
      <c r="H312" s="448"/>
      <c r="I312" s="448"/>
      <c r="J312" s="450"/>
      <c r="K312" s="451"/>
      <c r="L312" s="451"/>
      <c r="M312" s="429" t="str">
        <f t="shared" si="7"/>
        <v/>
      </c>
      <c r="N312" s="451"/>
      <c r="O312" s="430" t="str">
        <f t="shared" si="9"/>
        <v/>
      </c>
      <c r="P312" s="431"/>
      <c r="Q312" s="431"/>
      <c r="R312" s="431"/>
      <c r="S312" s="431"/>
    </row>
    <row r="313">
      <c r="A313" s="444"/>
      <c r="B313" s="444"/>
      <c r="C313" s="445"/>
      <c r="D313" s="446"/>
      <c r="E313" s="447"/>
      <c r="F313" s="448"/>
      <c r="G313" s="449"/>
      <c r="H313" s="448"/>
      <c r="I313" s="448"/>
      <c r="J313" s="450"/>
      <c r="K313" s="451"/>
      <c r="L313" s="451"/>
      <c r="M313" s="429" t="str">
        <f t="shared" si="7"/>
        <v/>
      </c>
      <c r="N313" s="451"/>
      <c r="O313" s="430" t="str">
        <f t="shared" si="9"/>
        <v/>
      </c>
      <c r="P313" s="431"/>
      <c r="Q313" s="431"/>
      <c r="R313" s="431"/>
      <c r="S313" s="431"/>
    </row>
    <row r="314">
      <c r="A314" s="444"/>
      <c r="B314" s="444"/>
      <c r="C314" s="445"/>
      <c r="D314" s="446"/>
      <c r="E314" s="447"/>
      <c r="F314" s="448"/>
      <c r="G314" s="449"/>
      <c r="H314" s="448"/>
      <c r="I314" s="448"/>
      <c r="J314" s="450"/>
      <c r="K314" s="451"/>
      <c r="L314" s="451"/>
      <c r="M314" s="429" t="str">
        <f t="shared" si="7"/>
        <v/>
      </c>
      <c r="N314" s="451"/>
      <c r="O314" s="430" t="str">
        <f t="shared" si="9"/>
        <v/>
      </c>
      <c r="P314" s="431"/>
      <c r="Q314" s="431"/>
      <c r="R314" s="431"/>
      <c r="S314" s="431"/>
    </row>
    <row r="315">
      <c r="A315" s="444"/>
      <c r="B315" s="444"/>
      <c r="C315" s="445"/>
      <c r="D315" s="446"/>
      <c r="E315" s="447"/>
      <c r="F315" s="448"/>
      <c r="G315" s="449"/>
      <c r="H315" s="448"/>
      <c r="I315" s="448"/>
      <c r="J315" s="450"/>
      <c r="K315" s="451"/>
      <c r="L315" s="451"/>
      <c r="M315" s="429" t="str">
        <f t="shared" si="7"/>
        <v/>
      </c>
      <c r="N315" s="451"/>
      <c r="O315" s="430" t="str">
        <f t="shared" si="9"/>
        <v/>
      </c>
      <c r="P315" s="431"/>
      <c r="Q315" s="431"/>
      <c r="R315" s="431"/>
      <c r="S315" s="431"/>
    </row>
    <row r="316">
      <c r="A316" s="444"/>
      <c r="B316" s="444"/>
      <c r="C316" s="445"/>
      <c r="D316" s="446"/>
      <c r="E316" s="447"/>
      <c r="F316" s="448"/>
      <c r="G316" s="449"/>
      <c r="H316" s="448"/>
      <c r="I316" s="448"/>
      <c r="J316" s="450"/>
      <c r="K316" s="451"/>
      <c r="L316" s="451"/>
      <c r="M316" s="429" t="str">
        <f t="shared" si="7"/>
        <v/>
      </c>
      <c r="N316" s="451"/>
      <c r="O316" s="430" t="str">
        <f t="shared" si="9"/>
        <v/>
      </c>
      <c r="P316" s="431"/>
      <c r="Q316" s="431"/>
      <c r="R316" s="431"/>
      <c r="S316" s="431"/>
    </row>
    <row r="317">
      <c r="A317" s="444"/>
      <c r="B317" s="444"/>
      <c r="C317" s="445"/>
      <c r="D317" s="446"/>
      <c r="E317" s="447"/>
      <c r="F317" s="448"/>
      <c r="G317" s="449"/>
      <c r="H317" s="448"/>
      <c r="I317" s="448"/>
      <c r="J317" s="450"/>
      <c r="K317" s="451"/>
      <c r="L317" s="451"/>
      <c r="M317" s="429" t="str">
        <f t="shared" si="7"/>
        <v/>
      </c>
      <c r="N317" s="451"/>
      <c r="O317" s="430" t="str">
        <f t="shared" si="9"/>
        <v/>
      </c>
      <c r="P317" s="431"/>
      <c r="Q317" s="431"/>
      <c r="R317" s="431"/>
      <c r="S317" s="431"/>
    </row>
    <row r="318">
      <c r="A318" s="444"/>
      <c r="B318" s="444"/>
      <c r="C318" s="445"/>
      <c r="D318" s="446"/>
      <c r="E318" s="447"/>
      <c r="F318" s="448"/>
      <c r="G318" s="449"/>
      <c r="H318" s="448"/>
      <c r="I318" s="448"/>
      <c r="J318" s="450"/>
      <c r="K318" s="451"/>
      <c r="L318" s="451"/>
      <c r="M318" s="429" t="str">
        <f t="shared" si="7"/>
        <v/>
      </c>
      <c r="N318" s="451"/>
      <c r="O318" s="430" t="str">
        <f t="shared" si="9"/>
        <v/>
      </c>
      <c r="P318" s="431"/>
      <c r="Q318" s="431"/>
      <c r="R318" s="431"/>
      <c r="S318" s="431"/>
    </row>
    <row r="319">
      <c r="A319" s="444"/>
      <c r="B319" s="444"/>
      <c r="C319" s="445"/>
      <c r="D319" s="446"/>
      <c r="E319" s="447"/>
      <c r="F319" s="448"/>
      <c r="G319" s="449"/>
      <c r="H319" s="448"/>
      <c r="I319" s="448"/>
      <c r="J319" s="450"/>
      <c r="K319" s="451"/>
      <c r="L319" s="451"/>
      <c r="M319" s="429" t="str">
        <f t="shared" si="7"/>
        <v/>
      </c>
      <c r="N319" s="451"/>
      <c r="O319" s="430" t="str">
        <f t="shared" si="9"/>
        <v/>
      </c>
      <c r="P319" s="431"/>
      <c r="Q319" s="431"/>
      <c r="R319" s="431"/>
      <c r="S319" s="431"/>
    </row>
    <row r="320">
      <c r="A320" s="444"/>
      <c r="B320" s="444"/>
      <c r="C320" s="445"/>
      <c r="D320" s="446"/>
      <c r="E320" s="447"/>
      <c r="F320" s="448"/>
      <c r="G320" s="449"/>
      <c r="H320" s="448"/>
      <c r="I320" s="448"/>
      <c r="J320" s="450"/>
      <c r="K320" s="451"/>
      <c r="L320" s="451"/>
      <c r="M320" s="429" t="str">
        <f t="shared" si="7"/>
        <v/>
      </c>
      <c r="N320" s="451"/>
      <c r="O320" s="430" t="str">
        <f t="shared" si="9"/>
        <v/>
      </c>
      <c r="P320" s="431"/>
      <c r="Q320" s="431"/>
      <c r="R320" s="431"/>
      <c r="S320" s="431"/>
    </row>
    <row r="321">
      <c r="A321" s="444"/>
      <c r="B321" s="444"/>
      <c r="C321" s="445"/>
      <c r="D321" s="446"/>
      <c r="E321" s="447"/>
      <c r="F321" s="448"/>
      <c r="G321" s="449"/>
      <c r="H321" s="448"/>
      <c r="I321" s="448"/>
      <c r="J321" s="450"/>
      <c r="K321" s="451"/>
      <c r="L321" s="451"/>
      <c r="M321" s="429" t="str">
        <f t="shared" si="7"/>
        <v/>
      </c>
      <c r="N321" s="451"/>
      <c r="O321" s="430" t="str">
        <f t="shared" si="9"/>
        <v/>
      </c>
      <c r="P321" s="431"/>
      <c r="Q321" s="431"/>
      <c r="R321" s="431"/>
      <c r="S321" s="431"/>
    </row>
    <row r="322">
      <c r="A322" s="444"/>
      <c r="B322" s="444"/>
      <c r="C322" s="445"/>
      <c r="D322" s="446"/>
      <c r="E322" s="447"/>
      <c r="F322" s="448"/>
      <c r="G322" s="449"/>
      <c r="H322" s="448"/>
      <c r="I322" s="448"/>
      <c r="J322" s="450"/>
      <c r="K322" s="451"/>
      <c r="L322" s="451"/>
      <c r="M322" s="429" t="str">
        <f t="shared" si="7"/>
        <v/>
      </c>
      <c r="N322" s="451"/>
      <c r="O322" s="430" t="str">
        <f t="shared" si="9"/>
        <v/>
      </c>
      <c r="P322" s="431"/>
      <c r="Q322" s="431"/>
      <c r="R322" s="431"/>
      <c r="S322" s="431"/>
    </row>
    <row r="323">
      <c r="A323" s="444"/>
      <c r="B323" s="444"/>
      <c r="C323" s="445"/>
      <c r="D323" s="446"/>
      <c r="E323" s="447"/>
      <c r="F323" s="448"/>
      <c r="G323" s="449"/>
      <c r="H323" s="448"/>
      <c r="I323" s="448"/>
      <c r="J323" s="450"/>
      <c r="K323" s="451"/>
      <c r="L323" s="451"/>
      <c r="M323" s="429" t="str">
        <f t="shared" si="7"/>
        <v/>
      </c>
      <c r="N323" s="451"/>
      <c r="O323" s="430" t="str">
        <f t="shared" si="9"/>
        <v/>
      </c>
      <c r="P323" s="431"/>
      <c r="Q323" s="431"/>
      <c r="R323" s="431"/>
      <c r="S323" s="431"/>
    </row>
    <row r="324">
      <c r="A324" s="444"/>
      <c r="B324" s="444"/>
      <c r="C324" s="445"/>
      <c r="D324" s="446"/>
      <c r="E324" s="447"/>
      <c r="F324" s="448"/>
      <c r="G324" s="449"/>
      <c r="H324" s="448"/>
      <c r="I324" s="448"/>
      <c r="J324" s="450"/>
      <c r="K324" s="451"/>
      <c r="L324" s="451"/>
      <c r="M324" s="429" t="str">
        <f t="shared" si="7"/>
        <v/>
      </c>
      <c r="N324" s="451"/>
      <c r="O324" s="430" t="str">
        <f t="shared" si="9"/>
        <v/>
      </c>
      <c r="P324" s="431"/>
      <c r="Q324" s="431"/>
      <c r="R324" s="431"/>
      <c r="S324" s="431"/>
    </row>
    <row r="325">
      <c r="A325" s="444"/>
      <c r="B325" s="444"/>
      <c r="C325" s="445"/>
      <c r="D325" s="446"/>
      <c r="E325" s="447"/>
      <c r="F325" s="448"/>
      <c r="G325" s="449"/>
      <c r="H325" s="448"/>
      <c r="I325" s="448"/>
      <c r="J325" s="450"/>
      <c r="K325" s="451"/>
      <c r="L325" s="451"/>
      <c r="M325" s="429" t="str">
        <f t="shared" si="7"/>
        <v/>
      </c>
      <c r="N325" s="451"/>
      <c r="O325" s="430" t="str">
        <f t="shared" si="9"/>
        <v/>
      </c>
      <c r="P325" s="431"/>
      <c r="Q325" s="431"/>
      <c r="R325" s="431"/>
      <c r="S325" s="431"/>
    </row>
    <row r="326">
      <c r="A326" s="444"/>
      <c r="B326" s="444"/>
      <c r="C326" s="445"/>
      <c r="D326" s="446"/>
      <c r="E326" s="447"/>
      <c r="F326" s="448"/>
      <c r="G326" s="449"/>
      <c r="H326" s="448"/>
      <c r="I326" s="448"/>
      <c r="J326" s="450"/>
      <c r="K326" s="451"/>
      <c r="L326" s="451"/>
      <c r="M326" s="429" t="str">
        <f t="shared" si="7"/>
        <v/>
      </c>
      <c r="N326" s="451"/>
      <c r="O326" s="430" t="str">
        <f t="shared" si="9"/>
        <v/>
      </c>
      <c r="P326" s="431"/>
      <c r="Q326" s="431"/>
      <c r="R326" s="431"/>
      <c r="S326" s="431"/>
    </row>
    <row r="327">
      <c r="A327" s="444"/>
      <c r="B327" s="444"/>
      <c r="C327" s="445"/>
      <c r="D327" s="446"/>
      <c r="E327" s="447"/>
      <c r="F327" s="448"/>
      <c r="G327" s="449"/>
      <c r="H327" s="448"/>
      <c r="I327" s="448"/>
      <c r="J327" s="450"/>
      <c r="K327" s="451"/>
      <c r="L327" s="451"/>
      <c r="M327" s="429" t="str">
        <f t="shared" si="7"/>
        <v/>
      </c>
      <c r="N327" s="451"/>
      <c r="O327" s="430" t="str">
        <f t="shared" si="9"/>
        <v/>
      </c>
      <c r="P327" s="431"/>
      <c r="Q327" s="431"/>
      <c r="R327" s="431"/>
      <c r="S327" s="431"/>
    </row>
    <row r="328">
      <c r="A328" s="444"/>
      <c r="B328" s="444"/>
      <c r="C328" s="445"/>
      <c r="D328" s="446"/>
      <c r="E328" s="447"/>
      <c r="F328" s="448"/>
      <c r="G328" s="449"/>
      <c r="H328" s="448"/>
      <c r="I328" s="448"/>
      <c r="J328" s="450"/>
      <c r="K328" s="451"/>
      <c r="L328" s="451"/>
      <c r="M328" s="429" t="str">
        <f t="shared" si="7"/>
        <v/>
      </c>
      <c r="N328" s="451"/>
      <c r="O328" s="430" t="str">
        <f t="shared" si="9"/>
        <v/>
      </c>
      <c r="P328" s="431"/>
      <c r="Q328" s="431"/>
      <c r="R328" s="431"/>
      <c r="S328" s="431"/>
    </row>
    <row r="329">
      <c r="A329" s="444"/>
      <c r="B329" s="444"/>
      <c r="C329" s="445"/>
      <c r="D329" s="446"/>
      <c r="E329" s="447"/>
      <c r="F329" s="448"/>
      <c r="G329" s="449"/>
      <c r="H329" s="448"/>
      <c r="I329" s="448"/>
      <c r="J329" s="450"/>
      <c r="K329" s="451"/>
      <c r="L329" s="451"/>
      <c r="M329" s="429" t="str">
        <f t="shared" si="7"/>
        <v/>
      </c>
      <c r="N329" s="451"/>
      <c r="O329" s="430" t="str">
        <f t="shared" si="9"/>
        <v/>
      </c>
      <c r="P329" s="431"/>
      <c r="Q329" s="431"/>
      <c r="R329" s="431"/>
      <c r="S329" s="431"/>
    </row>
    <row r="330">
      <c r="A330" s="444"/>
      <c r="B330" s="444"/>
      <c r="C330" s="445"/>
      <c r="D330" s="446"/>
      <c r="E330" s="447"/>
      <c r="F330" s="448"/>
      <c r="G330" s="449"/>
      <c r="H330" s="448"/>
      <c r="I330" s="448"/>
      <c r="J330" s="450"/>
      <c r="K330" s="451"/>
      <c r="L330" s="451"/>
      <c r="M330" s="429" t="str">
        <f t="shared" si="7"/>
        <v/>
      </c>
      <c r="N330" s="451"/>
      <c r="O330" s="430" t="str">
        <f t="shared" si="9"/>
        <v/>
      </c>
      <c r="P330" s="431"/>
      <c r="Q330" s="431"/>
      <c r="R330" s="431"/>
      <c r="S330" s="431"/>
    </row>
    <row r="331">
      <c r="A331" s="444"/>
      <c r="B331" s="444"/>
      <c r="C331" s="445"/>
      <c r="D331" s="446"/>
      <c r="E331" s="447"/>
      <c r="F331" s="448"/>
      <c r="G331" s="449"/>
      <c r="H331" s="448"/>
      <c r="I331" s="448"/>
      <c r="J331" s="450"/>
      <c r="K331" s="451"/>
      <c r="L331" s="451"/>
      <c r="M331" s="429" t="str">
        <f t="shared" si="7"/>
        <v/>
      </c>
      <c r="N331" s="451"/>
      <c r="O331" s="430" t="str">
        <f t="shared" si="9"/>
        <v/>
      </c>
      <c r="P331" s="431"/>
      <c r="Q331" s="431"/>
      <c r="R331" s="431"/>
      <c r="S331" s="431"/>
    </row>
    <row r="332">
      <c r="A332" s="444"/>
      <c r="B332" s="444"/>
      <c r="C332" s="445"/>
      <c r="D332" s="446"/>
      <c r="E332" s="447"/>
      <c r="F332" s="448"/>
      <c r="G332" s="449"/>
      <c r="H332" s="448"/>
      <c r="I332" s="448"/>
      <c r="J332" s="450"/>
      <c r="K332" s="451"/>
      <c r="L332" s="451"/>
      <c r="M332" s="429" t="str">
        <f t="shared" si="7"/>
        <v/>
      </c>
      <c r="N332" s="451"/>
      <c r="O332" s="430" t="str">
        <f t="shared" si="9"/>
        <v/>
      </c>
      <c r="P332" s="431"/>
      <c r="Q332" s="431"/>
      <c r="R332" s="431"/>
      <c r="S332" s="431"/>
    </row>
    <row r="333">
      <c r="A333" s="444"/>
      <c r="B333" s="444"/>
      <c r="C333" s="445"/>
      <c r="D333" s="446"/>
      <c r="E333" s="447"/>
      <c r="F333" s="448"/>
      <c r="G333" s="449"/>
      <c r="H333" s="448"/>
      <c r="I333" s="448"/>
      <c r="J333" s="450"/>
      <c r="K333" s="451"/>
      <c r="L333" s="451"/>
      <c r="M333" s="429" t="str">
        <f t="shared" si="7"/>
        <v/>
      </c>
      <c r="N333" s="451"/>
      <c r="O333" s="430" t="str">
        <f t="shared" si="9"/>
        <v/>
      </c>
      <c r="P333" s="431"/>
      <c r="Q333" s="431"/>
      <c r="R333" s="431"/>
      <c r="S333" s="431"/>
    </row>
    <row r="334">
      <c r="A334" s="444"/>
      <c r="B334" s="444"/>
      <c r="C334" s="445"/>
      <c r="D334" s="446"/>
      <c r="E334" s="447"/>
      <c r="F334" s="448"/>
      <c r="G334" s="449"/>
      <c r="H334" s="448"/>
      <c r="I334" s="448"/>
      <c r="J334" s="450"/>
      <c r="K334" s="451"/>
      <c r="L334" s="451"/>
      <c r="M334" s="429" t="str">
        <f t="shared" si="7"/>
        <v/>
      </c>
      <c r="N334" s="451"/>
      <c r="O334" s="430" t="str">
        <f t="shared" si="9"/>
        <v/>
      </c>
      <c r="P334" s="431"/>
      <c r="Q334" s="431"/>
      <c r="R334" s="431"/>
      <c r="S334" s="431"/>
    </row>
    <row r="335">
      <c r="A335" s="444"/>
      <c r="B335" s="444"/>
      <c r="C335" s="445"/>
      <c r="D335" s="446"/>
      <c r="E335" s="447"/>
      <c r="F335" s="448"/>
      <c r="G335" s="449"/>
      <c r="H335" s="448"/>
      <c r="I335" s="448"/>
      <c r="J335" s="450"/>
      <c r="K335" s="451"/>
      <c r="L335" s="451"/>
      <c r="M335" s="429" t="str">
        <f t="shared" si="7"/>
        <v/>
      </c>
      <c r="N335" s="451"/>
      <c r="O335" s="430" t="str">
        <f t="shared" si="9"/>
        <v/>
      </c>
      <c r="P335" s="431"/>
      <c r="Q335" s="431"/>
      <c r="R335" s="431"/>
      <c r="S335" s="431"/>
    </row>
    <row r="336">
      <c r="A336" s="444"/>
      <c r="B336" s="444"/>
      <c r="C336" s="445"/>
      <c r="D336" s="446"/>
      <c r="E336" s="447"/>
      <c r="F336" s="448"/>
      <c r="G336" s="449"/>
      <c r="H336" s="448"/>
      <c r="I336" s="448"/>
      <c r="J336" s="450"/>
      <c r="K336" s="451"/>
      <c r="L336" s="451"/>
      <c r="M336" s="429" t="str">
        <f t="shared" si="7"/>
        <v/>
      </c>
      <c r="N336" s="451"/>
      <c r="O336" s="430" t="str">
        <f t="shared" si="9"/>
        <v/>
      </c>
      <c r="P336" s="431"/>
      <c r="Q336" s="431"/>
      <c r="R336" s="431"/>
      <c r="S336" s="431"/>
    </row>
    <row r="337">
      <c r="A337" s="444"/>
      <c r="B337" s="444"/>
      <c r="C337" s="445"/>
      <c r="D337" s="446"/>
      <c r="E337" s="447"/>
      <c r="F337" s="448"/>
      <c r="G337" s="449"/>
      <c r="H337" s="448"/>
      <c r="I337" s="448"/>
      <c r="J337" s="450"/>
      <c r="K337" s="451"/>
      <c r="L337" s="451"/>
      <c r="M337" s="429" t="str">
        <f t="shared" si="7"/>
        <v/>
      </c>
      <c r="N337" s="451"/>
      <c r="O337" s="430" t="str">
        <f t="shared" si="9"/>
        <v/>
      </c>
      <c r="P337" s="431"/>
      <c r="Q337" s="431"/>
      <c r="R337" s="431"/>
      <c r="S337" s="431"/>
    </row>
    <row r="338">
      <c r="A338" s="444"/>
      <c r="B338" s="444"/>
      <c r="C338" s="445"/>
      <c r="D338" s="446"/>
      <c r="E338" s="447"/>
      <c r="F338" s="448"/>
      <c r="G338" s="449"/>
      <c r="H338" s="448"/>
      <c r="I338" s="448"/>
      <c r="J338" s="450"/>
      <c r="K338" s="451"/>
      <c r="L338" s="451"/>
      <c r="M338" s="429" t="str">
        <f t="shared" si="7"/>
        <v/>
      </c>
      <c r="N338" s="451"/>
      <c r="O338" s="430" t="str">
        <f t="shared" si="9"/>
        <v/>
      </c>
      <c r="P338" s="431"/>
      <c r="Q338" s="431"/>
      <c r="R338" s="431"/>
      <c r="S338" s="431"/>
    </row>
    <row r="339">
      <c r="A339" s="444"/>
      <c r="B339" s="444"/>
      <c r="C339" s="445"/>
      <c r="D339" s="446"/>
      <c r="E339" s="447"/>
      <c r="F339" s="448"/>
      <c r="G339" s="449"/>
      <c r="H339" s="448"/>
      <c r="I339" s="448"/>
      <c r="J339" s="450"/>
      <c r="K339" s="451"/>
      <c r="L339" s="451"/>
      <c r="M339" s="429" t="str">
        <f t="shared" si="7"/>
        <v/>
      </c>
      <c r="N339" s="451"/>
      <c r="O339" s="430" t="str">
        <f t="shared" si="9"/>
        <v/>
      </c>
      <c r="P339" s="431"/>
      <c r="Q339" s="431"/>
      <c r="R339" s="431"/>
      <c r="S339" s="431"/>
    </row>
    <row r="340">
      <c r="A340" s="444"/>
      <c r="B340" s="444"/>
      <c r="C340" s="445"/>
      <c r="D340" s="446"/>
      <c r="E340" s="447"/>
      <c r="F340" s="448"/>
      <c r="G340" s="449"/>
      <c r="H340" s="448"/>
      <c r="I340" s="448"/>
      <c r="J340" s="450"/>
      <c r="K340" s="451"/>
      <c r="L340" s="451"/>
      <c r="M340" s="429" t="str">
        <f t="shared" si="7"/>
        <v/>
      </c>
      <c r="N340" s="451"/>
      <c r="O340" s="430" t="str">
        <f t="shared" si="9"/>
        <v/>
      </c>
      <c r="P340" s="431"/>
      <c r="Q340" s="431"/>
      <c r="R340" s="431"/>
      <c r="S340" s="431"/>
    </row>
    <row r="341">
      <c r="A341" s="444"/>
      <c r="B341" s="444"/>
      <c r="C341" s="445"/>
      <c r="D341" s="446"/>
      <c r="E341" s="447"/>
      <c r="F341" s="448"/>
      <c r="G341" s="449"/>
      <c r="H341" s="448"/>
      <c r="I341" s="448"/>
      <c r="J341" s="450"/>
      <c r="K341" s="451"/>
      <c r="L341" s="451"/>
      <c r="M341" s="429" t="str">
        <f t="shared" si="7"/>
        <v/>
      </c>
      <c r="N341" s="451"/>
      <c r="O341" s="430" t="str">
        <f t="shared" si="9"/>
        <v/>
      </c>
      <c r="P341" s="431"/>
      <c r="Q341" s="431"/>
      <c r="R341" s="431"/>
      <c r="S341" s="431"/>
    </row>
    <row r="342">
      <c r="A342" s="444"/>
      <c r="B342" s="444"/>
      <c r="C342" s="445"/>
      <c r="D342" s="446"/>
      <c r="E342" s="447"/>
      <c r="F342" s="448"/>
      <c r="G342" s="449"/>
      <c r="H342" s="448"/>
      <c r="I342" s="448"/>
      <c r="J342" s="450"/>
      <c r="K342" s="451"/>
      <c r="L342" s="451"/>
      <c r="M342" s="429" t="str">
        <f t="shared" si="7"/>
        <v/>
      </c>
      <c r="N342" s="451"/>
      <c r="O342" s="430" t="str">
        <f t="shared" si="9"/>
        <v/>
      </c>
      <c r="P342" s="431"/>
      <c r="Q342" s="431"/>
      <c r="R342" s="431"/>
      <c r="S342" s="431"/>
    </row>
    <row r="343">
      <c r="A343" s="444"/>
      <c r="B343" s="444"/>
      <c r="C343" s="445"/>
      <c r="D343" s="446"/>
      <c r="E343" s="447"/>
      <c r="F343" s="448"/>
      <c r="G343" s="449"/>
      <c r="H343" s="448"/>
      <c r="I343" s="448"/>
      <c r="J343" s="450"/>
      <c r="K343" s="451"/>
      <c r="L343" s="451"/>
      <c r="M343" s="429" t="str">
        <f t="shared" si="7"/>
        <v/>
      </c>
      <c r="N343" s="451"/>
      <c r="O343" s="430" t="str">
        <f t="shared" si="9"/>
        <v/>
      </c>
      <c r="P343" s="431"/>
      <c r="Q343" s="431"/>
      <c r="R343" s="431"/>
      <c r="S343" s="431"/>
    </row>
    <row r="344">
      <c r="A344" s="444"/>
      <c r="B344" s="444"/>
      <c r="C344" s="445"/>
      <c r="D344" s="446"/>
      <c r="E344" s="447"/>
      <c r="F344" s="448"/>
      <c r="G344" s="449"/>
      <c r="H344" s="448"/>
      <c r="I344" s="448"/>
      <c r="J344" s="450"/>
      <c r="K344" s="451"/>
      <c r="L344" s="451"/>
      <c r="M344" s="429" t="str">
        <f t="shared" si="7"/>
        <v/>
      </c>
      <c r="N344" s="451"/>
      <c r="O344" s="430" t="str">
        <f t="shared" si="9"/>
        <v/>
      </c>
      <c r="P344" s="431"/>
      <c r="Q344" s="431"/>
      <c r="R344" s="431"/>
      <c r="S344" s="431"/>
    </row>
    <row r="345">
      <c r="A345" s="444"/>
      <c r="B345" s="444"/>
      <c r="C345" s="445"/>
      <c r="D345" s="446"/>
      <c r="E345" s="447"/>
      <c r="F345" s="448"/>
      <c r="G345" s="449"/>
      <c r="H345" s="448"/>
      <c r="I345" s="448"/>
      <c r="J345" s="450"/>
      <c r="K345" s="451"/>
      <c r="L345" s="451"/>
      <c r="M345" s="429" t="str">
        <f t="shared" si="7"/>
        <v/>
      </c>
      <c r="N345" s="451"/>
      <c r="O345" s="430" t="str">
        <f t="shared" si="9"/>
        <v/>
      </c>
      <c r="P345" s="431"/>
      <c r="Q345" s="431"/>
      <c r="R345" s="431"/>
      <c r="S345" s="431"/>
    </row>
    <row r="346">
      <c r="A346" s="444"/>
      <c r="B346" s="444"/>
      <c r="C346" s="445"/>
      <c r="D346" s="446"/>
      <c r="E346" s="447"/>
      <c r="F346" s="448"/>
      <c r="G346" s="449"/>
      <c r="H346" s="448"/>
      <c r="I346" s="448"/>
      <c r="J346" s="450"/>
      <c r="K346" s="451"/>
      <c r="L346" s="451"/>
      <c r="M346" s="429" t="str">
        <f t="shared" si="7"/>
        <v/>
      </c>
      <c r="N346" s="451"/>
      <c r="O346" s="430" t="str">
        <f t="shared" si="9"/>
        <v/>
      </c>
      <c r="P346" s="431"/>
      <c r="Q346" s="431"/>
      <c r="R346" s="431"/>
      <c r="S346" s="431"/>
    </row>
    <row r="347">
      <c r="A347" s="444"/>
      <c r="B347" s="444"/>
      <c r="C347" s="445"/>
      <c r="D347" s="446"/>
      <c r="E347" s="447"/>
      <c r="F347" s="448"/>
      <c r="G347" s="449"/>
      <c r="H347" s="448"/>
      <c r="I347" s="448"/>
      <c r="J347" s="450"/>
      <c r="K347" s="451"/>
      <c r="L347" s="451"/>
      <c r="M347" s="429" t="str">
        <f t="shared" si="7"/>
        <v/>
      </c>
      <c r="N347" s="451"/>
      <c r="O347" s="430" t="str">
        <f t="shared" si="9"/>
        <v/>
      </c>
      <c r="P347" s="431"/>
      <c r="Q347" s="431"/>
      <c r="R347" s="431"/>
      <c r="S347" s="431"/>
    </row>
    <row r="348">
      <c r="A348" s="444"/>
      <c r="B348" s="444"/>
      <c r="C348" s="445"/>
      <c r="D348" s="446"/>
      <c r="E348" s="447"/>
      <c r="F348" s="448"/>
      <c r="G348" s="449"/>
      <c r="H348" s="448"/>
      <c r="I348" s="448"/>
      <c r="J348" s="450"/>
      <c r="K348" s="451"/>
      <c r="L348" s="451"/>
      <c r="M348" s="429" t="str">
        <f t="shared" si="7"/>
        <v/>
      </c>
      <c r="N348" s="451"/>
      <c r="O348" s="430" t="str">
        <f t="shared" si="9"/>
        <v/>
      </c>
      <c r="P348" s="431"/>
      <c r="Q348" s="431"/>
      <c r="R348" s="431"/>
      <c r="S348" s="431"/>
    </row>
    <row r="349">
      <c r="A349" s="444"/>
      <c r="B349" s="444"/>
      <c r="C349" s="445"/>
      <c r="D349" s="446"/>
      <c r="E349" s="447"/>
      <c r="F349" s="448"/>
      <c r="G349" s="449"/>
      <c r="H349" s="448"/>
      <c r="I349" s="448"/>
      <c r="J349" s="450"/>
      <c r="K349" s="451"/>
      <c r="L349" s="451"/>
      <c r="M349" s="429" t="str">
        <f t="shared" si="7"/>
        <v/>
      </c>
      <c r="N349" s="451"/>
      <c r="O349" s="430" t="str">
        <f t="shared" si="9"/>
        <v/>
      </c>
      <c r="P349" s="431"/>
      <c r="Q349" s="431"/>
      <c r="R349" s="431"/>
      <c r="S349" s="431"/>
    </row>
    <row r="350">
      <c r="A350" s="444"/>
      <c r="B350" s="444"/>
      <c r="C350" s="445"/>
      <c r="D350" s="446"/>
      <c r="E350" s="447"/>
      <c r="F350" s="448"/>
      <c r="G350" s="449"/>
      <c r="H350" s="448"/>
      <c r="I350" s="448"/>
      <c r="J350" s="450"/>
      <c r="K350" s="451"/>
      <c r="L350" s="451"/>
      <c r="M350" s="429" t="str">
        <f t="shared" si="7"/>
        <v/>
      </c>
      <c r="N350" s="451"/>
      <c r="O350" s="430" t="str">
        <f t="shared" si="9"/>
        <v/>
      </c>
      <c r="P350" s="431"/>
      <c r="Q350" s="431"/>
      <c r="R350" s="431"/>
      <c r="S350" s="431"/>
    </row>
    <row r="351">
      <c r="A351" s="444"/>
      <c r="B351" s="444"/>
      <c r="C351" s="445"/>
      <c r="D351" s="446"/>
      <c r="E351" s="447"/>
      <c r="F351" s="448"/>
      <c r="G351" s="449"/>
      <c r="H351" s="448"/>
      <c r="I351" s="448"/>
      <c r="J351" s="450"/>
      <c r="K351" s="451"/>
      <c r="L351" s="451"/>
      <c r="M351" s="429" t="str">
        <f t="shared" si="7"/>
        <v/>
      </c>
      <c r="N351" s="451"/>
      <c r="O351" s="430" t="str">
        <f t="shared" si="9"/>
        <v/>
      </c>
      <c r="P351" s="431"/>
      <c r="Q351" s="431"/>
      <c r="R351" s="431"/>
      <c r="S351" s="431"/>
    </row>
    <row r="352">
      <c r="A352" s="444"/>
      <c r="B352" s="444"/>
      <c r="C352" s="445"/>
      <c r="D352" s="446"/>
      <c r="E352" s="447"/>
      <c r="F352" s="448"/>
      <c r="G352" s="449"/>
      <c r="H352" s="448"/>
      <c r="I352" s="448"/>
      <c r="J352" s="450"/>
      <c r="K352" s="451"/>
      <c r="L352" s="451"/>
      <c r="M352" s="429" t="str">
        <f t="shared" si="7"/>
        <v/>
      </c>
      <c r="N352" s="451"/>
      <c r="O352" s="430" t="str">
        <f t="shared" si="9"/>
        <v/>
      </c>
      <c r="P352" s="431"/>
      <c r="Q352" s="431"/>
      <c r="R352" s="431"/>
      <c r="S352" s="431"/>
    </row>
    <row r="353">
      <c r="A353" s="444"/>
      <c r="B353" s="444"/>
      <c r="C353" s="445"/>
      <c r="D353" s="446"/>
      <c r="E353" s="447"/>
      <c r="F353" s="448"/>
      <c r="G353" s="449"/>
      <c r="H353" s="448"/>
      <c r="I353" s="448"/>
      <c r="J353" s="450"/>
      <c r="K353" s="451"/>
      <c r="L353" s="451"/>
      <c r="M353" s="429" t="str">
        <f t="shared" si="7"/>
        <v/>
      </c>
      <c r="N353" s="451"/>
      <c r="O353" s="430" t="str">
        <f t="shared" si="9"/>
        <v/>
      </c>
      <c r="P353" s="431"/>
      <c r="Q353" s="431"/>
      <c r="R353" s="431"/>
      <c r="S353" s="431"/>
    </row>
    <row r="354">
      <c r="A354" s="444"/>
      <c r="B354" s="444"/>
      <c r="C354" s="445"/>
      <c r="D354" s="446"/>
      <c r="E354" s="447"/>
      <c r="F354" s="448"/>
      <c r="G354" s="449"/>
      <c r="H354" s="448"/>
      <c r="I354" s="448"/>
      <c r="J354" s="450"/>
      <c r="K354" s="451"/>
      <c r="L354" s="451"/>
      <c r="M354" s="429" t="str">
        <f t="shared" si="7"/>
        <v/>
      </c>
      <c r="N354" s="451"/>
      <c r="O354" s="430" t="str">
        <f t="shared" si="9"/>
        <v/>
      </c>
      <c r="P354" s="431"/>
      <c r="Q354" s="431"/>
      <c r="R354" s="431"/>
      <c r="S354" s="431"/>
    </row>
    <row r="355">
      <c r="A355" s="444"/>
      <c r="B355" s="444"/>
      <c r="C355" s="445"/>
      <c r="D355" s="446"/>
      <c r="E355" s="447"/>
      <c r="F355" s="448"/>
      <c r="G355" s="449"/>
      <c r="H355" s="448"/>
      <c r="I355" s="448"/>
      <c r="J355" s="450"/>
      <c r="K355" s="451"/>
      <c r="L355" s="451"/>
      <c r="M355" s="429" t="str">
        <f t="shared" si="7"/>
        <v/>
      </c>
      <c r="N355" s="451"/>
      <c r="O355" s="430" t="str">
        <f t="shared" si="9"/>
        <v/>
      </c>
      <c r="P355" s="431"/>
      <c r="Q355" s="431"/>
      <c r="R355" s="431"/>
      <c r="S355" s="431"/>
    </row>
    <row r="356">
      <c r="A356" s="444"/>
      <c r="B356" s="444"/>
      <c r="C356" s="445"/>
      <c r="D356" s="446"/>
      <c r="E356" s="447"/>
      <c r="F356" s="448"/>
      <c r="G356" s="449"/>
      <c r="H356" s="448"/>
      <c r="I356" s="448"/>
      <c r="J356" s="450"/>
      <c r="K356" s="451"/>
      <c r="L356" s="451"/>
      <c r="M356" s="429" t="str">
        <f t="shared" si="7"/>
        <v/>
      </c>
      <c r="N356" s="451"/>
      <c r="O356" s="430" t="str">
        <f t="shared" si="9"/>
        <v/>
      </c>
      <c r="P356" s="431"/>
      <c r="Q356" s="431"/>
      <c r="R356" s="431"/>
      <c r="S356" s="431"/>
    </row>
    <row r="357">
      <c r="A357" s="444"/>
      <c r="B357" s="444"/>
      <c r="C357" s="445"/>
      <c r="D357" s="446"/>
      <c r="E357" s="447"/>
      <c r="F357" s="448"/>
      <c r="G357" s="449"/>
      <c r="H357" s="448"/>
      <c r="I357" s="448"/>
      <c r="J357" s="450"/>
      <c r="K357" s="451"/>
      <c r="L357" s="451"/>
      <c r="M357" s="429" t="str">
        <f t="shared" si="7"/>
        <v/>
      </c>
      <c r="N357" s="451"/>
      <c r="O357" s="430" t="str">
        <f t="shared" si="9"/>
        <v/>
      </c>
      <c r="P357" s="431"/>
      <c r="Q357" s="431"/>
      <c r="R357" s="431"/>
      <c r="S357" s="431"/>
    </row>
    <row r="358">
      <c r="A358" s="444"/>
      <c r="B358" s="444"/>
      <c r="C358" s="445"/>
      <c r="D358" s="446"/>
      <c r="E358" s="447"/>
      <c r="F358" s="448"/>
      <c r="G358" s="449"/>
      <c r="H358" s="448"/>
      <c r="I358" s="448"/>
      <c r="J358" s="450"/>
      <c r="K358" s="451"/>
      <c r="L358" s="451"/>
      <c r="M358" s="429" t="str">
        <f t="shared" si="7"/>
        <v/>
      </c>
      <c r="N358" s="451"/>
      <c r="O358" s="430" t="str">
        <f t="shared" si="9"/>
        <v/>
      </c>
      <c r="P358" s="431"/>
      <c r="Q358" s="431"/>
      <c r="R358" s="431"/>
      <c r="S358" s="431"/>
    </row>
    <row r="359">
      <c r="A359" s="444"/>
      <c r="B359" s="444"/>
      <c r="C359" s="445"/>
      <c r="D359" s="446"/>
      <c r="E359" s="447"/>
      <c r="F359" s="448"/>
      <c r="G359" s="449"/>
      <c r="H359" s="448"/>
      <c r="I359" s="448"/>
      <c r="J359" s="450"/>
      <c r="K359" s="451"/>
      <c r="L359" s="451"/>
      <c r="M359" s="429" t="str">
        <f t="shared" si="7"/>
        <v/>
      </c>
      <c r="N359" s="451"/>
      <c r="O359" s="430" t="str">
        <f t="shared" si="9"/>
        <v/>
      </c>
      <c r="P359" s="431"/>
      <c r="Q359" s="431"/>
      <c r="R359" s="431"/>
      <c r="S359" s="431"/>
    </row>
    <row r="360">
      <c r="A360" s="444"/>
      <c r="B360" s="444"/>
      <c r="C360" s="445"/>
      <c r="D360" s="446"/>
      <c r="E360" s="447"/>
      <c r="F360" s="448"/>
      <c r="G360" s="449"/>
      <c r="H360" s="448"/>
      <c r="I360" s="448"/>
      <c r="J360" s="450"/>
      <c r="K360" s="451"/>
      <c r="L360" s="451"/>
      <c r="M360" s="429" t="str">
        <f t="shared" si="7"/>
        <v/>
      </c>
      <c r="N360" s="451"/>
      <c r="O360" s="430" t="str">
        <f t="shared" si="9"/>
        <v/>
      </c>
      <c r="P360" s="431"/>
      <c r="Q360" s="431"/>
      <c r="R360" s="431"/>
      <c r="S360" s="431"/>
    </row>
    <row r="361">
      <c r="A361" s="444"/>
      <c r="B361" s="444"/>
      <c r="C361" s="445"/>
      <c r="D361" s="446"/>
      <c r="E361" s="447"/>
      <c r="F361" s="448"/>
      <c r="G361" s="449"/>
      <c r="H361" s="448"/>
      <c r="I361" s="448"/>
      <c r="J361" s="450"/>
      <c r="K361" s="451"/>
      <c r="L361" s="451"/>
      <c r="M361" s="429" t="str">
        <f t="shared" si="7"/>
        <v/>
      </c>
      <c r="N361" s="451"/>
      <c r="O361" s="430" t="str">
        <f t="shared" si="9"/>
        <v/>
      </c>
      <c r="P361" s="431"/>
      <c r="Q361" s="431"/>
      <c r="R361" s="431"/>
      <c r="S361" s="431"/>
    </row>
    <row r="362">
      <c r="A362" s="444"/>
      <c r="B362" s="444"/>
      <c r="C362" s="445"/>
      <c r="D362" s="446"/>
      <c r="E362" s="447"/>
      <c r="F362" s="448"/>
      <c r="G362" s="449"/>
      <c r="H362" s="448"/>
      <c r="I362" s="448"/>
      <c r="J362" s="450"/>
      <c r="K362" s="451"/>
      <c r="L362" s="451"/>
      <c r="M362" s="429" t="str">
        <f t="shared" si="7"/>
        <v/>
      </c>
      <c r="N362" s="451"/>
      <c r="O362" s="430" t="str">
        <f t="shared" si="9"/>
        <v/>
      </c>
      <c r="P362" s="431"/>
      <c r="Q362" s="431"/>
      <c r="R362" s="431"/>
      <c r="S362" s="431"/>
    </row>
    <row r="363">
      <c r="A363" s="444"/>
      <c r="B363" s="444"/>
      <c r="C363" s="445"/>
      <c r="D363" s="446"/>
      <c r="E363" s="447"/>
      <c r="F363" s="448"/>
      <c r="G363" s="449"/>
      <c r="H363" s="448"/>
      <c r="I363" s="448"/>
      <c r="J363" s="450"/>
      <c r="K363" s="451"/>
      <c r="L363" s="451"/>
      <c r="M363" s="429" t="str">
        <f t="shared" si="7"/>
        <v/>
      </c>
      <c r="N363" s="451"/>
      <c r="O363" s="430" t="str">
        <f t="shared" si="9"/>
        <v/>
      </c>
      <c r="P363" s="431"/>
      <c r="Q363" s="431"/>
      <c r="R363" s="431"/>
      <c r="S363" s="431"/>
    </row>
    <row r="364">
      <c r="A364" s="444"/>
      <c r="B364" s="444"/>
      <c r="C364" s="445"/>
      <c r="D364" s="446"/>
      <c r="E364" s="447"/>
      <c r="F364" s="448"/>
      <c r="G364" s="449"/>
      <c r="H364" s="448"/>
      <c r="I364" s="448"/>
      <c r="J364" s="450"/>
      <c r="K364" s="451"/>
      <c r="L364" s="451"/>
      <c r="M364" s="429" t="str">
        <f t="shared" si="7"/>
        <v/>
      </c>
      <c r="N364" s="451"/>
      <c r="O364" s="430" t="str">
        <f t="shared" si="9"/>
        <v/>
      </c>
      <c r="P364" s="431"/>
      <c r="Q364" s="431"/>
      <c r="R364" s="431"/>
      <c r="S364" s="431"/>
    </row>
    <row r="365">
      <c r="A365" s="444"/>
      <c r="B365" s="444"/>
      <c r="C365" s="445"/>
      <c r="D365" s="446"/>
      <c r="E365" s="447"/>
      <c r="F365" s="448"/>
      <c r="G365" s="449"/>
      <c r="H365" s="448"/>
      <c r="I365" s="448"/>
      <c r="J365" s="450"/>
      <c r="K365" s="451"/>
      <c r="L365" s="451"/>
      <c r="M365" s="429" t="str">
        <f t="shared" si="7"/>
        <v/>
      </c>
      <c r="N365" s="451"/>
      <c r="O365" s="430" t="str">
        <f t="shared" si="9"/>
        <v/>
      </c>
      <c r="P365" s="431"/>
      <c r="Q365" s="431"/>
      <c r="R365" s="431"/>
      <c r="S365" s="431"/>
    </row>
    <row r="366">
      <c r="A366" s="444"/>
      <c r="B366" s="444"/>
      <c r="C366" s="445"/>
      <c r="D366" s="446"/>
      <c r="E366" s="447"/>
      <c r="F366" s="448"/>
      <c r="G366" s="449"/>
      <c r="H366" s="448"/>
      <c r="I366" s="448"/>
      <c r="J366" s="450"/>
      <c r="K366" s="451"/>
      <c r="L366" s="451"/>
      <c r="M366" s="429" t="str">
        <f t="shared" si="7"/>
        <v/>
      </c>
      <c r="N366" s="451"/>
      <c r="O366" s="430" t="str">
        <f t="shared" si="9"/>
        <v/>
      </c>
      <c r="P366" s="431"/>
      <c r="Q366" s="431"/>
      <c r="R366" s="431"/>
      <c r="S366" s="431"/>
    </row>
    <row r="367">
      <c r="A367" s="444"/>
      <c r="B367" s="444"/>
      <c r="C367" s="445"/>
      <c r="D367" s="446"/>
      <c r="E367" s="447"/>
      <c r="F367" s="448"/>
      <c r="G367" s="449"/>
      <c r="H367" s="448"/>
      <c r="I367" s="448"/>
      <c r="J367" s="450"/>
      <c r="K367" s="451"/>
      <c r="L367" s="451"/>
      <c r="M367" s="429" t="str">
        <f t="shared" si="7"/>
        <v/>
      </c>
      <c r="N367" s="451"/>
      <c r="O367" s="430" t="str">
        <f t="shared" si="9"/>
        <v/>
      </c>
      <c r="P367" s="431"/>
      <c r="Q367" s="431"/>
      <c r="R367" s="431"/>
      <c r="S367" s="431"/>
    </row>
    <row r="368">
      <c r="A368" s="444"/>
      <c r="B368" s="444"/>
      <c r="C368" s="445"/>
      <c r="D368" s="446"/>
      <c r="E368" s="447"/>
      <c r="F368" s="448"/>
      <c r="G368" s="449"/>
      <c r="H368" s="448"/>
      <c r="I368" s="448"/>
      <c r="J368" s="450"/>
      <c r="K368" s="451"/>
      <c r="L368" s="451"/>
      <c r="M368" s="429" t="str">
        <f t="shared" si="7"/>
        <v/>
      </c>
      <c r="N368" s="451"/>
      <c r="O368" s="430" t="str">
        <f t="shared" si="9"/>
        <v/>
      </c>
      <c r="P368" s="431"/>
      <c r="Q368" s="431"/>
      <c r="R368" s="431"/>
      <c r="S368" s="431"/>
    </row>
    <row r="369">
      <c r="A369" s="444"/>
      <c r="B369" s="444"/>
      <c r="C369" s="445"/>
      <c r="D369" s="446"/>
      <c r="E369" s="447"/>
      <c r="F369" s="448"/>
      <c r="G369" s="449"/>
      <c r="H369" s="448"/>
      <c r="I369" s="448"/>
      <c r="J369" s="450"/>
      <c r="K369" s="451"/>
      <c r="L369" s="451"/>
      <c r="M369" s="429" t="str">
        <f t="shared" si="7"/>
        <v/>
      </c>
      <c r="N369" s="451"/>
      <c r="O369" s="430" t="str">
        <f t="shared" si="9"/>
        <v/>
      </c>
      <c r="P369" s="431"/>
      <c r="Q369" s="431"/>
      <c r="R369" s="431"/>
      <c r="S369" s="431"/>
    </row>
    <row r="370">
      <c r="A370" s="444"/>
      <c r="B370" s="444"/>
      <c r="C370" s="445"/>
      <c r="D370" s="446"/>
      <c r="E370" s="447"/>
      <c r="F370" s="448"/>
      <c r="G370" s="449"/>
      <c r="H370" s="448"/>
      <c r="I370" s="448"/>
      <c r="J370" s="450"/>
      <c r="K370" s="451"/>
      <c r="L370" s="451"/>
      <c r="M370" s="429" t="str">
        <f t="shared" si="7"/>
        <v/>
      </c>
      <c r="N370" s="451"/>
      <c r="O370" s="430" t="str">
        <f t="shared" si="9"/>
        <v/>
      </c>
      <c r="P370" s="431"/>
      <c r="Q370" s="431"/>
      <c r="R370" s="431"/>
      <c r="S370" s="431"/>
    </row>
    <row r="371">
      <c r="A371" s="444"/>
      <c r="B371" s="444"/>
      <c r="C371" s="445"/>
      <c r="D371" s="446"/>
      <c r="E371" s="447"/>
      <c r="F371" s="448"/>
      <c r="G371" s="449"/>
      <c r="H371" s="448"/>
      <c r="I371" s="448"/>
      <c r="J371" s="450"/>
      <c r="K371" s="451"/>
      <c r="L371" s="451"/>
      <c r="M371" s="429" t="str">
        <f t="shared" si="7"/>
        <v/>
      </c>
      <c r="N371" s="451"/>
      <c r="O371" s="430" t="str">
        <f t="shared" si="9"/>
        <v/>
      </c>
      <c r="P371" s="431"/>
      <c r="Q371" s="431"/>
      <c r="R371" s="431"/>
      <c r="S371" s="431"/>
    </row>
    <row r="372">
      <c r="A372" s="444"/>
      <c r="B372" s="444"/>
      <c r="C372" s="445"/>
      <c r="D372" s="446"/>
      <c r="E372" s="447"/>
      <c r="F372" s="448"/>
      <c r="G372" s="449"/>
      <c r="H372" s="448"/>
      <c r="I372" s="448"/>
      <c r="J372" s="450"/>
      <c r="K372" s="451"/>
      <c r="L372" s="451"/>
      <c r="M372" s="429" t="str">
        <f t="shared" si="7"/>
        <v/>
      </c>
      <c r="N372" s="451"/>
      <c r="O372" s="451"/>
      <c r="P372" s="431"/>
      <c r="Q372" s="431"/>
      <c r="R372" s="431"/>
      <c r="S372" s="431"/>
    </row>
    <row r="373">
      <c r="A373" s="444"/>
      <c r="B373" s="444"/>
      <c r="C373" s="445"/>
      <c r="D373" s="446"/>
      <c r="E373" s="447"/>
      <c r="F373" s="448"/>
      <c r="G373" s="449"/>
      <c r="H373" s="448"/>
      <c r="I373" s="448"/>
      <c r="J373" s="450"/>
      <c r="K373" s="451"/>
      <c r="L373" s="451"/>
      <c r="M373" s="429" t="str">
        <f t="shared" si="7"/>
        <v/>
      </c>
      <c r="N373" s="451"/>
      <c r="O373" s="451"/>
      <c r="P373" s="431"/>
      <c r="Q373" s="431"/>
      <c r="R373" s="431"/>
      <c r="S373" s="431"/>
    </row>
    <row r="374">
      <c r="A374" s="444"/>
      <c r="B374" s="444"/>
      <c r="C374" s="445"/>
      <c r="D374" s="446"/>
      <c r="E374" s="447"/>
      <c r="F374" s="448"/>
      <c r="G374" s="449"/>
      <c r="H374" s="448"/>
      <c r="I374" s="448"/>
      <c r="J374" s="450"/>
      <c r="K374" s="451"/>
      <c r="L374" s="451"/>
      <c r="M374" s="429" t="str">
        <f t="shared" si="7"/>
        <v/>
      </c>
      <c r="N374" s="451"/>
      <c r="O374" s="451"/>
      <c r="P374" s="431"/>
      <c r="Q374" s="431"/>
      <c r="R374" s="431"/>
      <c r="S374" s="431"/>
    </row>
    <row r="375">
      <c r="A375" s="444"/>
      <c r="B375" s="444"/>
      <c r="C375" s="445"/>
      <c r="D375" s="446"/>
      <c r="E375" s="447"/>
      <c r="F375" s="448"/>
      <c r="G375" s="449"/>
      <c r="H375" s="448"/>
      <c r="I375" s="448"/>
      <c r="J375" s="450"/>
      <c r="K375" s="451"/>
      <c r="L375" s="451"/>
      <c r="M375" s="429" t="str">
        <f t="shared" si="7"/>
        <v/>
      </c>
      <c r="N375" s="451"/>
      <c r="O375" s="451"/>
      <c r="P375" s="431"/>
      <c r="Q375" s="431"/>
      <c r="R375" s="431"/>
      <c r="S375" s="431"/>
    </row>
    <row r="376">
      <c r="A376" s="444"/>
      <c r="B376" s="444"/>
      <c r="C376" s="445"/>
      <c r="D376" s="446"/>
      <c r="E376" s="447"/>
      <c r="F376" s="448"/>
      <c r="G376" s="449"/>
      <c r="H376" s="448"/>
      <c r="I376" s="448"/>
      <c r="J376" s="450"/>
      <c r="K376" s="451"/>
      <c r="L376" s="451"/>
      <c r="M376" s="429" t="str">
        <f t="shared" si="7"/>
        <v/>
      </c>
      <c r="N376" s="451"/>
      <c r="O376" s="451"/>
      <c r="P376" s="431"/>
      <c r="Q376" s="431"/>
      <c r="R376" s="431"/>
      <c r="S376" s="431"/>
    </row>
    <row r="377">
      <c r="A377" s="444"/>
      <c r="B377" s="444"/>
      <c r="C377" s="445"/>
      <c r="D377" s="446"/>
      <c r="E377" s="447"/>
      <c r="F377" s="448"/>
      <c r="G377" s="449"/>
      <c r="H377" s="448"/>
      <c r="I377" s="448"/>
      <c r="J377" s="450"/>
      <c r="K377" s="451"/>
      <c r="L377" s="451"/>
      <c r="M377" s="429" t="str">
        <f t="shared" si="7"/>
        <v/>
      </c>
      <c r="N377" s="451"/>
      <c r="O377" s="451"/>
      <c r="P377" s="431"/>
      <c r="Q377" s="431"/>
      <c r="R377" s="431"/>
      <c r="S377" s="431"/>
    </row>
    <row r="378">
      <c r="A378" s="444"/>
      <c r="B378" s="444"/>
      <c r="C378" s="445"/>
      <c r="D378" s="446"/>
      <c r="E378" s="447"/>
      <c r="F378" s="448"/>
      <c r="G378" s="449"/>
      <c r="H378" s="448"/>
      <c r="I378" s="448"/>
      <c r="J378" s="450"/>
      <c r="K378" s="451"/>
      <c r="L378" s="451"/>
      <c r="M378" s="429" t="str">
        <f t="shared" si="7"/>
        <v/>
      </c>
      <c r="N378" s="451"/>
      <c r="O378" s="451"/>
      <c r="P378" s="431"/>
      <c r="Q378" s="431"/>
      <c r="R378" s="431"/>
      <c r="S378" s="431"/>
    </row>
    <row r="379">
      <c r="A379" s="444"/>
      <c r="B379" s="444"/>
      <c r="C379" s="445"/>
      <c r="D379" s="446"/>
      <c r="E379" s="447"/>
      <c r="F379" s="448"/>
      <c r="G379" s="449"/>
      <c r="H379" s="448"/>
      <c r="I379" s="448"/>
      <c r="J379" s="450"/>
      <c r="K379" s="451"/>
      <c r="L379" s="451"/>
      <c r="M379" s="429" t="str">
        <f t="shared" si="7"/>
        <v/>
      </c>
      <c r="N379" s="451"/>
      <c r="O379" s="451"/>
      <c r="P379" s="431"/>
      <c r="Q379" s="431"/>
      <c r="R379" s="431"/>
      <c r="S379" s="431"/>
    </row>
    <row r="380">
      <c r="A380" s="444"/>
      <c r="B380" s="444"/>
      <c r="C380" s="445"/>
      <c r="D380" s="446"/>
      <c r="E380" s="447"/>
      <c r="F380" s="448"/>
      <c r="G380" s="449"/>
      <c r="H380" s="448"/>
      <c r="I380" s="448"/>
      <c r="J380" s="450"/>
      <c r="K380" s="451"/>
      <c r="L380" s="451"/>
      <c r="M380" s="429" t="str">
        <f t="shared" si="7"/>
        <v/>
      </c>
      <c r="N380" s="451"/>
      <c r="O380" s="451"/>
      <c r="P380" s="431"/>
      <c r="Q380" s="431"/>
      <c r="R380" s="431"/>
      <c r="S380" s="431"/>
    </row>
    <row r="381">
      <c r="A381" s="444"/>
      <c r="B381" s="444"/>
      <c r="C381" s="445"/>
      <c r="D381" s="446"/>
      <c r="E381" s="447"/>
      <c r="F381" s="448"/>
      <c r="G381" s="449"/>
      <c r="H381" s="448"/>
      <c r="I381" s="448"/>
      <c r="J381" s="450"/>
      <c r="K381" s="451"/>
      <c r="L381" s="451"/>
      <c r="M381" s="429" t="str">
        <f t="shared" si="7"/>
        <v/>
      </c>
      <c r="N381" s="451"/>
      <c r="O381" s="451"/>
      <c r="P381" s="431"/>
      <c r="Q381" s="431"/>
      <c r="R381" s="431"/>
      <c r="S381" s="431"/>
    </row>
    <row r="382">
      <c r="A382" s="444"/>
      <c r="B382" s="444"/>
      <c r="C382" s="445"/>
      <c r="D382" s="446"/>
      <c r="E382" s="447"/>
      <c r="F382" s="448"/>
      <c r="G382" s="449"/>
      <c r="H382" s="448"/>
      <c r="I382" s="448"/>
      <c r="J382" s="450"/>
      <c r="K382" s="451"/>
      <c r="L382" s="451"/>
      <c r="M382" s="429" t="str">
        <f t="shared" si="7"/>
        <v/>
      </c>
      <c r="N382" s="451"/>
      <c r="O382" s="451"/>
      <c r="P382" s="431"/>
      <c r="Q382" s="431"/>
      <c r="R382" s="431"/>
      <c r="S382" s="431"/>
    </row>
    <row r="383">
      <c r="A383" s="444"/>
      <c r="B383" s="444"/>
      <c r="C383" s="445"/>
      <c r="D383" s="446"/>
      <c r="E383" s="447"/>
      <c r="F383" s="448"/>
      <c r="G383" s="449"/>
      <c r="H383" s="448"/>
      <c r="I383" s="448"/>
      <c r="J383" s="450"/>
      <c r="K383" s="451"/>
      <c r="L383" s="451"/>
      <c r="M383" s="429" t="str">
        <f t="shared" si="7"/>
        <v/>
      </c>
      <c r="N383" s="451"/>
      <c r="O383" s="451"/>
      <c r="P383" s="431"/>
      <c r="Q383" s="431"/>
      <c r="R383" s="431"/>
      <c r="S383" s="431"/>
    </row>
    <row r="384">
      <c r="A384" s="444"/>
      <c r="B384" s="444"/>
      <c r="C384" s="445"/>
      <c r="D384" s="446"/>
      <c r="E384" s="447"/>
      <c r="F384" s="448"/>
      <c r="G384" s="449"/>
      <c r="H384" s="448"/>
      <c r="I384" s="448"/>
      <c r="J384" s="450"/>
      <c r="K384" s="451"/>
      <c r="L384" s="451"/>
      <c r="M384" s="429" t="str">
        <f t="shared" si="7"/>
        <v/>
      </c>
      <c r="N384" s="451"/>
      <c r="O384" s="451"/>
      <c r="P384" s="431"/>
      <c r="Q384" s="431"/>
      <c r="R384" s="431"/>
      <c r="S384" s="431"/>
    </row>
    <row r="385">
      <c r="A385" s="444"/>
      <c r="B385" s="444"/>
      <c r="C385" s="445"/>
      <c r="D385" s="446"/>
      <c r="E385" s="447"/>
      <c r="F385" s="448"/>
      <c r="G385" s="449"/>
      <c r="H385" s="448"/>
      <c r="I385" s="448"/>
      <c r="J385" s="450"/>
      <c r="K385" s="451"/>
      <c r="L385" s="451"/>
      <c r="M385" s="429" t="str">
        <f t="shared" si="7"/>
        <v/>
      </c>
      <c r="N385" s="451"/>
      <c r="O385" s="451"/>
      <c r="P385" s="431"/>
      <c r="Q385" s="431"/>
      <c r="R385" s="431"/>
      <c r="S385" s="431"/>
    </row>
    <row r="386">
      <c r="A386" s="444"/>
      <c r="B386" s="444"/>
      <c r="C386" s="445"/>
      <c r="D386" s="446"/>
      <c r="E386" s="447"/>
      <c r="F386" s="448"/>
      <c r="G386" s="449"/>
      <c r="H386" s="448"/>
      <c r="I386" s="448"/>
      <c r="J386" s="450"/>
      <c r="K386" s="451"/>
      <c r="L386" s="451"/>
      <c r="M386" s="429" t="str">
        <f t="shared" si="7"/>
        <v/>
      </c>
      <c r="N386" s="451"/>
      <c r="O386" s="451"/>
      <c r="P386" s="431"/>
      <c r="Q386" s="431"/>
      <c r="R386" s="431"/>
      <c r="S386" s="431"/>
    </row>
    <row r="387">
      <c r="A387" s="444"/>
      <c r="B387" s="444"/>
      <c r="C387" s="445"/>
      <c r="D387" s="446"/>
      <c r="E387" s="447"/>
      <c r="F387" s="448"/>
      <c r="G387" s="449"/>
      <c r="H387" s="448"/>
      <c r="I387" s="448"/>
      <c r="J387" s="450"/>
      <c r="K387" s="451"/>
      <c r="L387" s="451"/>
      <c r="M387" s="429" t="str">
        <f t="shared" si="7"/>
        <v/>
      </c>
      <c r="N387" s="451"/>
      <c r="O387" s="451"/>
      <c r="P387" s="431"/>
      <c r="Q387" s="431"/>
      <c r="R387" s="431"/>
      <c r="S387" s="431"/>
    </row>
    <row r="388">
      <c r="A388" s="444"/>
      <c r="B388" s="444"/>
      <c r="C388" s="445"/>
      <c r="D388" s="446"/>
      <c r="E388" s="447"/>
      <c r="F388" s="448"/>
      <c r="G388" s="449"/>
      <c r="H388" s="448"/>
      <c r="I388" s="448"/>
      <c r="J388" s="450"/>
      <c r="K388" s="451"/>
      <c r="L388" s="451"/>
      <c r="M388" s="429" t="str">
        <f t="shared" si="7"/>
        <v/>
      </c>
      <c r="N388" s="451"/>
      <c r="O388" s="451"/>
      <c r="P388" s="431"/>
      <c r="Q388" s="431"/>
      <c r="R388" s="431"/>
      <c r="S388" s="431"/>
    </row>
    <row r="389">
      <c r="A389" s="444"/>
      <c r="B389" s="444"/>
      <c r="C389" s="445"/>
      <c r="D389" s="446"/>
      <c r="E389" s="447"/>
      <c r="F389" s="448"/>
      <c r="G389" s="449"/>
      <c r="H389" s="448"/>
      <c r="I389" s="448"/>
      <c r="J389" s="450"/>
      <c r="K389" s="451"/>
      <c r="L389" s="451"/>
      <c r="M389" s="429" t="str">
        <f t="shared" si="7"/>
        <v/>
      </c>
      <c r="N389" s="451"/>
      <c r="O389" s="451"/>
      <c r="P389" s="431"/>
      <c r="Q389" s="431"/>
      <c r="R389" s="431"/>
      <c r="S389" s="431"/>
    </row>
    <row r="390">
      <c r="A390" s="444"/>
      <c r="B390" s="444"/>
      <c r="C390" s="445"/>
      <c r="D390" s="446"/>
      <c r="E390" s="447"/>
      <c r="F390" s="448"/>
      <c r="G390" s="449"/>
      <c r="H390" s="448"/>
      <c r="I390" s="448"/>
      <c r="J390" s="450"/>
      <c r="K390" s="451"/>
      <c r="L390" s="451"/>
      <c r="M390" s="429" t="str">
        <f t="shared" si="7"/>
        <v/>
      </c>
      <c r="N390" s="451"/>
      <c r="O390" s="451"/>
      <c r="P390" s="431"/>
      <c r="Q390" s="431"/>
      <c r="R390" s="431"/>
      <c r="S390" s="431"/>
    </row>
    <row r="391">
      <c r="A391" s="444"/>
      <c r="B391" s="444"/>
      <c r="C391" s="445"/>
      <c r="D391" s="446"/>
      <c r="E391" s="447"/>
      <c r="F391" s="448"/>
      <c r="G391" s="449"/>
      <c r="H391" s="448"/>
      <c r="I391" s="448"/>
      <c r="J391" s="450"/>
      <c r="K391" s="451"/>
      <c r="L391" s="451"/>
      <c r="M391" s="429" t="str">
        <f t="shared" si="7"/>
        <v/>
      </c>
      <c r="N391" s="451"/>
      <c r="O391" s="451"/>
      <c r="P391" s="431"/>
      <c r="Q391" s="431"/>
      <c r="R391" s="431"/>
      <c r="S391" s="431"/>
    </row>
    <row r="392">
      <c r="A392" s="444"/>
      <c r="B392" s="444"/>
      <c r="C392" s="445"/>
      <c r="D392" s="446"/>
      <c r="E392" s="447"/>
      <c r="F392" s="448"/>
      <c r="G392" s="449"/>
      <c r="H392" s="448"/>
      <c r="I392" s="448"/>
      <c r="J392" s="450"/>
      <c r="K392" s="451"/>
      <c r="L392" s="451"/>
      <c r="M392" s="429" t="str">
        <f t="shared" si="7"/>
        <v/>
      </c>
      <c r="N392" s="451"/>
      <c r="O392" s="451"/>
      <c r="P392" s="431"/>
      <c r="Q392" s="431"/>
      <c r="R392" s="431"/>
      <c r="S392" s="431"/>
    </row>
    <row r="393">
      <c r="A393" s="444"/>
      <c r="B393" s="444"/>
      <c r="C393" s="445"/>
      <c r="D393" s="446"/>
      <c r="E393" s="447"/>
      <c r="F393" s="448"/>
      <c r="G393" s="449"/>
      <c r="H393" s="448"/>
      <c r="I393" s="448"/>
      <c r="J393" s="450"/>
      <c r="K393" s="451"/>
      <c r="L393" s="451"/>
      <c r="M393" s="429" t="str">
        <f t="shared" si="7"/>
        <v/>
      </c>
      <c r="N393" s="451"/>
      <c r="O393" s="451"/>
      <c r="P393" s="431"/>
      <c r="Q393" s="431"/>
      <c r="R393" s="431"/>
      <c r="S393" s="431"/>
    </row>
    <row r="394">
      <c r="A394" s="444"/>
      <c r="B394" s="444"/>
      <c r="C394" s="445"/>
      <c r="D394" s="446"/>
      <c r="E394" s="447"/>
      <c r="F394" s="448"/>
      <c r="G394" s="449"/>
      <c r="H394" s="448"/>
      <c r="I394" s="448"/>
      <c r="J394" s="450"/>
      <c r="K394" s="451"/>
      <c r="L394" s="451"/>
      <c r="M394" s="429" t="str">
        <f t="shared" si="7"/>
        <v/>
      </c>
      <c r="N394" s="451"/>
      <c r="O394" s="451"/>
      <c r="P394" s="431"/>
      <c r="Q394" s="431"/>
      <c r="R394" s="431"/>
      <c r="S394" s="431"/>
    </row>
    <row r="395">
      <c r="A395" s="444"/>
      <c r="B395" s="444"/>
      <c r="C395" s="445"/>
      <c r="D395" s="446"/>
      <c r="E395" s="447"/>
      <c r="F395" s="448"/>
      <c r="G395" s="449"/>
      <c r="H395" s="448"/>
      <c r="I395" s="448"/>
      <c r="J395" s="450"/>
      <c r="K395" s="451"/>
      <c r="L395" s="451"/>
      <c r="M395" s="429" t="str">
        <f t="shared" si="7"/>
        <v/>
      </c>
      <c r="N395" s="451"/>
      <c r="O395" s="451"/>
      <c r="P395" s="431"/>
      <c r="Q395" s="431"/>
      <c r="R395" s="431"/>
      <c r="S395" s="431"/>
    </row>
    <row r="396">
      <c r="A396" s="444"/>
      <c r="B396" s="444"/>
      <c r="C396" s="445"/>
      <c r="D396" s="446"/>
      <c r="E396" s="447"/>
      <c r="F396" s="448"/>
      <c r="G396" s="449"/>
      <c r="H396" s="448"/>
      <c r="I396" s="448"/>
      <c r="J396" s="450"/>
      <c r="K396" s="451"/>
      <c r="L396" s="451"/>
      <c r="M396" s="429" t="str">
        <f t="shared" si="7"/>
        <v/>
      </c>
      <c r="N396" s="451"/>
      <c r="O396" s="451"/>
      <c r="P396" s="431"/>
      <c r="Q396" s="431"/>
      <c r="R396" s="431"/>
      <c r="S396" s="431"/>
    </row>
    <row r="397">
      <c r="A397" s="444"/>
      <c r="B397" s="444"/>
      <c r="C397" s="445"/>
      <c r="D397" s="446"/>
      <c r="E397" s="447"/>
      <c r="F397" s="448"/>
      <c r="G397" s="449"/>
      <c r="H397" s="448"/>
      <c r="I397" s="448"/>
      <c r="J397" s="450"/>
      <c r="K397" s="451"/>
      <c r="L397" s="451"/>
      <c r="M397" s="429" t="str">
        <f t="shared" si="7"/>
        <v/>
      </c>
      <c r="N397" s="451"/>
      <c r="O397" s="451"/>
      <c r="P397" s="431"/>
      <c r="Q397" s="431"/>
      <c r="R397" s="431"/>
      <c r="S397" s="431"/>
    </row>
    <row r="398">
      <c r="A398" s="444"/>
      <c r="B398" s="444"/>
      <c r="C398" s="445"/>
      <c r="D398" s="446"/>
      <c r="E398" s="447"/>
      <c r="F398" s="448"/>
      <c r="G398" s="449"/>
      <c r="H398" s="448"/>
      <c r="I398" s="448"/>
      <c r="J398" s="450"/>
      <c r="K398" s="451"/>
      <c r="L398" s="451"/>
      <c r="M398" s="429" t="str">
        <f t="shared" si="7"/>
        <v/>
      </c>
      <c r="N398" s="451"/>
      <c r="O398" s="451"/>
      <c r="P398" s="431"/>
      <c r="Q398" s="431"/>
      <c r="R398" s="431"/>
      <c r="S398" s="431"/>
    </row>
    <row r="399">
      <c r="A399" s="444"/>
      <c r="B399" s="444"/>
      <c r="C399" s="445"/>
      <c r="D399" s="446"/>
      <c r="E399" s="447"/>
      <c r="F399" s="448"/>
      <c r="G399" s="449"/>
      <c r="H399" s="448"/>
      <c r="I399" s="448"/>
      <c r="J399" s="450"/>
      <c r="K399" s="451"/>
      <c r="L399" s="451"/>
      <c r="M399" s="429" t="str">
        <f t="shared" si="7"/>
        <v/>
      </c>
      <c r="N399" s="451"/>
      <c r="O399" s="451"/>
      <c r="P399" s="431"/>
      <c r="Q399" s="431"/>
      <c r="R399" s="431"/>
      <c r="S399" s="431"/>
    </row>
    <row r="400">
      <c r="A400" s="444"/>
      <c r="B400" s="444"/>
      <c r="C400" s="445"/>
      <c r="D400" s="446"/>
      <c r="E400" s="447"/>
      <c r="F400" s="448"/>
      <c r="G400" s="449"/>
      <c r="H400" s="448"/>
      <c r="I400" s="448"/>
      <c r="J400" s="450"/>
      <c r="K400" s="451"/>
      <c r="L400" s="451"/>
      <c r="M400" s="429" t="str">
        <f t="shared" si="7"/>
        <v/>
      </c>
      <c r="N400" s="451"/>
      <c r="O400" s="451"/>
      <c r="P400" s="431"/>
      <c r="Q400" s="431"/>
      <c r="R400" s="431"/>
      <c r="S400" s="431"/>
    </row>
    <row r="401">
      <c r="A401" s="444"/>
      <c r="B401" s="444"/>
      <c r="C401" s="445"/>
      <c r="D401" s="446"/>
      <c r="E401" s="447"/>
      <c r="F401" s="448"/>
      <c r="G401" s="449"/>
      <c r="H401" s="448"/>
      <c r="I401" s="448"/>
      <c r="J401" s="450"/>
      <c r="K401" s="451"/>
      <c r="L401" s="451"/>
      <c r="M401" s="429" t="str">
        <f t="shared" si="7"/>
        <v/>
      </c>
      <c r="N401" s="451"/>
      <c r="O401" s="451"/>
      <c r="P401" s="431"/>
      <c r="Q401" s="431"/>
      <c r="R401" s="431"/>
      <c r="S401" s="431"/>
    </row>
    <row r="402">
      <c r="A402" s="444"/>
      <c r="B402" s="444"/>
      <c r="C402" s="445"/>
      <c r="D402" s="446"/>
      <c r="E402" s="447"/>
      <c r="F402" s="448"/>
      <c r="G402" s="449"/>
      <c r="H402" s="448"/>
      <c r="I402" s="448"/>
      <c r="J402" s="450"/>
      <c r="K402" s="451"/>
      <c r="L402" s="451"/>
      <c r="M402" s="429" t="str">
        <f t="shared" si="7"/>
        <v/>
      </c>
      <c r="N402" s="451"/>
      <c r="O402" s="451"/>
      <c r="P402" s="431"/>
      <c r="Q402" s="431"/>
      <c r="R402" s="431"/>
      <c r="S402" s="431"/>
    </row>
    <row r="403">
      <c r="A403" s="444"/>
      <c r="B403" s="444"/>
      <c r="C403" s="445"/>
      <c r="D403" s="446"/>
      <c r="E403" s="447"/>
      <c r="F403" s="448"/>
      <c r="G403" s="449"/>
      <c r="H403" s="448"/>
      <c r="I403" s="448"/>
      <c r="J403" s="450"/>
      <c r="K403" s="451"/>
      <c r="L403" s="451"/>
      <c r="M403" s="429" t="str">
        <f t="shared" si="7"/>
        <v/>
      </c>
      <c r="N403" s="451"/>
      <c r="O403" s="451"/>
      <c r="P403" s="431"/>
      <c r="Q403" s="431"/>
      <c r="R403" s="431"/>
      <c r="S403" s="431"/>
    </row>
    <row r="404">
      <c r="A404" s="444"/>
      <c r="B404" s="444"/>
      <c r="C404" s="445"/>
      <c r="D404" s="446"/>
      <c r="E404" s="447"/>
      <c r="F404" s="448"/>
      <c r="G404" s="449"/>
      <c r="H404" s="448"/>
      <c r="I404" s="448"/>
      <c r="J404" s="450"/>
      <c r="K404" s="451"/>
      <c r="L404" s="451"/>
      <c r="M404" s="429" t="str">
        <f t="shared" si="7"/>
        <v/>
      </c>
      <c r="N404" s="451"/>
      <c r="O404" s="451"/>
      <c r="P404" s="431"/>
      <c r="Q404" s="431"/>
      <c r="R404" s="431"/>
      <c r="S404" s="431"/>
    </row>
    <row r="405">
      <c r="A405" s="444"/>
      <c r="B405" s="444"/>
      <c r="C405" s="445"/>
      <c r="D405" s="446"/>
      <c r="E405" s="447"/>
      <c r="F405" s="448"/>
      <c r="G405" s="449"/>
      <c r="H405" s="448"/>
      <c r="I405" s="448"/>
      <c r="J405" s="450"/>
      <c r="K405" s="451"/>
      <c r="L405" s="451"/>
      <c r="M405" s="429" t="str">
        <f t="shared" si="7"/>
        <v/>
      </c>
      <c r="N405" s="451"/>
      <c r="O405" s="451"/>
      <c r="P405" s="431"/>
      <c r="Q405" s="431"/>
      <c r="R405" s="431"/>
      <c r="S405" s="431"/>
    </row>
    <row r="406">
      <c r="A406" s="444"/>
      <c r="B406" s="444"/>
      <c r="C406" s="445"/>
      <c r="D406" s="446"/>
      <c r="E406" s="447"/>
      <c r="F406" s="448"/>
      <c r="G406" s="449"/>
      <c r="H406" s="448"/>
      <c r="I406" s="448"/>
      <c r="J406" s="450"/>
      <c r="K406" s="451"/>
      <c r="L406" s="451"/>
      <c r="M406" s="429" t="str">
        <f t="shared" si="7"/>
        <v/>
      </c>
      <c r="N406" s="451"/>
      <c r="O406" s="451"/>
      <c r="P406" s="431"/>
      <c r="Q406" s="431"/>
      <c r="R406" s="431"/>
      <c r="S406" s="431"/>
    </row>
    <row r="407">
      <c r="A407" s="444"/>
      <c r="B407" s="444"/>
      <c r="C407" s="445"/>
      <c r="D407" s="446"/>
      <c r="E407" s="447"/>
      <c r="F407" s="448"/>
      <c r="G407" s="449"/>
      <c r="H407" s="448"/>
      <c r="I407" s="448"/>
      <c r="J407" s="450"/>
      <c r="K407" s="451"/>
      <c r="L407" s="451"/>
      <c r="M407" s="429" t="str">
        <f t="shared" si="7"/>
        <v/>
      </c>
      <c r="N407" s="451"/>
      <c r="O407" s="451"/>
      <c r="P407" s="431"/>
      <c r="Q407" s="431"/>
      <c r="R407" s="431"/>
      <c r="S407" s="431"/>
    </row>
    <row r="408">
      <c r="A408" s="444"/>
      <c r="B408" s="444"/>
      <c r="C408" s="445"/>
      <c r="D408" s="446"/>
      <c r="E408" s="447"/>
      <c r="F408" s="448"/>
      <c r="G408" s="449"/>
      <c r="H408" s="448"/>
      <c r="I408" s="448"/>
      <c r="J408" s="450"/>
      <c r="K408" s="451"/>
      <c r="L408" s="451"/>
      <c r="M408" s="429" t="str">
        <f t="shared" si="7"/>
        <v/>
      </c>
      <c r="N408" s="451"/>
      <c r="O408" s="451"/>
      <c r="P408" s="431"/>
      <c r="Q408" s="431"/>
      <c r="R408" s="431"/>
      <c r="S408" s="431"/>
    </row>
    <row r="409">
      <c r="A409" s="444"/>
      <c r="B409" s="444"/>
      <c r="C409" s="445"/>
      <c r="D409" s="446"/>
      <c r="E409" s="447"/>
      <c r="F409" s="448"/>
      <c r="G409" s="449"/>
      <c r="H409" s="448"/>
      <c r="I409" s="448"/>
      <c r="J409" s="450"/>
      <c r="K409" s="451"/>
      <c r="L409" s="451"/>
      <c r="M409" s="429" t="str">
        <f t="shared" si="7"/>
        <v/>
      </c>
      <c r="N409" s="451"/>
      <c r="O409" s="451"/>
      <c r="P409" s="431"/>
      <c r="Q409" s="431"/>
      <c r="R409" s="431"/>
      <c r="S409" s="431"/>
    </row>
    <row r="410">
      <c r="A410" s="444"/>
      <c r="B410" s="444"/>
      <c r="C410" s="445"/>
      <c r="D410" s="446"/>
      <c r="E410" s="447"/>
      <c r="F410" s="448"/>
      <c r="G410" s="449"/>
      <c r="H410" s="448"/>
      <c r="I410" s="448"/>
      <c r="J410" s="450"/>
      <c r="K410" s="451"/>
      <c r="L410" s="451"/>
      <c r="M410" s="429" t="str">
        <f t="shared" si="7"/>
        <v/>
      </c>
      <c r="N410" s="451"/>
      <c r="O410" s="451"/>
      <c r="P410" s="431"/>
      <c r="Q410" s="431"/>
      <c r="R410" s="431"/>
      <c r="S410" s="431"/>
    </row>
    <row r="411">
      <c r="A411" s="444"/>
      <c r="B411" s="444"/>
      <c r="C411" s="445"/>
      <c r="D411" s="446"/>
      <c r="E411" s="447"/>
      <c r="F411" s="448"/>
      <c r="G411" s="449"/>
      <c r="H411" s="448"/>
      <c r="I411" s="448"/>
      <c r="J411" s="450"/>
      <c r="K411" s="451"/>
      <c r="L411" s="451"/>
      <c r="M411" s="429" t="str">
        <f t="shared" si="7"/>
        <v/>
      </c>
      <c r="N411" s="451"/>
      <c r="O411" s="451"/>
      <c r="P411" s="431"/>
      <c r="Q411" s="431"/>
      <c r="R411" s="431"/>
      <c r="S411" s="431"/>
    </row>
    <row r="412">
      <c r="A412" s="444"/>
      <c r="B412" s="444"/>
      <c r="C412" s="445"/>
      <c r="D412" s="446"/>
      <c r="E412" s="447"/>
      <c r="F412" s="448"/>
      <c r="G412" s="449"/>
      <c r="H412" s="448"/>
      <c r="I412" s="448"/>
      <c r="J412" s="450"/>
      <c r="K412" s="451"/>
      <c r="L412" s="451"/>
      <c r="M412" s="429" t="str">
        <f t="shared" si="7"/>
        <v/>
      </c>
      <c r="N412" s="451"/>
      <c r="O412" s="451"/>
      <c r="P412" s="431"/>
      <c r="Q412" s="431"/>
      <c r="R412" s="431"/>
      <c r="S412" s="431"/>
    </row>
    <row r="413">
      <c r="A413" s="444"/>
      <c r="B413" s="444"/>
      <c r="C413" s="445"/>
      <c r="D413" s="446"/>
      <c r="E413" s="447"/>
      <c r="F413" s="448"/>
      <c r="G413" s="449"/>
      <c r="H413" s="448"/>
      <c r="I413" s="448"/>
      <c r="J413" s="450"/>
      <c r="K413" s="451"/>
      <c r="L413" s="451"/>
      <c r="M413" s="429" t="str">
        <f t="shared" si="7"/>
        <v/>
      </c>
      <c r="N413" s="451"/>
      <c r="O413" s="451"/>
      <c r="P413" s="431"/>
      <c r="Q413" s="431"/>
      <c r="R413" s="431"/>
      <c r="S413" s="431"/>
    </row>
    <row r="414">
      <c r="A414" s="444"/>
      <c r="B414" s="444"/>
      <c r="C414" s="445"/>
      <c r="D414" s="446"/>
      <c r="E414" s="447"/>
      <c r="F414" s="448"/>
      <c r="G414" s="449"/>
      <c r="H414" s="448"/>
      <c r="I414" s="448"/>
      <c r="J414" s="450"/>
      <c r="K414" s="451"/>
      <c r="L414" s="451"/>
      <c r="M414" s="429" t="str">
        <f t="shared" si="7"/>
        <v/>
      </c>
      <c r="N414" s="451"/>
      <c r="O414" s="451"/>
      <c r="P414" s="431"/>
      <c r="Q414" s="431"/>
      <c r="R414" s="431"/>
      <c r="S414" s="431"/>
    </row>
    <row r="415">
      <c r="A415" s="444"/>
      <c r="B415" s="444"/>
      <c r="C415" s="445"/>
      <c r="D415" s="446"/>
      <c r="E415" s="447"/>
      <c r="F415" s="448"/>
      <c r="G415" s="449"/>
      <c r="H415" s="448"/>
      <c r="I415" s="448"/>
      <c r="J415" s="450"/>
      <c r="K415" s="451"/>
      <c r="L415" s="451"/>
      <c r="M415" s="429" t="str">
        <f t="shared" si="7"/>
        <v/>
      </c>
      <c r="N415" s="451"/>
      <c r="O415" s="451"/>
      <c r="P415" s="431"/>
      <c r="Q415" s="431"/>
      <c r="R415" s="431"/>
      <c r="S415" s="431"/>
    </row>
    <row r="416">
      <c r="A416" s="444"/>
      <c r="B416" s="444"/>
      <c r="C416" s="445"/>
      <c r="D416" s="446"/>
      <c r="E416" s="447"/>
      <c r="F416" s="448"/>
      <c r="G416" s="449"/>
      <c r="H416" s="448"/>
      <c r="I416" s="448"/>
      <c r="J416" s="450"/>
      <c r="K416" s="451"/>
      <c r="L416" s="451"/>
      <c r="M416" s="429" t="str">
        <f t="shared" si="7"/>
        <v/>
      </c>
      <c r="N416" s="451"/>
      <c r="O416" s="451"/>
      <c r="P416" s="431"/>
      <c r="Q416" s="431"/>
      <c r="R416" s="431"/>
      <c r="S416" s="431"/>
    </row>
    <row r="417">
      <c r="A417" s="444"/>
      <c r="B417" s="444"/>
      <c r="C417" s="445"/>
      <c r="D417" s="446"/>
      <c r="E417" s="447"/>
      <c r="F417" s="448"/>
      <c r="G417" s="449"/>
      <c r="H417" s="448"/>
      <c r="I417" s="448"/>
      <c r="J417" s="450"/>
      <c r="K417" s="451"/>
      <c r="L417" s="451"/>
      <c r="M417" s="429" t="str">
        <f t="shared" si="7"/>
        <v/>
      </c>
      <c r="N417" s="451"/>
      <c r="O417" s="451"/>
      <c r="P417" s="431"/>
      <c r="Q417" s="431"/>
      <c r="R417" s="431"/>
      <c r="S417" s="431"/>
    </row>
    <row r="418">
      <c r="A418" s="444"/>
      <c r="B418" s="444"/>
      <c r="C418" s="445"/>
      <c r="D418" s="446"/>
      <c r="E418" s="447"/>
      <c r="F418" s="448"/>
      <c r="G418" s="449"/>
      <c r="H418" s="448"/>
      <c r="I418" s="448"/>
      <c r="J418" s="450"/>
      <c r="K418" s="451"/>
      <c r="L418" s="451"/>
      <c r="M418" s="429" t="str">
        <f t="shared" si="7"/>
        <v/>
      </c>
      <c r="N418" s="451"/>
      <c r="O418" s="451"/>
      <c r="P418" s="431"/>
      <c r="Q418" s="431"/>
      <c r="R418" s="431"/>
      <c r="S418" s="431"/>
    </row>
    <row r="419">
      <c r="A419" s="444"/>
      <c r="B419" s="444"/>
      <c r="C419" s="445"/>
      <c r="D419" s="446"/>
      <c r="E419" s="447"/>
      <c r="F419" s="448"/>
      <c r="G419" s="449"/>
      <c r="H419" s="448"/>
      <c r="I419" s="448"/>
      <c r="J419" s="450"/>
      <c r="K419" s="451"/>
      <c r="L419" s="451"/>
      <c r="M419" s="429" t="str">
        <f t="shared" si="7"/>
        <v/>
      </c>
      <c r="N419" s="451"/>
      <c r="O419" s="451"/>
      <c r="P419" s="431"/>
      <c r="Q419" s="431"/>
      <c r="R419" s="431"/>
      <c r="S419" s="431"/>
    </row>
    <row r="420">
      <c r="A420" s="444"/>
      <c r="B420" s="444"/>
      <c r="C420" s="445"/>
      <c r="D420" s="446"/>
      <c r="E420" s="447"/>
      <c r="F420" s="448"/>
      <c r="G420" s="449"/>
      <c r="H420" s="448"/>
      <c r="I420" s="448"/>
      <c r="J420" s="450"/>
      <c r="K420" s="451"/>
      <c r="L420" s="451"/>
      <c r="M420" s="429" t="str">
        <f t="shared" si="7"/>
        <v/>
      </c>
      <c r="N420" s="451"/>
      <c r="O420" s="451"/>
      <c r="P420" s="431"/>
      <c r="Q420" s="431"/>
      <c r="R420" s="431"/>
      <c r="S420" s="431"/>
    </row>
    <row r="421">
      <c r="A421" s="444"/>
      <c r="B421" s="444"/>
      <c r="C421" s="445"/>
      <c r="D421" s="446"/>
      <c r="E421" s="447"/>
      <c r="F421" s="448"/>
      <c r="G421" s="449"/>
      <c r="H421" s="448"/>
      <c r="I421" s="448"/>
      <c r="J421" s="450"/>
      <c r="K421" s="451"/>
      <c r="L421" s="451"/>
      <c r="M421" s="429" t="str">
        <f t="shared" si="7"/>
        <v/>
      </c>
      <c r="N421" s="451"/>
      <c r="O421" s="451"/>
      <c r="P421" s="431"/>
      <c r="Q421" s="431"/>
      <c r="R421" s="431"/>
      <c r="S421" s="431"/>
    </row>
    <row r="422">
      <c r="A422" s="444"/>
      <c r="B422" s="444"/>
      <c r="C422" s="445"/>
      <c r="D422" s="446"/>
      <c r="E422" s="447"/>
      <c r="F422" s="448"/>
      <c r="G422" s="449"/>
      <c r="H422" s="448"/>
      <c r="I422" s="448"/>
      <c r="J422" s="450"/>
      <c r="K422" s="451"/>
      <c r="L422" s="451"/>
      <c r="M422" s="429" t="str">
        <f t="shared" si="7"/>
        <v/>
      </c>
      <c r="N422" s="451"/>
      <c r="O422" s="451"/>
      <c r="P422" s="431"/>
      <c r="Q422" s="431"/>
      <c r="R422" s="431"/>
      <c r="S422" s="431"/>
    </row>
    <row r="423">
      <c r="A423" s="444"/>
      <c r="B423" s="444"/>
      <c r="C423" s="445"/>
      <c r="D423" s="446"/>
      <c r="E423" s="447"/>
      <c r="F423" s="448"/>
      <c r="G423" s="449"/>
      <c r="H423" s="448"/>
      <c r="I423" s="448"/>
      <c r="J423" s="450"/>
      <c r="K423" s="451"/>
      <c r="L423" s="451"/>
      <c r="M423" s="429" t="str">
        <f t="shared" si="7"/>
        <v/>
      </c>
      <c r="N423" s="451"/>
      <c r="O423" s="451"/>
      <c r="P423" s="431"/>
      <c r="Q423" s="431"/>
      <c r="R423" s="431"/>
      <c r="S423" s="431"/>
    </row>
    <row r="424">
      <c r="A424" s="444"/>
      <c r="B424" s="444"/>
      <c r="C424" s="445"/>
      <c r="D424" s="446"/>
      <c r="E424" s="447"/>
      <c r="F424" s="448"/>
      <c r="G424" s="449"/>
      <c r="H424" s="448"/>
      <c r="I424" s="448"/>
      <c r="J424" s="450"/>
      <c r="K424" s="451"/>
      <c r="L424" s="451"/>
      <c r="M424" s="429" t="str">
        <f t="shared" si="7"/>
        <v/>
      </c>
      <c r="N424" s="451"/>
      <c r="O424" s="451"/>
      <c r="P424" s="431"/>
      <c r="Q424" s="431"/>
      <c r="R424" s="431"/>
      <c r="S424" s="431"/>
    </row>
    <row r="425">
      <c r="A425" s="444"/>
      <c r="B425" s="444"/>
      <c r="C425" s="445"/>
      <c r="D425" s="446"/>
      <c r="E425" s="447"/>
      <c r="F425" s="448"/>
      <c r="G425" s="449"/>
      <c r="H425" s="448"/>
      <c r="I425" s="448"/>
      <c r="J425" s="450"/>
      <c r="K425" s="451"/>
      <c r="L425" s="451"/>
      <c r="M425" s="429" t="str">
        <f t="shared" si="7"/>
        <v/>
      </c>
      <c r="N425" s="451"/>
      <c r="O425" s="451"/>
      <c r="P425" s="431"/>
      <c r="Q425" s="431"/>
      <c r="R425" s="431"/>
      <c r="S425" s="431"/>
    </row>
    <row r="426">
      <c r="A426" s="444"/>
      <c r="B426" s="444"/>
      <c r="C426" s="445"/>
      <c r="D426" s="446"/>
      <c r="E426" s="447"/>
      <c r="F426" s="448"/>
      <c r="G426" s="449"/>
      <c r="H426" s="448"/>
      <c r="I426" s="448"/>
      <c r="J426" s="450"/>
      <c r="K426" s="451"/>
      <c r="L426" s="451"/>
      <c r="M426" s="429" t="str">
        <f t="shared" si="7"/>
        <v/>
      </c>
      <c r="N426" s="451"/>
      <c r="O426" s="451"/>
      <c r="P426" s="431"/>
      <c r="Q426" s="431"/>
      <c r="R426" s="431"/>
      <c r="S426" s="431"/>
    </row>
    <row r="427">
      <c r="A427" s="444"/>
      <c r="B427" s="444"/>
      <c r="C427" s="445"/>
      <c r="D427" s="446"/>
      <c r="E427" s="447"/>
      <c r="F427" s="448"/>
      <c r="G427" s="449"/>
      <c r="H427" s="448"/>
      <c r="I427" s="448"/>
      <c r="J427" s="450"/>
      <c r="K427" s="451"/>
      <c r="L427" s="451"/>
      <c r="M427" s="429" t="str">
        <f t="shared" si="7"/>
        <v/>
      </c>
      <c r="N427" s="451"/>
      <c r="O427" s="451"/>
      <c r="P427" s="431"/>
      <c r="Q427" s="431"/>
      <c r="R427" s="431"/>
      <c r="S427" s="431"/>
    </row>
    <row r="428">
      <c r="A428" s="444"/>
      <c r="B428" s="444"/>
      <c r="C428" s="445"/>
      <c r="D428" s="446"/>
      <c r="E428" s="447"/>
      <c r="F428" s="448"/>
      <c r="G428" s="449"/>
      <c r="H428" s="448"/>
      <c r="I428" s="448"/>
      <c r="J428" s="450"/>
      <c r="K428" s="451"/>
      <c r="L428" s="451"/>
      <c r="M428" s="429" t="str">
        <f t="shared" si="7"/>
        <v/>
      </c>
      <c r="N428" s="451"/>
      <c r="O428" s="451"/>
      <c r="P428" s="431"/>
      <c r="Q428" s="431"/>
      <c r="R428" s="431"/>
      <c r="S428" s="431"/>
    </row>
    <row r="429">
      <c r="A429" s="444"/>
      <c r="B429" s="444"/>
      <c r="C429" s="445"/>
      <c r="D429" s="446"/>
      <c r="E429" s="447"/>
      <c r="F429" s="448"/>
      <c r="G429" s="449"/>
      <c r="H429" s="448"/>
      <c r="I429" s="448"/>
      <c r="J429" s="450"/>
      <c r="K429" s="451"/>
      <c r="L429" s="451"/>
      <c r="M429" s="429" t="str">
        <f t="shared" si="7"/>
        <v/>
      </c>
      <c r="N429" s="451"/>
      <c r="O429" s="451"/>
      <c r="P429" s="431"/>
      <c r="Q429" s="431"/>
      <c r="R429" s="431"/>
      <c r="S429" s="431"/>
    </row>
    <row r="430">
      <c r="A430" s="444"/>
      <c r="B430" s="444"/>
      <c r="C430" s="445"/>
      <c r="D430" s="446"/>
      <c r="E430" s="447"/>
      <c r="F430" s="448"/>
      <c r="G430" s="449"/>
      <c r="H430" s="448"/>
      <c r="I430" s="448"/>
      <c r="J430" s="450"/>
      <c r="K430" s="451"/>
      <c r="L430" s="451"/>
      <c r="M430" s="429" t="str">
        <f t="shared" si="7"/>
        <v/>
      </c>
      <c r="N430" s="451"/>
      <c r="O430" s="451"/>
      <c r="P430" s="431"/>
      <c r="Q430" s="431"/>
      <c r="R430" s="431"/>
      <c r="S430" s="431"/>
    </row>
    <row r="431">
      <c r="A431" s="444"/>
      <c r="B431" s="444"/>
      <c r="C431" s="445"/>
      <c r="D431" s="446"/>
      <c r="E431" s="447"/>
      <c r="F431" s="448"/>
      <c r="G431" s="449"/>
      <c r="H431" s="448"/>
      <c r="I431" s="448"/>
      <c r="J431" s="450"/>
      <c r="K431" s="451"/>
      <c r="L431" s="451"/>
      <c r="M431" s="429" t="str">
        <f t="shared" si="7"/>
        <v/>
      </c>
      <c r="N431" s="451"/>
      <c r="O431" s="451"/>
      <c r="P431" s="431"/>
      <c r="Q431" s="431"/>
      <c r="R431" s="431"/>
      <c r="S431" s="431"/>
    </row>
    <row r="432">
      <c r="A432" s="444"/>
      <c r="B432" s="444"/>
      <c r="C432" s="445"/>
      <c r="D432" s="446"/>
      <c r="E432" s="447"/>
      <c r="F432" s="448"/>
      <c r="G432" s="449"/>
      <c r="H432" s="448"/>
      <c r="I432" s="448"/>
      <c r="J432" s="450"/>
      <c r="K432" s="451"/>
      <c r="L432" s="451"/>
      <c r="M432" s="429" t="str">
        <f t="shared" si="7"/>
        <v/>
      </c>
      <c r="N432" s="451"/>
      <c r="O432" s="451"/>
      <c r="P432" s="431"/>
      <c r="Q432" s="431"/>
      <c r="R432" s="431"/>
      <c r="S432" s="431"/>
    </row>
    <row r="433">
      <c r="A433" s="444"/>
      <c r="B433" s="444"/>
      <c r="C433" s="445"/>
      <c r="D433" s="446"/>
      <c r="E433" s="447"/>
      <c r="F433" s="448"/>
      <c r="G433" s="449"/>
      <c r="H433" s="448"/>
      <c r="I433" s="448"/>
      <c r="J433" s="450"/>
      <c r="K433" s="451"/>
      <c r="L433" s="451"/>
      <c r="M433" s="429" t="str">
        <f t="shared" si="7"/>
        <v/>
      </c>
      <c r="N433" s="451"/>
      <c r="O433" s="451"/>
      <c r="P433" s="431"/>
      <c r="Q433" s="431"/>
      <c r="R433" s="431"/>
      <c r="S433" s="431"/>
    </row>
    <row r="434">
      <c r="A434" s="444"/>
      <c r="B434" s="444"/>
      <c r="C434" s="445"/>
      <c r="D434" s="446"/>
      <c r="E434" s="447"/>
      <c r="F434" s="448"/>
      <c r="G434" s="449"/>
      <c r="H434" s="448"/>
      <c r="I434" s="448"/>
      <c r="J434" s="450"/>
      <c r="K434" s="451"/>
      <c r="L434" s="451"/>
      <c r="M434" s="429" t="str">
        <f t="shared" si="7"/>
        <v/>
      </c>
      <c r="N434" s="451"/>
      <c r="O434" s="451"/>
      <c r="P434" s="431"/>
      <c r="Q434" s="431"/>
      <c r="R434" s="431"/>
      <c r="S434" s="431"/>
    </row>
    <row r="435">
      <c r="A435" s="444"/>
      <c r="B435" s="444"/>
      <c r="C435" s="445"/>
      <c r="D435" s="446"/>
      <c r="E435" s="447"/>
      <c r="F435" s="448"/>
      <c r="G435" s="449"/>
      <c r="H435" s="448"/>
      <c r="I435" s="448"/>
      <c r="J435" s="450"/>
      <c r="K435" s="451"/>
      <c r="L435" s="451"/>
      <c r="M435" s="429" t="str">
        <f t="shared" si="7"/>
        <v/>
      </c>
      <c r="N435" s="451"/>
      <c r="O435" s="451"/>
      <c r="P435" s="431"/>
      <c r="Q435" s="431"/>
      <c r="R435" s="431"/>
      <c r="S435" s="431"/>
    </row>
    <row r="436">
      <c r="A436" s="444"/>
      <c r="B436" s="444"/>
      <c r="C436" s="445"/>
      <c r="D436" s="446"/>
      <c r="E436" s="447"/>
      <c r="F436" s="448"/>
      <c r="G436" s="449"/>
      <c r="H436" s="448"/>
      <c r="I436" s="448"/>
      <c r="J436" s="450"/>
      <c r="K436" s="451"/>
      <c r="L436" s="451"/>
      <c r="M436" s="429" t="str">
        <f t="shared" si="7"/>
        <v/>
      </c>
      <c r="N436" s="451"/>
      <c r="O436" s="451"/>
      <c r="P436" s="431"/>
      <c r="Q436" s="431"/>
      <c r="R436" s="431"/>
      <c r="S436" s="431"/>
    </row>
    <row r="437">
      <c r="A437" s="444"/>
      <c r="B437" s="444"/>
      <c r="C437" s="445"/>
      <c r="D437" s="446"/>
      <c r="E437" s="447"/>
      <c r="F437" s="448"/>
      <c r="G437" s="449"/>
      <c r="H437" s="448"/>
      <c r="I437" s="448"/>
      <c r="J437" s="450"/>
      <c r="K437" s="451"/>
      <c r="L437" s="451"/>
      <c r="M437" s="429" t="str">
        <f t="shared" si="7"/>
        <v/>
      </c>
      <c r="N437" s="451"/>
      <c r="O437" s="451"/>
      <c r="P437" s="431"/>
      <c r="Q437" s="431"/>
      <c r="R437" s="431"/>
      <c r="S437" s="431"/>
    </row>
    <row r="438">
      <c r="A438" s="444"/>
      <c r="B438" s="444"/>
      <c r="C438" s="445"/>
      <c r="D438" s="446"/>
      <c r="E438" s="447"/>
      <c r="F438" s="448"/>
      <c r="G438" s="449"/>
      <c r="H438" s="448"/>
      <c r="I438" s="448"/>
      <c r="J438" s="450"/>
      <c r="K438" s="451"/>
      <c r="L438" s="451"/>
      <c r="M438" s="429" t="str">
        <f t="shared" si="7"/>
        <v/>
      </c>
      <c r="N438" s="451"/>
      <c r="O438" s="451"/>
      <c r="P438" s="431"/>
      <c r="Q438" s="431"/>
      <c r="R438" s="431"/>
      <c r="S438" s="431"/>
    </row>
    <row r="439">
      <c r="A439" s="444"/>
      <c r="B439" s="444"/>
      <c r="C439" s="445"/>
      <c r="D439" s="446"/>
      <c r="E439" s="447"/>
      <c r="F439" s="448"/>
      <c r="G439" s="449"/>
      <c r="H439" s="448"/>
      <c r="I439" s="448"/>
      <c r="J439" s="450"/>
      <c r="K439" s="451"/>
      <c r="L439" s="451"/>
      <c r="M439" s="429" t="str">
        <f t="shared" si="7"/>
        <v/>
      </c>
      <c r="N439" s="451"/>
      <c r="O439" s="451"/>
      <c r="P439" s="431"/>
      <c r="Q439" s="431"/>
      <c r="R439" s="431"/>
      <c r="S439" s="431"/>
    </row>
    <row r="440">
      <c r="A440" s="444"/>
      <c r="B440" s="444"/>
      <c r="C440" s="445"/>
      <c r="D440" s="446"/>
      <c r="E440" s="447"/>
      <c r="F440" s="448"/>
      <c r="G440" s="449"/>
      <c r="H440" s="448"/>
      <c r="I440" s="448"/>
      <c r="J440" s="450"/>
      <c r="K440" s="451"/>
      <c r="L440" s="451"/>
      <c r="M440" s="429" t="str">
        <f t="shared" si="7"/>
        <v/>
      </c>
      <c r="N440" s="451"/>
      <c r="O440" s="451"/>
      <c r="P440" s="431"/>
      <c r="Q440" s="431"/>
      <c r="R440" s="431"/>
      <c r="S440" s="431"/>
    </row>
    <row r="441">
      <c r="A441" s="444"/>
      <c r="B441" s="444"/>
      <c r="C441" s="445"/>
      <c r="D441" s="446"/>
      <c r="E441" s="447"/>
      <c r="F441" s="448"/>
      <c r="G441" s="449"/>
      <c r="H441" s="448"/>
      <c r="I441" s="448"/>
      <c r="J441" s="450"/>
      <c r="K441" s="451"/>
      <c r="L441" s="451"/>
      <c r="M441" s="429" t="str">
        <f t="shared" si="7"/>
        <v/>
      </c>
      <c r="N441" s="451"/>
      <c r="O441" s="451"/>
      <c r="P441" s="431"/>
      <c r="Q441" s="431"/>
      <c r="R441" s="431"/>
      <c r="S441" s="431"/>
    </row>
    <row r="442">
      <c r="A442" s="444"/>
      <c r="B442" s="444"/>
      <c r="C442" s="445"/>
      <c r="D442" s="446"/>
      <c r="E442" s="447"/>
      <c r="F442" s="448"/>
      <c r="G442" s="449"/>
      <c r="H442" s="448"/>
      <c r="I442" s="448"/>
      <c r="J442" s="450"/>
      <c r="K442" s="451"/>
      <c r="L442" s="451"/>
      <c r="M442" s="429" t="str">
        <f t="shared" si="7"/>
        <v/>
      </c>
      <c r="N442" s="451"/>
      <c r="O442" s="451"/>
      <c r="P442" s="431"/>
      <c r="Q442" s="431"/>
      <c r="R442" s="431"/>
      <c r="S442" s="431"/>
    </row>
    <row r="443">
      <c r="A443" s="444"/>
      <c r="B443" s="444"/>
      <c r="C443" s="445"/>
      <c r="D443" s="446"/>
      <c r="E443" s="447"/>
      <c r="F443" s="448"/>
      <c r="G443" s="449"/>
      <c r="H443" s="448"/>
      <c r="I443" s="448"/>
      <c r="J443" s="450"/>
      <c r="K443" s="451"/>
      <c r="L443" s="451"/>
      <c r="M443" s="429" t="str">
        <f t="shared" si="7"/>
        <v/>
      </c>
      <c r="N443" s="451"/>
      <c r="O443" s="451"/>
      <c r="P443" s="431"/>
      <c r="Q443" s="431"/>
      <c r="R443" s="431"/>
      <c r="S443" s="431"/>
    </row>
    <row r="444">
      <c r="A444" s="444"/>
      <c r="B444" s="444"/>
      <c r="C444" s="445"/>
      <c r="D444" s="446"/>
      <c r="E444" s="447"/>
      <c r="F444" s="448"/>
      <c r="G444" s="449"/>
      <c r="H444" s="448"/>
      <c r="I444" s="448"/>
      <c r="J444" s="450"/>
      <c r="K444" s="451"/>
      <c r="L444" s="451"/>
      <c r="M444" s="429" t="str">
        <f t="shared" si="7"/>
        <v/>
      </c>
      <c r="N444" s="451"/>
      <c r="O444" s="451"/>
      <c r="P444" s="431"/>
      <c r="Q444" s="431"/>
      <c r="R444" s="431"/>
      <c r="S444" s="431"/>
    </row>
    <row r="445">
      <c r="A445" s="444"/>
      <c r="B445" s="444"/>
      <c r="C445" s="445"/>
      <c r="D445" s="446"/>
      <c r="E445" s="447"/>
      <c r="F445" s="448"/>
      <c r="G445" s="449"/>
      <c r="H445" s="448"/>
      <c r="I445" s="448"/>
      <c r="J445" s="450"/>
      <c r="K445" s="451"/>
      <c r="L445" s="451"/>
      <c r="M445" s="429" t="str">
        <f t="shared" si="7"/>
        <v/>
      </c>
      <c r="N445" s="451"/>
      <c r="O445" s="451"/>
      <c r="P445" s="431"/>
      <c r="Q445" s="431"/>
      <c r="R445" s="431"/>
      <c r="S445" s="431"/>
    </row>
    <row r="446">
      <c r="A446" s="444"/>
      <c r="B446" s="444"/>
      <c r="C446" s="445"/>
      <c r="D446" s="446"/>
      <c r="E446" s="447"/>
      <c r="F446" s="448"/>
      <c r="G446" s="449"/>
      <c r="H446" s="448"/>
      <c r="I446" s="448"/>
      <c r="J446" s="450"/>
      <c r="K446" s="451"/>
      <c r="L446" s="451"/>
      <c r="M446" s="429" t="str">
        <f t="shared" si="7"/>
        <v/>
      </c>
      <c r="N446" s="451"/>
      <c r="O446" s="451"/>
      <c r="P446" s="431"/>
      <c r="Q446" s="431"/>
      <c r="R446" s="431"/>
      <c r="S446" s="431"/>
    </row>
    <row r="447">
      <c r="A447" s="444"/>
      <c r="B447" s="444"/>
      <c r="C447" s="445"/>
      <c r="D447" s="446"/>
      <c r="E447" s="447"/>
      <c r="F447" s="448"/>
      <c r="G447" s="449"/>
      <c r="H447" s="448"/>
      <c r="I447" s="448"/>
      <c r="J447" s="450"/>
      <c r="K447" s="451"/>
      <c r="L447" s="451"/>
      <c r="M447" s="429" t="str">
        <f t="shared" si="7"/>
        <v/>
      </c>
      <c r="N447" s="451"/>
      <c r="O447" s="451"/>
      <c r="P447" s="431"/>
      <c r="Q447" s="431"/>
      <c r="R447" s="431"/>
      <c r="S447" s="431"/>
    </row>
    <row r="448">
      <c r="A448" s="444"/>
      <c r="B448" s="444"/>
      <c r="C448" s="445"/>
      <c r="D448" s="446"/>
      <c r="E448" s="447"/>
      <c r="F448" s="448"/>
      <c r="G448" s="449"/>
      <c r="H448" s="448"/>
      <c r="I448" s="448"/>
      <c r="J448" s="450"/>
      <c r="K448" s="451"/>
      <c r="L448" s="451"/>
      <c r="M448" s="429" t="str">
        <f t="shared" si="7"/>
        <v/>
      </c>
      <c r="N448" s="451"/>
      <c r="O448" s="451"/>
      <c r="P448" s="431"/>
      <c r="Q448" s="431"/>
      <c r="R448" s="431"/>
      <c r="S448" s="431"/>
    </row>
    <row r="449">
      <c r="A449" s="444"/>
      <c r="B449" s="444"/>
      <c r="C449" s="445"/>
      <c r="D449" s="446"/>
      <c r="E449" s="447"/>
      <c r="F449" s="448"/>
      <c r="G449" s="449"/>
      <c r="H449" s="448"/>
      <c r="I449" s="448"/>
      <c r="J449" s="450"/>
      <c r="K449" s="451"/>
      <c r="L449" s="451"/>
      <c r="M449" s="429" t="str">
        <f t="shared" si="7"/>
        <v/>
      </c>
      <c r="N449" s="451"/>
      <c r="O449" s="451"/>
      <c r="P449" s="431"/>
      <c r="Q449" s="431"/>
      <c r="R449" s="431"/>
      <c r="S449" s="431"/>
    </row>
    <row r="450">
      <c r="A450" s="444"/>
      <c r="B450" s="444"/>
      <c r="C450" s="445"/>
      <c r="D450" s="446"/>
      <c r="E450" s="447"/>
      <c r="F450" s="448"/>
      <c r="G450" s="449"/>
      <c r="H450" s="448"/>
      <c r="I450" s="448"/>
      <c r="J450" s="450"/>
      <c r="K450" s="451"/>
      <c r="L450" s="451"/>
      <c r="M450" s="429" t="str">
        <f t="shared" si="7"/>
        <v/>
      </c>
      <c r="N450" s="451"/>
      <c r="O450" s="451"/>
      <c r="P450" s="431"/>
      <c r="Q450" s="431"/>
      <c r="R450" s="431"/>
      <c r="S450" s="431"/>
    </row>
    <row r="451">
      <c r="A451" s="444"/>
      <c r="B451" s="444"/>
      <c r="C451" s="445"/>
      <c r="D451" s="446"/>
      <c r="E451" s="447"/>
      <c r="F451" s="448"/>
      <c r="G451" s="449"/>
      <c r="H451" s="448"/>
      <c r="I451" s="448"/>
      <c r="J451" s="450"/>
      <c r="K451" s="451"/>
      <c r="L451" s="451"/>
      <c r="M451" s="429" t="str">
        <f t="shared" si="7"/>
        <v/>
      </c>
      <c r="N451" s="451"/>
      <c r="O451" s="451"/>
      <c r="P451" s="431"/>
      <c r="Q451" s="431"/>
      <c r="R451" s="431"/>
      <c r="S451" s="431"/>
    </row>
    <row r="452">
      <c r="A452" s="444"/>
      <c r="B452" s="444"/>
      <c r="C452" s="445"/>
      <c r="D452" s="446"/>
      <c r="E452" s="447"/>
      <c r="F452" s="448"/>
      <c r="G452" s="449"/>
      <c r="H452" s="448"/>
      <c r="I452" s="448"/>
      <c r="J452" s="450"/>
      <c r="K452" s="451"/>
      <c r="L452" s="451"/>
      <c r="M452" s="429" t="str">
        <f t="shared" si="7"/>
        <v/>
      </c>
      <c r="N452" s="451"/>
      <c r="O452" s="451"/>
      <c r="P452" s="431"/>
      <c r="Q452" s="431"/>
      <c r="R452" s="431"/>
      <c r="S452" s="431"/>
    </row>
    <row r="453">
      <c r="A453" s="444"/>
      <c r="B453" s="444"/>
      <c r="C453" s="445"/>
      <c r="D453" s="446"/>
      <c r="E453" s="447"/>
      <c r="F453" s="448"/>
      <c r="G453" s="449"/>
      <c r="H453" s="448"/>
      <c r="I453" s="448"/>
      <c r="J453" s="450"/>
      <c r="K453" s="451"/>
      <c r="L453" s="451"/>
      <c r="M453" s="429" t="str">
        <f t="shared" si="7"/>
        <v/>
      </c>
      <c r="N453" s="451"/>
      <c r="O453" s="451"/>
      <c r="P453" s="431"/>
      <c r="Q453" s="431"/>
      <c r="R453" s="431"/>
      <c r="S453" s="431"/>
    </row>
    <row r="454">
      <c r="A454" s="444"/>
      <c r="B454" s="444"/>
      <c r="C454" s="445"/>
      <c r="D454" s="446"/>
      <c r="E454" s="447"/>
      <c r="F454" s="448"/>
      <c r="G454" s="449"/>
      <c r="H454" s="448"/>
      <c r="I454" s="448"/>
      <c r="J454" s="450"/>
      <c r="K454" s="451"/>
      <c r="L454" s="451"/>
      <c r="M454" s="429" t="str">
        <f t="shared" si="7"/>
        <v/>
      </c>
      <c r="N454" s="451"/>
      <c r="O454" s="451"/>
      <c r="P454" s="431"/>
      <c r="Q454" s="431"/>
      <c r="R454" s="431"/>
      <c r="S454" s="431"/>
    </row>
    <row r="455">
      <c r="A455" s="444"/>
      <c r="B455" s="444"/>
      <c r="C455" s="445"/>
      <c r="D455" s="446"/>
      <c r="E455" s="447"/>
      <c r="F455" s="448"/>
      <c r="G455" s="449"/>
      <c r="H455" s="448"/>
      <c r="I455" s="448"/>
      <c r="J455" s="450"/>
      <c r="K455" s="451"/>
      <c r="L455" s="451"/>
      <c r="M455" s="429" t="str">
        <f t="shared" si="7"/>
        <v/>
      </c>
      <c r="N455" s="451"/>
      <c r="O455" s="451"/>
      <c r="P455" s="431"/>
      <c r="Q455" s="431"/>
      <c r="R455" s="431"/>
      <c r="S455" s="431"/>
    </row>
    <row r="456">
      <c r="A456" s="444"/>
      <c r="B456" s="444"/>
      <c r="C456" s="445"/>
      <c r="D456" s="446"/>
      <c r="E456" s="447"/>
      <c r="F456" s="448"/>
      <c r="G456" s="449"/>
      <c r="H456" s="448"/>
      <c r="I456" s="448"/>
      <c r="J456" s="450"/>
      <c r="K456" s="451"/>
      <c r="L456" s="451"/>
      <c r="M456" s="429" t="str">
        <f t="shared" si="7"/>
        <v/>
      </c>
      <c r="N456" s="451"/>
      <c r="O456" s="451"/>
      <c r="P456" s="431"/>
      <c r="Q456" s="431"/>
      <c r="R456" s="431"/>
      <c r="S456" s="431"/>
    </row>
    <row r="457">
      <c r="A457" s="444"/>
      <c r="B457" s="444"/>
      <c r="C457" s="445"/>
      <c r="D457" s="446"/>
      <c r="E457" s="447"/>
      <c r="F457" s="448"/>
      <c r="G457" s="449"/>
      <c r="H457" s="448"/>
      <c r="I457" s="448"/>
      <c r="J457" s="450"/>
      <c r="K457" s="451"/>
      <c r="L457" s="451"/>
      <c r="M457" s="429" t="str">
        <f t="shared" si="7"/>
        <v/>
      </c>
      <c r="N457" s="451"/>
      <c r="O457" s="451"/>
      <c r="P457" s="431"/>
      <c r="Q457" s="431"/>
      <c r="R457" s="431"/>
      <c r="S457" s="431"/>
    </row>
    <row r="458">
      <c r="A458" s="444"/>
      <c r="B458" s="444"/>
      <c r="C458" s="445"/>
      <c r="D458" s="446"/>
      <c r="E458" s="447"/>
      <c r="F458" s="448"/>
      <c r="G458" s="449"/>
      <c r="H458" s="448"/>
      <c r="I458" s="448"/>
      <c r="J458" s="450"/>
      <c r="K458" s="451"/>
      <c r="L458" s="451"/>
      <c r="M458" s="429" t="str">
        <f t="shared" si="7"/>
        <v/>
      </c>
      <c r="N458" s="451"/>
      <c r="O458" s="451"/>
      <c r="P458" s="431"/>
      <c r="Q458" s="431"/>
      <c r="R458" s="431"/>
      <c r="S458" s="431"/>
    </row>
    <row r="459">
      <c r="A459" s="444"/>
      <c r="B459" s="444"/>
      <c r="C459" s="445"/>
      <c r="D459" s="446"/>
      <c r="E459" s="447"/>
      <c r="F459" s="448"/>
      <c r="G459" s="449"/>
      <c r="H459" s="448"/>
      <c r="I459" s="448"/>
      <c r="J459" s="450"/>
      <c r="K459" s="451"/>
      <c r="L459" s="451"/>
      <c r="M459" s="429" t="str">
        <f t="shared" si="7"/>
        <v/>
      </c>
      <c r="N459" s="451"/>
      <c r="O459" s="451"/>
      <c r="P459" s="431"/>
      <c r="Q459" s="431"/>
      <c r="R459" s="431"/>
      <c r="S459" s="431"/>
    </row>
    <row r="460">
      <c r="A460" s="444"/>
      <c r="B460" s="444"/>
      <c r="C460" s="445"/>
      <c r="D460" s="446"/>
      <c r="E460" s="447"/>
      <c r="F460" s="448"/>
      <c r="G460" s="449"/>
      <c r="H460" s="448"/>
      <c r="I460" s="448"/>
      <c r="J460" s="450"/>
      <c r="K460" s="451"/>
      <c r="L460" s="451"/>
      <c r="M460" s="429" t="str">
        <f t="shared" si="7"/>
        <v/>
      </c>
      <c r="N460" s="451"/>
      <c r="O460" s="451"/>
      <c r="P460" s="431"/>
      <c r="Q460" s="431"/>
      <c r="R460" s="431"/>
      <c r="S460" s="431"/>
    </row>
    <row r="461">
      <c r="A461" s="444"/>
      <c r="B461" s="444"/>
      <c r="C461" s="445"/>
      <c r="D461" s="446"/>
      <c r="E461" s="447"/>
      <c r="F461" s="448"/>
      <c r="G461" s="449"/>
      <c r="H461" s="448"/>
      <c r="I461" s="448"/>
      <c r="J461" s="450"/>
      <c r="K461" s="451"/>
      <c r="L461" s="451"/>
      <c r="M461" s="429" t="str">
        <f t="shared" si="7"/>
        <v/>
      </c>
      <c r="N461" s="451"/>
      <c r="O461" s="451"/>
      <c r="P461" s="431"/>
      <c r="Q461" s="431"/>
      <c r="R461" s="431"/>
      <c r="S461" s="431"/>
    </row>
    <row r="462">
      <c r="A462" s="444"/>
      <c r="B462" s="444"/>
      <c r="C462" s="445"/>
      <c r="D462" s="446"/>
      <c r="E462" s="447"/>
      <c r="F462" s="448"/>
      <c r="G462" s="449"/>
      <c r="H462" s="448"/>
      <c r="I462" s="448"/>
      <c r="J462" s="450"/>
      <c r="K462" s="451"/>
      <c r="L462" s="451"/>
      <c r="M462" s="429" t="str">
        <f t="shared" si="7"/>
        <v/>
      </c>
      <c r="N462" s="451"/>
      <c r="O462" s="451"/>
      <c r="P462" s="431"/>
      <c r="Q462" s="431"/>
      <c r="R462" s="431"/>
      <c r="S462" s="431"/>
    </row>
    <row r="463">
      <c r="A463" s="444"/>
      <c r="B463" s="444"/>
      <c r="C463" s="445"/>
      <c r="D463" s="446"/>
      <c r="E463" s="447"/>
      <c r="F463" s="448"/>
      <c r="G463" s="449"/>
      <c r="H463" s="448"/>
      <c r="I463" s="448"/>
      <c r="J463" s="450"/>
      <c r="K463" s="451"/>
      <c r="L463" s="451"/>
      <c r="M463" s="429" t="str">
        <f t="shared" si="7"/>
        <v/>
      </c>
      <c r="N463" s="451"/>
      <c r="O463" s="451"/>
      <c r="P463" s="431"/>
      <c r="Q463" s="431"/>
      <c r="R463" s="431"/>
      <c r="S463" s="431"/>
    </row>
    <row r="464">
      <c r="A464" s="444"/>
      <c r="B464" s="444"/>
      <c r="C464" s="445"/>
      <c r="D464" s="446"/>
      <c r="E464" s="447"/>
      <c r="F464" s="448"/>
      <c r="G464" s="449"/>
      <c r="H464" s="448"/>
      <c r="I464" s="448"/>
      <c r="J464" s="450"/>
      <c r="K464" s="451"/>
      <c r="L464" s="451"/>
      <c r="M464" s="429" t="str">
        <f t="shared" si="7"/>
        <v/>
      </c>
      <c r="N464" s="451"/>
      <c r="O464" s="451"/>
      <c r="P464" s="431"/>
      <c r="Q464" s="431"/>
      <c r="R464" s="431"/>
      <c r="S464" s="431"/>
    </row>
    <row r="465">
      <c r="A465" s="444"/>
      <c r="B465" s="444"/>
      <c r="C465" s="445"/>
      <c r="D465" s="446"/>
      <c r="E465" s="447"/>
      <c r="F465" s="448"/>
      <c r="G465" s="449"/>
      <c r="H465" s="448"/>
      <c r="I465" s="448"/>
      <c r="J465" s="450"/>
      <c r="K465" s="451"/>
      <c r="L465" s="451"/>
      <c r="M465" s="429" t="str">
        <f t="shared" si="7"/>
        <v/>
      </c>
      <c r="N465" s="451"/>
      <c r="O465" s="451"/>
      <c r="P465" s="431"/>
      <c r="Q465" s="431"/>
      <c r="R465" s="431"/>
      <c r="S465" s="431"/>
    </row>
    <row r="466">
      <c r="A466" s="444"/>
      <c r="B466" s="444"/>
      <c r="C466" s="445"/>
      <c r="D466" s="446"/>
      <c r="E466" s="447"/>
      <c r="F466" s="448"/>
      <c r="G466" s="449"/>
      <c r="H466" s="448"/>
      <c r="I466" s="448"/>
      <c r="J466" s="450"/>
      <c r="K466" s="451"/>
      <c r="L466" s="451"/>
      <c r="M466" s="429" t="str">
        <f t="shared" si="7"/>
        <v/>
      </c>
      <c r="N466" s="451"/>
      <c r="O466" s="451"/>
      <c r="P466" s="431"/>
      <c r="Q466" s="431"/>
      <c r="R466" s="431"/>
      <c r="S466" s="431"/>
    </row>
    <row r="467">
      <c r="A467" s="444"/>
      <c r="B467" s="444"/>
      <c r="C467" s="445"/>
      <c r="D467" s="446"/>
      <c r="E467" s="447"/>
      <c r="F467" s="448"/>
      <c r="G467" s="449"/>
      <c r="H467" s="448"/>
      <c r="I467" s="448"/>
      <c r="J467" s="450"/>
      <c r="K467" s="451"/>
      <c r="L467" s="451"/>
      <c r="M467" s="429" t="str">
        <f t="shared" si="7"/>
        <v/>
      </c>
      <c r="N467" s="451"/>
      <c r="O467" s="451"/>
      <c r="P467" s="431"/>
      <c r="Q467" s="431"/>
      <c r="R467" s="431"/>
      <c r="S467" s="431"/>
    </row>
    <row r="468">
      <c r="A468" s="444"/>
      <c r="B468" s="444"/>
      <c r="C468" s="445"/>
      <c r="D468" s="446"/>
      <c r="E468" s="447"/>
      <c r="F468" s="448"/>
      <c r="G468" s="449"/>
      <c r="H468" s="448"/>
      <c r="I468" s="448"/>
      <c r="J468" s="450"/>
      <c r="K468" s="451"/>
      <c r="L468" s="451"/>
      <c r="M468" s="429" t="str">
        <f t="shared" si="7"/>
        <v/>
      </c>
      <c r="N468" s="451"/>
      <c r="O468" s="451"/>
      <c r="P468" s="431"/>
      <c r="Q468" s="431"/>
      <c r="R468" s="431"/>
      <c r="S468" s="431"/>
    </row>
    <row r="469">
      <c r="A469" s="444"/>
      <c r="B469" s="444"/>
      <c r="C469" s="445"/>
      <c r="D469" s="446"/>
      <c r="E469" s="447"/>
      <c r="F469" s="448"/>
      <c r="G469" s="449"/>
      <c r="H469" s="448"/>
      <c r="I469" s="448"/>
      <c r="J469" s="450"/>
      <c r="K469" s="451"/>
      <c r="L469" s="451"/>
      <c r="M469" s="429" t="str">
        <f t="shared" si="7"/>
        <v/>
      </c>
      <c r="N469" s="451"/>
      <c r="O469" s="451"/>
      <c r="P469" s="431"/>
      <c r="Q469" s="431"/>
      <c r="R469" s="431"/>
      <c r="S469" s="431"/>
    </row>
    <row r="470">
      <c r="A470" s="444"/>
      <c r="B470" s="444"/>
      <c r="C470" s="445"/>
      <c r="D470" s="446"/>
      <c r="E470" s="447"/>
      <c r="F470" s="448"/>
      <c r="G470" s="449"/>
      <c r="H470" s="448"/>
      <c r="I470" s="448"/>
      <c r="J470" s="450"/>
      <c r="K470" s="451"/>
      <c r="L470" s="451"/>
      <c r="M470" s="429" t="str">
        <f t="shared" si="7"/>
        <v/>
      </c>
      <c r="N470" s="451"/>
      <c r="O470" s="451"/>
      <c r="P470" s="431"/>
      <c r="Q470" s="431"/>
      <c r="R470" s="431"/>
      <c r="S470" s="431"/>
    </row>
    <row r="471">
      <c r="A471" s="444"/>
      <c r="B471" s="444"/>
      <c r="C471" s="445"/>
      <c r="D471" s="446"/>
      <c r="E471" s="447"/>
      <c r="F471" s="448"/>
      <c r="G471" s="449"/>
      <c r="H471" s="448"/>
      <c r="I471" s="448"/>
      <c r="J471" s="450"/>
      <c r="K471" s="451"/>
      <c r="L471" s="451"/>
      <c r="M471" s="429" t="str">
        <f t="shared" si="7"/>
        <v/>
      </c>
      <c r="N471" s="451"/>
      <c r="O471" s="451"/>
      <c r="P471" s="431"/>
      <c r="Q471" s="431"/>
      <c r="R471" s="431"/>
      <c r="S471" s="431"/>
    </row>
    <row r="472">
      <c r="A472" s="444"/>
      <c r="B472" s="444"/>
      <c r="C472" s="445"/>
      <c r="D472" s="446"/>
      <c r="E472" s="447"/>
      <c r="F472" s="448"/>
      <c r="G472" s="449"/>
      <c r="H472" s="448"/>
      <c r="I472" s="448"/>
      <c r="J472" s="450"/>
      <c r="K472" s="451"/>
      <c r="L472" s="451"/>
      <c r="M472" s="429" t="str">
        <f t="shared" si="7"/>
        <v/>
      </c>
      <c r="N472" s="451"/>
      <c r="O472" s="451"/>
      <c r="P472" s="431"/>
      <c r="Q472" s="431"/>
      <c r="R472" s="431"/>
      <c r="S472" s="431"/>
    </row>
    <row r="473">
      <c r="A473" s="444"/>
      <c r="B473" s="444"/>
      <c r="C473" s="445"/>
      <c r="D473" s="446"/>
      <c r="E473" s="447"/>
      <c r="F473" s="448"/>
      <c r="G473" s="449"/>
      <c r="H473" s="448"/>
      <c r="I473" s="448"/>
      <c r="J473" s="450"/>
      <c r="K473" s="451"/>
      <c r="L473" s="451"/>
      <c r="M473" s="429" t="str">
        <f t="shared" si="7"/>
        <v/>
      </c>
      <c r="N473" s="451"/>
      <c r="O473" s="451"/>
      <c r="P473" s="431"/>
      <c r="Q473" s="431"/>
      <c r="R473" s="431"/>
      <c r="S473" s="431"/>
    </row>
    <row r="474">
      <c r="A474" s="444"/>
      <c r="B474" s="444"/>
      <c r="C474" s="445"/>
      <c r="D474" s="446"/>
      <c r="E474" s="447"/>
      <c r="F474" s="448"/>
      <c r="G474" s="449"/>
      <c r="H474" s="448"/>
      <c r="I474" s="448"/>
      <c r="J474" s="450"/>
      <c r="K474" s="451"/>
      <c r="L474" s="451"/>
      <c r="M474" s="429" t="str">
        <f t="shared" si="7"/>
        <v/>
      </c>
      <c r="N474" s="451"/>
      <c r="O474" s="451"/>
      <c r="P474" s="431"/>
      <c r="Q474" s="431"/>
      <c r="R474" s="431"/>
      <c r="S474" s="431"/>
    </row>
    <row r="475">
      <c r="A475" s="444"/>
      <c r="B475" s="444"/>
      <c r="C475" s="445"/>
      <c r="D475" s="446"/>
      <c r="E475" s="447"/>
      <c r="F475" s="448"/>
      <c r="G475" s="449"/>
      <c r="H475" s="448"/>
      <c r="I475" s="448"/>
      <c r="J475" s="450"/>
      <c r="K475" s="451"/>
      <c r="L475" s="451"/>
      <c r="M475" s="429" t="str">
        <f t="shared" si="7"/>
        <v/>
      </c>
      <c r="N475" s="451"/>
      <c r="O475" s="451"/>
      <c r="P475" s="431"/>
      <c r="Q475" s="431"/>
      <c r="R475" s="431"/>
      <c r="S475" s="431"/>
    </row>
    <row r="476">
      <c r="A476" s="444"/>
      <c r="B476" s="444"/>
      <c r="C476" s="445"/>
      <c r="D476" s="446"/>
      <c r="E476" s="447"/>
      <c r="F476" s="448"/>
      <c r="G476" s="449"/>
      <c r="H476" s="448"/>
      <c r="I476" s="448"/>
      <c r="J476" s="450"/>
      <c r="K476" s="451"/>
      <c r="L476" s="451"/>
      <c r="M476" s="429" t="str">
        <f t="shared" si="7"/>
        <v/>
      </c>
      <c r="N476" s="451"/>
      <c r="O476" s="451"/>
      <c r="P476" s="431"/>
      <c r="Q476" s="431"/>
      <c r="R476" s="431"/>
      <c r="S476" s="431"/>
    </row>
    <row r="477">
      <c r="A477" s="444"/>
      <c r="B477" s="444"/>
      <c r="C477" s="445"/>
      <c r="D477" s="446"/>
      <c r="E477" s="447"/>
      <c r="F477" s="448"/>
      <c r="G477" s="449"/>
      <c r="H477" s="448"/>
      <c r="I477" s="448"/>
      <c r="J477" s="450"/>
      <c r="K477" s="451"/>
      <c r="L477" s="451"/>
      <c r="M477" s="429" t="str">
        <f t="shared" si="7"/>
        <v/>
      </c>
      <c r="N477" s="451"/>
      <c r="O477" s="451"/>
      <c r="P477" s="431"/>
      <c r="Q477" s="431"/>
      <c r="R477" s="431"/>
      <c r="S477" s="431"/>
    </row>
    <row r="478">
      <c r="A478" s="444"/>
      <c r="B478" s="444"/>
      <c r="C478" s="445"/>
      <c r="D478" s="446"/>
      <c r="E478" s="447"/>
      <c r="F478" s="448"/>
      <c r="G478" s="449"/>
      <c r="H478" s="448"/>
      <c r="I478" s="448"/>
      <c r="J478" s="450"/>
      <c r="K478" s="451"/>
      <c r="L478" s="451"/>
      <c r="M478" s="429" t="str">
        <f t="shared" si="7"/>
        <v/>
      </c>
      <c r="N478" s="451"/>
      <c r="O478" s="451"/>
      <c r="P478" s="431"/>
      <c r="Q478" s="431"/>
      <c r="R478" s="431"/>
      <c r="S478" s="431"/>
    </row>
    <row r="479">
      <c r="A479" s="444"/>
      <c r="B479" s="444"/>
      <c r="C479" s="445"/>
      <c r="D479" s="446"/>
      <c r="E479" s="447"/>
      <c r="F479" s="448"/>
      <c r="G479" s="449"/>
      <c r="H479" s="448"/>
      <c r="I479" s="448"/>
      <c r="J479" s="450"/>
      <c r="K479" s="451"/>
      <c r="L479" s="451"/>
      <c r="M479" s="429" t="str">
        <f t="shared" si="7"/>
        <v/>
      </c>
      <c r="N479" s="451"/>
      <c r="O479" s="451"/>
      <c r="P479" s="431"/>
      <c r="Q479" s="431"/>
      <c r="R479" s="431"/>
      <c r="S479" s="431"/>
    </row>
    <row r="480">
      <c r="A480" s="444"/>
      <c r="B480" s="444"/>
      <c r="C480" s="445"/>
      <c r="D480" s="446"/>
      <c r="E480" s="447"/>
      <c r="F480" s="448"/>
      <c r="G480" s="449"/>
      <c r="H480" s="448"/>
      <c r="I480" s="448"/>
      <c r="J480" s="450"/>
      <c r="K480" s="451"/>
      <c r="L480" s="451"/>
      <c r="M480" s="429" t="str">
        <f t="shared" si="7"/>
        <v/>
      </c>
      <c r="N480" s="451"/>
      <c r="O480" s="451"/>
      <c r="P480" s="431"/>
      <c r="Q480" s="431"/>
      <c r="R480" s="431"/>
      <c r="S480" s="431"/>
    </row>
    <row r="481">
      <c r="A481" s="444"/>
      <c r="B481" s="444"/>
      <c r="C481" s="445"/>
      <c r="D481" s="446"/>
      <c r="E481" s="447"/>
      <c r="F481" s="448"/>
      <c r="G481" s="449"/>
      <c r="H481" s="448"/>
      <c r="I481" s="448"/>
      <c r="J481" s="450"/>
      <c r="K481" s="451"/>
      <c r="L481" s="451"/>
      <c r="M481" s="429" t="str">
        <f t="shared" si="7"/>
        <v/>
      </c>
      <c r="N481" s="451"/>
      <c r="O481" s="451"/>
      <c r="P481" s="431"/>
      <c r="Q481" s="431"/>
      <c r="R481" s="431"/>
      <c r="S481" s="431"/>
    </row>
    <row r="482">
      <c r="A482" s="444"/>
      <c r="B482" s="444"/>
      <c r="C482" s="445"/>
      <c r="D482" s="446"/>
      <c r="E482" s="447"/>
      <c r="F482" s="448"/>
      <c r="G482" s="449"/>
      <c r="H482" s="448"/>
      <c r="I482" s="448"/>
      <c r="J482" s="450"/>
      <c r="K482" s="451"/>
      <c r="L482" s="451"/>
      <c r="M482" s="429" t="str">
        <f t="shared" si="7"/>
        <v/>
      </c>
      <c r="N482" s="451"/>
      <c r="O482" s="451"/>
      <c r="P482" s="431"/>
      <c r="Q482" s="431"/>
      <c r="R482" s="431"/>
      <c r="S482" s="431"/>
    </row>
    <row r="483">
      <c r="A483" s="444"/>
      <c r="B483" s="444"/>
      <c r="C483" s="445"/>
      <c r="D483" s="446"/>
      <c r="E483" s="447"/>
      <c r="F483" s="448"/>
      <c r="G483" s="449"/>
      <c r="H483" s="448"/>
      <c r="I483" s="448"/>
      <c r="J483" s="450"/>
      <c r="K483" s="451"/>
      <c r="L483" s="451"/>
      <c r="M483" s="429" t="str">
        <f t="shared" si="7"/>
        <v/>
      </c>
      <c r="N483" s="451"/>
      <c r="O483" s="451"/>
      <c r="P483" s="431"/>
      <c r="Q483" s="431"/>
      <c r="R483" s="431"/>
      <c r="S483" s="431"/>
    </row>
    <row r="484">
      <c r="A484" s="444"/>
      <c r="B484" s="444"/>
      <c r="C484" s="445"/>
      <c r="D484" s="446"/>
      <c r="E484" s="447"/>
      <c r="F484" s="448"/>
      <c r="G484" s="449"/>
      <c r="H484" s="448"/>
      <c r="I484" s="448"/>
      <c r="J484" s="450"/>
      <c r="K484" s="451"/>
      <c r="L484" s="451"/>
      <c r="M484" s="429" t="str">
        <f t="shared" si="7"/>
        <v/>
      </c>
      <c r="N484" s="451"/>
      <c r="O484" s="451"/>
      <c r="P484" s="431"/>
      <c r="Q484" s="431"/>
      <c r="R484" s="431"/>
      <c r="S484" s="431"/>
    </row>
    <row r="485">
      <c r="A485" s="444"/>
      <c r="B485" s="444"/>
      <c r="C485" s="445"/>
      <c r="D485" s="446"/>
      <c r="E485" s="447"/>
      <c r="F485" s="448"/>
      <c r="G485" s="449"/>
      <c r="H485" s="448"/>
      <c r="I485" s="448"/>
      <c r="J485" s="450"/>
      <c r="K485" s="451"/>
      <c r="L485" s="451"/>
      <c r="M485" s="429" t="str">
        <f t="shared" si="7"/>
        <v/>
      </c>
      <c r="N485" s="451"/>
      <c r="O485" s="451"/>
      <c r="P485" s="431"/>
      <c r="Q485" s="431"/>
      <c r="R485" s="431"/>
      <c r="S485" s="431"/>
    </row>
    <row r="486">
      <c r="A486" s="444"/>
      <c r="B486" s="444"/>
      <c r="C486" s="445"/>
      <c r="D486" s="446"/>
      <c r="E486" s="447"/>
      <c r="F486" s="448"/>
      <c r="G486" s="449"/>
      <c r="H486" s="448"/>
      <c r="I486" s="448"/>
      <c r="J486" s="450"/>
      <c r="K486" s="451"/>
      <c r="L486" s="451"/>
      <c r="M486" s="429" t="str">
        <f t="shared" si="7"/>
        <v/>
      </c>
      <c r="N486" s="451"/>
      <c r="O486" s="451"/>
      <c r="P486" s="431"/>
      <c r="Q486" s="431"/>
      <c r="R486" s="431"/>
      <c r="S486" s="431"/>
    </row>
    <row r="487">
      <c r="A487" s="444"/>
      <c r="B487" s="444"/>
      <c r="C487" s="445"/>
      <c r="D487" s="446"/>
      <c r="E487" s="447"/>
      <c r="F487" s="448"/>
      <c r="G487" s="449"/>
      <c r="H487" s="448"/>
      <c r="I487" s="448"/>
      <c r="J487" s="450"/>
      <c r="K487" s="451"/>
      <c r="L487" s="451"/>
      <c r="M487" s="429" t="str">
        <f t="shared" si="7"/>
        <v/>
      </c>
      <c r="N487" s="451"/>
      <c r="O487" s="451"/>
      <c r="P487" s="431"/>
      <c r="Q487" s="431"/>
      <c r="R487" s="431"/>
      <c r="S487" s="431"/>
    </row>
    <row r="488">
      <c r="A488" s="444"/>
      <c r="B488" s="444"/>
      <c r="C488" s="445"/>
      <c r="D488" s="446"/>
      <c r="E488" s="447"/>
      <c r="F488" s="448"/>
      <c r="G488" s="449"/>
      <c r="H488" s="448"/>
      <c r="I488" s="448"/>
      <c r="J488" s="450"/>
      <c r="K488" s="451"/>
      <c r="L488" s="451"/>
      <c r="M488" s="429" t="str">
        <f t="shared" si="7"/>
        <v/>
      </c>
      <c r="N488" s="451"/>
      <c r="O488" s="451"/>
      <c r="P488" s="431"/>
      <c r="Q488" s="431"/>
      <c r="R488" s="431"/>
      <c r="S488" s="431"/>
    </row>
    <row r="489">
      <c r="A489" s="444"/>
      <c r="B489" s="444"/>
      <c r="C489" s="445"/>
      <c r="D489" s="446"/>
      <c r="E489" s="447"/>
      <c r="F489" s="448"/>
      <c r="G489" s="449"/>
      <c r="H489" s="448"/>
      <c r="I489" s="448"/>
      <c r="J489" s="450"/>
      <c r="K489" s="451"/>
      <c r="L489" s="451"/>
      <c r="M489" s="429" t="str">
        <f t="shared" si="7"/>
        <v/>
      </c>
      <c r="N489" s="451"/>
      <c r="O489" s="451"/>
      <c r="P489" s="431"/>
      <c r="Q489" s="431"/>
      <c r="R489" s="431"/>
      <c r="S489" s="431"/>
    </row>
    <row r="490">
      <c r="A490" s="444"/>
      <c r="B490" s="444"/>
      <c r="C490" s="445"/>
      <c r="D490" s="446"/>
      <c r="E490" s="447"/>
      <c r="F490" s="448"/>
      <c r="G490" s="449"/>
      <c r="H490" s="448"/>
      <c r="I490" s="448"/>
      <c r="J490" s="450"/>
      <c r="K490" s="451"/>
      <c r="L490" s="451"/>
      <c r="M490" s="429" t="str">
        <f t="shared" si="7"/>
        <v/>
      </c>
      <c r="N490" s="451"/>
      <c r="O490" s="451"/>
      <c r="P490" s="431"/>
      <c r="Q490" s="431"/>
      <c r="R490" s="431"/>
      <c r="S490" s="431"/>
    </row>
    <row r="491">
      <c r="A491" s="444"/>
      <c r="B491" s="444"/>
      <c r="C491" s="445"/>
      <c r="D491" s="446"/>
      <c r="E491" s="447"/>
      <c r="F491" s="448"/>
      <c r="G491" s="449"/>
      <c r="H491" s="448"/>
      <c r="I491" s="448"/>
      <c r="J491" s="450"/>
      <c r="K491" s="451"/>
      <c r="L491" s="451"/>
      <c r="M491" s="429" t="str">
        <f t="shared" si="7"/>
        <v/>
      </c>
      <c r="N491" s="451"/>
      <c r="O491" s="451"/>
      <c r="P491" s="431"/>
      <c r="Q491" s="431"/>
      <c r="R491" s="431"/>
      <c r="S491" s="431"/>
    </row>
    <row r="492">
      <c r="A492" s="444"/>
      <c r="B492" s="444"/>
      <c r="C492" s="445"/>
      <c r="D492" s="446"/>
      <c r="E492" s="447"/>
      <c r="F492" s="448"/>
      <c r="G492" s="449"/>
      <c r="H492" s="448"/>
      <c r="I492" s="448"/>
      <c r="J492" s="450"/>
      <c r="K492" s="451"/>
      <c r="L492" s="451"/>
      <c r="M492" s="429" t="str">
        <f t="shared" si="7"/>
        <v/>
      </c>
      <c r="N492" s="451"/>
      <c r="O492" s="451"/>
      <c r="P492" s="431"/>
      <c r="Q492" s="431"/>
      <c r="R492" s="431"/>
      <c r="S492" s="431"/>
    </row>
    <row r="493">
      <c r="A493" s="444"/>
      <c r="B493" s="444"/>
      <c r="C493" s="445"/>
      <c r="D493" s="446"/>
      <c r="E493" s="447"/>
      <c r="F493" s="448"/>
      <c r="G493" s="449"/>
      <c r="H493" s="448"/>
      <c r="I493" s="448"/>
      <c r="J493" s="450"/>
      <c r="K493" s="451"/>
      <c r="L493" s="451"/>
      <c r="M493" s="429" t="str">
        <f t="shared" si="7"/>
        <v/>
      </c>
      <c r="N493" s="451"/>
      <c r="O493" s="451"/>
      <c r="P493" s="431"/>
      <c r="Q493" s="431"/>
      <c r="R493" s="431"/>
      <c r="S493" s="431"/>
    </row>
    <row r="494">
      <c r="A494" s="444"/>
      <c r="B494" s="444"/>
      <c r="C494" s="445"/>
      <c r="D494" s="446"/>
      <c r="E494" s="447"/>
      <c r="F494" s="448"/>
      <c r="G494" s="449"/>
      <c r="H494" s="448"/>
      <c r="I494" s="448"/>
      <c r="J494" s="450"/>
      <c r="K494" s="451"/>
      <c r="L494" s="451"/>
      <c r="M494" s="429" t="str">
        <f t="shared" si="7"/>
        <v/>
      </c>
      <c r="N494" s="451"/>
      <c r="O494" s="451"/>
      <c r="P494" s="431"/>
      <c r="Q494" s="431"/>
      <c r="R494" s="431"/>
      <c r="S494" s="431"/>
    </row>
    <row r="495">
      <c r="A495" s="444"/>
      <c r="B495" s="444"/>
      <c r="C495" s="445"/>
      <c r="D495" s="446"/>
      <c r="E495" s="447"/>
      <c r="F495" s="448"/>
      <c r="G495" s="449"/>
      <c r="H495" s="448"/>
      <c r="I495" s="448"/>
      <c r="J495" s="450"/>
      <c r="K495" s="451"/>
      <c r="L495" s="451"/>
      <c r="M495" s="429" t="str">
        <f t="shared" si="7"/>
        <v/>
      </c>
      <c r="N495" s="451"/>
      <c r="O495" s="451"/>
      <c r="P495" s="431"/>
      <c r="Q495" s="431"/>
      <c r="R495" s="431"/>
      <c r="S495" s="431"/>
    </row>
    <row r="496">
      <c r="A496" s="444"/>
      <c r="B496" s="444"/>
      <c r="C496" s="445"/>
      <c r="D496" s="446"/>
      <c r="E496" s="447"/>
      <c r="F496" s="448"/>
      <c r="G496" s="449"/>
      <c r="H496" s="448"/>
      <c r="I496" s="448"/>
      <c r="J496" s="450"/>
      <c r="K496" s="451"/>
      <c r="L496" s="451"/>
      <c r="M496" s="429" t="str">
        <f t="shared" si="7"/>
        <v/>
      </c>
      <c r="N496" s="451"/>
      <c r="O496" s="451"/>
      <c r="P496" s="431"/>
      <c r="Q496" s="431"/>
      <c r="R496" s="431"/>
      <c r="S496" s="431"/>
    </row>
    <row r="497">
      <c r="A497" s="444"/>
      <c r="B497" s="444"/>
      <c r="C497" s="445"/>
      <c r="D497" s="446"/>
      <c r="E497" s="447"/>
      <c r="F497" s="448"/>
      <c r="G497" s="449"/>
      <c r="H497" s="448"/>
      <c r="I497" s="448"/>
      <c r="J497" s="450"/>
      <c r="K497" s="451"/>
      <c r="L497" s="451"/>
      <c r="M497" s="429" t="str">
        <f t="shared" si="7"/>
        <v/>
      </c>
      <c r="N497" s="451"/>
      <c r="O497" s="451"/>
      <c r="P497" s="431"/>
      <c r="Q497" s="431"/>
      <c r="R497" s="431"/>
      <c r="S497" s="431"/>
    </row>
    <row r="498">
      <c r="A498" s="444"/>
      <c r="B498" s="444"/>
      <c r="C498" s="445"/>
      <c r="D498" s="446"/>
      <c r="E498" s="447"/>
      <c r="F498" s="448"/>
      <c r="G498" s="449"/>
      <c r="H498" s="448"/>
      <c r="I498" s="448"/>
      <c r="J498" s="450"/>
      <c r="K498" s="451"/>
      <c r="L498" s="451"/>
      <c r="M498" s="429" t="str">
        <f t="shared" si="7"/>
        <v/>
      </c>
      <c r="N498" s="451"/>
      <c r="O498" s="451"/>
      <c r="P498" s="431"/>
      <c r="Q498" s="431"/>
      <c r="R498" s="431"/>
      <c r="S498" s="431"/>
    </row>
    <row r="499">
      <c r="A499" s="444"/>
      <c r="B499" s="444"/>
      <c r="C499" s="445"/>
      <c r="D499" s="446"/>
      <c r="E499" s="447"/>
      <c r="F499" s="448"/>
      <c r="G499" s="449"/>
      <c r="H499" s="448"/>
      <c r="I499" s="448"/>
      <c r="J499" s="450"/>
      <c r="K499" s="451"/>
      <c r="L499" s="451"/>
      <c r="M499" s="429" t="str">
        <f t="shared" si="7"/>
        <v/>
      </c>
      <c r="N499" s="451"/>
      <c r="O499" s="451"/>
      <c r="P499" s="431"/>
      <c r="Q499" s="431"/>
      <c r="R499" s="431"/>
      <c r="S499" s="431"/>
    </row>
    <row r="500">
      <c r="A500" s="444"/>
      <c r="B500" s="444"/>
      <c r="C500" s="445"/>
      <c r="D500" s="446"/>
      <c r="E500" s="447"/>
      <c r="F500" s="448"/>
      <c r="G500" s="449"/>
      <c r="H500" s="448"/>
      <c r="I500" s="448"/>
      <c r="J500" s="450"/>
      <c r="K500" s="451"/>
      <c r="L500" s="451"/>
      <c r="M500" s="429" t="str">
        <f t="shared" si="7"/>
        <v/>
      </c>
      <c r="N500" s="451"/>
      <c r="O500" s="451"/>
      <c r="P500" s="431"/>
      <c r="Q500" s="431"/>
      <c r="R500" s="431"/>
      <c r="S500" s="431"/>
    </row>
    <row r="501">
      <c r="A501" s="444"/>
      <c r="B501" s="444"/>
      <c r="C501" s="445"/>
      <c r="D501" s="446"/>
      <c r="E501" s="447"/>
      <c r="F501" s="448"/>
      <c r="G501" s="449"/>
      <c r="H501" s="448"/>
      <c r="I501" s="448"/>
      <c r="J501" s="450"/>
      <c r="K501" s="451"/>
      <c r="L501" s="451"/>
      <c r="M501" s="429" t="str">
        <f t="shared" si="7"/>
        <v/>
      </c>
      <c r="N501" s="451"/>
      <c r="O501" s="451"/>
      <c r="P501" s="431"/>
      <c r="Q501" s="431"/>
      <c r="R501" s="431"/>
      <c r="S501" s="431"/>
    </row>
    <row r="502">
      <c r="A502" s="444"/>
      <c r="B502" s="444"/>
      <c r="C502" s="445"/>
      <c r="D502" s="446"/>
      <c r="E502" s="447"/>
      <c r="F502" s="448"/>
      <c r="G502" s="449"/>
      <c r="H502" s="448"/>
      <c r="I502" s="448"/>
      <c r="J502" s="450"/>
      <c r="K502" s="451"/>
      <c r="L502" s="451"/>
      <c r="M502" s="429" t="str">
        <f t="shared" si="7"/>
        <v/>
      </c>
      <c r="N502" s="451"/>
      <c r="O502" s="451"/>
      <c r="P502" s="431"/>
      <c r="Q502" s="431"/>
      <c r="R502" s="431"/>
      <c r="S502" s="431"/>
    </row>
    <row r="503">
      <c r="A503" s="444"/>
      <c r="B503" s="444"/>
      <c r="C503" s="445"/>
      <c r="D503" s="446"/>
      <c r="E503" s="447"/>
      <c r="F503" s="448"/>
      <c r="G503" s="449"/>
      <c r="H503" s="448"/>
      <c r="I503" s="448"/>
      <c r="J503" s="450"/>
      <c r="K503" s="451"/>
      <c r="L503" s="451"/>
      <c r="M503" s="429" t="str">
        <f t="shared" si="7"/>
        <v/>
      </c>
      <c r="N503" s="451"/>
      <c r="O503" s="451"/>
      <c r="P503" s="431"/>
      <c r="Q503" s="431"/>
      <c r="R503" s="431"/>
      <c r="S503" s="431"/>
    </row>
    <row r="504">
      <c r="A504" s="444"/>
      <c r="B504" s="444"/>
      <c r="C504" s="445"/>
      <c r="D504" s="446"/>
      <c r="E504" s="447"/>
      <c r="F504" s="448"/>
      <c r="G504" s="449"/>
      <c r="H504" s="448"/>
      <c r="I504" s="448"/>
      <c r="J504" s="450"/>
      <c r="K504" s="451"/>
      <c r="L504" s="451"/>
      <c r="M504" s="429" t="str">
        <f t="shared" si="7"/>
        <v/>
      </c>
      <c r="N504" s="451"/>
      <c r="O504" s="451"/>
      <c r="P504" s="431"/>
      <c r="Q504" s="431"/>
      <c r="R504" s="431"/>
      <c r="S504" s="431"/>
    </row>
    <row r="505">
      <c r="A505" s="444"/>
      <c r="B505" s="444"/>
      <c r="C505" s="445"/>
      <c r="D505" s="446"/>
      <c r="E505" s="447"/>
      <c r="F505" s="448"/>
      <c r="G505" s="449"/>
      <c r="H505" s="448"/>
      <c r="I505" s="448"/>
      <c r="J505" s="450"/>
      <c r="K505" s="451"/>
      <c r="L505" s="451"/>
      <c r="M505" s="429" t="str">
        <f t="shared" si="7"/>
        <v/>
      </c>
      <c r="N505" s="451"/>
      <c r="O505" s="451"/>
      <c r="P505" s="431"/>
      <c r="Q505" s="431"/>
      <c r="R505" s="431"/>
      <c r="S505" s="431"/>
    </row>
    <row r="506">
      <c r="A506" s="444"/>
      <c r="B506" s="444"/>
      <c r="C506" s="445"/>
      <c r="D506" s="446"/>
      <c r="E506" s="447"/>
      <c r="F506" s="448"/>
      <c r="G506" s="449"/>
      <c r="H506" s="448"/>
      <c r="I506" s="448"/>
      <c r="J506" s="450"/>
      <c r="K506" s="451"/>
      <c r="L506" s="451"/>
      <c r="M506" s="429" t="str">
        <f t="shared" si="7"/>
        <v/>
      </c>
      <c r="N506" s="451"/>
      <c r="O506" s="451"/>
      <c r="P506" s="431"/>
      <c r="Q506" s="431"/>
      <c r="R506" s="431"/>
      <c r="S506" s="431"/>
    </row>
    <row r="507">
      <c r="A507" s="444"/>
      <c r="B507" s="444"/>
      <c r="C507" s="445"/>
      <c r="D507" s="446"/>
      <c r="E507" s="447"/>
      <c r="F507" s="448"/>
      <c r="G507" s="449"/>
      <c r="H507" s="448"/>
      <c r="I507" s="448"/>
      <c r="J507" s="450"/>
      <c r="K507" s="451"/>
      <c r="L507" s="451"/>
      <c r="M507" s="429" t="str">
        <f t="shared" si="7"/>
        <v/>
      </c>
      <c r="N507" s="451"/>
      <c r="O507" s="451"/>
      <c r="P507" s="431"/>
      <c r="Q507" s="431"/>
      <c r="R507" s="431"/>
      <c r="S507" s="431"/>
    </row>
    <row r="508">
      <c r="A508" s="444"/>
      <c r="B508" s="444"/>
      <c r="C508" s="445"/>
      <c r="D508" s="446"/>
      <c r="E508" s="447"/>
      <c r="F508" s="448"/>
      <c r="G508" s="449"/>
      <c r="H508" s="448"/>
      <c r="I508" s="448"/>
      <c r="J508" s="450"/>
      <c r="K508" s="451"/>
      <c r="L508" s="451"/>
      <c r="M508" s="429" t="str">
        <f t="shared" si="7"/>
        <v/>
      </c>
      <c r="N508" s="451"/>
      <c r="O508" s="451"/>
      <c r="P508" s="431"/>
      <c r="Q508" s="431"/>
      <c r="R508" s="431"/>
      <c r="S508" s="431"/>
    </row>
    <row r="509">
      <c r="A509" s="444"/>
      <c r="B509" s="444"/>
      <c r="C509" s="445"/>
      <c r="D509" s="446"/>
      <c r="E509" s="447"/>
      <c r="F509" s="448"/>
      <c r="G509" s="449"/>
      <c r="H509" s="448"/>
      <c r="I509" s="448"/>
      <c r="J509" s="450"/>
      <c r="K509" s="451"/>
      <c r="L509" s="451"/>
      <c r="M509" s="429" t="str">
        <f t="shared" si="7"/>
        <v/>
      </c>
      <c r="N509" s="451"/>
      <c r="O509" s="451"/>
      <c r="P509" s="431"/>
      <c r="Q509" s="431"/>
      <c r="R509" s="431"/>
      <c r="S509" s="431"/>
    </row>
    <row r="510">
      <c r="A510" s="444"/>
      <c r="B510" s="444"/>
      <c r="C510" s="445"/>
      <c r="D510" s="446"/>
      <c r="E510" s="447"/>
      <c r="F510" s="448"/>
      <c r="G510" s="449"/>
      <c r="H510" s="448"/>
      <c r="I510" s="448"/>
      <c r="J510" s="450"/>
      <c r="K510" s="451"/>
      <c r="L510" s="451"/>
      <c r="M510" s="429" t="str">
        <f t="shared" si="7"/>
        <v/>
      </c>
      <c r="N510" s="451"/>
      <c r="O510" s="451"/>
      <c r="P510" s="431"/>
      <c r="Q510" s="431"/>
      <c r="R510" s="431"/>
      <c r="S510" s="431"/>
    </row>
    <row r="511">
      <c r="A511" s="444"/>
      <c r="B511" s="444"/>
      <c r="C511" s="445"/>
      <c r="D511" s="446"/>
      <c r="E511" s="447"/>
      <c r="F511" s="448"/>
      <c r="G511" s="449"/>
      <c r="H511" s="448"/>
      <c r="I511" s="448"/>
      <c r="J511" s="450"/>
      <c r="K511" s="451"/>
      <c r="L511" s="451"/>
      <c r="M511" s="429" t="str">
        <f t="shared" si="7"/>
        <v/>
      </c>
      <c r="N511" s="451"/>
      <c r="O511" s="451"/>
      <c r="P511" s="431"/>
      <c r="Q511" s="431"/>
      <c r="R511" s="431"/>
      <c r="S511" s="431"/>
    </row>
    <row r="512">
      <c r="A512" s="444"/>
      <c r="B512" s="444"/>
      <c r="C512" s="445"/>
      <c r="D512" s="446"/>
      <c r="E512" s="447"/>
      <c r="F512" s="448"/>
      <c r="G512" s="449"/>
      <c r="H512" s="448"/>
      <c r="I512" s="448"/>
      <c r="J512" s="450"/>
      <c r="K512" s="451"/>
      <c r="L512" s="451"/>
      <c r="M512" s="429" t="str">
        <f t="shared" si="7"/>
        <v/>
      </c>
      <c r="N512" s="451"/>
      <c r="O512" s="451"/>
      <c r="P512" s="431"/>
      <c r="Q512" s="431"/>
      <c r="R512" s="431"/>
      <c r="S512" s="431"/>
    </row>
    <row r="513">
      <c r="A513" s="444"/>
      <c r="B513" s="444"/>
      <c r="C513" s="445"/>
      <c r="D513" s="446"/>
      <c r="E513" s="447"/>
      <c r="F513" s="448"/>
      <c r="G513" s="449"/>
      <c r="H513" s="448"/>
      <c r="I513" s="448"/>
      <c r="J513" s="450"/>
      <c r="K513" s="451"/>
      <c r="L513" s="451"/>
      <c r="M513" s="429" t="str">
        <f t="shared" si="7"/>
        <v/>
      </c>
      <c r="N513" s="451"/>
      <c r="O513" s="451"/>
      <c r="P513" s="431"/>
      <c r="Q513" s="431"/>
      <c r="R513" s="431"/>
      <c r="S513" s="431"/>
    </row>
    <row r="514">
      <c r="A514" s="444"/>
      <c r="B514" s="444"/>
      <c r="C514" s="445"/>
      <c r="D514" s="446"/>
      <c r="E514" s="447"/>
      <c r="F514" s="448"/>
      <c r="G514" s="449"/>
      <c r="H514" s="448"/>
      <c r="I514" s="448"/>
      <c r="J514" s="450"/>
      <c r="K514" s="451"/>
      <c r="L514" s="451"/>
      <c r="M514" s="429" t="str">
        <f t="shared" si="7"/>
        <v/>
      </c>
      <c r="N514" s="451"/>
      <c r="O514" s="451"/>
      <c r="P514" s="431"/>
      <c r="Q514" s="431"/>
      <c r="R514" s="431"/>
      <c r="S514" s="431"/>
    </row>
    <row r="515">
      <c r="A515" s="444"/>
      <c r="B515" s="444"/>
      <c r="C515" s="445"/>
      <c r="D515" s="446"/>
      <c r="E515" s="447"/>
      <c r="F515" s="448"/>
      <c r="G515" s="449"/>
      <c r="H515" s="448"/>
      <c r="I515" s="448"/>
      <c r="J515" s="450"/>
      <c r="K515" s="451"/>
      <c r="L515" s="451"/>
      <c r="M515" s="429" t="str">
        <f t="shared" si="7"/>
        <v/>
      </c>
      <c r="N515" s="451"/>
      <c r="O515" s="451"/>
      <c r="P515" s="431"/>
      <c r="Q515" s="431"/>
      <c r="R515" s="431"/>
      <c r="S515" s="431"/>
    </row>
    <row r="516">
      <c r="A516" s="444"/>
      <c r="B516" s="444"/>
      <c r="C516" s="445"/>
      <c r="D516" s="446"/>
      <c r="E516" s="447"/>
      <c r="F516" s="448"/>
      <c r="G516" s="449"/>
      <c r="H516" s="448"/>
      <c r="I516" s="448"/>
      <c r="J516" s="450"/>
      <c r="K516" s="451"/>
      <c r="L516" s="451"/>
      <c r="M516" s="429" t="str">
        <f t="shared" si="7"/>
        <v/>
      </c>
      <c r="N516" s="451"/>
      <c r="O516" s="451"/>
      <c r="P516" s="431"/>
      <c r="Q516" s="431"/>
      <c r="R516" s="431"/>
      <c r="S516" s="431"/>
    </row>
    <row r="517">
      <c r="A517" s="444"/>
      <c r="B517" s="444"/>
      <c r="C517" s="445"/>
      <c r="D517" s="446"/>
      <c r="E517" s="447"/>
      <c r="F517" s="448"/>
      <c r="G517" s="449"/>
      <c r="H517" s="448"/>
      <c r="I517" s="448"/>
      <c r="J517" s="450"/>
      <c r="K517" s="451"/>
      <c r="L517" s="451"/>
      <c r="M517" s="429" t="str">
        <f t="shared" si="7"/>
        <v/>
      </c>
      <c r="N517" s="451"/>
      <c r="O517" s="451"/>
      <c r="P517" s="451"/>
      <c r="Q517" s="451"/>
      <c r="R517" s="451"/>
      <c r="S517" s="451"/>
    </row>
    <row r="518">
      <c r="A518" s="444"/>
      <c r="B518" s="444"/>
      <c r="C518" s="445"/>
      <c r="D518" s="446"/>
      <c r="E518" s="447"/>
      <c r="F518" s="448"/>
      <c r="G518" s="449"/>
      <c r="H518" s="448"/>
      <c r="I518" s="448"/>
      <c r="J518" s="450"/>
      <c r="K518" s="451"/>
      <c r="L518" s="451"/>
      <c r="M518" s="429" t="str">
        <f t="shared" si="7"/>
        <v/>
      </c>
      <c r="N518" s="451"/>
      <c r="O518" s="451"/>
      <c r="P518" s="451"/>
      <c r="Q518" s="451"/>
      <c r="R518" s="451"/>
      <c r="S518" s="451"/>
    </row>
    <row r="519">
      <c r="A519" s="444"/>
      <c r="B519" s="444"/>
      <c r="C519" s="445"/>
      <c r="D519" s="446"/>
      <c r="E519" s="447"/>
      <c r="F519" s="448"/>
      <c r="G519" s="449"/>
      <c r="H519" s="448"/>
      <c r="I519" s="448"/>
      <c r="J519" s="450"/>
      <c r="K519" s="451"/>
      <c r="L519" s="451"/>
      <c r="M519" s="429" t="str">
        <f t="shared" si="7"/>
        <v/>
      </c>
      <c r="N519" s="451"/>
      <c r="O519" s="451"/>
      <c r="P519" s="451"/>
      <c r="Q519" s="451"/>
      <c r="R519" s="451"/>
      <c r="S519" s="451"/>
    </row>
    <row r="520">
      <c r="A520" s="444"/>
      <c r="B520" s="444"/>
      <c r="C520" s="445"/>
      <c r="D520" s="446"/>
      <c r="E520" s="447"/>
      <c r="F520" s="448"/>
      <c r="G520" s="449"/>
      <c r="H520" s="448"/>
      <c r="I520" s="448"/>
      <c r="J520" s="450"/>
      <c r="K520" s="451"/>
      <c r="L520" s="451"/>
      <c r="M520" s="429" t="str">
        <f t="shared" si="7"/>
        <v/>
      </c>
      <c r="N520" s="451"/>
      <c r="O520" s="451"/>
      <c r="P520" s="451"/>
      <c r="Q520" s="451"/>
      <c r="R520" s="451"/>
      <c r="S520" s="451"/>
    </row>
    <row r="521">
      <c r="A521" s="444"/>
      <c r="B521" s="444"/>
      <c r="C521" s="445"/>
      <c r="D521" s="446"/>
      <c r="E521" s="447"/>
      <c r="F521" s="448"/>
      <c r="G521" s="449"/>
      <c r="H521" s="448"/>
      <c r="I521" s="448"/>
      <c r="J521" s="450"/>
      <c r="K521" s="451"/>
      <c r="L521" s="451"/>
      <c r="M521" s="429" t="str">
        <f t="shared" si="7"/>
        <v/>
      </c>
      <c r="N521" s="451"/>
      <c r="O521" s="451"/>
      <c r="P521" s="451"/>
      <c r="Q521" s="451"/>
      <c r="R521" s="451"/>
      <c r="S521" s="451"/>
    </row>
    <row r="522">
      <c r="A522" s="444"/>
      <c r="B522" s="444"/>
      <c r="C522" s="445"/>
      <c r="D522" s="446"/>
      <c r="E522" s="447"/>
      <c r="F522" s="448"/>
      <c r="G522" s="449"/>
      <c r="H522" s="448"/>
      <c r="I522" s="448"/>
      <c r="J522" s="450"/>
      <c r="K522" s="451"/>
      <c r="L522" s="451"/>
      <c r="M522" s="429" t="str">
        <f t="shared" si="7"/>
        <v/>
      </c>
      <c r="N522" s="451"/>
      <c r="O522" s="451"/>
      <c r="P522" s="451"/>
      <c r="Q522" s="451"/>
      <c r="R522" s="451"/>
      <c r="S522" s="451"/>
    </row>
    <row r="523">
      <c r="A523" s="444"/>
      <c r="B523" s="444"/>
      <c r="C523" s="445"/>
      <c r="D523" s="446"/>
      <c r="E523" s="447"/>
      <c r="F523" s="448"/>
      <c r="G523" s="449"/>
      <c r="H523" s="448"/>
      <c r="I523" s="448"/>
      <c r="J523" s="450"/>
      <c r="K523" s="451"/>
      <c r="L523" s="451"/>
      <c r="M523" s="429" t="str">
        <f t="shared" si="7"/>
        <v/>
      </c>
      <c r="N523" s="451"/>
      <c r="O523" s="451"/>
      <c r="P523" s="451"/>
      <c r="Q523" s="451"/>
      <c r="R523" s="451"/>
      <c r="S523" s="451"/>
    </row>
    <row r="524">
      <c r="A524" s="444"/>
      <c r="B524" s="444"/>
      <c r="C524" s="445"/>
      <c r="D524" s="446"/>
      <c r="E524" s="447"/>
      <c r="F524" s="448"/>
      <c r="G524" s="449"/>
      <c r="H524" s="448"/>
      <c r="I524" s="448"/>
      <c r="J524" s="450"/>
      <c r="K524" s="451"/>
      <c r="L524" s="451"/>
      <c r="M524" s="429" t="str">
        <f t="shared" si="7"/>
        <v/>
      </c>
      <c r="N524" s="451"/>
      <c r="O524" s="451"/>
      <c r="P524" s="451"/>
      <c r="Q524" s="451"/>
      <c r="R524" s="451"/>
      <c r="S524" s="451"/>
    </row>
    <row r="525">
      <c r="A525" s="444"/>
      <c r="B525" s="444"/>
      <c r="C525" s="445"/>
      <c r="D525" s="446"/>
      <c r="E525" s="447"/>
      <c r="F525" s="448"/>
      <c r="G525" s="449"/>
      <c r="H525" s="448"/>
      <c r="I525" s="448"/>
      <c r="J525" s="450"/>
      <c r="K525" s="451"/>
      <c r="L525" s="451"/>
      <c r="M525" s="429" t="str">
        <f t="shared" si="7"/>
        <v/>
      </c>
      <c r="N525" s="451"/>
      <c r="O525" s="451"/>
      <c r="P525" s="451"/>
      <c r="Q525" s="451"/>
      <c r="R525" s="451"/>
      <c r="S525" s="451"/>
    </row>
    <row r="526">
      <c r="A526" s="444"/>
      <c r="B526" s="444"/>
      <c r="C526" s="445"/>
      <c r="D526" s="446"/>
      <c r="E526" s="447"/>
      <c r="F526" s="448"/>
      <c r="G526" s="449"/>
      <c r="H526" s="448"/>
      <c r="I526" s="448"/>
      <c r="J526" s="450"/>
      <c r="K526" s="451"/>
      <c r="L526" s="451"/>
      <c r="M526" s="429" t="str">
        <f t="shared" si="7"/>
        <v/>
      </c>
      <c r="N526" s="451"/>
      <c r="O526" s="451"/>
      <c r="P526" s="451"/>
      <c r="Q526" s="451"/>
      <c r="R526" s="451"/>
      <c r="S526" s="451"/>
    </row>
    <row r="527">
      <c r="A527" s="444"/>
      <c r="B527" s="444"/>
      <c r="C527" s="445"/>
      <c r="D527" s="446"/>
      <c r="E527" s="447"/>
      <c r="F527" s="448"/>
      <c r="G527" s="449"/>
      <c r="H527" s="448"/>
      <c r="I527" s="448"/>
      <c r="J527" s="450"/>
      <c r="K527" s="451"/>
      <c r="L527" s="451"/>
      <c r="M527" s="429" t="str">
        <f t="shared" si="7"/>
        <v/>
      </c>
      <c r="N527" s="451"/>
      <c r="O527" s="451"/>
      <c r="P527" s="451"/>
      <c r="Q527" s="451"/>
      <c r="R527" s="451"/>
      <c r="S527" s="451"/>
    </row>
    <row r="528">
      <c r="A528" s="444"/>
      <c r="B528" s="444"/>
      <c r="C528" s="445"/>
      <c r="D528" s="446"/>
      <c r="E528" s="447"/>
      <c r="F528" s="448"/>
      <c r="G528" s="449"/>
      <c r="H528" s="448"/>
      <c r="I528" s="448"/>
      <c r="J528" s="450"/>
      <c r="K528" s="451"/>
      <c r="L528" s="451"/>
      <c r="M528" s="429" t="str">
        <f t="shared" si="7"/>
        <v/>
      </c>
      <c r="N528" s="451"/>
      <c r="O528" s="451"/>
      <c r="P528" s="451"/>
      <c r="Q528" s="451"/>
      <c r="R528" s="451"/>
      <c r="S528" s="451"/>
    </row>
    <row r="529">
      <c r="A529" s="444"/>
      <c r="B529" s="444"/>
      <c r="C529" s="445"/>
      <c r="D529" s="446"/>
      <c r="E529" s="447"/>
      <c r="F529" s="448"/>
      <c r="G529" s="449"/>
      <c r="H529" s="448"/>
      <c r="I529" s="448"/>
      <c r="J529" s="450"/>
      <c r="K529" s="451"/>
      <c r="L529" s="451"/>
      <c r="M529" s="429" t="str">
        <f t="shared" si="7"/>
        <v/>
      </c>
      <c r="N529" s="451"/>
      <c r="O529" s="451"/>
      <c r="P529" s="451"/>
      <c r="Q529" s="451"/>
      <c r="R529" s="451"/>
      <c r="S529" s="451"/>
    </row>
    <row r="530">
      <c r="A530" s="444"/>
      <c r="B530" s="444"/>
      <c r="C530" s="445"/>
      <c r="D530" s="446"/>
      <c r="E530" s="447"/>
      <c r="F530" s="448"/>
      <c r="G530" s="449"/>
      <c r="H530" s="448"/>
      <c r="I530" s="448"/>
      <c r="J530" s="450"/>
      <c r="K530" s="451"/>
      <c r="L530" s="451"/>
      <c r="M530" s="429" t="str">
        <f t="shared" si="7"/>
        <v/>
      </c>
      <c r="N530" s="451"/>
      <c r="O530" s="451"/>
      <c r="P530" s="451"/>
      <c r="Q530" s="451"/>
      <c r="R530" s="451"/>
      <c r="S530" s="451"/>
    </row>
    <row r="531">
      <c r="A531" s="444"/>
      <c r="B531" s="444"/>
      <c r="C531" s="445"/>
      <c r="D531" s="446"/>
      <c r="E531" s="447"/>
      <c r="F531" s="448"/>
      <c r="G531" s="449"/>
      <c r="H531" s="448"/>
      <c r="I531" s="448"/>
      <c r="J531" s="450"/>
      <c r="K531" s="451"/>
      <c r="L531" s="451"/>
      <c r="M531" s="429" t="str">
        <f t="shared" si="7"/>
        <v/>
      </c>
      <c r="N531" s="451"/>
      <c r="O531" s="451"/>
      <c r="P531" s="451"/>
      <c r="Q531" s="451"/>
      <c r="R531" s="451"/>
      <c r="S531" s="451"/>
    </row>
    <row r="532">
      <c r="A532" s="444"/>
      <c r="B532" s="444"/>
      <c r="C532" s="445"/>
      <c r="D532" s="446"/>
      <c r="E532" s="447"/>
      <c r="F532" s="448"/>
      <c r="G532" s="449"/>
      <c r="H532" s="448"/>
      <c r="I532" s="448"/>
      <c r="J532" s="450"/>
      <c r="K532" s="451"/>
      <c r="L532" s="451"/>
      <c r="M532" s="429" t="str">
        <f t="shared" si="7"/>
        <v/>
      </c>
      <c r="N532" s="451"/>
      <c r="O532" s="451"/>
      <c r="P532" s="451"/>
      <c r="Q532" s="451"/>
      <c r="R532" s="451"/>
      <c r="S532" s="451"/>
    </row>
    <row r="533">
      <c r="A533" s="444"/>
      <c r="B533" s="444"/>
      <c r="C533" s="445"/>
      <c r="D533" s="446"/>
      <c r="E533" s="447"/>
      <c r="F533" s="448"/>
      <c r="G533" s="449"/>
      <c r="H533" s="448"/>
      <c r="I533" s="448"/>
      <c r="J533" s="450"/>
      <c r="K533" s="451"/>
      <c r="L533" s="451"/>
      <c r="M533" s="429" t="str">
        <f t="shared" si="7"/>
        <v/>
      </c>
      <c r="N533" s="451"/>
      <c r="O533" s="451"/>
      <c r="P533" s="451"/>
      <c r="Q533" s="451"/>
      <c r="R533" s="451"/>
      <c r="S533" s="451"/>
    </row>
    <row r="534">
      <c r="A534" s="444"/>
      <c r="B534" s="444"/>
      <c r="C534" s="445"/>
      <c r="D534" s="446"/>
      <c r="E534" s="447"/>
      <c r="F534" s="448"/>
      <c r="G534" s="449"/>
      <c r="H534" s="448"/>
      <c r="I534" s="448"/>
      <c r="J534" s="450"/>
      <c r="K534" s="451"/>
      <c r="L534" s="451"/>
      <c r="M534" s="429" t="str">
        <f t="shared" si="7"/>
        <v/>
      </c>
      <c r="N534" s="451"/>
      <c r="O534" s="451"/>
      <c r="P534" s="451"/>
      <c r="Q534" s="451"/>
      <c r="R534" s="451"/>
      <c r="S534" s="451"/>
    </row>
    <row r="535">
      <c r="A535" s="444"/>
      <c r="B535" s="444"/>
      <c r="C535" s="445"/>
      <c r="D535" s="446"/>
      <c r="E535" s="447"/>
      <c r="F535" s="448"/>
      <c r="G535" s="449"/>
      <c r="H535" s="448"/>
      <c r="I535" s="448"/>
      <c r="J535" s="450"/>
      <c r="K535" s="451"/>
      <c r="L535" s="451"/>
      <c r="M535" s="429" t="str">
        <f t="shared" si="7"/>
        <v/>
      </c>
      <c r="N535" s="451"/>
      <c r="O535" s="451"/>
      <c r="P535" s="451"/>
      <c r="Q535" s="451"/>
      <c r="R535" s="451"/>
      <c r="S535" s="451"/>
    </row>
    <row r="536">
      <c r="A536" s="444"/>
      <c r="B536" s="444"/>
      <c r="C536" s="445"/>
      <c r="D536" s="446"/>
      <c r="E536" s="447"/>
      <c r="F536" s="448"/>
      <c r="G536" s="449"/>
      <c r="H536" s="448"/>
      <c r="I536" s="448"/>
      <c r="J536" s="450"/>
      <c r="K536" s="451"/>
      <c r="L536" s="451"/>
      <c r="M536" s="429" t="str">
        <f t="shared" si="7"/>
        <v/>
      </c>
      <c r="N536" s="451"/>
      <c r="O536" s="451"/>
      <c r="P536" s="451"/>
      <c r="Q536" s="451"/>
      <c r="R536" s="451"/>
      <c r="S536" s="451"/>
    </row>
    <row r="537">
      <c r="A537" s="444"/>
      <c r="B537" s="444"/>
      <c r="C537" s="445"/>
      <c r="D537" s="446"/>
      <c r="E537" s="447"/>
      <c r="F537" s="448"/>
      <c r="G537" s="449"/>
      <c r="H537" s="448"/>
      <c r="I537" s="448"/>
      <c r="J537" s="450"/>
      <c r="K537" s="451"/>
      <c r="L537" s="451"/>
      <c r="M537" s="429" t="str">
        <f t="shared" si="7"/>
        <v/>
      </c>
      <c r="N537" s="451"/>
      <c r="O537" s="451"/>
      <c r="P537" s="451"/>
      <c r="Q537" s="451"/>
      <c r="R537" s="451"/>
      <c r="S537" s="451"/>
    </row>
    <row r="538">
      <c r="A538" s="444"/>
      <c r="B538" s="444"/>
      <c r="C538" s="445"/>
      <c r="D538" s="446"/>
      <c r="E538" s="447"/>
      <c r="F538" s="448"/>
      <c r="G538" s="449"/>
      <c r="H538" s="448"/>
      <c r="I538" s="448"/>
      <c r="J538" s="450"/>
      <c r="K538" s="451"/>
      <c r="L538" s="451"/>
      <c r="M538" s="429" t="str">
        <f t="shared" si="7"/>
        <v/>
      </c>
      <c r="N538" s="451"/>
      <c r="O538" s="451"/>
      <c r="P538" s="451"/>
      <c r="Q538" s="451"/>
      <c r="R538" s="451"/>
      <c r="S538" s="451"/>
    </row>
    <row r="539">
      <c r="A539" s="444"/>
      <c r="B539" s="444"/>
      <c r="C539" s="445"/>
      <c r="D539" s="446"/>
      <c r="E539" s="447"/>
      <c r="F539" s="448"/>
      <c r="G539" s="449"/>
      <c r="H539" s="448"/>
      <c r="I539" s="448"/>
      <c r="J539" s="450"/>
      <c r="K539" s="451"/>
      <c r="L539" s="451"/>
      <c r="M539" s="429" t="str">
        <f t="shared" si="7"/>
        <v/>
      </c>
      <c r="N539" s="451"/>
      <c r="O539" s="451"/>
      <c r="P539" s="451"/>
      <c r="Q539" s="451"/>
      <c r="R539" s="451"/>
      <c r="S539" s="451"/>
    </row>
    <row r="540">
      <c r="A540" s="444"/>
      <c r="B540" s="444"/>
      <c r="C540" s="445"/>
      <c r="D540" s="446"/>
      <c r="E540" s="447"/>
      <c r="F540" s="448"/>
      <c r="G540" s="449"/>
      <c r="H540" s="448"/>
      <c r="I540" s="448"/>
      <c r="J540" s="450"/>
      <c r="K540" s="451"/>
      <c r="L540" s="451"/>
      <c r="M540" s="429" t="str">
        <f t="shared" si="7"/>
        <v/>
      </c>
      <c r="N540" s="451"/>
      <c r="O540" s="451"/>
      <c r="P540" s="451"/>
      <c r="Q540" s="451"/>
      <c r="R540" s="451"/>
      <c r="S540" s="451"/>
    </row>
    <row r="541">
      <c r="A541" s="444"/>
      <c r="B541" s="444"/>
      <c r="C541" s="445"/>
      <c r="D541" s="446"/>
      <c r="E541" s="447"/>
      <c r="F541" s="448"/>
      <c r="G541" s="449"/>
      <c r="H541" s="448"/>
      <c r="I541" s="448"/>
      <c r="J541" s="450"/>
      <c r="K541" s="451"/>
      <c r="L541" s="451"/>
      <c r="M541" s="429" t="str">
        <f t="shared" si="7"/>
        <v/>
      </c>
      <c r="N541" s="451"/>
      <c r="O541" s="451"/>
      <c r="P541" s="451"/>
      <c r="Q541" s="451"/>
      <c r="R541" s="451"/>
      <c r="S541" s="451"/>
    </row>
    <row r="542">
      <c r="A542" s="444"/>
      <c r="B542" s="444"/>
      <c r="C542" s="445"/>
      <c r="D542" s="446"/>
      <c r="E542" s="447"/>
      <c r="F542" s="448"/>
      <c r="G542" s="449"/>
      <c r="H542" s="448"/>
      <c r="I542" s="448"/>
      <c r="J542" s="450"/>
      <c r="K542" s="451"/>
      <c r="L542" s="451"/>
      <c r="M542" s="429" t="str">
        <f t="shared" si="7"/>
        <v/>
      </c>
      <c r="N542" s="451"/>
      <c r="O542" s="451"/>
      <c r="P542" s="451"/>
      <c r="Q542" s="451"/>
      <c r="R542" s="451"/>
      <c r="S542" s="451"/>
    </row>
    <row r="543">
      <c r="A543" s="444"/>
      <c r="B543" s="444"/>
      <c r="C543" s="445"/>
      <c r="D543" s="446"/>
      <c r="E543" s="447"/>
      <c r="F543" s="448"/>
      <c r="G543" s="449"/>
      <c r="H543" s="448"/>
      <c r="I543" s="448"/>
      <c r="J543" s="450"/>
      <c r="K543" s="451"/>
      <c r="L543" s="451"/>
      <c r="M543" s="429" t="str">
        <f t="shared" si="7"/>
        <v/>
      </c>
      <c r="N543" s="451"/>
      <c r="O543" s="451"/>
      <c r="P543" s="451"/>
      <c r="Q543" s="451"/>
      <c r="R543" s="451"/>
      <c r="S543" s="451"/>
    </row>
    <row r="544">
      <c r="A544" s="444"/>
      <c r="B544" s="444"/>
      <c r="C544" s="445"/>
      <c r="D544" s="446"/>
      <c r="E544" s="447"/>
      <c r="F544" s="448"/>
      <c r="G544" s="449"/>
      <c r="H544" s="448"/>
      <c r="I544" s="448"/>
      <c r="J544" s="450"/>
      <c r="K544" s="451"/>
      <c r="L544" s="451"/>
      <c r="M544" s="429" t="str">
        <f t="shared" si="7"/>
        <v/>
      </c>
      <c r="N544" s="451"/>
      <c r="O544" s="451"/>
      <c r="P544" s="451"/>
      <c r="Q544" s="451"/>
      <c r="R544" s="451"/>
      <c r="S544" s="451"/>
    </row>
    <row r="545">
      <c r="A545" s="444"/>
      <c r="B545" s="444"/>
      <c r="C545" s="445"/>
      <c r="D545" s="446"/>
      <c r="E545" s="447"/>
      <c r="F545" s="448"/>
      <c r="G545" s="449"/>
      <c r="H545" s="448"/>
      <c r="I545" s="448"/>
      <c r="J545" s="450"/>
      <c r="K545" s="451"/>
      <c r="L545" s="451"/>
      <c r="M545" s="429" t="str">
        <f t="shared" si="7"/>
        <v/>
      </c>
      <c r="N545" s="451"/>
      <c r="O545" s="451"/>
      <c r="P545" s="451"/>
      <c r="Q545" s="451"/>
      <c r="R545" s="451"/>
      <c r="S545" s="451"/>
    </row>
    <row r="546">
      <c r="A546" s="444"/>
      <c r="B546" s="444"/>
      <c r="C546" s="445"/>
      <c r="D546" s="446"/>
      <c r="E546" s="447"/>
      <c r="F546" s="448"/>
      <c r="G546" s="449"/>
      <c r="H546" s="448"/>
      <c r="I546" s="448"/>
      <c r="J546" s="450"/>
      <c r="K546" s="451"/>
      <c r="L546" s="451"/>
      <c r="M546" s="429" t="str">
        <f t="shared" si="7"/>
        <v/>
      </c>
      <c r="N546" s="451"/>
      <c r="O546" s="451"/>
      <c r="P546" s="451"/>
      <c r="Q546" s="451"/>
      <c r="R546" s="451"/>
      <c r="S546" s="451"/>
    </row>
    <row r="547">
      <c r="A547" s="444"/>
      <c r="B547" s="444"/>
      <c r="C547" s="445"/>
      <c r="D547" s="446"/>
      <c r="E547" s="447"/>
      <c r="F547" s="448"/>
      <c r="G547" s="449"/>
      <c r="H547" s="448"/>
      <c r="I547" s="448"/>
      <c r="J547" s="450"/>
      <c r="K547" s="451"/>
      <c r="L547" s="451"/>
      <c r="M547" s="429" t="str">
        <f t="shared" si="7"/>
        <v/>
      </c>
      <c r="N547" s="451"/>
      <c r="O547" s="451"/>
      <c r="P547" s="451"/>
      <c r="Q547" s="451"/>
      <c r="R547" s="451"/>
      <c r="S547" s="451"/>
    </row>
    <row r="548">
      <c r="A548" s="444"/>
      <c r="B548" s="444"/>
      <c r="C548" s="445"/>
      <c r="D548" s="446"/>
      <c r="E548" s="447"/>
      <c r="F548" s="448"/>
      <c r="G548" s="449"/>
      <c r="H548" s="448"/>
      <c r="I548" s="448"/>
      <c r="J548" s="450"/>
      <c r="K548" s="451"/>
      <c r="L548" s="451"/>
      <c r="M548" s="429" t="str">
        <f t="shared" si="7"/>
        <v/>
      </c>
      <c r="N548" s="451"/>
      <c r="O548" s="451"/>
      <c r="P548" s="451"/>
      <c r="Q548" s="451"/>
      <c r="R548" s="451"/>
      <c r="S548" s="451"/>
    </row>
    <row r="549">
      <c r="A549" s="444"/>
      <c r="B549" s="444"/>
      <c r="C549" s="445"/>
      <c r="D549" s="446"/>
      <c r="E549" s="447"/>
      <c r="F549" s="448"/>
      <c r="G549" s="449"/>
      <c r="H549" s="448"/>
      <c r="I549" s="448"/>
      <c r="J549" s="450"/>
      <c r="K549" s="451"/>
      <c r="L549" s="451"/>
      <c r="M549" s="429" t="str">
        <f t="shared" si="7"/>
        <v/>
      </c>
      <c r="N549" s="451"/>
      <c r="O549" s="451"/>
      <c r="P549" s="451"/>
      <c r="Q549" s="451"/>
      <c r="R549" s="451"/>
      <c r="S549" s="451"/>
    </row>
    <row r="550">
      <c r="A550" s="444"/>
      <c r="B550" s="444"/>
      <c r="C550" s="445"/>
      <c r="D550" s="446"/>
      <c r="E550" s="447"/>
      <c r="F550" s="448"/>
      <c r="G550" s="449"/>
      <c r="H550" s="448"/>
      <c r="I550" s="448"/>
      <c r="J550" s="450"/>
      <c r="K550" s="451"/>
      <c r="L550" s="451"/>
      <c r="M550" s="429" t="str">
        <f t="shared" si="7"/>
        <v/>
      </c>
      <c r="N550" s="451"/>
      <c r="O550" s="451"/>
      <c r="P550" s="451"/>
      <c r="Q550" s="451"/>
      <c r="R550" s="451"/>
      <c r="S550" s="451"/>
    </row>
    <row r="551">
      <c r="A551" s="444"/>
      <c r="B551" s="444"/>
      <c r="C551" s="445"/>
      <c r="D551" s="446"/>
      <c r="E551" s="447"/>
      <c r="F551" s="448"/>
      <c r="G551" s="449"/>
      <c r="H551" s="448"/>
      <c r="I551" s="448"/>
      <c r="J551" s="450"/>
      <c r="K551" s="451"/>
      <c r="L551" s="451"/>
      <c r="M551" s="429" t="str">
        <f t="shared" si="7"/>
        <v/>
      </c>
      <c r="N551" s="451"/>
      <c r="O551" s="451"/>
      <c r="P551" s="451"/>
      <c r="Q551" s="451"/>
      <c r="R551" s="451"/>
      <c r="S551" s="451"/>
    </row>
    <row r="552">
      <c r="A552" s="444"/>
      <c r="B552" s="444"/>
      <c r="C552" s="445"/>
      <c r="D552" s="446"/>
      <c r="E552" s="447"/>
      <c r="F552" s="448"/>
      <c r="G552" s="449"/>
      <c r="H552" s="448"/>
      <c r="I552" s="448"/>
      <c r="J552" s="450"/>
      <c r="K552" s="451"/>
      <c r="L552" s="451"/>
      <c r="M552" s="429" t="str">
        <f t="shared" si="7"/>
        <v/>
      </c>
      <c r="N552" s="451"/>
      <c r="O552" s="451"/>
      <c r="P552" s="451"/>
      <c r="Q552" s="451"/>
      <c r="R552" s="451"/>
      <c r="S552" s="451"/>
    </row>
    <row r="553">
      <c r="A553" s="444"/>
      <c r="B553" s="444"/>
      <c r="C553" s="445"/>
      <c r="D553" s="446"/>
      <c r="E553" s="447"/>
      <c r="F553" s="448"/>
      <c r="G553" s="449"/>
      <c r="H553" s="448"/>
      <c r="I553" s="448"/>
      <c r="J553" s="450"/>
      <c r="K553" s="451"/>
      <c r="L553" s="451"/>
      <c r="M553" s="429" t="str">
        <f t="shared" si="7"/>
        <v/>
      </c>
      <c r="N553" s="451"/>
      <c r="O553" s="451"/>
      <c r="P553" s="451"/>
      <c r="Q553" s="451"/>
      <c r="R553" s="451"/>
      <c r="S553" s="451"/>
    </row>
    <row r="554">
      <c r="A554" s="444"/>
      <c r="B554" s="444"/>
      <c r="C554" s="445"/>
      <c r="D554" s="446"/>
      <c r="E554" s="447"/>
      <c r="F554" s="448"/>
      <c r="G554" s="449"/>
      <c r="H554" s="448"/>
      <c r="I554" s="448"/>
      <c r="J554" s="450"/>
      <c r="K554" s="451"/>
      <c r="L554" s="451"/>
      <c r="M554" s="429" t="str">
        <f t="shared" si="7"/>
        <v/>
      </c>
      <c r="N554" s="451"/>
      <c r="O554" s="451"/>
      <c r="P554" s="451"/>
      <c r="Q554" s="451"/>
      <c r="R554" s="451"/>
      <c r="S554" s="451"/>
    </row>
    <row r="555">
      <c r="A555" s="444"/>
      <c r="B555" s="444"/>
      <c r="C555" s="445"/>
      <c r="D555" s="446"/>
      <c r="E555" s="447"/>
      <c r="F555" s="448"/>
      <c r="G555" s="449"/>
      <c r="H555" s="448"/>
      <c r="I555" s="448"/>
      <c r="J555" s="450"/>
      <c r="K555" s="451"/>
      <c r="L555" s="451"/>
      <c r="M555" s="429" t="str">
        <f t="shared" si="7"/>
        <v/>
      </c>
      <c r="N555" s="451"/>
      <c r="O555" s="451"/>
      <c r="P555" s="451"/>
      <c r="Q555" s="451"/>
      <c r="R555" s="451"/>
      <c r="S555" s="451"/>
    </row>
    <row r="556">
      <c r="A556" s="444"/>
      <c r="B556" s="444"/>
      <c r="C556" s="445"/>
      <c r="D556" s="446"/>
      <c r="E556" s="447"/>
      <c r="F556" s="448"/>
      <c r="G556" s="449"/>
      <c r="H556" s="448"/>
      <c r="I556" s="448"/>
      <c r="J556" s="450"/>
      <c r="K556" s="451"/>
      <c r="L556" s="451"/>
      <c r="M556" s="429" t="str">
        <f t="shared" si="7"/>
        <v/>
      </c>
      <c r="N556" s="451"/>
      <c r="O556" s="451"/>
      <c r="P556" s="451"/>
      <c r="Q556" s="451"/>
      <c r="R556" s="451"/>
      <c r="S556" s="451"/>
    </row>
    <row r="557">
      <c r="A557" s="444"/>
      <c r="B557" s="444"/>
      <c r="C557" s="445"/>
      <c r="D557" s="446"/>
      <c r="E557" s="447"/>
      <c r="F557" s="448"/>
      <c r="G557" s="449"/>
      <c r="H557" s="448"/>
      <c r="I557" s="448"/>
      <c r="J557" s="450"/>
      <c r="K557" s="451"/>
      <c r="L557" s="451"/>
      <c r="M557" s="429" t="str">
        <f t="shared" si="7"/>
        <v/>
      </c>
      <c r="N557" s="451"/>
      <c r="O557" s="451"/>
      <c r="P557" s="451"/>
      <c r="Q557" s="451"/>
      <c r="R557" s="451"/>
      <c r="S557" s="451"/>
    </row>
    <row r="558">
      <c r="A558" s="444"/>
      <c r="B558" s="444"/>
      <c r="C558" s="445"/>
      <c r="D558" s="446"/>
      <c r="E558" s="447"/>
      <c r="F558" s="448"/>
      <c r="G558" s="449"/>
      <c r="H558" s="448"/>
      <c r="I558" s="448"/>
      <c r="J558" s="450"/>
      <c r="K558" s="451"/>
      <c r="L558" s="451"/>
      <c r="M558" s="429" t="str">
        <f t="shared" si="7"/>
        <v/>
      </c>
      <c r="N558" s="451"/>
      <c r="O558" s="451"/>
      <c r="P558" s="451"/>
      <c r="Q558" s="451"/>
      <c r="R558" s="451"/>
      <c r="S558" s="451"/>
    </row>
    <row r="559">
      <c r="A559" s="444"/>
      <c r="B559" s="444"/>
      <c r="C559" s="445"/>
      <c r="D559" s="446"/>
      <c r="E559" s="447"/>
      <c r="F559" s="448"/>
      <c r="G559" s="449"/>
      <c r="H559" s="448"/>
      <c r="I559" s="448"/>
      <c r="J559" s="450"/>
      <c r="K559" s="451"/>
      <c r="L559" s="451"/>
      <c r="M559" s="429" t="str">
        <f t="shared" si="7"/>
        <v/>
      </c>
      <c r="N559" s="451"/>
      <c r="O559" s="451"/>
      <c r="P559" s="451"/>
      <c r="Q559" s="451"/>
      <c r="R559" s="451"/>
      <c r="S559" s="451"/>
    </row>
    <row r="560">
      <c r="A560" s="444"/>
      <c r="B560" s="444"/>
      <c r="C560" s="445"/>
      <c r="D560" s="446"/>
      <c r="E560" s="447"/>
      <c r="F560" s="448"/>
      <c r="G560" s="449"/>
      <c r="H560" s="448"/>
      <c r="I560" s="448"/>
      <c r="J560" s="450"/>
      <c r="K560" s="451"/>
      <c r="L560" s="451"/>
      <c r="M560" s="429" t="str">
        <f t="shared" si="7"/>
        <v/>
      </c>
      <c r="N560" s="451"/>
      <c r="O560" s="451"/>
      <c r="P560" s="451"/>
      <c r="Q560" s="451"/>
      <c r="R560" s="451"/>
      <c r="S560" s="451"/>
    </row>
    <row r="561">
      <c r="A561" s="444"/>
      <c r="B561" s="444"/>
      <c r="C561" s="445"/>
      <c r="D561" s="446"/>
      <c r="E561" s="447"/>
      <c r="F561" s="448"/>
      <c r="G561" s="449"/>
      <c r="H561" s="448"/>
      <c r="I561" s="448"/>
      <c r="J561" s="450"/>
      <c r="K561" s="451"/>
      <c r="L561" s="451"/>
      <c r="M561" s="429" t="str">
        <f t="shared" si="7"/>
        <v/>
      </c>
      <c r="N561" s="451"/>
      <c r="O561" s="451"/>
      <c r="P561" s="451"/>
      <c r="Q561" s="451"/>
      <c r="R561" s="451"/>
      <c r="S561" s="451"/>
    </row>
    <row r="562">
      <c r="A562" s="444"/>
      <c r="B562" s="444"/>
      <c r="C562" s="445"/>
      <c r="D562" s="446"/>
      <c r="E562" s="447"/>
      <c r="F562" s="448"/>
      <c r="G562" s="449"/>
      <c r="H562" s="448"/>
      <c r="I562" s="448"/>
      <c r="J562" s="450"/>
      <c r="K562" s="451"/>
      <c r="L562" s="451"/>
      <c r="M562" s="429" t="str">
        <f t="shared" si="7"/>
        <v/>
      </c>
      <c r="N562" s="451"/>
      <c r="O562" s="451"/>
      <c r="P562" s="451"/>
      <c r="Q562" s="451"/>
      <c r="R562" s="451"/>
      <c r="S562" s="451"/>
    </row>
    <row r="563">
      <c r="A563" s="444"/>
      <c r="B563" s="444"/>
      <c r="C563" s="445"/>
      <c r="D563" s="446"/>
      <c r="E563" s="447"/>
      <c r="F563" s="448"/>
      <c r="G563" s="449"/>
      <c r="H563" s="448"/>
      <c r="I563" s="448"/>
      <c r="J563" s="450"/>
      <c r="K563" s="451"/>
      <c r="L563" s="451"/>
      <c r="M563" s="429" t="str">
        <f t="shared" si="7"/>
        <v/>
      </c>
      <c r="N563" s="451"/>
      <c r="O563" s="451"/>
      <c r="P563" s="451"/>
      <c r="Q563" s="451"/>
      <c r="R563" s="451"/>
      <c r="S563" s="451"/>
    </row>
    <row r="564">
      <c r="A564" s="444"/>
      <c r="B564" s="444"/>
      <c r="C564" s="445"/>
      <c r="D564" s="446"/>
      <c r="E564" s="447"/>
      <c r="F564" s="448"/>
      <c r="G564" s="449"/>
      <c r="H564" s="448"/>
      <c r="I564" s="448"/>
      <c r="J564" s="450"/>
      <c r="K564" s="451"/>
      <c r="L564" s="451"/>
      <c r="M564" s="429" t="str">
        <f t="shared" si="7"/>
        <v/>
      </c>
      <c r="N564" s="451"/>
      <c r="O564" s="451"/>
      <c r="P564" s="451"/>
      <c r="Q564" s="451"/>
      <c r="R564" s="451"/>
      <c r="S564" s="451"/>
    </row>
    <row r="565">
      <c r="A565" s="444"/>
      <c r="B565" s="444"/>
      <c r="C565" s="445"/>
      <c r="D565" s="446"/>
      <c r="E565" s="447"/>
      <c r="F565" s="448"/>
      <c r="G565" s="449"/>
      <c r="H565" s="448"/>
      <c r="I565" s="448"/>
      <c r="J565" s="450"/>
      <c r="K565" s="451"/>
      <c r="L565" s="451"/>
      <c r="M565" s="429" t="str">
        <f t="shared" si="7"/>
        <v/>
      </c>
      <c r="N565" s="451"/>
      <c r="O565" s="451"/>
      <c r="P565" s="451"/>
      <c r="Q565" s="451"/>
      <c r="R565" s="451"/>
      <c r="S565" s="451"/>
    </row>
    <row r="566">
      <c r="A566" s="444"/>
      <c r="B566" s="444"/>
      <c r="C566" s="445"/>
      <c r="D566" s="446"/>
      <c r="E566" s="447"/>
      <c r="F566" s="448"/>
      <c r="G566" s="449"/>
      <c r="H566" s="448"/>
      <c r="I566" s="448"/>
      <c r="J566" s="450"/>
      <c r="K566" s="451"/>
      <c r="L566" s="451"/>
      <c r="M566" s="429" t="str">
        <f t="shared" si="7"/>
        <v/>
      </c>
      <c r="N566" s="451"/>
      <c r="O566" s="451"/>
      <c r="P566" s="451"/>
      <c r="Q566" s="451"/>
      <c r="R566" s="451"/>
      <c r="S566" s="451"/>
    </row>
    <row r="567">
      <c r="A567" s="444"/>
      <c r="B567" s="444"/>
      <c r="C567" s="445"/>
      <c r="D567" s="446"/>
      <c r="E567" s="447"/>
      <c r="F567" s="448"/>
      <c r="G567" s="449"/>
      <c r="H567" s="448"/>
      <c r="I567" s="448"/>
      <c r="J567" s="450"/>
      <c r="K567" s="451"/>
      <c r="L567" s="451"/>
      <c r="M567" s="429" t="str">
        <f t="shared" si="7"/>
        <v/>
      </c>
      <c r="N567" s="451"/>
      <c r="O567" s="451"/>
      <c r="P567" s="451"/>
      <c r="Q567" s="451"/>
      <c r="R567" s="451"/>
      <c r="S567" s="451"/>
    </row>
    <row r="568">
      <c r="A568" s="444"/>
      <c r="B568" s="444"/>
      <c r="C568" s="445"/>
      <c r="D568" s="446"/>
      <c r="E568" s="447"/>
      <c r="F568" s="448"/>
      <c r="G568" s="449"/>
      <c r="H568" s="448"/>
      <c r="I568" s="448"/>
      <c r="J568" s="450"/>
      <c r="K568" s="451"/>
      <c r="L568" s="451"/>
      <c r="M568" s="429" t="str">
        <f t="shared" si="7"/>
        <v/>
      </c>
      <c r="N568" s="451"/>
      <c r="O568" s="451"/>
      <c r="P568" s="451"/>
      <c r="Q568" s="451"/>
      <c r="R568" s="451"/>
      <c r="S568" s="451"/>
    </row>
    <row r="569">
      <c r="A569" s="444"/>
      <c r="B569" s="444"/>
      <c r="C569" s="445"/>
      <c r="D569" s="446"/>
      <c r="E569" s="447"/>
      <c r="F569" s="448"/>
      <c r="G569" s="449"/>
      <c r="H569" s="448"/>
      <c r="I569" s="448"/>
      <c r="J569" s="450"/>
      <c r="K569" s="451"/>
      <c r="L569" s="451"/>
      <c r="M569" s="429" t="str">
        <f t="shared" si="7"/>
        <v/>
      </c>
      <c r="N569" s="451"/>
      <c r="O569" s="451"/>
      <c r="P569" s="451"/>
      <c r="Q569" s="451"/>
      <c r="R569" s="451"/>
      <c r="S569" s="451"/>
    </row>
    <row r="570">
      <c r="A570" s="444"/>
      <c r="B570" s="444"/>
      <c r="C570" s="445"/>
      <c r="D570" s="446"/>
      <c r="E570" s="447"/>
      <c r="F570" s="448"/>
      <c r="G570" s="449"/>
      <c r="H570" s="448"/>
      <c r="I570" s="448"/>
      <c r="J570" s="450"/>
      <c r="K570" s="451"/>
      <c r="L570" s="451"/>
      <c r="M570" s="429" t="str">
        <f t="shared" si="7"/>
        <v/>
      </c>
      <c r="N570" s="451"/>
      <c r="O570" s="451"/>
      <c r="P570" s="451"/>
      <c r="Q570" s="451"/>
      <c r="R570" s="451"/>
      <c r="S570" s="451"/>
    </row>
    <row r="571">
      <c r="A571" s="444"/>
      <c r="B571" s="444"/>
      <c r="C571" s="445"/>
      <c r="D571" s="446"/>
      <c r="E571" s="447"/>
      <c r="F571" s="448"/>
      <c r="G571" s="449"/>
      <c r="H571" s="448"/>
      <c r="I571" s="448"/>
      <c r="J571" s="450"/>
      <c r="K571" s="451"/>
      <c r="L571" s="451"/>
      <c r="M571" s="429" t="str">
        <f t="shared" si="7"/>
        <v/>
      </c>
      <c r="N571" s="451"/>
      <c r="O571" s="451"/>
      <c r="P571" s="451"/>
      <c r="Q571" s="451"/>
      <c r="R571" s="451"/>
      <c r="S571" s="451"/>
    </row>
    <row r="572">
      <c r="A572" s="444"/>
      <c r="B572" s="444"/>
      <c r="C572" s="445"/>
      <c r="D572" s="446"/>
      <c r="E572" s="447"/>
      <c r="F572" s="448"/>
      <c r="G572" s="449"/>
      <c r="H572" s="448"/>
      <c r="I572" s="448"/>
      <c r="J572" s="450"/>
      <c r="K572" s="451"/>
      <c r="L572" s="451"/>
      <c r="M572" s="429" t="str">
        <f t="shared" si="7"/>
        <v/>
      </c>
      <c r="N572" s="451"/>
      <c r="O572" s="451"/>
      <c r="P572" s="451"/>
      <c r="Q572" s="451"/>
      <c r="R572" s="451"/>
      <c r="S572" s="451"/>
    </row>
    <row r="573">
      <c r="A573" s="444"/>
      <c r="B573" s="444"/>
      <c r="C573" s="445"/>
      <c r="D573" s="446"/>
      <c r="E573" s="447"/>
      <c r="F573" s="448"/>
      <c r="G573" s="449"/>
      <c r="H573" s="448"/>
      <c r="I573" s="448"/>
      <c r="J573" s="450"/>
      <c r="K573" s="451"/>
      <c r="L573" s="451"/>
      <c r="M573" s="429" t="str">
        <f t="shared" si="7"/>
        <v/>
      </c>
      <c r="N573" s="451"/>
      <c r="O573" s="451"/>
      <c r="P573" s="451"/>
      <c r="Q573" s="451"/>
      <c r="R573" s="451"/>
      <c r="S573" s="451"/>
    </row>
    <row r="574">
      <c r="A574" s="444"/>
      <c r="B574" s="444"/>
      <c r="C574" s="445"/>
      <c r="D574" s="446"/>
      <c r="E574" s="447"/>
      <c r="F574" s="448"/>
      <c r="G574" s="449"/>
      <c r="H574" s="448"/>
      <c r="I574" s="448"/>
      <c r="J574" s="450"/>
      <c r="K574" s="451"/>
      <c r="L574" s="451"/>
      <c r="M574" s="429" t="str">
        <f t="shared" si="7"/>
        <v/>
      </c>
      <c r="N574" s="451"/>
      <c r="O574" s="451"/>
      <c r="P574" s="451"/>
      <c r="Q574" s="451"/>
      <c r="R574" s="451"/>
      <c r="S574" s="451"/>
    </row>
    <row r="575">
      <c r="A575" s="444"/>
      <c r="B575" s="444"/>
      <c r="C575" s="445"/>
      <c r="D575" s="446"/>
      <c r="E575" s="447"/>
      <c r="F575" s="448"/>
      <c r="G575" s="449"/>
      <c r="H575" s="448"/>
      <c r="I575" s="448"/>
      <c r="J575" s="450"/>
      <c r="K575" s="451"/>
      <c r="L575" s="451"/>
      <c r="M575" s="429" t="str">
        <f t="shared" si="7"/>
        <v/>
      </c>
      <c r="N575" s="451"/>
      <c r="O575" s="451"/>
      <c r="P575" s="451"/>
      <c r="Q575" s="451"/>
      <c r="R575" s="451"/>
      <c r="S575" s="451"/>
    </row>
    <row r="576">
      <c r="A576" s="444"/>
      <c r="B576" s="444"/>
      <c r="C576" s="445"/>
      <c r="D576" s="446"/>
      <c r="E576" s="447"/>
      <c r="F576" s="448"/>
      <c r="G576" s="449"/>
      <c r="H576" s="448"/>
      <c r="I576" s="448"/>
      <c r="J576" s="450"/>
      <c r="K576" s="451"/>
      <c r="L576" s="451"/>
      <c r="M576" s="429" t="str">
        <f t="shared" si="7"/>
        <v/>
      </c>
      <c r="N576" s="451"/>
      <c r="O576" s="451"/>
      <c r="P576" s="451"/>
      <c r="Q576" s="451"/>
      <c r="R576" s="451"/>
      <c r="S576" s="451"/>
    </row>
    <row r="577">
      <c r="A577" s="444"/>
      <c r="B577" s="444"/>
      <c r="C577" s="445"/>
      <c r="D577" s="446"/>
      <c r="E577" s="447"/>
      <c r="F577" s="448"/>
      <c r="G577" s="449"/>
      <c r="H577" s="448"/>
      <c r="I577" s="448"/>
      <c r="J577" s="450"/>
      <c r="K577" s="451"/>
      <c r="L577" s="451"/>
      <c r="M577" s="429" t="str">
        <f t="shared" si="7"/>
        <v/>
      </c>
      <c r="N577" s="451"/>
      <c r="O577" s="451"/>
      <c r="P577" s="451"/>
      <c r="Q577" s="451"/>
      <c r="R577" s="451"/>
      <c r="S577" s="451"/>
    </row>
    <row r="578">
      <c r="A578" s="444"/>
      <c r="B578" s="444"/>
      <c r="C578" s="445"/>
      <c r="D578" s="446"/>
      <c r="E578" s="447"/>
      <c r="F578" s="448"/>
      <c r="G578" s="449"/>
      <c r="H578" s="448"/>
      <c r="I578" s="448"/>
      <c r="J578" s="450"/>
      <c r="K578" s="451"/>
      <c r="L578" s="451"/>
      <c r="M578" s="429" t="str">
        <f t="shared" si="7"/>
        <v/>
      </c>
      <c r="N578" s="451"/>
      <c r="O578" s="451"/>
      <c r="P578" s="451"/>
      <c r="Q578" s="451"/>
      <c r="R578" s="451"/>
      <c r="S578" s="451"/>
    </row>
    <row r="579">
      <c r="A579" s="444"/>
      <c r="B579" s="444"/>
      <c r="C579" s="445"/>
      <c r="D579" s="446"/>
      <c r="E579" s="447"/>
      <c r="F579" s="448"/>
      <c r="G579" s="449"/>
      <c r="H579" s="448"/>
      <c r="I579" s="448"/>
      <c r="J579" s="450"/>
      <c r="K579" s="451"/>
      <c r="L579" s="451"/>
      <c r="M579" s="429" t="str">
        <f t="shared" si="7"/>
        <v/>
      </c>
      <c r="N579" s="451"/>
      <c r="O579" s="451"/>
      <c r="P579" s="451"/>
      <c r="Q579" s="451"/>
      <c r="R579" s="451"/>
      <c r="S579" s="451"/>
    </row>
    <row r="580">
      <c r="A580" s="444"/>
      <c r="B580" s="444"/>
      <c r="C580" s="445"/>
      <c r="D580" s="446"/>
      <c r="E580" s="447"/>
      <c r="F580" s="448"/>
      <c r="G580" s="449"/>
      <c r="H580" s="448"/>
      <c r="I580" s="448"/>
      <c r="J580" s="450"/>
      <c r="K580" s="451"/>
      <c r="L580" s="451"/>
      <c r="M580" s="429" t="str">
        <f t="shared" si="7"/>
        <v/>
      </c>
      <c r="N580" s="451"/>
      <c r="O580" s="451"/>
      <c r="P580" s="451"/>
      <c r="Q580" s="451"/>
      <c r="R580" s="451"/>
      <c r="S580" s="451"/>
    </row>
    <row r="581">
      <c r="A581" s="444"/>
      <c r="B581" s="444"/>
      <c r="C581" s="445"/>
      <c r="D581" s="446"/>
      <c r="E581" s="447"/>
      <c r="F581" s="448"/>
      <c r="G581" s="449"/>
      <c r="H581" s="448"/>
      <c r="I581" s="448"/>
      <c r="J581" s="450"/>
      <c r="K581" s="451"/>
      <c r="L581" s="451"/>
      <c r="M581" s="429" t="str">
        <f t="shared" si="7"/>
        <v/>
      </c>
      <c r="N581" s="451"/>
      <c r="O581" s="451"/>
      <c r="P581" s="451"/>
      <c r="Q581" s="451"/>
      <c r="R581" s="451"/>
      <c r="S581" s="451"/>
    </row>
    <row r="582">
      <c r="A582" s="444"/>
      <c r="B582" s="444"/>
      <c r="C582" s="445"/>
      <c r="D582" s="446"/>
      <c r="E582" s="447"/>
      <c r="F582" s="448"/>
      <c r="G582" s="449"/>
      <c r="H582" s="448"/>
      <c r="I582" s="448"/>
      <c r="J582" s="450"/>
      <c r="K582" s="451"/>
      <c r="L582" s="451"/>
      <c r="M582" s="429" t="str">
        <f t="shared" si="7"/>
        <v/>
      </c>
      <c r="N582" s="451"/>
      <c r="O582" s="451"/>
      <c r="P582" s="451"/>
      <c r="Q582" s="451"/>
      <c r="R582" s="451"/>
      <c r="S582" s="451"/>
    </row>
    <row r="583">
      <c r="A583" s="444"/>
      <c r="B583" s="444"/>
      <c r="C583" s="445"/>
      <c r="D583" s="446"/>
      <c r="E583" s="447"/>
      <c r="F583" s="448"/>
      <c r="G583" s="449"/>
      <c r="H583" s="448"/>
      <c r="I583" s="448"/>
      <c r="J583" s="450"/>
      <c r="K583" s="451"/>
      <c r="L583" s="451"/>
      <c r="M583" s="429" t="str">
        <f t="shared" si="7"/>
        <v/>
      </c>
      <c r="N583" s="451"/>
      <c r="O583" s="451"/>
      <c r="P583" s="451"/>
      <c r="Q583" s="451"/>
      <c r="R583" s="451"/>
      <c r="S583" s="451"/>
    </row>
    <row r="584">
      <c r="A584" s="444"/>
      <c r="B584" s="444"/>
      <c r="C584" s="445"/>
      <c r="D584" s="446"/>
      <c r="E584" s="447"/>
      <c r="F584" s="448"/>
      <c r="G584" s="449"/>
      <c r="H584" s="448"/>
      <c r="I584" s="448"/>
      <c r="J584" s="450"/>
      <c r="K584" s="451"/>
      <c r="L584" s="451"/>
      <c r="M584" s="429" t="str">
        <f t="shared" si="7"/>
        <v/>
      </c>
      <c r="N584" s="451"/>
      <c r="O584" s="451"/>
      <c r="P584" s="451"/>
      <c r="Q584" s="451"/>
      <c r="R584" s="451"/>
      <c r="S584" s="451"/>
    </row>
    <row r="585">
      <c r="A585" s="444"/>
      <c r="B585" s="444"/>
      <c r="C585" s="445"/>
      <c r="D585" s="446"/>
      <c r="E585" s="447"/>
      <c r="F585" s="448"/>
      <c r="G585" s="449"/>
      <c r="H585" s="448"/>
      <c r="I585" s="448"/>
      <c r="J585" s="450"/>
      <c r="K585" s="451"/>
      <c r="L585" s="451"/>
      <c r="M585" s="429" t="str">
        <f t="shared" si="7"/>
        <v/>
      </c>
      <c r="N585" s="451"/>
      <c r="O585" s="451"/>
      <c r="P585" s="451"/>
      <c r="Q585" s="451"/>
      <c r="R585" s="451"/>
      <c r="S585" s="451"/>
    </row>
    <row r="586">
      <c r="A586" s="444"/>
      <c r="B586" s="444"/>
      <c r="C586" s="445"/>
      <c r="D586" s="446"/>
      <c r="E586" s="447"/>
      <c r="F586" s="448"/>
      <c r="G586" s="449"/>
      <c r="H586" s="448"/>
      <c r="I586" s="448"/>
      <c r="J586" s="450"/>
      <c r="K586" s="451"/>
      <c r="L586" s="451"/>
      <c r="M586" s="451"/>
      <c r="N586" s="451"/>
      <c r="O586" s="451"/>
      <c r="P586" s="451"/>
      <c r="Q586" s="451"/>
      <c r="R586" s="451"/>
      <c r="S586" s="451"/>
    </row>
    <row r="587">
      <c r="A587" s="444"/>
      <c r="B587" s="444"/>
      <c r="C587" s="445"/>
      <c r="D587" s="446"/>
      <c r="E587" s="447"/>
      <c r="F587" s="448"/>
      <c r="G587" s="449"/>
      <c r="H587" s="448"/>
      <c r="I587" s="448"/>
      <c r="J587" s="450"/>
      <c r="K587" s="451"/>
      <c r="L587" s="451"/>
      <c r="M587" s="451"/>
      <c r="N587" s="451"/>
      <c r="O587" s="451"/>
      <c r="P587" s="451"/>
      <c r="Q587" s="451"/>
      <c r="R587" s="451"/>
      <c r="S587" s="451"/>
    </row>
    <row r="588">
      <c r="A588" s="444"/>
      <c r="B588" s="444"/>
      <c r="C588" s="445"/>
      <c r="D588" s="446"/>
      <c r="E588" s="447"/>
      <c r="F588" s="448"/>
      <c r="G588" s="449"/>
      <c r="H588" s="448"/>
      <c r="I588" s="448"/>
      <c r="J588" s="450"/>
      <c r="K588" s="451"/>
      <c r="L588" s="451"/>
      <c r="M588" s="451"/>
      <c r="N588" s="451"/>
      <c r="O588" s="451"/>
      <c r="P588" s="451"/>
      <c r="Q588" s="451"/>
      <c r="R588" s="451"/>
      <c r="S588" s="451"/>
    </row>
    <row r="589">
      <c r="A589" s="444"/>
      <c r="B589" s="444"/>
      <c r="C589" s="445"/>
      <c r="D589" s="446"/>
      <c r="E589" s="447"/>
      <c r="F589" s="448"/>
      <c r="G589" s="449"/>
      <c r="H589" s="448"/>
      <c r="I589" s="448"/>
      <c r="J589" s="450"/>
      <c r="K589" s="451"/>
      <c r="L589" s="451"/>
      <c r="M589" s="451"/>
      <c r="N589" s="451"/>
      <c r="O589" s="451"/>
      <c r="P589" s="451"/>
      <c r="Q589" s="451"/>
      <c r="R589" s="451"/>
      <c r="S589" s="451"/>
    </row>
    <row r="590">
      <c r="A590" s="444"/>
      <c r="B590" s="444"/>
      <c r="C590" s="445"/>
      <c r="D590" s="446"/>
      <c r="E590" s="447"/>
      <c r="F590" s="448"/>
      <c r="G590" s="449"/>
      <c r="H590" s="448"/>
      <c r="I590" s="448"/>
      <c r="J590" s="450"/>
      <c r="K590" s="451"/>
      <c r="L590" s="451"/>
      <c r="M590" s="451"/>
      <c r="N590" s="451"/>
      <c r="O590" s="451"/>
      <c r="P590" s="451"/>
      <c r="Q590" s="451"/>
      <c r="R590" s="451"/>
      <c r="S590" s="451"/>
    </row>
    <row r="591">
      <c r="A591" s="444"/>
      <c r="B591" s="444"/>
      <c r="C591" s="445"/>
      <c r="D591" s="446"/>
      <c r="E591" s="447"/>
      <c r="F591" s="448"/>
      <c r="G591" s="449"/>
      <c r="H591" s="448"/>
      <c r="I591" s="448"/>
      <c r="J591" s="450"/>
      <c r="K591" s="451"/>
      <c r="L591" s="451"/>
      <c r="M591" s="451"/>
      <c r="N591" s="451"/>
      <c r="O591" s="451"/>
      <c r="P591" s="451"/>
      <c r="Q591" s="451"/>
      <c r="R591" s="451"/>
      <c r="S591" s="451"/>
    </row>
    <row r="592">
      <c r="A592" s="444"/>
      <c r="B592" s="444"/>
      <c r="C592" s="445"/>
      <c r="D592" s="446"/>
      <c r="E592" s="447"/>
      <c r="F592" s="448"/>
      <c r="G592" s="449"/>
      <c r="H592" s="448"/>
      <c r="I592" s="448"/>
      <c r="J592" s="450"/>
      <c r="K592" s="451"/>
      <c r="L592" s="451"/>
      <c r="M592" s="451"/>
      <c r="N592" s="451"/>
      <c r="O592" s="451"/>
      <c r="P592" s="451"/>
      <c r="Q592" s="451"/>
      <c r="R592" s="451"/>
      <c r="S592" s="451"/>
    </row>
    <row r="593">
      <c r="A593" s="444"/>
      <c r="B593" s="444"/>
      <c r="C593" s="445"/>
      <c r="D593" s="446"/>
      <c r="E593" s="447"/>
      <c r="F593" s="448"/>
      <c r="G593" s="449"/>
      <c r="H593" s="448"/>
      <c r="I593" s="448"/>
      <c r="J593" s="450"/>
      <c r="K593" s="451"/>
      <c r="L593" s="451"/>
      <c r="M593" s="451"/>
      <c r="N593" s="451"/>
      <c r="O593" s="451"/>
      <c r="P593" s="451"/>
      <c r="Q593" s="451"/>
      <c r="R593" s="451"/>
      <c r="S593" s="451"/>
    </row>
    <row r="594">
      <c r="A594" s="444"/>
      <c r="B594" s="444"/>
      <c r="C594" s="445"/>
      <c r="D594" s="446"/>
      <c r="E594" s="447"/>
      <c r="F594" s="448"/>
      <c r="G594" s="449"/>
      <c r="H594" s="448"/>
      <c r="I594" s="448"/>
      <c r="J594" s="450"/>
      <c r="K594" s="451"/>
      <c r="L594" s="451"/>
      <c r="M594" s="451"/>
      <c r="N594" s="451"/>
      <c r="O594" s="451"/>
      <c r="P594" s="451"/>
      <c r="Q594" s="451"/>
      <c r="R594" s="451"/>
      <c r="S594" s="451"/>
    </row>
    <row r="595">
      <c r="A595" s="444"/>
      <c r="B595" s="444"/>
      <c r="C595" s="445"/>
      <c r="D595" s="446"/>
      <c r="E595" s="447"/>
      <c r="F595" s="448"/>
      <c r="G595" s="449"/>
      <c r="H595" s="448"/>
      <c r="I595" s="448"/>
      <c r="J595" s="450"/>
      <c r="K595" s="451"/>
      <c r="L595" s="451"/>
      <c r="M595" s="451"/>
      <c r="N595" s="451"/>
      <c r="O595" s="451"/>
      <c r="P595" s="451"/>
      <c r="Q595" s="451"/>
      <c r="R595" s="451"/>
      <c r="S595" s="451"/>
    </row>
    <row r="596">
      <c r="A596" s="444"/>
      <c r="B596" s="444"/>
      <c r="C596" s="445"/>
      <c r="D596" s="446"/>
      <c r="E596" s="447"/>
      <c r="F596" s="448"/>
      <c r="G596" s="449"/>
      <c r="H596" s="448"/>
      <c r="I596" s="448"/>
      <c r="J596" s="450"/>
      <c r="K596" s="451"/>
      <c r="L596" s="451"/>
      <c r="M596" s="451"/>
      <c r="N596" s="451"/>
      <c r="O596" s="451"/>
      <c r="P596" s="451"/>
      <c r="Q596" s="451"/>
      <c r="R596" s="451"/>
      <c r="S596" s="451"/>
    </row>
    <row r="597">
      <c r="A597" s="444"/>
      <c r="B597" s="444"/>
      <c r="C597" s="445"/>
      <c r="D597" s="446"/>
      <c r="E597" s="447"/>
      <c r="F597" s="448"/>
      <c r="G597" s="449"/>
      <c r="H597" s="448"/>
      <c r="I597" s="448"/>
      <c r="J597" s="450"/>
      <c r="K597" s="451"/>
      <c r="L597" s="451"/>
      <c r="M597" s="451"/>
      <c r="N597" s="451"/>
      <c r="O597" s="451"/>
      <c r="P597" s="451"/>
      <c r="Q597" s="451"/>
      <c r="R597" s="451"/>
      <c r="S597" s="451"/>
    </row>
    <row r="598">
      <c r="A598" s="444"/>
      <c r="B598" s="444"/>
      <c r="C598" s="445"/>
      <c r="D598" s="446"/>
      <c r="E598" s="447"/>
      <c r="F598" s="448"/>
      <c r="G598" s="449"/>
      <c r="H598" s="448"/>
      <c r="I598" s="448"/>
      <c r="J598" s="450"/>
      <c r="K598" s="451"/>
      <c r="L598" s="451"/>
      <c r="M598" s="451"/>
      <c r="N598" s="451"/>
      <c r="O598" s="451"/>
      <c r="P598" s="451"/>
      <c r="Q598" s="451"/>
      <c r="R598" s="451"/>
      <c r="S598" s="451"/>
    </row>
    <row r="599">
      <c r="A599" s="444"/>
      <c r="B599" s="444"/>
      <c r="C599" s="445"/>
      <c r="D599" s="446"/>
      <c r="E599" s="447"/>
      <c r="F599" s="448"/>
      <c r="G599" s="449"/>
      <c r="H599" s="448"/>
      <c r="I599" s="448"/>
      <c r="J599" s="450"/>
      <c r="K599" s="451"/>
      <c r="L599" s="451"/>
      <c r="M599" s="451"/>
      <c r="N599" s="451"/>
      <c r="O599" s="451"/>
      <c r="P599" s="451"/>
      <c r="Q599" s="451"/>
      <c r="R599" s="451"/>
      <c r="S599" s="451"/>
    </row>
    <row r="600">
      <c r="A600" s="444"/>
      <c r="B600" s="444"/>
      <c r="C600" s="445"/>
      <c r="D600" s="446"/>
      <c r="E600" s="447"/>
      <c r="F600" s="448"/>
      <c r="G600" s="449"/>
      <c r="H600" s="448"/>
      <c r="I600" s="448"/>
      <c r="J600" s="450"/>
      <c r="K600" s="451"/>
      <c r="L600" s="451"/>
      <c r="M600" s="451"/>
      <c r="N600" s="451"/>
      <c r="O600" s="451"/>
      <c r="P600" s="451"/>
      <c r="Q600" s="451"/>
      <c r="R600" s="451"/>
      <c r="S600" s="451"/>
    </row>
    <row r="601">
      <c r="A601" s="444"/>
      <c r="B601" s="444"/>
      <c r="C601" s="445"/>
      <c r="D601" s="446"/>
      <c r="E601" s="447"/>
      <c r="F601" s="448"/>
      <c r="G601" s="449"/>
      <c r="H601" s="448"/>
      <c r="I601" s="448"/>
      <c r="J601" s="450"/>
      <c r="K601" s="451"/>
      <c r="L601" s="451"/>
      <c r="M601" s="451"/>
      <c r="N601" s="451"/>
      <c r="O601" s="451"/>
      <c r="P601" s="451"/>
      <c r="Q601" s="451"/>
      <c r="R601" s="451"/>
      <c r="S601" s="451"/>
    </row>
    <row r="602">
      <c r="A602" s="444"/>
      <c r="B602" s="444"/>
      <c r="C602" s="445"/>
      <c r="D602" s="446"/>
      <c r="E602" s="447"/>
      <c r="F602" s="448"/>
      <c r="G602" s="449"/>
      <c r="H602" s="448"/>
      <c r="I602" s="448"/>
      <c r="J602" s="450"/>
      <c r="K602" s="451"/>
      <c r="L602" s="451"/>
      <c r="M602" s="451"/>
      <c r="N602" s="451"/>
      <c r="O602" s="451"/>
      <c r="P602" s="451"/>
      <c r="Q602" s="451"/>
      <c r="R602" s="451"/>
      <c r="S602" s="451"/>
    </row>
    <row r="603">
      <c r="A603" s="444"/>
      <c r="B603" s="444"/>
      <c r="C603" s="445"/>
      <c r="D603" s="446"/>
      <c r="E603" s="447"/>
      <c r="F603" s="448"/>
      <c r="G603" s="449"/>
      <c r="H603" s="448"/>
      <c r="I603" s="448"/>
      <c r="J603" s="450"/>
      <c r="K603" s="451"/>
      <c r="L603" s="451"/>
      <c r="M603" s="451"/>
      <c r="N603" s="451"/>
      <c r="O603" s="451"/>
      <c r="P603" s="451"/>
      <c r="Q603" s="451"/>
      <c r="R603" s="451"/>
      <c r="S603" s="451"/>
    </row>
    <row r="604">
      <c r="A604" s="444"/>
      <c r="B604" s="444"/>
      <c r="C604" s="445"/>
      <c r="D604" s="446"/>
      <c r="E604" s="447"/>
      <c r="F604" s="448"/>
      <c r="G604" s="449"/>
      <c r="H604" s="448"/>
      <c r="I604" s="448"/>
      <c r="J604" s="450"/>
      <c r="K604" s="451"/>
      <c r="L604" s="451"/>
      <c r="M604" s="451"/>
      <c r="N604" s="451"/>
      <c r="O604" s="451"/>
      <c r="P604" s="451"/>
      <c r="Q604" s="451"/>
      <c r="R604" s="451"/>
      <c r="S604" s="451"/>
    </row>
    <row r="605">
      <c r="A605" s="444"/>
      <c r="B605" s="444"/>
      <c r="C605" s="445"/>
      <c r="D605" s="446"/>
      <c r="E605" s="447"/>
      <c r="F605" s="448"/>
      <c r="G605" s="449"/>
      <c r="H605" s="448"/>
      <c r="I605" s="448"/>
      <c r="J605" s="450"/>
      <c r="K605" s="451"/>
      <c r="L605" s="451"/>
      <c r="M605" s="451"/>
      <c r="N605" s="451"/>
      <c r="O605" s="451"/>
      <c r="P605" s="451"/>
      <c r="Q605" s="451"/>
      <c r="R605" s="451"/>
      <c r="S605" s="451"/>
    </row>
    <row r="606">
      <c r="A606" s="444"/>
      <c r="B606" s="444"/>
      <c r="C606" s="445"/>
      <c r="D606" s="446"/>
      <c r="E606" s="447"/>
      <c r="F606" s="448"/>
      <c r="G606" s="449"/>
      <c r="H606" s="448"/>
      <c r="I606" s="448"/>
      <c r="J606" s="450"/>
      <c r="K606" s="451"/>
      <c r="L606" s="451"/>
      <c r="M606" s="451"/>
      <c r="N606" s="451"/>
      <c r="O606" s="451"/>
      <c r="P606" s="451"/>
      <c r="Q606" s="451"/>
      <c r="R606" s="451"/>
      <c r="S606" s="451"/>
    </row>
    <row r="607">
      <c r="A607" s="444"/>
      <c r="B607" s="444"/>
      <c r="C607" s="445"/>
      <c r="D607" s="446"/>
      <c r="E607" s="447"/>
      <c r="F607" s="448"/>
      <c r="G607" s="449"/>
      <c r="H607" s="448"/>
      <c r="I607" s="448"/>
      <c r="J607" s="450"/>
      <c r="K607" s="451"/>
      <c r="L607" s="451"/>
      <c r="M607" s="451"/>
      <c r="N607" s="451"/>
      <c r="O607" s="451"/>
      <c r="P607" s="451"/>
      <c r="Q607" s="451"/>
      <c r="R607" s="451"/>
      <c r="S607" s="451"/>
    </row>
    <row r="608">
      <c r="A608" s="444"/>
      <c r="B608" s="444"/>
      <c r="C608" s="445"/>
      <c r="D608" s="446"/>
      <c r="E608" s="447"/>
      <c r="F608" s="448"/>
      <c r="G608" s="449"/>
      <c r="H608" s="448"/>
      <c r="I608" s="448"/>
      <c r="J608" s="450"/>
      <c r="K608" s="451"/>
      <c r="L608" s="451"/>
      <c r="M608" s="451"/>
      <c r="N608" s="451"/>
      <c r="O608" s="451"/>
      <c r="P608" s="451"/>
      <c r="Q608" s="451"/>
      <c r="R608" s="451"/>
      <c r="S608" s="451"/>
    </row>
    <row r="609">
      <c r="A609" s="444"/>
      <c r="B609" s="444"/>
      <c r="C609" s="445"/>
      <c r="D609" s="446"/>
      <c r="E609" s="447"/>
      <c r="F609" s="448"/>
      <c r="G609" s="449"/>
      <c r="H609" s="448"/>
      <c r="I609" s="448"/>
      <c r="J609" s="450"/>
      <c r="K609" s="451"/>
      <c r="L609" s="451"/>
      <c r="M609" s="451"/>
      <c r="N609" s="451"/>
      <c r="O609" s="451"/>
      <c r="P609" s="451"/>
      <c r="Q609" s="451"/>
      <c r="R609" s="451"/>
      <c r="S609" s="451"/>
    </row>
    <row r="610">
      <c r="A610" s="444"/>
      <c r="B610" s="444"/>
      <c r="C610" s="445"/>
      <c r="D610" s="446"/>
      <c r="E610" s="447"/>
      <c r="F610" s="448"/>
      <c r="G610" s="449"/>
      <c r="H610" s="448"/>
      <c r="I610" s="448"/>
      <c r="J610" s="450"/>
      <c r="K610" s="451"/>
      <c r="L610" s="451"/>
      <c r="M610" s="451"/>
      <c r="N610" s="451"/>
      <c r="O610" s="451"/>
      <c r="P610" s="451"/>
      <c r="Q610" s="451"/>
      <c r="R610" s="451"/>
      <c r="S610" s="451"/>
    </row>
    <row r="611">
      <c r="A611" s="444"/>
      <c r="B611" s="444"/>
      <c r="C611" s="445"/>
      <c r="D611" s="446"/>
      <c r="E611" s="447"/>
      <c r="F611" s="448"/>
      <c r="G611" s="449"/>
      <c r="H611" s="448"/>
      <c r="I611" s="448"/>
      <c r="J611" s="450"/>
      <c r="K611" s="451"/>
      <c r="L611" s="451"/>
      <c r="M611" s="451"/>
      <c r="N611" s="451"/>
      <c r="O611" s="451"/>
      <c r="P611" s="451"/>
      <c r="Q611" s="451"/>
      <c r="R611" s="451"/>
      <c r="S611" s="451"/>
    </row>
    <row r="612">
      <c r="A612" s="444"/>
      <c r="B612" s="444"/>
      <c r="C612" s="445"/>
      <c r="D612" s="446"/>
      <c r="E612" s="447"/>
      <c r="F612" s="448"/>
      <c r="G612" s="449"/>
      <c r="H612" s="448"/>
      <c r="I612" s="448"/>
      <c r="J612" s="450"/>
      <c r="K612" s="451"/>
      <c r="L612" s="451"/>
      <c r="M612" s="451"/>
      <c r="N612" s="451"/>
      <c r="O612" s="451"/>
      <c r="P612" s="451"/>
      <c r="Q612" s="451"/>
      <c r="R612" s="451"/>
      <c r="S612" s="451"/>
    </row>
    <row r="613">
      <c r="A613" s="444"/>
      <c r="B613" s="444"/>
      <c r="C613" s="445"/>
      <c r="D613" s="446"/>
      <c r="E613" s="447"/>
      <c r="F613" s="448"/>
      <c r="G613" s="449"/>
      <c r="H613" s="448"/>
      <c r="I613" s="448"/>
      <c r="J613" s="450"/>
      <c r="K613" s="451"/>
      <c r="L613" s="451"/>
      <c r="M613" s="451"/>
      <c r="N613" s="451"/>
      <c r="O613" s="451"/>
      <c r="P613" s="451"/>
      <c r="Q613" s="451"/>
      <c r="R613" s="451"/>
      <c r="S613" s="451"/>
    </row>
    <row r="614">
      <c r="A614" s="444"/>
      <c r="B614" s="444"/>
      <c r="C614" s="445"/>
      <c r="D614" s="446"/>
      <c r="E614" s="447"/>
      <c r="F614" s="448"/>
      <c r="G614" s="449"/>
      <c r="H614" s="448"/>
      <c r="I614" s="448"/>
      <c r="J614" s="450"/>
      <c r="K614" s="451"/>
      <c r="L614" s="451"/>
      <c r="M614" s="451"/>
      <c r="N614" s="451"/>
      <c r="O614" s="451"/>
      <c r="P614" s="451"/>
      <c r="Q614" s="451"/>
      <c r="R614" s="451"/>
      <c r="S614" s="451"/>
    </row>
    <row r="615">
      <c r="A615" s="444"/>
      <c r="B615" s="444"/>
      <c r="C615" s="445"/>
      <c r="D615" s="446"/>
      <c r="E615" s="447"/>
      <c r="F615" s="448"/>
      <c r="G615" s="449"/>
      <c r="H615" s="448"/>
      <c r="I615" s="448"/>
      <c r="J615" s="450"/>
      <c r="K615" s="451"/>
      <c r="L615" s="451"/>
      <c r="M615" s="451"/>
      <c r="N615" s="451"/>
      <c r="O615" s="451"/>
      <c r="P615" s="451"/>
      <c r="Q615" s="451"/>
      <c r="R615" s="451"/>
      <c r="S615" s="451"/>
    </row>
    <row r="616">
      <c r="A616" s="444"/>
      <c r="B616" s="444"/>
      <c r="C616" s="445"/>
      <c r="D616" s="446"/>
      <c r="E616" s="447"/>
      <c r="F616" s="448"/>
      <c r="G616" s="449"/>
      <c r="H616" s="448"/>
      <c r="I616" s="448"/>
      <c r="J616" s="450"/>
      <c r="K616" s="451"/>
      <c r="L616" s="451"/>
      <c r="M616" s="451"/>
      <c r="N616" s="451"/>
      <c r="O616" s="451"/>
      <c r="P616" s="451"/>
      <c r="Q616" s="451"/>
      <c r="R616" s="451"/>
      <c r="S616" s="451"/>
    </row>
    <row r="617">
      <c r="A617" s="444"/>
      <c r="B617" s="444"/>
      <c r="C617" s="445"/>
      <c r="D617" s="446"/>
      <c r="E617" s="447"/>
      <c r="F617" s="448"/>
      <c r="G617" s="449"/>
      <c r="H617" s="448"/>
      <c r="I617" s="448"/>
      <c r="J617" s="450"/>
      <c r="K617" s="451"/>
      <c r="L617" s="451"/>
      <c r="M617" s="451"/>
      <c r="N617" s="451"/>
      <c r="O617" s="451"/>
      <c r="P617" s="451"/>
      <c r="Q617" s="451"/>
      <c r="R617" s="451"/>
      <c r="S617" s="451"/>
    </row>
    <row r="618">
      <c r="A618" s="444"/>
      <c r="B618" s="444"/>
      <c r="C618" s="445"/>
      <c r="D618" s="446"/>
      <c r="E618" s="447"/>
      <c r="F618" s="448"/>
      <c r="G618" s="449"/>
      <c r="H618" s="448"/>
      <c r="I618" s="448"/>
      <c r="J618" s="450"/>
      <c r="K618" s="451"/>
      <c r="L618" s="451"/>
      <c r="M618" s="451"/>
      <c r="N618" s="451"/>
      <c r="O618" s="451"/>
      <c r="P618" s="451"/>
      <c r="Q618" s="451"/>
      <c r="R618" s="451"/>
      <c r="S618" s="451"/>
    </row>
    <row r="619">
      <c r="A619" s="444"/>
      <c r="B619" s="444"/>
      <c r="C619" s="445"/>
      <c r="D619" s="446"/>
      <c r="E619" s="447"/>
      <c r="F619" s="448"/>
      <c r="G619" s="449"/>
      <c r="H619" s="448"/>
      <c r="I619" s="448"/>
      <c r="J619" s="450"/>
      <c r="K619" s="451"/>
      <c r="L619" s="451"/>
      <c r="M619" s="451"/>
      <c r="N619" s="451"/>
      <c r="O619" s="451"/>
      <c r="P619" s="451"/>
      <c r="Q619" s="451"/>
      <c r="R619" s="451"/>
      <c r="S619" s="451"/>
    </row>
    <row r="620">
      <c r="A620" s="444"/>
      <c r="B620" s="444"/>
      <c r="C620" s="445"/>
      <c r="D620" s="446"/>
      <c r="E620" s="447"/>
      <c r="F620" s="448"/>
      <c r="G620" s="449"/>
      <c r="H620" s="448"/>
      <c r="I620" s="448"/>
      <c r="J620" s="450"/>
      <c r="K620" s="451"/>
      <c r="L620" s="451"/>
      <c r="M620" s="451"/>
      <c r="N620" s="451"/>
      <c r="O620" s="451"/>
      <c r="P620" s="451"/>
      <c r="Q620" s="451"/>
      <c r="R620" s="451"/>
      <c r="S620" s="451"/>
    </row>
    <row r="621">
      <c r="A621" s="444"/>
      <c r="B621" s="444"/>
      <c r="C621" s="445"/>
      <c r="D621" s="446"/>
      <c r="E621" s="447"/>
      <c r="F621" s="448"/>
      <c r="G621" s="449"/>
      <c r="H621" s="448"/>
      <c r="I621" s="448"/>
      <c r="J621" s="450"/>
      <c r="K621" s="451"/>
      <c r="L621" s="451"/>
      <c r="M621" s="451"/>
      <c r="N621" s="451"/>
      <c r="O621" s="451"/>
      <c r="P621" s="451"/>
      <c r="Q621" s="451"/>
      <c r="R621" s="451"/>
      <c r="S621" s="451"/>
    </row>
    <row r="622">
      <c r="A622" s="444"/>
      <c r="B622" s="444"/>
      <c r="C622" s="445"/>
      <c r="D622" s="446"/>
      <c r="E622" s="447"/>
      <c r="F622" s="448"/>
      <c r="G622" s="449"/>
      <c r="H622" s="448"/>
      <c r="I622" s="448"/>
      <c r="J622" s="450"/>
      <c r="K622" s="451"/>
      <c r="L622" s="451"/>
      <c r="M622" s="451"/>
      <c r="N622" s="451"/>
      <c r="O622" s="451"/>
      <c r="P622" s="451"/>
      <c r="Q622" s="451"/>
      <c r="R622" s="451"/>
      <c r="S622" s="451"/>
    </row>
    <row r="623">
      <c r="A623" s="444"/>
      <c r="B623" s="444"/>
      <c r="C623" s="445"/>
      <c r="D623" s="446"/>
      <c r="E623" s="447"/>
      <c r="F623" s="448"/>
      <c r="G623" s="449"/>
      <c r="H623" s="448"/>
      <c r="I623" s="448"/>
      <c r="J623" s="450"/>
      <c r="K623" s="451"/>
      <c r="L623" s="451"/>
      <c r="M623" s="451"/>
      <c r="N623" s="451"/>
      <c r="O623" s="451"/>
      <c r="P623" s="451"/>
      <c r="Q623" s="451"/>
      <c r="R623" s="451"/>
      <c r="S623" s="451"/>
    </row>
    <row r="624">
      <c r="A624" s="444"/>
      <c r="B624" s="444"/>
      <c r="C624" s="445"/>
      <c r="D624" s="446"/>
      <c r="E624" s="447"/>
      <c r="F624" s="448"/>
      <c r="G624" s="449"/>
      <c r="H624" s="448"/>
      <c r="I624" s="448"/>
      <c r="J624" s="450"/>
      <c r="K624" s="451"/>
      <c r="L624" s="451"/>
      <c r="M624" s="451"/>
      <c r="N624" s="451"/>
      <c r="O624" s="451"/>
      <c r="P624" s="451"/>
      <c r="Q624" s="451"/>
      <c r="R624" s="451"/>
      <c r="S624" s="451"/>
    </row>
    <row r="625">
      <c r="A625" s="444"/>
      <c r="B625" s="444"/>
      <c r="C625" s="445"/>
      <c r="D625" s="446"/>
      <c r="E625" s="447"/>
      <c r="F625" s="448"/>
      <c r="G625" s="449"/>
      <c r="H625" s="448"/>
      <c r="I625" s="448"/>
      <c r="J625" s="450"/>
      <c r="K625" s="451"/>
      <c r="L625" s="451"/>
      <c r="M625" s="451"/>
      <c r="N625" s="451"/>
      <c r="O625" s="451"/>
      <c r="P625" s="451"/>
      <c r="Q625" s="451"/>
      <c r="R625" s="451"/>
      <c r="S625" s="451"/>
    </row>
    <row r="626">
      <c r="A626" s="444"/>
      <c r="B626" s="444"/>
      <c r="C626" s="445"/>
      <c r="D626" s="446"/>
      <c r="E626" s="447"/>
      <c r="F626" s="448"/>
      <c r="G626" s="449"/>
      <c r="H626" s="448"/>
      <c r="I626" s="448"/>
      <c r="J626" s="450"/>
      <c r="K626" s="451"/>
      <c r="L626" s="451"/>
      <c r="M626" s="451"/>
      <c r="N626" s="451"/>
      <c r="O626" s="451"/>
      <c r="P626" s="451"/>
      <c r="Q626" s="451"/>
      <c r="R626" s="451"/>
      <c r="S626" s="451"/>
    </row>
    <row r="627">
      <c r="A627" s="444"/>
      <c r="B627" s="444"/>
      <c r="C627" s="445"/>
      <c r="D627" s="446"/>
      <c r="E627" s="447"/>
      <c r="F627" s="448"/>
      <c r="G627" s="449"/>
      <c r="H627" s="448"/>
      <c r="I627" s="448"/>
      <c r="J627" s="450"/>
      <c r="K627" s="451"/>
      <c r="L627" s="451"/>
      <c r="M627" s="451"/>
      <c r="N627" s="451"/>
      <c r="O627" s="451"/>
      <c r="P627" s="451"/>
      <c r="Q627" s="451"/>
      <c r="R627" s="451"/>
      <c r="S627" s="451"/>
    </row>
    <row r="628">
      <c r="A628" s="444"/>
      <c r="B628" s="444"/>
      <c r="C628" s="445"/>
      <c r="D628" s="446"/>
      <c r="E628" s="447"/>
      <c r="F628" s="448"/>
      <c r="G628" s="449"/>
      <c r="H628" s="448"/>
      <c r="I628" s="448"/>
      <c r="J628" s="450"/>
      <c r="K628" s="451"/>
      <c r="L628" s="451"/>
      <c r="M628" s="451"/>
      <c r="N628" s="451"/>
      <c r="O628" s="451"/>
      <c r="P628" s="451"/>
      <c r="Q628" s="451"/>
      <c r="R628" s="451"/>
      <c r="S628" s="451"/>
    </row>
    <row r="629">
      <c r="A629" s="444"/>
      <c r="B629" s="444"/>
      <c r="C629" s="445"/>
      <c r="D629" s="446"/>
      <c r="E629" s="447"/>
      <c r="F629" s="448"/>
      <c r="G629" s="449"/>
      <c r="H629" s="448"/>
      <c r="I629" s="448"/>
      <c r="J629" s="450"/>
      <c r="K629" s="451"/>
      <c r="L629" s="451"/>
      <c r="M629" s="451"/>
      <c r="N629" s="451"/>
      <c r="O629" s="451"/>
      <c r="P629" s="451"/>
      <c r="Q629" s="451"/>
      <c r="R629" s="451"/>
      <c r="S629" s="451"/>
    </row>
    <row r="630">
      <c r="A630" s="444"/>
      <c r="B630" s="444"/>
      <c r="C630" s="445"/>
      <c r="D630" s="446"/>
      <c r="E630" s="447"/>
      <c r="F630" s="448"/>
      <c r="G630" s="449"/>
      <c r="H630" s="448"/>
      <c r="I630" s="448"/>
      <c r="J630" s="450"/>
      <c r="K630" s="451"/>
      <c r="L630" s="451"/>
      <c r="M630" s="451"/>
      <c r="N630" s="451"/>
      <c r="O630" s="451"/>
      <c r="P630" s="451"/>
      <c r="Q630" s="451"/>
      <c r="R630" s="451"/>
      <c r="S630" s="451"/>
    </row>
    <row r="631">
      <c r="A631" s="444"/>
      <c r="B631" s="444"/>
      <c r="C631" s="445"/>
      <c r="D631" s="446"/>
      <c r="E631" s="447"/>
      <c r="F631" s="448"/>
      <c r="G631" s="449"/>
      <c r="H631" s="448"/>
      <c r="I631" s="448"/>
      <c r="J631" s="450"/>
      <c r="K631" s="451"/>
      <c r="L631" s="451"/>
      <c r="M631" s="451"/>
      <c r="N631" s="451"/>
      <c r="O631" s="451"/>
      <c r="P631" s="451"/>
      <c r="Q631" s="451"/>
      <c r="R631" s="451"/>
      <c r="S631" s="451"/>
    </row>
    <row r="632">
      <c r="A632" s="444"/>
      <c r="B632" s="444"/>
      <c r="C632" s="445"/>
      <c r="D632" s="446"/>
      <c r="E632" s="447"/>
      <c r="F632" s="448"/>
      <c r="G632" s="449"/>
      <c r="H632" s="448"/>
      <c r="I632" s="448"/>
      <c r="J632" s="450"/>
      <c r="K632" s="451"/>
      <c r="L632" s="451"/>
      <c r="M632" s="451"/>
      <c r="N632" s="451"/>
      <c r="O632" s="451"/>
      <c r="P632" s="451"/>
      <c r="Q632" s="451"/>
      <c r="R632" s="451"/>
      <c r="S632" s="451"/>
    </row>
    <row r="633">
      <c r="A633" s="444"/>
      <c r="B633" s="444"/>
      <c r="C633" s="445"/>
      <c r="D633" s="446"/>
      <c r="E633" s="447"/>
      <c r="F633" s="448"/>
      <c r="G633" s="449"/>
      <c r="H633" s="448"/>
      <c r="I633" s="448"/>
      <c r="J633" s="450"/>
      <c r="K633" s="451"/>
      <c r="L633" s="451"/>
      <c r="M633" s="451"/>
      <c r="N633" s="451"/>
      <c r="O633" s="451"/>
      <c r="P633" s="451"/>
      <c r="Q633" s="451"/>
      <c r="R633" s="451"/>
      <c r="S633" s="451"/>
    </row>
    <row r="634">
      <c r="A634" s="444"/>
      <c r="B634" s="444"/>
      <c r="C634" s="445"/>
      <c r="D634" s="446"/>
      <c r="E634" s="447"/>
      <c r="F634" s="448"/>
      <c r="G634" s="449"/>
      <c r="H634" s="448"/>
      <c r="I634" s="448"/>
      <c r="J634" s="450"/>
      <c r="K634" s="451"/>
      <c r="L634" s="451"/>
      <c r="M634" s="451"/>
      <c r="N634" s="451"/>
      <c r="O634" s="451"/>
      <c r="P634" s="451"/>
      <c r="Q634" s="451"/>
      <c r="R634" s="451"/>
      <c r="S634" s="451"/>
    </row>
    <row r="635">
      <c r="A635" s="444"/>
      <c r="B635" s="444"/>
      <c r="C635" s="445"/>
      <c r="D635" s="446"/>
      <c r="E635" s="447"/>
      <c r="F635" s="448"/>
      <c r="G635" s="449"/>
      <c r="H635" s="448"/>
      <c r="I635" s="448"/>
      <c r="J635" s="450"/>
      <c r="K635" s="451"/>
      <c r="L635" s="451"/>
      <c r="M635" s="451"/>
      <c r="N635" s="451"/>
      <c r="O635" s="451"/>
      <c r="P635" s="451"/>
      <c r="Q635" s="451"/>
      <c r="R635" s="451"/>
      <c r="S635" s="451"/>
    </row>
    <row r="636">
      <c r="A636" s="444"/>
      <c r="B636" s="444"/>
      <c r="C636" s="445"/>
      <c r="D636" s="446"/>
      <c r="E636" s="447"/>
      <c r="F636" s="448"/>
      <c r="G636" s="449"/>
      <c r="H636" s="448"/>
      <c r="I636" s="448"/>
      <c r="J636" s="450"/>
      <c r="K636" s="451"/>
      <c r="L636" s="451"/>
      <c r="M636" s="451"/>
      <c r="N636" s="451"/>
      <c r="O636" s="451"/>
      <c r="P636" s="451"/>
      <c r="Q636" s="451"/>
      <c r="R636" s="451"/>
      <c r="S636" s="451"/>
    </row>
    <row r="637">
      <c r="A637" s="444"/>
      <c r="B637" s="444"/>
      <c r="C637" s="445"/>
      <c r="D637" s="446"/>
      <c r="E637" s="447"/>
      <c r="F637" s="448"/>
      <c r="G637" s="449"/>
      <c r="H637" s="448"/>
      <c r="I637" s="448"/>
      <c r="J637" s="450"/>
      <c r="K637" s="451"/>
      <c r="L637" s="451"/>
      <c r="M637" s="451"/>
      <c r="N637" s="451"/>
      <c r="O637" s="451"/>
      <c r="P637" s="451"/>
      <c r="Q637" s="451"/>
      <c r="R637" s="451"/>
      <c r="S637" s="451"/>
    </row>
    <row r="638">
      <c r="A638" s="444"/>
      <c r="B638" s="444"/>
      <c r="C638" s="445"/>
      <c r="D638" s="446"/>
      <c r="E638" s="447"/>
      <c r="F638" s="448"/>
      <c r="G638" s="449"/>
      <c r="H638" s="448"/>
      <c r="I638" s="448"/>
      <c r="J638" s="450"/>
      <c r="K638" s="451"/>
      <c r="L638" s="451"/>
      <c r="M638" s="451"/>
      <c r="N638" s="451"/>
      <c r="O638" s="451"/>
      <c r="P638" s="451"/>
      <c r="Q638" s="451"/>
      <c r="R638" s="451"/>
      <c r="S638" s="451"/>
    </row>
    <row r="639">
      <c r="A639" s="444"/>
      <c r="B639" s="444"/>
      <c r="C639" s="445"/>
      <c r="D639" s="446"/>
      <c r="E639" s="447"/>
      <c r="F639" s="448"/>
      <c r="G639" s="449"/>
      <c r="H639" s="448"/>
      <c r="I639" s="448"/>
      <c r="J639" s="450"/>
      <c r="K639" s="451"/>
      <c r="L639" s="451"/>
      <c r="M639" s="451"/>
      <c r="N639" s="451"/>
      <c r="O639" s="451"/>
      <c r="P639" s="451"/>
      <c r="Q639" s="451"/>
      <c r="R639" s="451"/>
      <c r="S639" s="451"/>
    </row>
    <row r="640">
      <c r="A640" s="444"/>
      <c r="B640" s="444"/>
      <c r="C640" s="445"/>
      <c r="D640" s="446"/>
      <c r="E640" s="447"/>
      <c r="F640" s="448"/>
      <c r="G640" s="449"/>
      <c r="H640" s="448"/>
      <c r="I640" s="448"/>
      <c r="J640" s="450"/>
      <c r="K640" s="451"/>
      <c r="L640" s="451"/>
      <c r="M640" s="451"/>
      <c r="N640" s="451"/>
      <c r="O640" s="451"/>
      <c r="P640" s="451"/>
      <c r="Q640" s="451"/>
      <c r="R640" s="451"/>
      <c r="S640" s="451"/>
    </row>
    <row r="641">
      <c r="A641" s="444"/>
      <c r="B641" s="444"/>
      <c r="C641" s="445"/>
      <c r="D641" s="446"/>
      <c r="E641" s="447"/>
      <c r="F641" s="448"/>
      <c r="G641" s="449"/>
      <c r="H641" s="448"/>
      <c r="I641" s="448"/>
      <c r="J641" s="450"/>
      <c r="K641" s="451"/>
      <c r="L641" s="451"/>
      <c r="M641" s="451"/>
      <c r="N641" s="451"/>
      <c r="O641" s="451"/>
      <c r="P641" s="451"/>
      <c r="Q641" s="451"/>
      <c r="R641" s="451"/>
      <c r="S641" s="451"/>
    </row>
    <row r="642">
      <c r="A642" s="444"/>
      <c r="B642" s="444"/>
      <c r="C642" s="445"/>
      <c r="D642" s="446"/>
      <c r="E642" s="447"/>
      <c r="F642" s="448"/>
      <c r="G642" s="449"/>
      <c r="H642" s="448"/>
      <c r="I642" s="448"/>
      <c r="J642" s="450"/>
      <c r="K642" s="451"/>
      <c r="L642" s="451"/>
      <c r="M642" s="451"/>
      <c r="N642" s="451"/>
      <c r="O642" s="451"/>
      <c r="P642" s="451"/>
      <c r="Q642" s="451"/>
      <c r="R642" s="451"/>
      <c r="S642" s="451"/>
    </row>
    <row r="643">
      <c r="A643" s="444"/>
      <c r="B643" s="444"/>
      <c r="C643" s="445"/>
      <c r="D643" s="446"/>
      <c r="E643" s="447"/>
      <c r="F643" s="448"/>
      <c r="G643" s="449"/>
      <c r="H643" s="448"/>
      <c r="I643" s="448"/>
      <c r="J643" s="450"/>
      <c r="K643" s="451"/>
      <c r="L643" s="451"/>
      <c r="M643" s="451"/>
      <c r="N643" s="451"/>
      <c r="O643" s="451"/>
      <c r="P643" s="451"/>
      <c r="Q643" s="451"/>
      <c r="R643" s="451"/>
      <c r="S643" s="451"/>
    </row>
    <row r="644">
      <c r="A644" s="444"/>
      <c r="B644" s="444"/>
      <c r="C644" s="445"/>
      <c r="D644" s="446"/>
      <c r="E644" s="447"/>
      <c r="F644" s="448"/>
      <c r="G644" s="449"/>
      <c r="H644" s="448"/>
      <c r="I644" s="448"/>
      <c r="J644" s="450"/>
      <c r="K644" s="451"/>
      <c r="L644" s="451"/>
      <c r="M644" s="451"/>
      <c r="N644" s="451"/>
      <c r="O644" s="451"/>
      <c r="P644" s="451"/>
      <c r="Q644" s="451"/>
      <c r="R644" s="451"/>
      <c r="S644" s="451"/>
    </row>
    <row r="645">
      <c r="A645" s="444"/>
      <c r="B645" s="444"/>
      <c r="C645" s="445"/>
      <c r="D645" s="446"/>
      <c r="E645" s="447"/>
      <c r="F645" s="448"/>
      <c r="G645" s="449"/>
      <c r="H645" s="448"/>
      <c r="I645" s="448"/>
      <c r="J645" s="450"/>
      <c r="K645" s="451"/>
      <c r="L645" s="451"/>
      <c r="M645" s="451"/>
      <c r="N645" s="451"/>
      <c r="O645" s="451"/>
      <c r="P645" s="451"/>
      <c r="Q645" s="451"/>
      <c r="R645" s="451"/>
      <c r="S645" s="451"/>
    </row>
    <row r="646">
      <c r="A646" s="444"/>
      <c r="B646" s="444"/>
      <c r="C646" s="445"/>
      <c r="D646" s="446"/>
      <c r="E646" s="447"/>
      <c r="F646" s="448"/>
      <c r="G646" s="449"/>
      <c r="H646" s="448"/>
      <c r="I646" s="448"/>
      <c r="J646" s="450"/>
      <c r="K646" s="451"/>
      <c r="L646" s="451"/>
      <c r="M646" s="451"/>
      <c r="N646" s="451"/>
      <c r="O646" s="451"/>
      <c r="P646" s="451"/>
      <c r="Q646" s="451"/>
      <c r="R646" s="451"/>
      <c r="S646" s="451"/>
    </row>
    <row r="647">
      <c r="A647" s="444"/>
      <c r="B647" s="444"/>
      <c r="C647" s="445"/>
      <c r="D647" s="446"/>
      <c r="E647" s="447"/>
      <c r="F647" s="448"/>
      <c r="G647" s="449"/>
      <c r="H647" s="448"/>
      <c r="I647" s="448"/>
      <c r="J647" s="450"/>
      <c r="K647" s="451"/>
      <c r="L647" s="451"/>
      <c r="M647" s="451"/>
      <c r="N647" s="451"/>
      <c r="O647" s="451"/>
      <c r="P647" s="451"/>
      <c r="Q647" s="451"/>
      <c r="R647" s="451"/>
      <c r="S647" s="451"/>
    </row>
    <row r="648">
      <c r="A648" s="444"/>
      <c r="B648" s="444"/>
      <c r="C648" s="445"/>
      <c r="D648" s="446"/>
      <c r="E648" s="447"/>
      <c r="F648" s="448"/>
      <c r="G648" s="449"/>
      <c r="H648" s="448"/>
      <c r="I648" s="448"/>
      <c r="J648" s="450"/>
      <c r="K648" s="451"/>
      <c r="L648" s="451"/>
      <c r="M648" s="451"/>
      <c r="N648" s="451"/>
      <c r="O648" s="451"/>
      <c r="P648" s="451"/>
      <c r="Q648" s="451"/>
      <c r="R648" s="451"/>
      <c r="S648" s="451"/>
    </row>
    <row r="649">
      <c r="A649" s="444"/>
      <c r="B649" s="444"/>
      <c r="C649" s="445"/>
      <c r="D649" s="446"/>
      <c r="E649" s="447"/>
      <c r="F649" s="448"/>
      <c r="G649" s="449"/>
      <c r="H649" s="448"/>
      <c r="I649" s="448"/>
      <c r="J649" s="450"/>
      <c r="K649" s="451"/>
      <c r="L649" s="451"/>
      <c r="M649" s="451"/>
      <c r="N649" s="451"/>
      <c r="O649" s="451"/>
      <c r="P649" s="451"/>
      <c r="Q649" s="451"/>
      <c r="R649" s="451"/>
      <c r="S649" s="451"/>
    </row>
    <row r="650">
      <c r="A650" s="444"/>
      <c r="B650" s="444"/>
      <c r="C650" s="445"/>
      <c r="D650" s="446"/>
      <c r="E650" s="447"/>
      <c r="F650" s="448"/>
      <c r="G650" s="449"/>
      <c r="H650" s="448"/>
      <c r="I650" s="448"/>
      <c r="J650" s="450"/>
      <c r="K650" s="451"/>
      <c r="L650" s="451"/>
      <c r="M650" s="451"/>
      <c r="N650" s="451"/>
      <c r="O650" s="451"/>
      <c r="P650" s="451"/>
      <c r="Q650" s="451"/>
      <c r="R650" s="451"/>
      <c r="S650" s="451"/>
    </row>
    <row r="651">
      <c r="A651" s="444"/>
      <c r="B651" s="444"/>
      <c r="C651" s="445"/>
      <c r="D651" s="446"/>
      <c r="E651" s="447"/>
      <c r="F651" s="448"/>
      <c r="G651" s="449"/>
      <c r="H651" s="448"/>
      <c r="I651" s="448"/>
      <c r="J651" s="450"/>
      <c r="K651" s="451"/>
      <c r="L651" s="451"/>
      <c r="M651" s="451"/>
      <c r="N651" s="451"/>
      <c r="O651" s="451"/>
      <c r="P651" s="451"/>
      <c r="Q651" s="451"/>
      <c r="R651" s="451"/>
      <c r="S651" s="451"/>
    </row>
    <row r="652">
      <c r="A652" s="444"/>
      <c r="B652" s="444"/>
      <c r="C652" s="445"/>
      <c r="D652" s="446"/>
      <c r="E652" s="447"/>
      <c r="F652" s="448"/>
      <c r="G652" s="449"/>
      <c r="H652" s="448"/>
      <c r="I652" s="448"/>
      <c r="J652" s="450"/>
      <c r="K652" s="451"/>
      <c r="L652" s="451"/>
      <c r="M652" s="451"/>
      <c r="N652" s="451"/>
      <c r="O652" s="451"/>
      <c r="P652" s="451"/>
      <c r="Q652" s="451"/>
      <c r="R652" s="451"/>
      <c r="S652" s="451"/>
    </row>
    <row r="653">
      <c r="A653" s="444"/>
      <c r="B653" s="444"/>
      <c r="C653" s="445"/>
      <c r="D653" s="446"/>
      <c r="E653" s="447"/>
      <c r="F653" s="448"/>
      <c r="G653" s="449"/>
      <c r="H653" s="448"/>
      <c r="I653" s="448"/>
      <c r="J653" s="450"/>
      <c r="K653" s="451"/>
      <c r="L653" s="451"/>
      <c r="M653" s="451"/>
      <c r="N653" s="451"/>
      <c r="O653" s="451"/>
      <c r="P653" s="451"/>
      <c r="Q653" s="451"/>
      <c r="R653" s="451"/>
      <c r="S653" s="451"/>
    </row>
    <row r="654">
      <c r="A654" s="444"/>
      <c r="B654" s="444"/>
      <c r="C654" s="445"/>
      <c r="D654" s="446"/>
      <c r="E654" s="447"/>
      <c r="F654" s="448"/>
      <c r="G654" s="449"/>
      <c r="H654" s="448"/>
      <c r="I654" s="448"/>
      <c r="J654" s="450"/>
      <c r="K654" s="451"/>
      <c r="L654" s="451"/>
      <c r="M654" s="451"/>
      <c r="N654" s="451"/>
      <c r="O654" s="451"/>
      <c r="P654" s="451"/>
      <c r="Q654" s="451"/>
      <c r="R654" s="451"/>
      <c r="S654" s="451"/>
    </row>
    <row r="655">
      <c r="A655" s="444"/>
      <c r="B655" s="444"/>
      <c r="C655" s="445"/>
      <c r="D655" s="446"/>
      <c r="E655" s="447"/>
      <c r="F655" s="448"/>
      <c r="G655" s="449"/>
      <c r="H655" s="448"/>
      <c r="I655" s="448"/>
      <c r="J655" s="450"/>
      <c r="K655" s="451"/>
      <c r="L655" s="451"/>
      <c r="M655" s="451"/>
      <c r="N655" s="451"/>
      <c r="O655" s="451"/>
      <c r="P655" s="451"/>
      <c r="Q655" s="451"/>
      <c r="R655" s="451"/>
      <c r="S655" s="451"/>
    </row>
    <row r="656">
      <c r="A656" s="444"/>
      <c r="B656" s="444"/>
      <c r="C656" s="445"/>
      <c r="D656" s="446"/>
      <c r="E656" s="447"/>
      <c r="F656" s="448"/>
      <c r="G656" s="449"/>
      <c r="H656" s="448"/>
      <c r="I656" s="448"/>
      <c r="J656" s="450"/>
      <c r="K656" s="451"/>
      <c r="L656" s="451"/>
      <c r="M656" s="451"/>
      <c r="N656" s="451"/>
      <c r="O656" s="451"/>
      <c r="P656" s="451"/>
      <c r="Q656" s="451"/>
      <c r="R656" s="451"/>
      <c r="S656" s="451"/>
    </row>
    <row r="657">
      <c r="A657" s="444"/>
      <c r="B657" s="444"/>
      <c r="C657" s="445"/>
      <c r="D657" s="446"/>
      <c r="E657" s="447"/>
      <c r="F657" s="448"/>
      <c r="G657" s="449"/>
      <c r="H657" s="448"/>
      <c r="I657" s="448"/>
      <c r="J657" s="450"/>
      <c r="K657" s="451"/>
      <c r="L657" s="451"/>
      <c r="M657" s="451"/>
      <c r="N657" s="451"/>
      <c r="O657" s="451"/>
      <c r="P657" s="451"/>
      <c r="Q657" s="451"/>
      <c r="R657" s="451"/>
      <c r="S657" s="451"/>
    </row>
    <row r="658">
      <c r="A658" s="444"/>
      <c r="B658" s="444"/>
      <c r="C658" s="445"/>
      <c r="D658" s="446"/>
      <c r="E658" s="447"/>
      <c r="F658" s="448"/>
      <c r="G658" s="449"/>
      <c r="H658" s="448"/>
      <c r="I658" s="448"/>
      <c r="J658" s="450"/>
      <c r="K658" s="451"/>
      <c r="L658" s="451"/>
      <c r="M658" s="451"/>
      <c r="N658" s="451"/>
      <c r="O658" s="451"/>
      <c r="P658" s="451"/>
      <c r="Q658" s="451"/>
      <c r="R658" s="451"/>
      <c r="S658" s="451"/>
    </row>
    <row r="659">
      <c r="A659" s="444"/>
      <c r="B659" s="444"/>
      <c r="C659" s="445"/>
      <c r="D659" s="446"/>
      <c r="E659" s="447"/>
      <c r="F659" s="448"/>
      <c r="G659" s="449"/>
      <c r="H659" s="448"/>
      <c r="I659" s="448"/>
      <c r="J659" s="450"/>
      <c r="K659" s="451"/>
      <c r="L659" s="451"/>
      <c r="M659" s="451"/>
      <c r="N659" s="451"/>
      <c r="O659" s="451"/>
      <c r="P659" s="451"/>
      <c r="Q659" s="451"/>
      <c r="R659" s="451"/>
      <c r="S659" s="451"/>
    </row>
    <row r="660">
      <c r="A660" s="444"/>
      <c r="B660" s="444"/>
      <c r="C660" s="445"/>
      <c r="D660" s="446"/>
      <c r="E660" s="447"/>
      <c r="F660" s="448"/>
      <c r="G660" s="449"/>
      <c r="H660" s="448"/>
      <c r="I660" s="448"/>
      <c r="J660" s="450"/>
      <c r="K660" s="451"/>
      <c r="L660" s="451"/>
      <c r="M660" s="451"/>
      <c r="N660" s="451"/>
      <c r="O660" s="451"/>
      <c r="P660" s="451"/>
      <c r="Q660" s="451"/>
      <c r="R660" s="451"/>
      <c r="S660" s="451"/>
    </row>
    <row r="661">
      <c r="A661" s="444"/>
      <c r="B661" s="444"/>
      <c r="C661" s="445"/>
      <c r="D661" s="446"/>
      <c r="E661" s="447"/>
      <c r="F661" s="448"/>
      <c r="G661" s="449"/>
      <c r="H661" s="448"/>
      <c r="I661" s="448"/>
      <c r="J661" s="450"/>
      <c r="K661" s="451"/>
      <c r="L661" s="451"/>
      <c r="M661" s="451"/>
      <c r="N661" s="451"/>
      <c r="O661" s="451"/>
      <c r="P661" s="451"/>
      <c r="Q661" s="451"/>
      <c r="R661" s="451"/>
      <c r="S661" s="451"/>
    </row>
    <row r="662">
      <c r="A662" s="444"/>
      <c r="B662" s="444"/>
      <c r="C662" s="445"/>
      <c r="D662" s="446"/>
      <c r="E662" s="447"/>
      <c r="F662" s="448"/>
      <c r="G662" s="449"/>
      <c r="H662" s="448"/>
      <c r="I662" s="448"/>
      <c r="J662" s="450"/>
      <c r="K662" s="451"/>
      <c r="L662" s="451"/>
      <c r="M662" s="451"/>
      <c r="N662" s="451"/>
      <c r="O662" s="451"/>
      <c r="P662" s="451"/>
      <c r="Q662" s="451"/>
      <c r="R662" s="451"/>
      <c r="S662" s="451"/>
    </row>
    <row r="663">
      <c r="A663" s="444"/>
      <c r="B663" s="444"/>
      <c r="C663" s="445"/>
      <c r="D663" s="446"/>
      <c r="E663" s="447"/>
      <c r="F663" s="448"/>
      <c r="G663" s="449"/>
      <c r="H663" s="448"/>
      <c r="I663" s="448"/>
      <c r="J663" s="450"/>
      <c r="K663" s="451"/>
      <c r="L663" s="451"/>
      <c r="M663" s="451"/>
      <c r="N663" s="451"/>
      <c r="O663" s="451"/>
      <c r="P663" s="451"/>
      <c r="Q663" s="451"/>
      <c r="R663" s="451"/>
      <c r="S663" s="451"/>
    </row>
    <row r="664">
      <c r="A664" s="444"/>
      <c r="B664" s="444"/>
      <c r="C664" s="445"/>
      <c r="D664" s="446"/>
      <c r="E664" s="447"/>
      <c r="F664" s="448"/>
      <c r="G664" s="449"/>
      <c r="H664" s="448"/>
      <c r="I664" s="448"/>
      <c r="J664" s="450"/>
      <c r="K664" s="451"/>
      <c r="L664" s="451"/>
      <c r="M664" s="451"/>
      <c r="N664" s="451"/>
      <c r="O664" s="451"/>
      <c r="P664" s="451"/>
      <c r="Q664" s="451"/>
      <c r="R664" s="451"/>
      <c r="S664" s="451"/>
    </row>
    <row r="665">
      <c r="A665" s="444"/>
      <c r="B665" s="444"/>
      <c r="C665" s="445"/>
      <c r="D665" s="446"/>
      <c r="E665" s="447"/>
      <c r="F665" s="448"/>
      <c r="G665" s="449"/>
      <c r="H665" s="448"/>
      <c r="I665" s="448"/>
      <c r="J665" s="450"/>
      <c r="K665" s="451"/>
      <c r="L665" s="451"/>
      <c r="M665" s="451"/>
      <c r="N665" s="451"/>
      <c r="O665" s="451"/>
      <c r="P665" s="451"/>
      <c r="Q665" s="451"/>
      <c r="R665" s="451"/>
      <c r="S665" s="451"/>
    </row>
    <row r="666">
      <c r="A666" s="444"/>
      <c r="B666" s="444"/>
      <c r="C666" s="445"/>
      <c r="D666" s="446"/>
      <c r="E666" s="447"/>
      <c r="F666" s="448"/>
      <c r="G666" s="449"/>
      <c r="H666" s="448"/>
      <c r="I666" s="448"/>
      <c r="J666" s="450"/>
      <c r="K666" s="451"/>
      <c r="L666" s="451"/>
      <c r="M666" s="451"/>
      <c r="N666" s="451"/>
      <c r="O666" s="451"/>
      <c r="P666" s="451"/>
      <c r="Q666" s="451"/>
      <c r="R666" s="451"/>
      <c r="S666" s="451"/>
    </row>
    <row r="667">
      <c r="A667" s="444"/>
      <c r="B667" s="444"/>
      <c r="C667" s="445"/>
      <c r="D667" s="446"/>
      <c r="E667" s="447"/>
      <c r="F667" s="448"/>
      <c r="G667" s="449"/>
      <c r="H667" s="448"/>
      <c r="I667" s="448"/>
      <c r="J667" s="450"/>
      <c r="K667" s="451"/>
      <c r="L667" s="451"/>
      <c r="M667" s="451"/>
      <c r="N667" s="451"/>
      <c r="O667" s="451"/>
      <c r="P667" s="451"/>
      <c r="Q667" s="451"/>
      <c r="R667" s="451"/>
      <c r="S667" s="451"/>
    </row>
    <row r="668">
      <c r="A668" s="444"/>
      <c r="B668" s="444"/>
      <c r="C668" s="445"/>
      <c r="D668" s="446"/>
      <c r="E668" s="447"/>
      <c r="F668" s="448"/>
      <c r="G668" s="449"/>
      <c r="H668" s="448"/>
      <c r="I668" s="448"/>
      <c r="J668" s="450"/>
      <c r="K668" s="451"/>
      <c r="L668" s="451"/>
      <c r="M668" s="451"/>
      <c r="N668" s="451"/>
      <c r="O668" s="451"/>
      <c r="P668" s="451"/>
      <c r="Q668" s="451"/>
      <c r="R668" s="451"/>
      <c r="S668" s="451"/>
    </row>
    <row r="669">
      <c r="A669" s="444"/>
      <c r="B669" s="444"/>
      <c r="C669" s="445"/>
      <c r="D669" s="446"/>
      <c r="E669" s="447"/>
      <c r="F669" s="448"/>
      <c r="G669" s="449"/>
      <c r="H669" s="448"/>
      <c r="I669" s="448"/>
      <c r="J669" s="450"/>
      <c r="K669" s="451"/>
      <c r="L669" s="451"/>
      <c r="M669" s="451"/>
      <c r="N669" s="451"/>
      <c r="O669" s="451"/>
      <c r="P669" s="451"/>
      <c r="Q669" s="451"/>
      <c r="R669" s="451"/>
      <c r="S669" s="451"/>
    </row>
    <row r="670">
      <c r="A670" s="444"/>
      <c r="B670" s="444"/>
      <c r="C670" s="445"/>
      <c r="D670" s="446"/>
      <c r="E670" s="447"/>
      <c r="F670" s="448"/>
      <c r="G670" s="449"/>
      <c r="H670" s="448"/>
      <c r="I670" s="448"/>
      <c r="J670" s="450"/>
      <c r="K670" s="451"/>
      <c r="L670" s="451"/>
      <c r="M670" s="451"/>
      <c r="N670" s="451"/>
      <c r="O670" s="451"/>
      <c r="P670" s="451"/>
      <c r="Q670" s="451"/>
      <c r="R670" s="451"/>
      <c r="S670" s="451"/>
    </row>
    <row r="671">
      <c r="A671" s="444"/>
      <c r="B671" s="444"/>
      <c r="C671" s="445"/>
      <c r="D671" s="446"/>
      <c r="E671" s="447"/>
      <c r="F671" s="448"/>
      <c r="G671" s="449"/>
      <c r="H671" s="448"/>
      <c r="I671" s="448"/>
      <c r="J671" s="450"/>
      <c r="K671" s="451"/>
      <c r="L671" s="451"/>
      <c r="M671" s="451"/>
      <c r="N671" s="451"/>
      <c r="O671" s="451"/>
      <c r="P671" s="451"/>
      <c r="Q671" s="451"/>
      <c r="R671" s="451"/>
      <c r="S671" s="451"/>
    </row>
    <row r="672">
      <c r="A672" s="444"/>
      <c r="B672" s="444"/>
      <c r="C672" s="445"/>
      <c r="D672" s="446"/>
      <c r="E672" s="447"/>
      <c r="F672" s="448"/>
      <c r="G672" s="449"/>
      <c r="H672" s="448"/>
      <c r="I672" s="448"/>
      <c r="J672" s="450"/>
      <c r="K672" s="451"/>
      <c r="L672" s="451"/>
      <c r="M672" s="451"/>
      <c r="N672" s="451"/>
      <c r="O672" s="451"/>
      <c r="P672" s="451"/>
      <c r="Q672" s="451"/>
      <c r="R672" s="451"/>
      <c r="S672" s="451"/>
    </row>
    <row r="673">
      <c r="A673" s="444"/>
      <c r="B673" s="444"/>
      <c r="C673" s="445"/>
      <c r="D673" s="446"/>
      <c r="E673" s="447"/>
      <c r="F673" s="448"/>
      <c r="G673" s="449"/>
      <c r="H673" s="448"/>
      <c r="I673" s="448"/>
      <c r="J673" s="450"/>
      <c r="K673" s="451"/>
      <c r="L673" s="451"/>
      <c r="M673" s="451"/>
      <c r="N673" s="451"/>
      <c r="O673" s="451"/>
      <c r="P673" s="451"/>
      <c r="Q673" s="451"/>
      <c r="R673" s="451"/>
      <c r="S673" s="451"/>
    </row>
    <row r="674">
      <c r="A674" s="444"/>
      <c r="B674" s="444"/>
      <c r="C674" s="445"/>
      <c r="D674" s="446"/>
      <c r="E674" s="447"/>
      <c r="F674" s="448"/>
      <c r="G674" s="449"/>
      <c r="H674" s="448"/>
      <c r="I674" s="448"/>
      <c r="J674" s="450"/>
      <c r="K674" s="451"/>
      <c r="L674" s="451"/>
      <c r="M674" s="451"/>
      <c r="N674" s="451"/>
      <c r="O674" s="451"/>
      <c r="P674" s="451"/>
      <c r="Q674" s="451"/>
      <c r="R674" s="451"/>
      <c r="S674" s="451"/>
    </row>
    <row r="675">
      <c r="A675" s="444"/>
      <c r="B675" s="444"/>
      <c r="C675" s="445"/>
      <c r="D675" s="446"/>
      <c r="E675" s="447"/>
      <c r="F675" s="448"/>
      <c r="G675" s="449"/>
      <c r="H675" s="448"/>
      <c r="I675" s="448"/>
      <c r="J675" s="450"/>
      <c r="K675" s="451"/>
      <c r="L675" s="451"/>
      <c r="M675" s="451"/>
      <c r="N675" s="451"/>
      <c r="O675" s="451"/>
      <c r="P675" s="451"/>
      <c r="Q675" s="451"/>
      <c r="R675" s="451"/>
      <c r="S675" s="451"/>
    </row>
    <row r="676">
      <c r="A676" s="444"/>
      <c r="B676" s="444"/>
      <c r="C676" s="445"/>
      <c r="D676" s="446"/>
      <c r="E676" s="447"/>
      <c r="F676" s="448"/>
      <c r="G676" s="449"/>
      <c r="H676" s="448"/>
      <c r="I676" s="448"/>
      <c r="J676" s="450"/>
      <c r="K676" s="451"/>
      <c r="L676" s="451"/>
      <c r="M676" s="451"/>
      <c r="N676" s="451"/>
      <c r="O676" s="451"/>
      <c r="P676" s="451"/>
      <c r="Q676" s="451"/>
      <c r="R676" s="451"/>
      <c r="S676" s="451"/>
    </row>
    <row r="677">
      <c r="A677" s="444"/>
      <c r="B677" s="444"/>
      <c r="C677" s="445"/>
      <c r="D677" s="446"/>
      <c r="E677" s="447"/>
      <c r="F677" s="448"/>
      <c r="G677" s="449"/>
      <c r="H677" s="448"/>
      <c r="I677" s="448"/>
      <c r="J677" s="450"/>
      <c r="K677" s="451"/>
      <c r="L677" s="451"/>
      <c r="M677" s="451"/>
      <c r="N677" s="451"/>
      <c r="O677" s="451"/>
      <c r="P677" s="451"/>
      <c r="Q677" s="451"/>
      <c r="R677" s="451"/>
      <c r="S677" s="451"/>
    </row>
    <row r="678">
      <c r="A678" s="444"/>
      <c r="B678" s="444"/>
      <c r="C678" s="445"/>
      <c r="D678" s="446"/>
      <c r="E678" s="447"/>
      <c r="F678" s="448"/>
      <c r="G678" s="449"/>
      <c r="H678" s="448"/>
      <c r="I678" s="448"/>
      <c r="J678" s="450"/>
      <c r="K678" s="451"/>
      <c r="L678" s="451"/>
      <c r="M678" s="451"/>
      <c r="N678" s="451"/>
      <c r="O678" s="451"/>
      <c r="P678" s="451"/>
      <c r="Q678" s="451"/>
      <c r="R678" s="451"/>
      <c r="S678" s="451"/>
    </row>
    <row r="679">
      <c r="A679" s="444"/>
      <c r="B679" s="444"/>
      <c r="C679" s="445"/>
      <c r="D679" s="446"/>
      <c r="E679" s="447"/>
      <c r="F679" s="448"/>
      <c r="G679" s="449"/>
      <c r="H679" s="448"/>
      <c r="I679" s="448"/>
      <c r="J679" s="450"/>
      <c r="K679" s="451"/>
      <c r="L679" s="451"/>
      <c r="M679" s="451"/>
      <c r="N679" s="451"/>
      <c r="O679" s="451"/>
      <c r="P679" s="451"/>
      <c r="Q679" s="451"/>
      <c r="R679" s="451"/>
      <c r="S679" s="451"/>
    </row>
    <row r="680">
      <c r="A680" s="444"/>
      <c r="B680" s="444"/>
      <c r="C680" s="445"/>
      <c r="D680" s="446"/>
      <c r="E680" s="447"/>
      <c r="F680" s="448"/>
      <c r="G680" s="449"/>
      <c r="H680" s="448"/>
      <c r="I680" s="448"/>
      <c r="J680" s="450"/>
      <c r="K680" s="451"/>
      <c r="L680" s="451"/>
      <c r="M680" s="451"/>
      <c r="N680" s="451"/>
      <c r="O680" s="451"/>
      <c r="P680" s="451"/>
      <c r="Q680" s="451"/>
      <c r="R680" s="451"/>
      <c r="S680" s="451"/>
    </row>
    <row r="681">
      <c r="A681" s="444"/>
      <c r="B681" s="444"/>
      <c r="C681" s="445"/>
      <c r="D681" s="446"/>
      <c r="E681" s="447"/>
      <c r="F681" s="448"/>
      <c r="G681" s="449"/>
      <c r="H681" s="448"/>
      <c r="I681" s="448"/>
      <c r="J681" s="450"/>
      <c r="K681" s="451"/>
      <c r="L681" s="451"/>
      <c r="M681" s="451"/>
      <c r="N681" s="451"/>
      <c r="O681" s="451"/>
      <c r="P681" s="451"/>
      <c r="Q681" s="451"/>
      <c r="R681" s="451"/>
      <c r="S681" s="451"/>
    </row>
    <row r="682">
      <c r="A682" s="444"/>
      <c r="B682" s="444"/>
      <c r="C682" s="445"/>
      <c r="D682" s="446"/>
      <c r="E682" s="447"/>
      <c r="F682" s="448"/>
      <c r="G682" s="449"/>
      <c r="H682" s="448"/>
      <c r="I682" s="448"/>
      <c r="J682" s="450"/>
      <c r="K682" s="451"/>
      <c r="L682" s="451"/>
      <c r="M682" s="451"/>
      <c r="N682" s="451"/>
      <c r="O682" s="451"/>
      <c r="P682" s="451"/>
      <c r="Q682" s="451"/>
      <c r="R682" s="451"/>
      <c r="S682" s="451"/>
    </row>
    <row r="683">
      <c r="A683" s="444"/>
      <c r="B683" s="444"/>
      <c r="C683" s="445"/>
      <c r="D683" s="446"/>
      <c r="E683" s="447"/>
      <c r="F683" s="448"/>
      <c r="G683" s="449"/>
      <c r="H683" s="448"/>
      <c r="I683" s="448"/>
      <c r="J683" s="450"/>
      <c r="K683" s="451"/>
      <c r="L683" s="451"/>
      <c r="M683" s="451"/>
      <c r="N683" s="451"/>
      <c r="O683" s="451"/>
      <c r="P683" s="451"/>
      <c r="Q683" s="451"/>
      <c r="R683" s="451"/>
      <c r="S683" s="451"/>
    </row>
    <row r="684">
      <c r="A684" s="444"/>
      <c r="B684" s="444"/>
      <c r="C684" s="445"/>
      <c r="D684" s="446"/>
      <c r="E684" s="447"/>
      <c r="F684" s="448"/>
      <c r="G684" s="449"/>
      <c r="H684" s="448"/>
      <c r="I684" s="448"/>
      <c r="J684" s="450"/>
      <c r="K684" s="451"/>
      <c r="L684" s="451"/>
      <c r="M684" s="451"/>
      <c r="N684" s="451"/>
      <c r="O684" s="451"/>
      <c r="P684" s="451"/>
      <c r="Q684" s="451"/>
      <c r="R684" s="451"/>
      <c r="S684" s="451"/>
    </row>
    <row r="685">
      <c r="A685" s="444"/>
      <c r="B685" s="444"/>
      <c r="C685" s="445"/>
      <c r="D685" s="446"/>
      <c r="E685" s="447"/>
      <c r="F685" s="448"/>
      <c r="G685" s="449"/>
      <c r="H685" s="448"/>
      <c r="I685" s="448"/>
      <c r="J685" s="450"/>
      <c r="K685" s="451"/>
      <c r="L685" s="451"/>
      <c r="M685" s="451"/>
      <c r="N685" s="451"/>
      <c r="O685" s="451"/>
      <c r="P685" s="451"/>
      <c r="Q685" s="451"/>
      <c r="R685" s="451"/>
      <c r="S685" s="451"/>
    </row>
    <row r="686">
      <c r="A686" s="444"/>
      <c r="B686" s="444"/>
      <c r="C686" s="445"/>
      <c r="D686" s="446"/>
      <c r="E686" s="447"/>
      <c r="F686" s="448"/>
      <c r="G686" s="449"/>
      <c r="H686" s="448"/>
      <c r="I686" s="448"/>
      <c r="J686" s="450"/>
      <c r="K686" s="451"/>
      <c r="L686" s="451"/>
      <c r="M686" s="451"/>
      <c r="N686" s="451"/>
      <c r="O686" s="451"/>
      <c r="P686" s="451"/>
      <c r="Q686" s="451"/>
      <c r="R686" s="451"/>
      <c r="S686" s="451"/>
    </row>
    <row r="687">
      <c r="A687" s="444"/>
      <c r="B687" s="444"/>
      <c r="C687" s="445"/>
      <c r="D687" s="446"/>
      <c r="E687" s="447"/>
      <c r="F687" s="448"/>
      <c r="G687" s="449"/>
      <c r="H687" s="448"/>
      <c r="I687" s="448"/>
      <c r="J687" s="450"/>
      <c r="K687" s="451"/>
      <c r="L687" s="451"/>
      <c r="M687" s="451"/>
      <c r="N687" s="451"/>
      <c r="O687" s="451"/>
      <c r="P687" s="451"/>
      <c r="Q687" s="451"/>
      <c r="R687" s="451"/>
      <c r="S687" s="451"/>
    </row>
    <row r="688">
      <c r="A688" s="444"/>
      <c r="B688" s="444"/>
      <c r="C688" s="445"/>
      <c r="D688" s="446"/>
      <c r="E688" s="447"/>
      <c r="F688" s="448"/>
      <c r="G688" s="449"/>
      <c r="H688" s="448"/>
      <c r="I688" s="448"/>
      <c r="J688" s="450"/>
      <c r="K688" s="451"/>
      <c r="L688" s="451"/>
      <c r="M688" s="451"/>
      <c r="N688" s="451"/>
      <c r="O688" s="451"/>
      <c r="P688" s="451"/>
      <c r="Q688" s="451"/>
      <c r="R688" s="451"/>
      <c r="S688" s="451"/>
    </row>
    <row r="689">
      <c r="A689" s="444"/>
      <c r="B689" s="444"/>
      <c r="C689" s="445"/>
      <c r="D689" s="446"/>
      <c r="E689" s="447"/>
      <c r="F689" s="448"/>
      <c r="G689" s="449"/>
      <c r="H689" s="448"/>
      <c r="I689" s="448"/>
      <c r="J689" s="450"/>
      <c r="K689" s="451"/>
      <c r="L689" s="451"/>
      <c r="M689" s="451"/>
      <c r="N689" s="451"/>
      <c r="O689" s="451"/>
      <c r="P689" s="451"/>
      <c r="Q689" s="451"/>
      <c r="R689" s="451"/>
      <c r="S689" s="451"/>
    </row>
    <row r="690">
      <c r="A690" s="444"/>
      <c r="B690" s="444"/>
      <c r="C690" s="445"/>
      <c r="D690" s="446"/>
      <c r="E690" s="447"/>
      <c r="F690" s="448"/>
      <c r="G690" s="449"/>
      <c r="H690" s="448"/>
      <c r="I690" s="448"/>
      <c r="J690" s="450"/>
      <c r="K690" s="451"/>
      <c r="L690" s="451"/>
      <c r="M690" s="451"/>
      <c r="N690" s="451"/>
      <c r="O690" s="451"/>
      <c r="P690" s="451"/>
      <c r="Q690" s="451"/>
      <c r="R690" s="451"/>
      <c r="S690" s="451"/>
    </row>
    <row r="691">
      <c r="A691" s="444"/>
      <c r="B691" s="444"/>
      <c r="C691" s="445"/>
      <c r="D691" s="446"/>
      <c r="E691" s="447"/>
      <c r="F691" s="448"/>
      <c r="G691" s="449"/>
      <c r="H691" s="448"/>
      <c r="I691" s="448"/>
      <c r="J691" s="450"/>
      <c r="K691" s="451"/>
      <c r="L691" s="451"/>
      <c r="M691" s="451"/>
      <c r="N691" s="451"/>
      <c r="O691" s="451"/>
      <c r="P691" s="451"/>
      <c r="Q691" s="451"/>
      <c r="R691" s="451"/>
      <c r="S691" s="451"/>
    </row>
    <row r="692">
      <c r="A692" s="444"/>
      <c r="B692" s="444"/>
      <c r="C692" s="445"/>
      <c r="D692" s="446"/>
      <c r="E692" s="447"/>
      <c r="F692" s="448"/>
      <c r="G692" s="449"/>
      <c r="H692" s="448"/>
      <c r="I692" s="448"/>
      <c r="J692" s="450"/>
      <c r="K692" s="451"/>
      <c r="L692" s="451"/>
      <c r="M692" s="451"/>
      <c r="N692" s="451"/>
      <c r="O692" s="451"/>
      <c r="P692" s="451"/>
      <c r="Q692" s="451"/>
      <c r="R692" s="451"/>
      <c r="S692" s="451"/>
    </row>
    <row r="693">
      <c r="A693" s="444"/>
      <c r="B693" s="444"/>
      <c r="C693" s="445"/>
      <c r="D693" s="446"/>
      <c r="E693" s="447"/>
      <c r="F693" s="448"/>
      <c r="G693" s="449"/>
      <c r="H693" s="448"/>
      <c r="I693" s="448"/>
      <c r="J693" s="450"/>
      <c r="K693" s="451"/>
      <c r="L693" s="451"/>
      <c r="M693" s="451"/>
      <c r="N693" s="451"/>
      <c r="O693" s="451"/>
      <c r="P693" s="451"/>
      <c r="Q693" s="451"/>
      <c r="R693" s="451"/>
      <c r="S693" s="451"/>
    </row>
    <row r="694">
      <c r="A694" s="444"/>
      <c r="B694" s="444"/>
      <c r="C694" s="445"/>
      <c r="D694" s="446"/>
      <c r="E694" s="447"/>
      <c r="F694" s="448"/>
      <c r="G694" s="449"/>
      <c r="H694" s="448"/>
      <c r="I694" s="448"/>
      <c r="J694" s="450"/>
      <c r="K694" s="451"/>
      <c r="L694" s="451"/>
      <c r="M694" s="451"/>
      <c r="N694" s="451"/>
      <c r="O694" s="451"/>
      <c r="P694" s="451"/>
      <c r="Q694" s="451"/>
      <c r="R694" s="451"/>
      <c r="S694" s="451"/>
    </row>
    <row r="695">
      <c r="A695" s="444"/>
      <c r="B695" s="444"/>
      <c r="C695" s="445"/>
      <c r="D695" s="446"/>
      <c r="E695" s="447"/>
      <c r="F695" s="448"/>
      <c r="G695" s="449"/>
      <c r="H695" s="448"/>
      <c r="I695" s="448"/>
      <c r="J695" s="450"/>
      <c r="K695" s="451"/>
      <c r="L695" s="451"/>
      <c r="M695" s="451"/>
      <c r="N695" s="451"/>
      <c r="O695" s="451"/>
      <c r="P695" s="451"/>
      <c r="Q695" s="451"/>
      <c r="R695" s="451"/>
      <c r="S695" s="451"/>
    </row>
    <row r="696">
      <c r="A696" s="444"/>
      <c r="B696" s="444"/>
      <c r="C696" s="445"/>
      <c r="D696" s="446"/>
      <c r="E696" s="447"/>
      <c r="F696" s="448"/>
      <c r="G696" s="449"/>
      <c r="H696" s="448"/>
      <c r="I696" s="448"/>
      <c r="J696" s="450"/>
      <c r="K696" s="451"/>
      <c r="L696" s="451"/>
      <c r="M696" s="451"/>
      <c r="N696" s="451"/>
      <c r="O696" s="451"/>
      <c r="P696" s="451"/>
      <c r="Q696" s="451"/>
      <c r="R696" s="451"/>
      <c r="S696" s="451"/>
    </row>
    <row r="697">
      <c r="A697" s="444"/>
      <c r="B697" s="444"/>
      <c r="C697" s="445"/>
      <c r="D697" s="446"/>
      <c r="E697" s="447"/>
      <c r="F697" s="448"/>
      <c r="G697" s="449"/>
      <c r="H697" s="448"/>
      <c r="I697" s="448"/>
      <c r="J697" s="450"/>
      <c r="K697" s="451"/>
      <c r="L697" s="451"/>
      <c r="M697" s="451"/>
      <c r="N697" s="451"/>
      <c r="O697" s="451"/>
      <c r="P697" s="451"/>
      <c r="Q697" s="451"/>
      <c r="R697" s="451"/>
      <c r="S697" s="451"/>
    </row>
    <row r="698">
      <c r="A698" s="444"/>
      <c r="B698" s="444"/>
      <c r="C698" s="445"/>
      <c r="D698" s="446"/>
      <c r="E698" s="447"/>
      <c r="F698" s="448"/>
      <c r="G698" s="449"/>
      <c r="H698" s="448"/>
      <c r="I698" s="448"/>
      <c r="J698" s="450"/>
      <c r="K698" s="451"/>
      <c r="L698" s="451"/>
      <c r="M698" s="451"/>
      <c r="N698" s="451"/>
      <c r="O698" s="451"/>
      <c r="P698" s="451"/>
      <c r="Q698" s="451"/>
      <c r="R698" s="451"/>
      <c r="S698" s="451"/>
    </row>
    <row r="699">
      <c r="A699" s="444"/>
      <c r="B699" s="444"/>
      <c r="C699" s="445"/>
      <c r="D699" s="446"/>
      <c r="E699" s="447"/>
      <c r="F699" s="448"/>
      <c r="G699" s="449"/>
      <c r="H699" s="448"/>
      <c r="I699" s="448"/>
      <c r="J699" s="450"/>
      <c r="K699" s="451"/>
      <c r="L699" s="451"/>
      <c r="M699" s="451"/>
      <c r="N699" s="451"/>
      <c r="O699" s="451"/>
      <c r="P699" s="451"/>
      <c r="Q699" s="451"/>
      <c r="R699" s="451"/>
      <c r="S699" s="451"/>
    </row>
    <row r="700">
      <c r="A700" s="444"/>
      <c r="B700" s="444"/>
      <c r="C700" s="445"/>
      <c r="D700" s="446"/>
      <c r="E700" s="447"/>
      <c r="F700" s="448"/>
      <c r="G700" s="449"/>
      <c r="H700" s="448"/>
      <c r="I700" s="448"/>
      <c r="J700" s="450"/>
      <c r="K700" s="451"/>
      <c r="L700" s="451"/>
      <c r="M700" s="451"/>
      <c r="N700" s="451"/>
      <c r="O700" s="451"/>
      <c r="P700" s="451"/>
      <c r="Q700" s="451"/>
      <c r="R700" s="451"/>
      <c r="S700" s="451"/>
    </row>
    <row r="701">
      <c r="A701" s="444"/>
      <c r="B701" s="444"/>
      <c r="C701" s="445"/>
      <c r="D701" s="446"/>
      <c r="E701" s="447"/>
      <c r="F701" s="448"/>
      <c r="G701" s="449"/>
      <c r="H701" s="448"/>
      <c r="I701" s="448"/>
      <c r="J701" s="450"/>
      <c r="K701" s="451"/>
      <c r="L701" s="451"/>
      <c r="M701" s="451"/>
      <c r="N701" s="451"/>
      <c r="O701" s="451"/>
      <c r="P701" s="451"/>
      <c r="Q701" s="451"/>
      <c r="R701" s="451"/>
      <c r="S701" s="451"/>
    </row>
    <row r="702">
      <c r="A702" s="444"/>
      <c r="B702" s="444"/>
      <c r="C702" s="445"/>
      <c r="D702" s="446"/>
      <c r="E702" s="447"/>
      <c r="F702" s="448"/>
      <c r="G702" s="449"/>
      <c r="H702" s="448"/>
      <c r="I702" s="448"/>
      <c r="J702" s="450"/>
      <c r="K702" s="451"/>
      <c r="L702" s="451"/>
      <c r="M702" s="451"/>
      <c r="N702" s="451"/>
      <c r="O702" s="451"/>
      <c r="P702" s="451"/>
      <c r="Q702" s="451"/>
      <c r="R702" s="451"/>
      <c r="S702" s="451"/>
    </row>
    <row r="703">
      <c r="A703" s="444"/>
      <c r="B703" s="444"/>
      <c r="C703" s="445"/>
      <c r="D703" s="446"/>
      <c r="E703" s="447"/>
      <c r="F703" s="448"/>
      <c r="G703" s="449"/>
      <c r="H703" s="448"/>
      <c r="I703" s="448"/>
      <c r="J703" s="450"/>
      <c r="K703" s="451"/>
      <c r="L703" s="451"/>
      <c r="M703" s="451"/>
      <c r="N703" s="451"/>
      <c r="O703" s="451"/>
      <c r="P703" s="451"/>
      <c r="Q703" s="451"/>
      <c r="R703" s="451"/>
      <c r="S703" s="451"/>
    </row>
    <row r="704">
      <c r="A704" s="444"/>
      <c r="B704" s="444"/>
      <c r="C704" s="445"/>
      <c r="D704" s="446"/>
      <c r="E704" s="447"/>
      <c r="F704" s="448"/>
      <c r="G704" s="449"/>
      <c r="H704" s="448"/>
      <c r="I704" s="448"/>
      <c r="J704" s="450"/>
      <c r="K704" s="451"/>
      <c r="L704" s="451"/>
      <c r="M704" s="451"/>
      <c r="N704" s="451"/>
      <c r="O704" s="451"/>
      <c r="P704" s="451"/>
      <c r="Q704" s="451"/>
      <c r="R704" s="451"/>
      <c r="S704" s="451"/>
    </row>
    <row r="705">
      <c r="A705" s="444"/>
      <c r="B705" s="444"/>
      <c r="C705" s="445"/>
      <c r="D705" s="446"/>
      <c r="E705" s="447"/>
      <c r="F705" s="448"/>
      <c r="G705" s="449"/>
      <c r="H705" s="448"/>
      <c r="I705" s="448"/>
      <c r="J705" s="450"/>
      <c r="K705" s="451"/>
      <c r="L705" s="451"/>
      <c r="M705" s="451"/>
      <c r="N705" s="451"/>
      <c r="O705" s="451"/>
      <c r="P705" s="451"/>
      <c r="Q705" s="451"/>
      <c r="R705" s="451"/>
      <c r="S705" s="451"/>
    </row>
    <row r="706">
      <c r="A706" s="444"/>
      <c r="B706" s="444"/>
      <c r="C706" s="445"/>
      <c r="D706" s="446"/>
      <c r="E706" s="447"/>
      <c r="F706" s="448"/>
      <c r="G706" s="449"/>
      <c r="H706" s="448"/>
      <c r="I706" s="448"/>
      <c r="J706" s="450"/>
      <c r="K706" s="451"/>
      <c r="L706" s="451"/>
      <c r="M706" s="451"/>
      <c r="N706" s="451"/>
      <c r="O706" s="451"/>
      <c r="P706" s="451"/>
      <c r="Q706" s="451"/>
      <c r="R706" s="451"/>
      <c r="S706" s="451"/>
    </row>
    <row r="707">
      <c r="A707" s="444"/>
      <c r="B707" s="444"/>
      <c r="C707" s="445"/>
      <c r="D707" s="446"/>
      <c r="E707" s="447"/>
      <c r="F707" s="448"/>
      <c r="G707" s="449"/>
      <c r="H707" s="448"/>
      <c r="I707" s="448"/>
      <c r="J707" s="450"/>
      <c r="K707" s="451"/>
      <c r="L707" s="451"/>
      <c r="M707" s="451"/>
      <c r="N707" s="451"/>
      <c r="O707" s="451"/>
      <c r="P707" s="451"/>
      <c r="Q707" s="451"/>
      <c r="R707" s="451"/>
      <c r="S707" s="451"/>
    </row>
    <row r="708">
      <c r="A708" s="444"/>
      <c r="B708" s="444"/>
      <c r="C708" s="445"/>
      <c r="D708" s="446"/>
      <c r="E708" s="447"/>
      <c r="F708" s="448"/>
      <c r="G708" s="449"/>
      <c r="H708" s="448"/>
      <c r="I708" s="448"/>
      <c r="J708" s="450"/>
      <c r="K708" s="451"/>
      <c r="L708" s="451"/>
      <c r="M708" s="451"/>
      <c r="N708" s="451"/>
      <c r="O708" s="451"/>
      <c r="P708" s="451"/>
      <c r="Q708" s="451"/>
      <c r="R708" s="451"/>
      <c r="S708" s="451"/>
    </row>
    <row r="709">
      <c r="A709" s="444"/>
      <c r="B709" s="444"/>
      <c r="C709" s="445"/>
      <c r="D709" s="446"/>
      <c r="E709" s="447"/>
      <c r="F709" s="448"/>
      <c r="G709" s="449"/>
      <c r="H709" s="448"/>
      <c r="I709" s="448"/>
      <c r="J709" s="450"/>
      <c r="K709" s="451"/>
      <c r="L709" s="451"/>
      <c r="M709" s="451"/>
      <c r="N709" s="451"/>
      <c r="O709" s="451"/>
      <c r="P709" s="451"/>
      <c r="Q709" s="451"/>
      <c r="R709" s="451"/>
      <c r="S709" s="451"/>
    </row>
    <row r="710">
      <c r="A710" s="444"/>
      <c r="B710" s="444"/>
      <c r="C710" s="445"/>
      <c r="D710" s="446"/>
      <c r="E710" s="447"/>
      <c r="F710" s="448"/>
      <c r="G710" s="449"/>
      <c r="H710" s="448"/>
      <c r="I710" s="448"/>
      <c r="J710" s="450"/>
      <c r="K710" s="451"/>
      <c r="L710" s="451"/>
      <c r="M710" s="451"/>
      <c r="N710" s="451"/>
      <c r="O710" s="451"/>
      <c r="P710" s="451"/>
      <c r="Q710" s="451"/>
      <c r="R710" s="451"/>
      <c r="S710" s="451"/>
    </row>
    <row r="711">
      <c r="A711" s="444"/>
      <c r="B711" s="444"/>
      <c r="C711" s="445"/>
      <c r="D711" s="446"/>
      <c r="E711" s="447"/>
      <c r="F711" s="448"/>
      <c r="G711" s="449"/>
      <c r="H711" s="448"/>
      <c r="I711" s="448"/>
      <c r="J711" s="450"/>
      <c r="K711" s="451"/>
      <c r="L711" s="451"/>
      <c r="M711" s="451"/>
      <c r="N711" s="451"/>
      <c r="O711" s="451"/>
      <c r="P711" s="451"/>
      <c r="Q711" s="451"/>
      <c r="R711" s="451"/>
      <c r="S711" s="451"/>
    </row>
    <row r="712">
      <c r="A712" s="444"/>
      <c r="B712" s="444"/>
      <c r="C712" s="445"/>
      <c r="D712" s="446"/>
      <c r="E712" s="447"/>
      <c r="F712" s="448"/>
      <c r="G712" s="449"/>
      <c r="H712" s="448"/>
      <c r="I712" s="448"/>
      <c r="J712" s="450"/>
      <c r="K712" s="451"/>
      <c r="L712" s="451"/>
      <c r="M712" s="451"/>
      <c r="N712" s="451"/>
      <c r="O712" s="451"/>
      <c r="P712" s="451"/>
      <c r="Q712" s="451"/>
      <c r="R712" s="451"/>
      <c r="S712" s="451"/>
    </row>
    <row r="713">
      <c r="A713" s="444"/>
      <c r="B713" s="444"/>
      <c r="C713" s="445"/>
      <c r="D713" s="446"/>
      <c r="E713" s="447"/>
      <c r="F713" s="448"/>
      <c r="G713" s="449"/>
      <c r="H713" s="448"/>
      <c r="I713" s="448"/>
      <c r="J713" s="450"/>
      <c r="K713" s="451"/>
      <c r="L713" s="451"/>
      <c r="M713" s="451"/>
      <c r="N713" s="451"/>
      <c r="O713" s="451"/>
      <c r="P713" s="451"/>
      <c r="Q713" s="451"/>
      <c r="R713" s="451"/>
      <c r="S713" s="451"/>
    </row>
    <row r="714">
      <c r="A714" s="444"/>
      <c r="B714" s="444"/>
      <c r="C714" s="445"/>
      <c r="D714" s="446"/>
      <c r="E714" s="447"/>
      <c r="F714" s="448"/>
      <c r="G714" s="449"/>
      <c r="H714" s="448"/>
      <c r="I714" s="448"/>
      <c r="J714" s="450"/>
      <c r="K714" s="451"/>
      <c r="L714" s="451"/>
      <c r="M714" s="451"/>
      <c r="N714" s="451"/>
      <c r="O714" s="451"/>
      <c r="P714" s="451"/>
      <c r="Q714" s="451"/>
      <c r="R714" s="451"/>
      <c r="S714" s="451"/>
    </row>
    <row r="715">
      <c r="A715" s="444"/>
      <c r="B715" s="444"/>
      <c r="C715" s="445"/>
      <c r="D715" s="446"/>
      <c r="E715" s="447"/>
      <c r="F715" s="448"/>
      <c r="G715" s="449"/>
      <c r="H715" s="448"/>
      <c r="I715" s="448"/>
      <c r="J715" s="450"/>
      <c r="K715" s="451"/>
      <c r="L715" s="451"/>
      <c r="M715" s="451"/>
      <c r="N715" s="451"/>
      <c r="O715" s="451"/>
      <c r="P715" s="451"/>
      <c r="Q715" s="451"/>
      <c r="R715" s="451"/>
      <c r="S715" s="451"/>
    </row>
    <row r="716">
      <c r="A716" s="444"/>
      <c r="B716" s="444"/>
      <c r="C716" s="445"/>
      <c r="D716" s="446"/>
      <c r="E716" s="447"/>
      <c r="F716" s="448"/>
      <c r="G716" s="449"/>
      <c r="H716" s="448"/>
      <c r="I716" s="448"/>
      <c r="J716" s="450"/>
      <c r="K716" s="451"/>
      <c r="L716" s="451"/>
      <c r="M716" s="451"/>
      <c r="N716" s="451"/>
      <c r="O716" s="451"/>
      <c r="P716" s="451"/>
      <c r="Q716" s="451"/>
      <c r="R716" s="451"/>
      <c r="S716" s="451"/>
    </row>
    <row r="717">
      <c r="A717" s="444"/>
      <c r="B717" s="444"/>
      <c r="C717" s="445"/>
      <c r="D717" s="446"/>
      <c r="E717" s="447"/>
      <c r="F717" s="448"/>
      <c r="G717" s="449"/>
      <c r="H717" s="448"/>
      <c r="I717" s="448"/>
      <c r="J717" s="450"/>
      <c r="K717" s="451"/>
      <c r="L717" s="451"/>
      <c r="M717" s="451"/>
      <c r="N717" s="451"/>
      <c r="O717" s="451"/>
      <c r="P717" s="451"/>
      <c r="Q717" s="451"/>
      <c r="R717" s="451"/>
      <c r="S717" s="451"/>
    </row>
    <row r="718">
      <c r="A718" s="444"/>
      <c r="B718" s="444"/>
      <c r="C718" s="445"/>
      <c r="D718" s="446"/>
      <c r="E718" s="447"/>
      <c r="F718" s="448"/>
      <c r="G718" s="449"/>
      <c r="H718" s="448"/>
      <c r="I718" s="448"/>
      <c r="J718" s="450"/>
      <c r="K718" s="451"/>
      <c r="L718" s="451"/>
      <c r="M718" s="451"/>
      <c r="N718" s="451"/>
      <c r="O718" s="451"/>
      <c r="P718" s="451"/>
      <c r="Q718" s="451"/>
      <c r="R718" s="451"/>
      <c r="S718" s="451"/>
    </row>
    <row r="719">
      <c r="A719" s="444"/>
      <c r="B719" s="444"/>
      <c r="C719" s="445"/>
      <c r="D719" s="446"/>
      <c r="E719" s="447"/>
      <c r="F719" s="448"/>
      <c r="G719" s="449"/>
      <c r="H719" s="448"/>
      <c r="I719" s="448"/>
      <c r="J719" s="450"/>
      <c r="K719" s="451"/>
      <c r="L719" s="451"/>
      <c r="M719" s="451"/>
      <c r="N719" s="451"/>
      <c r="O719" s="451"/>
      <c r="P719" s="451"/>
      <c r="Q719" s="451"/>
      <c r="R719" s="451"/>
      <c r="S719" s="451"/>
    </row>
    <row r="720">
      <c r="A720" s="444"/>
      <c r="B720" s="444"/>
      <c r="C720" s="445"/>
      <c r="D720" s="446"/>
      <c r="E720" s="447"/>
      <c r="F720" s="448"/>
      <c r="G720" s="449"/>
      <c r="H720" s="448"/>
      <c r="I720" s="448"/>
      <c r="J720" s="450"/>
      <c r="K720" s="451"/>
      <c r="L720" s="451"/>
      <c r="M720" s="451"/>
      <c r="N720" s="451"/>
      <c r="O720" s="451"/>
      <c r="P720" s="451"/>
      <c r="Q720" s="451"/>
      <c r="R720" s="451"/>
      <c r="S720" s="451"/>
    </row>
    <row r="721">
      <c r="A721" s="444"/>
      <c r="B721" s="444"/>
      <c r="C721" s="445"/>
      <c r="D721" s="446"/>
      <c r="E721" s="447"/>
      <c r="F721" s="448"/>
      <c r="G721" s="449"/>
      <c r="H721" s="448"/>
      <c r="I721" s="448"/>
      <c r="J721" s="450"/>
      <c r="K721" s="451"/>
      <c r="L721" s="451"/>
      <c r="M721" s="451"/>
      <c r="N721" s="451"/>
      <c r="O721" s="451"/>
      <c r="P721" s="451"/>
      <c r="Q721" s="451"/>
      <c r="R721" s="451"/>
      <c r="S721" s="451"/>
    </row>
    <row r="722">
      <c r="A722" s="444"/>
      <c r="B722" s="444"/>
      <c r="C722" s="445"/>
      <c r="D722" s="446"/>
      <c r="E722" s="447"/>
      <c r="F722" s="448"/>
      <c r="G722" s="449"/>
      <c r="H722" s="448"/>
      <c r="I722" s="448"/>
      <c r="J722" s="450"/>
      <c r="K722" s="451"/>
      <c r="L722" s="451"/>
      <c r="M722" s="451"/>
      <c r="N722" s="451"/>
      <c r="O722" s="451"/>
      <c r="P722" s="451"/>
      <c r="Q722" s="451"/>
      <c r="R722" s="451"/>
      <c r="S722" s="451"/>
    </row>
    <row r="723">
      <c r="A723" s="444"/>
      <c r="B723" s="444"/>
      <c r="C723" s="445"/>
      <c r="D723" s="446"/>
      <c r="E723" s="447"/>
      <c r="F723" s="448"/>
      <c r="G723" s="449"/>
      <c r="H723" s="448"/>
      <c r="I723" s="448"/>
      <c r="J723" s="450"/>
      <c r="K723" s="451"/>
      <c r="L723" s="451"/>
      <c r="M723" s="451"/>
      <c r="N723" s="451"/>
      <c r="O723" s="451"/>
      <c r="P723" s="451"/>
      <c r="Q723" s="451"/>
      <c r="R723" s="451"/>
      <c r="S723" s="451"/>
    </row>
    <row r="724">
      <c r="A724" s="444"/>
      <c r="B724" s="444"/>
      <c r="C724" s="445"/>
      <c r="D724" s="446"/>
      <c r="E724" s="447"/>
      <c r="F724" s="448"/>
      <c r="G724" s="449"/>
      <c r="H724" s="448"/>
      <c r="I724" s="448"/>
      <c r="J724" s="450"/>
      <c r="K724" s="451"/>
      <c r="L724" s="451"/>
      <c r="M724" s="451"/>
      <c r="N724" s="451"/>
      <c r="O724" s="451"/>
      <c r="P724" s="451"/>
      <c r="Q724" s="451"/>
      <c r="R724" s="451"/>
      <c r="S724" s="451"/>
    </row>
    <row r="725">
      <c r="A725" s="444"/>
      <c r="B725" s="444"/>
      <c r="C725" s="445"/>
      <c r="D725" s="446"/>
      <c r="E725" s="447"/>
      <c r="F725" s="448"/>
      <c r="G725" s="449"/>
      <c r="H725" s="448"/>
      <c r="I725" s="448"/>
      <c r="J725" s="450"/>
      <c r="K725" s="451"/>
      <c r="L725" s="451"/>
      <c r="M725" s="451"/>
      <c r="N725" s="451"/>
      <c r="O725" s="451"/>
      <c r="P725" s="451"/>
      <c r="Q725" s="451"/>
      <c r="R725" s="451"/>
      <c r="S725" s="451"/>
    </row>
    <row r="726">
      <c r="A726" s="444"/>
      <c r="B726" s="444"/>
      <c r="C726" s="445"/>
      <c r="D726" s="446"/>
      <c r="E726" s="447"/>
      <c r="F726" s="448"/>
      <c r="G726" s="449"/>
      <c r="H726" s="448"/>
      <c r="I726" s="448"/>
      <c r="J726" s="450"/>
      <c r="K726" s="451"/>
      <c r="L726" s="451"/>
      <c r="M726" s="451"/>
      <c r="N726" s="451"/>
      <c r="O726" s="451"/>
      <c r="P726" s="451"/>
      <c r="Q726" s="451"/>
      <c r="R726" s="451"/>
      <c r="S726" s="451"/>
    </row>
    <row r="727">
      <c r="A727" s="444"/>
      <c r="B727" s="444"/>
      <c r="C727" s="445"/>
      <c r="D727" s="446"/>
      <c r="E727" s="447"/>
      <c r="F727" s="448"/>
      <c r="G727" s="449"/>
      <c r="H727" s="448"/>
      <c r="I727" s="448"/>
      <c r="J727" s="450"/>
      <c r="K727" s="451"/>
      <c r="L727" s="451"/>
      <c r="M727" s="451"/>
      <c r="N727" s="451"/>
      <c r="O727" s="451"/>
      <c r="P727" s="451"/>
      <c r="Q727" s="451"/>
      <c r="R727" s="451"/>
      <c r="S727" s="451"/>
    </row>
    <row r="728">
      <c r="A728" s="444"/>
      <c r="B728" s="444"/>
      <c r="C728" s="445"/>
      <c r="D728" s="446"/>
      <c r="E728" s="447"/>
      <c r="F728" s="448"/>
      <c r="G728" s="449"/>
      <c r="H728" s="448"/>
      <c r="I728" s="448"/>
      <c r="J728" s="450"/>
      <c r="K728" s="451"/>
      <c r="L728" s="451"/>
      <c r="M728" s="451"/>
      <c r="N728" s="451"/>
      <c r="O728" s="451"/>
      <c r="P728" s="451"/>
      <c r="Q728" s="451"/>
      <c r="R728" s="451"/>
      <c r="S728" s="451"/>
    </row>
    <row r="729">
      <c r="A729" s="444"/>
      <c r="B729" s="444"/>
      <c r="C729" s="445"/>
      <c r="D729" s="446"/>
      <c r="E729" s="447"/>
      <c r="F729" s="448"/>
      <c r="G729" s="449"/>
      <c r="H729" s="448"/>
      <c r="I729" s="448"/>
      <c r="J729" s="450"/>
      <c r="K729" s="451"/>
      <c r="L729" s="451"/>
      <c r="M729" s="451"/>
      <c r="N729" s="451"/>
      <c r="O729" s="451"/>
      <c r="P729" s="451"/>
      <c r="Q729" s="451"/>
      <c r="R729" s="451"/>
      <c r="S729" s="451"/>
    </row>
    <row r="730">
      <c r="A730" s="444"/>
      <c r="B730" s="444"/>
      <c r="C730" s="445"/>
      <c r="D730" s="446"/>
      <c r="E730" s="447"/>
      <c r="F730" s="448"/>
      <c r="G730" s="449"/>
      <c r="H730" s="448"/>
      <c r="I730" s="448"/>
      <c r="J730" s="450"/>
      <c r="K730" s="451"/>
      <c r="L730" s="451"/>
      <c r="M730" s="451"/>
      <c r="N730" s="451"/>
      <c r="O730" s="451"/>
      <c r="P730" s="451"/>
      <c r="Q730" s="451"/>
      <c r="R730" s="451"/>
      <c r="S730" s="451"/>
    </row>
    <row r="731">
      <c r="A731" s="444"/>
      <c r="B731" s="444"/>
      <c r="C731" s="445"/>
      <c r="D731" s="446"/>
      <c r="E731" s="447"/>
      <c r="F731" s="448"/>
      <c r="G731" s="449"/>
      <c r="H731" s="448"/>
      <c r="I731" s="448"/>
      <c r="J731" s="450"/>
      <c r="K731" s="451"/>
      <c r="L731" s="451"/>
      <c r="M731" s="451"/>
      <c r="N731" s="451"/>
      <c r="O731" s="451"/>
      <c r="P731" s="451"/>
      <c r="Q731" s="451"/>
      <c r="R731" s="451"/>
      <c r="S731" s="451"/>
    </row>
    <row r="732">
      <c r="A732" s="444"/>
      <c r="B732" s="444"/>
      <c r="C732" s="445"/>
      <c r="D732" s="446"/>
      <c r="E732" s="447"/>
      <c r="F732" s="448"/>
      <c r="G732" s="449"/>
      <c r="H732" s="448"/>
      <c r="I732" s="448"/>
      <c r="J732" s="450"/>
      <c r="K732" s="451"/>
      <c r="L732" s="451"/>
      <c r="M732" s="451"/>
      <c r="N732" s="451"/>
      <c r="O732" s="451"/>
      <c r="P732" s="451"/>
      <c r="Q732" s="451"/>
      <c r="R732" s="451"/>
      <c r="S732" s="451"/>
    </row>
    <row r="733">
      <c r="A733" s="444"/>
      <c r="B733" s="444"/>
      <c r="C733" s="445"/>
      <c r="D733" s="446"/>
      <c r="E733" s="447"/>
      <c r="F733" s="448"/>
      <c r="G733" s="449"/>
      <c r="H733" s="448"/>
      <c r="I733" s="448"/>
      <c r="J733" s="450"/>
      <c r="K733" s="451"/>
      <c r="L733" s="451"/>
      <c r="M733" s="451"/>
      <c r="N733" s="451"/>
      <c r="O733" s="451"/>
      <c r="P733" s="451"/>
      <c r="Q733" s="451"/>
      <c r="R733" s="451"/>
      <c r="S733" s="451"/>
    </row>
    <row r="734">
      <c r="A734" s="444"/>
      <c r="B734" s="444"/>
      <c r="C734" s="445"/>
      <c r="D734" s="446"/>
      <c r="E734" s="447"/>
      <c r="F734" s="448"/>
      <c r="G734" s="449"/>
      <c r="H734" s="448"/>
      <c r="I734" s="448"/>
      <c r="J734" s="450"/>
      <c r="K734" s="451"/>
      <c r="L734" s="451"/>
      <c r="M734" s="451"/>
      <c r="N734" s="451"/>
      <c r="O734" s="451"/>
      <c r="P734" s="451"/>
      <c r="Q734" s="451"/>
      <c r="R734" s="451"/>
      <c r="S734" s="451"/>
    </row>
    <row r="735">
      <c r="A735" s="444"/>
      <c r="B735" s="444"/>
      <c r="C735" s="445"/>
      <c r="D735" s="446"/>
      <c r="E735" s="447"/>
      <c r="F735" s="448"/>
      <c r="G735" s="449"/>
      <c r="H735" s="448"/>
      <c r="I735" s="448"/>
      <c r="J735" s="450"/>
      <c r="K735" s="451"/>
      <c r="L735" s="451"/>
      <c r="M735" s="451"/>
      <c r="N735" s="451"/>
      <c r="O735" s="451"/>
      <c r="P735" s="451"/>
      <c r="Q735" s="451"/>
      <c r="R735" s="451"/>
      <c r="S735" s="451"/>
    </row>
    <row r="736">
      <c r="A736" s="444"/>
      <c r="B736" s="444"/>
      <c r="C736" s="445"/>
      <c r="D736" s="446"/>
      <c r="E736" s="447"/>
      <c r="F736" s="448"/>
      <c r="G736" s="449"/>
      <c r="H736" s="448"/>
      <c r="I736" s="448"/>
      <c r="J736" s="450"/>
      <c r="K736" s="451"/>
      <c r="L736" s="451"/>
      <c r="M736" s="451"/>
      <c r="N736" s="451"/>
      <c r="O736" s="451"/>
      <c r="P736" s="451"/>
      <c r="Q736" s="451"/>
      <c r="R736" s="451"/>
      <c r="S736" s="451"/>
    </row>
    <row r="737">
      <c r="A737" s="444"/>
      <c r="B737" s="444"/>
      <c r="C737" s="445"/>
      <c r="D737" s="446"/>
      <c r="E737" s="447"/>
      <c r="F737" s="448"/>
      <c r="G737" s="449"/>
      <c r="H737" s="448"/>
      <c r="I737" s="448"/>
      <c r="J737" s="450"/>
      <c r="K737" s="451"/>
      <c r="L737" s="451"/>
      <c r="M737" s="451"/>
      <c r="N737" s="451"/>
      <c r="O737" s="451"/>
      <c r="P737" s="451"/>
      <c r="Q737" s="451"/>
      <c r="R737" s="451"/>
      <c r="S737" s="451"/>
    </row>
    <row r="738">
      <c r="A738" s="444"/>
      <c r="B738" s="444"/>
      <c r="C738" s="445"/>
      <c r="D738" s="446"/>
      <c r="E738" s="447"/>
      <c r="F738" s="448"/>
      <c r="G738" s="449"/>
      <c r="H738" s="448"/>
      <c r="I738" s="448"/>
      <c r="J738" s="450"/>
      <c r="K738" s="451"/>
      <c r="L738" s="451"/>
      <c r="M738" s="451"/>
      <c r="N738" s="451"/>
      <c r="O738" s="451"/>
      <c r="P738" s="451"/>
      <c r="Q738" s="451"/>
      <c r="R738" s="451"/>
      <c r="S738" s="451"/>
    </row>
    <row r="739">
      <c r="A739" s="444"/>
      <c r="B739" s="444"/>
      <c r="C739" s="445"/>
      <c r="D739" s="446"/>
      <c r="E739" s="447"/>
      <c r="F739" s="448"/>
      <c r="G739" s="449"/>
      <c r="H739" s="448"/>
      <c r="I739" s="448"/>
      <c r="J739" s="450"/>
      <c r="K739" s="451"/>
      <c r="L739" s="451"/>
      <c r="M739" s="451"/>
      <c r="N739" s="451"/>
      <c r="O739" s="451"/>
      <c r="P739" s="451"/>
      <c r="Q739" s="451"/>
      <c r="R739" s="451"/>
      <c r="S739" s="451"/>
    </row>
    <row r="740">
      <c r="A740" s="444"/>
      <c r="B740" s="444"/>
      <c r="C740" s="445"/>
      <c r="D740" s="446"/>
      <c r="E740" s="447"/>
      <c r="F740" s="448"/>
      <c r="G740" s="449"/>
      <c r="H740" s="448"/>
      <c r="I740" s="448"/>
      <c r="J740" s="450"/>
      <c r="K740" s="451"/>
      <c r="L740" s="451"/>
      <c r="M740" s="451"/>
      <c r="N740" s="451"/>
      <c r="O740" s="451"/>
      <c r="P740" s="451"/>
      <c r="Q740" s="451"/>
      <c r="R740" s="451"/>
      <c r="S740" s="451"/>
    </row>
    <row r="741">
      <c r="A741" s="444"/>
      <c r="B741" s="444"/>
      <c r="C741" s="445"/>
      <c r="D741" s="446"/>
      <c r="E741" s="447"/>
      <c r="F741" s="448"/>
      <c r="G741" s="449"/>
      <c r="H741" s="448"/>
      <c r="I741" s="448"/>
      <c r="J741" s="450"/>
      <c r="K741" s="451"/>
      <c r="L741" s="451"/>
      <c r="M741" s="451"/>
      <c r="N741" s="451"/>
      <c r="O741" s="451"/>
      <c r="P741" s="451"/>
      <c r="Q741" s="451"/>
      <c r="R741" s="451"/>
      <c r="S741" s="451"/>
    </row>
    <row r="742">
      <c r="A742" s="444"/>
      <c r="B742" s="444"/>
      <c r="C742" s="445"/>
      <c r="D742" s="446"/>
      <c r="E742" s="447"/>
      <c r="F742" s="448"/>
      <c r="G742" s="449"/>
      <c r="H742" s="448"/>
      <c r="I742" s="448"/>
      <c r="J742" s="450"/>
      <c r="K742" s="451"/>
      <c r="L742" s="451"/>
      <c r="M742" s="451"/>
      <c r="N742" s="451"/>
      <c r="O742" s="451"/>
      <c r="P742" s="451"/>
      <c r="Q742" s="451"/>
      <c r="R742" s="451"/>
      <c r="S742" s="451"/>
    </row>
    <row r="743">
      <c r="A743" s="444"/>
      <c r="B743" s="444"/>
      <c r="C743" s="445"/>
      <c r="D743" s="446"/>
      <c r="E743" s="447"/>
      <c r="F743" s="448"/>
      <c r="G743" s="449"/>
      <c r="H743" s="448"/>
      <c r="I743" s="448"/>
      <c r="J743" s="450"/>
      <c r="K743" s="451"/>
      <c r="L743" s="451"/>
      <c r="M743" s="451"/>
      <c r="N743" s="451"/>
      <c r="O743" s="451"/>
      <c r="P743" s="451"/>
      <c r="Q743" s="451"/>
      <c r="R743" s="451"/>
      <c r="S743" s="451"/>
    </row>
    <row r="744">
      <c r="A744" s="444"/>
      <c r="B744" s="444"/>
      <c r="C744" s="445"/>
      <c r="D744" s="446"/>
      <c r="E744" s="447"/>
      <c r="F744" s="448"/>
      <c r="G744" s="449"/>
      <c r="H744" s="448"/>
      <c r="I744" s="448"/>
      <c r="J744" s="450"/>
      <c r="K744" s="451"/>
      <c r="L744" s="451"/>
      <c r="M744" s="451"/>
      <c r="N744" s="451"/>
      <c r="O744" s="451"/>
      <c r="P744" s="451"/>
      <c r="Q744" s="451"/>
      <c r="R744" s="451"/>
      <c r="S744" s="451"/>
    </row>
    <row r="745">
      <c r="A745" s="444"/>
      <c r="B745" s="444"/>
      <c r="C745" s="445"/>
      <c r="D745" s="446"/>
      <c r="E745" s="447"/>
      <c r="F745" s="448"/>
      <c r="G745" s="449"/>
      <c r="H745" s="448"/>
      <c r="I745" s="448"/>
      <c r="J745" s="450"/>
      <c r="K745" s="451"/>
      <c r="L745" s="451"/>
      <c r="M745" s="451"/>
      <c r="N745" s="451"/>
      <c r="O745" s="451"/>
      <c r="P745" s="451"/>
      <c r="Q745" s="451"/>
      <c r="R745" s="451"/>
      <c r="S745" s="451"/>
    </row>
    <row r="746">
      <c r="A746" s="444"/>
      <c r="B746" s="444"/>
      <c r="C746" s="445"/>
      <c r="D746" s="446"/>
      <c r="E746" s="447"/>
      <c r="F746" s="448"/>
      <c r="G746" s="449"/>
      <c r="H746" s="448"/>
      <c r="I746" s="448"/>
      <c r="J746" s="450"/>
      <c r="K746" s="451"/>
      <c r="L746" s="451"/>
      <c r="M746" s="451"/>
      <c r="N746" s="451"/>
      <c r="O746" s="451"/>
      <c r="P746" s="451"/>
      <c r="Q746" s="451"/>
      <c r="R746" s="451"/>
      <c r="S746" s="451"/>
    </row>
    <row r="747">
      <c r="A747" s="444"/>
      <c r="B747" s="444"/>
      <c r="C747" s="445"/>
      <c r="D747" s="446"/>
      <c r="E747" s="447"/>
      <c r="F747" s="448"/>
      <c r="G747" s="449"/>
      <c r="H747" s="448"/>
      <c r="I747" s="448"/>
      <c r="J747" s="450"/>
      <c r="K747" s="451"/>
      <c r="L747" s="451"/>
      <c r="M747" s="451"/>
      <c r="N747" s="451"/>
      <c r="O747" s="451"/>
      <c r="P747" s="451"/>
      <c r="Q747" s="451"/>
      <c r="R747" s="451"/>
      <c r="S747" s="451"/>
    </row>
    <row r="748">
      <c r="A748" s="444"/>
      <c r="B748" s="444"/>
      <c r="C748" s="445"/>
      <c r="D748" s="446"/>
      <c r="E748" s="447"/>
      <c r="F748" s="448"/>
      <c r="G748" s="449"/>
      <c r="H748" s="448"/>
      <c r="I748" s="448"/>
      <c r="J748" s="450"/>
      <c r="K748" s="451"/>
      <c r="L748" s="451"/>
      <c r="M748" s="451"/>
      <c r="N748" s="451"/>
      <c r="O748" s="451"/>
      <c r="P748" s="451"/>
      <c r="Q748" s="451"/>
      <c r="R748" s="451"/>
      <c r="S748" s="451"/>
    </row>
    <row r="749">
      <c r="A749" s="444"/>
      <c r="B749" s="444"/>
      <c r="C749" s="445"/>
      <c r="D749" s="446"/>
      <c r="E749" s="447"/>
      <c r="F749" s="448"/>
      <c r="G749" s="449"/>
      <c r="H749" s="448"/>
      <c r="I749" s="448"/>
      <c r="J749" s="450"/>
      <c r="K749" s="451"/>
      <c r="L749" s="451"/>
      <c r="M749" s="451"/>
      <c r="N749" s="451"/>
      <c r="O749" s="451"/>
      <c r="P749" s="451"/>
      <c r="Q749" s="451"/>
      <c r="R749" s="451"/>
      <c r="S749" s="451"/>
    </row>
    <row r="750">
      <c r="A750" s="444"/>
      <c r="B750" s="444"/>
      <c r="C750" s="445"/>
      <c r="D750" s="446"/>
      <c r="E750" s="447"/>
      <c r="F750" s="448"/>
      <c r="G750" s="449"/>
      <c r="H750" s="448"/>
      <c r="I750" s="448"/>
      <c r="J750" s="450"/>
      <c r="K750" s="451"/>
      <c r="L750" s="451"/>
      <c r="M750" s="451"/>
      <c r="N750" s="451"/>
      <c r="O750" s="451"/>
      <c r="P750" s="451"/>
      <c r="Q750" s="451"/>
      <c r="R750" s="451"/>
      <c r="S750" s="451"/>
    </row>
    <row r="751">
      <c r="A751" s="444"/>
      <c r="B751" s="444"/>
      <c r="C751" s="445"/>
      <c r="D751" s="446"/>
      <c r="E751" s="447"/>
      <c r="F751" s="448"/>
      <c r="G751" s="449"/>
      <c r="H751" s="448"/>
      <c r="I751" s="448"/>
      <c r="J751" s="450"/>
      <c r="K751" s="451"/>
      <c r="L751" s="451"/>
      <c r="M751" s="451"/>
      <c r="N751" s="451"/>
      <c r="O751" s="451"/>
      <c r="P751" s="451"/>
      <c r="Q751" s="451"/>
      <c r="R751" s="451"/>
      <c r="S751" s="451"/>
    </row>
    <row r="752">
      <c r="A752" s="444"/>
      <c r="B752" s="444"/>
      <c r="C752" s="445"/>
      <c r="D752" s="446"/>
      <c r="E752" s="447"/>
      <c r="F752" s="448"/>
      <c r="G752" s="449"/>
      <c r="H752" s="448"/>
      <c r="I752" s="448"/>
      <c r="J752" s="450"/>
      <c r="K752" s="451"/>
      <c r="L752" s="451"/>
      <c r="M752" s="451"/>
      <c r="N752" s="451"/>
      <c r="O752" s="451"/>
      <c r="P752" s="451"/>
      <c r="Q752" s="451"/>
      <c r="R752" s="451"/>
      <c r="S752" s="451"/>
    </row>
    <row r="753">
      <c r="A753" s="444"/>
      <c r="B753" s="444"/>
      <c r="C753" s="445"/>
      <c r="D753" s="446"/>
      <c r="E753" s="447"/>
      <c r="F753" s="448"/>
      <c r="G753" s="449"/>
      <c r="H753" s="448"/>
      <c r="I753" s="448"/>
      <c r="J753" s="450"/>
      <c r="K753" s="451"/>
      <c r="L753" s="451"/>
      <c r="M753" s="451"/>
      <c r="N753" s="451"/>
      <c r="O753" s="451"/>
      <c r="P753" s="451"/>
      <c r="Q753" s="451"/>
      <c r="R753" s="451"/>
      <c r="S753" s="451"/>
    </row>
    <row r="754">
      <c r="A754" s="444"/>
      <c r="B754" s="444"/>
      <c r="C754" s="445"/>
      <c r="D754" s="446"/>
      <c r="E754" s="447"/>
      <c r="F754" s="448"/>
      <c r="G754" s="449"/>
      <c r="H754" s="448"/>
      <c r="I754" s="448"/>
      <c r="J754" s="450"/>
      <c r="K754" s="451"/>
      <c r="L754" s="451"/>
      <c r="M754" s="451"/>
      <c r="N754" s="451"/>
      <c r="O754" s="451"/>
      <c r="P754" s="451"/>
      <c r="Q754" s="451"/>
      <c r="R754" s="451"/>
      <c r="S754" s="451"/>
    </row>
    <row r="755">
      <c r="A755" s="444"/>
      <c r="B755" s="444"/>
      <c r="C755" s="445"/>
      <c r="D755" s="446"/>
      <c r="E755" s="447"/>
      <c r="F755" s="448"/>
      <c r="G755" s="449"/>
      <c r="H755" s="448"/>
      <c r="I755" s="448"/>
      <c r="J755" s="450"/>
      <c r="K755" s="451"/>
      <c r="L755" s="451"/>
      <c r="M755" s="451"/>
      <c r="N755" s="451"/>
      <c r="O755" s="451"/>
      <c r="P755" s="451"/>
      <c r="Q755" s="451"/>
      <c r="R755" s="451"/>
      <c r="S755" s="451"/>
    </row>
    <row r="756">
      <c r="A756" s="444"/>
      <c r="B756" s="444"/>
      <c r="C756" s="445"/>
      <c r="D756" s="446"/>
      <c r="E756" s="447"/>
      <c r="F756" s="448"/>
      <c r="G756" s="449"/>
      <c r="H756" s="448"/>
      <c r="I756" s="448"/>
      <c r="J756" s="450"/>
      <c r="K756" s="451"/>
      <c r="L756" s="451"/>
      <c r="M756" s="451"/>
      <c r="N756" s="451"/>
      <c r="O756" s="451"/>
      <c r="P756" s="451"/>
      <c r="Q756" s="451"/>
      <c r="R756" s="451"/>
      <c r="S756" s="451"/>
    </row>
    <row r="757">
      <c r="A757" s="444"/>
      <c r="B757" s="444"/>
      <c r="C757" s="445"/>
      <c r="D757" s="446"/>
      <c r="E757" s="447"/>
      <c r="F757" s="448"/>
      <c r="G757" s="449"/>
      <c r="H757" s="448"/>
      <c r="I757" s="448"/>
      <c r="J757" s="450"/>
      <c r="K757" s="451"/>
      <c r="L757" s="451"/>
      <c r="M757" s="451"/>
      <c r="N757" s="451"/>
      <c r="O757" s="451"/>
      <c r="P757" s="451"/>
      <c r="Q757" s="451"/>
      <c r="R757" s="451"/>
      <c r="S757" s="451"/>
    </row>
    <row r="758">
      <c r="A758" s="444"/>
      <c r="B758" s="444"/>
      <c r="C758" s="445"/>
      <c r="D758" s="446"/>
      <c r="E758" s="447"/>
      <c r="F758" s="448"/>
      <c r="G758" s="449"/>
      <c r="H758" s="448"/>
      <c r="I758" s="448"/>
      <c r="J758" s="450"/>
      <c r="K758" s="451"/>
      <c r="L758" s="451"/>
      <c r="M758" s="451"/>
      <c r="N758" s="451"/>
      <c r="O758" s="451"/>
      <c r="P758" s="451"/>
      <c r="Q758" s="451"/>
      <c r="R758" s="451"/>
      <c r="S758" s="451"/>
    </row>
    <row r="759">
      <c r="A759" s="444"/>
      <c r="B759" s="444"/>
      <c r="C759" s="445"/>
      <c r="D759" s="446"/>
      <c r="E759" s="447"/>
      <c r="F759" s="448"/>
      <c r="G759" s="449"/>
      <c r="H759" s="448"/>
      <c r="I759" s="448"/>
      <c r="J759" s="450"/>
      <c r="K759" s="451"/>
      <c r="L759" s="451"/>
      <c r="M759" s="451"/>
      <c r="N759" s="451"/>
      <c r="O759" s="451"/>
      <c r="P759" s="451"/>
      <c r="Q759" s="451"/>
      <c r="R759" s="451"/>
      <c r="S759" s="451"/>
    </row>
    <row r="760">
      <c r="A760" s="444"/>
      <c r="B760" s="444"/>
      <c r="C760" s="445"/>
      <c r="D760" s="446"/>
      <c r="E760" s="447"/>
      <c r="F760" s="448"/>
      <c r="G760" s="449"/>
      <c r="H760" s="448"/>
      <c r="I760" s="448"/>
      <c r="J760" s="450"/>
      <c r="K760" s="451"/>
      <c r="L760" s="451"/>
      <c r="M760" s="451"/>
      <c r="N760" s="451"/>
      <c r="O760" s="451"/>
      <c r="P760" s="451"/>
      <c r="Q760" s="451"/>
      <c r="R760" s="451"/>
      <c r="S760" s="451"/>
    </row>
    <row r="761">
      <c r="A761" s="444"/>
      <c r="B761" s="444"/>
      <c r="C761" s="445"/>
      <c r="D761" s="446"/>
      <c r="E761" s="447"/>
      <c r="F761" s="448"/>
      <c r="G761" s="449"/>
      <c r="H761" s="448"/>
      <c r="I761" s="448"/>
      <c r="J761" s="450"/>
      <c r="K761" s="451"/>
      <c r="L761" s="451"/>
      <c r="M761" s="451"/>
      <c r="N761" s="451"/>
      <c r="O761" s="451"/>
      <c r="P761" s="451"/>
      <c r="Q761" s="451"/>
      <c r="R761" s="451"/>
      <c r="S761" s="451"/>
    </row>
    <row r="762">
      <c r="A762" s="444"/>
      <c r="B762" s="444"/>
      <c r="C762" s="445"/>
      <c r="D762" s="446"/>
      <c r="E762" s="447"/>
      <c r="F762" s="448"/>
      <c r="G762" s="449"/>
      <c r="H762" s="448"/>
      <c r="I762" s="448"/>
      <c r="J762" s="450"/>
      <c r="K762" s="451"/>
      <c r="L762" s="451"/>
      <c r="M762" s="451"/>
      <c r="N762" s="451"/>
      <c r="O762" s="451"/>
      <c r="P762" s="451"/>
      <c r="Q762" s="451"/>
      <c r="R762" s="451"/>
      <c r="S762" s="451"/>
    </row>
    <row r="763">
      <c r="A763" s="444"/>
      <c r="B763" s="444"/>
      <c r="C763" s="445"/>
      <c r="D763" s="446"/>
      <c r="E763" s="447"/>
      <c r="F763" s="448"/>
      <c r="G763" s="449"/>
      <c r="H763" s="448"/>
      <c r="I763" s="448"/>
      <c r="J763" s="450"/>
      <c r="K763" s="451"/>
      <c r="L763" s="451"/>
      <c r="M763" s="451"/>
      <c r="N763" s="451"/>
      <c r="O763" s="451"/>
      <c r="P763" s="451"/>
      <c r="Q763" s="451"/>
      <c r="R763" s="451"/>
      <c r="S763" s="451"/>
    </row>
    <row r="764">
      <c r="A764" s="444"/>
      <c r="B764" s="444"/>
      <c r="C764" s="445"/>
      <c r="D764" s="446"/>
      <c r="E764" s="447"/>
      <c r="F764" s="448"/>
      <c r="G764" s="449"/>
      <c r="H764" s="448"/>
      <c r="I764" s="448"/>
      <c r="J764" s="450"/>
      <c r="K764" s="451"/>
      <c r="L764" s="451"/>
      <c r="M764" s="451"/>
      <c r="N764" s="451"/>
      <c r="O764" s="451"/>
      <c r="P764" s="451"/>
      <c r="Q764" s="451"/>
      <c r="R764" s="451"/>
      <c r="S764" s="451"/>
    </row>
    <row r="765">
      <c r="A765" s="444"/>
      <c r="B765" s="444"/>
      <c r="C765" s="445"/>
      <c r="D765" s="446"/>
      <c r="E765" s="447"/>
      <c r="F765" s="448"/>
      <c r="G765" s="449"/>
      <c r="H765" s="448"/>
      <c r="I765" s="448"/>
      <c r="J765" s="450"/>
      <c r="K765" s="451"/>
      <c r="L765" s="451"/>
      <c r="M765" s="451"/>
      <c r="N765" s="451"/>
      <c r="O765" s="451"/>
      <c r="P765" s="451"/>
      <c r="Q765" s="451"/>
      <c r="R765" s="451"/>
      <c r="S765" s="451"/>
    </row>
    <row r="766">
      <c r="A766" s="444"/>
      <c r="B766" s="444"/>
      <c r="C766" s="445"/>
      <c r="D766" s="446"/>
      <c r="E766" s="447"/>
      <c r="F766" s="448"/>
      <c r="G766" s="449"/>
      <c r="H766" s="448"/>
      <c r="I766" s="448"/>
      <c r="J766" s="450"/>
      <c r="K766" s="451"/>
      <c r="L766" s="451"/>
      <c r="M766" s="451"/>
      <c r="N766" s="451"/>
      <c r="O766" s="451"/>
      <c r="P766" s="451"/>
      <c r="Q766" s="451"/>
      <c r="R766" s="451"/>
      <c r="S766" s="451"/>
    </row>
    <row r="767">
      <c r="A767" s="444"/>
      <c r="B767" s="444"/>
      <c r="C767" s="445"/>
      <c r="D767" s="446"/>
      <c r="E767" s="447"/>
      <c r="F767" s="448"/>
      <c r="G767" s="449"/>
      <c r="H767" s="448"/>
      <c r="I767" s="448"/>
      <c r="J767" s="450"/>
      <c r="K767" s="451"/>
      <c r="L767" s="451"/>
      <c r="M767" s="451"/>
      <c r="N767" s="451"/>
      <c r="O767" s="451"/>
      <c r="P767" s="451"/>
      <c r="Q767" s="451"/>
      <c r="R767" s="451"/>
      <c r="S767" s="451"/>
    </row>
    <row r="768">
      <c r="A768" s="444"/>
      <c r="B768" s="444"/>
      <c r="C768" s="445"/>
      <c r="D768" s="446"/>
      <c r="E768" s="447"/>
      <c r="F768" s="448"/>
      <c r="G768" s="449"/>
      <c r="H768" s="448"/>
      <c r="I768" s="448"/>
      <c r="J768" s="450"/>
      <c r="K768" s="451"/>
      <c r="L768" s="451"/>
      <c r="M768" s="451"/>
      <c r="N768" s="451"/>
      <c r="O768" s="451"/>
      <c r="P768" s="451"/>
      <c r="Q768" s="451"/>
      <c r="R768" s="451"/>
      <c r="S768" s="451"/>
    </row>
    <row r="769">
      <c r="A769" s="444"/>
      <c r="B769" s="444"/>
      <c r="C769" s="445"/>
      <c r="D769" s="446"/>
      <c r="E769" s="447"/>
      <c r="F769" s="448"/>
      <c r="G769" s="449"/>
      <c r="H769" s="448"/>
      <c r="I769" s="448"/>
      <c r="J769" s="450"/>
      <c r="K769" s="451"/>
      <c r="L769" s="451"/>
      <c r="M769" s="451"/>
      <c r="N769" s="451"/>
      <c r="O769" s="451"/>
      <c r="P769" s="451"/>
      <c r="Q769" s="451"/>
      <c r="R769" s="451"/>
      <c r="S769" s="451"/>
    </row>
    <row r="770">
      <c r="A770" s="444"/>
      <c r="B770" s="444"/>
      <c r="C770" s="445"/>
      <c r="D770" s="446"/>
      <c r="E770" s="447"/>
      <c r="F770" s="448"/>
      <c r="G770" s="449"/>
      <c r="H770" s="448"/>
      <c r="I770" s="448"/>
      <c r="J770" s="450"/>
      <c r="K770" s="451"/>
      <c r="L770" s="451"/>
      <c r="M770" s="451"/>
      <c r="N770" s="451"/>
      <c r="O770" s="451"/>
      <c r="P770" s="451"/>
      <c r="Q770" s="451"/>
      <c r="R770" s="451"/>
      <c r="S770" s="451"/>
    </row>
    <row r="771">
      <c r="A771" s="444"/>
      <c r="B771" s="444"/>
      <c r="C771" s="445"/>
      <c r="D771" s="446"/>
      <c r="E771" s="447"/>
      <c r="F771" s="448"/>
      <c r="G771" s="449"/>
      <c r="H771" s="448"/>
      <c r="I771" s="448"/>
      <c r="J771" s="450"/>
      <c r="K771" s="451"/>
      <c r="L771" s="451"/>
      <c r="M771" s="451"/>
      <c r="N771" s="451"/>
      <c r="O771" s="451"/>
      <c r="P771" s="451"/>
      <c r="Q771" s="451"/>
      <c r="R771" s="451"/>
      <c r="S771" s="451"/>
    </row>
    <row r="772">
      <c r="A772" s="444"/>
      <c r="B772" s="444"/>
      <c r="C772" s="445"/>
      <c r="D772" s="446"/>
      <c r="E772" s="447"/>
      <c r="F772" s="448"/>
      <c r="G772" s="449"/>
      <c r="H772" s="448"/>
      <c r="I772" s="448"/>
      <c r="J772" s="450"/>
      <c r="K772" s="451"/>
      <c r="L772" s="451"/>
      <c r="M772" s="451"/>
      <c r="N772" s="451"/>
      <c r="O772" s="451"/>
      <c r="P772" s="451"/>
      <c r="Q772" s="451"/>
      <c r="R772" s="451"/>
      <c r="S772" s="451"/>
    </row>
    <row r="773">
      <c r="A773" s="444"/>
      <c r="B773" s="444"/>
      <c r="C773" s="445"/>
      <c r="D773" s="446"/>
      <c r="E773" s="447"/>
      <c r="F773" s="448"/>
      <c r="G773" s="449"/>
      <c r="H773" s="448"/>
      <c r="I773" s="448"/>
      <c r="J773" s="450"/>
      <c r="K773" s="451"/>
      <c r="L773" s="451"/>
      <c r="M773" s="451"/>
      <c r="N773" s="451"/>
      <c r="O773" s="451"/>
      <c r="P773" s="451"/>
      <c r="Q773" s="451"/>
      <c r="R773" s="451"/>
      <c r="S773" s="451"/>
    </row>
    <row r="774">
      <c r="A774" s="444"/>
      <c r="B774" s="444"/>
      <c r="C774" s="445"/>
      <c r="D774" s="446"/>
      <c r="E774" s="447"/>
      <c r="F774" s="448"/>
      <c r="G774" s="449"/>
      <c r="H774" s="448"/>
      <c r="I774" s="448"/>
      <c r="J774" s="450"/>
      <c r="K774" s="451"/>
      <c r="L774" s="451"/>
      <c r="M774" s="451"/>
      <c r="N774" s="451"/>
      <c r="O774" s="451"/>
      <c r="P774" s="451"/>
      <c r="Q774" s="451"/>
      <c r="R774" s="451"/>
      <c r="S774" s="451"/>
    </row>
    <row r="775">
      <c r="A775" s="444"/>
      <c r="B775" s="444"/>
      <c r="C775" s="445"/>
      <c r="D775" s="446"/>
      <c r="E775" s="447"/>
      <c r="F775" s="448"/>
      <c r="G775" s="449"/>
      <c r="H775" s="448"/>
      <c r="I775" s="448"/>
      <c r="J775" s="450"/>
      <c r="K775" s="451"/>
      <c r="L775" s="451"/>
      <c r="M775" s="451"/>
      <c r="N775" s="451"/>
      <c r="O775" s="451"/>
      <c r="P775" s="451"/>
      <c r="Q775" s="451"/>
      <c r="R775" s="451"/>
      <c r="S775" s="451"/>
    </row>
    <row r="776">
      <c r="A776" s="444"/>
      <c r="B776" s="444"/>
      <c r="C776" s="445"/>
      <c r="D776" s="446"/>
      <c r="E776" s="447"/>
      <c r="F776" s="448"/>
      <c r="G776" s="449"/>
      <c r="H776" s="448"/>
      <c r="I776" s="448"/>
      <c r="J776" s="450"/>
      <c r="K776" s="451"/>
      <c r="L776" s="451"/>
      <c r="M776" s="451"/>
      <c r="N776" s="451"/>
      <c r="O776" s="451"/>
      <c r="P776" s="451"/>
      <c r="Q776" s="451"/>
      <c r="R776" s="451"/>
      <c r="S776" s="451"/>
    </row>
    <row r="777">
      <c r="A777" s="444"/>
      <c r="B777" s="444"/>
      <c r="C777" s="445"/>
      <c r="D777" s="446"/>
      <c r="E777" s="447"/>
      <c r="F777" s="448"/>
      <c r="G777" s="449"/>
      <c r="H777" s="448"/>
      <c r="I777" s="448"/>
      <c r="J777" s="450"/>
      <c r="K777" s="451"/>
      <c r="L777" s="451"/>
      <c r="M777" s="451"/>
      <c r="N777" s="451"/>
      <c r="O777" s="451"/>
      <c r="P777" s="451"/>
      <c r="Q777" s="451"/>
      <c r="R777" s="451"/>
      <c r="S777" s="451"/>
    </row>
    <row r="778">
      <c r="A778" s="444"/>
      <c r="B778" s="444"/>
      <c r="C778" s="445"/>
      <c r="D778" s="446"/>
      <c r="E778" s="447"/>
      <c r="F778" s="448"/>
      <c r="G778" s="449"/>
      <c r="H778" s="448"/>
      <c r="I778" s="448"/>
      <c r="J778" s="450"/>
      <c r="K778" s="451"/>
      <c r="L778" s="451"/>
      <c r="M778" s="451"/>
      <c r="N778" s="451"/>
      <c r="O778" s="451"/>
      <c r="P778" s="451"/>
      <c r="Q778" s="451"/>
      <c r="R778" s="451"/>
      <c r="S778" s="451"/>
    </row>
    <row r="779">
      <c r="A779" s="444"/>
      <c r="B779" s="444"/>
      <c r="C779" s="445"/>
      <c r="D779" s="446"/>
      <c r="E779" s="447"/>
      <c r="F779" s="448"/>
      <c r="G779" s="449"/>
      <c r="H779" s="448"/>
      <c r="I779" s="448"/>
      <c r="J779" s="450"/>
      <c r="K779" s="451"/>
      <c r="L779" s="451"/>
      <c r="M779" s="451"/>
      <c r="N779" s="451"/>
      <c r="O779" s="451"/>
      <c r="P779" s="451"/>
      <c r="Q779" s="451"/>
      <c r="R779" s="451"/>
      <c r="S779" s="451"/>
    </row>
    <row r="780">
      <c r="A780" s="444"/>
      <c r="B780" s="444"/>
      <c r="C780" s="445"/>
      <c r="D780" s="446"/>
      <c r="E780" s="447"/>
      <c r="F780" s="448"/>
      <c r="G780" s="449"/>
      <c r="H780" s="448"/>
      <c r="I780" s="448"/>
      <c r="J780" s="450"/>
      <c r="K780" s="451"/>
      <c r="L780" s="451"/>
      <c r="M780" s="451"/>
      <c r="N780" s="451"/>
      <c r="O780" s="451"/>
      <c r="P780" s="451"/>
      <c r="Q780" s="451"/>
      <c r="R780" s="451"/>
      <c r="S780" s="451"/>
    </row>
    <row r="781">
      <c r="A781" s="444"/>
      <c r="B781" s="444"/>
      <c r="C781" s="445"/>
      <c r="D781" s="446"/>
      <c r="E781" s="447"/>
      <c r="F781" s="448"/>
      <c r="G781" s="449"/>
      <c r="H781" s="448"/>
      <c r="I781" s="448"/>
      <c r="J781" s="450"/>
      <c r="K781" s="451"/>
      <c r="L781" s="451"/>
      <c r="M781" s="451"/>
      <c r="N781" s="451"/>
      <c r="O781" s="451"/>
      <c r="P781" s="451"/>
      <c r="Q781" s="451"/>
      <c r="R781" s="451"/>
      <c r="S781" s="451"/>
    </row>
    <row r="782">
      <c r="A782" s="444"/>
      <c r="B782" s="444"/>
      <c r="C782" s="445"/>
      <c r="D782" s="446"/>
      <c r="E782" s="447"/>
      <c r="F782" s="448"/>
      <c r="G782" s="449"/>
      <c r="H782" s="448"/>
      <c r="I782" s="448"/>
      <c r="J782" s="450"/>
      <c r="K782" s="451"/>
      <c r="L782" s="451"/>
      <c r="M782" s="451"/>
      <c r="N782" s="451"/>
      <c r="O782" s="451"/>
      <c r="P782" s="451"/>
      <c r="Q782" s="451"/>
      <c r="R782" s="451"/>
      <c r="S782" s="451"/>
    </row>
    <row r="783">
      <c r="A783" s="444"/>
      <c r="B783" s="444"/>
      <c r="C783" s="445"/>
      <c r="D783" s="446"/>
      <c r="E783" s="447"/>
      <c r="F783" s="448"/>
      <c r="G783" s="449"/>
      <c r="H783" s="448"/>
      <c r="I783" s="448"/>
      <c r="J783" s="450"/>
      <c r="K783" s="451"/>
      <c r="L783" s="451"/>
      <c r="M783" s="451"/>
      <c r="N783" s="451"/>
      <c r="O783" s="451"/>
      <c r="P783" s="451"/>
      <c r="Q783" s="451"/>
      <c r="R783" s="451"/>
      <c r="S783" s="451"/>
    </row>
    <row r="784">
      <c r="A784" s="444"/>
      <c r="B784" s="444"/>
      <c r="C784" s="445"/>
      <c r="D784" s="446"/>
      <c r="E784" s="447"/>
      <c r="F784" s="448"/>
      <c r="G784" s="449"/>
      <c r="H784" s="448"/>
      <c r="I784" s="448"/>
      <c r="J784" s="450"/>
      <c r="K784" s="451"/>
      <c r="L784" s="451"/>
      <c r="M784" s="451"/>
      <c r="N784" s="451"/>
      <c r="O784" s="451"/>
      <c r="P784" s="451"/>
      <c r="Q784" s="451"/>
      <c r="R784" s="451"/>
      <c r="S784" s="451"/>
    </row>
    <row r="785">
      <c r="A785" s="444"/>
      <c r="B785" s="444"/>
      <c r="C785" s="445"/>
      <c r="D785" s="446"/>
      <c r="E785" s="447"/>
      <c r="F785" s="448"/>
      <c r="G785" s="449"/>
      <c r="H785" s="448"/>
      <c r="I785" s="448"/>
      <c r="J785" s="450"/>
      <c r="K785" s="451"/>
      <c r="L785" s="451"/>
      <c r="M785" s="451"/>
      <c r="N785" s="451"/>
      <c r="O785" s="451"/>
      <c r="P785" s="451"/>
      <c r="Q785" s="451"/>
      <c r="R785" s="451"/>
      <c r="S785" s="451"/>
    </row>
    <row r="786">
      <c r="A786" s="444"/>
      <c r="B786" s="444"/>
      <c r="C786" s="445"/>
      <c r="D786" s="446"/>
      <c r="E786" s="447"/>
      <c r="F786" s="448"/>
      <c r="G786" s="449"/>
      <c r="H786" s="448"/>
      <c r="I786" s="448"/>
      <c r="J786" s="450"/>
      <c r="K786" s="451"/>
      <c r="L786" s="451"/>
      <c r="M786" s="451"/>
      <c r="N786" s="451"/>
      <c r="O786" s="451"/>
      <c r="P786" s="451"/>
      <c r="Q786" s="451"/>
      <c r="R786" s="451"/>
      <c r="S786" s="451"/>
    </row>
    <row r="787">
      <c r="A787" s="444"/>
      <c r="B787" s="444"/>
      <c r="C787" s="445"/>
      <c r="D787" s="446"/>
      <c r="E787" s="447"/>
      <c r="F787" s="448"/>
      <c r="G787" s="449"/>
      <c r="H787" s="448"/>
      <c r="I787" s="448"/>
      <c r="J787" s="450"/>
      <c r="K787" s="451"/>
      <c r="L787" s="451"/>
      <c r="M787" s="451"/>
      <c r="N787" s="451"/>
      <c r="O787" s="451"/>
      <c r="P787" s="451"/>
      <c r="Q787" s="451"/>
      <c r="R787" s="451"/>
      <c r="S787" s="451"/>
    </row>
    <row r="788">
      <c r="A788" s="444"/>
      <c r="B788" s="444"/>
      <c r="C788" s="445"/>
      <c r="D788" s="446"/>
      <c r="E788" s="447"/>
      <c r="F788" s="448"/>
      <c r="G788" s="449"/>
      <c r="H788" s="448"/>
      <c r="I788" s="448"/>
      <c r="J788" s="450"/>
      <c r="K788" s="451"/>
      <c r="L788" s="451"/>
      <c r="M788" s="451"/>
      <c r="N788" s="451"/>
      <c r="O788" s="451"/>
      <c r="P788" s="451"/>
      <c r="Q788" s="451"/>
      <c r="R788" s="451"/>
      <c r="S788" s="451"/>
    </row>
    <row r="789">
      <c r="A789" s="444"/>
      <c r="B789" s="444"/>
      <c r="C789" s="445"/>
      <c r="D789" s="446"/>
      <c r="E789" s="447"/>
      <c r="F789" s="448"/>
      <c r="G789" s="449"/>
      <c r="H789" s="448"/>
      <c r="I789" s="448"/>
      <c r="J789" s="450"/>
      <c r="K789" s="451"/>
      <c r="L789" s="451"/>
      <c r="M789" s="451"/>
      <c r="N789" s="451"/>
      <c r="O789" s="451"/>
      <c r="P789" s="451"/>
      <c r="Q789" s="451"/>
      <c r="R789" s="451"/>
      <c r="S789" s="451"/>
    </row>
    <row r="790">
      <c r="A790" s="444"/>
      <c r="B790" s="444"/>
      <c r="C790" s="445"/>
      <c r="D790" s="446"/>
      <c r="E790" s="447"/>
      <c r="F790" s="448"/>
      <c r="G790" s="449"/>
      <c r="H790" s="448"/>
      <c r="I790" s="448"/>
      <c r="J790" s="450"/>
      <c r="K790" s="451"/>
      <c r="L790" s="451"/>
      <c r="M790" s="451"/>
      <c r="N790" s="451"/>
      <c r="O790" s="451"/>
      <c r="P790" s="451"/>
      <c r="Q790" s="451"/>
      <c r="R790" s="451"/>
      <c r="S790" s="451"/>
    </row>
    <row r="791">
      <c r="A791" s="444"/>
      <c r="B791" s="444"/>
      <c r="C791" s="445"/>
      <c r="D791" s="446"/>
      <c r="E791" s="447"/>
      <c r="F791" s="448"/>
      <c r="G791" s="449"/>
      <c r="H791" s="448"/>
      <c r="I791" s="448"/>
      <c r="J791" s="450"/>
      <c r="K791" s="451"/>
      <c r="L791" s="451"/>
      <c r="M791" s="451"/>
      <c r="N791" s="451"/>
      <c r="O791" s="451"/>
      <c r="P791" s="451"/>
      <c r="Q791" s="451"/>
      <c r="R791" s="451"/>
      <c r="S791" s="451"/>
    </row>
    <row r="792">
      <c r="A792" s="444"/>
      <c r="B792" s="444"/>
      <c r="C792" s="445"/>
      <c r="D792" s="446"/>
      <c r="E792" s="447"/>
      <c r="F792" s="448"/>
      <c r="G792" s="449"/>
      <c r="H792" s="448"/>
      <c r="I792" s="448"/>
      <c r="J792" s="450"/>
      <c r="K792" s="451"/>
      <c r="L792" s="451"/>
      <c r="M792" s="451"/>
      <c r="N792" s="451"/>
      <c r="O792" s="451"/>
      <c r="P792" s="451"/>
      <c r="Q792" s="451"/>
      <c r="R792" s="451"/>
      <c r="S792" s="451"/>
    </row>
    <row r="793">
      <c r="A793" s="444"/>
      <c r="B793" s="444"/>
      <c r="C793" s="445"/>
      <c r="D793" s="446"/>
      <c r="E793" s="447"/>
      <c r="F793" s="448"/>
      <c r="G793" s="449"/>
      <c r="H793" s="448"/>
      <c r="I793" s="448"/>
      <c r="J793" s="450"/>
      <c r="K793" s="451"/>
      <c r="L793" s="451"/>
      <c r="M793" s="451"/>
      <c r="N793" s="451"/>
      <c r="O793" s="451"/>
      <c r="P793" s="451"/>
      <c r="Q793" s="451"/>
      <c r="R793" s="451"/>
      <c r="S793" s="451"/>
    </row>
    <row r="794">
      <c r="A794" s="444"/>
      <c r="B794" s="444"/>
      <c r="C794" s="445"/>
      <c r="D794" s="446"/>
      <c r="E794" s="447"/>
      <c r="F794" s="448"/>
      <c r="G794" s="449"/>
      <c r="H794" s="448"/>
      <c r="I794" s="448"/>
      <c r="J794" s="450"/>
      <c r="K794" s="451"/>
      <c r="L794" s="451"/>
      <c r="M794" s="451"/>
      <c r="N794" s="451"/>
      <c r="O794" s="451"/>
      <c r="P794" s="451"/>
      <c r="Q794" s="451"/>
      <c r="R794" s="451"/>
      <c r="S794" s="451"/>
    </row>
    <row r="795">
      <c r="A795" s="444"/>
      <c r="B795" s="444"/>
      <c r="C795" s="445"/>
      <c r="D795" s="446"/>
      <c r="E795" s="447"/>
      <c r="F795" s="448"/>
      <c r="G795" s="449"/>
      <c r="H795" s="448"/>
      <c r="I795" s="448"/>
      <c r="J795" s="450"/>
      <c r="K795" s="451"/>
      <c r="L795" s="451"/>
      <c r="M795" s="451"/>
      <c r="N795" s="451"/>
      <c r="O795" s="451"/>
      <c r="P795" s="451"/>
      <c r="Q795" s="451"/>
      <c r="R795" s="451"/>
      <c r="S795" s="451"/>
    </row>
    <row r="796">
      <c r="A796" s="444"/>
      <c r="B796" s="444"/>
      <c r="C796" s="445"/>
      <c r="D796" s="446"/>
      <c r="E796" s="447"/>
      <c r="F796" s="448"/>
      <c r="G796" s="449"/>
      <c r="H796" s="448"/>
      <c r="I796" s="448"/>
      <c r="J796" s="450"/>
      <c r="K796" s="451"/>
      <c r="L796" s="451"/>
      <c r="M796" s="451"/>
      <c r="N796" s="451"/>
      <c r="O796" s="451"/>
      <c r="P796" s="451"/>
      <c r="Q796" s="451"/>
      <c r="R796" s="451"/>
      <c r="S796" s="451"/>
    </row>
    <row r="797">
      <c r="A797" s="444"/>
      <c r="B797" s="444"/>
      <c r="C797" s="445"/>
      <c r="D797" s="446"/>
      <c r="E797" s="447"/>
      <c r="F797" s="448"/>
      <c r="G797" s="449"/>
      <c r="H797" s="448"/>
      <c r="I797" s="448"/>
      <c r="J797" s="450"/>
      <c r="K797" s="451"/>
      <c r="L797" s="451"/>
      <c r="M797" s="451"/>
      <c r="N797" s="451"/>
      <c r="O797" s="451"/>
      <c r="P797" s="451"/>
      <c r="Q797" s="451"/>
      <c r="R797" s="451"/>
      <c r="S797" s="451"/>
    </row>
    <row r="798">
      <c r="A798" s="444"/>
      <c r="B798" s="444"/>
      <c r="C798" s="445"/>
      <c r="D798" s="446"/>
      <c r="E798" s="447"/>
      <c r="F798" s="448"/>
      <c r="G798" s="449"/>
      <c r="H798" s="448"/>
      <c r="I798" s="448"/>
      <c r="J798" s="450"/>
      <c r="K798" s="451"/>
      <c r="L798" s="451"/>
      <c r="M798" s="451"/>
      <c r="N798" s="451"/>
      <c r="O798" s="451"/>
      <c r="P798" s="451"/>
      <c r="Q798" s="451"/>
      <c r="R798" s="451"/>
      <c r="S798" s="451"/>
    </row>
    <row r="799">
      <c r="A799" s="444"/>
      <c r="B799" s="444"/>
      <c r="C799" s="445"/>
      <c r="D799" s="446"/>
      <c r="E799" s="447"/>
      <c r="F799" s="448"/>
      <c r="G799" s="449"/>
      <c r="H799" s="448"/>
      <c r="I799" s="448"/>
      <c r="J799" s="450"/>
      <c r="K799" s="451"/>
      <c r="L799" s="451"/>
      <c r="M799" s="451"/>
      <c r="N799" s="451"/>
      <c r="O799" s="451"/>
      <c r="P799" s="451"/>
      <c r="Q799" s="451"/>
      <c r="R799" s="451"/>
      <c r="S799" s="451"/>
    </row>
    <row r="800">
      <c r="A800" s="444"/>
      <c r="B800" s="444"/>
      <c r="C800" s="445"/>
      <c r="D800" s="446"/>
      <c r="E800" s="447"/>
      <c r="F800" s="448"/>
      <c r="G800" s="449"/>
      <c r="H800" s="448"/>
      <c r="I800" s="448"/>
      <c r="J800" s="450"/>
      <c r="K800" s="451"/>
      <c r="L800" s="451"/>
      <c r="M800" s="451"/>
      <c r="N800" s="451"/>
      <c r="O800" s="451"/>
      <c r="P800" s="451"/>
      <c r="Q800" s="451"/>
      <c r="R800" s="451"/>
      <c r="S800" s="451"/>
    </row>
    <row r="801">
      <c r="A801" s="444"/>
      <c r="B801" s="444"/>
      <c r="C801" s="445"/>
      <c r="D801" s="446"/>
      <c r="E801" s="447"/>
      <c r="F801" s="448"/>
      <c r="G801" s="449"/>
      <c r="H801" s="448"/>
      <c r="I801" s="448"/>
      <c r="J801" s="450"/>
      <c r="K801" s="451"/>
      <c r="L801" s="451"/>
      <c r="M801" s="451"/>
      <c r="N801" s="451"/>
      <c r="O801" s="451"/>
      <c r="P801" s="451"/>
      <c r="Q801" s="451"/>
      <c r="R801" s="451"/>
      <c r="S801" s="451"/>
    </row>
    <row r="802">
      <c r="A802" s="444"/>
      <c r="B802" s="444"/>
      <c r="C802" s="445"/>
      <c r="D802" s="446"/>
      <c r="E802" s="447"/>
      <c r="F802" s="448"/>
      <c r="G802" s="449"/>
      <c r="H802" s="448"/>
      <c r="I802" s="448"/>
      <c r="J802" s="450"/>
      <c r="K802" s="451"/>
      <c r="L802" s="451"/>
      <c r="M802" s="451"/>
      <c r="N802" s="451"/>
      <c r="O802" s="451"/>
      <c r="P802" s="451"/>
      <c r="Q802" s="451"/>
      <c r="R802" s="451"/>
      <c r="S802" s="451"/>
    </row>
    <row r="803">
      <c r="A803" s="444"/>
      <c r="B803" s="444"/>
      <c r="C803" s="445"/>
      <c r="D803" s="446"/>
      <c r="E803" s="447"/>
      <c r="F803" s="448"/>
      <c r="G803" s="449"/>
      <c r="H803" s="448"/>
      <c r="I803" s="448"/>
      <c r="J803" s="450"/>
      <c r="K803" s="451"/>
      <c r="L803" s="451"/>
      <c r="M803" s="451"/>
      <c r="N803" s="451"/>
      <c r="O803" s="451"/>
      <c r="P803" s="451"/>
      <c r="Q803" s="451"/>
      <c r="R803" s="451"/>
      <c r="S803" s="451"/>
    </row>
    <row r="804">
      <c r="A804" s="444"/>
      <c r="B804" s="444"/>
      <c r="C804" s="445"/>
      <c r="D804" s="446"/>
      <c r="E804" s="447"/>
      <c r="F804" s="448"/>
      <c r="G804" s="449"/>
      <c r="H804" s="448"/>
      <c r="I804" s="448"/>
      <c r="J804" s="450"/>
      <c r="K804" s="451"/>
      <c r="L804" s="451"/>
      <c r="M804" s="451"/>
      <c r="N804" s="451"/>
      <c r="O804" s="451"/>
      <c r="P804" s="451"/>
      <c r="Q804" s="451"/>
      <c r="R804" s="451"/>
      <c r="S804" s="451"/>
    </row>
    <row r="805">
      <c r="A805" s="444"/>
      <c r="B805" s="444"/>
      <c r="C805" s="445"/>
      <c r="D805" s="446"/>
      <c r="E805" s="447"/>
      <c r="F805" s="448"/>
      <c r="G805" s="449"/>
      <c r="H805" s="448"/>
      <c r="I805" s="448"/>
      <c r="J805" s="450"/>
      <c r="K805" s="451"/>
      <c r="L805" s="451"/>
      <c r="M805" s="451"/>
      <c r="N805" s="451"/>
      <c r="O805" s="451"/>
      <c r="P805" s="451"/>
      <c r="Q805" s="451"/>
      <c r="R805" s="451"/>
      <c r="S805" s="451"/>
    </row>
    <row r="806">
      <c r="A806" s="444"/>
      <c r="B806" s="444"/>
      <c r="C806" s="445"/>
      <c r="D806" s="446"/>
      <c r="E806" s="447"/>
      <c r="F806" s="448"/>
      <c r="G806" s="449"/>
      <c r="H806" s="448"/>
      <c r="I806" s="448"/>
      <c r="J806" s="450"/>
      <c r="K806" s="451"/>
      <c r="L806" s="451"/>
      <c r="M806" s="451"/>
      <c r="N806" s="451"/>
      <c r="O806" s="451"/>
      <c r="P806" s="451"/>
      <c r="Q806" s="451"/>
      <c r="R806" s="451"/>
      <c r="S806" s="451"/>
    </row>
    <row r="807">
      <c r="A807" s="444"/>
      <c r="B807" s="444"/>
      <c r="C807" s="445"/>
      <c r="D807" s="446"/>
      <c r="E807" s="447"/>
      <c r="F807" s="448"/>
      <c r="G807" s="449"/>
      <c r="H807" s="448"/>
      <c r="I807" s="448"/>
      <c r="J807" s="450"/>
      <c r="K807" s="451"/>
      <c r="L807" s="451"/>
      <c r="M807" s="451"/>
      <c r="N807" s="451"/>
      <c r="O807" s="451"/>
      <c r="P807" s="451"/>
      <c r="Q807" s="451"/>
      <c r="R807" s="451"/>
      <c r="S807" s="451"/>
    </row>
    <row r="808">
      <c r="A808" s="444"/>
      <c r="B808" s="444"/>
      <c r="C808" s="445"/>
      <c r="D808" s="446"/>
      <c r="E808" s="447"/>
      <c r="F808" s="448"/>
      <c r="G808" s="449"/>
      <c r="H808" s="448"/>
      <c r="I808" s="448"/>
      <c r="J808" s="450"/>
      <c r="K808" s="451"/>
      <c r="L808" s="451"/>
      <c r="M808" s="451"/>
      <c r="N808" s="451"/>
      <c r="O808" s="451"/>
      <c r="P808" s="451"/>
      <c r="Q808" s="451"/>
      <c r="R808" s="451"/>
      <c r="S808" s="451"/>
    </row>
    <row r="809">
      <c r="A809" s="444"/>
      <c r="B809" s="444"/>
      <c r="C809" s="445"/>
      <c r="D809" s="446"/>
      <c r="E809" s="447"/>
      <c r="F809" s="448"/>
      <c r="G809" s="449"/>
      <c r="H809" s="448"/>
      <c r="I809" s="448"/>
      <c r="J809" s="450"/>
      <c r="K809" s="451"/>
      <c r="L809" s="451"/>
      <c r="M809" s="451"/>
      <c r="N809" s="451"/>
      <c r="O809" s="451"/>
      <c r="P809" s="451"/>
      <c r="Q809" s="451"/>
      <c r="R809" s="451"/>
      <c r="S809" s="451"/>
    </row>
    <row r="810">
      <c r="A810" s="444"/>
      <c r="B810" s="444"/>
      <c r="C810" s="445"/>
      <c r="D810" s="446"/>
      <c r="E810" s="447"/>
      <c r="F810" s="448"/>
      <c r="G810" s="449"/>
      <c r="H810" s="448"/>
      <c r="I810" s="448"/>
      <c r="J810" s="450"/>
      <c r="K810" s="451"/>
      <c r="L810" s="451"/>
      <c r="M810" s="451"/>
      <c r="N810" s="451"/>
      <c r="O810" s="451"/>
      <c r="P810" s="451"/>
      <c r="Q810" s="451"/>
      <c r="R810" s="451"/>
      <c r="S810" s="451"/>
    </row>
    <row r="811">
      <c r="A811" s="444"/>
      <c r="B811" s="444"/>
      <c r="C811" s="445"/>
      <c r="D811" s="446"/>
      <c r="E811" s="447"/>
      <c r="F811" s="448"/>
      <c r="G811" s="449"/>
      <c r="H811" s="448"/>
      <c r="I811" s="448"/>
      <c r="J811" s="450"/>
      <c r="K811" s="451"/>
      <c r="L811" s="451"/>
      <c r="M811" s="451"/>
      <c r="N811" s="451"/>
      <c r="O811" s="451"/>
      <c r="P811" s="451"/>
      <c r="Q811" s="451"/>
      <c r="R811" s="451"/>
      <c r="S811" s="451"/>
    </row>
    <row r="812">
      <c r="A812" s="444"/>
      <c r="B812" s="444"/>
      <c r="C812" s="445"/>
      <c r="D812" s="446"/>
      <c r="E812" s="447"/>
      <c r="F812" s="448"/>
      <c r="G812" s="449"/>
      <c r="H812" s="448"/>
      <c r="I812" s="448"/>
      <c r="J812" s="450"/>
      <c r="K812" s="451"/>
      <c r="L812" s="451"/>
      <c r="M812" s="451"/>
      <c r="N812" s="451"/>
      <c r="O812" s="451"/>
      <c r="P812" s="451"/>
      <c r="Q812" s="451"/>
      <c r="R812" s="451"/>
      <c r="S812" s="451"/>
    </row>
    <row r="813">
      <c r="A813" s="444"/>
      <c r="B813" s="444"/>
      <c r="C813" s="445"/>
      <c r="D813" s="446"/>
      <c r="E813" s="447"/>
      <c r="F813" s="448"/>
      <c r="G813" s="449"/>
      <c r="H813" s="448"/>
      <c r="I813" s="448"/>
      <c r="J813" s="450"/>
      <c r="K813" s="451"/>
      <c r="L813" s="451"/>
      <c r="M813" s="451"/>
      <c r="N813" s="451"/>
      <c r="O813" s="451"/>
      <c r="P813" s="451"/>
      <c r="Q813" s="451"/>
      <c r="R813" s="451"/>
      <c r="S813" s="451"/>
    </row>
    <row r="814">
      <c r="A814" s="444"/>
      <c r="B814" s="444"/>
      <c r="C814" s="445"/>
      <c r="D814" s="446"/>
      <c r="E814" s="447"/>
      <c r="F814" s="448"/>
      <c r="G814" s="449"/>
      <c r="H814" s="448"/>
      <c r="I814" s="448"/>
      <c r="J814" s="450"/>
      <c r="K814" s="451"/>
      <c r="L814" s="451"/>
      <c r="M814" s="451"/>
      <c r="N814" s="451"/>
      <c r="O814" s="451"/>
      <c r="P814" s="451"/>
      <c r="Q814" s="451"/>
      <c r="R814" s="451"/>
      <c r="S814" s="451"/>
    </row>
    <row r="815">
      <c r="A815" s="444"/>
      <c r="B815" s="444"/>
      <c r="C815" s="445"/>
      <c r="D815" s="446"/>
      <c r="E815" s="447"/>
      <c r="F815" s="448"/>
      <c r="G815" s="449"/>
      <c r="H815" s="448"/>
      <c r="I815" s="448"/>
      <c r="J815" s="450"/>
      <c r="K815" s="451"/>
      <c r="L815" s="451"/>
      <c r="M815" s="451"/>
      <c r="N815" s="451"/>
      <c r="O815" s="451"/>
      <c r="P815" s="451"/>
      <c r="Q815" s="451"/>
      <c r="R815" s="451"/>
      <c r="S815" s="451"/>
    </row>
    <row r="816">
      <c r="A816" s="444"/>
      <c r="B816" s="444"/>
      <c r="C816" s="445"/>
      <c r="D816" s="446"/>
      <c r="E816" s="447"/>
      <c r="F816" s="448"/>
      <c r="G816" s="449"/>
      <c r="H816" s="448"/>
      <c r="I816" s="448"/>
      <c r="J816" s="450"/>
      <c r="K816" s="451"/>
      <c r="L816" s="451"/>
      <c r="M816" s="451"/>
      <c r="N816" s="451"/>
      <c r="O816" s="451"/>
      <c r="P816" s="451"/>
      <c r="Q816" s="451"/>
      <c r="R816" s="451"/>
      <c r="S816" s="451"/>
    </row>
    <row r="817">
      <c r="A817" s="444"/>
      <c r="B817" s="444"/>
      <c r="C817" s="445"/>
      <c r="D817" s="446"/>
      <c r="E817" s="447"/>
      <c r="F817" s="448"/>
      <c r="G817" s="449"/>
      <c r="H817" s="448"/>
      <c r="I817" s="448"/>
      <c r="J817" s="450"/>
      <c r="K817" s="451"/>
      <c r="L817" s="451"/>
      <c r="M817" s="451"/>
      <c r="N817" s="451"/>
      <c r="O817" s="451"/>
      <c r="P817" s="451"/>
      <c r="Q817" s="451"/>
      <c r="R817" s="451"/>
      <c r="S817" s="451"/>
    </row>
    <row r="818">
      <c r="A818" s="444"/>
      <c r="B818" s="444"/>
      <c r="C818" s="445"/>
      <c r="D818" s="446"/>
      <c r="E818" s="447"/>
      <c r="F818" s="448"/>
      <c r="G818" s="449"/>
      <c r="H818" s="448"/>
      <c r="I818" s="448"/>
      <c r="J818" s="450"/>
      <c r="K818" s="451"/>
      <c r="L818" s="451"/>
      <c r="M818" s="451"/>
      <c r="N818" s="451"/>
      <c r="O818" s="451"/>
      <c r="P818" s="451"/>
      <c r="Q818" s="451"/>
      <c r="R818" s="451"/>
      <c r="S818" s="451"/>
    </row>
    <row r="819">
      <c r="A819" s="444"/>
      <c r="B819" s="444"/>
      <c r="C819" s="445"/>
      <c r="D819" s="446"/>
      <c r="E819" s="447"/>
      <c r="F819" s="448"/>
      <c r="G819" s="449"/>
      <c r="H819" s="448"/>
      <c r="I819" s="448"/>
      <c r="J819" s="450"/>
      <c r="K819" s="451"/>
      <c r="L819" s="451"/>
      <c r="M819" s="451"/>
      <c r="N819" s="451"/>
      <c r="O819" s="451"/>
      <c r="P819" s="451"/>
      <c r="Q819" s="451"/>
      <c r="R819" s="451"/>
      <c r="S819" s="451"/>
    </row>
    <row r="820">
      <c r="A820" s="444"/>
      <c r="B820" s="444"/>
      <c r="C820" s="445"/>
      <c r="D820" s="446"/>
      <c r="E820" s="447"/>
      <c r="F820" s="448"/>
      <c r="G820" s="449"/>
      <c r="H820" s="448"/>
      <c r="I820" s="448"/>
      <c r="J820" s="450"/>
      <c r="K820" s="451"/>
      <c r="L820" s="451"/>
      <c r="M820" s="451"/>
      <c r="N820" s="451"/>
      <c r="O820" s="451"/>
      <c r="P820" s="451"/>
      <c r="Q820" s="451"/>
      <c r="R820" s="451"/>
      <c r="S820" s="451"/>
    </row>
    <row r="821">
      <c r="A821" s="444"/>
      <c r="B821" s="444"/>
      <c r="C821" s="445"/>
      <c r="D821" s="446"/>
      <c r="E821" s="447"/>
      <c r="F821" s="448"/>
      <c r="G821" s="449"/>
      <c r="H821" s="448"/>
      <c r="I821" s="448"/>
      <c r="J821" s="450"/>
      <c r="K821" s="451"/>
      <c r="L821" s="451"/>
      <c r="M821" s="451"/>
      <c r="N821" s="451"/>
      <c r="O821" s="451"/>
      <c r="P821" s="451"/>
      <c r="Q821" s="451"/>
      <c r="R821" s="451"/>
      <c r="S821" s="451"/>
    </row>
    <row r="822">
      <c r="A822" s="444"/>
      <c r="B822" s="444"/>
      <c r="C822" s="445"/>
      <c r="D822" s="446"/>
      <c r="E822" s="447"/>
      <c r="F822" s="448"/>
      <c r="G822" s="449"/>
      <c r="H822" s="448"/>
      <c r="I822" s="448"/>
      <c r="J822" s="450"/>
      <c r="K822" s="451"/>
      <c r="L822" s="451"/>
      <c r="M822" s="451"/>
      <c r="N822" s="451"/>
      <c r="O822" s="451"/>
      <c r="P822" s="451"/>
      <c r="Q822" s="451"/>
      <c r="R822" s="451"/>
      <c r="S822" s="451"/>
    </row>
    <row r="823">
      <c r="A823" s="444"/>
      <c r="B823" s="444"/>
      <c r="C823" s="445"/>
      <c r="D823" s="446"/>
      <c r="E823" s="447"/>
      <c r="F823" s="448"/>
      <c r="G823" s="449"/>
      <c r="H823" s="448"/>
      <c r="I823" s="448"/>
      <c r="J823" s="450"/>
      <c r="K823" s="451"/>
      <c r="L823" s="451"/>
      <c r="M823" s="451"/>
      <c r="N823" s="451"/>
      <c r="O823" s="451"/>
      <c r="P823" s="451"/>
      <c r="Q823" s="451"/>
      <c r="R823" s="451"/>
      <c r="S823" s="451"/>
    </row>
    <row r="824">
      <c r="A824" s="444"/>
      <c r="B824" s="444"/>
      <c r="C824" s="445"/>
      <c r="D824" s="446"/>
      <c r="E824" s="447"/>
      <c r="F824" s="448"/>
      <c r="G824" s="449"/>
      <c r="H824" s="448"/>
      <c r="I824" s="448"/>
      <c r="J824" s="450"/>
      <c r="K824" s="451"/>
      <c r="L824" s="451"/>
      <c r="M824" s="451"/>
      <c r="N824" s="451"/>
      <c r="O824" s="451"/>
      <c r="P824" s="451"/>
      <c r="Q824" s="451"/>
      <c r="R824" s="451"/>
      <c r="S824" s="451"/>
    </row>
    <row r="825">
      <c r="A825" s="444"/>
      <c r="B825" s="444"/>
      <c r="C825" s="445"/>
      <c r="D825" s="446"/>
      <c r="E825" s="447"/>
      <c r="F825" s="448"/>
      <c r="G825" s="449"/>
      <c r="H825" s="448"/>
      <c r="I825" s="448"/>
      <c r="J825" s="450"/>
      <c r="K825" s="451"/>
      <c r="L825" s="451"/>
      <c r="M825" s="451"/>
      <c r="N825" s="451"/>
      <c r="O825" s="451"/>
      <c r="P825" s="451"/>
      <c r="Q825" s="451"/>
      <c r="R825" s="451"/>
      <c r="S825" s="451"/>
    </row>
    <row r="826">
      <c r="A826" s="444"/>
      <c r="B826" s="444"/>
      <c r="C826" s="445"/>
      <c r="D826" s="446"/>
      <c r="E826" s="447"/>
      <c r="F826" s="448"/>
      <c r="G826" s="449"/>
      <c r="H826" s="448"/>
      <c r="I826" s="448"/>
      <c r="J826" s="450"/>
      <c r="K826" s="451"/>
      <c r="L826" s="451"/>
      <c r="M826" s="451"/>
      <c r="N826" s="451"/>
      <c r="O826" s="451"/>
      <c r="P826" s="451"/>
      <c r="Q826" s="451"/>
      <c r="R826" s="451"/>
      <c r="S826" s="451"/>
    </row>
    <row r="827">
      <c r="A827" s="444"/>
      <c r="B827" s="444"/>
      <c r="C827" s="445"/>
      <c r="D827" s="446"/>
      <c r="E827" s="447"/>
      <c r="F827" s="448"/>
      <c r="G827" s="449"/>
      <c r="H827" s="448"/>
      <c r="I827" s="448"/>
      <c r="J827" s="450"/>
      <c r="K827" s="451"/>
      <c r="L827" s="451"/>
      <c r="M827" s="451"/>
      <c r="N827" s="451"/>
      <c r="O827" s="451"/>
      <c r="P827" s="451"/>
      <c r="Q827" s="451"/>
      <c r="R827" s="451"/>
      <c r="S827" s="451"/>
    </row>
    <row r="828">
      <c r="A828" s="444"/>
      <c r="B828" s="444"/>
      <c r="C828" s="445"/>
      <c r="D828" s="446"/>
      <c r="E828" s="447"/>
      <c r="F828" s="448"/>
      <c r="G828" s="449"/>
      <c r="H828" s="448"/>
      <c r="I828" s="448"/>
      <c r="J828" s="450"/>
      <c r="K828" s="451"/>
      <c r="L828" s="451"/>
      <c r="M828" s="451"/>
      <c r="N828" s="451"/>
      <c r="O828" s="451"/>
      <c r="P828" s="451"/>
      <c r="Q828" s="451"/>
      <c r="R828" s="451"/>
      <c r="S828" s="451"/>
    </row>
    <row r="829">
      <c r="A829" s="444"/>
      <c r="B829" s="444"/>
      <c r="C829" s="445"/>
      <c r="D829" s="446"/>
      <c r="E829" s="447"/>
      <c r="F829" s="448"/>
      <c r="G829" s="449"/>
      <c r="H829" s="448"/>
      <c r="I829" s="448"/>
      <c r="J829" s="450"/>
      <c r="K829" s="451"/>
      <c r="L829" s="451"/>
      <c r="M829" s="451"/>
      <c r="N829" s="451"/>
      <c r="O829" s="451"/>
      <c r="P829" s="451"/>
      <c r="Q829" s="451"/>
      <c r="R829" s="451"/>
      <c r="S829" s="451"/>
    </row>
    <row r="830">
      <c r="A830" s="444"/>
      <c r="B830" s="444"/>
      <c r="C830" s="445"/>
      <c r="D830" s="446"/>
      <c r="E830" s="447"/>
      <c r="F830" s="448"/>
      <c r="G830" s="449"/>
      <c r="H830" s="448"/>
      <c r="I830" s="448"/>
      <c r="J830" s="450"/>
      <c r="K830" s="451"/>
      <c r="L830" s="451"/>
      <c r="M830" s="451"/>
      <c r="N830" s="451"/>
      <c r="O830" s="451"/>
      <c r="P830" s="451"/>
      <c r="Q830" s="451"/>
      <c r="R830" s="451"/>
      <c r="S830" s="451"/>
    </row>
    <row r="831">
      <c r="A831" s="444"/>
      <c r="B831" s="444"/>
      <c r="C831" s="445"/>
      <c r="D831" s="446"/>
      <c r="E831" s="447"/>
      <c r="F831" s="448"/>
      <c r="G831" s="449"/>
      <c r="H831" s="448"/>
      <c r="I831" s="448"/>
      <c r="J831" s="450"/>
      <c r="K831" s="451"/>
      <c r="L831" s="451"/>
      <c r="M831" s="451"/>
      <c r="N831" s="451"/>
      <c r="O831" s="451"/>
      <c r="P831" s="451"/>
      <c r="Q831" s="451"/>
      <c r="R831" s="451"/>
      <c r="S831" s="451"/>
    </row>
    <row r="832">
      <c r="A832" s="444"/>
      <c r="B832" s="444"/>
      <c r="C832" s="445"/>
      <c r="D832" s="446"/>
      <c r="E832" s="447"/>
      <c r="F832" s="448"/>
      <c r="G832" s="449"/>
      <c r="H832" s="448"/>
      <c r="I832" s="448"/>
      <c r="J832" s="450"/>
      <c r="K832" s="451"/>
      <c r="L832" s="451"/>
      <c r="M832" s="451"/>
      <c r="N832" s="451"/>
      <c r="O832" s="451"/>
      <c r="P832" s="451"/>
      <c r="Q832" s="451"/>
      <c r="R832" s="451"/>
      <c r="S832" s="451"/>
    </row>
    <row r="833">
      <c r="A833" s="444"/>
      <c r="B833" s="444"/>
      <c r="C833" s="445"/>
      <c r="D833" s="446"/>
      <c r="E833" s="447"/>
      <c r="F833" s="448"/>
      <c r="G833" s="449"/>
      <c r="H833" s="448"/>
      <c r="I833" s="448"/>
      <c r="J833" s="450"/>
      <c r="K833" s="451"/>
      <c r="L833" s="451"/>
      <c r="M833" s="451"/>
      <c r="N833" s="451"/>
      <c r="O833" s="451"/>
      <c r="P833" s="451"/>
      <c r="Q833" s="451"/>
      <c r="R833" s="451"/>
      <c r="S833" s="451"/>
    </row>
    <row r="834">
      <c r="A834" s="444"/>
      <c r="B834" s="444"/>
      <c r="C834" s="445"/>
      <c r="D834" s="446"/>
      <c r="E834" s="447"/>
      <c r="F834" s="448"/>
      <c r="G834" s="449"/>
      <c r="H834" s="448"/>
      <c r="I834" s="448"/>
      <c r="J834" s="450"/>
      <c r="K834" s="451"/>
      <c r="L834" s="451"/>
      <c r="M834" s="451"/>
      <c r="N834" s="451"/>
      <c r="O834" s="451"/>
      <c r="P834" s="451"/>
      <c r="Q834" s="451"/>
      <c r="R834" s="451"/>
      <c r="S834" s="451"/>
    </row>
    <row r="835">
      <c r="A835" s="444"/>
      <c r="B835" s="444"/>
      <c r="C835" s="445"/>
      <c r="D835" s="446"/>
      <c r="E835" s="447"/>
      <c r="F835" s="448"/>
      <c r="G835" s="449"/>
      <c r="H835" s="448"/>
      <c r="I835" s="448"/>
      <c r="J835" s="450"/>
      <c r="K835" s="451"/>
      <c r="L835" s="451"/>
      <c r="M835" s="451"/>
      <c r="N835" s="451"/>
      <c r="O835" s="451"/>
      <c r="P835" s="451"/>
      <c r="Q835" s="451"/>
      <c r="R835" s="451"/>
      <c r="S835" s="451"/>
    </row>
    <row r="836">
      <c r="A836" s="444"/>
      <c r="B836" s="444"/>
      <c r="C836" s="445"/>
      <c r="D836" s="446"/>
      <c r="E836" s="447"/>
      <c r="F836" s="448"/>
      <c r="G836" s="449"/>
      <c r="H836" s="448"/>
      <c r="I836" s="448"/>
      <c r="J836" s="450"/>
      <c r="K836" s="451"/>
      <c r="L836" s="451"/>
      <c r="M836" s="451"/>
      <c r="N836" s="451"/>
      <c r="O836" s="451"/>
      <c r="P836" s="451"/>
      <c r="Q836" s="451"/>
      <c r="R836" s="451"/>
      <c r="S836" s="451"/>
    </row>
    <row r="837">
      <c r="A837" s="444"/>
      <c r="B837" s="444"/>
      <c r="C837" s="445"/>
      <c r="D837" s="446"/>
      <c r="E837" s="447"/>
      <c r="F837" s="448"/>
      <c r="G837" s="449"/>
      <c r="H837" s="448"/>
      <c r="I837" s="448"/>
      <c r="J837" s="450"/>
      <c r="K837" s="451"/>
      <c r="L837" s="451"/>
      <c r="M837" s="451"/>
      <c r="N837" s="451"/>
      <c r="O837" s="451"/>
      <c r="P837" s="451"/>
      <c r="Q837" s="451"/>
      <c r="R837" s="451"/>
      <c r="S837" s="451"/>
    </row>
    <row r="838">
      <c r="A838" s="444"/>
      <c r="B838" s="444"/>
      <c r="C838" s="445"/>
      <c r="D838" s="446"/>
      <c r="E838" s="447"/>
      <c r="F838" s="448"/>
      <c r="G838" s="449"/>
      <c r="H838" s="448"/>
      <c r="I838" s="448"/>
      <c r="J838" s="450"/>
      <c r="K838" s="451"/>
      <c r="L838" s="451"/>
      <c r="M838" s="451"/>
      <c r="N838" s="451"/>
      <c r="O838" s="451"/>
      <c r="P838" s="451"/>
      <c r="Q838" s="451"/>
      <c r="R838" s="451"/>
      <c r="S838" s="451"/>
    </row>
    <row r="839">
      <c r="A839" s="444"/>
      <c r="B839" s="444"/>
      <c r="C839" s="445"/>
      <c r="D839" s="446"/>
      <c r="E839" s="447"/>
      <c r="F839" s="448"/>
      <c r="G839" s="449"/>
      <c r="H839" s="448"/>
      <c r="I839" s="448"/>
      <c r="J839" s="450"/>
      <c r="K839" s="451"/>
      <c r="L839" s="451"/>
      <c r="M839" s="451"/>
      <c r="N839" s="451"/>
      <c r="O839" s="451"/>
      <c r="P839" s="451"/>
      <c r="Q839" s="451"/>
      <c r="R839" s="451"/>
      <c r="S839" s="451"/>
    </row>
    <row r="840">
      <c r="A840" s="444"/>
      <c r="B840" s="444"/>
      <c r="C840" s="445"/>
      <c r="D840" s="446"/>
      <c r="E840" s="447"/>
      <c r="F840" s="448"/>
      <c r="G840" s="449"/>
      <c r="H840" s="448"/>
      <c r="I840" s="448"/>
      <c r="J840" s="450"/>
      <c r="K840" s="451"/>
      <c r="L840" s="451"/>
      <c r="M840" s="451"/>
      <c r="N840" s="451"/>
      <c r="O840" s="451"/>
      <c r="P840" s="451"/>
      <c r="Q840" s="451"/>
      <c r="R840" s="451"/>
      <c r="S840" s="451"/>
    </row>
    <row r="841">
      <c r="A841" s="444"/>
      <c r="B841" s="444"/>
      <c r="C841" s="445"/>
      <c r="D841" s="446"/>
      <c r="E841" s="447"/>
      <c r="F841" s="448"/>
      <c r="G841" s="449"/>
      <c r="H841" s="448"/>
      <c r="I841" s="448"/>
      <c r="J841" s="450"/>
      <c r="K841" s="451"/>
      <c r="L841" s="451"/>
      <c r="M841" s="451"/>
      <c r="N841" s="451"/>
      <c r="O841" s="451"/>
      <c r="P841" s="451"/>
      <c r="Q841" s="451"/>
      <c r="R841" s="451"/>
      <c r="S841" s="451"/>
    </row>
    <row r="842">
      <c r="A842" s="444"/>
      <c r="B842" s="444"/>
      <c r="C842" s="445"/>
      <c r="D842" s="446"/>
      <c r="E842" s="447"/>
      <c r="F842" s="448"/>
      <c r="G842" s="449"/>
      <c r="H842" s="448"/>
      <c r="I842" s="448"/>
      <c r="J842" s="450"/>
      <c r="K842" s="451"/>
      <c r="L842" s="451"/>
      <c r="M842" s="451"/>
      <c r="N842" s="451"/>
      <c r="O842" s="451"/>
      <c r="P842" s="451"/>
      <c r="Q842" s="451"/>
      <c r="R842" s="451"/>
      <c r="S842" s="451"/>
    </row>
    <row r="843">
      <c r="A843" s="444"/>
      <c r="B843" s="444"/>
      <c r="C843" s="445"/>
      <c r="D843" s="446"/>
      <c r="E843" s="447"/>
      <c r="F843" s="448"/>
      <c r="G843" s="449"/>
      <c r="H843" s="448"/>
      <c r="I843" s="448"/>
      <c r="J843" s="450"/>
      <c r="K843" s="451"/>
      <c r="L843" s="451"/>
      <c r="M843" s="451"/>
      <c r="N843" s="451"/>
      <c r="O843" s="451"/>
      <c r="P843" s="451"/>
      <c r="Q843" s="451"/>
      <c r="R843" s="451"/>
      <c r="S843" s="451"/>
    </row>
    <row r="844">
      <c r="A844" s="444"/>
      <c r="B844" s="444"/>
      <c r="C844" s="445"/>
      <c r="D844" s="446"/>
      <c r="E844" s="447"/>
      <c r="F844" s="448"/>
      <c r="G844" s="449"/>
      <c r="H844" s="448"/>
      <c r="I844" s="448"/>
      <c r="J844" s="450"/>
      <c r="K844" s="451"/>
      <c r="L844" s="451"/>
      <c r="M844" s="451"/>
      <c r="N844" s="451"/>
      <c r="O844" s="451"/>
      <c r="P844" s="451"/>
      <c r="Q844" s="451"/>
      <c r="R844" s="451"/>
      <c r="S844" s="451"/>
    </row>
    <row r="845">
      <c r="A845" s="444"/>
      <c r="B845" s="444"/>
      <c r="C845" s="445"/>
      <c r="D845" s="446"/>
      <c r="E845" s="447"/>
      <c r="F845" s="448"/>
      <c r="G845" s="449"/>
      <c r="H845" s="448"/>
      <c r="I845" s="448"/>
      <c r="J845" s="450"/>
      <c r="K845" s="451"/>
      <c r="L845" s="451"/>
      <c r="M845" s="451"/>
      <c r="N845" s="451"/>
      <c r="O845" s="451"/>
      <c r="P845" s="451"/>
      <c r="Q845" s="451"/>
      <c r="R845" s="451"/>
      <c r="S845" s="451"/>
    </row>
    <row r="846">
      <c r="A846" s="444"/>
      <c r="B846" s="444"/>
      <c r="C846" s="445"/>
      <c r="D846" s="446"/>
      <c r="E846" s="447"/>
      <c r="F846" s="448"/>
      <c r="G846" s="449"/>
      <c r="H846" s="448"/>
      <c r="I846" s="448"/>
      <c r="J846" s="450"/>
      <c r="K846" s="451"/>
      <c r="L846" s="451"/>
      <c r="M846" s="451"/>
      <c r="N846" s="451"/>
      <c r="O846" s="451"/>
      <c r="P846" s="451"/>
      <c r="Q846" s="451"/>
      <c r="R846" s="451"/>
      <c r="S846" s="451"/>
    </row>
    <row r="847">
      <c r="A847" s="444"/>
      <c r="B847" s="444"/>
      <c r="C847" s="445"/>
      <c r="D847" s="446"/>
      <c r="E847" s="447"/>
      <c r="F847" s="448"/>
      <c r="G847" s="449"/>
      <c r="H847" s="448"/>
      <c r="I847" s="448"/>
      <c r="J847" s="450"/>
      <c r="K847" s="451"/>
      <c r="L847" s="451"/>
      <c r="M847" s="451"/>
      <c r="N847" s="451"/>
      <c r="O847" s="451"/>
      <c r="P847" s="451"/>
      <c r="Q847" s="451"/>
      <c r="R847" s="451"/>
      <c r="S847" s="451"/>
    </row>
    <row r="848">
      <c r="A848" s="444"/>
      <c r="B848" s="444"/>
      <c r="C848" s="445"/>
      <c r="D848" s="446"/>
      <c r="E848" s="447"/>
      <c r="F848" s="448"/>
      <c r="G848" s="449"/>
      <c r="H848" s="448"/>
      <c r="I848" s="448"/>
      <c r="J848" s="450"/>
      <c r="K848" s="451"/>
      <c r="L848" s="451"/>
      <c r="M848" s="451"/>
      <c r="N848" s="451"/>
      <c r="O848" s="451"/>
      <c r="P848" s="451"/>
      <c r="Q848" s="451"/>
      <c r="R848" s="451"/>
      <c r="S848" s="451"/>
    </row>
    <row r="849">
      <c r="A849" s="444"/>
      <c r="B849" s="444"/>
      <c r="C849" s="445"/>
      <c r="D849" s="446"/>
      <c r="E849" s="447"/>
      <c r="F849" s="448"/>
      <c r="G849" s="449"/>
      <c r="H849" s="448"/>
      <c r="I849" s="448"/>
      <c r="J849" s="450"/>
      <c r="K849" s="451"/>
      <c r="L849" s="451"/>
      <c r="M849" s="451"/>
      <c r="N849" s="451"/>
      <c r="O849" s="451"/>
      <c r="P849" s="451"/>
      <c r="Q849" s="451"/>
      <c r="R849" s="451"/>
      <c r="S849" s="451"/>
    </row>
    <row r="850">
      <c r="A850" s="444"/>
      <c r="B850" s="444"/>
      <c r="C850" s="445"/>
      <c r="D850" s="446"/>
      <c r="E850" s="447"/>
      <c r="F850" s="448"/>
      <c r="G850" s="449"/>
      <c r="H850" s="448"/>
      <c r="I850" s="448"/>
      <c r="J850" s="450"/>
      <c r="K850" s="451"/>
      <c r="L850" s="451"/>
      <c r="M850" s="451"/>
      <c r="N850" s="451"/>
      <c r="O850" s="451"/>
      <c r="P850" s="451"/>
      <c r="Q850" s="451"/>
      <c r="R850" s="451"/>
      <c r="S850" s="451"/>
    </row>
    <row r="851">
      <c r="A851" s="444"/>
      <c r="B851" s="444"/>
      <c r="C851" s="445"/>
      <c r="D851" s="446"/>
      <c r="E851" s="447"/>
      <c r="F851" s="448"/>
      <c r="G851" s="449"/>
      <c r="H851" s="448"/>
      <c r="I851" s="448"/>
      <c r="J851" s="450"/>
      <c r="K851" s="451"/>
      <c r="L851" s="451"/>
      <c r="M851" s="451"/>
      <c r="N851" s="451"/>
      <c r="O851" s="451"/>
      <c r="P851" s="451"/>
      <c r="Q851" s="451"/>
      <c r="R851" s="451"/>
      <c r="S851" s="451"/>
    </row>
    <row r="852">
      <c r="A852" s="444"/>
      <c r="B852" s="444"/>
      <c r="C852" s="445"/>
      <c r="D852" s="446"/>
      <c r="E852" s="447"/>
      <c r="F852" s="448"/>
      <c r="G852" s="449"/>
      <c r="H852" s="448"/>
      <c r="I852" s="448"/>
      <c r="J852" s="450"/>
      <c r="K852" s="451"/>
      <c r="L852" s="451"/>
      <c r="M852" s="451"/>
      <c r="N852" s="451"/>
      <c r="O852" s="451"/>
      <c r="P852" s="451"/>
      <c r="Q852" s="451"/>
      <c r="R852" s="451"/>
      <c r="S852" s="451"/>
    </row>
    <row r="853">
      <c r="A853" s="444"/>
      <c r="B853" s="444"/>
      <c r="C853" s="445"/>
      <c r="D853" s="446"/>
      <c r="E853" s="447"/>
      <c r="F853" s="448"/>
      <c r="G853" s="449"/>
      <c r="H853" s="448"/>
      <c r="I853" s="448"/>
      <c r="J853" s="450"/>
      <c r="K853" s="451"/>
      <c r="L853" s="451"/>
      <c r="M853" s="451"/>
      <c r="N853" s="451"/>
      <c r="O853" s="451"/>
      <c r="P853" s="451"/>
      <c r="Q853" s="451"/>
      <c r="R853" s="451"/>
      <c r="S853" s="451"/>
    </row>
    <row r="854">
      <c r="A854" s="444"/>
      <c r="B854" s="444"/>
      <c r="C854" s="445"/>
      <c r="D854" s="446"/>
      <c r="E854" s="447"/>
      <c r="F854" s="448"/>
      <c r="G854" s="449"/>
      <c r="H854" s="448"/>
      <c r="I854" s="448"/>
      <c r="J854" s="450"/>
      <c r="K854" s="451"/>
      <c r="L854" s="451"/>
      <c r="M854" s="451"/>
      <c r="N854" s="451"/>
      <c r="O854" s="451"/>
      <c r="P854" s="451"/>
      <c r="Q854" s="451"/>
      <c r="R854" s="451"/>
      <c r="S854" s="451"/>
    </row>
    <row r="855">
      <c r="A855" s="444"/>
      <c r="B855" s="444"/>
      <c r="C855" s="445"/>
      <c r="D855" s="446"/>
      <c r="E855" s="447"/>
      <c r="F855" s="448"/>
      <c r="G855" s="449"/>
      <c r="H855" s="448"/>
      <c r="I855" s="448"/>
      <c r="J855" s="450"/>
      <c r="K855" s="451"/>
      <c r="L855" s="451"/>
      <c r="M855" s="451"/>
      <c r="N855" s="451"/>
      <c r="O855" s="451"/>
      <c r="P855" s="451"/>
      <c r="Q855" s="451"/>
      <c r="R855" s="451"/>
      <c r="S855" s="451"/>
    </row>
    <row r="856">
      <c r="A856" s="444"/>
      <c r="B856" s="444"/>
      <c r="C856" s="445"/>
      <c r="D856" s="446"/>
      <c r="E856" s="447"/>
      <c r="F856" s="448"/>
      <c r="G856" s="449"/>
      <c r="H856" s="448"/>
      <c r="I856" s="448"/>
      <c r="J856" s="450"/>
      <c r="K856" s="451"/>
      <c r="L856" s="451"/>
      <c r="M856" s="451"/>
      <c r="N856" s="451"/>
      <c r="O856" s="451"/>
      <c r="P856" s="451"/>
      <c r="Q856" s="451"/>
      <c r="R856" s="451"/>
      <c r="S856" s="451"/>
    </row>
    <row r="857">
      <c r="A857" s="444"/>
      <c r="B857" s="444"/>
      <c r="C857" s="445"/>
      <c r="D857" s="446"/>
      <c r="E857" s="447"/>
      <c r="F857" s="448"/>
      <c r="G857" s="449"/>
      <c r="H857" s="448"/>
      <c r="I857" s="448"/>
      <c r="J857" s="450"/>
      <c r="K857" s="451"/>
      <c r="L857" s="451"/>
      <c r="M857" s="451"/>
      <c r="N857" s="451"/>
      <c r="O857" s="451"/>
      <c r="P857" s="451"/>
      <c r="Q857" s="451"/>
      <c r="R857" s="451"/>
      <c r="S857" s="451"/>
    </row>
    <row r="858">
      <c r="A858" s="444"/>
      <c r="B858" s="444"/>
      <c r="C858" s="445"/>
      <c r="D858" s="446"/>
      <c r="E858" s="447"/>
      <c r="F858" s="448"/>
      <c r="G858" s="449"/>
      <c r="H858" s="448"/>
      <c r="I858" s="448"/>
      <c r="J858" s="450"/>
      <c r="K858" s="451"/>
      <c r="L858" s="451"/>
      <c r="M858" s="451"/>
      <c r="N858" s="451"/>
      <c r="O858" s="451"/>
      <c r="P858" s="451"/>
      <c r="Q858" s="451"/>
      <c r="R858" s="451"/>
      <c r="S858" s="451"/>
    </row>
    <row r="859">
      <c r="A859" s="444"/>
      <c r="B859" s="444"/>
      <c r="C859" s="445"/>
      <c r="D859" s="446"/>
      <c r="E859" s="447"/>
      <c r="F859" s="448"/>
      <c r="G859" s="449"/>
      <c r="H859" s="448"/>
      <c r="I859" s="448"/>
      <c r="J859" s="450"/>
      <c r="K859" s="451"/>
      <c r="L859" s="451"/>
      <c r="M859" s="451"/>
      <c r="N859" s="451"/>
      <c r="O859" s="451"/>
      <c r="P859" s="451"/>
      <c r="Q859" s="451"/>
      <c r="R859" s="451"/>
      <c r="S859" s="451"/>
    </row>
    <row r="860">
      <c r="A860" s="444"/>
      <c r="B860" s="444"/>
      <c r="C860" s="445"/>
      <c r="D860" s="446"/>
      <c r="E860" s="447"/>
      <c r="F860" s="448"/>
      <c r="G860" s="449"/>
      <c r="H860" s="448"/>
      <c r="I860" s="448"/>
      <c r="J860" s="450"/>
      <c r="K860" s="451"/>
      <c r="L860" s="451"/>
      <c r="M860" s="451"/>
      <c r="N860" s="451"/>
      <c r="O860" s="451"/>
      <c r="P860" s="451"/>
      <c r="Q860" s="451"/>
      <c r="R860" s="451"/>
      <c r="S860" s="451"/>
    </row>
    <row r="861">
      <c r="A861" s="444"/>
      <c r="B861" s="444"/>
      <c r="C861" s="445"/>
      <c r="D861" s="446"/>
      <c r="E861" s="447"/>
      <c r="F861" s="448"/>
      <c r="G861" s="449"/>
      <c r="H861" s="448"/>
      <c r="I861" s="448"/>
      <c r="J861" s="450"/>
      <c r="K861" s="451"/>
      <c r="L861" s="451"/>
      <c r="M861" s="451"/>
      <c r="N861" s="451"/>
      <c r="O861" s="451"/>
      <c r="P861" s="451"/>
      <c r="Q861" s="451"/>
      <c r="R861" s="451"/>
      <c r="S861" s="451"/>
    </row>
    <row r="862">
      <c r="A862" s="444"/>
      <c r="B862" s="444"/>
      <c r="C862" s="445"/>
      <c r="D862" s="446"/>
      <c r="E862" s="447"/>
      <c r="F862" s="448"/>
      <c r="G862" s="449"/>
      <c r="H862" s="448"/>
      <c r="I862" s="448"/>
      <c r="J862" s="450"/>
      <c r="K862" s="451"/>
      <c r="L862" s="451"/>
      <c r="M862" s="451"/>
      <c r="N862" s="451"/>
      <c r="O862" s="451"/>
      <c r="P862" s="451"/>
      <c r="Q862" s="451"/>
      <c r="R862" s="451"/>
      <c r="S862" s="451"/>
    </row>
    <row r="863">
      <c r="A863" s="444"/>
      <c r="B863" s="444"/>
      <c r="C863" s="445"/>
      <c r="D863" s="446"/>
      <c r="E863" s="447"/>
      <c r="F863" s="448"/>
      <c r="G863" s="449"/>
      <c r="H863" s="448"/>
      <c r="I863" s="448"/>
      <c r="J863" s="450"/>
      <c r="K863" s="451"/>
      <c r="L863" s="451"/>
      <c r="M863" s="451"/>
      <c r="N863" s="451"/>
      <c r="O863" s="451"/>
      <c r="P863" s="451"/>
      <c r="Q863" s="451"/>
      <c r="R863" s="451"/>
      <c r="S863" s="451"/>
    </row>
    <row r="864">
      <c r="A864" s="444"/>
      <c r="B864" s="444"/>
      <c r="C864" s="445"/>
      <c r="D864" s="446"/>
      <c r="E864" s="447"/>
      <c r="F864" s="448"/>
      <c r="G864" s="449"/>
      <c r="H864" s="448"/>
      <c r="I864" s="448"/>
      <c r="J864" s="450"/>
      <c r="K864" s="451"/>
      <c r="L864" s="451"/>
      <c r="M864" s="451"/>
      <c r="N864" s="451"/>
      <c r="O864" s="451"/>
      <c r="P864" s="451"/>
      <c r="Q864" s="451"/>
      <c r="R864" s="451"/>
      <c r="S864" s="451"/>
    </row>
    <row r="865">
      <c r="A865" s="444"/>
      <c r="B865" s="444"/>
      <c r="C865" s="445"/>
      <c r="D865" s="446"/>
      <c r="E865" s="447"/>
      <c r="F865" s="448"/>
      <c r="G865" s="449"/>
      <c r="H865" s="448"/>
      <c r="I865" s="448"/>
      <c r="J865" s="450"/>
      <c r="K865" s="451"/>
      <c r="L865" s="451"/>
      <c r="M865" s="451"/>
      <c r="N865" s="451"/>
      <c r="O865" s="451"/>
      <c r="P865" s="451"/>
      <c r="Q865" s="451"/>
      <c r="R865" s="451"/>
      <c r="S865" s="451"/>
    </row>
    <row r="866">
      <c r="A866" s="444"/>
      <c r="B866" s="444"/>
      <c r="C866" s="445"/>
      <c r="D866" s="446"/>
      <c r="E866" s="447"/>
      <c r="F866" s="448"/>
      <c r="G866" s="449"/>
      <c r="H866" s="448"/>
      <c r="I866" s="448"/>
      <c r="J866" s="450"/>
      <c r="K866" s="451"/>
      <c r="L866" s="451"/>
      <c r="M866" s="451"/>
      <c r="N866" s="451"/>
      <c r="O866" s="451"/>
      <c r="P866" s="451"/>
      <c r="Q866" s="451"/>
      <c r="R866" s="451"/>
      <c r="S866" s="451"/>
    </row>
    <row r="867">
      <c r="A867" s="444"/>
      <c r="B867" s="444"/>
      <c r="C867" s="445"/>
      <c r="D867" s="446"/>
      <c r="E867" s="447"/>
      <c r="F867" s="448"/>
      <c r="G867" s="449"/>
      <c r="H867" s="448"/>
      <c r="I867" s="448"/>
      <c r="J867" s="450"/>
      <c r="K867" s="451"/>
      <c r="L867" s="451"/>
      <c r="M867" s="451"/>
      <c r="N867" s="451"/>
      <c r="O867" s="451"/>
      <c r="P867" s="451"/>
      <c r="Q867" s="451"/>
      <c r="R867" s="451"/>
      <c r="S867" s="451"/>
    </row>
    <row r="868">
      <c r="A868" s="444"/>
      <c r="B868" s="444"/>
      <c r="C868" s="445"/>
      <c r="D868" s="446"/>
      <c r="E868" s="447"/>
      <c r="F868" s="448"/>
      <c r="G868" s="449"/>
      <c r="H868" s="448"/>
      <c r="I868" s="448"/>
      <c r="J868" s="450"/>
      <c r="K868" s="451"/>
      <c r="L868" s="451"/>
      <c r="M868" s="451"/>
      <c r="N868" s="451"/>
      <c r="O868" s="451"/>
      <c r="P868" s="451"/>
      <c r="Q868" s="451"/>
      <c r="R868" s="451"/>
      <c r="S868" s="451"/>
    </row>
    <row r="869">
      <c r="A869" s="444"/>
      <c r="B869" s="444"/>
      <c r="C869" s="445"/>
      <c r="D869" s="446"/>
      <c r="E869" s="447"/>
      <c r="F869" s="448"/>
      <c r="G869" s="449"/>
      <c r="H869" s="448"/>
      <c r="I869" s="448"/>
      <c r="J869" s="450"/>
      <c r="K869" s="451"/>
      <c r="L869" s="451"/>
      <c r="M869" s="451"/>
      <c r="N869" s="451"/>
      <c r="O869" s="451"/>
      <c r="P869" s="451"/>
      <c r="Q869" s="451"/>
      <c r="R869" s="451"/>
      <c r="S869" s="451"/>
    </row>
    <row r="870">
      <c r="A870" s="444"/>
      <c r="B870" s="444"/>
      <c r="C870" s="445"/>
      <c r="D870" s="446"/>
      <c r="E870" s="447"/>
      <c r="F870" s="448"/>
      <c r="G870" s="449"/>
      <c r="H870" s="448"/>
      <c r="I870" s="448"/>
      <c r="J870" s="450"/>
      <c r="K870" s="451"/>
      <c r="L870" s="451"/>
      <c r="M870" s="451"/>
      <c r="N870" s="451"/>
      <c r="O870" s="451"/>
      <c r="P870" s="451"/>
      <c r="Q870" s="451"/>
      <c r="R870" s="451"/>
      <c r="S870" s="451"/>
    </row>
    <row r="871">
      <c r="A871" s="444"/>
      <c r="B871" s="444"/>
      <c r="C871" s="445"/>
      <c r="D871" s="446"/>
      <c r="E871" s="447"/>
      <c r="F871" s="448"/>
      <c r="G871" s="449"/>
      <c r="H871" s="448"/>
      <c r="I871" s="448"/>
      <c r="J871" s="450"/>
      <c r="K871" s="451"/>
      <c r="L871" s="451"/>
      <c r="M871" s="451"/>
      <c r="N871" s="451"/>
      <c r="O871" s="451"/>
      <c r="P871" s="451"/>
      <c r="Q871" s="451"/>
      <c r="R871" s="451"/>
      <c r="S871" s="451"/>
    </row>
    <row r="872">
      <c r="A872" s="444"/>
      <c r="B872" s="444"/>
      <c r="C872" s="445"/>
      <c r="D872" s="446"/>
      <c r="E872" s="447"/>
      <c r="F872" s="448"/>
      <c r="G872" s="449"/>
      <c r="H872" s="448"/>
      <c r="I872" s="448"/>
      <c r="J872" s="450"/>
      <c r="K872" s="451"/>
      <c r="L872" s="451"/>
      <c r="M872" s="451"/>
      <c r="N872" s="451"/>
      <c r="O872" s="451"/>
      <c r="P872" s="451"/>
      <c r="Q872" s="451"/>
      <c r="R872" s="451"/>
      <c r="S872" s="451"/>
    </row>
    <row r="873">
      <c r="A873" s="444"/>
      <c r="B873" s="444"/>
      <c r="C873" s="445"/>
      <c r="D873" s="446"/>
      <c r="E873" s="447"/>
      <c r="F873" s="448"/>
      <c r="G873" s="449"/>
      <c r="H873" s="448"/>
      <c r="I873" s="448"/>
      <c r="J873" s="450"/>
      <c r="K873" s="451"/>
      <c r="L873" s="451"/>
      <c r="M873" s="451"/>
      <c r="N873" s="451"/>
      <c r="O873" s="451"/>
      <c r="P873" s="451"/>
      <c r="Q873" s="451"/>
      <c r="R873" s="451"/>
      <c r="S873" s="451"/>
    </row>
    <row r="874">
      <c r="A874" s="444"/>
      <c r="B874" s="444"/>
      <c r="C874" s="445"/>
      <c r="D874" s="446"/>
      <c r="E874" s="447"/>
      <c r="F874" s="448"/>
      <c r="G874" s="449"/>
      <c r="H874" s="448"/>
      <c r="I874" s="448"/>
      <c r="J874" s="450"/>
      <c r="K874" s="451"/>
      <c r="L874" s="451"/>
      <c r="M874" s="451"/>
      <c r="N874" s="451"/>
      <c r="O874" s="451"/>
      <c r="P874" s="451"/>
      <c r="Q874" s="451"/>
      <c r="R874" s="451"/>
      <c r="S874" s="451"/>
    </row>
    <row r="875">
      <c r="A875" s="444"/>
      <c r="B875" s="444"/>
      <c r="C875" s="445"/>
      <c r="D875" s="446"/>
      <c r="E875" s="447"/>
      <c r="F875" s="448"/>
      <c r="G875" s="449"/>
      <c r="H875" s="448"/>
      <c r="I875" s="448"/>
      <c r="J875" s="450"/>
      <c r="K875" s="451"/>
      <c r="L875" s="451"/>
      <c r="M875" s="451"/>
      <c r="N875" s="451"/>
      <c r="O875" s="451"/>
      <c r="P875" s="451"/>
      <c r="Q875" s="451"/>
      <c r="R875" s="451"/>
      <c r="S875" s="451"/>
    </row>
    <row r="876">
      <c r="A876" s="444"/>
      <c r="B876" s="444"/>
      <c r="C876" s="445"/>
      <c r="D876" s="446"/>
      <c r="E876" s="447"/>
      <c r="F876" s="448"/>
      <c r="G876" s="449"/>
      <c r="H876" s="448"/>
      <c r="I876" s="448"/>
      <c r="J876" s="450"/>
      <c r="K876" s="451"/>
      <c r="L876" s="451"/>
      <c r="M876" s="451"/>
      <c r="N876" s="451"/>
      <c r="O876" s="451"/>
      <c r="P876" s="451"/>
      <c r="Q876" s="451"/>
      <c r="R876" s="451"/>
      <c r="S876" s="451"/>
    </row>
    <row r="877">
      <c r="A877" s="444"/>
      <c r="B877" s="444"/>
      <c r="C877" s="445"/>
      <c r="D877" s="446"/>
      <c r="E877" s="447"/>
      <c r="F877" s="448"/>
      <c r="G877" s="449"/>
      <c r="H877" s="448"/>
      <c r="I877" s="448"/>
      <c r="J877" s="450"/>
      <c r="K877" s="451"/>
      <c r="L877" s="451"/>
      <c r="M877" s="451"/>
      <c r="N877" s="451"/>
      <c r="O877" s="451"/>
      <c r="P877" s="451"/>
      <c r="Q877" s="451"/>
      <c r="R877" s="451"/>
      <c r="S877" s="451"/>
    </row>
    <row r="878">
      <c r="A878" s="444"/>
      <c r="B878" s="444"/>
      <c r="C878" s="445"/>
      <c r="D878" s="446"/>
      <c r="E878" s="447"/>
      <c r="F878" s="448"/>
      <c r="G878" s="449"/>
      <c r="H878" s="448"/>
      <c r="I878" s="448"/>
      <c r="J878" s="450"/>
      <c r="K878" s="451"/>
      <c r="L878" s="451"/>
      <c r="M878" s="451"/>
      <c r="N878" s="451"/>
      <c r="O878" s="451"/>
      <c r="P878" s="451"/>
      <c r="Q878" s="451"/>
      <c r="R878" s="451"/>
      <c r="S878" s="451"/>
    </row>
    <row r="879">
      <c r="A879" s="444"/>
      <c r="B879" s="444"/>
      <c r="C879" s="445"/>
      <c r="D879" s="446"/>
      <c r="E879" s="447"/>
      <c r="F879" s="448"/>
      <c r="G879" s="449"/>
      <c r="H879" s="448"/>
      <c r="I879" s="448"/>
      <c r="J879" s="450"/>
      <c r="K879" s="451"/>
      <c r="L879" s="451"/>
      <c r="M879" s="451"/>
      <c r="N879" s="451"/>
      <c r="O879" s="451"/>
      <c r="P879" s="451"/>
      <c r="Q879" s="451"/>
      <c r="R879" s="451"/>
      <c r="S879" s="451"/>
    </row>
    <row r="880">
      <c r="A880" s="444"/>
      <c r="B880" s="444"/>
      <c r="C880" s="445"/>
      <c r="D880" s="446"/>
      <c r="E880" s="447"/>
      <c r="F880" s="448"/>
      <c r="G880" s="449"/>
      <c r="H880" s="448"/>
      <c r="I880" s="448"/>
      <c r="J880" s="450"/>
      <c r="K880" s="451"/>
      <c r="L880" s="451"/>
      <c r="M880" s="451"/>
      <c r="N880" s="451"/>
      <c r="O880" s="451"/>
      <c r="P880" s="451"/>
      <c r="Q880" s="451"/>
      <c r="R880" s="451"/>
      <c r="S880" s="451"/>
    </row>
    <row r="881">
      <c r="A881" s="444"/>
      <c r="B881" s="444"/>
      <c r="C881" s="445"/>
      <c r="D881" s="446"/>
      <c r="E881" s="447"/>
      <c r="F881" s="448"/>
      <c r="G881" s="449"/>
      <c r="H881" s="448"/>
      <c r="I881" s="448"/>
      <c r="J881" s="450"/>
      <c r="K881" s="451"/>
      <c r="L881" s="451"/>
      <c r="M881" s="451"/>
      <c r="N881" s="451"/>
      <c r="O881" s="451"/>
      <c r="P881" s="451"/>
      <c r="Q881" s="451"/>
      <c r="R881" s="451"/>
      <c r="S881" s="451"/>
    </row>
    <row r="882">
      <c r="A882" s="444"/>
      <c r="B882" s="444"/>
      <c r="C882" s="445"/>
      <c r="D882" s="446"/>
      <c r="E882" s="447"/>
      <c r="F882" s="448"/>
      <c r="G882" s="449"/>
      <c r="H882" s="448"/>
      <c r="I882" s="448"/>
      <c r="J882" s="450"/>
      <c r="K882" s="451"/>
      <c r="L882" s="451"/>
      <c r="M882" s="451"/>
      <c r="N882" s="451"/>
      <c r="O882" s="451"/>
      <c r="P882" s="451"/>
      <c r="Q882" s="451"/>
      <c r="R882" s="451"/>
      <c r="S882" s="451"/>
    </row>
    <row r="883">
      <c r="A883" s="444"/>
      <c r="B883" s="444"/>
      <c r="C883" s="445"/>
      <c r="D883" s="446"/>
      <c r="E883" s="447"/>
      <c r="F883" s="448"/>
      <c r="G883" s="449"/>
      <c r="H883" s="448"/>
      <c r="I883" s="448"/>
      <c r="J883" s="450"/>
      <c r="K883" s="451"/>
      <c r="L883" s="451"/>
      <c r="M883" s="451"/>
      <c r="N883" s="451"/>
      <c r="O883" s="451"/>
      <c r="P883" s="451"/>
      <c r="Q883" s="451"/>
      <c r="R883" s="451"/>
      <c r="S883" s="451"/>
    </row>
    <row r="884">
      <c r="A884" s="444"/>
      <c r="B884" s="444"/>
      <c r="C884" s="445"/>
      <c r="D884" s="446"/>
      <c r="E884" s="447"/>
      <c r="F884" s="448"/>
      <c r="G884" s="449"/>
      <c r="H884" s="448"/>
      <c r="I884" s="448"/>
      <c r="J884" s="450"/>
      <c r="K884" s="451"/>
      <c r="L884" s="451"/>
      <c r="M884" s="451"/>
      <c r="N884" s="451"/>
      <c r="O884" s="451"/>
      <c r="P884" s="451"/>
      <c r="Q884" s="451"/>
      <c r="R884" s="451"/>
      <c r="S884" s="451"/>
    </row>
    <row r="885">
      <c r="A885" s="444"/>
      <c r="B885" s="444"/>
      <c r="C885" s="445"/>
      <c r="D885" s="446"/>
      <c r="E885" s="447"/>
      <c r="F885" s="448"/>
      <c r="G885" s="449"/>
      <c r="H885" s="448"/>
      <c r="I885" s="448"/>
      <c r="J885" s="450"/>
      <c r="K885" s="451"/>
      <c r="L885" s="451"/>
      <c r="M885" s="451"/>
      <c r="N885" s="451"/>
      <c r="O885" s="451"/>
      <c r="P885" s="451"/>
      <c r="Q885" s="451"/>
      <c r="R885" s="451"/>
      <c r="S885" s="451"/>
    </row>
    <row r="886">
      <c r="A886" s="444"/>
      <c r="B886" s="444"/>
      <c r="C886" s="445"/>
      <c r="D886" s="446"/>
      <c r="E886" s="447"/>
      <c r="F886" s="448"/>
      <c r="G886" s="449"/>
      <c r="H886" s="448"/>
      <c r="I886" s="448"/>
      <c r="J886" s="450"/>
      <c r="K886" s="451"/>
      <c r="L886" s="451"/>
      <c r="M886" s="451"/>
      <c r="N886" s="451"/>
      <c r="O886" s="451"/>
      <c r="P886" s="451"/>
      <c r="Q886" s="451"/>
      <c r="R886" s="451"/>
      <c r="S886" s="451"/>
    </row>
    <row r="887">
      <c r="A887" s="444"/>
      <c r="B887" s="444"/>
      <c r="C887" s="445"/>
      <c r="D887" s="446"/>
      <c r="E887" s="447"/>
      <c r="F887" s="448"/>
      <c r="G887" s="449"/>
      <c r="H887" s="448"/>
      <c r="I887" s="448"/>
      <c r="J887" s="450"/>
      <c r="K887" s="451"/>
      <c r="L887" s="451"/>
      <c r="M887" s="451"/>
      <c r="N887" s="451"/>
      <c r="O887" s="451"/>
      <c r="P887" s="451"/>
      <c r="Q887" s="451"/>
      <c r="R887" s="451"/>
      <c r="S887" s="451"/>
    </row>
    <row r="888">
      <c r="A888" s="444"/>
      <c r="B888" s="444"/>
      <c r="C888" s="445"/>
      <c r="D888" s="446"/>
      <c r="E888" s="447"/>
      <c r="F888" s="448"/>
      <c r="G888" s="449"/>
      <c r="H888" s="448"/>
      <c r="I888" s="448"/>
      <c r="J888" s="450"/>
      <c r="K888" s="451"/>
      <c r="L888" s="451"/>
      <c r="M888" s="451"/>
      <c r="N888" s="451"/>
      <c r="O888" s="451"/>
      <c r="P888" s="451"/>
      <c r="Q888" s="451"/>
      <c r="R888" s="451"/>
      <c r="S888" s="451"/>
    </row>
    <row r="889">
      <c r="A889" s="444"/>
      <c r="B889" s="444"/>
      <c r="C889" s="445"/>
      <c r="D889" s="446"/>
      <c r="E889" s="447"/>
      <c r="F889" s="448"/>
      <c r="G889" s="449"/>
      <c r="H889" s="448"/>
      <c r="I889" s="448"/>
      <c r="J889" s="450"/>
      <c r="K889" s="451"/>
      <c r="L889" s="451"/>
      <c r="M889" s="451"/>
      <c r="N889" s="451"/>
      <c r="O889" s="451"/>
      <c r="P889" s="451"/>
      <c r="Q889" s="451"/>
      <c r="R889" s="451"/>
      <c r="S889" s="451"/>
    </row>
    <row r="890">
      <c r="A890" s="444"/>
      <c r="B890" s="444"/>
      <c r="C890" s="445"/>
      <c r="D890" s="446"/>
      <c r="E890" s="447"/>
      <c r="F890" s="448"/>
      <c r="G890" s="449"/>
      <c r="H890" s="448"/>
      <c r="I890" s="448"/>
      <c r="J890" s="450"/>
      <c r="K890" s="451"/>
      <c r="L890" s="451"/>
      <c r="M890" s="451"/>
      <c r="N890" s="451"/>
      <c r="O890" s="451"/>
      <c r="P890" s="451"/>
      <c r="Q890" s="451"/>
      <c r="R890" s="451"/>
      <c r="S890" s="451"/>
    </row>
    <row r="891">
      <c r="A891" s="444"/>
      <c r="B891" s="444"/>
      <c r="C891" s="445"/>
      <c r="D891" s="446"/>
      <c r="E891" s="447"/>
      <c r="F891" s="448"/>
      <c r="G891" s="449"/>
      <c r="H891" s="448"/>
      <c r="I891" s="448"/>
      <c r="J891" s="450"/>
      <c r="K891" s="451"/>
      <c r="L891" s="451"/>
      <c r="M891" s="451"/>
      <c r="N891" s="451"/>
      <c r="O891" s="451"/>
      <c r="P891" s="451"/>
      <c r="Q891" s="451"/>
      <c r="R891" s="451"/>
      <c r="S891" s="451"/>
    </row>
    <row r="892">
      <c r="A892" s="444"/>
      <c r="B892" s="444"/>
      <c r="C892" s="445"/>
      <c r="D892" s="446"/>
      <c r="E892" s="447"/>
      <c r="F892" s="448"/>
      <c r="G892" s="449"/>
      <c r="H892" s="448"/>
      <c r="I892" s="448"/>
      <c r="J892" s="450"/>
      <c r="K892" s="451"/>
      <c r="L892" s="451"/>
      <c r="M892" s="451"/>
      <c r="N892" s="451"/>
      <c r="O892" s="451"/>
      <c r="P892" s="451"/>
      <c r="Q892" s="451"/>
      <c r="R892" s="451"/>
      <c r="S892" s="451"/>
    </row>
    <row r="893">
      <c r="A893" s="444"/>
      <c r="B893" s="444"/>
      <c r="C893" s="445"/>
      <c r="D893" s="446"/>
      <c r="E893" s="447"/>
      <c r="F893" s="448"/>
      <c r="G893" s="449"/>
      <c r="H893" s="448"/>
      <c r="I893" s="448"/>
      <c r="J893" s="450"/>
      <c r="K893" s="451"/>
      <c r="L893" s="451"/>
      <c r="M893" s="451"/>
      <c r="N893" s="451"/>
      <c r="O893" s="451"/>
      <c r="P893" s="451"/>
      <c r="Q893" s="451"/>
      <c r="R893" s="451"/>
      <c r="S893" s="451"/>
    </row>
    <row r="894">
      <c r="A894" s="444"/>
      <c r="B894" s="444"/>
      <c r="C894" s="445"/>
      <c r="D894" s="446"/>
      <c r="E894" s="447"/>
      <c r="F894" s="448"/>
      <c r="G894" s="449"/>
      <c r="H894" s="448"/>
      <c r="I894" s="448"/>
      <c r="J894" s="450"/>
      <c r="K894" s="451"/>
      <c r="L894" s="451"/>
      <c r="M894" s="451"/>
      <c r="N894" s="451"/>
      <c r="O894" s="451"/>
      <c r="P894" s="451"/>
      <c r="Q894" s="451"/>
      <c r="R894" s="451"/>
      <c r="S894" s="451"/>
    </row>
    <row r="895">
      <c r="A895" s="444"/>
      <c r="B895" s="444"/>
      <c r="C895" s="445"/>
      <c r="D895" s="446"/>
      <c r="E895" s="447"/>
      <c r="F895" s="448"/>
      <c r="G895" s="449"/>
      <c r="H895" s="448"/>
      <c r="I895" s="448"/>
      <c r="J895" s="450"/>
      <c r="K895" s="451"/>
      <c r="L895" s="451"/>
      <c r="M895" s="451"/>
      <c r="N895" s="451"/>
      <c r="O895" s="451"/>
      <c r="P895" s="451"/>
      <c r="Q895" s="451"/>
      <c r="R895" s="451"/>
      <c r="S895" s="451"/>
    </row>
    <row r="896">
      <c r="A896" s="444"/>
      <c r="B896" s="444"/>
      <c r="C896" s="445"/>
      <c r="D896" s="446"/>
      <c r="E896" s="447"/>
      <c r="F896" s="448"/>
      <c r="G896" s="449"/>
      <c r="H896" s="448"/>
      <c r="I896" s="448"/>
      <c r="J896" s="450"/>
      <c r="K896" s="451"/>
      <c r="L896" s="451"/>
      <c r="M896" s="451"/>
      <c r="N896" s="451"/>
      <c r="O896" s="451"/>
      <c r="P896" s="451"/>
      <c r="Q896" s="451"/>
      <c r="R896" s="451"/>
      <c r="S896" s="451"/>
    </row>
    <row r="897">
      <c r="A897" s="444"/>
      <c r="B897" s="444"/>
      <c r="C897" s="445"/>
      <c r="D897" s="446"/>
      <c r="E897" s="447"/>
      <c r="F897" s="448"/>
      <c r="G897" s="449"/>
      <c r="H897" s="448"/>
      <c r="I897" s="448"/>
      <c r="J897" s="450"/>
      <c r="K897" s="451"/>
      <c r="L897" s="451"/>
      <c r="M897" s="451"/>
      <c r="N897" s="451"/>
      <c r="O897" s="451"/>
      <c r="P897" s="451"/>
      <c r="Q897" s="451"/>
      <c r="R897" s="451"/>
      <c r="S897" s="451"/>
    </row>
    <row r="898">
      <c r="A898" s="444"/>
      <c r="B898" s="444"/>
      <c r="C898" s="445"/>
      <c r="D898" s="446"/>
      <c r="E898" s="447"/>
      <c r="F898" s="448"/>
      <c r="G898" s="449"/>
      <c r="H898" s="448"/>
      <c r="I898" s="448"/>
      <c r="J898" s="450"/>
      <c r="K898" s="451"/>
      <c r="L898" s="451"/>
      <c r="M898" s="451"/>
      <c r="N898" s="451"/>
      <c r="O898" s="451"/>
      <c r="P898" s="451"/>
      <c r="Q898" s="451"/>
      <c r="R898" s="451"/>
      <c r="S898" s="451"/>
    </row>
    <row r="899">
      <c r="A899" s="444"/>
      <c r="B899" s="444"/>
      <c r="C899" s="445"/>
      <c r="D899" s="446"/>
      <c r="E899" s="447"/>
      <c r="F899" s="448"/>
      <c r="G899" s="449"/>
      <c r="H899" s="448"/>
      <c r="I899" s="448"/>
      <c r="J899" s="450"/>
      <c r="K899" s="451"/>
      <c r="L899" s="451"/>
      <c r="M899" s="451"/>
      <c r="N899" s="451"/>
      <c r="O899" s="451"/>
      <c r="P899" s="451"/>
      <c r="Q899" s="451"/>
      <c r="R899" s="451"/>
      <c r="S899" s="451"/>
    </row>
    <row r="900">
      <c r="A900" s="444"/>
      <c r="B900" s="444"/>
      <c r="C900" s="445"/>
      <c r="D900" s="446"/>
      <c r="E900" s="447"/>
      <c r="F900" s="448"/>
      <c r="G900" s="449"/>
      <c r="H900" s="448"/>
      <c r="I900" s="448"/>
      <c r="J900" s="450"/>
      <c r="K900" s="451"/>
      <c r="L900" s="451"/>
      <c r="M900" s="451"/>
      <c r="N900" s="451"/>
      <c r="O900" s="451"/>
      <c r="P900" s="451"/>
      <c r="Q900" s="451"/>
      <c r="R900" s="451"/>
      <c r="S900" s="451"/>
    </row>
    <row r="901">
      <c r="A901" s="444"/>
      <c r="B901" s="444"/>
      <c r="C901" s="445"/>
      <c r="D901" s="446"/>
      <c r="E901" s="447"/>
      <c r="F901" s="448"/>
      <c r="G901" s="449"/>
      <c r="H901" s="448"/>
      <c r="I901" s="448"/>
      <c r="J901" s="450"/>
      <c r="K901" s="451"/>
      <c r="L901" s="451"/>
      <c r="M901" s="451"/>
      <c r="N901" s="451"/>
      <c r="O901" s="451"/>
      <c r="P901" s="451"/>
      <c r="Q901" s="451"/>
      <c r="R901" s="451"/>
      <c r="S901" s="451"/>
    </row>
    <row r="902">
      <c r="A902" s="444"/>
      <c r="B902" s="444"/>
      <c r="C902" s="445"/>
      <c r="D902" s="446"/>
      <c r="E902" s="447"/>
      <c r="F902" s="448"/>
      <c r="G902" s="449"/>
      <c r="H902" s="448"/>
      <c r="I902" s="448"/>
      <c r="J902" s="450"/>
      <c r="K902" s="451"/>
      <c r="L902" s="451"/>
      <c r="M902" s="451"/>
      <c r="N902" s="451"/>
      <c r="O902" s="451"/>
      <c r="P902" s="451"/>
      <c r="Q902" s="451"/>
      <c r="R902" s="451"/>
      <c r="S902" s="451"/>
    </row>
    <row r="903">
      <c r="A903" s="444"/>
      <c r="B903" s="444"/>
      <c r="C903" s="445"/>
      <c r="D903" s="446"/>
      <c r="E903" s="447"/>
      <c r="F903" s="448"/>
      <c r="G903" s="449"/>
      <c r="H903" s="448"/>
      <c r="I903" s="448"/>
      <c r="J903" s="450"/>
      <c r="K903" s="451"/>
      <c r="L903" s="451"/>
      <c r="M903" s="451"/>
      <c r="N903" s="451"/>
      <c r="O903" s="451"/>
      <c r="P903" s="451"/>
      <c r="Q903" s="451"/>
      <c r="R903" s="451"/>
      <c r="S903" s="451"/>
    </row>
    <row r="904">
      <c r="A904" s="444"/>
      <c r="B904" s="444"/>
      <c r="C904" s="445"/>
      <c r="D904" s="446"/>
      <c r="E904" s="447"/>
      <c r="F904" s="448"/>
      <c r="G904" s="449"/>
      <c r="H904" s="448"/>
      <c r="I904" s="448"/>
      <c r="J904" s="450"/>
      <c r="K904" s="451"/>
      <c r="L904" s="451"/>
      <c r="M904" s="451"/>
      <c r="N904" s="451"/>
      <c r="O904" s="451"/>
      <c r="P904" s="451"/>
      <c r="Q904" s="451"/>
      <c r="R904" s="451"/>
      <c r="S904" s="451"/>
    </row>
    <row r="905">
      <c r="A905" s="444"/>
      <c r="B905" s="444"/>
      <c r="C905" s="445"/>
      <c r="D905" s="446"/>
      <c r="E905" s="447"/>
      <c r="F905" s="448"/>
      <c r="G905" s="449"/>
      <c r="H905" s="448"/>
      <c r="I905" s="448"/>
      <c r="J905" s="450"/>
      <c r="K905" s="451"/>
      <c r="L905" s="451"/>
      <c r="M905" s="451"/>
      <c r="N905" s="451"/>
      <c r="O905" s="451"/>
      <c r="P905" s="451"/>
      <c r="Q905" s="451"/>
      <c r="R905" s="451"/>
      <c r="S905" s="451"/>
    </row>
    <row r="906">
      <c r="A906" s="444"/>
      <c r="B906" s="444"/>
      <c r="C906" s="445"/>
      <c r="D906" s="446"/>
      <c r="E906" s="447"/>
      <c r="F906" s="448"/>
      <c r="G906" s="449"/>
      <c r="H906" s="448"/>
      <c r="I906" s="448"/>
      <c r="J906" s="450"/>
      <c r="K906" s="451"/>
      <c r="L906" s="451"/>
      <c r="M906" s="451"/>
      <c r="N906" s="451"/>
      <c r="O906" s="451"/>
      <c r="P906" s="451"/>
      <c r="Q906" s="451"/>
      <c r="R906" s="451"/>
      <c r="S906" s="451"/>
    </row>
    <row r="907">
      <c r="A907" s="444"/>
      <c r="B907" s="444"/>
      <c r="C907" s="445"/>
      <c r="D907" s="446"/>
      <c r="E907" s="447"/>
      <c r="F907" s="448"/>
      <c r="G907" s="449"/>
      <c r="H907" s="448"/>
      <c r="I907" s="448"/>
      <c r="J907" s="450"/>
      <c r="K907" s="451"/>
      <c r="L907" s="451"/>
      <c r="M907" s="451"/>
      <c r="N907" s="451"/>
      <c r="O907" s="451"/>
      <c r="P907" s="451"/>
      <c r="Q907" s="451"/>
      <c r="R907" s="451"/>
      <c r="S907" s="451"/>
    </row>
    <row r="908">
      <c r="A908" s="444"/>
      <c r="B908" s="444"/>
      <c r="C908" s="445"/>
      <c r="D908" s="446"/>
      <c r="E908" s="447"/>
      <c r="F908" s="448"/>
      <c r="G908" s="449"/>
      <c r="H908" s="448"/>
      <c r="I908" s="448"/>
      <c r="J908" s="450"/>
      <c r="K908" s="451"/>
      <c r="L908" s="451"/>
      <c r="M908" s="451"/>
      <c r="N908" s="451"/>
      <c r="O908" s="451"/>
      <c r="P908" s="451"/>
      <c r="Q908" s="451"/>
      <c r="R908" s="451"/>
      <c r="S908" s="451"/>
    </row>
    <row r="909">
      <c r="A909" s="444"/>
      <c r="B909" s="444"/>
      <c r="C909" s="445"/>
      <c r="D909" s="446"/>
      <c r="E909" s="447"/>
      <c r="F909" s="448"/>
      <c r="G909" s="449"/>
      <c r="H909" s="448"/>
      <c r="I909" s="448"/>
      <c r="J909" s="450"/>
      <c r="K909" s="451"/>
      <c r="L909" s="451"/>
      <c r="M909" s="451"/>
      <c r="N909" s="451"/>
      <c r="O909" s="451"/>
      <c r="P909" s="451"/>
      <c r="Q909" s="451"/>
      <c r="R909" s="451"/>
      <c r="S909" s="451"/>
    </row>
    <row r="910">
      <c r="A910" s="444"/>
      <c r="B910" s="444"/>
      <c r="C910" s="445"/>
      <c r="D910" s="446"/>
      <c r="E910" s="447"/>
      <c r="F910" s="448"/>
      <c r="G910" s="449"/>
      <c r="H910" s="448"/>
      <c r="I910" s="448"/>
      <c r="J910" s="450"/>
      <c r="K910" s="451"/>
      <c r="L910" s="451"/>
      <c r="M910" s="451"/>
      <c r="N910" s="451"/>
      <c r="O910" s="451"/>
      <c r="P910" s="451"/>
      <c r="Q910" s="451"/>
      <c r="R910" s="451"/>
      <c r="S910" s="451"/>
    </row>
    <row r="911">
      <c r="A911" s="444"/>
      <c r="B911" s="444"/>
      <c r="C911" s="445"/>
      <c r="D911" s="446"/>
      <c r="E911" s="447"/>
      <c r="F911" s="448"/>
      <c r="G911" s="449"/>
      <c r="H911" s="448"/>
      <c r="I911" s="448"/>
      <c r="J911" s="450"/>
      <c r="K911" s="451"/>
      <c r="L911" s="451"/>
      <c r="M911" s="451"/>
      <c r="N911" s="451"/>
      <c r="O911" s="451"/>
      <c r="P911" s="451"/>
      <c r="Q911" s="451"/>
      <c r="R911" s="451"/>
      <c r="S911" s="451"/>
    </row>
    <row r="912">
      <c r="A912" s="444"/>
      <c r="B912" s="444"/>
      <c r="C912" s="445"/>
      <c r="D912" s="446"/>
      <c r="E912" s="447"/>
      <c r="F912" s="448"/>
      <c r="G912" s="449"/>
      <c r="H912" s="448"/>
      <c r="I912" s="448"/>
      <c r="J912" s="450"/>
      <c r="K912" s="451"/>
      <c r="L912" s="451"/>
      <c r="M912" s="451"/>
      <c r="N912" s="451"/>
      <c r="O912" s="451"/>
      <c r="P912" s="451"/>
      <c r="Q912" s="451"/>
      <c r="R912" s="451"/>
      <c r="S912" s="451"/>
    </row>
    <row r="913">
      <c r="A913" s="444"/>
      <c r="B913" s="444"/>
      <c r="C913" s="445"/>
      <c r="D913" s="446"/>
      <c r="E913" s="447"/>
      <c r="F913" s="448"/>
      <c r="G913" s="449"/>
      <c r="H913" s="448"/>
      <c r="I913" s="448"/>
      <c r="J913" s="450"/>
      <c r="K913" s="451"/>
      <c r="L913" s="451"/>
      <c r="M913" s="451"/>
      <c r="N913" s="451"/>
      <c r="O913" s="451"/>
      <c r="P913" s="451"/>
      <c r="Q913" s="451"/>
      <c r="R913" s="451"/>
      <c r="S913" s="451"/>
    </row>
    <row r="914">
      <c r="A914" s="444"/>
      <c r="B914" s="444"/>
      <c r="C914" s="445"/>
      <c r="D914" s="446"/>
      <c r="E914" s="447"/>
      <c r="F914" s="448"/>
      <c r="G914" s="449"/>
      <c r="H914" s="448"/>
      <c r="I914" s="448"/>
      <c r="J914" s="450"/>
      <c r="K914" s="451"/>
      <c r="L914" s="451"/>
      <c r="M914" s="451"/>
      <c r="N914" s="451"/>
      <c r="O914" s="451"/>
      <c r="P914" s="451"/>
      <c r="Q914" s="451"/>
      <c r="R914" s="451"/>
      <c r="S914" s="451"/>
    </row>
    <row r="915">
      <c r="A915" s="444"/>
      <c r="B915" s="444"/>
      <c r="C915" s="445"/>
      <c r="D915" s="446"/>
      <c r="E915" s="447"/>
      <c r="F915" s="448"/>
      <c r="G915" s="449"/>
      <c r="H915" s="448"/>
      <c r="I915" s="448"/>
      <c r="J915" s="450"/>
      <c r="K915" s="451"/>
      <c r="L915" s="451"/>
      <c r="M915" s="451"/>
      <c r="N915" s="451"/>
      <c r="O915" s="451"/>
      <c r="P915" s="451"/>
      <c r="Q915" s="451"/>
      <c r="R915" s="451"/>
      <c r="S915" s="451"/>
    </row>
    <row r="916">
      <c r="A916" s="444"/>
      <c r="B916" s="444"/>
      <c r="C916" s="445"/>
      <c r="D916" s="446"/>
      <c r="E916" s="447"/>
      <c r="F916" s="448"/>
      <c r="G916" s="449"/>
      <c r="H916" s="448"/>
      <c r="I916" s="448"/>
      <c r="J916" s="450"/>
      <c r="K916" s="451"/>
      <c r="L916" s="451"/>
      <c r="M916" s="451"/>
      <c r="N916" s="451"/>
      <c r="O916" s="451"/>
      <c r="P916" s="451"/>
      <c r="Q916" s="451"/>
      <c r="R916" s="451"/>
      <c r="S916" s="451"/>
    </row>
    <row r="917">
      <c r="A917" s="444"/>
      <c r="B917" s="444"/>
      <c r="C917" s="445"/>
      <c r="D917" s="446"/>
      <c r="E917" s="447"/>
      <c r="F917" s="448"/>
      <c r="G917" s="449"/>
      <c r="H917" s="448"/>
      <c r="I917" s="448"/>
      <c r="J917" s="450"/>
      <c r="K917" s="451"/>
      <c r="L917" s="451"/>
      <c r="M917" s="451"/>
      <c r="N917" s="451"/>
      <c r="O917" s="451"/>
      <c r="P917" s="451"/>
      <c r="Q917" s="451"/>
      <c r="R917" s="451"/>
      <c r="S917" s="451"/>
    </row>
    <row r="918">
      <c r="A918" s="444"/>
      <c r="B918" s="444"/>
      <c r="C918" s="445"/>
      <c r="D918" s="446"/>
      <c r="E918" s="447"/>
      <c r="F918" s="448"/>
      <c r="G918" s="449"/>
      <c r="H918" s="448"/>
      <c r="I918" s="448"/>
      <c r="J918" s="450"/>
      <c r="K918" s="451"/>
      <c r="L918" s="451"/>
      <c r="M918" s="451"/>
      <c r="N918" s="451"/>
      <c r="O918" s="451"/>
      <c r="P918" s="451"/>
      <c r="Q918" s="451"/>
      <c r="R918" s="451"/>
      <c r="S918" s="451"/>
    </row>
    <row r="919">
      <c r="A919" s="444"/>
      <c r="B919" s="444"/>
      <c r="C919" s="445"/>
      <c r="D919" s="446"/>
      <c r="E919" s="447"/>
      <c r="F919" s="448"/>
      <c r="G919" s="449"/>
      <c r="H919" s="448"/>
      <c r="I919" s="448"/>
      <c r="J919" s="450"/>
      <c r="K919" s="451"/>
      <c r="L919" s="451"/>
      <c r="M919" s="451"/>
      <c r="N919" s="451"/>
      <c r="O919" s="451"/>
      <c r="P919" s="451"/>
      <c r="Q919" s="451"/>
      <c r="R919" s="451"/>
      <c r="S919" s="451"/>
    </row>
    <row r="920">
      <c r="A920" s="444"/>
      <c r="B920" s="444"/>
      <c r="C920" s="445"/>
      <c r="D920" s="446"/>
      <c r="E920" s="447"/>
      <c r="F920" s="448"/>
      <c r="G920" s="449"/>
      <c r="H920" s="448"/>
      <c r="I920" s="448"/>
      <c r="J920" s="450"/>
      <c r="K920" s="451"/>
      <c r="L920" s="451"/>
      <c r="M920" s="451"/>
      <c r="N920" s="451"/>
      <c r="O920" s="451"/>
      <c r="P920" s="451"/>
      <c r="Q920" s="451"/>
      <c r="R920" s="451"/>
      <c r="S920" s="451"/>
    </row>
    <row r="921">
      <c r="A921" s="444"/>
      <c r="B921" s="444"/>
      <c r="C921" s="445"/>
      <c r="D921" s="446"/>
      <c r="E921" s="447"/>
      <c r="F921" s="448"/>
      <c r="G921" s="449"/>
      <c r="H921" s="448"/>
      <c r="I921" s="448"/>
      <c r="J921" s="450"/>
      <c r="K921" s="451"/>
      <c r="L921" s="451"/>
      <c r="M921" s="451"/>
      <c r="N921" s="451"/>
      <c r="O921" s="451"/>
      <c r="P921" s="451"/>
      <c r="Q921" s="451"/>
      <c r="R921" s="451"/>
      <c r="S921" s="451"/>
    </row>
    <row r="922">
      <c r="A922" s="444"/>
      <c r="B922" s="444"/>
      <c r="C922" s="445"/>
      <c r="D922" s="446"/>
      <c r="E922" s="447"/>
      <c r="F922" s="448"/>
      <c r="G922" s="449"/>
      <c r="H922" s="448"/>
      <c r="I922" s="448"/>
      <c r="J922" s="450"/>
      <c r="K922" s="451"/>
      <c r="L922" s="451"/>
      <c r="M922" s="451"/>
      <c r="N922" s="451"/>
      <c r="O922" s="451"/>
      <c r="P922" s="451"/>
      <c r="Q922" s="451"/>
      <c r="R922" s="451"/>
      <c r="S922" s="451"/>
    </row>
    <row r="923">
      <c r="A923" s="444"/>
      <c r="B923" s="444"/>
      <c r="C923" s="445"/>
      <c r="D923" s="446"/>
      <c r="E923" s="447"/>
      <c r="F923" s="448"/>
      <c r="G923" s="449"/>
      <c r="H923" s="448"/>
      <c r="I923" s="448"/>
      <c r="J923" s="450"/>
      <c r="K923" s="451"/>
      <c r="L923" s="451"/>
      <c r="M923" s="451"/>
      <c r="N923" s="451"/>
      <c r="O923" s="451"/>
      <c r="P923" s="451"/>
      <c r="Q923" s="451"/>
      <c r="R923" s="451"/>
      <c r="S923" s="451"/>
    </row>
    <row r="924">
      <c r="A924" s="444"/>
      <c r="B924" s="444"/>
      <c r="C924" s="445"/>
      <c r="D924" s="446"/>
      <c r="E924" s="447"/>
      <c r="F924" s="448"/>
      <c r="G924" s="449"/>
      <c r="H924" s="448"/>
      <c r="I924" s="448"/>
      <c r="J924" s="450"/>
      <c r="K924" s="451"/>
      <c r="L924" s="451"/>
      <c r="M924" s="451"/>
      <c r="N924" s="451"/>
      <c r="O924" s="451"/>
      <c r="P924" s="451"/>
      <c r="Q924" s="451"/>
      <c r="R924" s="451"/>
      <c r="S924" s="451"/>
    </row>
    <row r="925">
      <c r="A925" s="444"/>
      <c r="B925" s="444"/>
      <c r="C925" s="445"/>
      <c r="D925" s="446"/>
      <c r="E925" s="447"/>
      <c r="F925" s="448"/>
      <c r="G925" s="449"/>
      <c r="H925" s="448"/>
      <c r="I925" s="448"/>
      <c r="J925" s="450"/>
      <c r="K925" s="451"/>
      <c r="L925" s="451"/>
      <c r="M925" s="451"/>
      <c r="N925" s="451"/>
      <c r="O925" s="451"/>
      <c r="P925" s="451"/>
      <c r="Q925" s="451"/>
      <c r="R925" s="451"/>
      <c r="S925" s="451"/>
    </row>
    <row r="926">
      <c r="A926" s="444"/>
      <c r="B926" s="444"/>
      <c r="C926" s="445"/>
      <c r="D926" s="446"/>
      <c r="E926" s="447"/>
      <c r="F926" s="448"/>
      <c r="G926" s="449"/>
      <c r="H926" s="448"/>
      <c r="I926" s="448"/>
      <c r="J926" s="450"/>
      <c r="K926" s="451"/>
      <c r="L926" s="451"/>
      <c r="M926" s="451"/>
      <c r="N926" s="451"/>
      <c r="O926" s="451"/>
      <c r="P926" s="451"/>
      <c r="Q926" s="451"/>
      <c r="R926" s="451"/>
      <c r="S926" s="451"/>
    </row>
    <row r="927">
      <c r="A927" s="444"/>
      <c r="B927" s="444"/>
      <c r="C927" s="445"/>
      <c r="D927" s="446"/>
      <c r="E927" s="447"/>
      <c r="F927" s="448"/>
      <c r="G927" s="449"/>
      <c r="H927" s="448"/>
      <c r="I927" s="448"/>
      <c r="J927" s="450"/>
      <c r="K927" s="451"/>
      <c r="L927" s="451"/>
      <c r="M927" s="451"/>
      <c r="N927" s="451"/>
      <c r="O927" s="451"/>
      <c r="P927" s="451"/>
      <c r="Q927" s="451"/>
      <c r="R927" s="451"/>
      <c r="S927" s="451"/>
    </row>
    <row r="928">
      <c r="A928" s="444"/>
      <c r="B928" s="444"/>
      <c r="C928" s="445"/>
      <c r="D928" s="446"/>
      <c r="E928" s="447"/>
      <c r="F928" s="448"/>
      <c r="G928" s="449"/>
      <c r="H928" s="448"/>
      <c r="I928" s="448"/>
      <c r="J928" s="450"/>
      <c r="K928" s="451"/>
      <c r="L928" s="451"/>
      <c r="M928" s="451"/>
      <c r="N928" s="451"/>
      <c r="O928" s="451"/>
      <c r="P928" s="451"/>
      <c r="Q928" s="451"/>
      <c r="R928" s="451"/>
      <c r="S928" s="451"/>
    </row>
    <row r="929">
      <c r="A929" s="444"/>
      <c r="B929" s="444"/>
      <c r="C929" s="445"/>
      <c r="D929" s="446"/>
      <c r="E929" s="447"/>
      <c r="F929" s="448"/>
      <c r="G929" s="449"/>
      <c r="H929" s="448"/>
      <c r="I929" s="448"/>
      <c r="J929" s="450"/>
      <c r="K929" s="451"/>
      <c r="L929" s="451"/>
      <c r="M929" s="451"/>
      <c r="N929" s="451"/>
      <c r="O929" s="451"/>
      <c r="P929" s="451"/>
      <c r="Q929" s="451"/>
      <c r="R929" s="451"/>
      <c r="S929" s="451"/>
    </row>
    <row r="930">
      <c r="A930" s="444"/>
      <c r="B930" s="444"/>
      <c r="C930" s="445"/>
      <c r="D930" s="446"/>
      <c r="E930" s="447"/>
      <c r="F930" s="448"/>
      <c r="G930" s="449"/>
      <c r="H930" s="448"/>
      <c r="I930" s="448"/>
      <c r="J930" s="450"/>
      <c r="K930" s="451"/>
      <c r="L930" s="451"/>
      <c r="M930" s="451"/>
      <c r="N930" s="451"/>
      <c r="O930" s="451"/>
      <c r="P930" s="451"/>
      <c r="Q930" s="451"/>
      <c r="R930" s="451"/>
      <c r="S930" s="451"/>
    </row>
    <row r="931">
      <c r="A931" s="444"/>
      <c r="B931" s="444"/>
      <c r="C931" s="445"/>
      <c r="D931" s="446"/>
      <c r="E931" s="447"/>
      <c r="F931" s="448"/>
      <c r="G931" s="449"/>
      <c r="H931" s="448"/>
      <c r="I931" s="448"/>
      <c r="J931" s="450"/>
      <c r="K931" s="451"/>
      <c r="L931" s="451"/>
      <c r="M931" s="451"/>
      <c r="N931" s="451"/>
      <c r="O931" s="451"/>
      <c r="P931" s="451"/>
      <c r="Q931" s="451"/>
      <c r="R931" s="451"/>
      <c r="S931" s="451"/>
    </row>
    <row r="932">
      <c r="A932" s="444"/>
      <c r="B932" s="444"/>
      <c r="C932" s="445"/>
      <c r="D932" s="446"/>
      <c r="E932" s="447"/>
      <c r="F932" s="448"/>
      <c r="G932" s="449"/>
      <c r="H932" s="448"/>
      <c r="I932" s="448"/>
      <c r="J932" s="450"/>
      <c r="K932" s="451"/>
      <c r="L932" s="451"/>
      <c r="M932" s="451"/>
      <c r="N932" s="451"/>
      <c r="O932" s="451"/>
      <c r="P932" s="451"/>
      <c r="Q932" s="451"/>
      <c r="R932" s="451"/>
      <c r="S932" s="451"/>
    </row>
    <row r="933">
      <c r="A933" s="444"/>
      <c r="B933" s="444"/>
      <c r="C933" s="445"/>
      <c r="D933" s="446"/>
      <c r="E933" s="447"/>
      <c r="F933" s="448"/>
      <c r="G933" s="449"/>
      <c r="H933" s="448"/>
      <c r="I933" s="448"/>
      <c r="J933" s="450"/>
      <c r="K933" s="451"/>
      <c r="L933" s="451"/>
      <c r="M933" s="451"/>
      <c r="N933" s="451"/>
      <c r="O933" s="451"/>
      <c r="P933" s="451"/>
      <c r="Q933" s="451"/>
      <c r="R933" s="451"/>
      <c r="S933" s="451"/>
    </row>
    <row r="934">
      <c r="A934" s="444"/>
      <c r="B934" s="444"/>
      <c r="C934" s="445"/>
      <c r="D934" s="446"/>
      <c r="E934" s="447"/>
      <c r="F934" s="448"/>
      <c r="G934" s="449"/>
      <c r="H934" s="448"/>
      <c r="I934" s="448"/>
      <c r="J934" s="450"/>
      <c r="K934" s="451"/>
      <c r="L934" s="451"/>
      <c r="M934" s="451"/>
      <c r="N934" s="451"/>
      <c r="O934" s="451"/>
      <c r="P934" s="451"/>
      <c r="Q934" s="451"/>
      <c r="R934" s="451"/>
      <c r="S934" s="451"/>
    </row>
    <row r="935">
      <c r="A935" s="444"/>
      <c r="B935" s="444"/>
      <c r="C935" s="445"/>
      <c r="D935" s="446"/>
      <c r="E935" s="447"/>
      <c r="F935" s="448"/>
      <c r="G935" s="449"/>
      <c r="H935" s="448"/>
      <c r="I935" s="448"/>
      <c r="J935" s="450"/>
      <c r="K935" s="451"/>
      <c r="L935" s="451"/>
      <c r="M935" s="451"/>
      <c r="N935" s="451"/>
      <c r="O935" s="451"/>
      <c r="P935" s="451"/>
      <c r="Q935" s="451"/>
      <c r="R935" s="451"/>
      <c r="S935" s="451"/>
    </row>
    <row r="936">
      <c r="A936" s="444"/>
      <c r="B936" s="444"/>
      <c r="C936" s="445"/>
      <c r="D936" s="446"/>
      <c r="E936" s="447"/>
      <c r="F936" s="448"/>
      <c r="G936" s="449"/>
      <c r="H936" s="448"/>
      <c r="I936" s="448"/>
      <c r="J936" s="450"/>
      <c r="K936" s="451"/>
      <c r="L936" s="451"/>
      <c r="M936" s="451"/>
      <c r="N936" s="451"/>
      <c r="O936" s="451"/>
      <c r="P936" s="451"/>
      <c r="Q936" s="451"/>
      <c r="R936" s="451"/>
      <c r="S936" s="451"/>
    </row>
    <row r="937">
      <c r="A937" s="444"/>
      <c r="B937" s="444"/>
      <c r="C937" s="445"/>
      <c r="D937" s="446"/>
      <c r="E937" s="447"/>
      <c r="F937" s="448"/>
      <c r="G937" s="449"/>
      <c r="H937" s="448"/>
      <c r="I937" s="448"/>
      <c r="J937" s="450"/>
      <c r="K937" s="451"/>
      <c r="L937" s="451"/>
      <c r="M937" s="451"/>
      <c r="N937" s="451"/>
      <c r="O937" s="451"/>
      <c r="P937" s="451"/>
      <c r="Q937" s="451"/>
      <c r="R937" s="451"/>
      <c r="S937" s="451"/>
    </row>
    <row r="938">
      <c r="A938" s="444"/>
      <c r="B938" s="444"/>
      <c r="C938" s="445"/>
      <c r="D938" s="446"/>
      <c r="E938" s="447"/>
      <c r="F938" s="448"/>
      <c r="G938" s="449"/>
      <c r="H938" s="448"/>
      <c r="I938" s="448"/>
      <c r="J938" s="450"/>
      <c r="K938" s="451"/>
      <c r="L938" s="451"/>
      <c r="M938" s="451"/>
      <c r="N938" s="451"/>
      <c r="O938" s="451"/>
      <c r="P938" s="451"/>
      <c r="Q938" s="451"/>
      <c r="R938" s="451"/>
      <c r="S938" s="451"/>
    </row>
    <row r="939">
      <c r="A939" s="444"/>
      <c r="B939" s="444"/>
      <c r="C939" s="445"/>
      <c r="D939" s="446"/>
      <c r="E939" s="447"/>
      <c r="F939" s="448"/>
      <c r="G939" s="449"/>
      <c r="H939" s="448"/>
      <c r="I939" s="448"/>
      <c r="J939" s="450"/>
      <c r="K939" s="451"/>
      <c r="L939" s="451"/>
      <c r="M939" s="451"/>
      <c r="N939" s="451"/>
      <c r="O939" s="451"/>
      <c r="P939" s="451"/>
      <c r="Q939" s="451"/>
      <c r="R939" s="451"/>
      <c r="S939" s="451"/>
    </row>
    <row r="940">
      <c r="A940" s="444"/>
      <c r="B940" s="444"/>
      <c r="C940" s="445"/>
      <c r="D940" s="446"/>
      <c r="E940" s="447"/>
      <c r="F940" s="448"/>
      <c r="G940" s="449"/>
      <c r="H940" s="448"/>
      <c r="I940" s="448"/>
      <c r="J940" s="450"/>
      <c r="K940" s="451"/>
      <c r="L940" s="451"/>
      <c r="M940" s="451"/>
      <c r="N940" s="451"/>
      <c r="O940" s="451"/>
      <c r="P940" s="451"/>
      <c r="Q940" s="451"/>
      <c r="R940" s="451"/>
      <c r="S940" s="451"/>
    </row>
    <row r="941">
      <c r="A941" s="444"/>
      <c r="B941" s="444"/>
      <c r="C941" s="445"/>
      <c r="D941" s="446"/>
      <c r="E941" s="447"/>
      <c r="F941" s="448"/>
      <c r="G941" s="449"/>
      <c r="H941" s="448"/>
      <c r="I941" s="448"/>
      <c r="J941" s="450"/>
      <c r="K941" s="451"/>
      <c r="L941" s="451"/>
      <c r="M941" s="451"/>
      <c r="N941" s="451"/>
      <c r="O941" s="451"/>
      <c r="P941" s="451"/>
      <c r="Q941" s="451"/>
      <c r="R941" s="451"/>
      <c r="S941" s="451"/>
    </row>
    <row r="942">
      <c r="A942" s="444"/>
      <c r="B942" s="444"/>
      <c r="C942" s="445"/>
      <c r="D942" s="446"/>
      <c r="E942" s="447"/>
      <c r="F942" s="448"/>
      <c r="G942" s="449"/>
      <c r="H942" s="448"/>
      <c r="I942" s="448"/>
      <c r="J942" s="450"/>
      <c r="K942" s="451"/>
      <c r="L942" s="451"/>
      <c r="M942" s="451"/>
      <c r="N942" s="451"/>
      <c r="O942" s="451"/>
      <c r="P942" s="451"/>
      <c r="Q942" s="451"/>
      <c r="R942" s="451"/>
      <c r="S942" s="451"/>
    </row>
    <row r="943">
      <c r="A943" s="444"/>
      <c r="B943" s="444"/>
      <c r="C943" s="445"/>
      <c r="D943" s="446"/>
      <c r="E943" s="447"/>
      <c r="F943" s="448"/>
      <c r="G943" s="449"/>
      <c r="H943" s="448"/>
      <c r="I943" s="448"/>
      <c r="J943" s="450"/>
      <c r="K943" s="451"/>
      <c r="L943" s="451"/>
      <c r="M943" s="451"/>
      <c r="N943" s="451"/>
      <c r="O943" s="451"/>
      <c r="P943" s="451"/>
      <c r="Q943" s="451"/>
      <c r="R943" s="451"/>
      <c r="S943" s="451"/>
    </row>
    <row r="944">
      <c r="A944" s="444"/>
      <c r="B944" s="444"/>
      <c r="C944" s="445"/>
      <c r="D944" s="446"/>
      <c r="E944" s="447"/>
      <c r="F944" s="448"/>
      <c r="G944" s="449"/>
      <c r="H944" s="448"/>
      <c r="I944" s="448"/>
      <c r="J944" s="450"/>
      <c r="K944" s="451"/>
      <c r="L944" s="451"/>
      <c r="M944" s="451"/>
      <c r="N944" s="451"/>
      <c r="O944" s="451"/>
      <c r="P944" s="451"/>
      <c r="Q944" s="451"/>
      <c r="R944" s="451"/>
      <c r="S944" s="451"/>
    </row>
    <row r="945">
      <c r="A945" s="444"/>
      <c r="B945" s="444"/>
      <c r="C945" s="445"/>
      <c r="D945" s="446"/>
      <c r="E945" s="447"/>
      <c r="F945" s="448"/>
      <c r="G945" s="449"/>
      <c r="H945" s="448"/>
      <c r="I945" s="448"/>
      <c r="J945" s="450"/>
      <c r="K945" s="451"/>
      <c r="L945" s="451"/>
      <c r="M945" s="451"/>
      <c r="N945" s="451"/>
      <c r="O945" s="451"/>
      <c r="P945" s="451"/>
      <c r="Q945" s="451"/>
      <c r="R945" s="451"/>
      <c r="S945" s="451"/>
    </row>
    <row r="946">
      <c r="A946" s="444"/>
      <c r="B946" s="444"/>
      <c r="C946" s="445"/>
      <c r="D946" s="446"/>
      <c r="E946" s="447"/>
      <c r="F946" s="448"/>
      <c r="G946" s="449"/>
      <c r="H946" s="448"/>
      <c r="I946" s="448"/>
      <c r="J946" s="450"/>
      <c r="K946" s="451"/>
      <c r="L946" s="451"/>
      <c r="M946" s="451"/>
      <c r="N946" s="451"/>
      <c r="O946" s="451"/>
      <c r="P946" s="451"/>
      <c r="Q946" s="451"/>
      <c r="R946" s="451"/>
      <c r="S946" s="451"/>
    </row>
    <row r="947">
      <c r="A947" s="444"/>
      <c r="B947" s="444"/>
      <c r="C947" s="445"/>
      <c r="D947" s="446"/>
      <c r="E947" s="447"/>
      <c r="F947" s="448"/>
      <c r="G947" s="449"/>
      <c r="H947" s="448"/>
      <c r="I947" s="448"/>
      <c r="J947" s="450"/>
      <c r="K947" s="451"/>
      <c r="L947" s="451"/>
      <c r="M947" s="451"/>
      <c r="N947" s="451"/>
      <c r="O947" s="451"/>
      <c r="P947" s="451"/>
      <c r="Q947" s="451"/>
      <c r="R947" s="451"/>
      <c r="S947" s="451"/>
    </row>
    <row r="948">
      <c r="A948" s="444"/>
      <c r="B948" s="444"/>
      <c r="C948" s="445"/>
      <c r="D948" s="446"/>
      <c r="E948" s="447"/>
      <c r="F948" s="448"/>
      <c r="G948" s="449"/>
      <c r="H948" s="448"/>
      <c r="I948" s="448"/>
      <c r="J948" s="450"/>
      <c r="K948" s="451"/>
      <c r="L948" s="451"/>
      <c r="M948" s="451"/>
      <c r="N948" s="451"/>
      <c r="O948" s="451"/>
      <c r="P948" s="451"/>
      <c r="Q948" s="451"/>
      <c r="R948" s="451"/>
      <c r="S948" s="451"/>
    </row>
    <row r="949">
      <c r="A949" s="444"/>
      <c r="B949" s="444"/>
      <c r="C949" s="445"/>
      <c r="D949" s="446"/>
      <c r="E949" s="447"/>
      <c r="F949" s="448"/>
      <c r="G949" s="449"/>
      <c r="H949" s="448"/>
      <c r="I949" s="448"/>
      <c r="J949" s="450"/>
      <c r="K949" s="451"/>
      <c r="L949" s="451"/>
      <c r="M949" s="451"/>
      <c r="N949" s="451"/>
      <c r="O949" s="451"/>
      <c r="P949" s="451"/>
      <c r="Q949" s="451"/>
      <c r="R949" s="451"/>
      <c r="S949" s="451"/>
    </row>
    <row r="950">
      <c r="A950" s="444"/>
      <c r="B950" s="444"/>
      <c r="C950" s="445"/>
      <c r="D950" s="446"/>
      <c r="E950" s="447"/>
      <c r="F950" s="448"/>
      <c r="G950" s="449"/>
      <c r="H950" s="448"/>
      <c r="I950" s="448"/>
      <c r="J950" s="450"/>
      <c r="K950" s="451"/>
      <c r="L950" s="451"/>
      <c r="M950" s="451"/>
      <c r="N950" s="451"/>
      <c r="O950" s="451"/>
      <c r="P950" s="451"/>
      <c r="Q950" s="451"/>
      <c r="R950" s="451"/>
      <c r="S950" s="451"/>
    </row>
    <row r="951">
      <c r="A951" s="444"/>
      <c r="B951" s="444"/>
      <c r="C951" s="445"/>
      <c r="D951" s="446"/>
      <c r="E951" s="447"/>
      <c r="F951" s="448"/>
      <c r="G951" s="449"/>
      <c r="H951" s="448"/>
      <c r="I951" s="448"/>
      <c r="J951" s="450"/>
      <c r="K951" s="451"/>
      <c r="L951" s="451"/>
      <c r="M951" s="451"/>
      <c r="N951" s="451"/>
      <c r="O951" s="451"/>
      <c r="P951" s="451"/>
      <c r="Q951" s="451"/>
      <c r="R951" s="451"/>
      <c r="S951" s="451"/>
    </row>
    <row r="952">
      <c r="A952" s="444"/>
      <c r="B952" s="444"/>
      <c r="C952" s="445"/>
      <c r="D952" s="446"/>
      <c r="E952" s="447"/>
      <c r="F952" s="448"/>
      <c r="G952" s="449"/>
      <c r="H952" s="448"/>
      <c r="I952" s="448"/>
      <c r="J952" s="450"/>
      <c r="K952" s="451"/>
      <c r="L952" s="451"/>
      <c r="M952" s="451"/>
      <c r="N952" s="451"/>
      <c r="O952" s="451"/>
      <c r="P952" s="451"/>
      <c r="Q952" s="451"/>
      <c r="R952" s="451"/>
      <c r="S952" s="451"/>
    </row>
    <row r="953">
      <c r="A953" s="444"/>
      <c r="B953" s="444"/>
      <c r="C953" s="445"/>
      <c r="D953" s="446"/>
      <c r="E953" s="447"/>
      <c r="F953" s="448"/>
      <c r="G953" s="449"/>
      <c r="H953" s="448"/>
      <c r="I953" s="448"/>
      <c r="J953" s="450"/>
      <c r="K953" s="451"/>
      <c r="L953" s="451"/>
      <c r="M953" s="451"/>
      <c r="N953" s="451"/>
      <c r="O953" s="451"/>
      <c r="P953" s="451"/>
      <c r="Q953" s="451"/>
      <c r="R953" s="451"/>
      <c r="S953" s="451"/>
    </row>
    <row r="954">
      <c r="A954" s="444"/>
      <c r="B954" s="444"/>
      <c r="C954" s="445"/>
      <c r="D954" s="446"/>
      <c r="E954" s="447"/>
      <c r="F954" s="448"/>
      <c r="G954" s="449"/>
      <c r="H954" s="448"/>
      <c r="I954" s="448"/>
      <c r="J954" s="450"/>
      <c r="K954" s="451"/>
      <c r="L954" s="451"/>
      <c r="M954" s="451"/>
      <c r="N954" s="451"/>
      <c r="O954" s="451"/>
      <c r="P954" s="451"/>
      <c r="Q954" s="451"/>
      <c r="R954" s="451"/>
      <c r="S954" s="451"/>
    </row>
    <row r="955">
      <c r="A955" s="444"/>
      <c r="B955" s="444"/>
      <c r="C955" s="445"/>
      <c r="D955" s="446"/>
      <c r="E955" s="447"/>
      <c r="F955" s="448"/>
      <c r="G955" s="449"/>
      <c r="H955" s="448"/>
      <c r="I955" s="448"/>
      <c r="J955" s="450"/>
      <c r="K955" s="451"/>
      <c r="L955" s="451"/>
      <c r="M955" s="451"/>
      <c r="N955" s="451"/>
      <c r="O955" s="451"/>
      <c r="P955" s="451"/>
      <c r="Q955" s="451"/>
      <c r="R955" s="451"/>
      <c r="S955" s="451"/>
    </row>
    <row r="956">
      <c r="A956" s="444"/>
      <c r="B956" s="444"/>
      <c r="C956" s="445"/>
      <c r="D956" s="446"/>
      <c r="E956" s="447"/>
      <c r="F956" s="448"/>
      <c r="G956" s="449"/>
      <c r="H956" s="448"/>
      <c r="I956" s="448"/>
      <c r="J956" s="450"/>
      <c r="K956" s="451"/>
      <c r="L956" s="451"/>
      <c r="M956" s="451"/>
      <c r="N956" s="451"/>
      <c r="O956" s="451"/>
      <c r="P956" s="451"/>
      <c r="Q956" s="451"/>
      <c r="R956" s="451"/>
      <c r="S956" s="451"/>
    </row>
    <row r="957">
      <c r="A957" s="444"/>
      <c r="B957" s="444"/>
      <c r="C957" s="445"/>
      <c r="D957" s="446"/>
      <c r="E957" s="447"/>
      <c r="F957" s="448"/>
      <c r="G957" s="449"/>
      <c r="H957" s="448"/>
      <c r="I957" s="448"/>
      <c r="J957" s="450"/>
      <c r="K957" s="451"/>
      <c r="L957" s="451"/>
      <c r="M957" s="451"/>
      <c r="N957" s="451"/>
      <c r="O957" s="451"/>
      <c r="P957" s="451"/>
      <c r="Q957" s="451"/>
      <c r="R957" s="451"/>
      <c r="S957" s="451"/>
    </row>
    <row r="958">
      <c r="A958" s="444"/>
      <c r="B958" s="444"/>
      <c r="C958" s="445"/>
      <c r="D958" s="446"/>
      <c r="E958" s="447"/>
      <c r="F958" s="448"/>
      <c r="G958" s="449"/>
      <c r="H958" s="448"/>
      <c r="I958" s="448"/>
      <c r="J958" s="450"/>
      <c r="K958" s="451"/>
      <c r="L958" s="451"/>
      <c r="M958" s="451"/>
      <c r="N958" s="451"/>
      <c r="O958" s="451"/>
      <c r="P958" s="451"/>
      <c r="Q958" s="451"/>
      <c r="R958" s="451"/>
      <c r="S958" s="451"/>
    </row>
    <row r="959">
      <c r="A959" s="444"/>
      <c r="B959" s="444"/>
      <c r="C959" s="445"/>
      <c r="D959" s="446"/>
      <c r="E959" s="447"/>
      <c r="F959" s="448"/>
      <c r="G959" s="449"/>
      <c r="H959" s="448"/>
      <c r="I959" s="448"/>
      <c r="J959" s="450"/>
      <c r="K959" s="451"/>
      <c r="L959" s="451"/>
      <c r="M959" s="451"/>
      <c r="N959" s="451"/>
      <c r="O959" s="451"/>
      <c r="P959" s="451"/>
      <c r="Q959" s="451"/>
      <c r="R959" s="451"/>
      <c r="S959" s="451"/>
    </row>
    <row r="960">
      <c r="A960" s="444"/>
      <c r="B960" s="444"/>
      <c r="C960" s="445"/>
      <c r="D960" s="446"/>
      <c r="E960" s="447"/>
      <c r="F960" s="448"/>
      <c r="G960" s="449"/>
      <c r="H960" s="448"/>
      <c r="I960" s="448"/>
      <c r="J960" s="450"/>
      <c r="K960" s="451"/>
      <c r="L960" s="451"/>
      <c r="M960" s="451"/>
      <c r="N960" s="451"/>
      <c r="O960" s="451"/>
      <c r="P960" s="451"/>
      <c r="Q960" s="451"/>
      <c r="R960" s="451"/>
      <c r="S960" s="451"/>
    </row>
    <row r="961">
      <c r="A961" s="444"/>
      <c r="B961" s="444"/>
      <c r="C961" s="445"/>
      <c r="D961" s="446"/>
      <c r="E961" s="447"/>
      <c r="F961" s="448"/>
      <c r="G961" s="449"/>
      <c r="H961" s="448"/>
      <c r="I961" s="448"/>
      <c r="J961" s="450"/>
      <c r="K961" s="451"/>
      <c r="L961" s="451"/>
      <c r="M961" s="451"/>
      <c r="N961" s="451"/>
      <c r="O961" s="451"/>
      <c r="P961" s="451"/>
      <c r="Q961" s="451"/>
      <c r="R961" s="451"/>
      <c r="S961" s="451"/>
    </row>
    <row r="962">
      <c r="A962" s="444"/>
      <c r="B962" s="444"/>
      <c r="C962" s="445"/>
      <c r="D962" s="446"/>
      <c r="E962" s="447"/>
      <c r="F962" s="448"/>
      <c r="G962" s="449"/>
      <c r="H962" s="448"/>
      <c r="I962" s="448"/>
      <c r="J962" s="450"/>
      <c r="K962" s="451"/>
      <c r="L962" s="451"/>
      <c r="M962" s="451"/>
      <c r="N962" s="451"/>
      <c r="O962" s="451"/>
      <c r="P962" s="451"/>
      <c r="Q962" s="451"/>
      <c r="R962" s="451"/>
      <c r="S962" s="451"/>
    </row>
    <row r="963">
      <c r="A963" s="444"/>
      <c r="B963" s="444"/>
      <c r="C963" s="445"/>
      <c r="D963" s="446"/>
      <c r="E963" s="447"/>
      <c r="F963" s="448"/>
      <c r="G963" s="449"/>
      <c r="H963" s="448"/>
      <c r="I963" s="448"/>
      <c r="J963" s="450"/>
      <c r="K963" s="451"/>
      <c r="L963" s="451"/>
      <c r="M963" s="451"/>
      <c r="N963" s="451"/>
      <c r="O963" s="451"/>
      <c r="P963" s="451"/>
      <c r="Q963" s="451"/>
      <c r="R963" s="451"/>
      <c r="S963" s="451"/>
    </row>
    <row r="964">
      <c r="A964" s="444"/>
      <c r="B964" s="444"/>
      <c r="C964" s="445"/>
      <c r="D964" s="446"/>
      <c r="E964" s="447"/>
      <c r="F964" s="448"/>
      <c r="G964" s="449"/>
      <c r="H964" s="448"/>
      <c r="I964" s="448"/>
      <c r="J964" s="450"/>
      <c r="K964" s="451"/>
      <c r="L964" s="451"/>
      <c r="M964" s="451"/>
      <c r="N964" s="451"/>
      <c r="O964" s="451"/>
      <c r="P964" s="451"/>
      <c r="Q964" s="451"/>
      <c r="R964" s="451"/>
      <c r="S964" s="451"/>
    </row>
    <row r="965">
      <c r="A965" s="444"/>
      <c r="B965" s="444"/>
      <c r="C965" s="445"/>
      <c r="D965" s="446"/>
      <c r="E965" s="447"/>
      <c r="F965" s="448"/>
      <c r="G965" s="449"/>
      <c r="H965" s="448"/>
      <c r="I965" s="448"/>
      <c r="J965" s="450"/>
      <c r="K965" s="451"/>
      <c r="L965" s="451"/>
      <c r="M965" s="451"/>
      <c r="N965" s="451"/>
      <c r="O965" s="451"/>
      <c r="P965" s="451"/>
      <c r="Q965" s="451"/>
      <c r="R965" s="451"/>
      <c r="S965" s="451"/>
    </row>
    <row r="966">
      <c r="A966" s="444"/>
      <c r="B966" s="444"/>
      <c r="C966" s="445"/>
      <c r="D966" s="446"/>
      <c r="E966" s="447"/>
      <c r="F966" s="448"/>
      <c r="G966" s="449"/>
      <c r="H966" s="448"/>
      <c r="I966" s="448"/>
      <c r="J966" s="450"/>
      <c r="K966" s="451"/>
      <c r="L966" s="451"/>
      <c r="M966" s="451"/>
      <c r="N966" s="451"/>
      <c r="O966" s="451"/>
      <c r="P966" s="451"/>
      <c r="Q966" s="451"/>
      <c r="R966" s="451"/>
      <c r="S966" s="451"/>
    </row>
    <row r="967">
      <c r="A967" s="444"/>
      <c r="B967" s="444"/>
      <c r="C967" s="445"/>
      <c r="D967" s="446"/>
      <c r="E967" s="447"/>
      <c r="F967" s="448"/>
      <c r="G967" s="449"/>
      <c r="H967" s="448"/>
      <c r="I967" s="448"/>
      <c r="J967" s="450"/>
      <c r="K967" s="451"/>
      <c r="L967" s="451"/>
      <c r="M967" s="451"/>
      <c r="N967" s="451"/>
      <c r="O967" s="451"/>
      <c r="P967" s="451"/>
      <c r="Q967" s="451"/>
      <c r="R967" s="451"/>
      <c r="S967" s="451"/>
    </row>
    <row r="968">
      <c r="A968" s="444"/>
      <c r="B968" s="444"/>
      <c r="C968" s="445"/>
      <c r="D968" s="446"/>
      <c r="E968" s="447"/>
      <c r="F968" s="448"/>
      <c r="G968" s="449"/>
      <c r="H968" s="448"/>
      <c r="I968" s="448"/>
      <c r="J968" s="450"/>
      <c r="K968" s="451"/>
      <c r="L968" s="451"/>
      <c r="M968" s="451"/>
      <c r="N968" s="451"/>
      <c r="O968" s="451"/>
      <c r="P968" s="451"/>
      <c r="Q968" s="451"/>
      <c r="R968" s="451"/>
      <c r="S968" s="451"/>
    </row>
    <row r="969">
      <c r="A969" s="444"/>
      <c r="B969" s="444"/>
      <c r="C969" s="445"/>
      <c r="D969" s="446"/>
      <c r="E969" s="447"/>
      <c r="F969" s="448"/>
      <c r="G969" s="449"/>
      <c r="H969" s="448"/>
      <c r="I969" s="448"/>
      <c r="J969" s="450"/>
      <c r="K969" s="451"/>
      <c r="L969" s="451"/>
      <c r="M969" s="451"/>
      <c r="N969" s="451"/>
      <c r="O969" s="451"/>
      <c r="P969" s="451"/>
      <c r="Q969" s="451"/>
      <c r="R969" s="451"/>
      <c r="S969" s="451"/>
    </row>
    <row r="970">
      <c r="A970" s="444"/>
      <c r="B970" s="444"/>
      <c r="C970" s="445"/>
      <c r="D970" s="446"/>
      <c r="E970" s="447"/>
      <c r="F970" s="448"/>
      <c r="G970" s="449"/>
      <c r="H970" s="448"/>
      <c r="I970" s="448"/>
      <c r="J970" s="450"/>
      <c r="K970" s="451"/>
      <c r="L970" s="451"/>
      <c r="M970" s="451"/>
      <c r="N970" s="451"/>
      <c r="O970" s="451"/>
      <c r="P970" s="451"/>
      <c r="Q970" s="451"/>
      <c r="R970" s="451"/>
      <c r="S970" s="451"/>
    </row>
    <row r="971">
      <c r="A971" s="444"/>
      <c r="B971" s="444"/>
      <c r="C971" s="445"/>
      <c r="D971" s="446"/>
      <c r="E971" s="447"/>
      <c r="F971" s="448"/>
      <c r="G971" s="449"/>
      <c r="H971" s="448"/>
      <c r="I971" s="448"/>
      <c r="J971" s="450"/>
      <c r="K971" s="451"/>
      <c r="L971" s="451"/>
      <c r="M971" s="451"/>
      <c r="N971" s="451"/>
      <c r="O971" s="451"/>
      <c r="P971" s="451"/>
      <c r="Q971" s="451"/>
      <c r="R971" s="451"/>
      <c r="S971" s="451"/>
    </row>
    <row r="972">
      <c r="A972" s="444"/>
      <c r="B972" s="444"/>
      <c r="C972" s="445"/>
      <c r="D972" s="446"/>
      <c r="E972" s="447"/>
      <c r="F972" s="448"/>
      <c r="G972" s="449"/>
      <c r="H972" s="448"/>
      <c r="I972" s="448"/>
      <c r="J972" s="450"/>
      <c r="K972" s="451"/>
      <c r="L972" s="451"/>
      <c r="M972" s="451"/>
      <c r="N972" s="451"/>
      <c r="O972" s="451"/>
      <c r="P972" s="451"/>
      <c r="Q972" s="451"/>
      <c r="R972" s="451"/>
      <c r="S972" s="451"/>
    </row>
    <row r="973">
      <c r="A973" s="444"/>
      <c r="B973" s="444"/>
      <c r="C973" s="445"/>
      <c r="D973" s="446"/>
      <c r="E973" s="447"/>
      <c r="F973" s="448"/>
      <c r="G973" s="449"/>
      <c r="H973" s="448"/>
      <c r="I973" s="448"/>
      <c r="J973" s="450"/>
      <c r="K973" s="451"/>
      <c r="L973" s="451"/>
      <c r="M973" s="451"/>
      <c r="N973" s="451"/>
      <c r="O973" s="451"/>
      <c r="P973" s="451"/>
      <c r="Q973" s="451"/>
      <c r="R973" s="451"/>
      <c r="S973" s="451"/>
    </row>
    <row r="974">
      <c r="A974" s="444"/>
      <c r="B974" s="444"/>
      <c r="C974" s="445"/>
      <c r="D974" s="446"/>
      <c r="E974" s="447"/>
      <c r="F974" s="448"/>
      <c r="G974" s="449"/>
      <c r="H974" s="448"/>
      <c r="I974" s="448"/>
      <c r="J974" s="450"/>
      <c r="K974" s="451"/>
      <c r="L974" s="451"/>
      <c r="M974" s="451"/>
      <c r="N974" s="451"/>
      <c r="O974" s="451"/>
      <c r="P974" s="451"/>
      <c r="Q974" s="451"/>
      <c r="R974" s="451"/>
      <c r="S974" s="451"/>
    </row>
    <row r="975">
      <c r="A975" s="444"/>
      <c r="B975" s="444"/>
      <c r="C975" s="445"/>
      <c r="D975" s="446"/>
      <c r="E975" s="447"/>
      <c r="F975" s="448"/>
      <c r="G975" s="449"/>
      <c r="H975" s="448"/>
      <c r="I975" s="448"/>
      <c r="J975" s="450"/>
      <c r="K975" s="451"/>
      <c r="L975" s="451"/>
      <c r="M975" s="451"/>
      <c r="N975" s="451"/>
      <c r="O975" s="451"/>
      <c r="P975" s="451"/>
      <c r="Q975" s="451"/>
      <c r="R975" s="451"/>
      <c r="S975" s="451"/>
    </row>
    <row r="976">
      <c r="A976" s="444"/>
      <c r="B976" s="444"/>
      <c r="C976" s="445"/>
      <c r="D976" s="446"/>
      <c r="E976" s="447"/>
      <c r="F976" s="448"/>
      <c r="G976" s="449"/>
      <c r="H976" s="448"/>
      <c r="I976" s="448"/>
      <c r="J976" s="450"/>
      <c r="K976" s="451"/>
      <c r="L976" s="451"/>
      <c r="M976" s="451"/>
      <c r="N976" s="451"/>
      <c r="O976" s="451"/>
      <c r="P976" s="451"/>
      <c r="Q976" s="451"/>
      <c r="R976" s="451"/>
      <c r="S976" s="451"/>
    </row>
    <row r="977">
      <c r="A977" s="444"/>
      <c r="B977" s="444"/>
      <c r="C977" s="445"/>
      <c r="D977" s="446"/>
      <c r="E977" s="447"/>
      <c r="F977" s="448"/>
      <c r="G977" s="449"/>
      <c r="H977" s="448"/>
      <c r="I977" s="448"/>
      <c r="J977" s="450"/>
      <c r="K977" s="451"/>
      <c r="L977" s="451"/>
      <c r="M977" s="451"/>
      <c r="N977" s="451"/>
      <c r="O977" s="451"/>
      <c r="P977" s="451"/>
      <c r="Q977" s="451"/>
      <c r="R977" s="451"/>
      <c r="S977" s="451"/>
    </row>
    <row r="978">
      <c r="A978" s="444"/>
      <c r="B978" s="444"/>
      <c r="C978" s="445"/>
      <c r="D978" s="446"/>
      <c r="E978" s="447"/>
      <c r="F978" s="448"/>
      <c r="G978" s="449"/>
      <c r="H978" s="448"/>
      <c r="I978" s="448"/>
      <c r="J978" s="450"/>
      <c r="K978" s="451"/>
      <c r="L978" s="451"/>
      <c r="M978" s="451"/>
      <c r="N978" s="451"/>
      <c r="O978" s="451"/>
      <c r="P978" s="451"/>
      <c r="Q978" s="451"/>
      <c r="R978" s="451"/>
      <c r="S978" s="451"/>
    </row>
    <row r="979">
      <c r="A979" s="444"/>
      <c r="B979" s="444"/>
      <c r="C979" s="445"/>
      <c r="D979" s="446"/>
      <c r="E979" s="447"/>
      <c r="F979" s="448"/>
      <c r="G979" s="449"/>
      <c r="H979" s="448"/>
      <c r="I979" s="448"/>
      <c r="J979" s="450"/>
      <c r="K979" s="451"/>
      <c r="L979" s="451"/>
      <c r="M979" s="451"/>
      <c r="N979" s="451"/>
      <c r="O979" s="451"/>
      <c r="P979" s="451"/>
      <c r="Q979" s="451"/>
      <c r="R979" s="451"/>
      <c r="S979" s="451"/>
    </row>
    <row r="980">
      <c r="A980" s="444"/>
      <c r="B980" s="444"/>
      <c r="C980" s="445"/>
      <c r="D980" s="446"/>
      <c r="E980" s="447"/>
      <c r="F980" s="448"/>
      <c r="G980" s="449"/>
      <c r="H980" s="448"/>
      <c r="I980" s="448"/>
      <c r="J980" s="450"/>
      <c r="K980" s="451"/>
      <c r="L980" s="451"/>
      <c r="M980" s="451"/>
      <c r="N980" s="451"/>
      <c r="O980" s="451"/>
      <c r="P980" s="451"/>
      <c r="Q980" s="451"/>
      <c r="R980" s="451"/>
      <c r="S980" s="451"/>
    </row>
    <row r="981">
      <c r="A981" s="444"/>
      <c r="B981" s="444"/>
      <c r="C981" s="445"/>
      <c r="D981" s="446"/>
      <c r="E981" s="447"/>
      <c r="F981" s="448"/>
      <c r="G981" s="449"/>
      <c r="H981" s="448"/>
      <c r="I981" s="448"/>
      <c r="J981" s="450"/>
      <c r="K981" s="451"/>
      <c r="L981" s="451"/>
      <c r="M981" s="451"/>
      <c r="N981" s="451"/>
      <c r="O981" s="451"/>
      <c r="P981" s="451"/>
      <c r="Q981" s="451"/>
      <c r="R981" s="451"/>
      <c r="S981" s="451"/>
    </row>
    <row r="982">
      <c r="A982" s="444"/>
      <c r="B982" s="444"/>
      <c r="C982" s="445"/>
      <c r="D982" s="446"/>
      <c r="E982" s="447"/>
      <c r="F982" s="448"/>
      <c r="G982" s="449"/>
      <c r="H982" s="448"/>
      <c r="I982" s="448"/>
      <c r="J982" s="450"/>
      <c r="K982" s="451"/>
      <c r="L982" s="451"/>
      <c r="M982" s="451"/>
      <c r="N982" s="451"/>
      <c r="O982" s="451"/>
      <c r="P982" s="451"/>
      <c r="Q982" s="451"/>
      <c r="R982" s="451"/>
      <c r="S982" s="451"/>
    </row>
    <row r="983">
      <c r="A983" s="444"/>
      <c r="B983" s="444"/>
      <c r="C983" s="445"/>
      <c r="D983" s="446"/>
      <c r="E983" s="447"/>
      <c r="F983" s="448"/>
      <c r="G983" s="449"/>
      <c r="H983" s="448"/>
      <c r="I983" s="448"/>
      <c r="J983" s="450"/>
      <c r="K983" s="451"/>
      <c r="L983" s="451"/>
      <c r="M983" s="451"/>
      <c r="N983" s="451"/>
      <c r="O983" s="451"/>
      <c r="P983" s="451"/>
      <c r="Q983" s="451"/>
      <c r="R983" s="451"/>
      <c r="S983" s="451"/>
    </row>
    <row r="984">
      <c r="A984" s="444"/>
      <c r="B984" s="444"/>
      <c r="C984" s="445"/>
      <c r="D984" s="446"/>
      <c r="E984" s="447"/>
      <c r="F984" s="448"/>
      <c r="G984" s="449"/>
      <c r="H984" s="448"/>
      <c r="I984" s="448"/>
      <c r="J984" s="450"/>
      <c r="K984" s="451"/>
      <c r="L984" s="451"/>
      <c r="M984" s="451"/>
      <c r="N984" s="451"/>
      <c r="O984" s="451"/>
      <c r="P984" s="451"/>
      <c r="Q984" s="451"/>
      <c r="R984" s="451"/>
      <c r="S984" s="451"/>
    </row>
    <row r="985">
      <c r="A985" s="444"/>
      <c r="B985" s="444"/>
      <c r="C985" s="445"/>
      <c r="D985" s="446"/>
      <c r="E985" s="447"/>
      <c r="F985" s="448"/>
      <c r="G985" s="449"/>
      <c r="H985" s="448"/>
      <c r="I985" s="448"/>
      <c r="J985" s="450"/>
      <c r="K985" s="451"/>
      <c r="L985" s="451"/>
      <c r="M985" s="451"/>
      <c r="N985" s="451"/>
      <c r="O985" s="451"/>
      <c r="P985" s="451"/>
      <c r="Q985" s="451"/>
      <c r="R985" s="451"/>
      <c r="S985" s="451"/>
    </row>
    <row r="986">
      <c r="A986" s="444"/>
      <c r="B986" s="444"/>
      <c r="C986" s="445"/>
      <c r="D986" s="446"/>
      <c r="E986" s="447"/>
      <c r="F986" s="448"/>
      <c r="G986" s="449"/>
      <c r="H986" s="448"/>
      <c r="I986" s="448"/>
      <c r="J986" s="450"/>
      <c r="K986" s="451"/>
      <c r="L986" s="451"/>
      <c r="M986" s="451"/>
      <c r="N986" s="451"/>
      <c r="O986" s="451"/>
      <c r="P986" s="451"/>
      <c r="Q986" s="451"/>
      <c r="R986" s="451"/>
      <c r="S986" s="451"/>
    </row>
    <row r="987">
      <c r="A987" s="444"/>
      <c r="B987" s="444"/>
      <c r="C987" s="445"/>
      <c r="D987" s="446"/>
      <c r="E987" s="447"/>
      <c r="F987" s="448"/>
      <c r="G987" s="449"/>
      <c r="H987" s="448"/>
      <c r="I987" s="448"/>
      <c r="J987" s="450"/>
      <c r="K987" s="451"/>
      <c r="L987" s="451"/>
      <c r="M987" s="451"/>
      <c r="N987" s="451"/>
      <c r="O987" s="451"/>
      <c r="P987" s="451"/>
      <c r="Q987" s="451"/>
      <c r="R987" s="451"/>
      <c r="S987" s="451"/>
    </row>
    <row r="988">
      <c r="A988" s="444"/>
      <c r="B988" s="444"/>
      <c r="C988" s="445"/>
      <c r="D988" s="446"/>
      <c r="E988" s="447"/>
      <c r="F988" s="448"/>
      <c r="G988" s="449"/>
      <c r="H988" s="448"/>
      <c r="I988" s="448"/>
      <c r="J988" s="450"/>
      <c r="K988" s="451"/>
      <c r="L988" s="451"/>
      <c r="M988" s="451"/>
      <c r="N988" s="451"/>
      <c r="O988" s="451"/>
      <c r="P988" s="451"/>
      <c r="Q988" s="451"/>
      <c r="R988" s="451"/>
      <c r="S988" s="451"/>
    </row>
    <row r="989">
      <c r="A989" s="444"/>
      <c r="B989" s="444"/>
      <c r="C989" s="445"/>
      <c r="D989" s="446"/>
      <c r="E989" s="447"/>
      <c r="F989" s="448"/>
      <c r="G989" s="449"/>
      <c r="H989" s="448"/>
      <c r="I989" s="448"/>
      <c r="J989" s="450"/>
      <c r="K989" s="451"/>
      <c r="L989" s="451"/>
      <c r="M989" s="451"/>
      <c r="N989" s="451"/>
      <c r="O989" s="451"/>
      <c r="P989" s="451"/>
      <c r="Q989" s="451"/>
      <c r="R989" s="451"/>
      <c r="S989" s="451"/>
    </row>
    <row r="990">
      <c r="A990" s="444"/>
      <c r="B990" s="444"/>
      <c r="C990" s="445"/>
      <c r="D990" s="446"/>
      <c r="E990" s="447"/>
      <c r="F990" s="448"/>
      <c r="G990" s="449"/>
      <c r="H990" s="448"/>
      <c r="I990" s="448"/>
      <c r="J990" s="450"/>
      <c r="K990" s="451"/>
      <c r="L990" s="451"/>
      <c r="M990" s="451"/>
      <c r="N990" s="451"/>
      <c r="O990" s="451"/>
      <c r="P990" s="451"/>
      <c r="Q990" s="451"/>
      <c r="R990" s="451"/>
      <c r="S990" s="451"/>
    </row>
    <row r="991">
      <c r="A991" s="444"/>
      <c r="B991" s="444"/>
      <c r="C991" s="445"/>
      <c r="D991" s="446"/>
      <c r="E991" s="447"/>
      <c r="F991" s="448"/>
      <c r="G991" s="449"/>
      <c r="H991" s="448"/>
      <c r="I991" s="448"/>
      <c r="J991" s="450"/>
      <c r="K991" s="451"/>
      <c r="L991" s="451"/>
      <c r="M991" s="451"/>
      <c r="N991" s="451"/>
      <c r="O991" s="451"/>
      <c r="P991" s="451"/>
      <c r="Q991" s="451"/>
      <c r="R991" s="451"/>
      <c r="S991" s="451"/>
    </row>
    <row r="992">
      <c r="A992" s="444"/>
      <c r="B992" s="444"/>
      <c r="C992" s="445"/>
      <c r="D992" s="446"/>
      <c r="E992" s="447"/>
      <c r="F992" s="448"/>
      <c r="G992" s="449"/>
      <c r="H992" s="448"/>
      <c r="I992" s="448"/>
      <c r="J992" s="450"/>
      <c r="K992" s="451"/>
      <c r="L992" s="451"/>
      <c r="M992" s="451"/>
      <c r="N992" s="451"/>
      <c r="O992" s="451"/>
      <c r="P992" s="451"/>
      <c r="Q992" s="451"/>
      <c r="R992" s="451"/>
      <c r="S992" s="451"/>
    </row>
    <row r="993">
      <c r="A993" s="444"/>
      <c r="B993" s="444"/>
      <c r="C993" s="445"/>
      <c r="D993" s="446"/>
      <c r="E993" s="447"/>
      <c r="F993" s="448"/>
      <c r="G993" s="449"/>
      <c r="H993" s="448"/>
      <c r="I993" s="448"/>
      <c r="J993" s="450"/>
      <c r="K993" s="451"/>
      <c r="L993" s="451"/>
      <c r="M993" s="451"/>
      <c r="N993" s="451"/>
      <c r="O993" s="451"/>
      <c r="P993" s="451"/>
      <c r="Q993" s="451"/>
      <c r="R993" s="451"/>
      <c r="S993" s="451"/>
    </row>
    <row r="994">
      <c r="A994" s="444"/>
      <c r="B994" s="444"/>
      <c r="C994" s="445"/>
      <c r="D994" s="446"/>
      <c r="E994" s="447"/>
      <c r="F994" s="448"/>
      <c r="G994" s="449"/>
      <c r="H994" s="448"/>
      <c r="I994" s="448"/>
      <c r="J994" s="450"/>
      <c r="K994" s="451"/>
      <c r="L994" s="451"/>
      <c r="M994" s="451"/>
      <c r="N994" s="451"/>
      <c r="O994" s="451"/>
      <c r="P994" s="451"/>
      <c r="Q994" s="451"/>
      <c r="R994" s="451"/>
      <c r="S994" s="451"/>
    </row>
    <row r="995">
      <c r="A995" s="444"/>
      <c r="B995" s="444"/>
      <c r="C995" s="445"/>
      <c r="D995" s="446"/>
      <c r="E995" s="447"/>
      <c r="F995" s="448"/>
      <c r="G995" s="449"/>
      <c r="H995" s="448"/>
      <c r="I995" s="448"/>
      <c r="J995" s="450"/>
      <c r="K995" s="451"/>
      <c r="L995" s="451"/>
      <c r="M995" s="451"/>
      <c r="N995" s="451"/>
      <c r="O995" s="451"/>
      <c r="P995" s="451"/>
      <c r="Q995" s="451"/>
      <c r="R995" s="451"/>
      <c r="S995" s="451"/>
    </row>
    <row r="996">
      <c r="A996" s="444"/>
      <c r="B996" s="444"/>
      <c r="C996" s="445"/>
      <c r="D996" s="446"/>
      <c r="E996" s="447"/>
      <c r="F996" s="448"/>
      <c r="G996" s="449"/>
      <c r="H996" s="448"/>
      <c r="I996" s="448"/>
      <c r="J996" s="450"/>
      <c r="K996" s="451"/>
      <c r="L996" s="451"/>
      <c r="M996" s="451"/>
      <c r="N996" s="451"/>
      <c r="O996" s="451"/>
      <c r="P996" s="451"/>
      <c r="Q996" s="451"/>
      <c r="R996" s="451"/>
      <c r="S996" s="451"/>
    </row>
    <row r="997">
      <c r="A997" s="444"/>
      <c r="B997" s="444"/>
      <c r="C997" s="445"/>
      <c r="D997" s="446"/>
      <c r="E997" s="447"/>
      <c r="F997" s="448"/>
      <c r="G997" s="449"/>
      <c r="H997" s="448"/>
      <c r="I997" s="448"/>
      <c r="J997" s="450"/>
      <c r="K997" s="451"/>
      <c r="L997" s="451"/>
      <c r="M997" s="451"/>
      <c r="N997" s="451"/>
      <c r="O997" s="451"/>
      <c r="P997" s="451"/>
      <c r="Q997" s="451"/>
      <c r="R997" s="451"/>
      <c r="S997" s="451"/>
    </row>
    <row r="998">
      <c r="A998" s="444"/>
      <c r="B998" s="444"/>
      <c r="C998" s="445"/>
      <c r="D998" s="446"/>
      <c r="E998" s="447"/>
      <c r="F998" s="448"/>
      <c r="G998" s="449"/>
      <c r="H998" s="448"/>
      <c r="I998" s="448"/>
      <c r="J998" s="450"/>
      <c r="K998" s="451"/>
      <c r="L998" s="451"/>
      <c r="M998" s="451"/>
      <c r="N998" s="451"/>
      <c r="O998" s="451"/>
      <c r="P998" s="451"/>
      <c r="Q998" s="451"/>
      <c r="R998" s="451"/>
      <c r="S998" s="451"/>
    </row>
    <row r="999">
      <c r="A999" s="444"/>
      <c r="B999" s="444"/>
      <c r="C999" s="445"/>
      <c r="D999" s="446"/>
      <c r="E999" s="452"/>
      <c r="F999" s="453"/>
      <c r="G999" s="454"/>
      <c r="H999" s="448"/>
      <c r="I999" s="448"/>
      <c r="J999" s="450"/>
      <c r="K999" s="451"/>
      <c r="L999" s="451"/>
      <c r="M999" s="451"/>
      <c r="N999" s="451"/>
      <c r="O999" s="451"/>
      <c r="P999" s="451"/>
      <c r="Q999" s="451"/>
      <c r="R999" s="451"/>
      <c r="S999" s="451"/>
    </row>
  </sheetData>
  <mergeCells count="4">
    <mergeCell ref="A1:B1"/>
    <mergeCell ref="E1:G1"/>
    <mergeCell ref="H1:J1"/>
    <mergeCell ref="L1:M1"/>
  </mergeCells>
  <conditionalFormatting sqref="L2:L500">
    <cfRule type="cellIs" dxfId="31" priority="1" operator="between">
      <formula>0</formula>
      <formula>-500</formula>
    </cfRule>
  </conditionalFormatting>
  <conditionalFormatting sqref="L2:L500">
    <cfRule type="cellIs" dxfId="55" priority="2" operator="lessThan">
      <formula>-1000</formula>
    </cfRule>
  </conditionalFormatting>
  <conditionalFormatting sqref="L2:L500">
    <cfRule type="cellIs" dxfId="56" priority="3" operator="between">
      <formula>-500</formula>
      <formula>-1000</formula>
    </cfRule>
  </conditionalFormatting>
  <conditionalFormatting sqref="K2:K500">
    <cfRule type="containsText" dxfId="55" priority="4" operator="containsText" text="10000">
      <formula>NOT(ISERROR(SEARCH(("10000"),(K2))))</formula>
    </cfRule>
  </conditionalFormatting>
  <conditionalFormatting sqref="K2:K500">
    <cfRule type="containsText" dxfId="31" priority="5" operator="containsText" text="500">
      <formula>NOT(ISERROR(SEARCH(("500"),(K2))))</formula>
    </cfRule>
  </conditionalFormatting>
  <conditionalFormatting sqref="N2:N500">
    <cfRule type="cellIs" dxfId="55" priority="6" operator="equal">
      <formula>1000</formula>
    </cfRule>
  </conditionalFormatting>
  <conditionalFormatting sqref="N2:N500">
    <cfRule type="cellIs" dxfId="31" priority="7" operator="equal">
      <formula>20000</formula>
    </cfRule>
  </conditionalFormatting>
  <conditionalFormatting sqref="H1 L1:L999">
    <cfRule type="cellIs" dxfId="57" priority="8" operator="greaterThanOrEqual">
      <formula>0</formula>
    </cfRule>
  </conditionalFormatting>
  <conditionalFormatting sqref="P3:S516">
    <cfRule type="cellIs" dxfId="3" priority="9" operator="equal">
      <formula>"H"</formula>
    </cfRule>
  </conditionalFormatting>
  <conditionalFormatting sqref="P3:S516">
    <cfRule type="cellIs" dxfId="9" priority="10" operator="equal">
      <formula>"B"</formula>
    </cfRule>
  </conditionalFormatting>
  <conditionalFormatting sqref="P3:S516">
    <cfRule type="cellIs" dxfId="6" priority="11" operator="equal">
      <formula>"S"</formula>
    </cfRule>
  </conditionalFormatting>
  <conditionalFormatting sqref="P3:S516">
    <cfRule type="notContainsBlanks" dxfId="15" priority="12">
      <formula>LEN(TRIM(P3))&gt;0</formula>
    </cfRule>
  </conditionalFormatting>
  <conditionalFormatting sqref="M2:M585 N2:O500">
    <cfRule type="cellIs" dxfId="13" priority="13" operator="equal">
      <formula>"Met"</formula>
    </cfRule>
  </conditionalFormatting>
  <conditionalFormatting sqref="M2:M585 N2:O500">
    <cfRule type="cellIs" dxfId="58" priority="14" operator="equal">
      <formula>"Not Met"</formula>
    </cfRule>
  </conditionalFormatting>
  <conditionalFormatting sqref="D3:D400">
    <cfRule type="cellIs" dxfId="18" priority="15" operator="equal">
      <formula>"CG Power and Industrial Solutions Ltd"</formula>
    </cfRule>
  </conditionalFormatting>
  <conditionalFormatting sqref="D3:D400">
    <cfRule type="cellIs" dxfId="18" priority="16" operator="equal">
      <formula>"ITC Ltd"</formula>
    </cfRule>
  </conditionalFormatting>
  <conditionalFormatting sqref="D3:D400">
    <cfRule type="cellIs" dxfId="18" priority="17" operator="equal">
      <formula>"BSE Ltd"</formula>
    </cfRule>
  </conditionalFormatting>
  <conditionalFormatting sqref="D3:D400">
    <cfRule type="cellIs" dxfId="18" priority="18" operator="equal">
      <formula>"Daikaffil Chemicals India Ltd"</formula>
    </cfRule>
  </conditionalFormatting>
  <conditionalFormatting sqref="D3:D400">
    <cfRule type="cellIs" dxfId="18" priority="19" operator="equal">
      <formula>"Allsec Technologies Ltd"</formula>
    </cfRule>
  </conditionalFormatting>
  <conditionalFormatting sqref="D3:D400">
    <cfRule type="cellIs" dxfId="18" priority="20" operator="equal">
      <formula>"Suzlon Energy Ltd"</formula>
    </cfRule>
  </conditionalFormatting>
  <conditionalFormatting sqref="D3:D400">
    <cfRule type="cellIs" dxfId="18" priority="21" operator="equal">
      <formula>"Tata Power Company Limited"</formula>
    </cfRule>
  </conditionalFormatting>
  <conditionalFormatting sqref="D3:D400">
    <cfRule type="cellIs" dxfId="18" priority="22" operator="equal">
      <formula>"Yes Bank Limited"</formula>
    </cfRule>
  </conditionalFormatting>
  <conditionalFormatting sqref="D3:D400">
    <cfRule type="cellIs" dxfId="18" priority="23" operator="equal">
      <formula>"State Bank of India"</formula>
    </cfRule>
  </conditionalFormatting>
  <conditionalFormatting sqref="D3:D400">
    <cfRule type="cellIs" dxfId="18" priority="24" operator="equal">
      <formula>"Wonderla Holidays Ltd"</formula>
    </cfRule>
  </conditionalFormatting>
  <conditionalFormatting sqref="D3:D400">
    <cfRule type="cellIs" dxfId="19" priority="25" operator="equal">
      <formula>"Ircon International Ltd"</formula>
    </cfRule>
  </conditionalFormatting>
  <conditionalFormatting sqref="D3:D400">
    <cfRule type="cellIs" dxfId="19" priority="26" operator="equal">
      <formula>"Rail Vikas Nigam Ltd"</formula>
    </cfRule>
  </conditionalFormatting>
  <conditionalFormatting sqref="D3:D400">
    <cfRule type="cellIs" dxfId="19" priority="27" operator="equal">
      <formula>"Railtel Corp Of India Ltd"</formula>
    </cfRule>
  </conditionalFormatting>
  <conditionalFormatting sqref="D3:D400">
    <cfRule type="cellIs" dxfId="19" priority="28" operator="equal">
      <formula>"Indian Railway Finance Corp Ltd"</formula>
    </cfRule>
  </conditionalFormatting>
  <conditionalFormatting sqref="I2:I999 J2:J999">
    <cfRule type="cellIs" dxfId="59" priority="29" operator="lessThan">
      <formula>0</formula>
    </cfRule>
  </conditionalFormatting>
  <conditionalFormatting sqref="I2:I999 J2:J999">
    <cfRule type="cellIs" dxfId="60" priority="30" operator="greaterThan">
      <formula>0</formula>
    </cfRule>
  </conditionalFormatting>
  <conditionalFormatting sqref="D1">
    <cfRule type="notContainsBlanks" dxfId="8" priority="31">
      <formula>LEN(TRIM(D1))&gt;0</formula>
    </cfRule>
  </conditionalFormatting>
  <conditionalFormatting sqref="H1 L1">
    <cfRule type="cellIs" dxfId="61" priority="32" operator="lessThan">
      <formula>0</formula>
    </cfRule>
  </conditionalFormatting>
  <conditionalFormatting sqref="E3:E200">
    <cfRule type="cellIs" dxfId="2" priority="33" operator="equal">
      <formula>"Small Cap"</formula>
    </cfRule>
  </conditionalFormatting>
  <conditionalFormatting sqref="E3:E200">
    <cfRule type="cellIs" dxfId="3" priority="34" operator="equal">
      <formula>"Mid Cap"</formula>
    </cfRule>
  </conditionalFormatting>
  <conditionalFormatting sqref="E3:E200">
    <cfRule type="cellIs" dxfId="4" priority="35" operator="equal">
      <formula>"Large Cap"</formula>
    </cfRule>
  </conditionalFormatting>
  <conditionalFormatting sqref="E3:E200">
    <cfRule type="cellIs" dxfId="1" priority="36" operator="equal">
      <formula>"Mega Cap"</formula>
    </cfRule>
  </conditionalFormatting>
  <conditionalFormatting sqref="F3:F200">
    <cfRule type="cellIs" dxfId="1" priority="37" operator="equal">
      <formula>"|"</formula>
    </cfRule>
  </conditionalFormatting>
  <conditionalFormatting sqref="F3:F200">
    <cfRule type="cellIs" dxfId="4" priority="38" operator="equal">
      <formula>"||"</formula>
    </cfRule>
  </conditionalFormatting>
  <conditionalFormatting sqref="D1">
    <cfRule type="notContainsBlanks" dxfId="24" priority="39">
      <formula>LEN(TRIM(D1))&gt;0</formula>
    </cfRule>
  </conditionalFormatting>
  <conditionalFormatting sqref="F3:F200">
    <cfRule type="cellIs" dxfId="3" priority="40" operator="equal">
      <formula>"|||"</formula>
    </cfRule>
  </conditionalFormatting>
  <conditionalFormatting sqref="F3:F200">
    <cfRule type="cellIs" dxfId="2" priority="41" operator="equal">
      <formula>"||||"</formula>
    </cfRule>
  </conditionalFormatting>
  <conditionalFormatting sqref="G3:G200">
    <cfRule type="cellIs" dxfId="4" priority="42" operator="between">
      <formula>30000</formula>
      <formula>600000</formula>
    </cfRule>
  </conditionalFormatting>
  <conditionalFormatting sqref="G3:G200">
    <cfRule type="cellIs" dxfId="3" priority="43" operator="between">
      <formula>7500</formula>
      <formula>30000</formula>
    </cfRule>
  </conditionalFormatting>
  <conditionalFormatting sqref="G3:G200">
    <cfRule type="cellIs" dxfId="1" priority="44" operator="greaterThan">
      <formula>600000</formula>
    </cfRule>
  </conditionalFormatting>
  <conditionalFormatting sqref="G3:G200">
    <cfRule type="cellIs" dxfId="2" priority="45" operator="lessThan">
      <formula>7500</formula>
    </cfRule>
  </conditionalFormatting>
  <conditionalFormatting sqref="K2:L500 N2:N500">
    <cfRule type="notContainsBlanks" dxfId="56" priority="46">
      <formula>LEN(TRIM(K2))&gt;0</formula>
    </cfRule>
  </conditionalFormatting>
  <conditionalFormatting sqref="A1:S999">
    <cfRule type="notContainsBlanks" dxfId="20" priority="47">
      <formula>LEN(TRIM(A1))&gt;0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63"/>
    <col customWidth="1" min="2" max="2" width="21.75"/>
    <col customWidth="1" min="6" max="6" width="26.13"/>
    <col customWidth="1" min="7" max="7" width="16.38"/>
    <col customWidth="1" min="8" max="8" width="24.75"/>
  </cols>
  <sheetData>
    <row r="1">
      <c r="A1" s="455" t="s">
        <v>290</v>
      </c>
      <c r="F1" s="46"/>
      <c r="G1" s="456" t="s">
        <v>291</v>
      </c>
    </row>
    <row r="2">
      <c r="A2" s="457" t="s">
        <v>271</v>
      </c>
      <c r="B2" s="458" t="s">
        <v>292</v>
      </c>
      <c r="C2" s="458" t="s">
        <v>293</v>
      </c>
      <c r="D2" s="458" t="s">
        <v>294</v>
      </c>
      <c r="E2" s="459" t="s">
        <v>75</v>
      </c>
      <c r="F2" s="460" t="s">
        <v>295</v>
      </c>
      <c r="G2" s="461" t="str">
        <f>Conversion!F1</f>
        <v>INR</v>
      </c>
      <c r="H2" s="460" t="str">
        <f>"Total ("&amp;G2&amp;")"</f>
        <v>Total (INR)</v>
      </c>
    </row>
    <row r="3">
      <c r="A3" s="462">
        <v>44927.0</v>
      </c>
      <c r="B3" s="463" t="s">
        <v>86</v>
      </c>
      <c r="C3" s="463" t="s">
        <v>296</v>
      </c>
      <c r="D3" s="464">
        <v>1.0</v>
      </c>
      <c r="E3" s="465">
        <v>717.2542</v>
      </c>
      <c r="F3" s="466">
        <f t="shared" ref="F3:F239" si="1">IFERROR((if(isblank(B3),"",Abs(E3*D3))),"-")</f>
        <v>717.2542</v>
      </c>
      <c r="G3" s="467" t="str">
        <f>IFERROR(__xludf.DUMMYFUNCTION("IFERROR(IF(C3=""Crypto"",$G$2,(IF(ISBLANK(B3),"""",IF(B3=""Cash"",$G$2,IF(GOOGLEFINANCE(B3,""CURRENCY"")=""GBX"",""GBP"",GOOGLEFINANCE(B3,""CURRENCY"")))))),Conversion!$F$1)"),"INR")</f>
        <v>INR</v>
      </c>
      <c r="H3" s="466">
        <f>IFERROR(__xludf.DUMMYFUNCTION("IF(G3=""GBP"",IF(B3="""","""",IF(G3=$G$2,F3,F3*GOOGLEFINANCE(""currency:""&amp;G3&amp;""""&amp;$G$2&amp;"""")))/100,IF(A3="""","""",IF(G3=$G$2,F3,F3*GOOGLEFINANCE(""Currency:""&amp;G3&amp;""""&amp;$G$2&amp;""""))))"),717.2542)</f>
        <v>717.2542</v>
      </c>
    </row>
    <row r="4">
      <c r="A4" s="462">
        <v>44927.0</v>
      </c>
      <c r="B4" s="463" t="s">
        <v>43</v>
      </c>
      <c r="C4" s="463" t="s">
        <v>296</v>
      </c>
      <c r="D4" s="463">
        <v>1.0</v>
      </c>
      <c r="E4" s="465">
        <v>917.0</v>
      </c>
      <c r="F4" s="466">
        <f t="shared" si="1"/>
        <v>917</v>
      </c>
      <c r="G4" s="467" t="str">
        <f>IFERROR(__xludf.DUMMYFUNCTION("IFERROR(IF(C4=""Crypto"",$G$2,(IF(ISBLANK(B4),"""",IF(B4=""Cash"",$G$2,IF(GOOGLEFINANCE(B4,""CURRENCY"")=""GBX"",""GBP"",GOOGLEFINANCE(B4,""CURRENCY"")))))),Conversion!$F$1)"),"INR")</f>
        <v>INR</v>
      </c>
      <c r="H4" s="466">
        <f>IFERROR(__xludf.DUMMYFUNCTION("IF(G4=""GBP"",IF(B4="""","""",IF(G4=$G$2,F4,F4*GOOGLEFINANCE(""currency:""&amp;G4&amp;""""&amp;$G$2&amp;"""")))/100,IF(A4="""","""",IF(G4=$G$2,F4,F4*GOOGLEFINANCE(""Currency:""&amp;G4&amp;""""&amp;$G$2&amp;""""))))"),917.0)</f>
        <v>917</v>
      </c>
    </row>
    <row r="5">
      <c r="A5" s="462">
        <v>44927.0</v>
      </c>
      <c r="B5" s="463" t="s">
        <v>90</v>
      </c>
      <c r="C5" s="463" t="s">
        <v>296</v>
      </c>
      <c r="D5" s="463">
        <v>1.0</v>
      </c>
      <c r="E5" s="465">
        <v>1440.0</v>
      </c>
      <c r="F5" s="466">
        <f t="shared" si="1"/>
        <v>1440</v>
      </c>
      <c r="G5" s="467" t="str">
        <f>IFERROR(__xludf.DUMMYFUNCTION("IFERROR(IF(C5=""Crypto"",$G$2,(IF(ISBLANK(B5),"""",IF(B5=""Cash"",$G$2,IF(GOOGLEFINANCE(B5,""CURRENCY"")=""GBX"",""GBP"",GOOGLEFINANCE(B5,""CURRENCY"")))))),Conversion!$F$1)"),"INR")</f>
        <v>INR</v>
      </c>
      <c r="H5" s="466">
        <f>IFERROR(__xludf.DUMMYFUNCTION("IF(G5=""GBP"",IF(B5="""","""",IF(G5=$G$2,F5,F5*GOOGLEFINANCE(""currency:""&amp;G5&amp;""""&amp;$G$2&amp;"""")))/100,IF(A5="""","""",IF(G5=$G$2,F5,F5*GOOGLEFINANCE(""Currency:""&amp;G5&amp;""""&amp;$G$2&amp;""""))))"),1440.0)</f>
        <v>1440</v>
      </c>
    </row>
    <row r="6">
      <c r="A6" s="462">
        <v>44927.0</v>
      </c>
      <c r="B6" s="463" t="s">
        <v>91</v>
      </c>
      <c r="C6" s="463" t="s">
        <v>296</v>
      </c>
      <c r="D6" s="464">
        <v>2.0</v>
      </c>
      <c r="E6" s="465">
        <v>508.0</v>
      </c>
      <c r="F6" s="466">
        <f t="shared" si="1"/>
        <v>1016</v>
      </c>
      <c r="G6" s="467" t="str">
        <f>IFERROR(__xludf.DUMMYFUNCTION("IFERROR(IF(C6=""Crypto"",$G$2,(IF(ISBLANK(B6),"""",IF(B6=""Cash"",$G$2,IF(GOOGLEFINANCE(B6,""CURRENCY"")=""GBX"",""GBP"",GOOGLEFINANCE(B6,""CURRENCY"")))))),Conversion!$F$1)"),"INR")</f>
        <v>INR</v>
      </c>
      <c r="H6" s="466">
        <f>IFERROR(__xludf.DUMMYFUNCTION("IF(G6=""GBP"",IF(B6="""","""",IF(G6=$G$2,F6,F6*GOOGLEFINANCE(""currency:""&amp;G6&amp;""""&amp;$G$2&amp;"""")))/100,IF(A6="""","""",IF(G6=$G$2,F6,F6*GOOGLEFINANCE(""Currency:""&amp;G6&amp;""""&amp;$G$2&amp;""""))))"),1016.0)</f>
        <v>1016</v>
      </c>
    </row>
    <row r="7">
      <c r="A7" s="462">
        <v>44927.0</v>
      </c>
      <c r="B7" s="463" t="s">
        <v>94</v>
      </c>
      <c r="C7" s="463" t="s">
        <v>296</v>
      </c>
      <c r="D7" s="464">
        <v>1.0</v>
      </c>
      <c r="E7" s="465">
        <v>755.0</v>
      </c>
      <c r="F7" s="466">
        <f t="shared" si="1"/>
        <v>755</v>
      </c>
      <c r="G7" s="467" t="str">
        <f>IFERROR(__xludf.DUMMYFUNCTION("IFERROR(IF(C7=""Crypto"",$G$2,(IF(ISBLANK(B7),"""",IF(B7=""Cash"",$G$2,IF(GOOGLEFINANCE(B7,""CURRENCY"")=""GBX"",""GBP"",GOOGLEFINANCE(B7,""CURRENCY"")))))),Conversion!$F$1)"),"INR")</f>
        <v>INR</v>
      </c>
      <c r="H7" s="466">
        <f>IFERROR(__xludf.DUMMYFUNCTION("IF(G7=""GBP"",IF(B7="""","""",IF(G7=$G$2,F7,F7*GOOGLEFINANCE(""currency:""&amp;G7&amp;""""&amp;$G$2&amp;"""")))/100,IF(A7="""","""",IF(G7=$G$2,F7,F7*GOOGLEFINANCE(""Currency:""&amp;G7&amp;""""&amp;$G$2&amp;""""))))"),755.0)</f>
        <v>755</v>
      </c>
    </row>
    <row r="8">
      <c r="A8" s="462">
        <v>44927.0</v>
      </c>
      <c r="B8" s="463" t="s">
        <v>84</v>
      </c>
      <c r="C8" s="463" t="s">
        <v>296</v>
      </c>
      <c r="D8" s="464">
        <v>1.0</v>
      </c>
      <c r="E8" s="465">
        <v>185.0</v>
      </c>
      <c r="F8" s="466">
        <f t="shared" si="1"/>
        <v>185</v>
      </c>
      <c r="G8" s="467" t="str">
        <f>IFERROR(__xludf.DUMMYFUNCTION("IFERROR(IF(C8=""Crypto"",$G$2,(IF(ISBLANK(B8),"""",IF(B8=""Cash"",$G$2,IF(GOOGLEFINANCE(B8,""CURRENCY"")=""GBX"",""GBP"",GOOGLEFINANCE(B8,""CURRENCY"")))))),Conversion!$F$1)"),"INR")</f>
        <v>INR</v>
      </c>
      <c r="H8" s="466">
        <f>IFERROR(__xludf.DUMMYFUNCTION("IF(G8=""GBP"",IF(B8="""","""",IF(G8=$G$2,F8,F8*GOOGLEFINANCE(""currency:""&amp;G8&amp;""""&amp;$G$2&amp;"""")))/100,IF(A8="""","""",IF(G8=$G$2,F8,F8*GOOGLEFINANCE(""Currency:""&amp;G8&amp;""""&amp;$G$2&amp;""""))))"),185.0)</f>
        <v>185</v>
      </c>
    </row>
    <row r="9">
      <c r="A9" s="462">
        <v>44927.0</v>
      </c>
      <c r="B9" s="463" t="s">
        <v>95</v>
      </c>
      <c r="C9" s="463" t="s">
        <v>296</v>
      </c>
      <c r="D9" s="464">
        <v>6.0</v>
      </c>
      <c r="E9" s="465">
        <v>100.0</v>
      </c>
      <c r="F9" s="466">
        <f t="shared" si="1"/>
        <v>600</v>
      </c>
      <c r="G9" s="467" t="str">
        <f>IFERROR(__xludf.DUMMYFUNCTION("IFERROR(IF(C9=""Crypto"",$G$2,(IF(ISBLANK(B9),"""",IF(B9=""Cash"",$G$2,IF(GOOGLEFINANCE(B9,""CURRENCY"")=""GBX"",""GBP"",GOOGLEFINANCE(B9,""CURRENCY"")))))),Conversion!$F$1)"),"INR")</f>
        <v>INR</v>
      </c>
      <c r="H9" s="466">
        <f>IFERROR(__xludf.DUMMYFUNCTION("IF(G9=""GBP"",IF(B9="""","""",IF(G9=$G$2,F9,F9*GOOGLEFINANCE(""currency:""&amp;G9&amp;""""&amp;$G$2&amp;"""")))/100,IF(A9="""","""",IF(G9=$G$2,F9,F9*GOOGLEFINANCE(""Currency:""&amp;G9&amp;""""&amp;$G$2&amp;""""))))"),600.0)</f>
        <v>600</v>
      </c>
    </row>
    <row r="10">
      <c r="A10" s="462">
        <v>44927.0</v>
      </c>
      <c r="B10" s="463" t="s">
        <v>96</v>
      </c>
      <c r="C10" s="463" t="s">
        <v>296</v>
      </c>
      <c r="D10" s="464">
        <v>2.0</v>
      </c>
      <c r="E10" s="465">
        <v>2349.0</v>
      </c>
      <c r="F10" s="466">
        <f t="shared" si="1"/>
        <v>4698</v>
      </c>
      <c r="G10" s="467" t="str">
        <f>IFERROR(__xludf.DUMMYFUNCTION("IFERROR(IF(C10=""Crypto"",$G$2,(IF(ISBLANK(B10),"""",IF(B10=""Cash"",$G$2,IF(GOOGLEFINANCE(B10,""CURRENCY"")=""GBX"",""GBP"",GOOGLEFINANCE(B10,""CURRENCY"")))))),Conversion!$F$1)"),"INR")</f>
        <v>INR</v>
      </c>
      <c r="H10" s="466">
        <f>IFERROR(__xludf.DUMMYFUNCTION("IF(G10=""GBP"",IF(B10="""","""",IF(G10=$G$2,F10,F10*GOOGLEFINANCE(""currency:""&amp;G10&amp;""""&amp;$G$2&amp;"""")))/100,IF(A10="""","""",IF(G10=$G$2,F10,F10*GOOGLEFINANCE(""Currency:""&amp;G10&amp;""""&amp;$G$2&amp;""""))))"),4698.0)</f>
        <v>4698</v>
      </c>
    </row>
    <row r="11">
      <c r="A11" s="462">
        <v>44927.0</v>
      </c>
      <c r="B11" s="463" t="s">
        <v>97</v>
      </c>
      <c r="C11" s="463" t="s">
        <v>296</v>
      </c>
      <c r="D11" s="464">
        <v>1.0</v>
      </c>
      <c r="E11" s="465">
        <v>1200.0</v>
      </c>
      <c r="F11" s="466">
        <f t="shared" si="1"/>
        <v>1200</v>
      </c>
      <c r="G11" s="467" t="str">
        <f>IFERROR(__xludf.DUMMYFUNCTION("IFERROR(IF(C11=""Crypto"",$G$2,(IF(ISBLANK(B11),"""",IF(B11=""Cash"",$G$2,IF(GOOGLEFINANCE(B11,""CURRENCY"")=""GBX"",""GBP"",GOOGLEFINANCE(B11,""CURRENCY"")))))),Conversion!$F$1)"),"INR")</f>
        <v>INR</v>
      </c>
      <c r="H11" s="466">
        <f>IFERROR(__xludf.DUMMYFUNCTION("IF(G11=""GBP"",IF(B11="""","""",IF(G11=$G$2,F11,F11*GOOGLEFINANCE(""currency:""&amp;G11&amp;""""&amp;$G$2&amp;"""")))/100,IF(A11="""","""",IF(G11=$G$2,F11,F11*GOOGLEFINANCE(""Currency:""&amp;G11&amp;""""&amp;$G$2&amp;""""))))"),1200.0)</f>
        <v>1200</v>
      </c>
    </row>
    <row r="12">
      <c r="A12" s="462">
        <v>44927.0</v>
      </c>
      <c r="B12" s="463" t="s">
        <v>98</v>
      </c>
      <c r="C12" s="463" t="s">
        <v>296</v>
      </c>
      <c r="D12" s="464">
        <v>10.0</v>
      </c>
      <c r="E12" s="465">
        <v>6.3</v>
      </c>
      <c r="F12" s="466">
        <f t="shared" si="1"/>
        <v>63</v>
      </c>
      <c r="G12" s="467" t="str">
        <f>IFERROR(__xludf.DUMMYFUNCTION("IFERROR(IF(C12=""Crypto"",$G$2,(IF(ISBLANK(B12),"""",IF(B12=""Cash"",$G$2,IF(GOOGLEFINANCE(B12,""CURRENCY"")=""GBX"",""GBP"",GOOGLEFINANCE(B12,""CURRENCY"")))))),Conversion!$F$1)"),"INR")</f>
        <v>INR</v>
      </c>
      <c r="H12" s="466">
        <f>IFERROR(__xludf.DUMMYFUNCTION("IF(G12=""GBP"",IF(B12="""","""",IF(G12=$G$2,F12,F12*GOOGLEFINANCE(""currency:""&amp;G12&amp;""""&amp;$G$2&amp;"""")))/100,IF(A12="""","""",IF(G12=$G$2,F12,F12*GOOGLEFINANCE(""Currency:""&amp;G12&amp;""""&amp;$G$2&amp;""""))))"),63.0)</f>
        <v>63</v>
      </c>
    </row>
    <row r="13">
      <c r="A13" s="462">
        <v>44927.0</v>
      </c>
      <c r="B13" s="463" t="s">
        <v>101</v>
      </c>
      <c r="C13" s="463" t="s">
        <v>296</v>
      </c>
      <c r="D13" s="464">
        <v>1.0</v>
      </c>
      <c r="E13" s="465">
        <v>522.0</v>
      </c>
      <c r="F13" s="466">
        <f t="shared" si="1"/>
        <v>522</v>
      </c>
      <c r="G13" s="467" t="str">
        <f>IFERROR(__xludf.DUMMYFUNCTION("IFERROR(IF(C13=""Crypto"",$G$2,(IF(ISBLANK(B13),"""",IF(B13=""Cash"",$G$2,IF(GOOGLEFINANCE(B13,""CURRENCY"")=""GBX"",""GBP"",GOOGLEFINANCE(B13,""CURRENCY"")))))),Conversion!$F$1)"),"INR")</f>
        <v>INR</v>
      </c>
      <c r="H13" s="466">
        <f>IFERROR(__xludf.DUMMYFUNCTION("IF(G13=""GBP"",IF(B13="""","""",IF(G13=$G$2,F13,F13*GOOGLEFINANCE(""currency:""&amp;G13&amp;""""&amp;$G$2&amp;"""")))/100,IF(A13="""","""",IF(G13=$G$2,F13,F13*GOOGLEFINANCE(""Currency:""&amp;G13&amp;""""&amp;$G$2&amp;""""))))"),522.0)</f>
        <v>522</v>
      </c>
    </row>
    <row r="14">
      <c r="A14" s="462">
        <v>44927.0</v>
      </c>
      <c r="B14" s="463" t="s">
        <v>103</v>
      </c>
      <c r="C14" s="463" t="s">
        <v>296</v>
      </c>
      <c r="D14" s="464">
        <v>1.0</v>
      </c>
      <c r="E14" s="465">
        <v>3860.0</v>
      </c>
      <c r="F14" s="466">
        <f t="shared" si="1"/>
        <v>3860</v>
      </c>
      <c r="G14" s="467" t="str">
        <f>IFERROR(__xludf.DUMMYFUNCTION("IFERROR(IF(C14=""Crypto"",$G$2,(IF(ISBLANK(B14),"""",IF(B14=""Cash"",$G$2,IF(GOOGLEFINANCE(B14,""CURRENCY"")=""GBX"",""GBP"",GOOGLEFINANCE(B14,""CURRENCY"")))))),Conversion!$F$1)"),"INR")</f>
        <v>INR</v>
      </c>
      <c r="H14" s="466">
        <f>IFERROR(__xludf.DUMMYFUNCTION("IF(G14=""GBP"",IF(B14="""","""",IF(G14=$G$2,F14,F14*GOOGLEFINANCE(""currency:""&amp;G14&amp;""""&amp;$G$2&amp;"""")))/100,IF(A14="""","""",IF(G14=$G$2,F14,F14*GOOGLEFINANCE(""Currency:""&amp;G14&amp;""""&amp;$G$2&amp;""""))))"),3860.0)</f>
        <v>3860</v>
      </c>
    </row>
    <row r="15">
      <c r="A15" s="462">
        <v>44927.0</v>
      </c>
      <c r="B15" s="463" t="s">
        <v>104</v>
      </c>
      <c r="C15" s="463" t="s">
        <v>296</v>
      </c>
      <c r="D15" s="464">
        <v>1.0</v>
      </c>
      <c r="E15" s="465">
        <v>4808.0</v>
      </c>
      <c r="F15" s="466">
        <f t="shared" si="1"/>
        <v>4808</v>
      </c>
      <c r="G15" s="467" t="str">
        <f>IFERROR(__xludf.DUMMYFUNCTION("IFERROR(IF(C15=""Crypto"",$G$2,(IF(ISBLANK(B15),"""",IF(B15=""Cash"",$G$2,IF(GOOGLEFINANCE(B15,""CURRENCY"")=""GBX"",""GBP"",GOOGLEFINANCE(B15,""CURRENCY"")))))),Conversion!$F$1)"),"INR")</f>
        <v>INR</v>
      </c>
      <c r="H15" s="466">
        <f>IFERROR(__xludf.DUMMYFUNCTION("IF(G15=""GBP"",IF(B15="""","""",IF(G15=$G$2,F15,F15*GOOGLEFINANCE(""currency:""&amp;G15&amp;""""&amp;$G$2&amp;"""")))/100,IF(A15="""","""",IF(G15=$G$2,F15,F15*GOOGLEFINANCE(""Currency:""&amp;G15&amp;""""&amp;$G$2&amp;""""))))"),4808.0)</f>
        <v>4808</v>
      </c>
    </row>
    <row r="16">
      <c r="A16" s="462">
        <v>44927.0</v>
      </c>
      <c r="B16" s="463" t="s">
        <v>106</v>
      </c>
      <c r="C16" s="463" t="s">
        <v>296</v>
      </c>
      <c r="D16" s="464">
        <v>10.0</v>
      </c>
      <c r="E16" s="465">
        <v>84.9</v>
      </c>
      <c r="F16" s="466">
        <f t="shared" si="1"/>
        <v>849</v>
      </c>
      <c r="G16" s="467" t="str">
        <f>IFERROR(__xludf.DUMMYFUNCTION("IFERROR(IF(C16=""Crypto"",$G$2,(IF(ISBLANK(B16),"""",IF(B16=""Cash"",$G$2,IF(GOOGLEFINANCE(B16,""CURRENCY"")=""GBX"",""GBP"",GOOGLEFINANCE(B16,""CURRENCY"")))))),Conversion!$F$1)"),"INR")</f>
        <v>INR</v>
      </c>
      <c r="H16" s="466">
        <f>IFERROR(__xludf.DUMMYFUNCTION("IF(G16=""GBP"",IF(B16="""","""",IF(G16=$G$2,F16,F16*GOOGLEFINANCE(""currency:""&amp;G16&amp;""""&amp;$G$2&amp;"""")))/100,IF(A16="""","""",IF(G16=$G$2,F16,F16*GOOGLEFINANCE(""Currency:""&amp;G16&amp;""""&amp;$G$2&amp;""""))))"),849.0)</f>
        <v>849</v>
      </c>
    </row>
    <row r="17">
      <c r="A17" s="462">
        <v>44927.0</v>
      </c>
      <c r="B17" s="463" t="s">
        <v>257</v>
      </c>
      <c r="C17" s="463" t="s">
        <v>296</v>
      </c>
      <c r="D17" s="464">
        <v>55.0</v>
      </c>
      <c r="E17" s="465">
        <v>8.0</v>
      </c>
      <c r="F17" s="466">
        <f t="shared" si="1"/>
        <v>440</v>
      </c>
      <c r="G17" s="467" t="str">
        <f>IFERROR(__xludf.DUMMYFUNCTION("IFERROR(IF(C17=""Crypto"",$G$2,(IF(ISBLANK(B17),"""",IF(B17=""Cash"",$G$2,IF(GOOGLEFINANCE(B17,""CURRENCY"")=""GBX"",""GBP"",GOOGLEFINANCE(B17,""CURRENCY"")))))),Conversion!$F$1)"),"INR")</f>
        <v>INR</v>
      </c>
      <c r="H17" s="466">
        <f>IFERROR(__xludf.DUMMYFUNCTION("IF(G17=""GBP"",IF(B17="""","""",IF(G17=$G$2,F17,F17*GOOGLEFINANCE(""currency:""&amp;G17&amp;""""&amp;$G$2&amp;"""")))/100,IF(A17="""","""",IF(G17=$G$2,F17,F17*GOOGLEFINANCE(""Currency:""&amp;G17&amp;""""&amp;$G$2&amp;""""))))"),440.0)</f>
        <v>440</v>
      </c>
    </row>
    <row r="18">
      <c r="A18" s="462">
        <v>44927.0</v>
      </c>
      <c r="B18" s="463" t="s">
        <v>261</v>
      </c>
      <c r="C18" s="463" t="s">
        <v>296</v>
      </c>
      <c r="D18" s="464">
        <v>50.0</v>
      </c>
      <c r="E18" s="465">
        <v>9.6</v>
      </c>
      <c r="F18" s="466">
        <f t="shared" si="1"/>
        <v>480</v>
      </c>
      <c r="G18" s="467" t="str">
        <f>IFERROR(__xludf.DUMMYFUNCTION("IFERROR(IF(C18=""Crypto"",$G$2,(IF(ISBLANK(B18),"""",IF(B18=""Cash"",$G$2,IF(GOOGLEFINANCE(B18,""CURRENCY"")=""GBX"",""GBP"",GOOGLEFINANCE(B18,""CURRENCY"")))))),Conversion!$F$1)"),"INR")</f>
        <v>INR</v>
      </c>
      <c r="H18" s="466">
        <f>IFERROR(__xludf.DUMMYFUNCTION("IF(G18=""GBP"",IF(B18="""","""",IF(G18=$G$2,F18,F18*GOOGLEFINANCE(""currency:""&amp;G18&amp;""""&amp;$G$2&amp;"""")))/100,IF(A18="""","""",IF(G18=$G$2,F18,F18*GOOGLEFINANCE(""Currency:""&amp;G18&amp;""""&amp;$G$2&amp;""""))))"),480.0)</f>
        <v>480</v>
      </c>
    </row>
    <row r="19">
      <c r="A19" s="462">
        <v>44927.0</v>
      </c>
      <c r="B19" s="463" t="s">
        <v>110</v>
      </c>
      <c r="C19" s="463" t="s">
        <v>296</v>
      </c>
      <c r="D19" s="464">
        <v>2.0</v>
      </c>
      <c r="E19" s="465">
        <v>1258.0</v>
      </c>
      <c r="F19" s="466">
        <f t="shared" si="1"/>
        <v>2516</v>
      </c>
      <c r="G19" s="467" t="str">
        <f>IFERROR(__xludf.DUMMYFUNCTION("IFERROR(IF(C19=""Crypto"",$G$2,(IF(ISBLANK(B19),"""",IF(B19=""Cash"",$G$2,IF(GOOGLEFINANCE(B19,""CURRENCY"")=""GBX"",""GBP"",GOOGLEFINANCE(B19,""CURRENCY"")))))),Conversion!$F$1)"),"INR")</f>
        <v>INR</v>
      </c>
      <c r="H19" s="466">
        <f>IFERROR(__xludf.DUMMYFUNCTION("IF(G19=""GBP"",IF(B19="""","""",IF(G19=$G$2,F19,F19*GOOGLEFINANCE(""currency:""&amp;G19&amp;""""&amp;$G$2&amp;"""")))/100,IF(A19="""","""",IF(G19=$G$2,F19,F19*GOOGLEFINANCE(""Currency:""&amp;G19&amp;""""&amp;$G$2&amp;""""))))"),2516.0)</f>
        <v>2516</v>
      </c>
    </row>
    <row r="20">
      <c r="A20" s="462">
        <v>44927.0</v>
      </c>
      <c r="B20" s="463" t="s">
        <v>111</v>
      </c>
      <c r="C20" s="463" t="s">
        <v>296</v>
      </c>
      <c r="D20" s="464">
        <v>1.0</v>
      </c>
      <c r="E20" s="465">
        <v>940.0</v>
      </c>
      <c r="F20" s="466">
        <f t="shared" si="1"/>
        <v>940</v>
      </c>
      <c r="G20" s="467" t="str">
        <f>IFERROR(__xludf.DUMMYFUNCTION("IFERROR(IF(C20=""Crypto"",$G$2,(IF(ISBLANK(B20),"""",IF(B20=""Cash"",$G$2,IF(GOOGLEFINANCE(B20,""CURRENCY"")=""GBX"",""GBP"",GOOGLEFINANCE(B20,""CURRENCY"")))))),Conversion!$F$1)"),"INR")</f>
        <v>INR</v>
      </c>
      <c r="H20" s="466">
        <f>IFERROR(__xludf.DUMMYFUNCTION("IF(G20=""GBP"",IF(B20="""","""",IF(G20=$G$2,F20,F20*GOOGLEFINANCE(""currency:""&amp;G20&amp;""""&amp;$G$2&amp;"""")))/100,IF(A20="""","""",IF(G20=$G$2,F20,F20*GOOGLEFINANCE(""Currency:""&amp;G20&amp;""""&amp;$G$2&amp;""""))))"),940.0)</f>
        <v>940</v>
      </c>
    </row>
    <row r="21">
      <c r="A21" s="462">
        <v>44927.0</v>
      </c>
      <c r="B21" s="463" t="s">
        <v>112</v>
      </c>
      <c r="C21" s="463" t="s">
        <v>296</v>
      </c>
      <c r="D21" s="464">
        <v>1.0</v>
      </c>
      <c r="E21" s="465">
        <v>3020.0</v>
      </c>
      <c r="F21" s="466">
        <f t="shared" si="1"/>
        <v>3020</v>
      </c>
      <c r="G21" s="467" t="str">
        <f>IFERROR(__xludf.DUMMYFUNCTION("IFERROR(IF(C21=""Crypto"",$G$2,(IF(ISBLANK(B21),"""",IF(B21=""Cash"",$G$2,IF(GOOGLEFINANCE(B21,""CURRENCY"")=""GBX"",""GBP"",GOOGLEFINANCE(B21,""CURRENCY"")))))),Conversion!$F$1)"),"INR")</f>
        <v>INR</v>
      </c>
      <c r="H21" s="466">
        <f>IFERROR(__xludf.DUMMYFUNCTION("IF(G21=""GBP"",IF(B21="""","""",IF(G21=$G$2,F21,F21*GOOGLEFINANCE(""currency:""&amp;G21&amp;""""&amp;$G$2&amp;"""")))/100,IF(A21="""","""",IF(G21=$G$2,F21,F21*GOOGLEFINANCE(""Currency:""&amp;G21&amp;""""&amp;$G$2&amp;""""))))"),3020.0)</f>
        <v>3020</v>
      </c>
    </row>
    <row r="22">
      <c r="A22" s="462">
        <v>44927.0</v>
      </c>
      <c r="B22" s="463" t="s">
        <v>113</v>
      </c>
      <c r="C22" s="463" t="s">
        <v>296</v>
      </c>
      <c r="D22" s="464">
        <v>2.0</v>
      </c>
      <c r="E22" s="465">
        <v>1461.37</v>
      </c>
      <c r="F22" s="466">
        <f t="shared" si="1"/>
        <v>2922.74</v>
      </c>
      <c r="G22" s="467" t="str">
        <f>IFERROR(__xludf.DUMMYFUNCTION("IFERROR(IF(C22=""Crypto"",$G$2,(IF(ISBLANK(B22),"""",IF(B22=""Cash"",$G$2,IF(GOOGLEFINANCE(B22,""CURRENCY"")=""GBX"",""GBP"",GOOGLEFINANCE(B22,""CURRENCY"")))))),Conversion!$F$1)"),"INR")</f>
        <v>INR</v>
      </c>
      <c r="H22" s="466">
        <f>IFERROR(__xludf.DUMMYFUNCTION("IF(G22=""GBP"",IF(B22="""","""",IF(G22=$G$2,F22,F22*GOOGLEFINANCE(""currency:""&amp;G22&amp;""""&amp;$G$2&amp;"""")))/100,IF(A22="""","""",IF(G22=$G$2,F22,F22*GOOGLEFINANCE(""Currency:""&amp;G22&amp;""""&amp;$G$2&amp;""""))))"),2922.74)</f>
        <v>2922.74</v>
      </c>
    </row>
    <row r="23">
      <c r="A23" s="462">
        <v>44927.0</v>
      </c>
      <c r="B23" s="463" t="s">
        <v>114</v>
      </c>
      <c r="C23" s="463" t="s">
        <v>296</v>
      </c>
      <c r="D23" s="464">
        <v>4.0</v>
      </c>
      <c r="E23" s="465">
        <v>640.0</v>
      </c>
      <c r="F23" s="466">
        <f t="shared" si="1"/>
        <v>2560</v>
      </c>
      <c r="G23" s="467" t="str">
        <f>IFERROR(__xludf.DUMMYFUNCTION("IFERROR(IF(C23=""Crypto"",$G$2,(IF(ISBLANK(B23),"""",IF(B23=""Cash"",$G$2,IF(GOOGLEFINANCE(B23,""CURRENCY"")=""GBX"",""GBP"",GOOGLEFINANCE(B23,""CURRENCY"")))))),Conversion!$F$1)"),"INR")</f>
        <v>INR</v>
      </c>
      <c r="H23" s="466">
        <f>IFERROR(__xludf.DUMMYFUNCTION("IF(G23=""GBP"",IF(B23="""","""",IF(G23=$G$2,F23,F23*GOOGLEFINANCE(""currency:""&amp;G23&amp;""""&amp;$G$2&amp;"""")))/100,IF(A23="""","""",IF(G23=$G$2,F23,F23*GOOGLEFINANCE(""Currency:""&amp;G23&amp;""""&amp;$G$2&amp;""""))))"),2560.0)</f>
        <v>2560</v>
      </c>
    </row>
    <row r="24">
      <c r="A24" s="462">
        <v>44927.0</v>
      </c>
      <c r="B24" s="463" t="s">
        <v>115</v>
      </c>
      <c r="C24" s="463" t="s">
        <v>296</v>
      </c>
      <c r="D24" s="464">
        <v>1.0</v>
      </c>
      <c r="E24" s="465">
        <v>2178.0</v>
      </c>
      <c r="F24" s="466">
        <f t="shared" si="1"/>
        <v>2178</v>
      </c>
      <c r="G24" s="467" t="str">
        <f>IFERROR(__xludf.DUMMYFUNCTION("IFERROR(IF(C24=""Crypto"",$G$2,(IF(ISBLANK(B24),"""",IF(B24=""Cash"",$G$2,IF(GOOGLEFINANCE(B24,""CURRENCY"")=""GBX"",""GBP"",GOOGLEFINANCE(B24,""CURRENCY"")))))),Conversion!$F$1)"),"INR")</f>
        <v>INR</v>
      </c>
      <c r="H24" s="466">
        <f>IFERROR(__xludf.DUMMYFUNCTION("IF(G24=""GBP"",IF(B24="""","""",IF(G24=$G$2,F24,F24*GOOGLEFINANCE(""currency:""&amp;G24&amp;""""&amp;$G$2&amp;"""")))/100,IF(A24="""","""",IF(G24=$G$2,F24,F24*GOOGLEFINANCE(""Currency:""&amp;G24&amp;""""&amp;$G$2&amp;""""))))"),2178.0)</f>
        <v>2178</v>
      </c>
    </row>
    <row r="25">
      <c r="A25" s="462">
        <v>44927.0</v>
      </c>
      <c r="B25" s="463" t="s">
        <v>117</v>
      </c>
      <c r="C25" s="463" t="s">
        <v>296</v>
      </c>
      <c r="D25" s="464">
        <v>10.0</v>
      </c>
      <c r="E25" s="465">
        <v>408.2</v>
      </c>
      <c r="F25" s="466">
        <f t="shared" si="1"/>
        <v>4082</v>
      </c>
      <c r="G25" s="467" t="str">
        <f>IFERROR(__xludf.DUMMYFUNCTION("IFERROR(IF(C25=""Crypto"",$G$2,(IF(ISBLANK(B25),"""",IF(B25=""Cash"",$G$2,IF(GOOGLEFINANCE(B25,""CURRENCY"")=""GBX"",""GBP"",GOOGLEFINANCE(B25,""CURRENCY"")))))),Conversion!$F$1)"),"INR")</f>
        <v>INR</v>
      </c>
      <c r="H25" s="466">
        <f>IFERROR(__xludf.DUMMYFUNCTION("IF(G25=""GBP"",IF(B25="""","""",IF(G25=$G$2,F25,F25*GOOGLEFINANCE(""currency:""&amp;G25&amp;""""&amp;$G$2&amp;"""")))/100,IF(A25="""","""",IF(G25=$G$2,F25,F25*GOOGLEFINANCE(""Currency:""&amp;G25&amp;""""&amp;$G$2&amp;""""))))"),4082.0)</f>
        <v>4082</v>
      </c>
    </row>
    <row r="26">
      <c r="A26" s="462">
        <v>44927.0</v>
      </c>
      <c r="B26" s="463" t="s">
        <v>118</v>
      </c>
      <c r="C26" s="463" t="s">
        <v>296</v>
      </c>
      <c r="D26" s="464">
        <v>1.0</v>
      </c>
      <c r="E26" s="465">
        <v>567.0</v>
      </c>
      <c r="F26" s="466">
        <f t="shared" si="1"/>
        <v>567</v>
      </c>
      <c r="G26" s="467" t="str">
        <f>IFERROR(__xludf.DUMMYFUNCTION("IFERROR(IF(C26=""Crypto"",$G$2,(IF(ISBLANK(B26),"""",IF(B26=""Cash"",$G$2,IF(GOOGLEFINANCE(B26,""CURRENCY"")=""GBX"",""GBP"",GOOGLEFINANCE(B26,""CURRENCY"")))))),Conversion!$F$1)"),"INR")</f>
        <v>INR</v>
      </c>
      <c r="H26" s="466">
        <f>IFERROR(__xludf.DUMMYFUNCTION("IF(G26=""GBP"",IF(B26="""","""",IF(G26=$G$2,F26,F26*GOOGLEFINANCE(""currency:""&amp;G26&amp;""""&amp;$G$2&amp;"""")))/100,IF(A26="""","""",IF(G26=$G$2,F26,F26*GOOGLEFINANCE(""Currency:""&amp;G26&amp;""""&amp;$G$2&amp;""""))))"),567.0)</f>
        <v>567</v>
      </c>
    </row>
    <row r="27">
      <c r="A27" s="462">
        <v>44927.0</v>
      </c>
      <c r="B27" s="463" t="s">
        <v>119</v>
      </c>
      <c r="C27" s="463" t="s">
        <v>296</v>
      </c>
      <c r="D27" s="464">
        <v>3.0</v>
      </c>
      <c r="E27" s="465">
        <v>267.6667</v>
      </c>
      <c r="F27" s="466">
        <f t="shared" si="1"/>
        <v>803.0001</v>
      </c>
      <c r="G27" s="467" t="str">
        <f>IFERROR(__xludf.DUMMYFUNCTION("IFERROR(IF(C27=""Crypto"",$G$2,(IF(ISBLANK(B27),"""",IF(B27=""Cash"",$G$2,IF(GOOGLEFINANCE(B27,""CURRENCY"")=""GBX"",""GBP"",GOOGLEFINANCE(B27,""CURRENCY"")))))),Conversion!$F$1)"),"INR")</f>
        <v>INR</v>
      </c>
      <c r="H27" s="466">
        <f>IFERROR(__xludf.DUMMYFUNCTION("IF(G27=""GBP"",IF(B27="""","""",IF(G27=$G$2,F27,F27*GOOGLEFINANCE(""currency:""&amp;G27&amp;""""&amp;$G$2&amp;"""")))/100,IF(A27="""","""",IF(G27=$G$2,F27,F27*GOOGLEFINANCE(""Currency:""&amp;G27&amp;""""&amp;$G$2&amp;""""))))"),803.0001)</f>
        <v>803.0001</v>
      </c>
    </row>
    <row r="28">
      <c r="A28" s="462">
        <v>44927.0</v>
      </c>
      <c r="B28" s="463" t="s">
        <v>120</v>
      </c>
      <c r="C28" s="463" t="s">
        <v>296</v>
      </c>
      <c r="D28" s="464">
        <v>1.0</v>
      </c>
      <c r="E28" s="465">
        <v>1323.0</v>
      </c>
      <c r="F28" s="466">
        <f t="shared" si="1"/>
        <v>1323</v>
      </c>
      <c r="G28" s="467" t="str">
        <f>IFERROR(__xludf.DUMMYFUNCTION("IFERROR(IF(C28=""Crypto"",$G$2,(IF(ISBLANK(B28),"""",IF(B28=""Cash"",$G$2,IF(GOOGLEFINANCE(B28,""CURRENCY"")=""GBX"",""GBP"",GOOGLEFINANCE(B28,""CURRENCY"")))))),Conversion!$F$1)"),"INR")</f>
        <v>INR</v>
      </c>
      <c r="H28" s="466">
        <f>IFERROR(__xludf.DUMMYFUNCTION("IF(G28=""GBP"",IF(B28="""","""",IF(G28=$G$2,F28,F28*GOOGLEFINANCE(""currency:""&amp;G28&amp;""""&amp;$G$2&amp;"""")))/100,IF(A28="""","""",IF(G28=$G$2,F28,F28*GOOGLEFINANCE(""Currency:""&amp;G28&amp;""""&amp;$G$2&amp;""""))))"),1323.0)</f>
        <v>1323</v>
      </c>
    </row>
    <row r="29">
      <c r="A29" s="462">
        <v>44927.0</v>
      </c>
      <c r="B29" s="463" t="s">
        <v>121</v>
      </c>
      <c r="C29" s="463" t="s">
        <v>296</v>
      </c>
      <c r="D29" s="464">
        <v>1.0</v>
      </c>
      <c r="E29" s="465">
        <v>330.0</v>
      </c>
      <c r="F29" s="466">
        <f t="shared" si="1"/>
        <v>330</v>
      </c>
      <c r="G29" s="467" t="str">
        <f>IFERROR(__xludf.DUMMYFUNCTION("IFERROR(IF(C29=""Crypto"",$G$2,(IF(ISBLANK(B29),"""",IF(B29=""Cash"",$G$2,IF(GOOGLEFINANCE(B29,""CURRENCY"")=""GBX"",""GBP"",GOOGLEFINANCE(B29,""CURRENCY"")))))),Conversion!$F$1)"),"INR")</f>
        <v>INR</v>
      </c>
      <c r="H29" s="466">
        <f>IFERROR(__xludf.DUMMYFUNCTION("IF(G29=""GBP"",IF(B29="""","""",IF(G29=$G$2,F29,F29*GOOGLEFINANCE(""currency:""&amp;G29&amp;""""&amp;$G$2&amp;"""")))/100,IF(A29="""","""",IF(G29=$G$2,F29,F29*GOOGLEFINANCE(""Currency:""&amp;G29&amp;""""&amp;$G$2&amp;""""))))"),330.0)</f>
        <v>330</v>
      </c>
    </row>
    <row r="30">
      <c r="A30" s="462">
        <v>44927.0</v>
      </c>
      <c r="B30" s="463" t="s">
        <v>122</v>
      </c>
      <c r="C30" s="463" t="s">
        <v>296</v>
      </c>
      <c r="D30" s="464">
        <v>20.0</v>
      </c>
      <c r="E30" s="465">
        <v>43.6</v>
      </c>
      <c r="F30" s="466">
        <f t="shared" si="1"/>
        <v>872</v>
      </c>
      <c r="G30" s="467" t="str">
        <f>IFERROR(__xludf.DUMMYFUNCTION("IFERROR(IF(C30=""Crypto"",$G$2,(IF(ISBLANK(B30),"""",IF(B30=""Cash"",$G$2,IF(GOOGLEFINANCE(B30,""CURRENCY"")=""GBX"",""GBP"",GOOGLEFINANCE(B30,""CURRENCY"")))))),Conversion!$F$1)"),"INR")</f>
        <v>INR</v>
      </c>
      <c r="H30" s="466">
        <f>IFERROR(__xludf.DUMMYFUNCTION("IF(G30=""GBP"",IF(B30="""","""",IF(G30=$G$2,F30,F30*GOOGLEFINANCE(""currency:""&amp;G30&amp;""""&amp;$G$2&amp;"""")))/100,IF(A30="""","""",IF(G30=$G$2,F30,F30*GOOGLEFINANCE(""Currency:""&amp;G30&amp;""""&amp;$G$2&amp;""""))))"),872.0)</f>
        <v>872</v>
      </c>
    </row>
    <row r="31">
      <c r="A31" s="462">
        <v>44927.0</v>
      </c>
      <c r="B31" s="463" t="s">
        <v>123</v>
      </c>
      <c r="C31" s="463" t="s">
        <v>296</v>
      </c>
      <c r="D31" s="464">
        <v>1.0</v>
      </c>
      <c r="E31" s="465">
        <v>828.0</v>
      </c>
      <c r="F31" s="466">
        <f t="shared" si="1"/>
        <v>828</v>
      </c>
      <c r="G31" s="467" t="str">
        <f>IFERROR(__xludf.DUMMYFUNCTION("IFERROR(IF(C31=""Crypto"",$G$2,(IF(ISBLANK(B31),"""",IF(B31=""Cash"",$G$2,IF(GOOGLEFINANCE(B31,""CURRENCY"")=""GBX"",""GBP"",GOOGLEFINANCE(B31,""CURRENCY"")))))),Conversion!$F$1)"),"INR")</f>
        <v>INR</v>
      </c>
      <c r="H31" s="466">
        <f>IFERROR(__xludf.DUMMYFUNCTION("IF(G31=""GBP"",IF(B31="""","""",IF(G31=$G$2,F31,F31*GOOGLEFINANCE(""currency:""&amp;G31&amp;""""&amp;$G$2&amp;"""")))/100,IF(A31="""","""",IF(G31=$G$2,F31,F31*GOOGLEFINANCE(""Currency:""&amp;G31&amp;""""&amp;$G$2&amp;""""))))"),828.0)</f>
        <v>828</v>
      </c>
    </row>
    <row r="32">
      <c r="A32" s="462">
        <v>44927.0</v>
      </c>
      <c r="B32" s="463" t="s">
        <v>124</v>
      </c>
      <c r="C32" s="463" t="s">
        <v>296</v>
      </c>
      <c r="D32" s="464">
        <v>200.0</v>
      </c>
      <c r="E32" s="465">
        <v>23.5478</v>
      </c>
      <c r="F32" s="466">
        <f t="shared" si="1"/>
        <v>4709.56</v>
      </c>
      <c r="G32" s="467" t="str">
        <f>IFERROR(__xludf.DUMMYFUNCTION("IFERROR(IF(C32=""Crypto"",$G$2,(IF(ISBLANK(B32),"""",IF(B32=""Cash"",$G$2,IF(GOOGLEFINANCE(B32,""CURRENCY"")=""GBX"",""GBP"",GOOGLEFINANCE(B32,""CURRENCY"")))))),Conversion!$F$1)"),"INR")</f>
        <v>INR</v>
      </c>
      <c r="H32" s="466">
        <f>IFERROR(__xludf.DUMMYFUNCTION("IF(G32=""GBP"",IF(B32="""","""",IF(G32=$G$2,F32,F32*GOOGLEFINANCE(""currency:""&amp;G32&amp;""""&amp;$G$2&amp;"""")))/100,IF(A32="""","""",IF(G32=$G$2,F32,F32*GOOGLEFINANCE(""Currency:""&amp;G32&amp;""""&amp;$G$2&amp;""""))))"),4709.5599999999995)</f>
        <v>4709.56</v>
      </c>
    </row>
    <row r="33">
      <c r="A33" s="462">
        <v>44927.0</v>
      </c>
      <c r="B33" s="463" t="s">
        <v>125</v>
      </c>
      <c r="C33" s="463" t="s">
        <v>296</v>
      </c>
      <c r="D33" s="464">
        <v>1.0</v>
      </c>
      <c r="E33" s="465">
        <v>169.7</v>
      </c>
      <c r="F33" s="466">
        <f t="shared" si="1"/>
        <v>169.7</v>
      </c>
      <c r="G33" s="467" t="str">
        <f>IFERROR(__xludf.DUMMYFUNCTION("IFERROR(IF(C33=""Crypto"",$G$2,(IF(ISBLANK(B33),"""",IF(B33=""Cash"",$G$2,IF(GOOGLEFINANCE(B33,""CURRENCY"")=""GBX"",""GBP"",GOOGLEFINANCE(B33,""CURRENCY"")))))),Conversion!$F$1)"),"INR")</f>
        <v>INR</v>
      </c>
      <c r="H33" s="466">
        <f>IFERROR(__xludf.DUMMYFUNCTION("IF(G33=""GBP"",IF(B33="""","""",IF(G33=$G$2,F33,F33*GOOGLEFINANCE(""currency:""&amp;G33&amp;""""&amp;$G$2&amp;"""")))/100,IF(A33="""","""",IF(G33=$G$2,F33,F33*GOOGLEFINANCE(""Currency:""&amp;G33&amp;""""&amp;$G$2&amp;""""))))"),169.7)</f>
        <v>169.7</v>
      </c>
    </row>
    <row r="34">
      <c r="A34" s="462">
        <v>44927.0</v>
      </c>
      <c r="B34" s="463" t="s">
        <v>128</v>
      </c>
      <c r="C34" s="463" t="s">
        <v>296</v>
      </c>
      <c r="D34" s="464">
        <v>6.0</v>
      </c>
      <c r="E34" s="465">
        <v>628.6667</v>
      </c>
      <c r="F34" s="466">
        <f t="shared" si="1"/>
        <v>3772.0002</v>
      </c>
      <c r="G34" s="467" t="str">
        <f>IFERROR(__xludf.DUMMYFUNCTION("IFERROR(IF(C34=""Crypto"",$G$2,(IF(ISBLANK(B34),"""",IF(B34=""Cash"",$G$2,IF(GOOGLEFINANCE(B34,""CURRENCY"")=""GBX"",""GBP"",GOOGLEFINANCE(B34,""CURRENCY"")))))),Conversion!$F$1)"),"INR")</f>
        <v>INR</v>
      </c>
      <c r="H34" s="466">
        <f>IFERROR(__xludf.DUMMYFUNCTION("IF(G34=""GBP"",IF(B34="""","""",IF(G34=$G$2,F34,F34*GOOGLEFINANCE(""currency:""&amp;G34&amp;""""&amp;$G$2&amp;"""")))/100,IF(A34="""","""",IF(G34=$G$2,F34,F34*GOOGLEFINANCE(""Currency:""&amp;G34&amp;""""&amp;$G$2&amp;""""))))"),3772.0002)</f>
        <v>3772.0002</v>
      </c>
    </row>
    <row r="35">
      <c r="A35" s="462">
        <v>44927.0</v>
      </c>
      <c r="B35" s="463" t="s">
        <v>130</v>
      </c>
      <c r="C35" s="463" t="s">
        <v>296</v>
      </c>
      <c r="D35" s="464">
        <v>1.0</v>
      </c>
      <c r="E35" s="465">
        <v>3661.0</v>
      </c>
      <c r="F35" s="466">
        <f t="shared" si="1"/>
        <v>3661</v>
      </c>
      <c r="G35" s="467" t="str">
        <f>IFERROR(__xludf.DUMMYFUNCTION("IFERROR(IF(C35=""Crypto"",$G$2,(IF(ISBLANK(B35),"""",IF(B35=""Cash"",$G$2,IF(GOOGLEFINANCE(B35,""CURRENCY"")=""GBX"",""GBP"",GOOGLEFINANCE(B35,""CURRENCY"")))))),Conversion!$F$1)"),"INR")</f>
        <v>INR</v>
      </c>
      <c r="H35" s="466">
        <f>IFERROR(__xludf.DUMMYFUNCTION("IF(G35=""GBP"",IF(B35="""","""",IF(G35=$G$2,F35,F35*GOOGLEFINANCE(""currency:""&amp;G35&amp;""""&amp;$G$2&amp;"""")))/100,IF(A35="""","""",IF(G35=$G$2,F35,F35*GOOGLEFINANCE(""Currency:""&amp;G35&amp;""""&amp;$G$2&amp;""""))))"),3661.0)</f>
        <v>3661</v>
      </c>
    </row>
    <row r="36">
      <c r="A36" s="462">
        <v>44927.0</v>
      </c>
      <c r="B36" s="463" t="s">
        <v>133</v>
      </c>
      <c r="C36" s="463" t="s">
        <v>296</v>
      </c>
      <c r="D36" s="464">
        <v>1.0</v>
      </c>
      <c r="E36" s="465">
        <v>768.0</v>
      </c>
      <c r="F36" s="466">
        <f t="shared" si="1"/>
        <v>768</v>
      </c>
      <c r="G36" s="467" t="str">
        <f>IFERROR(__xludf.DUMMYFUNCTION("IFERROR(IF(C36=""Crypto"",$G$2,(IF(ISBLANK(B36),"""",IF(B36=""Cash"",$G$2,IF(GOOGLEFINANCE(B36,""CURRENCY"")=""GBX"",""GBP"",GOOGLEFINANCE(B36,""CURRENCY"")))))),Conversion!$F$1)"),"INR")</f>
        <v>INR</v>
      </c>
      <c r="H36" s="466">
        <f>IFERROR(__xludf.DUMMYFUNCTION("IF(G36=""GBP"",IF(B36="""","""",IF(G36=$G$2,F36,F36*GOOGLEFINANCE(""currency:""&amp;G36&amp;""""&amp;$G$2&amp;"""")))/100,IF(A36="""","""",IF(G36=$G$2,F36,F36*GOOGLEFINANCE(""Currency:""&amp;G36&amp;""""&amp;$G$2&amp;""""))))"),768.0)</f>
        <v>768</v>
      </c>
    </row>
    <row r="37">
      <c r="A37" s="462">
        <v>44927.0</v>
      </c>
      <c r="B37" s="463" t="s">
        <v>134</v>
      </c>
      <c r="C37" s="463" t="s">
        <v>296</v>
      </c>
      <c r="D37" s="464">
        <v>1.0</v>
      </c>
      <c r="E37" s="465">
        <v>195.1788</v>
      </c>
      <c r="F37" s="466">
        <f t="shared" si="1"/>
        <v>195.1788</v>
      </c>
      <c r="G37" s="467" t="str">
        <f>IFERROR(__xludf.DUMMYFUNCTION("IFERROR(IF(C37=""Crypto"",$G$2,(IF(ISBLANK(B37),"""",IF(B37=""Cash"",$G$2,IF(GOOGLEFINANCE(B37,""CURRENCY"")=""GBX"",""GBP"",GOOGLEFINANCE(B37,""CURRENCY"")))))),Conversion!$F$1)"),"INR")</f>
        <v>INR</v>
      </c>
      <c r="H37" s="466">
        <f>IFERROR(__xludf.DUMMYFUNCTION("IF(G37=""GBP"",IF(B37="""","""",IF(G37=$G$2,F37,F37*GOOGLEFINANCE(""currency:""&amp;G37&amp;""""&amp;$G$2&amp;"""")))/100,IF(A37="""","""",IF(G37=$G$2,F37,F37*GOOGLEFINANCE(""Currency:""&amp;G37&amp;""""&amp;$G$2&amp;""""))))"),195.1788)</f>
        <v>195.1788</v>
      </c>
    </row>
    <row r="38">
      <c r="A38" s="462">
        <v>44927.0</v>
      </c>
      <c r="B38" s="463" t="s">
        <v>208</v>
      </c>
      <c r="C38" s="463" t="s">
        <v>296</v>
      </c>
      <c r="D38" s="464">
        <v>16.0</v>
      </c>
      <c r="E38" s="465">
        <v>18.9955</v>
      </c>
      <c r="F38" s="466">
        <f t="shared" si="1"/>
        <v>303.928</v>
      </c>
      <c r="G38" s="467" t="str">
        <f>IFERROR(__xludf.DUMMYFUNCTION("IFERROR(IF(C38=""Crypto"",$G$2,(IF(ISBLANK(B38),"""",IF(B38=""Cash"",$G$2,IF(GOOGLEFINANCE(B38,""CURRENCY"")=""GBX"",""GBP"",GOOGLEFINANCE(B38,""CURRENCY"")))))),Conversion!$F$1)"),"INR")</f>
        <v>INR</v>
      </c>
      <c r="H38" s="466">
        <f>IFERROR(__xludf.DUMMYFUNCTION("IF(G38=""GBP"",IF(B38="""","""",IF(G38=$G$2,F38,F38*GOOGLEFINANCE(""currency:""&amp;G38&amp;""""&amp;$G$2&amp;"""")))/100,IF(A38="""","""",IF(G38=$G$2,F38,F38*GOOGLEFINANCE(""Currency:""&amp;G38&amp;""""&amp;$G$2&amp;""""))))"),303.928)</f>
        <v>303.928</v>
      </c>
    </row>
    <row r="39">
      <c r="A39" s="462">
        <v>44927.0</v>
      </c>
      <c r="B39" s="463" t="s">
        <v>136</v>
      </c>
      <c r="C39" s="463" t="s">
        <v>296</v>
      </c>
      <c r="D39" s="464">
        <v>2.0</v>
      </c>
      <c r="E39" s="465">
        <v>1138.0</v>
      </c>
      <c r="F39" s="466">
        <f t="shared" si="1"/>
        <v>2276</v>
      </c>
      <c r="G39" s="467" t="str">
        <f>IFERROR(__xludf.DUMMYFUNCTION("IFERROR(IF(C39=""Crypto"",$G$2,(IF(ISBLANK(B39),"""",IF(B39=""Cash"",$G$2,IF(GOOGLEFINANCE(B39,""CURRENCY"")=""GBX"",""GBP"",GOOGLEFINANCE(B39,""CURRENCY"")))))),Conversion!$F$1)"),"INR")</f>
        <v>INR</v>
      </c>
      <c r="H39" s="466">
        <f>IFERROR(__xludf.DUMMYFUNCTION("IF(G39=""GBP"",IF(B39="""","""",IF(G39=$G$2,F39,F39*GOOGLEFINANCE(""currency:""&amp;G39&amp;""""&amp;$G$2&amp;"""")))/100,IF(A39="""","""",IF(G39=$G$2,F39,F39*GOOGLEFINANCE(""Currency:""&amp;G39&amp;""""&amp;$G$2&amp;""""))))"),2276.0)</f>
        <v>2276</v>
      </c>
    </row>
    <row r="40">
      <c r="A40" s="462">
        <v>44927.0</v>
      </c>
      <c r="B40" s="463" t="s">
        <v>137</v>
      </c>
      <c r="C40" s="463" t="s">
        <v>296</v>
      </c>
      <c r="D40" s="464">
        <v>2.0</v>
      </c>
      <c r="E40" s="465">
        <v>1259.75</v>
      </c>
      <c r="F40" s="466">
        <f t="shared" si="1"/>
        <v>2519.5</v>
      </c>
      <c r="G40" s="467" t="str">
        <f>IFERROR(__xludf.DUMMYFUNCTION("IFERROR(IF(C40=""Crypto"",$G$2,(IF(ISBLANK(B40),"""",IF(B40=""Cash"",$G$2,IF(GOOGLEFINANCE(B40,""CURRENCY"")=""GBX"",""GBP"",GOOGLEFINANCE(B40,""CURRENCY"")))))),Conversion!$F$1)"),"INR")</f>
        <v>INR</v>
      </c>
      <c r="H40" s="466">
        <f>IFERROR(__xludf.DUMMYFUNCTION("IF(G40=""GBP"",IF(B40="""","""",IF(G40=$G$2,F40,F40*GOOGLEFINANCE(""currency:""&amp;G40&amp;""""&amp;$G$2&amp;"""")))/100,IF(A40="""","""",IF(G40=$G$2,F40,F40*GOOGLEFINANCE(""Currency:""&amp;G40&amp;""""&amp;$G$2&amp;""""))))"),2519.5)</f>
        <v>2519.5</v>
      </c>
    </row>
    <row r="41">
      <c r="A41" s="462">
        <v>44927.0</v>
      </c>
      <c r="B41" s="463" t="s">
        <v>140</v>
      </c>
      <c r="C41" s="463" t="s">
        <v>296</v>
      </c>
      <c r="D41" s="464">
        <v>1.0</v>
      </c>
      <c r="E41" s="465">
        <v>794.0</v>
      </c>
      <c r="F41" s="466">
        <f t="shared" si="1"/>
        <v>794</v>
      </c>
      <c r="G41" s="467" t="str">
        <f>IFERROR(__xludf.DUMMYFUNCTION("IFERROR(IF(C41=""Crypto"",$G$2,(IF(ISBLANK(B41),"""",IF(B41=""Cash"",$G$2,IF(GOOGLEFINANCE(B41,""CURRENCY"")=""GBX"",""GBP"",GOOGLEFINANCE(B41,""CURRENCY"")))))),Conversion!$F$1)"),"INR")</f>
        <v>INR</v>
      </c>
      <c r="H41" s="466">
        <f>IFERROR(__xludf.DUMMYFUNCTION("IF(G41=""GBP"",IF(B41="""","""",IF(G41=$G$2,F41,F41*GOOGLEFINANCE(""currency:""&amp;G41&amp;""""&amp;$G$2&amp;"""")))/100,IF(A41="""","""",IF(G41=$G$2,F41,F41*GOOGLEFINANCE(""Currency:""&amp;G41&amp;""""&amp;$G$2&amp;""""))))"),794.0)</f>
        <v>794</v>
      </c>
    </row>
    <row r="42">
      <c r="A42" s="462">
        <v>44927.0</v>
      </c>
      <c r="B42" s="463" t="s">
        <v>141</v>
      </c>
      <c r="C42" s="463" t="s">
        <v>296</v>
      </c>
      <c r="D42" s="464">
        <v>1.0</v>
      </c>
      <c r="E42" s="465">
        <v>15075.45</v>
      </c>
      <c r="F42" s="466">
        <f t="shared" si="1"/>
        <v>15075.45</v>
      </c>
      <c r="G42" s="467" t="str">
        <f>IFERROR(__xludf.DUMMYFUNCTION("IFERROR(IF(C42=""Crypto"",$G$2,(IF(ISBLANK(B42),"""",IF(B42=""Cash"",$G$2,IF(GOOGLEFINANCE(B42,""CURRENCY"")=""GBX"",""GBP"",GOOGLEFINANCE(B42,""CURRENCY"")))))),Conversion!$F$1)"),"INR")</f>
        <v>INR</v>
      </c>
      <c r="H42" s="466">
        <f>IFERROR(__xludf.DUMMYFUNCTION("IF(G42=""GBP"",IF(B42="""","""",IF(G42=$G$2,F42,F42*GOOGLEFINANCE(""currency:""&amp;G42&amp;""""&amp;$G$2&amp;"""")))/100,IF(A42="""","""",IF(G42=$G$2,F42,F42*GOOGLEFINANCE(""Currency:""&amp;G42&amp;""""&amp;$G$2&amp;""""))))"),15075.45)</f>
        <v>15075.45</v>
      </c>
    </row>
    <row r="43">
      <c r="A43" s="462">
        <v>44927.0</v>
      </c>
      <c r="B43" s="463" t="s">
        <v>145</v>
      </c>
      <c r="C43" s="463" t="s">
        <v>296</v>
      </c>
      <c r="D43" s="463">
        <v>1.0</v>
      </c>
      <c r="E43" s="465">
        <v>666.3</v>
      </c>
      <c r="F43" s="466">
        <f t="shared" si="1"/>
        <v>666.3</v>
      </c>
      <c r="G43" s="467" t="str">
        <f>IFERROR(__xludf.DUMMYFUNCTION("IFERROR(IF(C43=""Crypto"",$G$2,(IF(ISBLANK(B43),"""",IF(B43=""Cash"",$G$2,IF(GOOGLEFINANCE(B43,""CURRENCY"")=""GBX"",""GBP"",GOOGLEFINANCE(B43,""CURRENCY"")))))),Conversion!$F$1)"),"INR")</f>
        <v>INR</v>
      </c>
      <c r="H43" s="466">
        <f>IFERROR(__xludf.DUMMYFUNCTION("IF(G43=""GBP"",IF(B43="""","""",IF(G43=$G$2,F43,F43*GOOGLEFINANCE(""currency:""&amp;G43&amp;""""&amp;$G$2&amp;"""")))/100,IF(A43="""","""",IF(G43=$G$2,F43,F43*GOOGLEFINANCE(""Currency:""&amp;G43&amp;""""&amp;$G$2&amp;""""))))"),666.3)</f>
        <v>666.3</v>
      </c>
    </row>
    <row r="44">
      <c r="A44" s="462">
        <v>44927.0</v>
      </c>
      <c r="B44" s="463" t="s">
        <v>146</v>
      </c>
      <c r="C44" s="463" t="s">
        <v>296</v>
      </c>
      <c r="D44" s="463">
        <v>1.0</v>
      </c>
      <c r="E44" s="465">
        <v>140.5</v>
      </c>
      <c r="F44" s="466">
        <f t="shared" si="1"/>
        <v>140.5</v>
      </c>
      <c r="G44" s="467" t="str">
        <f>IFERROR(__xludf.DUMMYFUNCTION("IFERROR(IF(C44=""Crypto"",$G$2,(IF(ISBLANK(B44),"""",IF(B44=""Cash"",$G$2,IF(GOOGLEFINANCE(B44,""CURRENCY"")=""GBX"",""GBP"",GOOGLEFINANCE(B44,""CURRENCY"")))))),Conversion!$F$1)"),"INR")</f>
        <v>INR</v>
      </c>
      <c r="H44" s="466">
        <f>IFERROR(__xludf.DUMMYFUNCTION("IF(G44=""GBP"",IF(B44="""","""",IF(G44=$G$2,F44,F44*GOOGLEFINANCE(""currency:""&amp;G44&amp;""""&amp;$G$2&amp;"""")))/100,IF(A44="""","""",IF(G44=$G$2,F44,F44*GOOGLEFINANCE(""Currency:""&amp;G44&amp;""""&amp;$G$2&amp;""""))))"),140.5)</f>
        <v>140.5</v>
      </c>
    </row>
    <row r="45">
      <c r="A45" s="462">
        <v>44927.0</v>
      </c>
      <c r="B45" s="463" t="s">
        <v>148</v>
      </c>
      <c r="C45" s="463" t="s">
        <v>296</v>
      </c>
      <c r="D45" s="463">
        <v>3.0</v>
      </c>
      <c r="E45" s="465">
        <v>2299.23</v>
      </c>
      <c r="F45" s="466">
        <f t="shared" si="1"/>
        <v>6897.69</v>
      </c>
      <c r="G45" s="467" t="str">
        <f>IFERROR(__xludf.DUMMYFUNCTION("IFERROR(IF(C45=""Crypto"",$G$2,(IF(ISBLANK(B45),"""",IF(B45=""Cash"",$G$2,IF(GOOGLEFINANCE(B45,""CURRENCY"")=""GBX"",""GBP"",GOOGLEFINANCE(B45,""CURRENCY"")))))),Conversion!$F$1)"),"INR")</f>
        <v>INR</v>
      </c>
      <c r="H45" s="466">
        <f>IFERROR(__xludf.DUMMYFUNCTION("IF(G45=""GBP"",IF(B45="""","""",IF(G45=$G$2,F45,F45*GOOGLEFINANCE(""currency:""&amp;G45&amp;""""&amp;$G$2&amp;"""")))/100,IF(A45="""","""",IF(G45=$G$2,F45,F45*GOOGLEFINANCE(""Currency:""&amp;G45&amp;""""&amp;$G$2&amp;""""))))"),6897.6900000000005)</f>
        <v>6897.69</v>
      </c>
    </row>
    <row r="46">
      <c r="A46" s="462">
        <v>44927.0</v>
      </c>
      <c r="B46" s="463" t="s">
        <v>150</v>
      </c>
      <c r="C46" s="463" t="s">
        <v>296</v>
      </c>
      <c r="D46" s="463">
        <v>10.0</v>
      </c>
      <c r="E46" s="465">
        <v>34.29</v>
      </c>
      <c r="F46" s="466">
        <f t="shared" si="1"/>
        <v>342.9</v>
      </c>
      <c r="G46" s="467" t="str">
        <f>IFERROR(__xludf.DUMMYFUNCTION("IFERROR(IF(C46=""Crypto"",$G$2,(IF(ISBLANK(B46),"""",IF(B46=""Cash"",$G$2,IF(GOOGLEFINANCE(B46,""CURRENCY"")=""GBX"",""GBP"",GOOGLEFINANCE(B46,""CURRENCY"")))))),Conversion!$F$1)"),"INR")</f>
        <v>INR</v>
      </c>
      <c r="H46" s="466">
        <f>IFERROR(__xludf.DUMMYFUNCTION("IF(G46=""GBP"",IF(B46="""","""",IF(G46=$G$2,F46,F46*GOOGLEFINANCE(""currency:""&amp;G46&amp;""""&amp;$G$2&amp;"""")))/100,IF(A46="""","""",IF(G46=$G$2,F46,F46*GOOGLEFINANCE(""Currency:""&amp;G46&amp;""""&amp;$G$2&amp;""""))))"),342.9)</f>
        <v>342.9</v>
      </c>
    </row>
    <row r="47">
      <c r="A47" s="462">
        <v>44927.0</v>
      </c>
      <c r="B47" s="463" t="s">
        <v>152</v>
      </c>
      <c r="C47" s="463" t="s">
        <v>296</v>
      </c>
      <c r="D47" s="463">
        <v>10.0</v>
      </c>
      <c r="E47" s="465">
        <v>155.0</v>
      </c>
      <c r="F47" s="466">
        <f t="shared" si="1"/>
        <v>1550</v>
      </c>
      <c r="G47" s="467" t="str">
        <f>IFERROR(__xludf.DUMMYFUNCTION("IFERROR(IF(C47=""Crypto"",$G$2,(IF(ISBLANK(B47),"""",IF(B47=""Cash"",$G$2,IF(GOOGLEFINANCE(B47,""CURRENCY"")=""GBX"",""GBP"",GOOGLEFINANCE(B47,""CURRENCY"")))))),Conversion!$F$1)"),"INR")</f>
        <v>INR</v>
      </c>
      <c r="H47" s="466">
        <f>IFERROR(__xludf.DUMMYFUNCTION("IF(G47=""GBP"",IF(B47="""","""",IF(G47=$G$2,F47,F47*GOOGLEFINANCE(""currency:""&amp;G47&amp;""""&amp;$G$2&amp;"""")))/100,IF(A47="""","""",IF(G47=$G$2,F47,F47*GOOGLEFINANCE(""Currency:""&amp;G47&amp;""""&amp;$G$2&amp;""""))))"),1550.0)</f>
        <v>1550</v>
      </c>
    </row>
    <row r="48">
      <c r="A48" s="462">
        <v>44927.0</v>
      </c>
      <c r="B48" s="463" t="s">
        <v>153</v>
      </c>
      <c r="C48" s="463" t="s">
        <v>296</v>
      </c>
      <c r="D48" s="463">
        <v>1.0</v>
      </c>
      <c r="E48" s="465">
        <v>2164.0</v>
      </c>
      <c r="F48" s="466">
        <f t="shared" si="1"/>
        <v>2164</v>
      </c>
      <c r="G48" s="467" t="str">
        <f>IFERROR(__xludf.DUMMYFUNCTION("IFERROR(IF(C48=""Crypto"",$G$2,(IF(ISBLANK(B48),"""",IF(B48=""Cash"",$G$2,IF(GOOGLEFINANCE(B48,""CURRENCY"")=""GBX"",""GBP"",GOOGLEFINANCE(B48,""CURRENCY"")))))),Conversion!$F$1)"),"INR")</f>
        <v>INR</v>
      </c>
      <c r="H48" s="466">
        <f>IFERROR(__xludf.DUMMYFUNCTION("IF(G48=""GBP"",IF(B48="""","""",IF(G48=$G$2,F48,F48*GOOGLEFINANCE(""currency:""&amp;G48&amp;""""&amp;$G$2&amp;"""")))/100,IF(A48="""","""",IF(G48=$G$2,F48,F48*GOOGLEFINANCE(""Currency:""&amp;G48&amp;""""&amp;$G$2&amp;""""))))"),2164.0)</f>
        <v>2164</v>
      </c>
    </row>
    <row r="49">
      <c r="A49" s="462">
        <v>44927.0</v>
      </c>
      <c r="B49" s="463" t="s">
        <v>154</v>
      </c>
      <c r="C49" s="463" t="s">
        <v>296</v>
      </c>
      <c r="D49" s="463">
        <v>60.0</v>
      </c>
      <c r="E49" s="465">
        <v>16.85</v>
      </c>
      <c r="F49" s="466">
        <f t="shared" si="1"/>
        <v>1011</v>
      </c>
      <c r="G49" s="467" t="str">
        <f>IFERROR(__xludf.DUMMYFUNCTION("IFERROR(IF(C49=""Crypto"",$G$2,(IF(ISBLANK(B49),"""",IF(B49=""Cash"",$G$2,IF(GOOGLEFINANCE(B49,""CURRENCY"")=""GBX"",""GBP"",GOOGLEFINANCE(B49,""CURRENCY"")))))),Conversion!$F$1)"),"INR")</f>
        <v>INR</v>
      </c>
      <c r="H49" s="466">
        <f>IFERROR(__xludf.DUMMYFUNCTION("IF(G49=""GBP"",IF(B49="""","""",IF(G49=$G$2,F49,F49*GOOGLEFINANCE(""currency:""&amp;G49&amp;""""&amp;$G$2&amp;"""")))/100,IF(A49="""","""",IF(G49=$G$2,F49,F49*GOOGLEFINANCE(""Currency:""&amp;G49&amp;""""&amp;$G$2&amp;""""))))"),1011.0000000000001)</f>
        <v>1011</v>
      </c>
    </row>
    <row r="50">
      <c r="A50" s="462">
        <v>44927.0</v>
      </c>
      <c r="B50" s="463" t="s">
        <v>262</v>
      </c>
      <c r="C50" s="463" t="s">
        <v>296</v>
      </c>
      <c r="D50" s="463">
        <v>10.0</v>
      </c>
      <c r="E50" s="465">
        <v>9.88</v>
      </c>
      <c r="F50" s="466">
        <f t="shared" si="1"/>
        <v>98.8</v>
      </c>
      <c r="G50" s="467" t="str">
        <f>IFERROR(__xludf.DUMMYFUNCTION("IFERROR(IF(C50=""Crypto"",$G$2,(IF(ISBLANK(B50),"""",IF(B50=""Cash"",$G$2,IF(GOOGLEFINANCE(B50,""CURRENCY"")=""GBX"",""GBP"",GOOGLEFINANCE(B50,""CURRENCY"")))))),Conversion!$F$1)"),"INR")</f>
        <v>INR</v>
      </c>
      <c r="H50" s="466">
        <f>IFERROR(__xludf.DUMMYFUNCTION("IF(G50=""GBP"",IF(B50="""","""",IF(G50=$G$2,F50,F50*GOOGLEFINANCE(""currency:""&amp;G50&amp;""""&amp;$G$2&amp;"""")))/100,IF(A50="""","""",IF(G50=$G$2,F50,F50*GOOGLEFINANCE(""Currency:""&amp;G50&amp;""""&amp;$G$2&amp;""""))))"),98.80000000000001)</f>
        <v>98.8</v>
      </c>
    </row>
    <row r="51">
      <c r="A51" s="462">
        <v>44927.0</v>
      </c>
      <c r="B51" s="463" t="s">
        <v>263</v>
      </c>
      <c r="C51" s="463" t="s">
        <v>296</v>
      </c>
      <c r="D51" s="463">
        <v>100.0</v>
      </c>
      <c r="E51" s="465">
        <v>53.05</v>
      </c>
      <c r="F51" s="466">
        <f t="shared" si="1"/>
        <v>5305</v>
      </c>
      <c r="G51" s="467" t="str">
        <f>IFERROR(__xludf.DUMMYFUNCTION("IFERROR(IF(C51=""Crypto"",$G$2,(IF(ISBLANK(B51),"""",IF(B51=""Cash"",$G$2,IF(GOOGLEFINANCE(B51,""CURRENCY"")=""GBX"",""GBP"",GOOGLEFINANCE(B51,""CURRENCY"")))))),Conversion!$F$1)"),"INR")</f>
        <v>INR</v>
      </c>
      <c r="H51" s="466">
        <f>IFERROR(__xludf.DUMMYFUNCTION("IF(G51=""GBP"",IF(B51="""","""",IF(G51=$G$2,F51,F51*GOOGLEFINANCE(""currency:""&amp;G51&amp;""""&amp;$G$2&amp;"""")))/100,IF(A51="""","""",IF(G51=$G$2,F51,F51*GOOGLEFINANCE(""Currency:""&amp;G51&amp;""""&amp;$G$2&amp;""""))))"),5305.0)</f>
        <v>5305</v>
      </c>
    </row>
    <row r="52">
      <c r="A52" s="462">
        <v>44927.0</v>
      </c>
      <c r="B52" s="463" t="s">
        <v>155</v>
      </c>
      <c r="C52" s="463" t="s">
        <v>296</v>
      </c>
      <c r="D52" s="463">
        <v>2.0</v>
      </c>
      <c r="E52" s="465">
        <v>571.0</v>
      </c>
      <c r="F52" s="466">
        <f t="shared" si="1"/>
        <v>1142</v>
      </c>
      <c r="G52" s="467" t="str">
        <f>IFERROR(__xludf.DUMMYFUNCTION("IFERROR(IF(C52=""Crypto"",$G$2,(IF(ISBLANK(B52),"""",IF(B52=""Cash"",$G$2,IF(GOOGLEFINANCE(B52,""CURRENCY"")=""GBX"",""GBP"",GOOGLEFINANCE(B52,""CURRENCY"")))))),Conversion!$F$1)"),"INR")</f>
        <v>INR</v>
      </c>
      <c r="H52" s="466">
        <f>IFERROR(__xludf.DUMMYFUNCTION("IF(G52=""GBP"",IF(B52="""","""",IF(G52=$G$2,F52,F52*GOOGLEFINANCE(""currency:""&amp;G52&amp;""""&amp;$G$2&amp;"""")))/100,IF(A52="""","""",IF(G52=$G$2,F52,F52*GOOGLEFINANCE(""Currency:""&amp;G52&amp;""""&amp;$G$2&amp;""""))))"),1142.0)</f>
        <v>1142</v>
      </c>
    </row>
    <row r="53">
      <c r="A53" s="462">
        <v>44927.0</v>
      </c>
      <c r="B53" s="463" t="s">
        <v>157</v>
      </c>
      <c r="C53" s="463" t="s">
        <v>296</v>
      </c>
      <c r="D53" s="463">
        <v>10.0</v>
      </c>
      <c r="E53" s="465">
        <v>296.55</v>
      </c>
      <c r="F53" s="466">
        <f t="shared" si="1"/>
        <v>2965.5</v>
      </c>
      <c r="G53" s="467" t="str">
        <f>IFERROR(__xludf.DUMMYFUNCTION("IFERROR(IF(C53=""Crypto"",$G$2,(IF(ISBLANK(B53),"""",IF(B53=""Cash"",$G$2,IF(GOOGLEFINANCE(B53,""CURRENCY"")=""GBX"",""GBP"",GOOGLEFINANCE(B53,""CURRENCY"")))))),Conversion!$F$1)"),"INR")</f>
        <v>INR</v>
      </c>
      <c r="H53" s="466">
        <f>IFERROR(__xludf.DUMMYFUNCTION("IF(G53=""GBP"",IF(B53="""","""",IF(G53=$G$2,F53,F53*GOOGLEFINANCE(""currency:""&amp;G53&amp;""""&amp;$G$2&amp;"""")))/100,IF(A53="""","""",IF(G53=$G$2,F53,F53*GOOGLEFINANCE(""Currency:""&amp;G53&amp;""""&amp;$G$2&amp;""""))))"),2965.5)</f>
        <v>2965.5</v>
      </c>
    </row>
    <row r="54">
      <c r="A54" s="462">
        <v>44927.0</v>
      </c>
      <c r="B54" s="463" t="s">
        <v>158</v>
      </c>
      <c r="C54" s="463" t="s">
        <v>296</v>
      </c>
      <c r="D54" s="463">
        <v>1.0</v>
      </c>
      <c r="E54" s="465">
        <v>74.0</v>
      </c>
      <c r="F54" s="466">
        <f t="shared" si="1"/>
        <v>74</v>
      </c>
      <c r="G54" s="467" t="str">
        <f>IFERROR(__xludf.DUMMYFUNCTION("IFERROR(IF(C54=""Crypto"",$G$2,(IF(ISBLANK(B54),"""",IF(B54=""Cash"",$G$2,IF(GOOGLEFINANCE(B54,""CURRENCY"")=""GBX"",""GBP"",GOOGLEFINANCE(B54,""CURRENCY"")))))),Conversion!$F$1)"),"INR")</f>
        <v>INR</v>
      </c>
      <c r="H54" s="466">
        <f>IFERROR(__xludf.DUMMYFUNCTION("IF(G54=""GBP"",IF(B54="""","""",IF(G54=$G$2,F54,F54*GOOGLEFINANCE(""currency:""&amp;G54&amp;""""&amp;$G$2&amp;"""")))/100,IF(A54="""","""",IF(G54=$G$2,F54,F54*GOOGLEFINANCE(""Currency:""&amp;G54&amp;""""&amp;$G$2&amp;""""))))"),74.0)</f>
        <v>74</v>
      </c>
    </row>
    <row r="55">
      <c r="A55" s="462">
        <v>44927.0</v>
      </c>
      <c r="B55" s="463" t="s">
        <v>159</v>
      </c>
      <c r="C55" s="463" t="s">
        <v>296</v>
      </c>
      <c r="D55" s="463">
        <v>1.0</v>
      </c>
      <c r="E55" s="465">
        <v>3695.0</v>
      </c>
      <c r="F55" s="466">
        <f t="shared" si="1"/>
        <v>3695</v>
      </c>
      <c r="G55" s="467" t="str">
        <f>IFERROR(__xludf.DUMMYFUNCTION("IFERROR(IF(C55=""Crypto"",$G$2,(IF(ISBLANK(B55),"""",IF(B55=""Cash"",$G$2,IF(GOOGLEFINANCE(B55,""CURRENCY"")=""GBX"",""GBP"",GOOGLEFINANCE(B55,""CURRENCY"")))))),Conversion!$F$1)"),"INR")</f>
        <v>INR</v>
      </c>
      <c r="H55" s="466">
        <f>IFERROR(__xludf.DUMMYFUNCTION("IF(G55=""GBP"",IF(B55="""","""",IF(G55=$G$2,F55,F55*GOOGLEFINANCE(""currency:""&amp;G55&amp;""""&amp;$G$2&amp;"""")))/100,IF(A55="""","""",IF(G55=$G$2,F55,F55*GOOGLEFINANCE(""Currency:""&amp;G55&amp;""""&amp;$G$2&amp;""""))))"),3695.0)</f>
        <v>3695</v>
      </c>
    </row>
    <row r="56">
      <c r="A56" s="462">
        <v>44927.0</v>
      </c>
      <c r="B56" s="463" t="s">
        <v>160</v>
      </c>
      <c r="C56" s="463" t="s">
        <v>296</v>
      </c>
      <c r="D56" s="463">
        <v>1.0</v>
      </c>
      <c r="E56" s="465">
        <v>962.0</v>
      </c>
      <c r="F56" s="466">
        <f t="shared" si="1"/>
        <v>962</v>
      </c>
      <c r="G56" s="467" t="str">
        <f>IFERROR(__xludf.DUMMYFUNCTION("IFERROR(IF(C56=""Crypto"",$G$2,(IF(ISBLANK(B56),"""",IF(B56=""Cash"",$G$2,IF(GOOGLEFINANCE(B56,""CURRENCY"")=""GBX"",""GBP"",GOOGLEFINANCE(B56,""CURRENCY"")))))),Conversion!$F$1)"),"INR")</f>
        <v>INR</v>
      </c>
      <c r="H56" s="466">
        <f>IFERROR(__xludf.DUMMYFUNCTION("IF(G56=""GBP"",IF(B56="""","""",IF(G56=$G$2,F56,F56*GOOGLEFINANCE(""currency:""&amp;G56&amp;""""&amp;$G$2&amp;"""")))/100,IF(A56="""","""",IF(G56=$G$2,F56,F56*GOOGLEFINANCE(""Currency:""&amp;G56&amp;""""&amp;$G$2&amp;""""))))"),962.0)</f>
        <v>962</v>
      </c>
    </row>
    <row r="57">
      <c r="A57" s="462">
        <v>44927.0</v>
      </c>
      <c r="B57" s="463" t="s">
        <v>164</v>
      </c>
      <c r="C57" s="463" t="s">
        <v>296</v>
      </c>
      <c r="D57" s="463">
        <v>122.0</v>
      </c>
      <c r="E57" s="465">
        <v>34.0861</v>
      </c>
      <c r="F57" s="466">
        <f t="shared" si="1"/>
        <v>4158.5042</v>
      </c>
      <c r="G57" s="467" t="str">
        <f>IFERROR(__xludf.DUMMYFUNCTION("IFERROR(IF(C57=""Crypto"",$G$2,(IF(ISBLANK(B57),"""",IF(B57=""Cash"",$G$2,IF(GOOGLEFINANCE(B57,""CURRENCY"")=""GBX"",""GBP"",GOOGLEFINANCE(B57,""CURRENCY"")))))),Conversion!$F$1)"),"INR")</f>
        <v>INR</v>
      </c>
      <c r="H57" s="466">
        <f>IFERROR(__xludf.DUMMYFUNCTION("IF(G57=""GBP"",IF(B57="""","""",IF(G57=$G$2,F57,F57*GOOGLEFINANCE(""currency:""&amp;G57&amp;""""&amp;$G$2&amp;"""")))/100,IF(A57="""","""",IF(G57=$G$2,F57,F57*GOOGLEFINANCE(""Currency:""&amp;G57&amp;""""&amp;$G$2&amp;""""))))"),4158.5042)</f>
        <v>4158.5042</v>
      </c>
    </row>
    <row r="58">
      <c r="A58" s="462">
        <v>44927.0</v>
      </c>
      <c r="B58" s="463" t="s">
        <v>165</v>
      </c>
      <c r="C58" s="463" t="s">
        <v>296</v>
      </c>
      <c r="D58" s="463">
        <v>2.0</v>
      </c>
      <c r="E58" s="465">
        <v>350.825</v>
      </c>
      <c r="F58" s="466">
        <f t="shared" si="1"/>
        <v>701.65</v>
      </c>
      <c r="G58" s="467" t="str">
        <f>IFERROR(__xludf.DUMMYFUNCTION("IFERROR(IF(C58=""Crypto"",$G$2,(IF(ISBLANK(B58),"""",IF(B58=""Cash"",$G$2,IF(GOOGLEFINANCE(B58,""CURRENCY"")=""GBX"",""GBP"",GOOGLEFINANCE(B58,""CURRENCY"")))))),Conversion!$F$1)"),"INR")</f>
        <v>INR</v>
      </c>
      <c r="H58" s="466">
        <f>IFERROR(__xludf.DUMMYFUNCTION("IF(G58=""GBP"",IF(B58="""","""",IF(G58=$G$2,F58,F58*GOOGLEFINANCE(""currency:""&amp;G58&amp;""""&amp;$G$2&amp;"""")))/100,IF(A58="""","""",IF(G58=$G$2,F58,F58*GOOGLEFINANCE(""Currency:""&amp;G58&amp;""""&amp;$G$2&amp;""""))))"),701.65)</f>
        <v>701.65</v>
      </c>
    </row>
    <row r="59">
      <c r="A59" s="462">
        <v>44927.0</v>
      </c>
      <c r="B59" s="463" t="s">
        <v>166</v>
      </c>
      <c r="C59" s="463" t="s">
        <v>296</v>
      </c>
      <c r="D59" s="463">
        <v>100.0</v>
      </c>
      <c r="E59" s="465">
        <v>6.84</v>
      </c>
      <c r="F59" s="466">
        <f t="shared" si="1"/>
        <v>684</v>
      </c>
      <c r="G59" s="467" t="str">
        <f>IFERROR(__xludf.DUMMYFUNCTION("IFERROR(IF(C59=""Crypto"",$G$2,(IF(ISBLANK(B59),"""",IF(B59=""Cash"",$G$2,IF(GOOGLEFINANCE(B59,""CURRENCY"")=""GBX"",""GBP"",GOOGLEFINANCE(B59,""CURRENCY"")))))),Conversion!$F$1)"),"INR")</f>
        <v>INR</v>
      </c>
      <c r="H59" s="466">
        <f>IFERROR(__xludf.DUMMYFUNCTION("IF(G59=""GBP"",IF(B59="""","""",IF(G59=$G$2,F59,F59*GOOGLEFINANCE(""currency:""&amp;G59&amp;""""&amp;$G$2&amp;"""")))/100,IF(A59="""","""",IF(G59=$G$2,F59,F59*GOOGLEFINANCE(""Currency:""&amp;G59&amp;""""&amp;$G$2&amp;""""))))"),684.0)</f>
        <v>684</v>
      </c>
    </row>
    <row r="60">
      <c r="A60" s="462">
        <v>44927.0</v>
      </c>
      <c r="B60" s="463" t="s">
        <v>167</v>
      </c>
      <c r="C60" s="463" t="s">
        <v>296</v>
      </c>
      <c r="D60" s="463">
        <v>1.0</v>
      </c>
      <c r="E60" s="465">
        <v>782.0</v>
      </c>
      <c r="F60" s="466">
        <f t="shared" si="1"/>
        <v>782</v>
      </c>
      <c r="G60" s="467" t="str">
        <f>IFERROR(__xludf.DUMMYFUNCTION("IFERROR(IF(C60=""Crypto"",$G$2,(IF(ISBLANK(B60),"""",IF(B60=""Cash"",$G$2,IF(GOOGLEFINANCE(B60,""CURRENCY"")=""GBX"",""GBP"",GOOGLEFINANCE(B60,""CURRENCY"")))))),Conversion!$F$1)"),"INR")</f>
        <v>INR</v>
      </c>
      <c r="H60" s="466">
        <f>IFERROR(__xludf.DUMMYFUNCTION("IF(G60=""GBP"",IF(B60="""","""",IF(G60=$G$2,F60,F60*GOOGLEFINANCE(""currency:""&amp;G60&amp;""""&amp;$G$2&amp;"""")))/100,IF(A60="""","""",IF(G60=$G$2,F60,F60*GOOGLEFINANCE(""Currency:""&amp;G60&amp;""""&amp;$G$2&amp;""""))))"),782.0)</f>
        <v>782</v>
      </c>
    </row>
    <row r="61">
      <c r="A61" s="462">
        <v>44927.0</v>
      </c>
      <c r="B61" s="463" t="s">
        <v>169</v>
      </c>
      <c r="C61" s="463" t="s">
        <v>296</v>
      </c>
      <c r="D61" s="463">
        <v>1.0</v>
      </c>
      <c r="E61" s="465">
        <v>655.0</v>
      </c>
      <c r="F61" s="466">
        <f t="shared" si="1"/>
        <v>655</v>
      </c>
      <c r="G61" s="467" t="str">
        <f>IFERROR(__xludf.DUMMYFUNCTION("IFERROR(IF(C61=""Crypto"",$G$2,(IF(ISBLANK(B61),"""",IF(B61=""Cash"",$G$2,IF(GOOGLEFINANCE(B61,""CURRENCY"")=""GBX"",""GBP"",GOOGLEFINANCE(B61,""CURRENCY"")))))),Conversion!$F$1)"),"INR")</f>
        <v>INR</v>
      </c>
      <c r="H61" s="466">
        <f>IFERROR(__xludf.DUMMYFUNCTION("IF(G61=""GBP"",IF(B61="""","""",IF(G61=$G$2,F61,F61*GOOGLEFINANCE(""currency:""&amp;G61&amp;""""&amp;$G$2&amp;"""")))/100,IF(A61="""","""",IF(G61=$G$2,F61,F61*GOOGLEFINANCE(""Currency:""&amp;G61&amp;""""&amp;$G$2&amp;""""))))"),655.0)</f>
        <v>655</v>
      </c>
    </row>
    <row r="62">
      <c r="A62" s="462">
        <v>44927.0</v>
      </c>
      <c r="B62" s="463" t="s">
        <v>170</v>
      </c>
      <c r="C62" s="463" t="s">
        <v>296</v>
      </c>
      <c r="D62" s="463">
        <v>1.0</v>
      </c>
      <c r="E62" s="465">
        <v>153.55</v>
      </c>
      <c r="F62" s="466">
        <f t="shared" si="1"/>
        <v>153.55</v>
      </c>
      <c r="G62" s="467" t="str">
        <f>IFERROR(__xludf.DUMMYFUNCTION("IFERROR(IF(C62=""Crypto"",$G$2,(IF(ISBLANK(B62),"""",IF(B62=""Cash"",$G$2,IF(GOOGLEFINANCE(B62,""CURRENCY"")=""GBX"",""GBP"",GOOGLEFINANCE(B62,""CURRENCY"")))))),Conversion!$F$1)"),"INR")</f>
        <v>INR</v>
      </c>
      <c r="H62" s="466">
        <f>IFERROR(__xludf.DUMMYFUNCTION("IF(G62=""GBP"",IF(B62="""","""",IF(G62=$G$2,F62,F62*GOOGLEFINANCE(""currency:""&amp;G62&amp;""""&amp;$G$2&amp;"""")))/100,IF(A62="""","""",IF(G62=$G$2,F62,F62*GOOGLEFINANCE(""Currency:""&amp;G62&amp;""""&amp;$G$2&amp;""""))))"),153.55)</f>
        <v>153.55</v>
      </c>
    </row>
    <row r="63">
      <c r="A63" s="462">
        <v>44927.0</v>
      </c>
      <c r="B63" s="463" t="s">
        <v>171</v>
      </c>
      <c r="C63" s="463" t="s">
        <v>296</v>
      </c>
      <c r="D63" s="463">
        <v>10.0</v>
      </c>
      <c r="E63" s="465">
        <v>15.0</v>
      </c>
      <c r="F63" s="466">
        <f t="shared" si="1"/>
        <v>150</v>
      </c>
      <c r="G63" s="467" t="str">
        <f>IFERROR(__xludf.DUMMYFUNCTION("IFERROR(IF(C63=""Crypto"",$G$2,(IF(ISBLANK(B63),"""",IF(B63=""Cash"",$G$2,IF(GOOGLEFINANCE(B63,""CURRENCY"")=""GBX"",""GBP"",GOOGLEFINANCE(B63,""CURRENCY"")))))),Conversion!$F$1)"),"INR")</f>
        <v>INR</v>
      </c>
      <c r="H63" s="466">
        <f>IFERROR(__xludf.DUMMYFUNCTION("IF(G63=""GBP"",IF(B63="""","""",IF(G63=$G$2,F63,F63*GOOGLEFINANCE(""currency:""&amp;G63&amp;""""&amp;$G$2&amp;"""")))/100,IF(A63="""","""",IF(G63=$G$2,F63,F63*GOOGLEFINANCE(""Currency:""&amp;G63&amp;""""&amp;$G$2&amp;""""))))"),150.0)</f>
        <v>150</v>
      </c>
    </row>
    <row r="64">
      <c r="A64" s="462">
        <v>44927.0</v>
      </c>
      <c r="B64" s="463" t="s">
        <v>267</v>
      </c>
      <c r="C64" s="463" t="s">
        <v>296</v>
      </c>
      <c r="D64" s="463">
        <v>2.0</v>
      </c>
      <c r="E64" s="465">
        <v>155.0</v>
      </c>
      <c r="F64" s="466">
        <f t="shared" si="1"/>
        <v>310</v>
      </c>
      <c r="G64" s="467" t="str">
        <f>IFERROR(__xludf.DUMMYFUNCTION("IFERROR(IF(C64=""Crypto"",$G$2,(IF(ISBLANK(B64),"""",IF(B64=""Cash"",$G$2,IF(GOOGLEFINANCE(B64,""CURRENCY"")=""GBX"",""GBP"",GOOGLEFINANCE(B64,""CURRENCY"")))))),Conversion!$F$1)"),"INR")</f>
        <v>INR</v>
      </c>
      <c r="H64" s="466">
        <f>IFERROR(__xludf.DUMMYFUNCTION("IF(G64=""GBP"",IF(B64="""","""",IF(G64=$G$2,F64,F64*GOOGLEFINANCE(""currency:""&amp;G64&amp;""""&amp;$G$2&amp;"""")))/100,IF(A64="""","""",IF(G64=$G$2,F64,F64*GOOGLEFINANCE(""Currency:""&amp;G64&amp;""""&amp;$G$2&amp;""""))))"),310.0)</f>
        <v>310</v>
      </c>
    </row>
    <row r="65">
      <c r="A65" s="462">
        <v>44956.0</v>
      </c>
      <c r="B65" s="463" t="s">
        <v>135</v>
      </c>
      <c r="C65" s="463" t="s">
        <v>296</v>
      </c>
      <c r="D65" s="463">
        <v>1.0</v>
      </c>
      <c r="E65" s="465">
        <v>1651.6</v>
      </c>
      <c r="F65" s="466">
        <f t="shared" si="1"/>
        <v>1651.6</v>
      </c>
      <c r="G65" s="467" t="str">
        <f>IFERROR(__xludf.DUMMYFUNCTION("IFERROR(IF(C65=""Crypto"",$G$2,(IF(ISBLANK(B65),"""",IF(B65=""Cash"",$G$2,IF(GOOGLEFINANCE(B65,""CURRENCY"")=""GBX"",""GBP"",GOOGLEFINANCE(B65,""CURRENCY"")))))),Conversion!$F$1)"),"INR")</f>
        <v>INR</v>
      </c>
      <c r="H65" s="466">
        <f>IFERROR(__xludf.DUMMYFUNCTION("IF(G65=""GBP"",IF(B65="""","""",IF(G65=$G$2,F65,F65*GOOGLEFINANCE(""currency:""&amp;G65&amp;""""&amp;$G$2&amp;"""")))/100,IF(A65="""","""",IF(G65=$G$2,F65,F65*GOOGLEFINANCE(""Currency:""&amp;G65&amp;""""&amp;$G$2&amp;""""))))"),1651.6)</f>
        <v>1651.6</v>
      </c>
    </row>
    <row r="66">
      <c r="A66" s="462">
        <v>44956.0</v>
      </c>
      <c r="B66" s="463" t="s">
        <v>144</v>
      </c>
      <c r="C66" s="463" t="s">
        <v>296</v>
      </c>
      <c r="D66" s="463">
        <v>1.0</v>
      </c>
      <c r="E66" s="465">
        <v>2868.0</v>
      </c>
      <c r="F66" s="466">
        <f t="shared" si="1"/>
        <v>2868</v>
      </c>
      <c r="G66" s="467" t="str">
        <f>IFERROR(__xludf.DUMMYFUNCTION("IFERROR(IF(C66=""Crypto"",$G$2,(IF(ISBLANK(B66),"""",IF(B66=""Cash"",$G$2,IF(GOOGLEFINANCE(B66,""CURRENCY"")=""GBX"",""GBP"",GOOGLEFINANCE(B66,""CURRENCY"")))))),Conversion!$F$1)"),"INR")</f>
        <v>INR</v>
      </c>
      <c r="H66" s="466">
        <f>IFERROR(__xludf.DUMMYFUNCTION("IF(G66=""GBP"",IF(B66="""","""",IF(G66=$G$2,F66,F66*GOOGLEFINANCE(""currency:""&amp;G66&amp;""""&amp;$G$2&amp;"""")))/100,IF(A66="""","""",IF(G66=$G$2,F66,F66*GOOGLEFINANCE(""Currency:""&amp;G66&amp;""""&amp;$G$2&amp;""""))))"),2868.0)</f>
        <v>2868</v>
      </c>
    </row>
    <row r="67">
      <c r="A67" s="462">
        <v>44956.0</v>
      </c>
      <c r="B67" s="463" t="s">
        <v>143</v>
      </c>
      <c r="C67" s="463" t="s">
        <v>296</v>
      </c>
      <c r="D67" s="463">
        <v>1.0</v>
      </c>
      <c r="E67" s="465">
        <v>2931.5</v>
      </c>
      <c r="F67" s="466">
        <f t="shared" si="1"/>
        <v>2931.5</v>
      </c>
      <c r="G67" s="467" t="str">
        <f>IFERROR(__xludf.DUMMYFUNCTION("IFERROR(IF(C67=""Crypto"",$G$2,(IF(ISBLANK(B67),"""",IF(B67=""Cash"",$G$2,IF(GOOGLEFINANCE(B67,""CURRENCY"")=""GBX"",""GBP"",GOOGLEFINANCE(B67,""CURRENCY"")))))),Conversion!$F$1)"),"INR")</f>
        <v>INR</v>
      </c>
      <c r="H67" s="466">
        <f>IFERROR(__xludf.DUMMYFUNCTION("IF(G67=""GBP"",IF(B67="""","""",IF(G67=$G$2,F67,F67*GOOGLEFINANCE(""currency:""&amp;G67&amp;""""&amp;$G$2&amp;"""")))/100,IF(A67="""","""",IF(G67=$G$2,F67,F67*GOOGLEFINANCE(""Currency:""&amp;G67&amp;""""&amp;$G$2&amp;""""))))"),2931.5)</f>
        <v>2931.5</v>
      </c>
    </row>
    <row r="68">
      <c r="A68" s="462">
        <v>44956.0</v>
      </c>
      <c r="B68" s="463" t="s">
        <v>142</v>
      </c>
      <c r="C68" s="463" t="s">
        <v>296</v>
      </c>
      <c r="D68" s="463">
        <v>1.0</v>
      </c>
      <c r="E68" s="465">
        <v>2283.95</v>
      </c>
      <c r="F68" s="466">
        <f t="shared" si="1"/>
        <v>2283.95</v>
      </c>
      <c r="G68" s="467" t="str">
        <f>IFERROR(__xludf.DUMMYFUNCTION("IFERROR(IF(C68=""Crypto"",$G$2,(IF(ISBLANK(B68),"""",IF(B68=""Cash"",$G$2,IF(GOOGLEFINANCE(B68,""CURRENCY"")=""GBX"",""GBP"",GOOGLEFINANCE(B68,""CURRENCY"")))))),Conversion!$F$1)"),"INR")</f>
        <v>INR</v>
      </c>
      <c r="H68" s="466">
        <f>IFERROR(__xludf.DUMMYFUNCTION("IF(G68=""GBP"",IF(B68="""","""",IF(G68=$G$2,F68,F68*GOOGLEFINANCE(""currency:""&amp;G68&amp;""""&amp;$G$2&amp;"""")))/100,IF(A68="""","""",IF(G68=$G$2,F68,F68*GOOGLEFINANCE(""Currency:""&amp;G68&amp;""""&amp;$G$2&amp;""""))))"),2283.95)</f>
        <v>2283.95</v>
      </c>
    </row>
    <row r="69">
      <c r="A69" s="462">
        <v>44956.0</v>
      </c>
      <c r="B69" s="463" t="s">
        <v>102</v>
      </c>
      <c r="C69" s="463" t="s">
        <v>296</v>
      </c>
      <c r="D69" s="463">
        <v>1.0</v>
      </c>
      <c r="E69" s="465">
        <v>1835.75</v>
      </c>
      <c r="F69" s="466">
        <f t="shared" si="1"/>
        <v>1835.75</v>
      </c>
      <c r="G69" s="467" t="str">
        <f>IFERROR(__xludf.DUMMYFUNCTION("IFERROR(IF(C69=""Crypto"",$G$2,(IF(ISBLANK(B69),"""",IF(B69=""Cash"",$G$2,IF(GOOGLEFINANCE(B69,""CURRENCY"")=""GBX"",""GBP"",GOOGLEFINANCE(B69,""CURRENCY"")))))),Conversion!$F$1)"),"INR")</f>
        <v>INR</v>
      </c>
      <c r="H69" s="466">
        <f>IFERROR(__xludf.DUMMYFUNCTION("IF(G69=""GBP"",IF(B69="""","""",IF(G69=$G$2,F69,F69*GOOGLEFINANCE(""currency:""&amp;G69&amp;""""&amp;$G$2&amp;"""")))/100,IF(A69="""","""",IF(G69=$G$2,F69,F69*GOOGLEFINANCE(""Currency:""&amp;G69&amp;""""&amp;$G$2&amp;""""))))"),1835.75)</f>
        <v>1835.75</v>
      </c>
    </row>
    <row r="70">
      <c r="A70" s="462">
        <v>44956.0</v>
      </c>
      <c r="B70" s="463" t="s">
        <v>103</v>
      </c>
      <c r="C70" s="463" t="s">
        <v>296</v>
      </c>
      <c r="D70" s="463">
        <v>2.0</v>
      </c>
      <c r="E70" s="465">
        <v>2646.95</v>
      </c>
      <c r="F70" s="466">
        <f t="shared" si="1"/>
        <v>5293.9</v>
      </c>
      <c r="G70" s="467" t="str">
        <f>IFERROR(__xludf.DUMMYFUNCTION("IFERROR(IF(C70=""Crypto"",$G$2,(IF(ISBLANK(B70),"""",IF(B70=""Cash"",$G$2,IF(GOOGLEFINANCE(B70,""CURRENCY"")=""GBX"",""GBP"",GOOGLEFINANCE(B70,""CURRENCY"")))))),Conversion!$F$1)"),"INR")</f>
        <v>INR</v>
      </c>
      <c r="H70" s="466">
        <f>IFERROR(__xludf.DUMMYFUNCTION("IF(G70=""GBP"",IF(B70="""","""",IF(G70=$G$2,F70,F70*GOOGLEFINANCE(""currency:""&amp;G70&amp;""""&amp;$G$2&amp;"""")))/100,IF(A70="""","""",IF(G70=$G$2,F70,F70*GOOGLEFINANCE(""Currency:""&amp;G70&amp;""""&amp;$G$2&amp;""""))))"),5293.9)</f>
        <v>5293.9</v>
      </c>
    </row>
    <row r="71">
      <c r="A71" s="462">
        <v>44956.0</v>
      </c>
      <c r="B71" s="463" t="s">
        <v>97</v>
      </c>
      <c r="C71" s="463" t="s">
        <v>296</v>
      </c>
      <c r="D71" s="463">
        <v>2.0</v>
      </c>
      <c r="E71" s="465">
        <v>1020.0</v>
      </c>
      <c r="F71" s="466">
        <f t="shared" si="1"/>
        <v>2040</v>
      </c>
      <c r="G71" s="467" t="str">
        <f>IFERROR(__xludf.DUMMYFUNCTION("IFERROR(IF(C71=""Crypto"",$G$2,(IF(ISBLANK(B71),"""",IF(B71=""Cash"",$G$2,IF(GOOGLEFINANCE(B71,""CURRENCY"")=""GBX"",""GBP"",GOOGLEFINANCE(B71,""CURRENCY"")))))),Conversion!$F$1)"),"INR")</f>
        <v>INR</v>
      </c>
      <c r="H71" s="466">
        <f>IFERROR(__xludf.DUMMYFUNCTION("IF(G71=""GBP"",IF(B71="""","""",IF(G71=$G$2,F71,F71*GOOGLEFINANCE(""currency:""&amp;G71&amp;""""&amp;$G$2&amp;"""")))/100,IF(A71="""","""",IF(G71=$G$2,F71,F71*GOOGLEFINANCE(""Currency:""&amp;G71&amp;""""&amp;$G$2&amp;""""))))"),2040.0)</f>
        <v>2040</v>
      </c>
    </row>
    <row r="72">
      <c r="A72" s="462">
        <v>44956.0</v>
      </c>
      <c r="B72" s="463" t="s">
        <v>95</v>
      </c>
      <c r="C72" s="463" t="s">
        <v>296</v>
      </c>
      <c r="D72" s="463">
        <v>2.0</v>
      </c>
      <c r="E72" s="465">
        <v>514.7</v>
      </c>
      <c r="F72" s="466">
        <f t="shared" si="1"/>
        <v>1029.4</v>
      </c>
      <c r="G72" s="467" t="str">
        <f>IFERROR(__xludf.DUMMYFUNCTION("IFERROR(IF(C72=""Crypto"",$G$2,(IF(ISBLANK(B72),"""",IF(B72=""Cash"",$G$2,IF(GOOGLEFINANCE(B72,""CURRENCY"")=""GBX"",""GBP"",GOOGLEFINANCE(B72,""CURRENCY"")))))),Conversion!$F$1)"),"INR")</f>
        <v>INR</v>
      </c>
      <c r="H72" s="466">
        <f>IFERROR(__xludf.DUMMYFUNCTION("IF(G72=""GBP"",IF(B72="""","""",IF(G72=$G$2,F72,F72*GOOGLEFINANCE(""currency:""&amp;G72&amp;""""&amp;$G$2&amp;"""")))/100,IF(A72="""","""",IF(G72=$G$2,F72,F72*GOOGLEFINANCE(""Currency:""&amp;G72&amp;""""&amp;$G$2&amp;""""))))"),1029.4)</f>
        <v>1029.4</v>
      </c>
    </row>
    <row r="73">
      <c r="A73" s="462">
        <v>44963.0</v>
      </c>
      <c r="B73" s="463" t="s">
        <v>104</v>
      </c>
      <c r="C73" s="463" t="s">
        <v>296</v>
      </c>
      <c r="D73" s="463">
        <v>2.0</v>
      </c>
      <c r="E73" s="465">
        <v>3453.0</v>
      </c>
      <c r="F73" s="466">
        <f t="shared" si="1"/>
        <v>6906</v>
      </c>
      <c r="G73" s="467" t="str">
        <f>IFERROR(__xludf.DUMMYFUNCTION("IFERROR(IF(C73=""Crypto"",$G$2,(IF(ISBLANK(B73),"""",IF(B73=""Cash"",$G$2,IF(GOOGLEFINANCE(B73,""CURRENCY"")=""GBX"",""GBP"",GOOGLEFINANCE(B73,""CURRENCY"")))))),Conversion!$F$1)"),"INR")</f>
        <v>INR</v>
      </c>
      <c r="H73" s="466">
        <f>IFERROR(__xludf.DUMMYFUNCTION("IF(G73=""GBP"",IF(B73="""","""",IF(G73=$G$2,F73,F73*GOOGLEFINANCE(""currency:""&amp;G73&amp;""""&amp;$G$2&amp;"""")))/100,IF(A73="""","""",IF(G73=$G$2,F73,F73*GOOGLEFINANCE(""Currency:""&amp;G73&amp;""""&amp;$G$2&amp;""""))))"),6906.0)</f>
        <v>6906</v>
      </c>
    </row>
    <row r="74">
      <c r="A74" s="462">
        <v>44963.0</v>
      </c>
      <c r="B74" s="463" t="s">
        <v>114</v>
      </c>
      <c r="C74" s="463" t="s">
        <v>296</v>
      </c>
      <c r="D74" s="463">
        <v>2.0</v>
      </c>
      <c r="E74" s="465">
        <v>477.95</v>
      </c>
      <c r="F74" s="466">
        <f t="shared" si="1"/>
        <v>955.9</v>
      </c>
      <c r="G74" s="467" t="str">
        <f>IFERROR(__xludf.DUMMYFUNCTION("IFERROR(IF(C74=""Crypto"",$G$2,(IF(ISBLANK(B74),"""",IF(B74=""Cash"",$G$2,IF(GOOGLEFINANCE(B74,""CURRENCY"")=""GBX"",""GBP"",GOOGLEFINANCE(B74,""CURRENCY"")))))),Conversion!$F$1)"),"INR")</f>
        <v>INR</v>
      </c>
      <c r="H74" s="466">
        <f>IFERROR(__xludf.DUMMYFUNCTION("IF(G74=""GBP"",IF(B74="""","""",IF(G74=$G$2,F74,F74*GOOGLEFINANCE(""currency:""&amp;G74&amp;""""&amp;$G$2&amp;"""")))/100,IF(A74="""","""",IF(G74=$G$2,F74,F74*GOOGLEFINANCE(""Currency:""&amp;G74&amp;""""&amp;$G$2&amp;""""))))"),955.9)</f>
        <v>955.9</v>
      </c>
    </row>
    <row r="75">
      <c r="A75" s="462">
        <v>44970.0</v>
      </c>
      <c r="B75" s="463" t="s">
        <v>84</v>
      </c>
      <c r="C75" s="463" t="s">
        <v>296</v>
      </c>
      <c r="D75" s="463">
        <v>8.0</v>
      </c>
      <c r="E75" s="465">
        <v>140.6</v>
      </c>
      <c r="F75" s="466">
        <f t="shared" si="1"/>
        <v>1124.8</v>
      </c>
      <c r="G75" s="467" t="str">
        <f>IFERROR(__xludf.DUMMYFUNCTION("IFERROR(IF(C75=""Crypto"",$G$2,(IF(ISBLANK(B75),"""",IF(B75=""Cash"",$G$2,IF(GOOGLEFINANCE(B75,""CURRENCY"")=""GBX"",""GBP"",GOOGLEFINANCE(B75,""CURRENCY"")))))),Conversion!$F$1)"),"INR")</f>
        <v>INR</v>
      </c>
      <c r="H75" s="466">
        <f>IFERROR(__xludf.DUMMYFUNCTION("IF(G75=""GBP"",IF(B75="""","""",IF(G75=$G$2,F75,F75*GOOGLEFINANCE(""currency:""&amp;G75&amp;""""&amp;$G$2&amp;"""")))/100,IF(A75="""","""",IF(G75=$G$2,F75,F75*GOOGLEFINANCE(""Currency:""&amp;G75&amp;""""&amp;$G$2&amp;""""))))"),1124.8)</f>
        <v>1124.8</v>
      </c>
    </row>
    <row r="76">
      <c r="A76" s="462">
        <v>44999.0</v>
      </c>
      <c r="B76" s="463" t="s">
        <v>84</v>
      </c>
      <c r="C76" s="463" t="s">
        <v>296</v>
      </c>
      <c r="D76" s="463">
        <v>2.0</v>
      </c>
      <c r="E76" s="465">
        <v>133.0</v>
      </c>
      <c r="F76" s="466">
        <f t="shared" si="1"/>
        <v>266</v>
      </c>
      <c r="G76" s="467" t="str">
        <f>IFERROR(__xludf.DUMMYFUNCTION("IFERROR(IF(C76=""Crypto"",$G$2,(IF(ISBLANK(B76),"""",IF(B76=""Cash"",$G$2,IF(GOOGLEFINANCE(B76,""CURRENCY"")=""GBX"",""GBP"",GOOGLEFINANCE(B76,""CURRENCY"")))))),Conversion!$F$1)"),"INR")</f>
        <v>INR</v>
      </c>
      <c r="H76" s="466">
        <f>IFERROR(__xludf.DUMMYFUNCTION("IF(G76=""GBP"",IF(B76="""","""",IF(G76=$G$2,F76,F76*GOOGLEFINANCE(""currency:""&amp;G76&amp;""""&amp;$G$2&amp;"""")))/100,IF(A76="""","""",IF(G76=$G$2,F76,F76*GOOGLEFINANCE(""Currency:""&amp;G76&amp;""""&amp;$G$2&amp;""""))))"),266.0)</f>
        <v>266</v>
      </c>
    </row>
    <row r="77">
      <c r="A77" s="462">
        <v>44999.0</v>
      </c>
      <c r="B77" s="463" t="s">
        <v>95</v>
      </c>
      <c r="C77" s="463" t="s">
        <v>296</v>
      </c>
      <c r="D77" s="463">
        <v>2.0</v>
      </c>
      <c r="E77" s="465">
        <v>451.85</v>
      </c>
      <c r="F77" s="466">
        <f t="shared" si="1"/>
        <v>903.7</v>
      </c>
      <c r="G77" s="467" t="str">
        <f>IFERROR(__xludf.DUMMYFUNCTION("IFERROR(IF(C77=""Crypto"",$G$2,(IF(ISBLANK(B77),"""",IF(B77=""Cash"",$G$2,IF(GOOGLEFINANCE(B77,""CURRENCY"")=""GBX"",""GBP"",GOOGLEFINANCE(B77,""CURRENCY"")))))),Conversion!$F$1)"),"INR")</f>
        <v>INR</v>
      </c>
      <c r="H77" s="466">
        <f>IFERROR(__xludf.DUMMYFUNCTION("IF(G77=""GBP"",IF(B77="""","""",IF(G77=$G$2,F77,F77*GOOGLEFINANCE(""currency:""&amp;G77&amp;""""&amp;$G$2&amp;"""")))/100,IF(A77="""","""",IF(G77=$G$2,F77,F77*GOOGLEFINANCE(""Currency:""&amp;G77&amp;""""&amp;$G$2&amp;""""))))"),903.7)</f>
        <v>903.7</v>
      </c>
    </row>
    <row r="78">
      <c r="A78" s="462">
        <v>44999.0</v>
      </c>
      <c r="B78" s="463" t="s">
        <v>136</v>
      </c>
      <c r="C78" s="463" t="s">
        <v>296</v>
      </c>
      <c r="D78" s="463">
        <v>2.0</v>
      </c>
      <c r="E78" s="465">
        <v>932.5</v>
      </c>
      <c r="F78" s="466">
        <f t="shared" si="1"/>
        <v>1865</v>
      </c>
      <c r="G78" s="467" t="str">
        <f>IFERROR(__xludf.DUMMYFUNCTION("IFERROR(IF(C78=""Crypto"",$G$2,(IF(ISBLANK(B78),"""",IF(B78=""Cash"",$G$2,IF(GOOGLEFINANCE(B78,""CURRENCY"")=""GBX"",""GBP"",GOOGLEFINANCE(B78,""CURRENCY"")))))),Conversion!$F$1)"),"INR")</f>
        <v>INR</v>
      </c>
      <c r="H78" s="466">
        <f>IFERROR(__xludf.DUMMYFUNCTION("IF(G78=""GBP"",IF(B78="""","""",IF(G78=$G$2,F78,F78*GOOGLEFINANCE(""currency:""&amp;G78&amp;""""&amp;$G$2&amp;"""")))/100,IF(A78="""","""",IF(G78=$G$2,F78,F78*GOOGLEFINANCE(""Currency:""&amp;G78&amp;""""&amp;$G$2&amp;""""))))"),1865.0)</f>
        <v>1865</v>
      </c>
    </row>
    <row r="79">
      <c r="A79" s="462">
        <v>45013.0</v>
      </c>
      <c r="B79" s="463" t="s">
        <v>145</v>
      </c>
      <c r="C79" s="463" t="s">
        <v>296</v>
      </c>
      <c r="D79" s="463">
        <v>5.0</v>
      </c>
      <c r="E79" s="465">
        <v>539.9</v>
      </c>
      <c r="F79" s="466">
        <f t="shared" si="1"/>
        <v>2699.5</v>
      </c>
      <c r="G79" s="467" t="str">
        <f>IFERROR(__xludf.DUMMYFUNCTION("IFERROR(IF(C79=""Crypto"",$G$2,(IF(ISBLANK(B79),"""",IF(B79=""Cash"",$G$2,IF(GOOGLEFINANCE(B79,""CURRENCY"")=""GBX"",""GBP"",GOOGLEFINANCE(B79,""CURRENCY"")))))),Conversion!$F$1)"),"INR")</f>
        <v>INR</v>
      </c>
      <c r="H79" s="466">
        <f>IFERROR(__xludf.DUMMYFUNCTION("IF(G79=""GBP"",IF(B79="""","""",IF(G79=$G$2,F79,F79*GOOGLEFINANCE(""currency:""&amp;G79&amp;""""&amp;$G$2&amp;"""")))/100,IF(A79="""","""",IF(G79=$G$2,F79,F79*GOOGLEFINANCE(""Currency:""&amp;G79&amp;""""&amp;$G$2&amp;""""))))"),2699.5)</f>
        <v>2699.5</v>
      </c>
    </row>
    <row r="80">
      <c r="A80" s="462">
        <v>45013.0</v>
      </c>
      <c r="B80" s="463" t="s">
        <v>164</v>
      </c>
      <c r="C80" s="463" t="s">
        <v>296</v>
      </c>
      <c r="D80" s="463">
        <v>78.0</v>
      </c>
      <c r="E80" s="465">
        <v>25.4</v>
      </c>
      <c r="F80" s="466">
        <f t="shared" si="1"/>
        <v>1981.2</v>
      </c>
      <c r="G80" s="467" t="str">
        <f>IFERROR(__xludf.DUMMYFUNCTION("IFERROR(IF(C80=""Crypto"",$G$2,(IF(ISBLANK(B80),"""",IF(B80=""Cash"",$G$2,IF(GOOGLEFINANCE(B80,""CURRENCY"")=""GBX"",""GBP"",GOOGLEFINANCE(B80,""CURRENCY"")))))),Conversion!$F$1)"),"INR")</f>
        <v>INR</v>
      </c>
      <c r="H80" s="466">
        <f>IFERROR(__xludf.DUMMYFUNCTION("IF(G80=""GBP"",IF(B80="""","""",IF(G80=$G$2,F80,F80*GOOGLEFINANCE(""currency:""&amp;G80&amp;""""&amp;$G$2&amp;"""")))/100,IF(A80="""","""",IF(G80=$G$2,F80,F80*GOOGLEFINANCE(""Currency:""&amp;G80&amp;""""&amp;$G$2&amp;""""))))"),1981.1999999999998)</f>
        <v>1981.2</v>
      </c>
    </row>
    <row r="81">
      <c r="A81" s="462">
        <v>45027.0</v>
      </c>
      <c r="B81" s="463" t="s">
        <v>43</v>
      </c>
      <c r="C81" s="463" t="s">
        <v>296</v>
      </c>
      <c r="D81" s="463">
        <v>5.0</v>
      </c>
      <c r="E81" s="465">
        <v>961.95</v>
      </c>
      <c r="F81" s="466">
        <f t="shared" si="1"/>
        <v>4809.75</v>
      </c>
      <c r="G81" s="467" t="str">
        <f>IFERROR(__xludf.DUMMYFUNCTION("IFERROR(IF(C81=""Crypto"",$G$2,(IF(ISBLANK(B81),"""",IF(B81=""Cash"",$G$2,IF(GOOGLEFINANCE(B81,""CURRENCY"")=""GBX"",""GBP"",GOOGLEFINANCE(B81,""CURRENCY"")))))),Conversion!$F$1)"),"INR")</f>
        <v>INR</v>
      </c>
      <c r="H81" s="466">
        <f>IFERROR(__xludf.DUMMYFUNCTION("IF(G81=""GBP"",IF(B81="""","""",IF(G81=$G$2,F81,F81*GOOGLEFINANCE(""currency:""&amp;G81&amp;""""&amp;$G$2&amp;"""")))/100,IF(A81="""","""",IF(G81=$G$2,F81,F81*GOOGLEFINANCE(""Currency:""&amp;G81&amp;""""&amp;$G$2&amp;""""))))"),4809.75)</f>
        <v>4809.75</v>
      </c>
    </row>
    <row r="82">
      <c r="A82" s="462">
        <v>45063.0</v>
      </c>
      <c r="B82" s="463" t="s">
        <v>104</v>
      </c>
      <c r="C82" s="463" t="s">
        <v>296</v>
      </c>
      <c r="D82" s="463">
        <v>2.0</v>
      </c>
      <c r="E82" s="465">
        <v>3434.95</v>
      </c>
      <c r="F82" s="466">
        <f t="shared" si="1"/>
        <v>6869.9</v>
      </c>
      <c r="G82" s="467" t="str">
        <f>IFERROR(__xludf.DUMMYFUNCTION("IFERROR(IF(C82=""Crypto"",$G$2,(IF(ISBLANK(B82),"""",IF(B82=""Cash"",$G$2,IF(GOOGLEFINANCE(B82,""CURRENCY"")=""GBX"",""GBP"",GOOGLEFINANCE(B82,""CURRENCY"")))))),Conversion!$F$1)"),"INR")</f>
        <v>INR</v>
      </c>
      <c r="H82" s="466">
        <f>IFERROR(__xludf.DUMMYFUNCTION("IF(G82=""GBP"",IF(B82="""","""",IF(G82=$G$2,F82,F82*GOOGLEFINANCE(""currency:""&amp;G82&amp;""""&amp;$G$2&amp;"""")))/100,IF(A82="""","""",IF(G82=$G$2,F82,F82*GOOGLEFINANCE(""Currency:""&amp;G82&amp;""""&amp;$G$2&amp;""""))))"),6869.9)</f>
        <v>6869.9</v>
      </c>
    </row>
    <row r="83">
      <c r="A83" s="462">
        <v>45063.0</v>
      </c>
      <c r="B83" s="463" t="s">
        <v>163</v>
      </c>
      <c r="C83" s="463" t="s">
        <v>296</v>
      </c>
      <c r="D83" s="463">
        <v>1.0</v>
      </c>
      <c r="E83" s="465">
        <v>1490.7</v>
      </c>
      <c r="F83" s="466">
        <f t="shared" si="1"/>
        <v>1490.7</v>
      </c>
      <c r="G83" s="467" t="str">
        <f>IFERROR(__xludf.DUMMYFUNCTION("IFERROR(IF(C83=""Crypto"",$G$2,(IF(ISBLANK(B83),"""",IF(B83=""Cash"",$G$2,IF(GOOGLEFINANCE(B83,""CURRENCY"")=""GBX"",""GBP"",GOOGLEFINANCE(B83,""CURRENCY"")))))),Conversion!$F$1)"),"INR")</f>
        <v>INR</v>
      </c>
      <c r="H83" s="466">
        <f>IFERROR(__xludf.DUMMYFUNCTION("IF(G83=""GBP"",IF(B83="""","""",IF(G83=$G$2,F83,F83*GOOGLEFINANCE(""currency:""&amp;G83&amp;""""&amp;$G$2&amp;"""")))/100,IF(A83="""","""",IF(G83=$G$2,F83,F83*GOOGLEFINANCE(""Currency:""&amp;G83&amp;""""&amp;$G$2&amp;""""))))"),1490.7)</f>
        <v>1490.7</v>
      </c>
    </row>
    <row r="84">
      <c r="A84" s="462">
        <v>45063.0</v>
      </c>
      <c r="B84" s="463" t="s">
        <v>131</v>
      </c>
      <c r="C84" s="463" t="s">
        <v>296</v>
      </c>
      <c r="D84" s="463">
        <v>1.0</v>
      </c>
      <c r="E84" s="465">
        <v>3801.3</v>
      </c>
      <c r="F84" s="466">
        <f t="shared" si="1"/>
        <v>3801.3</v>
      </c>
      <c r="G84" s="467" t="str">
        <f>IFERROR(__xludf.DUMMYFUNCTION("IFERROR(IF(C84=""Crypto"",$G$2,(IF(ISBLANK(B84),"""",IF(B84=""Cash"",$G$2,IF(GOOGLEFINANCE(B84,""CURRENCY"")=""GBX"",""GBP"",GOOGLEFINANCE(B84,""CURRENCY"")))))),Conversion!$F$1)"),"INR")</f>
        <v>INR</v>
      </c>
      <c r="H84" s="466">
        <f>IFERROR(__xludf.DUMMYFUNCTION("IF(G84=""GBP"",IF(B84="""","""",IF(G84=$G$2,F84,F84*GOOGLEFINANCE(""currency:""&amp;G84&amp;""""&amp;$G$2&amp;"""")))/100,IF(A84="""","""",IF(G84=$G$2,F84,F84*GOOGLEFINANCE(""Currency:""&amp;G84&amp;""""&amp;$G$2&amp;""""))))"),3801.3)</f>
        <v>3801.3</v>
      </c>
    </row>
    <row r="85">
      <c r="A85" s="462">
        <v>45063.0</v>
      </c>
      <c r="B85" s="463" t="s">
        <v>129</v>
      </c>
      <c r="C85" s="463" t="s">
        <v>296</v>
      </c>
      <c r="D85" s="463">
        <v>1.0</v>
      </c>
      <c r="E85" s="465">
        <v>566.75</v>
      </c>
      <c r="F85" s="466">
        <f t="shared" si="1"/>
        <v>566.75</v>
      </c>
      <c r="G85" s="467" t="str">
        <f>IFERROR(__xludf.DUMMYFUNCTION("IFERROR(IF(C85=""Crypto"",$G$2,(IF(ISBLANK(B85),"""",IF(B85=""Cash"",$G$2,IF(GOOGLEFINANCE(B85,""CURRENCY"")=""GBX"",""GBP"",GOOGLEFINANCE(B85,""CURRENCY"")))))),Conversion!$F$1)"),"INR")</f>
        <v>INR</v>
      </c>
      <c r="H85" s="466">
        <f>IFERROR(__xludf.DUMMYFUNCTION("IF(G85=""GBP"",IF(B85="""","""",IF(G85=$G$2,F85,F85*GOOGLEFINANCE(""currency:""&amp;G85&amp;""""&amp;$G$2&amp;"""")))/100,IF(A85="""","""",IF(G85=$G$2,F85,F85*GOOGLEFINANCE(""Currency:""&amp;G85&amp;""""&amp;$G$2&amp;""""))))"),566.75)</f>
        <v>566.75</v>
      </c>
    </row>
    <row r="86">
      <c r="A86" s="462">
        <v>45063.0</v>
      </c>
      <c r="B86" s="463" t="s">
        <v>93</v>
      </c>
      <c r="C86" s="463" t="s">
        <v>296</v>
      </c>
      <c r="D86" s="463">
        <v>1.0</v>
      </c>
      <c r="E86" s="465">
        <v>1535.1</v>
      </c>
      <c r="F86" s="466">
        <f t="shared" si="1"/>
        <v>1535.1</v>
      </c>
      <c r="G86" s="467" t="str">
        <f>IFERROR(__xludf.DUMMYFUNCTION("IFERROR(IF(C86=""Crypto"",$G$2,(IF(ISBLANK(B86),"""",IF(B86=""Cash"",$G$2,IF(GOOGLEFINANCE(B86,""CURRENCY"")=""GBX"",""GBP"",GOOGLEFINANCE(B86,""CURRENCY"")))))),Conversion!$F$1)"),"INR")</f>
        <v>INR</v>
      </c>
      <c r="H86" s="466">
        <f>IFERROR(__xludf.DUMMYFUNCTION("IF(G86=""GBP"",IF(B86="""","""",IF(G86=$G$2,F86,F86*GOOGLEFINANCE(""currency:""&amp;G86&amp;""""&amp;$G$2&amp;"""")))/100,IF(A86="""","""",IF(G86=$G$2,F86,F86*GOOGLEFINANCE(""Currency:""&amp;G86&amp;""""&amp;$G$2&amp;""""))))"),1535.1)</f>
        <v>1535.1</v>
      </c>
    </row>
    <row r="87">
      <c r="A87" s="462">
        <v>45063.0</v>
      </c>
      <c r="B87" s="463" t="s">
        <v>89</v>
      </c>
      <c r="C87" s="463" t="s">
        <v>296</v>
      </c>
      <c r="D87" s="463">
        <v>1.0</v>
      </c>
      <c r="E87" s="465">
        <v>3101.75</v>
      </c>
      <c r="F87" s="466">
        <f t="shared" si="1"/>
        <v>3101.75</v>
      </c>
      <c r="G87" s="467" t="str">
        <f>IFERROR(__xludf.DUMMYFUNCTION("IFERROR(IF(C87=""Crypto"",$G$2,(IF(ISBLANK(B87),"""",IF(B87=""Cash"",$G$2,IF(GOOGLEFINANCE(B87,""CURRENCY"")=""GBX"",""GBP"",GOOGLEFINANCE(B87,""CURRENCY"")))))),Conversion!$F$1)"),"INR")</f>
        <v>INR</v>
      </c>
      <c r="H87" s="466">
        <f>IFERROR(__xludf.DUMMYFUNCTION("IF(G87=""GBP"",IF(B87="""","""",IF(G87=$G$2,F87,F87*GOOGLEFINANCE(""currency:""&amp;G87&amp;""""&amp;$G$2&amp;"""")))/100,IF(A87="""","""",IF(G87=$G$2,F87,F87*GOOGLEFINANCE(""Currency:""&amp;G87&amp;""""&amp;$G$2&amp;""""))))"),3101.75)</f>
        <v>3101.75</v>
      </c>
    </row>
    <row r="88">
      <c r="A88" s="462">
        <v>45066.0</v>
      </c>
      <c r="B88" s="463" t="s">
        <v>90</v>
      </c>
      <c r="C88" s="463" t="s">
        <v>296</v>
      </c>
      <c r="D88" s="463">
        <v>1.0</v>
      </c>
      <c r="E88" s="465">
        <v>1650.0</v>
      </c>
      <c r="F88" s="466">
        <f t="shared" si="1"/>
        <v>1650</v>
      </c>
      <c r="G88" s="467" t="str">
        <f>IFERROR(__xludf.DUMMYFUNCTION("IFERROR(IF(C88=""Crypto"",$G$2,(IF(ISBLANK(B88),"""",IF(B88=""Cash"",$G$2,IF(GOOGLEFINANCE(B88,""CURRENCY"")=""GBX"",""GBP"",GOOGLEFINANCE(B88,""CURRENCY"")))))),Conversion!$F$1)"),"INR")</f>
        <v>INR</v>
      </c>
      <c r="H88" s="466">
        <f>IFERROR(__xludf.DUMMYFUNCTION("IF(G88=""GBP"",IF(B88="""","""",IF(G88=$G$2,F88,F88*GOOGLEFINANCE(""currency:""&amp;G88&amp;""""&amp;$G$2&amp;"""")))/100,IF(A88="""","""",IF(G88=$G$2,F88,F88*GOOGLEFINANCE(""Currency:""&amp;G88&amp;""""&amp;$G$2&amp;""""))))"),1650.0)</f>
        <v>1650</v>
      </c>
    </row>
    <row r="89">
      <c r="A89" s="462">
        <v>45066.0</v>
      </c>
      <c r="B89" s="463" t="s">
        <v>123</v>
      </c>
      <c r="C89" s="463" t="s">
        <v>296</v>
      </c>
      <c r="D89" s="463">
        <v>1.0</v>
      </c>
      <c r="E89" s="465">
        <v>608.0</v>
      </c>
      <c r="F89" s="466">
        <f t="shared" si="1"/>
        <v>608</v>
      </c>
      <c r="G89" s="467" t="str">
        <f>IFERROR(__xludf.DUMMYFUNCTION("IFERROR(IF(C89=""Crypto"",$G$2,(IF(ISBLANK(B89),"""",IF(B89=""Cash"",$G$2,IF(GOOGLEFINANCE(B89,""CURRENCY"")=""GBX"",""GBP"",GOOGLEFINANCE(B89,""CURRENCY"")))))),Conversion!$F$1)"),"INR")</f>
        <v>INR</v>
      </c>
      <c r="H89" s="466">
        <f>IFERROR(__xludf.DUMMYFUNCTION("IF(G89=""GBP"",IF(B89="""","""",IF(G89=$G$2,F89,F89*GOOGLEFINANCE(""currency:""&amp;G89&amp;""""&amp;$G$2&amp;"""")))/100,IF(A89="""","""",IF(G89=$G$2,F89,F89*GOOGLEFINANCE(""Currency:""&amp;G89&amp;""""&amp;$G$2&amp;""""))))"),608.0)</f>
        <v>608</v>
      </c>
    </row>
    <row r="90">
      <c r="A90" s="462">
        <v>45066.0</v>
      </c>
      <c r="B90" s="463" t="s">
        <v>146</v>
      </c>
      <c r="C90" s="463" t="s">
        <v>296</v>
      </c>
      <c r="D90" s="463">
        <v>3.0</v>
      </c>
      <c r="E90" s="465">
        <v>117.0</v>
      </c>
      <c r="F90" s="466">
        <f t="shared" si="1"/>
        <v>351</v>
      </c>
      <c r="G90" s="467" t="str">
        <f>IFERROR(__xludf.DUMMYFUNCTION("IFERROR(IF(C90=""Crypto"",$G$2,(IF(ISBLANK(B90),"""",IF(B90=""Cash"",$G$2,IF(GOOGLEFINANCE(B90,""CURRENCY"")=""GBX"",""GBP"",GOOGLEFINANCE(B90,""CURRENCY"")))))),Conversion!$F$1)"),"INR")</f>
        <v>INR</v>
      </c>
      <c r="H90" s="466">
        <f>IFERROR(__xludf.DUMMYFUNCTION("IF(G90=""GBP"",IF(B90="""","""",IF(G90=$G$2,F90,F90*GOOGLEFINANCE(""currency:""&amp;G90&amp;""""&amp;$G$2&amp;"""")))/100,IF(A90="""","""",IF(G90=$G$2,F90,F90*GOOGLEFINANCE(""Currency:""&amp;G90&amp;""""&amp;$G$2&amp;""""))))"),351.0)</f>
        <v>351</v>
      </c>
    </row>
    <row r="91">
      <c r="A91" s="462">
        <v>45086.0</v>
      </c>
      <c r="B91" s="463" t="s">
        <v>116</v>
      </c>
      <c r="C91" s="463" t="s">
        <v>296</v>
      </c>
      <c r="D91" s="463">
        <v>2.0</v>
      </c>
      <c r="E91" s="465">
        <v>666.0</v>
      </c>
      <c r="F91" s="466">
        <f t="shared" si="1"/>
        <v>1332</v>
      </c>
      <c r="G91" s="467" t="str">
        <f>IFERROR(__xludf.DUMMYFUNCTION("IFERROR(IF(C91=""Crypto"",$G$2,(IF(ISBLANK(B91),"""",IF(B91=""Cash"",$G$2,IF(GOOGLEFINANCE(B91,""CURRENCY"")=""GBX"",""GBP"",GOOGLEFINANCE(B91,""CURRENCY"")))))),Conversion!$F$1)"),"INR")</f>
        <v>INR</v>
      </c>
      <c r="H91" s="466">
        <f>IFERROR(__xludf.DUMMYFUNCTION("IF(G91=""GBP"",IF(B91="""","""",IF(G91=$G$2,F91,F91*GOOGLEFINANCE(""currency:""&amp;G91&amp;""""&amp;$G$2&amp;"""")))/100,IF(A91="""","""",IF(G91=$G$2,F91,F91*GOOGLEFINANCE(""Currency:""&amp;G91&amp;""""&amp;$G$2&amp;""""))))"),1332.0)</f>
        <v>1332</v>
      </c>
    </row>
    <row r="92">
      <c r="A92" s="462">
        <v>45089.0</v>
      </c>
      <c r="B92" s="463" t="s">
        <v>156</v>
      </c>
      <c r="C92" s="463" t="s">
        <v>296</v>
      </c>
      <c r="D92" s="463">
        <v>1.0</v>
      </c>
      <c r="E92" s="465">
        <v>7847.0</v>
      </c>
      <c r="F92" s="466">
        <f t="shared" si="1"/>
        <v>7847</v>
      </c>
      <c r="G92" s="467" t="str">
        <f>IFERROR(__xludf.DUMMYFUNCTION("IFERROR(IF(C92=""Crypto"",$G$2,(IF(ISBLANK(B92),"""",IF(B92=""Cash"",$G$2,IF(GOOGLEFINANCE(B92,""CURRENCY"")=""GBX"",""GBP"",GOOGLEFINANCE(B92,""CURRENCY"")))))),Conversion!$F$1)"),"INR")</f>
        <v>INR</v>
      </c>
      <c r="H92" s="466">
        <f>IFERROR(__xludf.DUMMYFUNCTION("IF(G92=""GBP"",IF(B92="""","""",IF(G92=$G$2,F92,F92*GOOGLEFINANCE(""currency:""&amp;G92&amp;""""&amp;$G$2&amp;"""")))/100,IF(A92="""","""",IF(G92=$G$2,F92,F92*GOOGLEFINANCE(""Currency:""&amp;G92&amp;""""&amp;$G$2&amp;""""))))"),7847.0)</f>
        <v>7847</v>
      </c>
    </row>
    <row r="93">
      <c r="A93" s="462">
        <v>45097.0</v>
      </c>
      <c r="B93" s="463" t="s">
        <v>172</v>
      </c>
      <c r="C93" s="463" t="s">
        <v>296</v>
      </c>
      <c r="D93" s="463">
        <v>2.0</v>
      </c>
      <c r="E93" s="465">
        <v>405.0</v>
      </c>
      <c r="F93" s="466">
        <f t="shared" si="1"/>
        <v>810</v>
      </c>
      <c r="G93" s="467" t="str">
        <f>IFERROR(__xludf.DUMMYFUNCTION("IFERROR(IF(C93=""Crypto"",$G$2,(IF(ISBLANK(B93),"""",IF(B93=""Cash"",$G$2,IF(GOOGLEFINANCE(B93,""CURRENCY"")=""GBX"",""GBP"",GOOGLEFINANCE(B93,""CURRENCY"")))))),Conversion!$F$1)"),"INR")</f>
        <v>INR</v>
      </c>
      <c r="H93" s="466">
        <f>IFERROR(__xludf.DUMMYFUNCTION("IF(G93=""GBP"",IF(B93="""","""",IF(G93=$G$2,F93,F93*GOOGLEFINANCE(""currency:""&amp;G93&amp;""""&amp;$G$2&amp;"""")))/100,IF(A93="""","""",IF(G93=$G$2,F93,F93*GOOGLEFINANCE(""Currency:""&amp;G93&amp;""""&amp;$G$2&amp;""""))))"),810.0)</f>
        <v>810</v>
      </c>
    </row>
    <row r="94">
      <c r="A94" s="468">
        <v>45102.0</v>
      </c>
      <c r="B94" s="463" t="s">
        <v>139</v>
      </c>
      <c r="C94" s="463" t="s">
        <v>296</v>
      </c>
      <c r="D94" s="463">
        <v>32.0</v>
      </c>
      <c r="E94" s="465">
        <v>61.95</v>
      </c>
      <c r="F94" s="466">
        <f t="shared" si="1"/>
        <v>1982.4</v>
      </c>
      <c r="G94" s="467" t="str">
        <f>IFERROR(__xludf.DUMMYFUNCTION("IFERROR(IF(C94=""Crypto"",$G$2,(IF(ISBLANK(B94),"""",IF(B94=""Cash"",$G$2,IF(GOOGLEFINANCE(B94,""CURRENCY"")=""GBX"",""GBP"",GOOGLEFINANCE(B94,""CURRENCY"")))))),Conversion!$F$1)"),"INR")</f>
        <v>INR</v>
      </c>
      <c r="H94" s="466">
        <f>IFERROR(__xludf.DUMMYFUNCTION("IF(G94=""GBP"",IF(B94="""","""",IF(G94=$G$2,F94,F94*GOOGLEFINANCE(""currency:""&amp;G94&amp;""""&amp;$G$2&amp;"""")))/100,IF(A94="""","""",IF(G94=$G$2,F94,F94*GOOGLEFINANCE(""Currency:""&amp;G94&amp;""""&amp;$G$2&amp;""""))))"),1982.4)</f>
        <v>1982.4</v>
      </c>
    </row>
    <row r="95">
      <c r="A95" s="468">
        <v>45122.0</v>
      </c>
      <c r="B95" s="463" t="s">
        <v>86</v>
      </c>
      <c r="C95" s="463" t="s">
        <v>296</v>
      </c>
      <c r="D95" s="463">
        <v>5.0</v>
      </c>
      <c r="E95" s="465">
        <v>452.25</v>
      </c>
      <c r="F95" s="466">
        <f t="shared" si="1"/>
        <v>2261.25</v>
      </c>
      <c r="G95" s="467" t="str">
        <f>IFERROR(__xludf.DUMMYFUNCTION("IFERROR(IF(C95=""Crypto"",$G$2,(IF(ISBLANK(B95),"""",IF(B95=""Cash"",$G$2,IF(GOOGLEFINANCE(B95,""CURRENCY"")=""GBX"",""GBP"",GOOGLEFINANCE(B95,""CURRENCY"")))))),Conversion!$F$1)"),"INR")</f>
        <v>INR</v>
      </c>
      <c r="H95" s="466">
        <f>IFERROR(__xludf.DUMMYFUNCTION("IF(G95=""GBP"",IF(B95="""","""",IF(G95=$G$2,F95,F95*GOOGLEFINANCE(""currency:""&amp;G95&amp;""""&amp;$G$2&amp;"""")))/100,IF(A95="""","""",IF(G95=$G$2,F95,F95*GOOGLEFINANCE(""Currency:""&amp;G95&amp;""""&amp;$G$2&amp;""""))))"),2261.25)</f>
        <v>2261.25</v>
      </c>
    </row>
    <row r="96">
      <c r="A96" s="462">
        <v>45125.0</v>
      </c>
      <c r="B96" s="463" t="s">
        <v>104</v>
      </c>
      <c r="C96" s="463" t="s">
        <v>296</v>
      </c>
      <c r="D96" s="463">
        <v>1.0</v>
      </c>
      <c r="E96" s="465">
        <v>3680.0</v>
      </c>
      <c r="F96" s="466">
        <f t="shared" si="1"/>
        <v>3680</v>
      </c>
      <c r="G96" s="467" t="str">
        <f>IFERROR(__xludf.DUMMYFUNCTION("IFERROR(IF(C96=""Crypto"",$G$2,(IF(ISBLANK(B96),"""",IF(B96=""Cash"",$G$2,IF(GOOGLEFINANCE(B96,""CURRENCY"")=""GBX"",""GBP"",GOOGLEFINANCE(B96,""CURRENCY"")))))),Conversion!$F$1)"),"INR")</f>
        <v>INR</v>
      </c>
      <c r="H96" s="466">
        <f>IFERROR(__xludf.DUMMYFUNCTION("IF(G96=""GBP"",IF(B96="""","""",IF(G96=$G$2,F96,F96*GOOGLEFINANCE(""currency:""&amp;G96&amp;""""&amp;$G$2&amp;"""")))/100,IF(A96="""","""",IF(G96=$G$2,F96,F96*GOOGLEFINANCE(""Currency:""&amp;G96&amp;""""&amp;$G$2&amp;""""))))"),3680.0)</f>
        <v>3680</v>
      </c>
    </row>
    <row r="97">
      <c r="A97" s="462">
        <v>45138.0</v>
      </c>
      <c r="B97" s="463" t="s">
        <v>105</v>
      </c>
      <c r="C97" s="463" t="s">
        <v>296</v>
      </c>
      <c r="D97" s="463">
        <v>1.0</v>
      </c>
      <c r="E97" s="465">
        <v>299.0</v>
      </c>
      <c r="F97" s="466">
        <f t="shared" si="1"/>
        <v>299</v>
      </c>
      <c r="G97" s="467" t="str">
        <f>IFERROR(__xludf.DUMMYFUNCTION("IFERROR(IF(C97=""Crypto"",$G$2,(IF(ISBLANK(B97),"""",IF(B97=""Cash"",$G$2,IF(GOOGLEFINANCE(B97,""CURRENCY"")=""GBX"",""GBP"",GOOGLEFINANCE(B97,""CURRENCY"")))))),Conversion!$F$1)"),"INR")</f>
        <v>INR</v>
      </c>
      <c r="H97" s="466">
        <f>IFERROR(__xludf.DUMMYFUNCTION("IF(G97=""GBP"",IF(B97="""","""",IF(G97=$G$2,F97,F97*GOOGLEFINANCE(""currency:""&amp;G97&amp;""""&amp;$G$2&amp;"""")))/100,IF(A97="""","""",IF(G97=$G$2,F97,F97*GOOGLEFINANCE(""Currency:""&amp;G97&amp;""""&amp;$G$2&amp;""""))))"),299.0)</f>
        <v>299</v>
      </c>
    </row>
    <row r="98">
      <c r="A98" s="462">
        <v>45138.0</v>
      </c>
      <c r="B98" s="463" t="s">
        <v>108</v>
      </c>
      <c r="C98" s="463" t="s">
        <v>296</v>
      </c>
      <c r="D98" s="463">
        <v>1.0</v>
      </c>
      <c r="E98" s="465">
        <v>337.0</v>
      </c>
      <c r="F98" s="466">
        <f t="shared" si="1"/>
        <v>337</v>
      </c>
      <c r="G98" s="467" t="str">
        <f>IFERROR(__xludf.DUMMYFUNCTION("IFERROR(IF(C98=""Crypto"",$G$2,(IF(ISBLANK(B98),"""",IF(B98=""Cash"",$G$2,IF(GOOGLEFINANCE(B98,""CURRENCY"")=""GBX"",""GBP"",GOOGLEFINANCE(B98,""CURRENCY"")))))),Conversion!$F$1)"),"INR")</f>
        <v>INR</v>
      </c>
      <c r="H98" s="466">
        <f>IFERROR(__xludf.DUMMYFUNCTION("IF(G98=""GBP"",IF(B98="""","""",IF(G98=$G$2,F98,F98*GOOGLEFINANCE(""currency:""&amp;G98&amp;""""&amp;$G$2&amp;"""")))/100,IF(A98="""","""",IF(G98=$G$2,F98,F98*GOOGLEFINANCE(""Currency:""&amp;G98&amp;""""&amp;$G$2&amp;""""))))"),337.0)</f>
        <v>337</v>
      </c>
    </row>
    <row r="99">
      <c r="A99" s="462">
        <v>45138.0</v>
      </c>
      <c r="B99" s="463" t="s">
        <v>127</v>
      </c>
      <c r="C99" s="463" t="s">
        <v>296</v>
      </c>
      <c r="D99" s="463">
        <v>1.0</v>
      </c>
      <c r="E99" s="465">
        <v>481.0</v>
      </c>
      <c r="F99" s="466">
        <f t="shared" si="1"/>
        <v>481</v>
      </c>
      <c r="G99" s="467" t="str">
        <f>IFERROR(__xludf.DUMMYFUNCTION("IFERROR(IF(C99=""Crypto"",$G$2,(IF(ISBLANK(B99),"""",IF(B99=""Cash"",$G$2,IF(GOOGLEFINANCE(B99,""CURRENCY"")=""GBX"",""GBP"",GOOGLEFINANCE(B99,""CURRENCY"")))))),Conversion!$F$1)"),"INR")</f>
        <v>INR</v>
      </c>
      <c r="H99" s="466">
        <f>IFERROR(__xludf.DUMMYFUNCTION("IF(G99=""GBP"",IF(B99="""","""",IF(G99=$G$2,F99,F99*GOOGLEFINANCE(""currency:""&amp;G99&amp;""""&amp;$G$2&amp;"""")))/100,IF(A99="""","""",IF(G99=$G$2,F99,F99*GOOGLEFINANCE(""Currency:""&amp;G99&amp;""""&amp;$G$2&amp;""""))))"),481.0)</f>
        <v>481</v>
      </c>
    </row>
    <row r="100">
      <c r="A100" s="462">
        <v>45138.0</v>
      </c>
      <c r="B100" s="463" t="s">
        <v>87</v>
      </c>
      <c r="C100" s="463" t="s">
        <v>296</v>
      </c>
      <c r="D100" s="463">
        <v>1.0</v>
      </c>
      <c r="E100" s="465">
        <v>2455.0</v>
      </c>
      <c r="F100" s="466">
        <f t="shared" si="1"/>
        <v>2455</v>
      </c>
      <c r="G100" s="467" t="str">
        <f>IFERROR(__xludf.DUMMYFUNCTION("IFERROR(IF(C100=""Crypto"",$G$2,(IF(ISBLANK(B100),"""",IF(B100=""Cash"",$G$2,IF(GOOGLEFINANCE(B100,""CURRENCY"")=""GBX"",""GBP"",GOOGLEFINANCE(B100,""CURRENCY"")))))),Conversion!$F$1)"),"INR")</f>
        <v>INR</v>
      </c>
      <c r="H100" s="466">
        <f>IFERROR(__xludf.DUMMYFUNCTION("IF(G100=""GBP"",IF(B100="""","""",IF(G100=$G$2,F100,F100*GOOGLEFINANCE(""currency:""&amp;G100&amp;""""&amp;$G$2&amp;"""")))/100,IF(A100="""","""",IF(G100=$G$2,F100,F100*GOOGLEFINANCE(""Currency:""&amp;G100&amp;""""&amp;$G$2&amp;""""))))"),2455.0)</f>
        <v>2455</v>
      </c>
    </row>
    <row r="101">
      <c r="A101" s="462">
        <v>45138.0</v>
      </c>
      <c r="B101" s="463" t="s">
        <v>99</v>
      </c>
      <c r="C101" s="463" t="s">
        <v>296</v>
      </c>
      <c r="D101" s="463">
        <v>1.0</v>
      </c>
      <c r="E101" s="465">
        <v>1324.0</v>
      </c>
      <c r="F101" s="466">
        <f t="shared" si="1"/>
        <v>1324</v>
      </c>
      <c r="G101" s="467" t="str">
        <f>IFERROR(__xludf.DUMMYFUNCTION("IFERROR(IF(C101=""Crypto"",$G$2,(IF(ISBLANK(B101),"""",IF(B101=""Cash"",$G$2,IF(GOOGLEFINANCE(B101,""CURRENCY"")=""GBX"",""GBP"",GOOGLEFINANCE(B101,""CURRENCY"")))))),Conversion!$F$1)"),"INR")</f>
        <v>INR</v>
      </c>
      <c r="H101" s="466">
        <f>IFERROR(__xludf.DUMMYFUNCTION("IF(G101=""GBP"",IF(B101="""","""",IF(G101=$G$2,F101,F101*GOOGLEFINANCE(""currency:""&amp;G101&amp;""""&amp;$G$2&amp;"""")))/100,IF(A101="""","""",IF(G101=$G$2,F101,F101*GOOGLEFINANCE(""Currency:""&amp;G101&amp;""""&amp;$G$2&amp;""""))))"),1324.0)</f>
        <v>1324</v>
      </c>
    </row>
    <row r="102">
      <c r="A102" s="462">
        <v>45138.0</v>
      </c>
      <c r="B102" s="463" t="s">
        <v>168</v>
      </c>
      <c r="C102" s="463" t="s">
        <v>296</v>
      </c>
      <c r="D102" s="463">
        <v>1.0</v>
      </c>
      <c r="E102" s="465">
        <v>1819.0</v>
      </c>
      <c r="F102" s="466">
        <f t="shared" si="1"/>
        <v>1819</v>
      </c>
      <c r="G102" s="467" t="str">
        <f>IFERROR(__xludf.DUMMYFUNCTION("IFERROR(IF(C102=""Crypto"",$G$2,(IF(ISBLANK(B102),"""",IF(B102=""Cash"",$G$2,IF(GOOGLEFINANCE(B102,""CURRENCY"")=""GBX"",""GBP"",GOOGLEFINANCE(B102,""CURRENCY"")))))),Conversion!$F$1)"),"INR")</f>
        <v>INR</v>
      </c>
      <c r="H102" s="466">
        <f>IFERROR(__xludf.DUMMYFUNCTION("IF(G102=""GBP"",IF(B102="""","""",IF(G102=$G$2,F102,F102*GOOGLEFINANCE(""currency:""&amp;G102&amp;""""&amp;$G$2&amp;"""")))/100,IF(A102="""","""",IF(G102=$G$2,F102,F102*GOOGLEFINANCE(""Currency:""&amp;G102&amp;""""&amp;$G$2&amp;""""))))"),1819.0)</f>
        <v>1819</v>
      </c>
    </row>
    <row r="103">
      <c r="A103" s="462">
        <v>45138.0</v>
      </c>
      <c r="B103" s="463" t="s">
        <v>107</v>
      </c>
      <c r="C103" s="463" t="s">
        <v>296</v>
      </c>
      <c r="D103" s="463">
        <v>1.0</v>
      </c>
      <c r="E103" s="465">
        <v>4524.0</v>
      </c>
      <c r="F103" s="466">
        <f t="shared" si="1"/>
        <v>4524</v>
      </c>
      <c r="G103" s="467" t="str">
        <f>IFERROR(__xludf.DUMMYFUNCTION("IFERROR(IF(C103=""Crypto"",$G$2,(IF(ISBLANK(B103),"""",IF(B103=""Cash"",$G$2,IF(GOOGLEFINANCE(B103,""CURRENCY"")=""GBX"",""GBP"",GOOGLEFINANCE(B103,""CURRENCY"")))))),Conversion!$F$1)"),"INR")</f>
        <v>INR</v>
      </c>
      <c r="H103" s="466">
        <f>IFERROR(__xludf.DUMMYFUNCTION("IF(G103=""GBP"",IF(B103="""","""",IF(G103=$G$2,F103,F103*GOOGLEFINANCE(""currency:""&amp;G103&amp;""""&amp;$G$2&amp;"""")))/100,IF(A103="""","""",IF(G103=$G$2,F103,F103*GOOGLEFINANCE(""Currency:""&amp;G103&amp;""""&amp;$G$2&amp;""""))))"),4524.0)</f>
        <v>4524</v>
      </c>
    </row>
    <row r="104">
      <c r="A104" s="462">
        <v>45140.0</v>
      </c>
      <c r="B104" s="463" t="s">
        <v>120</v>
      </c>
      <c r="C104" s="463" t="s">
        <v>296</v>
      </c>
      <c r="D104" s="463">
        <v>2.0</v>
      </c>
      <c r="E104" s="465">
        <v>1350.6</v>
      </c>
      <c r="F104" s="466">
        <f t="shared" si="1"/>
        <v>2701.2</v>
      </c>
      <c r="G104" s="467" t="str">
        <f>IFERROR(__xludf.DUMMYFUNCTION("IFERROR(IF(C104=""Crypto"",$G$2,(IF(ISBLANK(B104),"""",IF(B104=""Cash"",$G$2,IF(GOOGLEFINANCE(B104,""CURRENCY"")=""GBX"",""GBP"",GOOGLEFINANCE(B104,""CURRENCY"")))))),Conversion!$F$1)"),"INR")</f>
        <v>INR</v>
      </c>
      <c r="H104" s="466">
        <f>IFERROR(__xludf.DUMMYFUNCTION("IF(G104=""GBP"",IF(B104="""","""",IF(G104=$G$2,F104,F104*GOOGLEFINANCE(""currency:""&amp;G104&amp;""""&amp;$G$2&amp;"""")))/100,IF(A104="""","""",IF(G104=$G$2,F104,F104*GOOGLEFINANCE(""Currency:""&amp;G104&amp;""""&amp;$G$2&amp;""""))))"),2701.2)</f>
        <v>2701.2</v>
      </c>
    </row>
    <row r="105">
      <c r="A105" s="462">
        <v>45140.0</v>
      </c>
      <c r="B105" s="463" t="s">
        <v>121</v>
      </c>
      <c r="C105" s="463" t="s">
        <v>296</v>
      </c>
      <c r="D105" s="463">
        <v>2.0</v>
      </c>
      <c r="E105" s="465">
        <v>213.0</v>
      </c>
      <c r="F105" s="466">
        <f t="shared" si="1"/>
        <v>426</v>
      </c>
      <c r="G105" s="467" t="str">
        <f>IFERROR(__xludf.DUMMYFUNCTION("IFERROR(IF(C105=""Crypto"",$G$2,(IF(ISBLANK(B105),"""",IF(B105=""Cash"",$G$2,IF(GOOGLEFINANCE(B105,""CURRENCY"")=""GBX"",""GBP"",GOOGLEFINANCE(B105,""CURRENCY"")))))),Conversion!$F$1)"),"INR")</f>
        <v>INR</v>
      </c>
      <c r="H105" s="466">
        <f>IFERROR(__xludf.DUMMYFUNCTION("IF(G105=""GBP"",IF(B105="""","""",IF(G105=$G$2,F105,F105*GOOGLEFINANCE(""currency:""&amp;G105&amp;""""&amp;$G$2&amp;"""")))/100,IF(A105="""","""",IF(G105=$G$2,F105,F105*GOOGLEFINANCE(""Currency:""&amp;G105&amp;""""&amp;$G$2&amp;""""))))"),426.0)</f>
        <v>426</v>
      </c>
    </row>
    <row r="106">
      <c r="A106" s="462">
        <v>45157.0</v>
      </c>
      <c r="B106" s="463" t="s">
        <v>97</v>
      </c>
      <c r="C106" s="463" t="s">
        <v>296</v>
      </c>
      <c r="D106" s="463">
        <v>1.0</v>
      </c>
      <c r="E106" s="465">
        <v>1148.5</v>
      </c>
      <c r="F106" s="466">
        <f t="shared" si="1"/>
        <v>1148.5</v>
      </c>
      <c r="G106" s="467" t="str">
        <f>IFERROR(__xludf.DUMMYFUNCTION("IFERROR(IF(C106=""Crypto"",$G$2,(IF(ISBLANK(B106),"""",IF(B106=""Cash"",$G$2,IF(GOOGLEFINANCE(B106,""CURRENCY"")=""GBX"",""GBP"",GOOGLEFINANCE(B106,""CURRENCY"")))))),Conversion!$F$1)"),"INR")</f>
        <v>INR</v>
      </c>
      <c r="H106" s="466">
        <f>IFERROR(__xludf.DUMMYFUNCTION("IF(G106=""GBP"",IF(B106="""","""",IF(G106=$G$2,F106,F106*GOOGLEFINANCE(""currency:""&amp;G106&amp;""""&amp;$G$2&amp;"""")))/100,IF(A106="""","""",IF(G106=$G$2,F106,F106*GOOGLEFINANCE(""Currency:""&amp;G106&amp;""""&amp;$G$2&amp;""""))))"),1148.5)</f>
        <v>1148.5</v>
      </c>
    </row>
    <row r="107">
      <c r="A107" s="462">
        <v>45157.0</v>
      </c>
      <c r="B107" s="463" t="s">
        <v>105</v>
      </c>
      <c r="C107" s="463" t="s">
        <v>296</v>
      </c>
      <c r="D107" s="463">
        <v>5.0</v>
      </c>
      <c r="E107" s="465">
        <v>282.45</v>
      </c>
      <c r="F107" s="466">
        <f t="shared" si="1"/>
        <v>1412.25</v>
      </c>
      <c r="G107" s="467" t="str">
        <f>IFERROR(__xludf.DUMMYFUNCTION("IFERROR(IF(C107=""Crypto"",$G$2,(IF(ISBLANK(B107),"""",IF(B107=""Cash"",$G$2,IF(GOOGLEFINANCE(B107,""CURRENCY"")=""GBX"",""GBP"",GOOGLEFINANCE(B107,""CURRENCY"")))))),Conversion!$F$1)"),"INR")</f>
        <v>INR</v>
      </c>
      <c r="H107" s="466">
        <f>IFERROR(__xludf.DUMMYFUNCTION("IF(G107=""GBP"",IF(B107="""","""",IF(G107=$G$2,F107,F107*GOOGLEFINANCE(""currency:""&amp;G107&amp;""""&amp;$G$2&amp;"""")))/100,IF(A107="""","""",IF(G107=$G$2,F107,F107*GOOGLEFINANCE(""Currency:""&amp;G107&amp;""""&amp;$G$2&amp;""""))))"),1412.25)</f>
        <v>1412.25</v>
      </c>
    </row>
    <row r="108">
      <c r="A108" s="462">
        <v>45185.0</v>
      </c>
      <c r="B108" s="463" t="s">
        <v>115</v>
      </c>
      <c r="C108" s="463" t="s">
        <v>296</v>
      </c>
      <c r="D108" s="463">
        <v>2.0</v>
      </c>
      <c r="E108" s="465">
        <v>2469.15</v>
      </c>
      <c r="F108" s="466">
        <f t="shared" si="1"/>
        <v>4938.3</v>
      </c>
      <c r="G108" s="467" t="str">
        <f>IFERROR(__xludf.DUMMYFUNCTION("IFERROR(IF(C108=""Crypto"",$G$2,(IF(ISBLANK(B108),"""",IF(B108=""Cash"",$G$2,IF(GOOGLEFINANCE(B108,""CURRENCY"")=""GBX"",""GBP"",GOOGLEFINANCE(B108,""CURRENCY"")))))),Conversion!$F$1)"),"INR")</f>
        <v>INR</v>
      </c>
      <c r="H108" s="466">
        <f>IFERROR(__xludf.DUMMYFUNCTION("IF(G108=""GBP"",IF(B108="""","""",IF(G108=$G$2,F108,F108*GOOGLEFINANCE(""currency:""&amp;G108&amp;""""&amp;$G$2&amp;"""")))/100,IF(A108="""","""",IF(G108=$G$2,F108,F108*GOOGLEFINANCE(""Currency:""&amp;G108&amp;""""&amp;$G$2&amp;""""))))"),4938.3)</f>
        <v>4938.3</v>
      </c>
    </row>
    <row r="109">
      <c r="A109" s="462">
        <v>45187.0</v>
      </c>
      <c r="B109" s="463" t="s">
        <v>124</v>
      </c>
      <c r="C109" s="463" t="s">
        <v>296</v>
      </c>
      <c r="D109" s="463">
        <v>8.0</v>
      </c>
      <c r="E109" s="465">
        <v>77.0</v>
      </c>
      <c r="F109" s="466">
        <f t="shared" si="1"/>
        <v>616</v>
      </c>
      <c r="G109" s="467" t="str">
        <f>IFERROR(__xludf.DUMMYFUNCTION("IFERROR(IF(C109=""Crypto"",$G$2,(IF(ISBLANK(B109),"""",IF(B109=""Cash"",$G$2,IF(GOOGLEFINANCE(B109,""CURRENCY"")=""GBX"",""GBP"",GOOGLEFINANCE(B109,""CURRENCY"")))))),Conversion!$F$1)"),"INR")</f>
        <v>INR</v>
      </c>
      <c r="H109" s="466">
        <f>IFERROR(__xludf.DUMMYFUNCTION("IF(G109=""GBP"",IF(B109="""","""",IF(G109=$G$2,F109,F109*GOOGLEFINANCE(""currency:""&amp;G109&amp;""""&amp;$G$2&amp;"""")))/100,IF(A109="""","""",IF(G109=$G$2,F109,F109*GOOGLEFINANCE(""Currency:""&amp;G109&amp;""""&amp;$G$2&amp;""""))))"),616.0)</f>
        <v>616</v>
      </c>
    </row>
    <row r="110">
      <c r="A110" s="462">
        <v>45196.0</v>
      </c>
      <c r="B110" s="463" t="s">
        <v>94</v>
      </c>
      <c r="C110" s="463" t="s">
        <v>296</v>
      </c>
      <c r="D110" s="463">
        <v>2.0</v>
      </c>
      <c r="E110" s="465">
        <v>572.0</v>
      </c>
      <c r="F110" s="466">
        <f t="shared" si="1"/>
        <v>1144</v>
      </c>
      <c r="G110" s="467" t="str">
        <f>IFERROR(__xludf.DUMMYFUNCTION("IFERROR(IF(C110=""Crypto"",$G$2,(IF(ISBLANK(B110),"""",IF(B110=""Cash"",$G$2,IF(GOOGLEFINANCE(B110,""CURRENCY"")=""GBX"",""GBP"",GOOGLEFINANCE(B110,""CURRENCY"")))))),Conversion!$F$1)"),"INR")</f>
        <v>INR</v>
      </c>
      <c r="H110" s="466">
        <f>IFERROR(__xludf.DUMMYFUNCTION("IF(G110=""GBP"",IF(B110="""","""",IF(G110=$G$2,F110,F110*GOOGLEFINANCE(""currency:""&amp;G110&amp;""""&amp;$G$2&amp;"""")))/100,IF(A110="""","""",IF(G110=$G$2,F110,F110*GOOGLEFINANCE(""Currency:""&amp;G110&amp;""""&amp;$G$2&amp;""""))))"),1144.0)</f>
        <v>1144</v>
      </c>
    </row>
    <row r="111">
      <c r="A111" s="462">
        <v>45208.0</v>
      </c>
      <c r="B111" s="463" t="s">
        <v>116</v>
      </c>
      <c r="C111" s="463" t="s">
        <v>296</v>
      </c>
      <c r="D111" s="463">
        <v>2.0</v>
      </c>
      <c r="E111" s="465">
        <v>529.65</v>
      </c>
      <c r="F111" s="466">
        <f t="shared" si="1"/>
        <v>1059.3</v>
      </c>
      <c r="G111" s="467" t="str">
        <f>IFERROR(__xludf.DUMMYFUNCTION("IFERROR(IF(C111=""Crypto"",$G$2,(IF(ISBLANK(B111),"""",IF(B111=""Cash"",$G$2,IF(GOOGLEFINANCE(B111,""CURRENCY"")=""GBX"",""GBP"",GOOGLEFINANCE(B111,""CURRENCY"")))))),Conversion!$F$1)"),"INR")</f>
        <v>INR</v>
      </c>
      <c r="H111" s="466">
        <f>IFERROR(__xludf.DUMMYFUNCTION("IF(G111=""GBP"",IF(B111="""","""",IF(G111=$G$2,F111,F111*GOOGLEFINANCE(""currency:""&amp;G111&amp;""""&amp;$G$2&amp;"""")))/100,IF(A111="""","""",IF(G111=$G$2,F111,F111*GOOGLEFINANCE(""Currency:""&amp;G111&amp;""""&amp;$G$2&amp;""""))))"),1059.3)</f>
        <v>1059.3</v>
      </c>
    </row>
    <row r="112">
      <c r="A112" s="462">
        <v>45208.0</v>
      </c>
      <c r="B112" s="463" t="s">
        <v>122</v>
      </c>
      <c r="C112" s="463" t="s">
        <v>296</v>
      </c>
      <c r="D112" s="463">
        <v>10.0</v>
      </c>
      <c r="E112" s="465">
        <v>134.4</v>
      </c>
      <c r="F112" s="466">
        <f t="shared" si="1"/>
        <v>1344</v>
      </c>
      <c r="G112" s="467" t="str">
        <f>IFERROR(__xludf.DUMMYFUNCTION("IFERROR(IF(C112=""Crypto"",$G$2,(IF(ISBLANK(B112),"""",IF(B112=""Cash"",$G$2,IF(GOOGLEFINANCE(B112,""CURRENCY"")=""GBX"",""GBP"",GOOGLEFINANCE(B112,""CURRENCY"")))))),Conversion!$F$1)"),"INR")</f>
        <v>INR</v>
      </c>
      <c r="H112" s="466">
        <f>IFERROR(__xludf.DUMMYFUNCTION("IF(G112=""GBP"",IF(B112="""","""",IF(G112=$G$2,F112,F112*GOOGLEFINANCE(""currency:""&amp;G112&amp;""""&amp;$G$2&amp;"""")))/100,IF(A112="""","""",IF(G112=$G$2,F112,F112*GOOGLEFINANCE(""Currency:""&amp;G112&amp;""""&amp;$G$2&amp;""""))))"),1344.0)</f>
        <v>1344</v>
      </c>
    </row>
    <row r="113">
      <c r="A113" s="462">
        <v>45208.0</v>
      </c>
      <c r="B113" s="463" t="s">
        <v>124</v>
      </c>
      <c r="C113" s="463" t="s">
        <v>296</v>
      </c>
      <c r="D113" s="463">
        <v>20.0</v>
      </c>
      <c r="E113" s="465">
        <v>71.6</v>
      </c>
      <c r="F113" s="466">
        <f t="shared" si="1"/>
        <v>1432</v>
      </c>
      <c r="G113" s="467" t="str">
        <f>IFERROR(__xludf.DUMMYFUNCTION("IFERROR(IF(C113=""Crypto"",$G$2,(IF(ISBLANK(B113),"""",IF(B113=""Cash"",$G$2,IF(GOOGLEFINANCE(B113,""CURRENCY"")=""GBX"",""GBP"",GOOGLEFINANCE(B113,""CURRENCY"")))))),Conversion!$F$1)"),"INR")</f>
        <v>INR</v>
      </c>
      <c r="H113" s="466">
        <f>IFERROR(__xludf.DUMMYFUNCTION("IF(G113=""GBP"",IF(B113="""","""",IF(G113=$G$2,F113,F113*GOOGLEFINANCE(""currency:""&amp;G113&amp;""""&amp;$G$2&amp;"""")))/100,IF(A113="""","""",IF(G113=$G$2,F113,F113*GOOGLEFINANCE(""Currency:""&amp;G113&amp;""""&amp;$G$2&amp;""""))))"),1432.0)</f>
        <v>1432</v>
      </c>
    </row>
    <row r="114">
      <c r="A114" s="462">
        <v>45231.0</v>
      </c>
      <c r="B114" s="463" t="s">
        <v>138</v>
      </c>
      <c r="C114" s="463" t="s">
        <v>296</v>
      </c>
      <c r="D114" s="463">
        <v>2.0</v>
      </c>
      <c r="E114" s="465">
        <v>2560.0</v>
      </c>
      <c r="F114" s="466">
        <f t="shared" si="1"/>
        <v>5120</v>
      </c>
      <c r="G114" s="467" t="str">
        <f>IFERROR(__xludf.DUMMYFUNCTION("IFERROR(IF(C114=""Crypto"",$G$2,(IF(ISBLANK(B114),"""",IF(B114=""Cash"",$G$2,IF(GOOGLEFINANCE(B114,""CURRENCY"")=""GBX"",""GBP"",GOOGLEFINANCE(B114,""CURRENCY"")))))),Conversion!$F$1)"),"INR")</f>
        <v>INR</v>
      </c>
      <c r="H114" s="466">
        <f>IFERROR(__xludf.DUMMYFUNCTION("IF(G114=""GBP"",IF(B114="""","""",IF(G114=$G$2,F114,F114*GOOGLEFINANCE(""currency:""&amp;G114&amp;""""&amp;$G$2&amp;"""")))/100,IF(A114="""","""",IF(G114=$G$2,F114,F114*GOOGLEFINANCE(""Currency:""&amp;G114&amp;""""&amp;$G$2&amp;""""))))"),5120.0)</f>
        <v>5120</v>
      </c>
    </row>
    <row r="115">
      <c r="A115" s="462">
        <v>45308.0</v>
      </c>
      <c r="B115" s="463" t="s">
        <v>138</v>
      </c>
      <c r="C115" s="463" t="s">
        <v>296</v>
      </c>
      <c r="D115" s="463">
        <v>2.0</v>
      </c>
      <c r="E115" s="465">
        <v>2544.65</v>
      </c>
      <c r="F115" s="466">
        <f t="shared" si="1"/>
        <v>5089.3</v>
      </c>
      <c r="G115" s="467" t="str">
        <f>IFERROR(__xludf.DUMMYFUNCTION("IFERROR(IF(C115=""Crypto"",$G$2,(IF(ISBLANK(B115),"""",IF(B115=""Cash"",$G$2,IF(GOOGLEFINANCE(B115,""CURRENCY"")=""GBX"",""GBP"",GOOGLEFINANCE(B115,""CURRENCY"")))))),Conversion!$F$1)"),"INR")</f>
        <v>INR</v>
      </c>
      <c r="H115" s="466">
        <f>IFERROR(__xludf.DUMMYFUNCTION("IF(G115=""GBP"",IF(B115="""","""",IF(G115=$G$2,F115,F115*GOOGLEFINANCE(""currency:""&amp;G115&amp;""""&amp;$G$2&amp;"""")))/100,IF(A115="""","""",IF(G115=$G$2,F115,F115*GOOGLEFINANCE(""Currency:""&amp;G115&amp;""""&amp;$G$2&amp;""""))))"),5089.3)</f>
        <v>5089.3</v>
      </c>
    </row>
    <row r="116">
      <c r="A116" s="462">
        <v>45324.0</v>
      </c>
      <c r="B116" s="463" t="s">
        <v>88</v>
      </c>
      <c r="C116" s="463" t="s">
        <v>296</v>
      </c>
      <c r="D116" s="463">
        <v>1.0</v>
      </c>
      <c r="E116" s="465">
        <v>1138.0</v>
      </c>
      <c r="F116" s="466">
        <f t="shared" si="1"/>
        <v>1138</v>
      </c>
      <c r="G116" s="467" t="str">
        <f>IFERROR(__xludf.DUMMYFUNCTION("IFERROR(IF(C116=""Crypto"",$G$2,(IF(ISBLANK(B116),"""",IF(B116=""Cash"",$G$2,IF(GOOGLEFINANCE(B116,""CURRENCY"")=""GBX"",""GBP"",GOOGLEFINANCE(B116,""CURRENCY"")))))),Conversion!$F$1)"),"INR")</f>
        <v>INR</v>
      </c>
      <c r="H116" s="466">
        <f>IFERROR(__xludf.DUMMYFUNCTION("IF(G116=""GBP"",IF(B116="""","""",IF(G116=$G$2,F116,F116*GOOGLEFINANCE(""currency:""&amp;G116&amp;""""&amp;$G$2&amp;"""")))/100,IF(A116="""","""",IF(G116=$G$2,F116,F116*GOOGLEFINANCE(""Currency:""&amp;G116&amp;""""&amp;$G$2&amp;""""))))"),1138.0)</f>
        <v>1138</v>
      </c>
    </row>
    <row r="117">
      <c r="A117" s="462">
        <v>45324.0</v>
      </c>
      <c r="B117" s="463" t="s">
        <v>135</v>
      </c>
      <c r="C117" s="463" t="s">
        <v>296</v>
      </c>
      <c r="D117" s="463">
        <v>2.0</v>
      </c>
      <c r="E117" s="465">
        <v>2009.0</v>
      </c>
      <c r="F117" s="466">
        <f t="shared" si="1"/>
        <v>4018</v>
      </c>
      <c r="G117" s="467" t="str">
        <f>IFERROR(__xludf.DUMMYFUNCTION("IFERROR(IF(C117=""Crypto"",$G$2,(IF(ISBLANK(B117),"""",IF(B117=""Cash"",$G$2,IF(GOOGLEFINANCE(B117,""CURRENCY"")=""GBX"",""GBP"",GOOGLEFINANCE(B117,""CURRENCY"")))))),Conversion!$F$1)"),"INR")</f>
        <v>INR</v>
      </c>
      <c r="H117" s="466">
        <f>IFERROR(__xludf.DUMMYFUNCTION("IF(G117=""GBP"",IF(B117="""","""",IF(G117=$G$2,F117,F117*GOOGLEFINANCE(""currency:""&amp;G117&amp;""""&amp;$G$2&amp;"""")))/100,IF(A117="""","""",IF(G117=$G$2,F117,F117*GOOGLEFINANCE(""Currency:""&amp;G117&amp;""""&amp;$G$2&amp;""""))))"),4018.0)</f>
        <v>4018</v>
      </c>
    </row>
    <row r="118">
      <c r="A118" s="462">
        <v>45324.0</v>
      </c>
      <c r="B118" s="463" t="s">
        <v>150</v>
      </c>
      <c r="C118" s="463" t="s">
        <v>296</v>
      </c>
      <c r="D118" s="463">
        <v>40.0</v>
      </c>
      <c r="E118" s="465">
        <v>293.0</v>
      </c>
      <c r="F118" s="466">
        <f t="shared" si="1"/>
        <v>11720</v>
      </c>
      <c r="G118" s="467" t="str">
        <f>IFERROR(__xludf.DUMMYFUNCTION("IFERROR(IF(C118=""Crypto"",$G$2,(IF(ISBLANK(B118),"""",IF(B118=""Cash"",$G$2,IF(GOOGLEFINANCE(B118,""CURRENCY"")=""GBX"",""GBP"",GOOGLEFINANCE(B118,""CURRENCY"")))))),Conversion!$F$1)"),"INR")</f>
        <v>INR</v>
      </c>
      <c r="H118" s="466">
        <f>IFERROR(__xludf.DUMMYFUNCTION("IF(G118=""GBP"",IF(B118="""","""",IF(G118=$G$2,F118,F118*GOOGLEFINANCE(""currency:""&amp;G118&amp;""""&amp;$G$2&amp;"""")))/100,IF(A118="""","""",IF(G118=$G$2,F118,F118*GOOGLEFINANCE(""Currency:""&amp;G118&amp;""""&amp;$G$2&amp;""""))))"),11720.0)</f>
        <v>11720</v>
      </c>
    </row>
    <row r="119">
      <c r="A119" s="462">
        <v>45324.0</v>
      </c>
      <c r="B119" s="463" t="s">
        <v>147</v>
      </c>
      <c r="C119" s="463" t="s">
        <v>296</v>
      </c>
      <c r="D119" s="463">
        <v>1.0</v>
      </c>
      <c r="E119" s="465">
        <v>839.0</v>
      </c>
      <c r="F119" s="466">
        <f t="shared" si="1"/>
        <v>839</v>
      </c>
      <c r="G119" s="467" t="str">
        <f>IFERROR(__xludf.DUMMYFUNCTION("IFERROR(IF(C119=""Crypto"",$G$2,(IF(ISBLANK(B119),"""",IF(B119=""Cash"",$G$2,IF(GOOGLEFINANCE(B119,""CURRENCY"")=""GBX"",""GBP"",GOOGLEFINANCE(B119,""CURRENCY"")))))),Conversion!$F$1)"),"INR")</f>
        <v>INR</v>
      </c>
      <c r="H119" s="466">
        <f>IFERROR(__xludf.DUMMYFUNCTION("IF(G119=""GBP"",IF(B119="""","""",IF(G119=$G$2,F119,F119*GOOGLEFINANCE(""currency:""&amp;G119&amp;""""&amp;$G$2&amp;"""")))/100,IF(A119="""","""",IF(G119=$G$2,F119,F119*GOOGLEFINANCE(""Currency:""&amp;G119&amp;""""&amp;$G$2&amp;""""))))"),839.0)</f>
        <v>839</v>
      </c>
    </row>
    <row r="120">
      <c r="A120" s="462">
        <v>45325.0</v>
      </c>
      <c r="B120" s="463" t="s">
        <v>128</v>
      </c>
      <c r="C120" s="463" t="s">
        <v>296</v>
      </c>
      <c r="D120" s="463">
        <v>20.0</v>
      </c>
      <c r="E120" s="465">
        <v>482.0</v>
      </c>
      <c r="F120" s="466">
        <f t="shared" si="1"/>
        <v>9640</v>
      </c>
      <c r="G120" s="467" t="str">
        <f>IFERROR(__xludf.DUMMYFUNCTION("IFERROR(IF(C120=""Crypto"",$G$2,(IF(ISBLANK(B120),"""",IF(B120=""Cash"",$G$2,IF(GOOGLEFINANCE(B120,""CURRENCY"")=""GBX"",""GBP"",GOOGLEFINANCE(B120,""CURRENCY"")))))),Conversion!$F$1)"),"INR")</f>
        <v>INR</v>
      </c>
      <c r="H120" s="466">
        <f>IFERROR(__xludf.DUMMYFUNCTION("IF(G120=""GBP"",IF(B120="""","""",IF(G120=$G$2,F120,F120*GOOGLEFINANCE(""currency:""&amp;G120&amp;""""&amp;$G$2&amp;"""")))/100,IF(A120="""","""",IF(G120=$G$2,F120,F120*GOOGLEFINANCE(""Currency:""&amp;G120&amp;""""&amp;$G$2&amp;""""))))"),9640.0)</f>
        <v>9640</v>
      </c>
    </row>
    <row r="121">
      <c r="A121" s="462">
        <v>45325.0</v>
      </c>
      <c r="B121" s="463" t="s">
        <v>164</v>
      </c>
      <c r="C121" s="463" t="s">
        <v>296</v>
      </c>
      <c r="D121" s="463">
        <v>400.0</v>
      </c>
      <c r="E121" s="465">
        <v>46.85</v>
      </c>
      <c r="F121" s="466">
        <f t="shared" si="1"/>
        <v>18740</v>
      </c>
      <c r="G121" s="467" t="str">
        <f>IFERROR(__xludf.DUMMYFUNCTION("IFERROR(IF(C121=""Crypto"",$G$2,(IF(ISBLANK(B121),"""",IF(B121=""Cash"",$G$2,IF(GOOGLEFINANCE(B121,""CURRENCY"")=""GBX"",""GBP"",GOOGLEFINANCE(B121,""CURRENCY"")))))),Conversion!$F$1)"),"INR")</f>
        <v>INR</v>
      </c>
      <c r="H121" s="466">
        <f>IFERROR(__xludf.DUMMYFUNCTION("IF(G121=""GBP"",IF(B121="""","""",IF(G121=$G$2,F121,F121*GOOGLEFINANCE(""currency:""&amp;G121&amp;""""&amp;$G$2&amp;"""")))/100,IF(A121="""","""",IF(G121=$G$2,F121,F121*GOOGLEFINANCE(""Currency:""&amp;G121&amp;""""&amp;$G$2&amp;""""))))"),18740.0)</f>
        <v>18740</v>
      </c>
    </row>
    <row r="122">
      <c r="A122" s="462">
        <v>45325.0</v>
      </c>
      <c r="B122" s="463" t="s">
        <v>266</v>
      </c>
      <c r="C122" s="463" t="s">
        <v>296</v>
      </c>
      <c r="D122" s="463">
        <v>1.0</v>
      </c>
      <c r="E122" s="465">
        <v>1632.0</v>
      </c>
      <c r="F122" s="466">
        <f t="shared" si="1"/>
        <v>1632</v>
      </c>
      <c r="G122" s="467" t="str">
        <f>IFERROR(__xludf.DUMMYFUNCTION("IFERROR(IF(C122=""Crypto"",$G$2,(IF(ISBLANK(B122),"""",IF(B122=""Cash"",$G$2,IF(GOOGLEFINANCE(B122,""CURRENCY"")=""GBX"",""GBP"",GOOGLEFINANCE(B122,""CURRENCY"")))))),Conversion!$F$1)"),"INR")</f>
        <v>INR</v>
      </c>
      <c r="H122" s="466">
        <f>IFERROR(__xludf.DUMMYFUNCTION("IF(G122=""GBP"",IF(B122="""","""",IF(G122=$G$2,F122,F122*GOOGLEFINANCE(""currency:""&amp;G122&amp;""""&amp;$G$2&amp;"""")))/100,IF(A122="""","""",IF(G122=$G$2,F122,F122*GOOGLEFINANCE(""Currency:""&amp;G122&amp;""""&amp;$G$2&amp;""""))))"),1632.0)</f>
        <v>1632</v>
      </c>
    </row>
    <row r="123">
      <c r="A123" s="462">
        <v>45325.0</v>
      </c>
      <c r="B123" s="463" t="s">
        <v>161</v>
      </c>
      <c r="C123" s="463" t="s">
        <v>296</v>
      </c>
      <c r="D123" s="463">
        <v>1.0</v>
      </c>
      <c r="E123" s="465">
        <v>3608.0</v>
      </c>
      <c r="F123" s="466">
        <f t="shared" si="1"/>
        <v>3608</v>
      </c>
      <c r="G123" s="467" t="str">
        <f>IFERROR(__xludf.DUMMYFUNCTION("IFERROR(IF(C123=""Crypto"",$G$2,(IF(ISBLANK(B123),"""",IF(B123=""Cash"",$G$2,IF(GOOGLEFINANCE(B123,""CURRENCY"")=""GBX"",""GBP"",GOOGLEFINANCE(B123,""CURRENCY"")))))),Conversion!$F$1)"),"INR")</f>
        <v>INR</v>
      </c>
      <c r="H123" s="466">
        <f>IFERROR(__xludf.DUMMYFUNCTION("IF(G123=""GBP"",IF(B123="""","""",IF(G123=$G$2,F123,F123*GOOGLEFINANCE(""currency:""&amp;G123&amp;""""&amp;$G$2&amp;"""")))/100,IF(A123="""","""",IF(G123=$G$2,F123,F123*GOOGLEFINANCE(""Currency:""&amp;G123&amp;""""&amp;$G$2&amp;""""))))"),3608.0)</f>
        <v>3608</v>
      </c>
    </row>
    <row r="124">
      <c r="A124" s="462">
        <v>45414.0</v>
      </c>
      <c r="B124" s="463" t="s">
        <v>151</v>
      </c>
      <c r="C124" s="463" t="s">
        <v>296</v>
      </c>
      <c r="D124" s="463">
        <v>1.0</v>
      </c>
      <c r="E124" s="465">
        <v>701.0</v>
      </c>
      <c r="F124" s="466">
        <f t="shared" si="1"/>
        <v>701</v>
      </c>
      <c r="G124" s="467" t="str">
        <f>IFERROR(__xludf.DUMMYFUNCTION("IFERROR(IF(C124=""Crypto"",$G$2,(IF(ISBLANK(B124),"""",IF(B124=""Cash"",$G$2,IF(GOOGLEFINANCE(B124,""CURRENCY"")=""GBX"",""GBP"",GOOGLEFINANCE(B124,""CURRENCY"")))))),Conversion!$F$1)"),"INR")</f>
        <v>INR</v>
      </c>
      <c r="H124" s="466">
        <f>IFERROR(__xludf.DUMMYFUNCTION("IF(G124=""GBP"",IF(B124="""","""",IF(G124=$G$2,F124,F124*GOOGLEFINANCE(""currency:""&amp;G124&amp;""""&amp;$G$2&amp;"""")))/100,IF(A124="""","""",IF(G124=$G$2,F124,F124*GOOGLEFINANCE(""Currency:""&amp;G124&amp;""""&amp;$G$2&amp;""""))))"),701.0)</f>
        <v>701</v>
      </c>
    </row>
    <row r="125">
      <c r="A125" s="462">
        <v>45414.0</v>
      </c>
      <c r="B125" s="463" t="s">
        <v>162</v>
      </c>
      <c r="C125" s="463" t="s">
        <v>296</v>
      </c>
      <c r="D125" s="463">
        <v>20.0</v>
      </c>
      <c r="E125" s="465">
        <v>101.0</v>
      </c>
      <c r="F125" s="466">
        <f t="shared" si="1"/>
        <v>2020</v>
      </c>
      <c r="G125" s="467" t="str">
        <f>IFERROR(__xludf.DUMMYFUNCTION("IFERROR(IF(C125=""Crypto"",$G$2,(IF(ISBLANK(B125),"""",IF(B125=""Cash"",$G$2,IF(GOOGLEFINANCE(B125,""CURRENCY"")=""GBX"",""GBP"",GOOGLEFINANCE(B125,""CURRENCY"")))))),Conversion!$F$1)"),"INR")</f>
        <v>INR</v>
      </c>
      <c r="H125" s="466">
        <f>IFERROR(__xludf.DUMMYFUNCTION("IF(G125=""GBP"",IF(B125="""","""",IF(G125=$G$2,F125,F125*GOOGLEFINANCE(""currency:""&amp;G125&amp;""""&amp;$G$2&amp;"""")))/100,IF(A125="""","""",IF(G125=$G$2,F125,F125*GOOGLEFINANCE(""Currency:""&amp;G125&amp;""""&amp;$G$2&amp;""""))))"),2020.0)</f>
        <v>2020</v>
      </c>
    </row>
    <row r="126">
      <c r="A126" s="462">
        <v>45414.0</v>
      </c>
      <c r="B126" s="463" t="s">
        <v>149</v>
      </c>
      <c r="C126" s="463" t="s">
        <v>296</v>
      </c>
      <c r="D126" s="463">
        <v>20.0</v>
      </c>
      <c r="E126" s="465">
        <v>90.0</v>
      </c>
      <c r="F126" s="466">
        <f t="shared" si="1"/>
        <v>1800</v>
      </c>
      <c r="G126" s="467" t="str">
        <f>IFERROR(__xludf.DUMMYFUNCTION("IFERROR(IF(C126=""Crypto"",$G$2,(IF(ISBLANK(B126),"""",IF(B126=""Cash"",$G$2,IF(GOOGLEFINANCE(B126,""CURRENCY"")=""GBX"",""GBP"",GOOGLEFINANCE(B126,""CURRENCY"")))))),Conversion!$F$1)"),"INR")</f>
        <v>INR</v>
      </c>
      <c r="H126" s="466">
        <f>IFERROR(__xludf.DUMMYFUNCTION("IF(G126=""GBP"",IF(B126="""","""",IF(G126=$G$2,F126,F126*GOOGLEFINANCE(""currency:""&amp;G126&amp;""""&amp;$G$2&amp;"""")))/100,IF(A126="""","""",IF(G126=$G$2,F126,F126*GOOGLEFINANCE(""Currency:""&amp;G126&amp;""""&amp;$G$2&amp;""""))))"),1800.0)</f>
        <v>1800</v>
      </c>
    </row>
    <row r="127">
      <c r="A127" s="462">
        <v>45414.0</v>
      </c>
      <c r="B127" s="463" t="s">
        <v>92</v>
      </c>
      <c r="C127" s="463" t="s">
        <v>296</v>
      </c>
      <c r="D127" s="463">
        <v>1.0</v>
      </c>
      <c r="E127" s="465">
        <v>6723.0</v>
      </c>
      <c r="F127" s="466">
        <f t="shared" si="1"/>
        <v>6723</v>
      </c>
      <c r="G127" s="467" t="str">
        <f>IFERROR(__xludf.DUMMYFUNCTION("IFERROR(IF(C127=""Crypto"",$G$2,(IF(ISBLANK(B127),"""",IF(B127=""Cash"",$G$2,IF(GOOGLEFINANCE(B127,""CURRENCY"")=""GBX"",""GBP"",GOOGLEFINANCE(B127,""CURRENCY"")))))),Conversion!$F$1)"),"INR")</f>
        <v>INR</v>
      </c>
      <c r="H127" s="466">
        <f>IFERROR(__xludf.DUMMYFUNCTION("IF(G127=""GBP"",IF(B127="""","""",IF(G127=$G$2,F127,F127*GOOGLEFINANCE(""currency:""&amp;G127&amp;""""&amp;$G$2&amp;"""")))/100,IF(A127="""","""",IF(G127=$G$2,F127,F127*GOOGLEFINANCE(""Currency:""&amp;G127&amp;""""&amp;$G$2&amp;""""))))"),6723.0)</f>
        <v>6723</v>
      </c>
    </row>
    <row r="128">
      <c r="A128" s="462">
        <v>45414.0</v>
      </c>
      <c r="B128" s="463" t="s">
        <v>124</v>
      </c>
      <c r="C128" s="463" t="s">
        <v>296</v>
      </c>
      <c r="D128" s="463">
        <v>30.0</v>
      </c>
      <c r="E128" s="465">
        <v>162.0</v>
      </c>
      <c r="F128" s="466">
        <f t="shared" si="1"/>
        <v>4860</v>
      </c>
      <c r="G128" s="467" t="str">
        <f>IFERROR(__xludf.DUMMYFUNCTION("IFERROR(IF(C128=""Crypto"",$G$2,(IF(ISBLANK(B128),"""",IF(B128=""Cash"",$G$2,IF(GOOGLEFINANCE(B128,""CURRENCY"")=""GBX"",""GBP"",GOOGLEFINANCE(B128,""CURRENCY"")))))),Conversion!$F$1)"),"INR")</f>
        <v>INR</v>
      </c>
      <c r="H128" s="466">
        <f>IFERROR(__xludf.DUMMYFUNCTION("IF(G128=""GBP"",IF(B128="""","""",IF(G128=$G$2,F128,F128*GOOGLEFINANCE(""currency:""&amp;G128&amp;""""&amp;$G$2&amp;"""")))/100,IF(A128="""","""",IF(G128=$G$2,F128,F128*GOOGLEFINANCE(""Currency:""&amp;G128&amp;""""&amp;$G$2&amp;""""))))"),4860.0)</f>
        <v>4860</v>
      </c>
    </row>
    <row r="129">
      <c r="A129" s="462">
        <v>45414.0</v>
      </c>
      <c r="B129" s="463" t="s">
        <v>122</v>
      </c>
      <c r="C129" s="463" t="s">
        <v>296</v>
      </c>
      <c r="D129" s="463">
        <v>60.0</v>
      </c>
      <c r="E129" s="465">
        <v>227.0</v>
      </c>
      <c r="F129" s="466">
        <f t="shared" si="1"/>
        <v>13620</v>
      </c>
      <c r="G129" s="467" t="str">
        <f>IFERROR(__xludf.DUMMYFUNCTION("IFERROR(IF(C129=""Crypto"",$G$2,(IF(ISBLANK(B129),"""",IF(B129=""Cash"",$G$2,IF(GOOGLEFINANCE(B129,""CURRENCY"")=""GBX"",""GBP"",GOOGLEFINANCE(B129,""CURRENCY"")))))),Conversion!$F$1)"),"INR")</f>
        <v>INR</v>
      </c>
      <c r="H129" s="466">
        <f>IFERROR(__xludf.DUMMYFUNCTION("IF(G129=""GBP"",IF(B129="""","""",IF(G129=$G$2,F129,F129*GOOGLEFINANCE(""currency:""&amp;G129&amp;""""&amp;$G$2&amp;"""")))/100,IF(A129="""","""",IF(G129=$G$2,F129,F129*GOOGLEFINANCE(""Currency:""&amp;G129&amp;""""&amp;$G$2&amp;""""))))"),13620.0)</f>
        <v>13620</v>
      </c>
    </row>
    <row r="130">
      <c r="A130" s="462">
        <v>45414.0</v>
      </c>
      <c r="B130" s="463" t="s">
        <v>100</v>
      </c>
      <c r="C130" s="463" t="s">
        <v>296</v>
      </c>
      <c r="D130" s="463">
        <v>1.0</v>
      </c>
      <c r="E130" s="465">
        <v>2536.0</v>
      </c>
      <c r="F130" s="466">
        <f t="shared" si="1"/>
        <v>2536</v>
      </c>
      <c r="G130" s="467" t="str">
        <f>IFERROR(__xludf.DUMMYFUNCTION("IFERROR(IF(C130=""Crypto"",$G$2,(IF(ISBLANK(B130),"""",IF(B130=""Cash"",$G$2,IF(GOOGLEFINANCE(B130,""CURRENCY"")=""GBX"",""GBP"",GOOGLEFINANCE(B130,""CURRENCY"")))))),Conversion!$F$1)"),"INR")</f>
        <v>INR</v>
      </c>
      <c r="H130" s="466">
        <f>IFERROR(__xludf.DUMMYFUNCTION("IF(G130=""GBP"",IF(B130="""","""",IF(G130=$G$2,F130,F130*GOOGLEFINANCE(""currency:""&amp;G130&amp;""""&amp;$G$2&amp;"""")))/100,IF(A130="""","""",IF(G130=$G$2,F130,F130*GOOGLEFINANCE(""Currency:""&amp;G130&amp;""""&amp;$G$2&amp;""""))))"),2536.0)</f>
        <v>2536</v>
      </c>
    </row>
    <row r="131">
      <c r="A131" s="462">
        <v>45345.0</v>
      </c>
      <c r="B131" s="463" t="s">
        <v>149</v>
      </c>
      <c r="C131" s="463" t="s">
        <v>296</v>
      </c>
      <c r="D131" s="463">
        <v>50.0</v>
      </c>
      <c r="E131" s="465">
        <v>83.29</v>
      </c>
      <c r="F131" s="466">
        <f t="shared" si="1"/>
        <v>4164.5</v>
      </c>
      <c r="G131" s="467" t="str">
        <f>IFERROR(__xludf.DUMMYFUNCTION("IFERROR(IF(C131=""Crypto"",$G$2,(IF(ISBLANK(B131),"""",IF(B131=""Cash"",$G$2,IF(GOOGLEFINANCE(B131,""CURRENCY"")=""GBX"",""GBP"",GOOGLEFINANCE(B131,""CURRENCY"")))))),Conversion!$F$1)"),"INR")</f>
        <v>INR</v>
      </c>
      <c r="H131" s="466">
        <f>IFERROR(__xludf.DUMMYFUNCTION("IF(G131=""GBP"",IF(B131="""","""",IF(G131=$G$2,F131,F131*GOOGLEFINANCE(""currency:""&amp;G131&amp;""""&amp;$G$2&amp;"""")))/100,IF(A131="""","""",IF(G131=$G$2,F131,F131*GOOGLEFINANCE(""Currency:""&amp;G131&amp;""""&amp;$G$2&amp;""""))))"),4164.5)</f>
        <v>4164.5</v>
      </c>
    </row>
    <row r="132">
      <c r="A132" s="462">
        <v>45345.0</v>
      </c>
      <c r="B132" s="463" t="s">
        <v>264</v>
      </c>
      <c r="C132" s="463" t="s">
        <v>296</v>
      </c>
      <c r="D132" s="463">
        <v>30.0</v>
      </c>
      <c r="E132" s="465">
        <v>54.8</v>
      </c>
      <c r="F132" s="466">
        <f t="shared" si="1"/>
        <v>1644</v>
      </c>
      <c r="G132" s="467" t="str">
        <f>IFERROR(__xludf.DUMMYFUNCTION("IFERROR(IF(C132=""Crypto"",$G$2,(IF(ISBLANK(B132),"""",IF(B132=""Cash"",$G$2,IF(GOOGLEFINANCE(B132,""CURRENCY"")=""GBX"",""GBP"",GOOGLEFINANCE(B132,""CURRENCY"")))))),Conversion!$F$1)"),"INR")</f>
        <v>INR</v>
      </c>
      <c r="H132" s="466">
        <f>IFERROR(__xludf.DUMMYFUNCTION("IF(G132=""GBP"",IF(B132="""","""",IF(G132=$G$2,F132,F132*GOOGLEFINANCE(""currency:""&amp;G132&amp;""""&amp;$G$2&amp;"""")))/100,IF(A132="""","""",IF(G132=$G$2,F132,F132*GOOGLEFINANCE(""Currency:""&amp;G132&amp;""""&amp;$G$2&amp;""""))))"),1644.0)</f>
        <v>1644</v>
      </c>
    </row>
    <row r="133">
      <c r="A133" s="462">
        <v>45345.0</v>
      </c>
      <c r="B133" s="463" t="s">
        <v>139</v>
      </c>
      <c r="C133" s="463" t="s">
        <v>296</v>
      </c>
      <c r="D133" s="463">
        <v>50.0</v>
      </c>
      <c r="E133" s="465">
        <v>80.0</v>
      </c>
      <c r="F133" s="466">
        <f t="shared" si="1"/>
        <v>4000</v>
      </c>
      <c r="G133" s="467" t="str">
        <f>IFERROR(__xludf.DUMMYFUNCTION("IFERROR(IF(C133=""Crypto"",$G$2,(IF(ISBLANK(B133),"""",IF(B133=""Cash"",$G$2,IF(GOOGLEFINANCE(B133,""CURRENCY"")=""GBX"",""GBP"",GOOGLEFINANCE(B133,""CURRENCY"")))))),Conversion!$F$1)"),"INR")</f>
        <v>INR</v>
      </c>
      <c r="H133" s="466">
        <f>IFERROR(__xludf.DUMMYFUNCTION("IF(G133=""GBP"",IF(B133="""","""",IF(G133=$G$2,F133,F133*GOOGLEFINANCE(""currency:""&amp;G133&amp;""""&amp;$G$2&amp;"""")))/100,IF(A133="""","""",IF(G133=$G$2,F133,F133*GOOGLEFINANCE(""Currency:""&amp;G133&amp;""""&amp;$G$2&amp;""""))))"),4000.0)</f>
        <v>4000</v>
      </c>
    </row>
    <row r="134">
      <c r="A134" s="462">
        <v>45345.0</v>
      </c>
      <c r="B134" s="463" t="s">
        <v>260</v>
      </c>
      <c r="C134" s="463" t="s">
        <v>296</v>
      </c>
      <c r="D134" s="463">
        <v>50.0</v>
      </c>
      <c r="E134" s="465">
        <v>48.0</v>
      </c>
      <c r="F134" s="466">
        <f t="shared" si="1"/>
        <v>2400</v>
      </c>
      <c r="G134" s="467" t="str">
        <f>IFERROR(__xludf.DUMMYFUNCTION("IFERROR(IF(C134=""Crypto"",$G$2,(IF(ISBLANK(B134),"""",IF(B134=""Cash"",$G$2,IF(GOOGLEFINANCE(B134,""CURRENCY"")=""GBX"",""GBP"",GOOGLEFINANCE(B134,""CURRENCY"")))))),Conversion!$F$1)"),"INR")</f>
        <v>INR</v>
      </c>
      <c r="H134" s="466">
        <f>IFERROR(__xludf.DUMMYFUNCTION("IF(G134=""GBP"",IF(B134="""","""",IF(G134=$G$2,F134,F134*GOOGLEFINANCE(""currency:""&amp;G134&amp;""""&amp;$G$2&amp;"""")))/100,IF(A134="""","""",IF(G134=$G$2,F134,F134*GOOGLEFINANCE(""Currency:""&amp;G134&amp;""""&amp;$G$2&amp;""""))))"),2400.0)</f>
        <v>2400</v>
      </c>
    </row>
    <row r="135">
      <c r="A135" s="462">
        <v>45345.0</v>
      </c>
      <c r="B135" s="463" t="s">
        <v>258</v>
      </c>
      <c r="C135" s="463" t="s">
        <v>296</v>
      </c>
      <c r="D135" s="463">
        <v>50.0</v>
      </c>
      <c r="E135" s="465">
        <v>85.65</v>
      </c>
      <c r="F135" s="466">
        <f t="shared" si="1"/>
        <v>4282.5</v>
      </c>
      <c r="G135" s="467" t="str">
        <f>IFERROR(__xludf.DUMMYFUNCTION("IFERROR(IF(C135=""Crypto"",$G$2,(IF(ISBLANK(B135),"""",IF(B135=""Cash"",$G$2,IF(GOOGLEFINANCE(B135,""CURRENCY"")=""GBX"",""GBP"",GOOGLEFINANCE(B135,""CURRENCY"")))))),Conversion!$F$1)"),"INR")</f>
        <v>INR</v>
      </c>
      <c r="H135" s="466">
        <f>IFERROR(__xludf.DUMMYFUNCTION("IF(G135=""GBP"",IF(B135="""","""",IF(G135=$G$2,F135,F135*GOOGLEFINANCE(""currency:""&amp;G135&amp;""""&amp;$G$2&amp;"""")))/100,IF(A135="""","""",IF(G135=$G$2,F135,F135*GOOGLEFINANCE(""Currency:""&amp;G135&amp;""""&amp;$G$2&amp;""""))))"),4282.5)</f>
        <v>4282.5</v>
      </c>
    </row>
    <row r="136">
      <c r="A136" s="462">
        <v>45349.0</v>
      </c>
      <c r="B136" s="463" t="s">
        <v>136</v>
      </c>
      <c r="C136" s="463" t="s">
        <v>296</v>
      </c>
      <c r="D136" s="463">
        <v>8.0</v>
      </c>
      <c r="E136" s="465">
        <v>1286.0</v>
      </c>
      <c r="F136" s="466">
        <f t="shared" si="1"/>
        <v>10288</v>
      </c>
      <c r="G136" s="467" t="str">
        <f>IFERROR(__xludf.DUMMYFUNCTION("IFERROR(IF(C136=""Crypto"",$G$2,(IF(ISBLANK(B136),"""",IF(B136=""Cash"",$G$2,IF(GOOGLEFINANCE(B136,""CURRENCY"")=""GBX"",""GBP"",GOOGLEFINANCE(B136,""CURRENCY"")))))),Conversion!$F$1)"),"INR")</f>
        <v>INR</v>
      </c>
      <c r="H136" s="466">
        <f>IFERROR(__xludf.DUMMYFUNCTION("IF(G136=""GBP"",IF(B136="""","""",IF(G136=$G$2,F136,F136*GOOGLEFINANCE(""currency:""&amp;G136&amp;""""&amp;$G$2&amp;"""")))/100,IF(A136="""","""",IF(G136=$G$2,F136,F136*GOOGLEFINANCE(""Currency:""&amp;G136&amp;""""&amp;$G$2&amp;""""))))"),10288.0)</f>
        <v>10288</v>
      </c>
    </row>
    <row r="137">
      <c r="A137" s="462">
        <v>45350.0</v>
      </c>
      <c r="B137" s="463" t="s">
        <v>89</v>
      </c>
      <c r="C137" s="463" t="s">
        <v>296</v>
      </c>
      <c r="D137" s="463">
        <v>2.0</v>
      </c>
      <c r="E137" s="465">
        <v>2800.0</v>
      </c>
      <c r="F137" s="466">
        <f t="shared" si="1"/>
        <v>5600</v>
      </c>
      <c r="G137" s="467" t="str">
        <f>IFERROR(__xludf.DUMMYFUNCTION("IFERROR(IF(C137=""Crypto"",$G$2,(IF(ISBLANK(B137),"""",IF(B137=""Cash"",$G$2,IF(GOOGLEFINANCE(B137,""CURRENCY"")=""GBX"",""GBP"",GOOGLEFINANCE(B137,""CURRENCY"")))))),Conversion!$F$1)"),"INR")</f>
        <v>INR</v>
      </c>
      <c r="H137" s="466">
        <f>IFERROR(__xludf.DUMMYFUNCTION("IF(G137=""GBP"",IF(B137="""","""",IF(G137=$G$2,F137,F137*GOOGLEFINANCE(""currency:""&amp;G137&amp;""""&amp;$G$2&amp;"""")))/100,IF(A137="""","""",IF(G137=$G$2,F137,F137*GOOGLEFINANCE(""Currency:""&amp;G137&amp;""""&amp;$G$2&amp;""""))))"),5600.0)</f>
        <v>5600</v>
      </c>
    </row>
    <row r="138">
      <c r="A138" s="462">
        <v>45364.0</v>
      </c>
      <c r="B138" s="463" t="s">
        <v>149</v>
      </c>
      <c r="C138" s="463" t="s">
        <v>296</v>
      </c>
      <c r="D138" s="463">
        <v>100.0</v>
      </c>
      <c r="E138" s="465">
        <v>69.0</v>
      </c>
      <c r="F138" s="466">
        <f t="shared" si="1"/>
        <v>6900</v>
      </c>
      <c r="G138" s="467" t="str">
        <f>IFERROR(__xludf.DUMMYFUNCTION("IFERROR(IF(C138=""Crypto"",$G$2,(IF(ISBLANK(B138),"""",IF(B138=""Cash"",$G$2,IF(GOOGLEFINANCE(B138,""CURRENCY"")=""GBX"",""GBP"",GOOGLEFINANCE(B138,""CURRENCY"")))))),Conversion!$F$1)"),"INR")</f>
        <v>INR</v>
      </c>
      <c r="H138" s="466">
        <f>IFERROR(__xludf.DUMMYFUNCTION("IF(G138=""GBP"",IF(B138="""","""",IF(G138=$G$2,F138,F138*GOOGLEFINANCE(""currency:""&amp;G138&amp;""""&amp;$G$2&amp;"""")))/100,IF(A138="""","""",IF(G138=$G$2,F138,F138*GOOGLEFINANCE(""Currency:""&amp;G138&amp;""""&amp;$G$2&amp;""""))))"),6900.0)</f>
        <v>6900</v>
      </c>
    </row>
    <row r="139">
      <c r="A139" s="462">
        <v>45364.0</v>
      </c>
      <c r="B139" s="463" t="s">
        <v>164</v>
      </c>
      <c r="C139" s="463" t="s">
        <v>296</v>
      </c>
      <c r="D139" s="463">
        <v>300.0</v>
      </c>
      <c r="E139" s="465">
        <v>37.0</v>
      </c>
      <c r="F139" s="466">
        <f t="shared" si="1"/>
        <v>11100</v>
      </c>
      <c r="G139" s="467" t="str">
        <f>IFERROR(__xludf.DUMMYFUNCTION("IFERROR(IF(C139=""Crypto"",$G$2,(IF(ISBLANK(B139),"""",IF(B139=""Cash"",$G$2,IF(GOOGLEFINANCE(B139,""CURRENCY"")=""GBX"",""GBP"",GOOGLEFINANCE(B139,""CURRENCY"")))))),Conversion!$F$1)"),"INR")</f>
        <v>INR</v>
      </c>
      <c r="H139" s="466">
        <f>IFERROR(__xludf.DUMMYFUNCTION("IF(G139=""GBP"",IF(B139="""","""",IF(G139=$G$2,F139,F139*GOOGLEFINANCE(""currency:""&amp;G139&amp;""""&amp;$G$2&amp;"""")))/100,IF(A139="""","""",IF(G139=$G$2,F139,F139*GOOGLEFINANCE(""Currency:""&amp;G139&amp;""""&amp;$G$2&amp;""""))))"),11100.0)</f>
        <v>11100</v>
      </c>
    </row>
    <row r="140">
      <c r="A140" s="462">
        <v>45364.0</v>
      </c>
      <c r="B140" s="463" t="s">
        <v>137</v>
      </c>
      <c r="C140" s="463" t="s">
        <v>296</v>
      </c>
      <c r="D140" s="463">
        <v>4.0</v>
      </c>
      <c r="E140" s="465">
        <v>650.0</v>
      </c>
      <c r="F140" s="466">
        <f t="shared" si="1"/>
        <v>2600</v>
      </c>
      <c r="G140" s="467" t="str">
        <f>IFERROR(__xludf.DUMMYFUNCTION("IFERROR(IF(C140=""Crypto"",$G$2,(IF(ISBLANK(B140),"""",IF(B140=""Cash"",$G$2,IF(GOOGLEFINANCE(B140,""CURRENCY"")=""GBX"",""GBP"",GOOGLEFINANCE(B140,""CURRENCY"")))))),Conversion!$F$1)"),"INR")</f>
        <v>INR</v>
      </c>
      <c r="H140" s="466">
        <f>IFERROR(__xludf.DUMMYFUNCTION("IF(G140=""GBP"",IF(B140="""","""",IF(G140=$G$2,F140,F140*GOOGLEFINANCE(""currency:""&amp;G140&amp;""""&amp;$G$2&amp;"""")))/100,IF(A140="""","""",IF(G140=$G$2,F140,F140*GOOGLEFINANCE(""Currency:""&amp;G140&amp;""""&amp;$G$2&amp;""""))))"),2600.0)</f>
        <v>2600</v>
      </c>
    </row>
    <row r="141">
      <c r="A141" s="462">
        <v>45364.0</v>
      </c>
      <c r="B141" s="463" t="s">
        <v>145</v>
      </c>
      <c r="C141" s="463" t="s">
        <v>296</v>
      </c>
      <c r="D141" s="463">
        <v>6.0</v>
      </c>
      <c r="E141" s="465">
        <v>537.0</v>
      </c>
      <c r="F141" s="466">
        <f t="shared" si="1"/>
        <v>3222</v>
      </c>
      <c r="G141" s="467" t="str">
        <f>IFERROR(__xludf.DUMMYFUNCTION("IFERROR(IF(C141=""Crypto"",$G$2,(IF(ISBLANK(B141),"""",IF(B141=""Cash"",$G$2,IF(GOOGLEFINANCE(B141,""CURRENCY"")=""GBX"",""GBP"",GOOGLEFINANCE(B141,""CURRENCY"")))))),Conversion!$F$1)"),"INR")</f>
        <v>INR</v>
      </c>
      <c r="H141" s="466">
        <f>IFERROR(__xludf.DUMMYFUNCTION("IF(G141=""GBP"",IF(B141="""","""",IF(G141=$G$2,F141,F141*GOOGLEFINANCE(""currency:""&amp;G141&amp;""""&amp;$G$2&amp;"""")))/100,IF(A141="""","""",IF(G141=$G$2,F141,F141*GOOGLEFINANCE(""Currency:""&amp;G141&amp;""""&amp;$G$2&amp;""""))))"),3222.0)</f>
        <v>3222</v>
      </c>
    </row>
    <row r="142">
      <c r="A142" s="462">
        <v>45364.0</v>
      </c>
      <c r="B142" s="463" t="s">
        <v>116</v>
      </c>
      <c r="C142" s="463" t="s">
        <v>296</v>
      </c>
      <c r="D142" s="463">
        <v>6.0</v>
      </c>
      <c r="E142" s="465">
        <v>468.0</v>
      </c>
      <c r="F142" s="466">
        <f t="shared" si="1"/>
        <v>2808</v>
      </c>
      <c r="G142" s="467" t="str">
        <f>IFERROR(__xludf.DUMMYFUNCTION("IFERROR(IF(C142=""Crypto"",$G$2,(IF(ISBLANK(B142),"""",IF(B142=""Cash"",$G$2,IF(GOOGLEFINANCE(B142,""CURRENCY"")=""GBX"",""GBP"",GOOGLEFINANCE(B142,""CURRENCY"")))))),Conversion!$F$1)"),"INR")</f>
        <v>INR</v>
      </c>
      <c r="H142" s="466">
        <f>IFERROR(__xludf.DUMMYFUNCTION("IF(G142=""GBP"",IF(B142="""","""",IF(G142=$G$2,F142,F142*GOOGLEFINANCE(""currency:""&amp;G142&amp;""""&amp;$G$2&amp;"""")))/100,IF(A142="""","""",IF(G142=$G$2,F142,F142*GOOGLEFINANCE(""Currency:""&amp;G142&amp;""""&amp;$G$2&amp;""""))))"),2808.0)</f>
        <v>2808</v>
      </c>
    </row>
    <row r="143">
      <c r="A143" s="462">
        <v>45364.0</v>
      </c>
      <c r="B143" s="463" t="s">
        <v>266</v>
      </c>
      <c r="C143" s="463" t="s">
        <v>296</v>
      </c>
      <c r="D143" s="463">
        <v>2.0</v>
      </c>
      <c r="E143" s="465">
        <v>1589.0</v>
      </c>
      <c r="F143" s="466">
        <f t="shared" si="1"/>
        <v>3178</v>
      </c>
      <c r="G143" s="467" t="str">
        <f>IFERROR(__xludf.DUMMYFUNCTION("IFERROR(IF(C143=""Crypto"",$G$2,(IF(ISBLANK(B143),"""",IF(B143=""Cash"",$G$2,IF(GOOGLEFINANCE(B143,""CURRENCY"")=""GBX"",""GBP"",GOOGLEFINANCE(B143,""CURRENCY"")))))),Conversion!$F$1)"),"INR")</f>
        <v>INR</v>
      </c>
      <c r="H143" s="466">
        <f>IFERROR(__xludf.DUMMYFUNCTION("IF(G143=""GBP"",IF(B143="""","""",IF(G143=$G$2,F143,F143*GOOGLEFINANCE(""currency:""&amp;G143&amp;""""&amp;$G$2&amp;"""")))/100,IF(A143="""","""",IF(G143=$G$2,F143,F143*GOOGLEFINANCE(""Currency:""&amp;G143&amp;""""&amp;$G$2&amp;""""))))"),3178.0)</f>
        <v>3178</v>
      </c>
    </row>
    <row r="144">
      <c r="A144" s="462">
        <v>45364.0</v>
      </c>
      <c r="B144" s="463" t="s">
        <v>129</v>
      </c>
      <c r="C144" s="463" t="s">
        <v>296</v>
      </c>
      <c r="D144" s="463">
        <v>2.0</v>
      </c>
      <c r="E144" s="465">
        <v>949.75</v>
      </c>
      <c r="F144" s="466">
        <f t="shared" si="1"/>
        <v>1899.5</v>
      </c>
      <c r="G144" s="467" t="str">
        <f>IFERROR(__xludf.DUMMYFUNCTION("IFERROR(IF(C144=""Crypto"",$G$2,(IF(ISBLANK(B144),"""",IF(B144=""Cash"",$G$2,IF(GOOGLEFINANCE(B144,""CURRENCY"")=""GBX"",""GBP"",GOOGLEFINANCE(B144,""CURRENCY"")))))),Conversion!$F$1)"),"INR")</f>
        <v>INR</v>
      </c>
      <c r="H144" s="466">
        <f>IFERROR(__xludf.DUMMYFUNCTION("IF(G144=""GBP"",IF(B144="""","""",IF(G144=$G$2,F144,F144*GOOGLEFINANCE(""currency:""&amp;G144&amp;""""&amp;$G$2&amp;"""")))/100,IF(A144="""","""",IF(G144=$G$2,F144,F144*GOOGLEFINANCE(""Currency:""&amp;G144&amp;""""&amp;$G$2&amp;""""))))"),1899.5)</f>
        <v>1899.5</v>
      </c>
    </row>
    <row r="145">
      <c r="A145" s="462">
        <v>45364.0</v>
      </c>
      <c r="B145" s="463" t="s">
        <v>87</v>
      </c>
      <c r="C145" s="463" t="s">
        <v>296</v>
      </c>
      <c r="D145" s="463">
        <v>1.0</v>
      </c>
      <c r="E145" s="465">
        <v>2005.0</v>
      </c>
      <c r="F145" s="466">
        <f t="shared" si="1"/>
        <v>2005</v>
      </c>
      <c r="G145" s="467" t="str">
        <f>IFERROR(__xludf.DUMMYFUNCTION("IFERROR(IF(C145=""Crypto"",$G$2,(IF(ISBLANK(B145),"""",IF(B145=""Cash"",$G$2,IF(GOOGLEFINANCE(B145,""CURRENCY"")=""GBX"",""GBP"",GOOGLEFINANCE(B145,""CURRENCY"")))))),Conversion!$F$1)"),"INR")</f>
        <v>INR</v>
      </c>
      <c r="H145" s="466">
        <f>IFERROR(__xludf.DUMMYFUNCTION("IF(G145=""GBP"",IF(B145="""","""",IF(G145=$G$2,F145,F145*GOOGLEFINANCE(""currency:""&amp;G145&amp;""""&amp;$G$2&amp;"""")))/100,IF(A145="""","""",IF(G145=$G$2,F145,F145*GOOGLEFINANCE(""Currency:""&amp;G145&amp;""""&amp;$G$2&amp;""""))))"),2005.0)</f>
        <v>2005</v>
      </c>
    </row>
    <row r="146">
      <c r="A146" s="462">
        <v>45364.0</v>
      </c>
      <c r="B146" s="463" t="s">
        <v>162</v>
      </c>
      <c r="C146" s="463" t="s">
        <v>296</v>
      </c>
      <c r="D146" s="463">
        <v>100.0</v>
      </c>
      <c r="E146" s="465">
        <v>84.0</v>
      </c>
      <c r="F146" s="466">
        <f t="shared" si="1"/>
        <v>8400</v>
      </c>
      <c r="G146" s="467" t="str">
        <f>IFERROR(__xludf.DUMMYFUNCTION("IFERROR(IF(C146=""Crypto"",$G$2,(IF(ISBLANK(B146),"""",IF(B146=""Cash"",$G$2,IF(GOOGLEFINANCE(B146,""CURRENCY"")=""GBX"",""GBP"",GOOGLEFINANCE(B146,""CURRENCY"")))))),Conversion!$F$1)"),"INR")</f>
        <v>INR</v>
      </c>
      <c r="H146" s="466">
        <f>IFERROR(__xludf.DUMMYFUNCTION("IF(G146=""GBP"",IF(B146="""","""",IF(G146=$G$2,F146,F146*GOOGLEFINANCE(""currency:""&amp;G146&amp;""""&amp;$G$2&amp;"""")))/100,IF(A146="""","""",IF(G146=$G$2,F146,F146*GOOGLEFINANCE(""Currency:""&amp;G146&amp;""""&amp;$G$2&amp;""""))))"),8400.0)</f>
        <v>8400</v>
      </c>
    </row>
    <row r="147">
      <c r="A147" s="462">
        <v>45386.0</v>
      </c>
      <c r="B147" s="463" t="s">
        <v>109</v>
      </c>
      <c r="C147" s="463" t="s">
        <v>296</v>
      </c>
      <c r="D147" s="463">
        <v>80.0</v>
      </c>
      <c r="E147" s="465">
        <v>11.75</v>
      </c>
      <c r="F147" s="466">
        <f t="shared" si="1"/>
        <v>940</v>
      </c>
      <c r="G147" s="467" t="str">
        <f>IFERROR(__xludf.DUMMYFUNCTION("IFERROR(IF(C147=""Crypto"",$G$2,(IF(ISBLANK(B147),"""",IF(B147=""Cash"",$G$2,IF(GOOGLEFINANCE(B147,""CURRENCY"")=""GBX"",""GBP"",GOOGLEFINANCE(B147,""CURRENCY"")))))),Conversion!$F$1)"),"INR")</f>
        <v>INR</v>
      </c>
      <c r="H147" s="466">
        <f>IFERROR(__xludf.DUMMYFUNCTION("IF(G147=""GBP"",IF(B147="""","""",IF(G147=$G$2,F147,F147*GOOGLEFINANCE(""currency:""&amp;G147&amp;""""&amp;$G$2&amp;"""")))/100,IF(A147="""","""",IF(G147=$G$2,F147,F147*GOOGLEFINANCE(""Currency:""&amp;G147&amp;""""&amp;$G$2&amp;""""))))"),940.0)</f>
        <v>940</v>
      </c>
    </row>
    <row r="148">
      <c r="A148" s="462">
        <v>45392.0</v>
      </c>
      <c r="B148" s="463" t="s">
        <v>126</v>
      </c>
      <c r="C148" s="463" t="s">
        <v>296</v>
      </c>
      <c r="D148" s="463">
        <v>1.0</v>
      </c>
      <c r="E148" s="465">
        <v>97.81</v>
      </c>
      <c r="F148" s="466">
        <f t="shared" si="1"/>
        <v>97.81</v>
      </c>
      <c r="G148" s="467" t="str">
        <f>IFERROR(__xludf.DUMMYFUNCTION("IFERROR(IF(C148=""Crypto"",$G$2,(IF(ISBLANK(B148),"""",IF(B148=""Cash"",$G$2,IF(GOOGLEFINANCE(B148,""CURRENCY"")=""GBX"",""GBP"",GOOGLEFINANCE(B148,""CURRENCY"")))))),Conversion!$F$1)"),"INR")</f>
        <v>INR</v>
      </c>
      <c r="H148" s="466">
        <f>IFERROR(__xludf.DUMMYFUNCTION("IF(G148=""GBP"",IF(B148="""","""",IF(G148=$G$2,F148,F148*GOOGLEFINANCE(""currency:""&amp;G148&amp;""""&amp;$G$2&amp;"""")))/100,IF(A148="""","""",IF(G148=$G$2,F148,F148*GOOGLEFINANCE(""Currency:""&amp;G148&amp;""""&amp;$G$2&amp;""""))))"),97.81)</f>
        <v>97.81</v>
      </c>
    </row>
    <row r="149">
      <c r="A149" s="462">
        <v>45397.0</v>
      </c>
      <c r="B149" s="463" t="s">
        <v>126</v>
      </c>
      <c r="C149" s="463" t="s">
        <v>296</v>
      </c>
      <c r="D149" s="463">
        <v>5.0</v>
      </c>
      <c r="E149" s="465">
        <v>358.3</v>
      </c>
      <c r="F149" s="466">
        <f t="shared" si="1"/>
        <v>1791.5</v>
      </c>
      <c r="G149" s="467" t="str">
        <f>IFERROR(__xludf.DUMMYFUNCTION("IFERROR(IF(C149=""Crypto"",$G$2,(IF(ISBLANK(B149),"""",IF(B149=""Cash"",$G$2,IF(GOOGLEFINANCE(B149,""CURRENCY"")=""GBX"",""GBP"",GOOGLEFINANCE(B149,""CURRENCY"")))))),Conversion!$F$1)"),"INR")</f>
        <v>INR</v>
      </c>
      <c r="H149" s="466">
        <f>IFERROR(__xludf.DUMMYFUNCTION("IF(G149=""GBP"",IF(B149="""","""",IF(G149=$G$2,F149,F149*GOOGLEFINANCE(""currency:""&amp;G149&amp;""""&amp;$G$2&amp;"""")))/100,IF(A149="""","""",IF(G149=$G$2,F149,F149*GOOGLEFINANCE(""Currency:""&amp;G149&amp;""""&amp;$G$2&amp;""""))))"),1791.5)</f>
        <v>1791.5</v>
      </c>
    </row>
    <row r="150">
      <c r="A150" s="462">
        <v>45397.0</v>
      </c>
      <c r="B150" s="463" t="s">
        <v>150</v>
      </c>
      <c r="C150" s="463" t="s">
        <v>296</v>
      </c>
      <c r="D150" s="463">
        <v>15.0</v>
      </c>
      <c r="E150" s="465">
        <v>252.4</v>
      </c>
      <c r="F150" s="466">
        <f t="shared" si="1"/>
        <v>3786</v>
      </c>
      <c r="G150" s="467" t="str">
        <f>IFERROR(__xludf.DUMMYFUNCTION("IFERROR(IF(C150=""Crypto"",$G$2,(IF(ISBLANK(B150),"""",IF(B150=""Cash"",$G$2,IF(GOOGLEFINANCE(B150,""CURRENCY"")=""GBX"",""GBP"",GOOGLEFINANCE(B150,""CURRENCY"")))))),Conversion!$F$1)"),"INR")</f>
        <v>INR</v>
      </c>
      <c r="H150" s="466">
        <f>IFERROR(__xludf.DUMMYFUNCTION("IF(G150=""GBP"",IF(B150="""","""",IF(G150=$G$2,F150,F150*GOOGLEFINANCE(""currency:""&amp;G150&amp;""""&amp;$G$2&amp;"""")))/100,IF(A150="""","""",IF(G150=$G$2,F150,F150*GOOGLEFINANCE(""Currency:""&amp;G150&amp;""""&amp;$G$2&amp;""""))))"),3786.0)</f>
        <v>3786</v>
      </c>
    </row>
    <row r="151">
      <c r="A151" s="462">
        <v>45397.0</v>
      </c>
      <c r="B151" s="463" t="s">
        <v>124</v>
      </c>
      <c r="C151" s="463" t="s">
        <v>296</v>
      </c>
      <c r="D151" s="463">
        <v>30.0</v>
      </c>
      <c r="E151" s="465">
        <v>141.35</v>
      </c>
      <c r="F151" s="466">
        <f t="shared" si="1"/>
        <v>4240.5</v>
      </c>
      <c r="G151" s="467" t="str">
        <f>IFERROR(__xludf.DUMMYFUNCTION("IFERROR(IF(C151=""Crypto"",$G$2,(IF(ISBLANK(B151),"""",IF(B151=""Cash"",$G$2,IF(GOOGLEFINANCE(B151,""CURRENCY"")=""GBX"",""GBP"",GOOGLEFINANCE(B151,""CURRENCY"")))))),Conversion!$F$1)"),"INR")</f>
        <v>INR</v>
      </c>
      <c r="H151" s="466">
        <f>IFERROR(__xludf.DUMMYFUNCTION("IF(G151=""GBP"",IF(B151="""","""",IF(G151=$G$2,F151,F151*GOOGLEFINANCE(""currency:""&amp;G151&amp;""""&amp;$G$2&amp;"""")))/100,IF(A151="""","""",IF(G151=$G$2,F151,F151*GOOGLEFINANCE(""Currency:""&amp;G151&amp;""""&amp;$G$2&amp;""""))))"),4240.5)</f>
        <v>4240.5</v>
      </c>
    </row>
    <row r="152">
      <c r="A152" s="462">
        <v>45397.0</v>
      </c>
      <c r="B152" s="463" t="s">
        <v>120</v>
      </c>
      <c r="C152" s="463" t="s">
        <v>296</v>
      </c>
      <c r="D152" s="463">
        <v>3.0</v>
      </c>
      <c r="E152" s="465">
        <v>1432.25</v>
      </c>
      <c r="F152" s="466">
        <f t="shared" si="1"/>
        <v>4296.75</v>
      </c>
      <c r="G152" s="467" t="str">
        <f>IFERROR(__xludf.DUMMYFUNCTION("IFERROR(IF(C152=""Crypto"",$G$2,(IF(ISBLANK(B152),"""",IF(B152=""Cash"",$G$2,IF(GOOGLEFINANCE(B152,""CURRENCY"")=""GBX"",""GBP"",GOOGLEFINANCE(B152,""CURRENCY"")))))),Conversion!$F$1)"),"INR")</f>
        <v>INR</v>
      </c>
      <c r="H152" s="466">
        <f>IFERROR(__xludf.DUMMYFUNCTION("IF(G152=""GBP"",IF(B152="""","""",IF(G152=$G$2,F152,F152*GOOGLEFINANCE(""currency:""&amp;G152&amp;""""&amp;$G$2&amp;"""")))/100,IF(A152="""","""",IF(G152=$G$2,F152,F152*GOOGLEFINANCE(""Currency:""&amp;G152&amp;""""&amp;$G$2&amp;""""))))"),4296.75)</f>
        <v>4296.75</v>
      </c>
    </row>
    <row r="153">
      <c r="A153" s="462">
        <v>45401.0</v>
      </c>
      <c r="B153" s="463" t="s">
        <v>154</v>
      </c>
      <c r="C153" s="463" t="s">
        <v>297</v>
      </c>
      <c r="D153" s="463">
        <v>50.0</v>
      </c>
      <c r="E153" s="465">
        <v>40.21</v>
      </c>
      <c r="F153" s="466">
        <f t="shared" si="1"/>
        <v>2010.5</v>
      </c>
      <c r="G153" s="467" t="str">
        <f>IFERROR(__xludf.DUMMYFUNCTION("IFERROR(IF(C153=""Crypto"",$G$2,(IF(ISBLANK(B153),"""",IF(B153=""Cash"",$G$2,IF(GOOGLEFINANCE(B153,""CURRENCY"")=""GBX"",""GBP"",GOOGLEFINANCE(B153,""CURRENCY"")))))),Conversion!$F$1)"),"INR")</f>
        <v>INR</v>
      </c>
      <c r="H153" s="466">
        <f>IFERROR(__xludf.DUMMYFUNCTION("IF(G153=""GBP"",IF(B153="""","""",IF(G153=$G$2,F153,F153*GOOGLEFINANCE(""currency:""&amp;G153&amp;""""&amp;$G$2&amp;"""")))/100,IF(A153="""","""",IF(G153=$G$2,F153,F153*GOOGLEFINANCE(""Currency:""&amp;G153&amp;""""&amp;$G$2&amp;""""))))"),2010.5)</f>
        <v>2010.5</v>
      </c>
    </row>
    <row r="154">
      <c r="A154" s="462">
        <v>45401.0</v>
      </c>
      <c r="B154" s="463" t="s">
        <v>109</v>
      </c>
      <c r="C154" s="463" t="s">
        <v>296</v>
      </c>
      <c r="D154" s="463">
        <v>200.0</v>
      </c>
      <c r="E154" s="465">
        <v>10.68</v>
      </c>
      <c r="F154" s="466">
        <f t="shared" si="1"/>
        <v>2136</v>
      </c>
      <c r="G154" s="467" t="str">
        <f>IFERROR(__xludf.DUMMYFUNCTION("IFERROR(IF(C154=""Crypto"",$G$2,(IF(ISBLANK(B154),"""",IF(B154=""Cash"",$G$2,IF(GOOGLEFINANCE(B154,""CURRENCY"")=""GBX"",""GBP"",GOOGLEFINANCE(B154,""CURRENCY"")))))),Conversion!$F$1)"),"INR")</f>
        <v>INR</v>
      </c>
      <c r="H154" s="466">
        <f>IFERROR(__xludf.DUMMYFUNCTION("IF(G154=""GBP"",IF(B154="""","""",IF(G154=$G$2,F154,F154*GOOGLEFINANCE(""currency:""&amp;G154&amp;""""&amp;$G$2&amp;"""")))/100,IF(A154="""","""",IF(G154=$G$2,F154,F154*GOOGLEFINANCE(""Currency:""&amp;G154&amp;""""&amp;$G$2&amp;""""))))"),2136.0)</f>
        <v>2136</v>
      </c>
    </row>
    <row r="155">
      <c r="A155" s="462">
        <v>45401.0</v>
      </c>
      <c r="B155" s="463" t="s">
        <v>91</v>
      </c>
      <c r="C155" s="463" t="s">
        <v>296</v>
      </c>
      <c r="D155" s="463">
        <v>4.0</v>
      </c>
      <c r="E155" s="465">
        <v>615.4</v>
      </c>
      <c r="F155" s="466">
        <f t="shared" si="1"/>
        <v>2461.6</v>
      </c>
      <c r="G155" s="467" t="str">
        <f>IFERROR(__xludf.DUMMYFUNCTION("IFERROR(IF(C155=""Crypto"",$G$2,(IF(ISBLANK(B155),"""",IF(B155=""Cash"",$G$2,IF(GOOGLEFINANCE(B155,""CURRENCY"")=""GBX"",""GBP"",GOOGLEFINANCE(B155,""CURRENCY"")))))),Conversion!$F$1)"),"INR")</f>
        <v>INR</v>
      </c>
      <c r="H155" s="466">
        <f>IFERROR(__xludf.DUMMYFUNCTION("IF(G155=""GBP"",IF(B155="""","""",IF(G155=$G$2,F155,F155*GOOGLEFINANCE(""currency:""&amp;G155&amp;""""&amp;$G$2&amp;"""")))/100,IF(A155="""","""",IF(G155=$G$2,F155,F155*GOOGLEFINANCE(""Currency:""&amp;G155&amp;""""&amp;$G$2&amp;""""))))"),2461.6)</f>
        <v>2461.6</v>
      </c>
    </row>
    <row r="156">
      <c r="A156" s="462">
        <v>45401.0</v>
      </c>
      <c r="B156" s="463" t="s">
        <v>127</v>
      </c>
      <c r="C156" s="463" t="s">
        <v>296</v>
      </c>
      <c r="D156" s="463">
        <v>2.0</v>
      </c>
      <c r="E156" s="465">
        <v>436.05</v>
      </c>
      <c r="F156" s="466">
        <f t="shared" si="1"/>
        <v>872.1</v>
      </c>
      <c r="G156" s="467" t="str">
        <f>IFERROR(__xludf.DUMMYFUNCTION("IFERROR(IF(C156=""Crypto"",$G$2,(IF(ISBLANK(B156),"""",IF(B156=""Cash"",$G$2,IF(GOOGLEFINANCE(B156,""CURRENCY"")=""GBX"",""GBP"",GOOGLEFINANCE(B156,""CURRENCY"")))))),Conversion!$F$1)"),"INR")</f>
        <v>INR</v>
      </c>
      <c r="H156" s="466">
        <f>IFERROR(__xludf.DUMMYFUNCTION("IF(G156=""GBP"",IF(B156="""","""",IF(G156=$G$2,F156,F156*GOOGLEFINANCE(""currency:""&amp;G156&amp;""""&amp;$G$2&amp;"""")))/100,IF(A156="""","""",IF(G156=$G$2,F156,F156*GOOGLEFINANCE(""Currency:""&amp;G156&amp;""""&amp;$G$2&amp;""""))))"),872.1)</f>
        <v>872.1</v>
      </c>
    </row>
    <row r="157">
      <c r="A157" s="462">
        <v>45401.0</v>
      </c>
      <c r="B157" s="463" t="s">
        <v>94</v>
      </c>
      <c r="C157" s="463" t="s">
        <v>296</v>
      </c>
      <c r="D157" s="463">
        <v>6.0</v>
      </c>
      <c r="E157" s="465">
        <v>505.95</v>
      </c>
      <c r="F157" s="466">
        <f t="shared" si="1"/>
        <v>3035.7</v>
      </c>
      <c r="G157" s="467" t="str">
        <f>IFERROR(__xludf.DUMMYFUNCTION("IFERROR(IF(C157=""Crypto"",$G$2,(IF(ISBLANK(B157),"""",IF(B157=""Cash"",$G$2,IF(GOOGLEFINANCE(B157,""CURRENCY"")=""GBX"",""GBP"",GOOGLEFINANCE(B157,""CURRENCY"")))))),Conversion!$F$1)"),"INR")</f>
        <v>INR</v>
      </c>
      <c r="H157" s="466">
        <f>IFERROR(__xludf.DUMMYFUNCTION("IF(G157=""GBP"",IF(B157="""","""",IF(G157=$G$2,F157,F157*GOOGLEFINANCE(""currency:""&amp;G157&amp;""""&amp;$G$2&amp;"""")))/100,IF(A157="""","""",IF(G157=$G$2,F157,F157*GOOGLEFINANCE(""Currency:""&amp;G157&amp;""""&amp;$G$2&amp;""""))))"),3035.7)</f>
        <v>3035.7</v>
      </c>
    </row>
    <row r="158">
      <c r="A158" s="462">
        <v>45408.0</v>
      </c>
      <c r="B158" s="463" t="s">
        <v>131</v>
      </c>
      <c r="C158" s="463" t="s">
        <v>296</v>
      </c>
      <c r="D158" s="463">
        <v>2.0</v>
      </c>
      <c r="E158" s="465">
        <v>4776.4</v>
      </c>
      <c r="F158" s="466">
        <f t="shared" si="1"/>
        <v>9552.8</v>
      </c>
      <c r="G158" s="467" t="str">
        <f>IFERROR(__xludf.DUMMYFUNCTION("IFERROR(IF(C158=""Crypto"",$G$2,(IF(ISBLANK(B158),"""",IF(B158=""Cash"",$G$2,IF(GOOGLEFINANCE(B158,""CURRENCY"")=""GBX"",""GBP"",GOOGLEFINANCE(B158,""CURRENCY"")))))),Conversion!$F$1)"),"INR")</f>
        <v>INR</v>
      </c>
      <c r="H158" s="466">
        <f>IFERROR(__xludf.DUMMYFUNCTION("IF(G158=""GBP"",IF(B158="""","""",IF(G158=$G$2,F158,F158*GOOGLEFINANCE(""currency:""&amp;G158&amp;""""&amp;$G$2&amp;"""")))/100,IF(A158="""","""",IF(G158=$G$2,F158,F158*GOOGLEFINANCE(""Currency:""&amp;G158&amp;""""&amp;$G$2&amp;""""))))"),9552.8)</f>
        <v>9552.8</v>
      </c>
    </row>
    <row r="159">
      <c r="A159" s="462">
        <v>45414.0</v>
      </c>
      <c r="B159" s="463" t="s">
        <v>111</v>
      </c>
      <c r="C159" s="463" t="s">
        <v>296</v>
      </c>
      <c r="D159" s="463">
        <v>2.0</v>
      </c>
      <c r="E159" s="465">
        <v>1369.1</v>
      </c>
      <c r="F159" s="466">
        <f t="shared" si="1"/>
        <v>2738.2</v>
      </c>
      <c r="G159" s="467" t="str">
        <f>IFERROR(__xludf.DUMMYFUNCTION("IFERROR(IF(C159=""Crypto"",$G$2,(IF(ISBLANK(B159),"""",IF(B159=""Cash"",$G$2,IF(GOOGLEFINANCE(B159,""CURRENCY"")=""GBX"",""GBP"",GOOGLEFINANCE(B159,""CURRENCY"")))))),Conversion!$F$1)"),"INR")</f>
        <v>INR</v>
      </c>
      <c r="H159" s="466">
        <f>IFERROR(__xludf.DUMMYFUNCTION("IF(G159=""GBP"",IF(B159="""","""",IF(G159=$G$2,F159,F159*GOOGLEFINANCE(""currency:""&amp;G159&amp;""""&amp;$G$2&amp;"""")))/100,IF(A159="""","""",IF(G159=$G$2,F159,F159*GOOGLEFINANCE(""Currency:""&amp;G159&amp;""""&amp;$G$2&amp;""""))))"),2738.2)</f>
        <v>2738.2</v>
      </c>
    </row>
    <row r="160">
      <c r="A160" s="462">
        <v>45414.0</v>
      </c>
      <c r="B160" s="463" t="s">
        <v>137</v>
      </c>
      <c r="C160" s="463" t="s">
        <v>296</v>
      </c>
      <c r="D160" s="463">
        <v>12.0</v>
      </c>
      <c r="E160" s="465">
        <v>621.6</v>
      </c>
      <c r="F160" s="466">
        <f t="shared" si="1"/>
        <v>7459.2</v>
      </c>
      <c r="G160" s="467" t="str">
        <f>IFERROR(__xludf.DUMMYFUNCTION("IFERROR(IF(C160=""Crypto"",$G$2,(IF(ISBLANK(B160),"""",IF(B160=""Cash"",$G$2,IF(GOOGLEFINANCE(B160,""CURRENCY"")=""GBX"",""GBP"",GOOGLEFINANCE(B160,""CURRENCY"")))))),Conversion!$F$1)"),"INR")</f>
        <v>INR</v>
      </c>
      <c r="H160" s="466">
        <f>IFERROR(__xludf.DUMMYFUNCTION("IF(G160=""GBP"",IF(B160="""","""",IF(G160=$G$2,F160,F160*GOOGLEFINANCE(""currency:""&amp;G160&amp;""""&amp;$G$2&amp;"""")))/100,IF(A160="""","""",IF(G160=$G$2,F160,F160*GOOGLEFINANCE(""Currency:""&amp;G160&amp;""""&amp;$G$2&amp;""""))))"),7459.200000000001)</f>
        <v>7459.2</v>
      </c>
    </row>
    <row r="161">
      <c r="A161" s="462">
        <v>45419.0</v>
      </c>
      <c r="B161" s="463" t="s">
        <v>126</v>
      </c>
      <c r="C161" s="463" t="s">
        <v>296</v>
      </c>
      <c r="D161" s="463">
        <v>300.0</v>
      </c>
      <c r="E161" s="465">
        <v>366.0</v>
      </c>
      <c r="F161" s="466">
        <f t="shared" si="1"/>
        <v>109800</v>
      </c>
      <c r="G161" s="467" t="str">
        <f>IFERROR(__xludf.DUMMYFUNCTION("IFERROR(IF(C161=""Crypto"",$G$2,(IF(ISBLANK(B161),"""",IF(B161=""Cash"",$G$2,IF(GOOGLEFINANCE(B161,""CURRENCY"")=""GBX"",""GBP"",GOOGLEFINANCE(B161,""CURRENCY"")))))),Conversion!$F$1)"),"INR")</f>
        <v>INR</v>
      </c>
      <c r="H161" s="466">
        <f>IFERROR(__xludf.DUMMYFUNCTION("IF(G161=""GBP"",IF(B161="""","""",IF(G161=$G$2,F161,F161*GOOGLEFINANCE(""currency:""&amp;G161&amp;""""&amp;$G$2&amp;"""")))/100,IF(A161="""","""",IF(G161=$G$2,F161,F161*GOOGLEFINANCE(""Currency:""&amp;G161&amp;""""&amp;$G$2&amp;""""))))"),109800.0)</f>
        <v>109800</v>
      </c>
    </row>
    <row r="162">
      <c r="A162" s="462">
        <v>45419.0</v>
      </c>
      <c r="B162" s="463" t="s">
        <v>129</v>
      </c>
      <c r="C162" s="463" t="s">
        <v>296</v>
      </c>
      <c r="D162" s="463">
        <v>6.0</v>
      </c>
      <c r="E162" s="465">
        <v>921.6</v>
      </c>
      <c r="F162" s="466">
        <f t="shared" si="1"/>
        <v>5529.6</v>
      </c>
      <c r="G162" s="467" t="str">
        <f>IFERROR(__xludf.DUMMYFUNCTION("IFERROR(IF(C162=""Crypto"",$G$2,(IF(ISBLANK(B162),"""",IF(B162=""Cash"",$G$2,IF(GOOGLEFINANCE(B162,""CURRENCY"")=""GBX"",""GBP"",GOOGLEFINANCE(B162,""CURRENCY"")))))),Conversion!$F$1)"),"INR")</f>
        <v>INR</v>
      </c>
      <c r="H162" s="466">
        <f>IFERROR(__xludf.DUMMYFUNCTION("IF(G162=""GBP"",IF(B162="""","""",IF(G162=$G$2,F162,F162*GOOGLEFINANCE(""currency:""&amp;G162&amp;""""&amp;$G$2&amp;"""")))/100,IF(A162="""","""",IF(G162=$G$2,F162,F162*GOOGLEFINANCE(""Currency:""&amp;G162&amp;""""&amp;$G$2&amp;""""))))"),5529.6)</f>
        <v>5529.6</v>
      </c>
    </row>
    <row r="163">
      <c r="A163" s="462">
        <v>45419.0</v>
      </c>
      <c r="B163" s="463" t="s">
        <v>171</v>
      </c>
      <c r="C163" s="463" t="s">
        <v>296</v>
      </c>
      <c r="D163" s="463">
        <v>20.0</v>
      </c>
      <c r="E163" s="465">
        <v>22.74</v>
      </c>
      <c r="F163" s="466">
        <f t="shared" si="1"/>
        <v>454.8</v>
      </c>
      <c r="G163" s="467" t="str">
        <f>IFERROR(__xludf.DUMMYFUNCTION("IFERROR(IF(C163=""Crypto"",$G$2,(IF(ISBLANK(B163),"""",IF(B163=""Cash"",$G$2,IF(GOOGLEFINANCE(B163,""CURRENCY"")=""GBX"",""GBP"",GOOGLEFINANCE(B163,""CURRENCY"")))))),Conversion!$F$1)"),"INR")</f>
        <v>INR</v>
      </c>
      <c r="H163" s="466">
        <f>IFERROR(__xludf.DUMMYFUNCTION("IF(G163=""GBP"",IF(B163="""","""",IF(G163=$G$2,F163,F163*GOOGLEFINANCE(""currency:""&amp;G163&amp;""""&amp;$G$2&amp;"""")))/100,IF(A163="""","""",IF(G163=$G$2,F163,F163*GOOGLEFINANCE(""Currency:""&amp;G163&amp;""""&amp;$G$2&amp;""""))))"),454.79999999999995)</f>
        <v>454.8</v>
      </c>
    </row>
    <row r="164">
      <c r="A164" s="462">
        <v>45440.0</v>
      </c>
      <c r="B164" s="463" t="s">
        <v>126</v>
      </c>
      <c r="C164" s="463" t="s">
        <v>296</v>
      </c>
      <c r="D164" s="463">
        <v>23.0</v>
      </c>
      <c r="E164" s="465">
        <v>360.3</v>
      </c>
      <c r="F164" s="466">
        <f t="shared" si="1"/>
        <v>8286.9</v>
      </c>
      <c r="G164" s="467" t="str">
        <f>IFERROR(__xludf.DUMMYFUNCTION("IFERROR(IF(C164=""Crypto"",$G$2,(IF(ISBLANK(B164),"""",IF(B164=""Cash"",$G$2,IF(GOOGLEFINANCE(B164,""CURRENCY"")=""GBX"",""GBP"",GOOGLEFINANCE(B164,""CURRENCY"")))))),Conversion!$F$1)"),"INR")</f>
        <v>INR</v>
      </c>
      <c r="H164" s="466">
        <f>IFERROR(__xludf.DUMMYFUNCTION("IF(G164=""GBP"",IF(B164="""","""",IF(G164=$G$2,F164,F164*GOOGLEFINANCE(""currency:""&amp;G164&amp;""""&amp;$G$2&amp;"""")))/100,IF(A164="""","""",IF(G164=$G$2,F164,F164*GOOGLEFINANCE(""Currency:""&amp;G164&amp;""""&amp;$G$2&amp;""""))))"),8286.9)</f>
        <v>8286.9</v>
      </c>
    </row>
    <row r="165">
      <c r="A165" s="462">
        <v>45442.0</v>
      </c>
      <c r="B165" s="463" t="s">
        <v>126</v>
      </c>
      <c r="C165" s="463" t="s">
        <v>296</v>
      </c>
      <c r="D165" s="463">
        <v>165.0</v>
      </c>
      <c r="E165" s="465">
        <v>349.41</v>
      </c>
      <c r="F165" s="466">
        <f t="shared" si="1"/>
        <v>57652.65</v>
      </c>
      <c r="G165" s="467" t="str">
        <f>IFERROR(__xludf.DUMMYFUNCTION("IFERROR(IF(C165=""Crypto"",$G$2,(IF(ISBLANK(B165),"""",IF(B165=""Cash"",$G$2,IF(GOOGLEFINANCE(B165,""CURRENCY"")=""GBX"",""GBP"",GOOGLEFINANCE(B165,""CURRENCY"")))))),Conversion!$F$1)"),"INR")</f>
        <v>INR</v>
      </c>
      <c r="H165" s="466">
        <f>IFERROR(__xludf.DUMMYFUNCTION("IF(G165=""GBP"",IF(B165="""","""",IF(G165=$G$2,F165,F165*GOOGLEFINANCE(""currency:""&amp;G165&amp;""""&amp;$G$2&amp;"""")))/100,IF(A165="""","""",IF(G165=$G$2,F165,F165*GOOGLEFINANCE(""Currency:""&amp;G165&amp;""""&amp;$G$2&amp;""""))))"),57652.65)</f>
        <v>57652.65</v>
      </c>
    </row>
    <row r="166">
      <c r="A166" s="462">
        <v>45442.0</v>
      </c>
      <c r="B166" s="463" t="s">
        <v>164</v>
      </c>
      <c r="C166" s="463" t="s">
        <v>296</v>
      </c>
      <c r="D166" s="463">
        <v>1100.0</v>
      </c>
      <c r="E166" s="465">
        <v>36.97</v>
      </c>
      <c r="F166" s="466">
        <f t="shared" si="1"/>
        <v>40667</v>
      </c>
      <c r="G166" s="467" t="str">
        <f>IFERROR(__xludf.DUMMYFUNCTION("IFERROR(IF(C166=""Crypto"",$G$2,(IF(ISBLANK(B166),"""",IF(B166=""Cash"",$G$2,IF(GOOGLEFINANCE(B166,""CURRENCY"")=""GBX"",""GBP"",GOOGLEFINANCE(B166,""CURRENCY"")))))),Conversion!$F$1)"),"INR")</f>
        <v>INR</v>
      </c>
      <c r="H166" s="466">
        <f>IFERROR(__xludf.DUMMYFUNCTION("IF(G166=""GBP"",IF(B166="""","""",IF(G166=$G$2,F166,F166*GOOGLEFINANCE(""currency:""&amp;G166&amp;""""&amp;$G$2&amp;"""")))/100,IF(A166="""","""",IF(G166=$G$2,F166,F166*GOOGLEFINANCE(""Currency:""&amp;G166&amp;""""&amp;$G$2&amp;""""))))"),40667.0)</f>
        <v>40667</v>
      </c>
    </row>
    <row r="167">
      <c r="A167" s="462">
        <v>45442.0</v>
      </c>
      <c r="B167" s="463" t="s">
        <v>151</v>
      </c>
      <c r="C167" s="463" t="s">
        <v>296</v>
      </c>
      <c r="D167" s="463">
        <v>2.0</v>
      </c>
      <c r="E167" s="465">
        <v>691.95</v>
      </c>
      <c r="F167" s="466">
        <f t="shared" si="1"/>
        <v>1383.9</v>
      </c>
      <c r="G167" s="467" t="str">
        <f>IFERROR(__xludf.DUMMYFUNCTION("IFERROR(IF(C167=""Crypto"",$G$2,(IF(ISBLANK(B167),"""",IF(B167=""Cash"",$G$2,IF(GOOGLEFINANCE(B167,""CURRENCY"")=""GBX"",""GBP"",GOOGLEFINANCE(B167,""CURRENCY"")))))),Conversion!$F$1)"),"INR")</f>
        <v>INR</v>
      </c>
      <c r="H167" s="466">
        <f>IFERROR(__xludf.DUMMYFUNCTION("IF(G167=""GBP"",IF(B167="""","""",IF(G167=$G$2,F167,F167*GOOGLEFINANCE(""currency:""&amp;G167&amp;""""&amp;$G$2&amp;"""")))/100,IF(A167="""","""",IF(G167=$G$2,F167,F167*GOOGLEFINANCE(""Currency:""&amp;G167&amp;""""&amp;$G$2&amp;""""))))"),1383.9)</f>
        <v>1383.9</v>
      </c>
    </row>
    <row r="168">
      <c r="A168" s="462">
        <v>45443.0</v>
      </c>
      <c r="B168" s="463" t="s">
        <v>126</v>
      </c>
      <c r="C168" s="463" t="s">
        <v>296</v>
      </c>
      <c r="D168" s="463">
        <v>76.0</v>
      </c>
      <c r="E168" s="465">
        <v>343.56</v>
      </c>
      <c r="F168" s="466">
        <f t="shared" si="1"/>
        <v>26110.56</v>
      </c>
      <c r="G168" s="467" t="str">
        <f>IFERROR(__xludf.DUMMYFUNCTION("IFERROR(IF(C168=""Crypto"",$G$2,(IF(ISBLANK(B168),"""",IF(B168=""Cash"",$G$2,IF(GOOGLEFINANCE(B168,""CURRENCY"")=""GBX"",""GBP"",GOOGLEFINANCE(B168,""CURRENCY"")))))),Conversion!$F$1)"),"INR")</f>
        <v>INR</v>
      </c>
      <c r="H168" s="466">
        <f>IFERROR(__xludf.DUMMYFUNCTION("IF(G168=""GBP"",IF(B168="""","""",IF(G168=$G$2,F168,F168*GOOGLEFINANCE(""currency:""&amp;G168&amp;""""&amp;$G$2&amp;"""")))/100,IF(A168="""","""",IF(G168=$G$2,F168,F168*GOOGLEFINANCE(""Currency:""&amp;G168&amp;""""&amp;$G$2&amp;""""))))"),26110.56)</f>
        <v>26110.56</v>
      </c>
    </row>
    <row r="169">
      <c r="A169" s="462">
        <v>45446.0</v>
      </c>
      <c r="B169" s="463" t="s">
        <v>126</v>
      </c>
      <c r="C169" s="463" t="s">
        <v>296</v>
      </c>
      <c r="D169" s="463">
        <v>180.0</v>
      </c>
      <c r="E169" s="465">
        <v>355.0</v>
      </c>
      <c r="F169" s="466">
        <f t="shared" si="1"/>
        <v>63900</v>
      </c>
      <c r="G169" s="467" t="str">
        <f>IFERROR(__xludf.DUMMYFUNCTION("IFERROR(IF(C169=""Crypto"",$G$2,(IF(ISBLANK(B169),"""",IF(B169=""Cash"",$G$2,IF(GOOGLEFINANCE(B169,""CURRENCY"")=""GBX"",""GBP"",GOOGLEFINANCE(B169,""CURRENCY"")))))),Conversion!$F$1)"),"INR")</f>
        <v>INR</v>
      </c>
      <c r="H169" s="466">
        <f>IFERROR(__xludf.DUMMYFUNCTION("IF(G169=""GBP"",IF(B169="""","""",IF(G169=$G$2,F169,F169*GOOGLEFINANCE(""currency:""&amp;G169&amp;""""&amp;$G$2&amp;"""")))/100,IF(A169="""","""",IF(G169=$G$2,F169,F169*GOOGLEFINANCE(""Currency:""&amp;G169&amp;""""&amp;$G$2&amp;""""))))"),63900.0)</f>
        <v>63900</v>
      </c>
    </row>
    <row r="170">
      <c r="A170" s="462">
        <v>45447.0</v>
      </c>
      <c r="B170" s="463" t="s">
        <v>126</v>
      </c>
      <c r="C170" s="463" t="s">
        <v>296</v>
      </c>
      <c r="D170" s="463">
        <v>188.0</v>
      </c>
      <c r="E170" s="465">
        <v>340.25</v>
      </c>
      <c r="F170" s="466">
        <f t="shared" si="1"/>
        <v>63967</v>
      </c>
      <c r="G170" s="467" t="str">
        <f>IFERROR(__xludf.DUMMYFUNCTION("IFERROR(IF(C170=""Crypto"",$G$2,(IF(ISBLANK(B170),"""",IF(B170=""Cash"",$G$2,IF(GOOGLEFINANCE(B170,""CURRENCY"")=""GBX"",""GBP"",GOOGLEFINANCE(B170,""CURRENCY"")))))),Conversion!$F$1)"),"INR")</f>
        <v>INR</v>
      </c>
      <c r="H170" s="466">
        <f>IFERROR(__xludf.DUMMYFUNCTION("IF(G170=""GBP"",IF(B170="""","""",IF(G170=$G$2,F170,F170*GOOGLEFINANCE(""currency:""&amp;G170&amp;""""&amp;$G$2&amp;"""")))/100,IF(A170="""","""",IF(G170=$G$2,F170,F170*GOOGLEFINANCE(""Currency:""&amp;G170&amp;""""&amp;$G$2&amp;""""))))"),63967.0)</f>
        <v>63967</v>
      </c>
    </row>
    <row r="171">
      <c r="A171" s="462">
        <v>45447.0</v>
      </c>
      <c r="B171" s="463" t="s">
        <v>123</v>
      </c>
      <c r="C171" s="463" t="s">
        <v>296</v>
      </c>
      <c r="D171" s="463">
        <v>2.0</v>
      </c>
      <c r="E171" s="465">
        <v>921.0</v>
      </c>
      <c r="F171" s="466">
        <f t="shared" si="1"/>
        <v>1842</v>
      </c>
      <c r="G171" s="467" t="str">
        <f>IFERROR(__xludf.DUMMYFUNCTION("IFERROR(IF(C171=""Crypto"",$G$2,(IF(ISBLANK(B171),"""",IF(B171=""Cash"",$G$2,IF(GOOGLEFINANCE(B171,""CURRENCY"")=""GBX"",""GBP"",GOOGLEFINANCE(B171,""CURRENCY"")))))),Conversion!$F$1)"),"INR")</f>
        <v>INR</v>
      </c>
      <c r="H171" s="466">
        <f>IFERROR(__xludf.DUMMYFUNCTION("IF(G171=""GBP"",IF(B171="""","""",IF(G171=$G$2,F171,F171*GOOGLEFINANCE(""currency:""&amp;G171&amp;""""&amp;$G$2&amp;"""")))/100,IF(A171="""","""",IF(G171=$G$2,F171,F171*GOOGLEFINANCE(""Currency:""&amp;G171&amp;""""&amp;$G$2&amp;""""))))"),1842.0)</f>
        <v>1842</v>
      </c>
    </row>
    <row r="172">
      <c r="A172" s="462">
        <v>45447.0</v>
      </c>
      <c r="B172" s="463" t="s">
        <v>162</v>
      </c>
      <c r="C172" s="463" t="s">
        <v>296</v>
      </c>
      <c r="D172" s="463">
        <v>200.0</v>
      </c>
      <c r="E172" s="465">
        <v>80.0</v>
      </c>
      <c r="F172" s="466">
        <f t="shared" si="1"/>
        <v>16000</v>
      </c>
      <c r="G172" s="467" t="str">
        <f>IFERROR(__xludf.DUMMYFUNCTION("IFERROR(IF(C172=""Crypto"",$G$2,(IF(ISBLANK(B172),"""",IF(B172=""Cash"",$G$2,IF(GOOGLEFINANCE(B172,""CURRENCY"")=""GBX"",""GBP"",GOOGLEFINANCE(B172,""CURRENCY"")))))),Conversion!$F$1)"),"INR")</f>
        <v>INR</v>
      </c>
      <c r="H172" s="466">
        <f>IFERROR(__xludf.DUMMYFUNCTION("IF(G172=""GBP"",IF(B172="""","""",IF(G172=$G$2,F172,F172*GOOGLEFINANCE(""currency:""&amp;G172&amp;""""&amp;$G$2&amp;"""")))/100,IF(A172="""","""",IF(G172=$G$2,F172,F172*GOOGLEFINANCE(""Currency:""&amp;G172&amp;""""&amp;$G$2&amp;""""))))"),16000.0)</f>
        <v>16000</v>
      </c>
    </row>
    <row r="173">
      <c r="A173" s="462">
        <v>45447.0</v>
      </c>
      <c r="B173" s="463" t="s">
        <v>161</v>
      </c>
      <c r="C173" s="463" t="s">
        <v>296</v>
      </c>
      <c r="D173" s="463">
        <v>2.0</v>
      </c>
      <c r="E173" s="465">
        <v>3201.0</v>
      </c>
      <c r="F173" s="466">
        <f t="shared" si="1"/>
        <v>6402</v>
      </c>
      <c r="G173" s="467" t="str">
        <f>IFERROR(__xludf.DUMMYFUNCTION("IFERROR(IF(C173=""Crypto"",$G$2,(IF(ISBLANK(B173),"""",IF(B173=""Cash"",$G$2,IF(GOOGLEFINANCE(B173,""CURRENCY"")=""GBX"",""GBP"",GOOGLEFINANCE(B173,""CURRENCY"")))))),Conversion!$F$1)"),"INR")</f>
        <v>INR</v>
      </c>
      <c r="H173" s="466">
        <f>IFERROR(__xludf.DUMMYFUNCTION("IF(G173=""GBP"",IF(B173="""","""",IF(G173=$G$2,F173,F173*GOOGLEFINANCE(""currency:""&amp;G173&amp;""""&amp;$G$2&amp;"""")))/100,IF(A173="""","""",IF(G173=$G$2,F173,F173*GOOGLEFINANCE(""Currency:""&amp;G173&amp;""""&amp;$G$2&amp;""""))))"),6402.0)</f>
        <v>6402</v>
      </c>
    </row>
    <row r="174">
      <c r="A174" s="462">
        <v>45447.0</v>
      </c>
      <c r="B174" s="463" t="s">
        <v>126</v>
      </c>
      <c r="C174" s="463" t="s">
        <v>296</v>
      </c>
      <c r="D174" s="463">
        <v>70.0</v>
      </c>
      <c r="E174" s="465">
        <v>330.0</v>
      </c>
      <c r="F174" s="466">
        <f t="shared" si="1"/>
        <v>23100</v>
      </c>
      <c r="G174" s="467" t="str">
        <f>IFERROR(__xludf.DUMMYFUNCTION("IFERROR(IF(C174=""Crypto"",$G$2,(IF(ISBLANK(B174),"""",IF(B174=""Cash"",$G$2,IF(GOOGLEFINANCE(B174,""CURRENCY"")=""GBX"",""GBP"",GOOGLEFINANCE(B174,""CURRENCY"")))))),Conversion!$F$1)"),"INR")</f>
        <v>INR</v>
      </c>
      <c r="H174" s="466">
        <f>IFERROR(__xludf.DUMMYFUNCTION("IF(G174=""GBP"",IF(B174="""","""",IF(G174=$G$2,F174,F174*GOOGLEFINANCE(""currency:""&amp;G174&amp;""""&amp;$G$2&amp;"""")))/100,IF(A174="""","""",IF(G174=$G$2,F174,F174*GOOGLEFINANCE(""Currency:""&amp;G174&amp;""""&amp;$G$2&amp;""""))))"),23100.0)</f>
        <v>23100</v>
      </c>
    </row>
    <row r="175">
      <c r="A175" s="462">
        <v>45447.0</v>
      </c>
      <c r="B175" s="463" t="s">
        <v>126</v>
      </c>
      <c r="C175" s="463" t="s">
        <v>296</v>
      </c>
      <c r="D175" s="463">
        <v>17.0</v>
      </c>
      <c r="E175" s="465">
        <v>326.4</v>
      </c>
      <c r="F175" s="466">
        <f t="shared" si="1"/>
        <v>5548.8</v>
      </c>
      <c r="G175" s="467" t="str">
        <f>IFERROR(__xludf.DUMMYFUNCTION("IFERROR(IF(C175=""Crypto"",$G$2,(IF(ISBLANK(B175),"""",IF(B175=""Cash"",$G$2,IF(GOOGLEFINANCE(B175,""CURRENCY"")=""GBX"",""GBP"",GOOGLEFINANCE(B175,""CURRENCY"")))))),Conversion!$F$1)"),"INR")</f>
        <v>INR</v>
      </c>
      <c r="H175" s="466">
        <f>IFERROR(__xludf.DUMMYFUNCTION("IF(G175=""GBP"",IF(B175="""","""",IF(G175=$G$2,F175,F175*GOOGLEFINANCE(""currency:""&amp;G175&amp;""""&amp;$G$2&amp;"""")))/100,IF(A175="""","""",IF(G175=$G$2,F175,F175*GOOGLEFINANCE(""Currency:""&amp;G175&amp;""""&amp;$G$2&amp;""""))))"),5548.799999999999)</f>
        <v>5548.8</v>
      </c>
    </row>
    <row r="176">
      <c r="A176" s="462">
        <v>45448.0</v>
      </c>
      <c r="B176" s="463" t="s">
        <v>172</v>
      </c>
      <c r="C176" s="463" t="s">
        <v>296</v>
      </c>
      <c r="D176" s="463">
        <v>4.0</v>
      </c>
      <c r="E176" s="465">
        <v>893.95</v>
      </c>
      <c r="F176" s="466">
        <f t="shared" si="1"/>
        <v>3575.8</v>
      </c>
      <c r="G176" s="467" t="str">
        <f>IFERROR(__xludf.DUMMYFUNCTION("IFERROR(IF(C176=""Crypto"",$G$2,(IF(ISBLANK(B176),"""",IF(B176=""Cash"",$G$2,IF(GOOGLEFINANCE(B176,""CURRENCY"")=""GBX"",""GBP"",GOOGLEFINANCE(B176,""CURRENCY"")))))),Conversion!$F$1)"),"INR")</f>
        <v>INR</v>
      </c>
      <c r="H176" s="466">
        <f>IFERROR(__xludf.DUMMYFUNCTION("IF(G176=""GBP"",IF(B176="""","""",IF(G176=$G$2,F176,F176*GOOGLEFINANCE(""currency:""&amp;G176&amp;""""&amp;$G$2&amp;"""")))/100,IF(A176="""","""",IF(G176=$G$2,F176,F176*GOOGLEFINANCE(""Currency:""&amp;G176&amp;""""&amp;$G$2&amp;""""))))"),3575.8)</f>
        <v>3575.8</v>
      </c>
    </row>
    <row r="177">
      <c r="A177" s="462">
        <v>45448.0</v>
      </c>
      <c r="B177" s="463" t="s">
        <v>162</v>
      </c>
      <c r="C177" s="463" t="s">
        <v>297</v>
      </c>
      <c r="D177" s="463">
        <v>120.0</v>
      </c>
      <c r="E177" s="465">
        <v>83.0</v>
      </c>
      <c r="F177" s="466">
        <f t="shared" si="1"/>
        <v>9960</v>
      </c>
      <c r="G177" s="467" t="str">
        <f>IFERROR(__xludf.DUMMYFUNCTION("IFERROR(IF(C177=""Crypto"",$G$2,(IF(ISBLANK(B177),"""",IF(B177=""Cash"",$G$2,IF(GOOGLEFINANCE(B177,""CURRENCY"")=""GBX"",""GBP"",GOOGLEFINANCE(B177,""CURRENCY"")))))),Conversion!$F$1)"),"INR")</f>
        <v>INR</v>
      </c>
      <c r="H177" s="466">
        <f>IFERROR(__xludf.DUMMYFUNCTION("IF(G177=""GBP"",IF(B177="""","""",IF(G177=$G$2,F177,F177*GOOGLEFINANCE(""currency:""&amp;G177&amp;""""&amp;$G$2&amp;"""")))/100,IF(A177="""","""",IF(G177=$G$2,F177,F177*GOOGLEFINANCE(""Currency:""&amp;G177&amp;""""&amp;$G$2&amp;""""))))"),9960.0)</f>
        <v>9960</v>
      </c>
    </row>
    <row r="178">
      <c r="A178" s="462">
        <v>45448.0</v>
      </c>
      <c r="B178" s="463" t="s">
        <v>123</v>
      </c>
      <c r="C178" s="463" t="s">
        <v>296</v>
      </c>
      <c r="D178" s="463">
        <v>8.0</v>
      </c>
      <c r="E178" s="465">
        <v>900.7</v>
      </c>
      <c r="F178" s="466">
        <f t="shared" si="1"/>
        <v>7205.6</v>
      </c>
      <c r="G178" s="467" t="str">
        <f>IFERROR(__xludf.DUMMYFUNCTION("IFERROR(IF(C178=""Crypto"",$G$2,(IF(ISBLANK(B178),"""",IF(B178=""Cash"",$G$2,IF(GOOGLEFINANCE(B178,""CURRENCY"")=""GBX"",""GBP"",GOOGLEFINANCE(B178,""CURRENCY"")))))),Conversion!$F$1)"),"INR")</f>
        <v>INR</v>
      </c>
      <c r="H178" s="466">
        <f>IFERROR(__xludf.DUMMYFUNCTION("IF(G178=""GBP"",IF(B178="""","""",IF(G178=$G$2,F178,F178*GOOGLEFINANCE(""currency:""&amp;G178&amp;""""&amp;$G$2&amp;"""")))/100,IF(A178="""","""",IF(G178=$G$2,F178,F178*GOOGLEFINANCE(""Currency:""&amp;G178&amp;""""&amp;$G$2&amp;""""))))"),7205.6)</f>
        <v>7205.6</v>
      </c>
    </row>
    <row r="179">
      <c r="A179" s="462">
        <v>45449.0</v>
      </c>
      <c r="B179" s="463" t="s">
        <v>162</v>
      </c>
      <c r="C179" s="463" t="s">
        <v>297</v>
      </c>
      <c r="D179" s="463">
        <v>100.0</v>
      </c>
      <c r="E179" s="465">
        <v>83.84</v>
      </c>
      <c r="F179" s="466">
        <f t="shared" si="1"/>
        <v>8384</v>
      </c>
      <c r="G179" s="467" t="str">
        <f>IFERROR(__xludf.DUMMYFUNCTION("IFERROR(IF(C179=""Crypto"",$G$2,(IF(ISBLANK(B179),"""",IF(B179=""Cash"",$G$2,IF(GOOGLEFINANCE(B179,""CURRENCY"")=""GBX"",""GBP"",GOOGLEFINANCE(B179,""CURRENCY"")))))),Conversion!$F$1)"),"INR")</f>
        <v>INR</v>
      </c>
      <c r="H179" s="466">
        <f>IFERROR(__xludf.DUMMYFUNCTION("IF(G179=""GBP"",IF(B179="""","""",IF(G179=$G$2,F179,F179*GOOGLEFINANCE(""currency:""&amp;G179&amp;""""&amp;$G$2&amp;"""")))/100,IF(A179="""","""",IF(G179=$G$2,F179,F179*GOOGLEFINANCE(""Currency:""&amp;G179&amp;""""&amp;$G$2&amp;""""))))"),8384.0)</f>
        <v>8384</v>
      </c>
    </row>
    <row r="180">
      <c r="A180" s="462">
        <v>45449.0</v>
      </c>
      <c r="B180" s="463" t="s">
        <v>149</v>
      </c>
      <c r="C180" s="463" t="s">
        <v>296</v>
      </c>
      <c r="D180" s="463">
        <v>130.0</v>
      </c>
      <c r="E180" s="465">
        <v>77.15</v>
      </c>
      <c r="F180" s="466">
        <f t="shared" si="1"/>
        <v>10029.5</v>
      </c>
      <c r="G180" s="467" t="str">
        <f>IFERROR(__xludf.DUMMYFUNCTION("IFERROR(IF(C180=""Crypto"",$G$2,(IF(ISBLANK(B180),"""",IF(B180=""Cash"",$G$2,IF(GOOGLEFINANCE(B180,""CURRENCY"")=""GBX"",""GBP"",GOOGLEFINANCE(B180,""CURRENCY"")))))),Conversion!$F$1)"),"INR")</f>
        <v>INR</v>
      </c>
      <c r="H180" s="466">
        <f>IFERROR(__xludf.DUMMYFUNCTION("IF(G180=""GBP"",IF(B180="""","""",IF(G180=$G$2,F180,F180*GOOGLEFINANCE(""currency:""&amp;G180&amp;""""&amp;$G$2&amp;"""")))/100,IF(A180="""","""",IF(G180=$G$2,F180,F180*GOOGLEFINANCE(""Currency:""&amp;G180&amp;""""&amp;$G$2&amp;""""))))"),10029.5)</f>
        <v>10029.5</v>
      </c>
    </row>
    <row r="181">
      <c r="A181" s="462">
        <v>45450.0</v>
      </c>
      <c r="B181" s="463" t="s">
        <v>172</v>
      </c>
      <c r="C181" s="463" t="s">
        <v>296</v>
      </c>
      <c r="D181" s="463">
        <v>10.0</v>
      </c>
      <c r="E181" s="465">
        <v>973.0</v>
      </c>
      <c r="F181" s="466">
        <f t="shared" si="1"/>
        <v>9730</v>
      </c>
      <c r="G181" s="467" t="str">
        <f>IFERROR(__xludf.DUMMYFUNCTION("IFERROR(IF(C181=""Crypto"",$G$2,(IF(ISBLANK(B181),"""",IF(B181=""Cash"",$G$2,IF(GOOGLEFINANCE(B181,""CURRENCY"")=""GBX"",""GBP"",GOOGLEFINANCE(B181,""CURRENCY"")))))),Conversion!$F$1)"),"INR")</f>
        <v>INR</v>
      </c>
      <c r="H181" s="466">
        <f>IFERROR(__xludf.DUMMYFUNCTION("IF(G181=""GBP"",IF(B181="""","""",IF(G181=$G$2,F181,F181*GOOGLEFINANCE(""currency:""&amp;G181&amp;""""&amp;$G$2&amp;"""")))/100,IF(A181="""","""",IF(G181=$G$2,F181,F181*GOOGLEFINANCE(""Currency:""&amp;G181&amp;""""&amp;$G$2&amp;""""))))"),9730.0)</f>
        <v>9730</v>
      </c>
    </row>
    <row r="182">
      <c r="A182" s="462">
        <v>45451.0</v>
      </c>
      <c r="B182" s="463" t="s">
        <v>149</v>
      </c>
      <c r="C182" s="463" t="s">
        <v>296</v>
      </c>
      <c r="D182" s="463">
        <v>120.0</v>
      </c>
      <c r="E182" s="465">
        <v>81.5</v>
      </c>
      <c r="F182" s="466">
        <f t="shared" si="1"/>
        <v>9780</v>
      </c>
      <c r="G182" s="467" t="str">
        <f>IFERROR(__xludf.DUMMYFUNCTION("IFERROR(IF(C182=""Crypto"",$G$2,(IF(ISBLANK(B182),"""",IF(B182=""Cash"",$G$2,IF(GOOGLEFINANCE(B182,""CURRENCY"")=""GBX"",""GBP"",GOOGLEFINANCE(B182,""CURRENCY"")))))),Conversion!$F$1)"),"INR")</f>
        <v>INR</v>
      </c>
      <c r="H182" s="466">
        <f>IFERROR(__xludf.DUMMYFUNCTION("IF(G182=""GBP"",IF(B182="""","""",IF(G182=$G$2,F182,F182*GOOGLEFINANCE(""currency:""&amp;G182&amp;""""&amp;$G$2&amp;"""")))/100,IF(A182="""","""",IF(G182=$G$2,F182,F182*GOOGLEFINANCE(""Currency:""&amp;G182&amp;""""&amp;$G$2&amp;""""))))"),9780.0)</f>
        <v>9780</v>
      </c>
    </row>
    <row r="183">
      <c r="A183" s="462">
        <v>45453.0</v>
      </c>
      <c r="B183" s="463" t="s">
        <v>149</v>
      </c>
      <c r="C183" s="463" t="s">
        <v>296</v>
      </c>
      <c r="D183" s="463">
        <v>100.0</v>
      </c>
      <c r="E183" s="465">
        <v>78.35</v>
      </c>
      <c r="F183" s="466">
        <f t="shared" si="1"/>
        <v>7835</v>
      </c>
      <c r="G183" s="467" t="str">
        <f>IFERROR(__xludf.DUMMYFUNCTION("IFERROR(IF(C183=""Crypto"",$G$2,(IF(ISBLANK(B183),"""",IF(B183=""Cash"",$G$2,IF(GOOGLEFINANCE(B183,""CURRENCY"")=""GBX"",""GBP"",GOOGLEFINANCE(B183,""CURRENCY"")))))),Conversion!$F$1)"),"INR")</f>
        <v>INR</v>
      </c>
      <c r="H183" s="466">
        <f>IFERROR(__xludf.DUMMYFUNCTION("IF(G183=""GBP"",IF(B183="""","""",IF(G183=$G$2,F183,F183*GOOGLEFINANCE(""currency:""&amp;G183&amp;""""&amp;$G$2&amp;"""")))/100,IF(A183="""","""",IF(G183=$G$2,F183,F183*GOOGLEFINANCE(""Currency:""&amp;G183&amp;""""&amp;$G$2&amp;""""))))"),7834.999999999999)</f>
        <v>7835</v>
      </c>
    </row>
    <row r="184">
      <c r="A184" s="462">
        <v>45453.0</v>
      </c>
      <c r="B184" s="463" t="s">
        <v>95</v>
      </c>
      <c r="C184" s="463" t="s">
        <v>296</v>
      </c>
      <c r="D184" s="463">
        <v>1.0</v>
      </c>
      <c r="E184" s="465">
        <v>2290.85</v>
      </c>
      <c r="F184" s="466">
        <f t="shared" si="1"/>
        <v>2290.85</v>
      </c>
      <c r="G184" s="467" t="str">
        <f>IFERROR(__xludf.DUMMYFUNCTION("IFERROR(IF(C184=""Crypto"",$G$2,(IF(ISBLANK(B184),"""",IF(B184=""Cash"",$G$2,IF(GOOGLEFINANCE(B184,""CURRENCY"")=""GBX"",""GBP"",GOOGLEFINANCE(B184,""CURRENCY"")))))),Conversion!$F$1)"),"INR")</f>
        <v>INR</v>
      </c>
      <c r="H184" s="466">
        <f>IFERROR(__xludf.DUMMYFUNCTION("IF(G184=""GBP"",IF(B184="""","""",IF(G184=$G$2,F184,F184*GOOGLEFINANCE(""currency:""&amp;G184&amp;""""&amp;$G$2&amp;"""")))/100,IF(A184="""","""",IF(G184=$G$2,F184,F184*GOOGLEFINANCE(""Currency:""&amp;G184&amp;""""&amp;$G$2&amp;""""))))"),2290.85)</f>
        <v>2290.85</v>
      </c>
    </row>
    <row r="185">
      <c r="A185" s="462">
        <v>45453.0</v>
      </c>
      <c r="B185" s="463" t="s">
        <v>109</v>
      </c>
      <c r="C185" s="463" t="s">
        <v>296</v>
      </c>
      <c r="D185" s="463">
        <v>600.0</v>
      </c>
      <c r="E185" s="465">
        <v>10.5</v>
      </c>
      <c r="F185" s="466">
        <f t="shared" si="1"/>
        <v>6300</v>
      </c>
      <c r="G185" s="467" t="str">
        <f>IFERROR(__xludf.DUMMYFUNCTION("IFERROR(IF(C185=""Crypto"",$G$2,(IF(ISBLANK(B185),"""",IF(B185=""Cash"",$G$2,IF(GOOGLEFINANCE(B185,""CURRENCY"")=""GBX"",""GBP"",GOOGLEFINANCE(B185,""CURRENCY"")))))),Conversion!$F$1)"),"INR")</f>
        <v>INR</v>
      </c>
      <c r="H185" s="466">
        <f>IFERROR(__xludf.DUMMYFUNCTION("IF(G185=""GBP"",IF(B185="""","""",IF(G185=$G$2,F185,F185*GOOGLEFINANCE(""currency:""&amp;G185&amp;""""&amp;$G$2&amp;"""")))/100,IF(A185="""","""",IF(G185=$G$2,F185,F185*GOOGLEFINANCE(""Currency:""&amp;G185&amp;""""&amp;$G$2&amp;""""))))"),6300.0)</f>
        <v>6300</v>
      </c>
    </row>
    <row r="186">
      <c r="A186" s="462">
        <v>45465.0</v>
      </c>
      <c r="B186" s="463" t="s">
        <v>126</v>
      </c>
      <c r="C186" s="463" t="s">
        <v>296</v>
      </c>
      <c r="D186" s="463">
        <v>75.0</v>
      </c>
      <c r="E186" s="465">
        <v>339.0</v>
      </c>
      <c r="F186" s="466">
        <f t="shared" si="1"/>
        <v>25425</v>
      </c>
      <c r="G186" s="467" t="str">
        <f>IFERROR(__xludf.DUMMYFUNCTION("IFERROR(IF(C186=""Crypto"",$G$2,(IF(ISBLANK(B186),"""",IF(B186=""Cash"",$G$2,IF(GOOGLEFINANCE(B186,""CURRENCY"")=""GBX"",""GBP"",GOOGLEFINANCE(B186,""CURRENCY"")))))),Conversion!$F$1)"),"INR")</f>
        <v>INR</v>
      </c>
      <c r="H186" s="466">
        <f>IFERROR(__xludf.DUMMYFUNCTION("IF(G186=""GBP"",IF(B186="""","""",IF(G186=$G$2,F186,F186*GOOGLEFINANCE(""currency:""&amp;G186&amp;""""&amp;$G$2&amp;"""")))/100,IF(A186="""","""",IF(G186=$G$2,F186,F186*GOOGLEFINANCE(""Currency:""&amp;G186&amp;""""&amp;$G$2&amp;""""))))"),25425.0)</f>
        <v>25425</v>
      </c>
    </row>
    <row r="187">
      <c r="A187" s="462">
        <v>45466.0</v>
      </c>
      <c r="B187" s="463" t="s">
        <v>126</v>
      </c>
      <c r="C187" s="463" t="s">
        <v>296</v>
      </c>
      <c r="D187" s="463">
        <v>50.0</v>
      </c>
      <c r="E187" s="465">
        <v>338.0</v>
      </c>
      <c r="F187" s="466">
        <f t="shared" si="1"/>
        <v>16900</v>
      </c>
      <c r="G187" s="467" t="str">
        <f>IFERROR(__xludf.DUMMYFUNCTION("IFERROR(IF(C187=""Crypto"",$G$2,(IF(ISBLANK(B187),"""",IF(B187=""Cash"",$G$2,IF(GOOGLEFINANCE(B187,""CURRENCY"")=""GBX"",""GBP"",GOOGLEFINANCE(B187,""CURRENCY"")))))),Conversion!$F$1)"),"INR")</f>
        <v>INR</v>
      </c>
      <c r="H187" s="466">
        <f>IFERROR(__xludf.DUMMYFUNCTION("IF(G187=""GBP"",IF(B187="""","""",IF(G187=$G$2,F187,F187*GOOGLEFINANCE(""currency:""&amp;G187&amp;""""&amp;$G$2&amp;"""")))/100,IF(A187="""","""",IF(G187=$G$2,F187,F187*GOOGLEFINANCE(""Currency:""&amp;G187&amp;""""&amp;$G$2&amp;""""))))"),16900.0)</f>
        <v>16900</v>
      </c>
    </row>
    <row r="188">
      <c r="A188" s="462">
        <v>45466.0</v>
      </c>
      <c r="B188" s="463" t="s">
        <v>126</v>
      </c>
      <c r="C188" s="463" t="s">
        <v>296</v>
      </c>
      <c r="D188" s="463">
        <v>50.0</v>
      </c>
      <c r="E188" s="465">
        <v>335.0</v>
      </c>
      <c r="F188" s="466">
        <f t="shared" si="1"/>
        <v>16750</v>
      </c>
      <c r="G188" s="467" t="str">
        <f>IFERROR(__xludf.DUMMYFUNCTION("IFERROR(IF(C188=""Crypto"",$G$2,(IF(ISBLANK(B188),"""",IF(B188=""Cash"",$G$2,IF(GOOGLEFINANCE(B188,""CURRENCY"")=""GBX"",""GBP"",GOOGLEFINANCE(B188,""CURRENCY"")))))),Conversion!$F$1)"),"INR")</f>
        <v>INR</v>
      </c>
      <c r="H188" s="466">
        <f>IFERROR(__xludf.DUMMYFUNCTION("IF(G188=""GBP"",IF(B188="""","""",IF(G188=$G$2,F188,F188*GOOGLEFINANCE(""currency:""&amp;G188&amp;""""&amp;$G$2&amp;"""")))/100,IF(A188="""","""",IF(G188=$G$2,F188,F188*GOOGLEFINANCE(""Currency:""&amp;G188&amp;""""&amp;$G$2&amp;""""))))"),16750.0)</f>
        <v>16750</v>
      </c>
    </row>
    <row r="189">
      <c r="A189" s="462">
        <v>45467.0</v>
      </c>
      <c r="B189" s="463" t="s">
        <v>262</v>
      </c>
      <c r="C189" s="463" t="s">
        <v>296</v>
      </c>
      <c r="D189" s="463">
        <v>91.0</v>
      </c>
      <c r="E189" s="465">
        <v>15.39</v>
      </c>
      <c r="F189" s="466">
        <f t="shared" si="1"/>
        <v>1400.49</v>
      </c>
      <c r="G189" s="467" t="str">
        <f>IFERROR(__xludf.DUMMYFUNCTION("IFERROR(IF(C189=""Crypto"",$G$2,(IF(ISBLANK(B189),"""",IF(B189=""Cash"",$G$2,IF(GOOGLEFINANCE(B189,""CURRENCY"")=""GBX"",""GBP"",GOOGLEFINANCE(B189,""CURRENCY"")))))),Conversion!$F$1)"),"INR")</f>
        <v>INR</v>
      </c>
      <c r="H189" s="466">
        <f>IFERROR(__xludf.DUMMYFUNCTION("IF(G189=""GBP"",IF(B189="""","""",IF(G189=$G$2,F189,F189*GOOGLEFINANCE(""currency:""&amp;G189&amp;""""&amp;$G$2&amp;"""")))/100,IF(A189="""","""",IF(G189=$G$2,F189,F189*GOOGLEFINANCE(""Currency:""&amp;G189&amp;""""&amp;$G$2&amp;""""))))"),1400.49)</f>
        <v>1400.49</v>
      </c>
    </row>
    <row r="190">
      <c r="A190" s="462">
        <v>45509.0</v>
      </c>
      <c r="B190" s="463" t="s">
        <v>126</v>
      </c>
      <c r="C190" s="463" t="s">
        <v>296</v>
      </c>
      <c r="D190" s="463">
        <v>126.0</v>
      </c>
      <c r="E190" s="465">
        <v>317.0</v>
      </c>
      <c r="F190" s="466">
        <f t="shared" si="1"/>
        <v>39942</v>
      </c>
      <c r="G190" s="467" t="str">
        <f>IFERROR(__xludf.DUMMYFUNCTION("IFERROR(IF(C190=""Crypto"",$G$2,(IF(ISBLANK(B190),"""",IF(B190=""Cash"",$G$2,IF(GOOGLEFINANCE(B190,""CURRENCY"")=""GBX"",""GBP"",GOOGLEFINANCE(B190,""CURRENCY"")))))),Conversion!$F$1)"),"INR")</f>
        <v>INR</v>
      </c>
      <c r="H190" s="466">
        <f>IFERROR(__xludf.DUMMYFUNCTION("IF(G190=""GBP"",IF(B190="""","""",IF(G190=$G$2,F190,F190*GOOGLEFINANCE(""currency:""&amp;G190&amp;""""&amp;$G$2&amp;"""")))/100,IF(A190="""","""",IF(G190=$G$2,F190,F190*GOOGLEFINANCE(""Currency:""&amp;G190&amp;""""&amp;$G$2&amp;""""))))"),39942.0)</f>
        <v>39942</v>
      </c>
    </row>
    <row r="191">
      <c r="A191" s="462">
        <v>45509.0</v>
      </c>
      <c r="B191" s="463" t="s">
        <v>149</v>
      </c>
      <c r="C191" s="463" t="s">
        <v>296</v>
      </c>
      <c r="D191" s="463">
        <v>556.0</v>
      </c>
      <c r="E191" s="465">
        <v>72.0</v>
      </c>
      <c r="F191" s="466">
        <f t="shared" si="1"/>
        <v>40032</v>
      </c>
      <c r="G191" s="467" t="str">
        <f>IFERROR(__xludf.DUMMYFUNCTION("IFERROR(IF(C191=""Crypto"",$G$2,(IF(ISBLANK(B191),"""",IF(B191=""Cash"",$G$2,IF(GOOGLEFINANCE(B191,""CURRENCY"")=""GBX"",""GBP"",GOOGLEFINANCE(B191,""CURRENCY"")))))),Conversion!$F$1)"),"INR")</f>
        <v>INR</v>
      </c>
      <c r="H191" s="466">
        <f>IFERROR(__xludf.DUMMYFUNCTION("IF(G191=""GBP"",IF(B191="""","""",IF(G191=$G$2,F191,F191*GOOGLEFINANCE(""currency:""&amp;G191&amp;""""&amp;$G$2&amp;"""")))/100,IF(A191="""","""",IF(G191=$G$2,F191,F191*GOOGLEFINANCE(""Currency:""&amp;G191&amp;""""&amp;$G$2&amp;""""))))"),40032.0)</f>
        <v>40032</v>
      </c>
    </row>
    <row r="192">
      <c r="A192" s="462">
        <v>45513.0</v>
      </c>
      <c r="B192" s="463" t="s">
        <v>126</v>
      </c>
      <c r="C192" s="463" t="s">
        <v>296</v>
      </c>
      <c r="D192" s="463">
        <v>50.0</v>
      </c>
      <c r="E192" s="465">
        <v>326.1</v>
      </c>
      <c r="F192" s="466">
        <f t="shared" si="1"/>
        <v>16305</v>
      </c>
      <c r="G192" s="467" t="str">
        <f>IFERROR(__xludf.DUMMYFUNCTION("IFERROR(IF(C192=""Crypto"",$G$2,(IF(ISBLANK(B192),"""",IF(B192=""Cash"",$G$2,IF(GOOGLEFINANCE(B192,""CURRENCY"")=""GBX"",""GBP"",GOOGLEFINANCE(B192,""CURRENCY"")))))),Conversion!$F$1)"),"INR")</f>
        <v>INR</v>
      </c>
      <c r="H192" s="466">
        <f>IFERROR(__xludf.DUMMYFUNCTION("IF(G192=""GBP"",IF(B192="""","""",IF(G192=$G$2,F192,F192*GOOGLEFINANCE(""currency:""&amp;G192&amp;""""&amp;$G$2&amp;"""")))/100,IF(A192="""","""",IF(G192=$G$2,F192,F192*GOOGLEFINANCE(""Currency:""&amp;G192&amp;""""&amp;$G$2&amp;""""))))"),16305.000000000002)</f>
        <v>16305</v>
      </c>
    </row>
    <row r="193">
      <c r="A193" s="462">
        <v>45513.0</v>
      </c>
      <c r="B193" s="463" t="s">
        <v>265</v>
      </c>
      <c r="C193" s="463" t="s">
        <v>296</v>
      </c>
      <c r="D193" s="463">
        <v>200.0</v>
      </c>
      <c r="E193" s="465">
        <v>5.09</v>
      </c>
      <c r="F193" s="466">
        <f t="shared" si="1"/>
        <v>1018</v>
      </c>
      <c r="G193" s="467" t="str">
        <f>IFERROR(__xludf.DUMMYFUNCTION("IFERROR(IF(C193=""Crypto"",$G$2,(IF(ISBLANK(B193),"""",IF(B193=""Cash"",$G$2,IF(GOOGLEFINANCE(B193,""CURRENCY"")=""GBX"",""GBP"",GOOGLEFINANCE(B193,""CURRENCY"")))))),Conversion!$F$1)"),"INR")</f>
        <v>INR</v>
      </c>
      <c r="H193" s="466">
        <f>IFERROR(__xludf.DUMMYFUNCTION("IF(G193=""GBP"",IF(B193="""","""",IF(G193=$G$2,F193,F193*GOOGLEFINANCE(""currency:""&amp;G193&amp;""""&amp;$G$2&amp;"""")))/100,IF(A193="""","""",IF(G193=$G$2,F193,F193*GOOGLEFINANCE(""Currency:""&amp;G193&amp;""""&amp;$G$2&amp;""""))))"),1018.0)</f>
        <v>1018</v>
      </c>
    </row>
    <row r="194">
      <c r="A194" s="462">
        <v>45513.0</v>
      </c>
      <c r="B194" s="463" t="s">
        <v>126</v>
      </c>
      <c r="C194" s="463" t="s">
        <v>296</v>
      </c>
      <c r="D194" s="463">
        <v>30.0</v>
      </c>
      <c r="E194" s="465">
        <v>325.96</v>
      </c>
      <c r="F194" s="466">
        <f t="shared" si="1"/>
        <v>9778.8</v>
      </c>
      <c r="G194" s="467" t="str">
        <f>IFERROR(__xludf.DUMMYFUNCTION("IFERROR(IF(C194=""Crypto"",$G$2,(IF(ISBLANK(B194),"""",IF(B194=""Cash"",$G$2,IF(GOOGLEFINANCE(B194,""CURRENCY"")=""GBX"",""GBP"",GOOGLEFINANCE(B194,""CURRENCY"")))))),Conversion!$F$1)"),"INR")</f>
        <v>INR</v>
      </c>
      <c r="H194" s="466">
        <f>IFERROR(__xludf.DUMMYFUNCTION("IF(G194=""GBP"",IF(B194="""","""",IF(G194=$G$2,F194,F194*GOOGLEFINANCE(""currency:""&amp;G194&amp;""""&amp;$G$2&amp;"""")))/100,IF(A194="""","""",IF(G194=$G$2,F194,F194*GOOGLEFINANCE(""Currency:""&amp;G194&amp;""""&amp;$G$2&amp;""""))))"),9778.8)</f>
        <v>9778.8</v>
      </c>
    </row>
    <row r="195">
      <c r="A195" s="462">
        <v>45520.0</v>
      </c>
      <c r="B195" s="463" t="s">
        <v>126</v>
      </c>
      <c r="C195" s="463" t="s">
        <v>296</v>
      </c>
      <c r="D195" s="463">
        <v>40.0</v>
      </c>
      <c r="E195" s="465">
        <v>320.0</v>
      </c>
      <c r="F195" s="466">
        <f t="shared" si="1"/>
        <v>12800</v>
      </c>
      <c r="G195" s="467" t="str">
        <f>IFERROR(__xludf.DUMMYFUNCTION("IFERROR(IF(C195=""Crypto"",$G$2,(IF(ISBLANK(B195),"""",IF(B195=""Cash"",$G$2,IF(GOOGLEFINANCE(B195,""CURRENCY"")=""GBX"",""GBP"",GOOGLEFINANCE(B195,""CURRENCY"")))))),Conversion!$F$1)"),"INR")</f>
        <v>INR</v>
      </c>
      <c r="H195" s="466">
        <f>IFERROR(__xludf.DUMMYFUNCTION("IF(G195=""GBP"",IF(B195="""","""",IF(G195=$G$2,F195,F195*GOOGLEFINANCE(""currency:""&amp;G195&amp;""""&amp;$G$2&amp;"""")))/100,IF(A195="""","""",IF(G195=$G$2,F195,F195*GOOGLEFINANCE(""Currency:""&amp;G195&amp;""""&amp;$G$2&amp;""""))))"),12800.0)</f>
        <v>12800</v>
      </c>
    </row>
    <row r="196">
      <c r="A196" s="468">
        <v>45532.0</v>
      </c>
      <c r="B196" s="463" t="s">
        <v>126</v>
      </c>
      <c r="C196" s="463" t="s">
        <v>296</v>
      </c>
      <c r="D196" s="463">
        <v>30.0</v>
      </c>
      <c r="E196" s="465">
        <v>327.0</v>
      </c>
      <c r="F196" s="466">
        <f t="shared" si="1"/>
        <v>9810</v>
      </c>
      <c r="G196" s="467" t="str">
        <f>IFERROR(__xludf.DUMMYFUNCTION("IFERROR(IF(C196=""Crypto"",$G$2,(IF(ISBLANK(B196),"""",IF(B196=""Cash"",$G$2,IF(GOOGLEFINANCE(B196,""CURRENCY"")=""GBX"",""GBP"",GOOGLEFINANCE(B196,""CURRENCY"")))))),Conversion!$F$1)"),"INR")</f>
        <v>INR</v>
      </c>
      <c r="H196" s="466">
        <f>IFERROR(__xludf.DUMMYFUNCTION("IF(G196=""GBP"",IF(B196="""","""",IF(G196=$G$2,F196,F196*GOOGLEFINANCE(""currency:""&amp;G196&amp;""""&amp;$G$2&amp;"""")))/100,IF(A196="""","""",IF(G196=$G$2,F196,F196*GOOGLEFINANCE(""Currency:""&amp;G196&amp;""""&amp;$G$2&amp;""""))))"),9810.0)</f>
        <v>9810</v>
      </c>
    </row>
    <row r="197">
      <c r="A197" s="468">
        <v>45534.0</v>
      </c>
      <c r="B197" s="463" t="s">
        <v>97</v>
      </c>
      <c r="C197" s="463" t="s">
        <v>298</v>
      </c>
      <c r="D197" s="463" t="s">
        <v>299</v>
      </c>
      <c r="E197" s="465" t="s">
        <v>300</v>
      </c>
      <c r="F197" s="466" t="str">
        <f t="shared" si="1"/>
        <v>-</v>
      </c>
      <c r="G197" s="467" t="str">
        <f>IFERROR(__xludf.DUMMYFUNCTION("IFERROR(IF(C197=""Crypto"",$G$2,(IF(ISBLANK(B197),"""",IF(B197=""Cash"",$G$2,IF(GOOGLEFINANCE(B197,""CURRENCY"")=""GBX"",""GBP"",GOOGLEFINANCE(B197,""CURRENCY"")))))),Conversion!$F$1)"),"INR")</f>
        <v>INR</v>
      </c>
      <c r="H197" s="466" t="str">
        <f>IFERROR(__xludf.DUMMYFUNCTION("IF(G197=""GBP"",IF(B197="""","""",IF(G197=$G$2,F197,F197*GOOGLEFINANCE(""currency:""&amp;G197&amp;""""&amp;$G$2&amp;"""")))/100,IF(A197="""","""",IF(G197=$G$2,F197,F197*GOOGLEFINANCE(""Currency:""&amp;G197&amp;""""&amp;$G$2&amp;""""))))"),"-")</f>
        <v>-</v>
      </c>
    </row>
    <row r="198">
      <c r="A198" s="468">
        <v>45534.0</v>
      </c>
      <c r="B198" s="463" t="s">
        <v>167</v>
      </c>
      <c r="C198" s="463" t="s">
        <v>298</v>
      </c>
      <c r="D198" s="463" t="s">
        <v>299</v>
      </c>
      <c r="E198" s="465" t="s">
        <v>300</v>
      </c>
      <c r="F198" s="466" t="str">
        <f t="shared" si="1"/>
        <v>-</v>
      </c>
      <c r="G198" s="467" t="str">
        <f>IFERROR(__xludf.DUMMYFUNCTION("IFERROR(IF(C198=""Crypto"",$G$2,(IF(ISBLANK(B198),"""",IF(B198=""Cash"",$G$2,IF(GOOGLEFINANCE(B198,""CURRENCY"")=""GBX"",""GBP"",GOOGLEFINANCE(B198,""CURRENCY"")))))),Conversion!$F$1)"),"INR")</f>
        <v>INR</v>
      </c>
      <c r="H198" s="466" t="str">
        <f>IFERROR(__xludf.DUMMYFUNCTION("IF(G198=""GBP"",IF(B198="""","""",IF(G198=$G$2,F198,F198*GOOGLEFINANCE(""currency:""&amp;G198&amp;""""&amp;$G$2&amp;"""")))/100,IF(A198="""","""",IF(G198=$G$2,F198,F198*GOOGLEFINANCE(""Currency:""&amp;G198&amp;""""&amp;$G$2&amp;""""))))"),"-")</f>
        <v>-</v>
      </c>
    </row>
    <row r="199">
      <c r="A199" s="462">
        <v>45539.0</v>
      </c>
      <c r="B199" s="463" t="s">
        <v>126</v>
      </c>
      <c r="C199" s="463" t="s">
        <v>296</v>
      </c>
      <c r="D199" s="463">
        <v>24.0</v>
      </c>
      <c r="E199" s="465">
        <v>345.0</v>
      </c>
      <c r="F199" s="466">
        <f t="shared" si="1"/>
        <v>8280</v>
      </c>
      <c r="G199" s="467" t="str">
        <f>IFERROR(__xludf.DUMMYFUNCTION("IFERROR(IF(C199=""Crypto"",$G$2,(IF(ISBLANK(B199),"""",IF(B199=""Cash"",$G$2,IF(GOOGLEFINANCE(B199,""CURRENCY"")=""GBX"",""GBP"",GOOGLEFINANCE(B199,""CURRENCY"")))))),Conversion!$F$1)"),"INR")</f>
        <v>INR</v>
      </c>
      <c r="H199" s="466">
        <f>IFERROR(__xludf.DUMMYFUNCTION("IF(G199=""GBP"",IF(B199="""","""",IF(G199=$G$2,F199,F199*GOOGLEFINANCE(""currency:""&amp;G199&amp;""""&amp;$G$2&amp;"""")))/100,IF(A199="""","""",IF(G199=$G$2,F199,F199*GOOGLEFINANCE(""Currency:""&amp;G199&amp;""""&amp;$G$2&amp;""""))))"),8280.0)</f>
        <v>8280</v>
      </c>
    </row>
    <row r="200">
      <c r="A200" s="462">
        <v>45547.0</v>
      </c>
      <c r="B200" s="463" t="s">
        <v>93</v>
      </c>
      <c r="C200" s="463" t="s">
        <v>297</v>
      </c>
      <c r="D200" s="463">
        <v>1.0</v>
      </c>
      <c r="E200" s="465">
        <v>1422.6</v>
      </c>
      <c r="F200" s="466">
        <f t="shared" si="1"/>
        <v>1422.6</v>
      </c>
      <c r="G200" s="467" t="str">
        <f>IFERROR(__xludf.DUMMYFUNCTION("IFERROR(IF(C200=""Crypto"",$G$2,(IF(ISBLANK(B200),"""",IF(B200=""Cash"",$G$2,IF(GOOGLEFINANCE(B200,""CURRENCY"")=""GBX"",""GBP"",GOOGLEFINANCE(B200,""CURRENCY"")))))),Conversion!$F$1)"),"INR")</f>
        <v>INR</v>
      </c>
      <c r="H200" s="466">
        <f>IFERROR(__xludf.DUMMYFUNCTION("IF(G200=""GBP"",IF(B200="""","""",IF(G200=$G$2,F200,F200*GOOGLEFINANCE(""currency:""&amp;G200&amp;""""&amp;$G$2&amp;"""")))/100,IF(A200="""","""",IF(G200=$G$2,F200,F200*GOOGLEFINANCE(""Currency:""&amp;G200&amp;""""&amp;$G$2&amp;""""))))"),1422.6)</f>
        <v>1422.6</v>
      </c>
    </row>
    <row r="201">
      <c r="A201" s="462">
        <v>45547.0</v>
      </c>
      <c r="B201" s="469" t="s">
        <v>99</v>
      </c>
      <c r="C201" s="469" t="s">
        <v>297</v>
      </c>
      <c r="D201" s="469">
        <v>1.0</v>
      </c>
      <c r="E201" s="465">
        <v>1566.95</v>
      </c>
      <c r="F201" s="466">
        <f t="shared" si="1"/>
        <v>1566.95</v>
      </c>
      <c r="G201" s="467" t="str">
        <f>IFERROR(__xludf.DUMMYFUNCTION("IFERROR(IF(C201=""Crypto"",$G$2,(IF(ISBLANK(B201),"""",IF(B201=""Cash"",$G$2,IF(GOOGLEFINANCE(B201,""CURRENCY"")=""GBX"",""GBP"",GOOGLEFINANCE(B201,""CURRENCY"")))))),Conversion!$F$1)"),"INR")</f>
        <v>INR</v>
      </c>
      <c r="H201" s="466">
        <f>IFERROR(__xludf.DUMMYFUNCTION("IF(G201=""GBP"",IF(B201="""","""",IF(G201=$G$2,F201,F201*GOOGLEFINANCE(""currency:""&amp;G201&amp;""""&amp;$G$2&amp;"""")))/100,IF(A201="""","""",IF(G201=$G$2,F201,F201*GOOGLEFINANCE(""Currency:""&amp;G201&amp;""""&amp;$G$2&amp;""""))))"),1566.95)</f>
        <v>1566.95</v>
      </c>
    </row>
    <row r="202">
      <c r="A202" s="462">
        <v>45547.0</v>
      </c>
      <c r="B202" s="469" t="s">
        <v>101</v>
      </c>
      <c r="C202" s="469" t="s">
        <v>297</v>
      </c>
      <c r="D202" s="469">
        <v>1.0</v>
      </c>
      <c r="E202" s="465">
        <v>666.35</v>
      </c>
      <c r="F202" s="466">
        <f t="shared" si="1"/>
        <v>666.35</v>
      </c>
      <c r="G202" s="467" t="str">
        <f>IFERROR(__xludf.DUMMYFUNCTION("IFERROR(IF(C202=""Crypto"",$G$2,(IF(ISBLANK(B202),"""",IF(B202=""Cash"",$G$2,IF(GOOGLEFINANCE(B202,""CURRENCY"")=""GBX"",""GBP"",GOOGLEFINANCE(B202,""CURRENCY"")))))),Conversion!$F$1)"),"INR")</f>
        <v>INR</v>
      </c>
      <c r="H202" s="466">
        <f>IFERROR(__xludf.DUMMYFUNCTION("IF(G202=""GBP"",IF(B202="""","""",IF(G202=$G$2,F202,F202*GOOGLEFINANCE(""currency:""&amp;G202&amp;""""&amp;$G$2&amp;"""")))/100,IF(A202="""","""",IF(G202=$G$2,F202,F202*GOOGLEFINANCE(""Currency:""&amp;G202&amp;""""&amp;$G$2&amp;""""))))"),666.35)</f>
        <v>666.35</v>
      </c>
    </row>
    <row r="203">
      <c r="A203" s="462">
        <v>45547.0</v>
      </c>
      <c r="B203" s="469" t="s">
        <v>102</v>
      </c>
      <c r="C203" s="469" t="s">
        <v>297</v>
      </c>
      <c r="D203" s="469">
        <v>1.0</v>
      </c>
      <c r="E203" s="465">
        <v>2932.0</v>
      </c>
      <c r="F203" s="466">
        <f t="shared" si="1"/>
        <v>2932</v>
      </c>
      <c r="G203" s="467" t="str">
        <f>IFERROR(__xludf.DUMMYFUNCTION("IFERROR(IF(C203=""Crypto"",$G$2,(IF(ISBLANK(B203),"""",IF(B203=""Cash"",$G$2,IF(GOOGLEFINANCE(B203,""CURRENCY"")=""GBX"",""GBP"",GOOGLEFINANCE(B203,""CURRENCY"")))))),Conversion!$F$1)"),"INR")</f>
        <v>INR</v>
      </c>
      <c r="H203" s="466">
        <f>IFERROR(__xludf.DUMMYFUNCTION("IF(G203=""GBP"",IF(B203="""","""",IF(G203=$G$2,F203,F203*GOOGLEFINANCE(""currency:""&amp;G203&amp;""""&amp;$G$2&amp;"""")))/100,IF(A203="""","""",IF(G203=$G$2,F203,F203*GOOGLEFINANCE(""Currency:""&amp;G203&amp;""""&amp;$G$2&amp;""""))))"),2932.0)</f>
        <v>2932</v>
      </c>
    </row>
    <row r="204">
      <c r="A204" s="462">
        <v>45547.0</v>
      </c>
      <c r="B204" s="469" t="s">
        <v>107</v>
      </c>
      <c r="C204" s="469" t="s">
        <v>297</v>
      </c>
      <c r="D204" s="469">
        <v>1.0</v>
      </c>
      <c r="E204" s="465">
        <v>5298.35</v>
      </c>
      <c r="F204" s="466">
        <f t="shared" si="1"/>
        <v>5298.35</v>
      </c>
      <c r="G204" s="467" t="str">
        <f>IFERROR(__xludf.DUMMYFUNCTION("IFERROR(IF(C204=""Crypto"",$G$2,(IF(ISBLANK(B204),"""",IF(B204=""Cash"",$G$2,IF(GOOGLEFINANCE(B204,""CURRENCY"")=""GBX"",""GBP"",GOOGLEFINANCE(B204,""CURRENCY"")))))),Conversion!$F$1)"),"INR")</f>
        <v>INR</v>
      </c>
      <c r="H204" s="466">
        <f>IFERROR(__xludf.DUMMYFUNCTION("IF(G204=""GBP"",IF(B204="""","""",IF(G204=$G$2,F204,F204*GOOGLEFINANCE(""currency:""&amp;G204&amp;""""&amp;$G$2&amp;"""")))/100,IF(A204="""","""",IF(G204=$G$2,F204,F204*GOOGLEFINANCE(""Currency:""&amp;G204&amp;""""&amp;$G$2&amp;""""))))"),5298.35)</f>
        <v>5298.35</v>
      </c>
    </row>
    <row r="205">
      <c r="A205" s="462">
        <v>45547.0</v>
      </c>
      <c r="B205" s="469" t="s">
        <v>133</v>
      </c>
      <c r="C205" s="469" t="s">
        <v>297</v>
      </c>
      <c r="D205" s="469">
        <v>1.0</v>
      </c>
      <c r="E205" s="465">
        <v>795.05</v>
      </c>
      <c r="F205" s="466">
        <f t="shared" si="1"/>
        <v>795.05</v>
      </c>
      <c r="G205" s="467" t="str">
        <f>IFERROR(__xludf.DUMMYFUNCTION("IFERROR(IF(C205=""Crypto"",$G$2,(IF(ISBLANK(B205),"""",IF(B205=""Cash"",$G$2,IF(GOOGLEFINANCE(B205,""CURRENCY"")=""GBX"",""GBP"",GOOGLEFINANCE(B205,""CURRENCY"")))))),Conversion!$F$1)"),"INR")</f>
        <v>INR</v>
      </c>
      <c r="H205" s="466">
        <f>IFERROR(__xludf.DUMMYFUNCTION("IF(G205=""GBP"",IF(B205="""","""",IF(G205=$G$2,F205,F205*GOOGLEFINANCE(""currency:""&amp;G205&amp;""""&amp;$G$2&amp;"""")))/100,IF(A205="""","""",IF(G205=$G$2,F205,F205*GOOGLEFINANCE(""Currency:""&amp;G205&amp;""""&amp;$G$2&amp;""""))))"),795.05)</f>
        <v>795.05</v>
      </c>
    </row>
    <row r="206">
      <c r="A206" s="462">
        <v>45547.0</v>
      </c>
      <c r="B206" s="469" t="s">
        <v>134</v>
      </c>
      <c r="C206" s="469" t="s">
        <v>297</v>
      </c>
      <c r="D206" s="469">
        <v>1.0</v>
      </c>
      <c r="E206" s="465">
        <v>187.1</v>
      </c>
      <c r="F206" s="466">
        <f t="shared" si="1"/>
        <v>187.1</v>
      </c>
      <c r="G206" s="467" t="str">
        <f>IFERROR(__xludf.DUMMYFUNCTION("IFERROR(IF(C206=""Crypto"",$G$2,(IF(ISBLANK(B206),"""",IF(B206=""Cash"",$G$2,IF(GOOGLEFINANCE(B206,""CURRENCY"")=""GBX"",""GBP"",GOOGLEFINANCE(B206,""CURRENCY"")))))),Conversion!$F$1)"),"INR")</f>
        <v>INR</v>
      </c>
      <c r="H206" s="466">
        <f>IFERROR(__xludf.DUMMYFUNCTION("IF(G206=""GBP"",IF(B206="""","""",IF(G206=$G$2,F206,F206*GOOGLEFINANCE(""currency:""&amp;G206&amp;""""&amp;$G$2&amp;"""")))/100,IF(A206="""","""",IF(G206=$G$2,F206,F206*GOOGLEFINANCE(""Currency:""&amp;G206&amp;""""&amp;$G$2&amp;""""))))"),187.1)</f>
        <v>187.1</v>
      </c>
    </row>
    <row r="207">
      <c r="A207" s="462">
        <v>45547.0</v>
      </c>
      <c r="B207" s="469" t="s">
        <v>142</v>
      </c>
      <c r="C207" s="469" t="s">
        <v>297</v>
      </c>
      <c r="D207" s="469">
        <v>1.0</v>
      </c>
      <c r="E207" s="465">
        <v>3252.85</v>
      </c>
      <c r="F207" s="466">
        <f t="shared" si="1"/>
        <v>3252.85</v>
      </c>
      <c r="G207" s="467" t="str">
        <f>IFERROR(__xludf.DUMMYFUNCTION("IFERROR(IF(C207=""Crypto"",$G$2,(IF(ISBLANK(B207),"""",IF(B207=""Cash"",$G$2,IF(GOOGLEFINANCE(B207,""CURRENCY"")=""GBX"",""GBP"",GOOGLEFINANCE(B207,""CURRENCY"")))))),Conversion!$F$1)"),"INR")</f>
        <v>INR</v>
      </c>
      <c r="H207" s="466">
        <f>IFERROR(__xludf.DUMMYFUNCTION("IF(G207=""GBP"",IF(B207="""","""",IF(G207=$G$2,F207,F207*GOOGLEFINANCE(""currency:""&amp;G207&amp;""""&amp;$G$2&amp;"""")))/100,IF(A207="""","""",IF(G207=$G$2,F207,F207*GOOGLEFINANCE(""Currency:""&amp;G207&amp;""""&amp;$G$2&amp;""""))))"),3252.85)</f>
        <v>3252.85</v>
      </c>
    </row>
    <row r="208">
      <c r="A208" s="462">
        <v>45547.0</v>
      </c>
      <c r="B208" s="469" t="s">
        <v>143</v>
      </c>
      <c r="C208" s="469" t="s">
        <v>297</v>
      </c>
      <c r="D208" s="469">
        <v>1.0</v>
      </c>
      <c r="E208" s="465">
        <v>4639.2</v>
      </c>
      <c r="F208" s="466">
        <f t="shared" si="1"/>
        <v>4639.2</v>
      </c>
      <c r="G208" s="467" t="str">
        <f>IFERROR(__xludf.DUMMYFUNCTION("IFERROR(IF(C208=""Crypto"",$G$2,(IF(ISBLANK(B208),"""",IF(B208=""Cash"",$G$2,IF(GOOGLEFINANCE(B208,""CURRENCY"")=""GBX"",""GBP"",GOOGLEFINANCE(B208,""CURRENCY"")))))),Conversion!$F$1)"),"INR")</f>
        <v>INR</v>
      </c>
      <c r="H208" s="466">
        <f>IFERROR(__xludf.DUMMYFUNCTION("IF(G208=""GBP"",IF(B208="""","""",IF(G208=$G$2,F208,F208*GOOGLEFINANCE(""currency:""&amp;G208&amp;""""&amp;$G$2&amp;"""")))/100,IF(A208="""","""",IF(G208=$G$2,F208,F208*GOOGLEFINANCE(""Currency:""&amp;G208&amp;""""&amp;$G$2&amp;""""))))"),4639.2)</f>
        <v>4639.2</v>
      </c>
    </row>
    <row r="209">
      <c r="A209" s="462">
        <v>45547.0</v>
      </c>
      <c r="B209" s="469" t="s">
        <v>144</v>
      </c>
      <c r="C209" s="469" t="s">
        <v>297</v>
      </c>
      <c r="D209" s="469">
        <v>1.0</v>
      </c>
      <c r="E209" s="465">
        <v>6814.05</v>
      </c>
      <c r="F209" s="466">
        <f t="shared" si="1"/>
        <v>6814.05</v>
      </c>
      <c r="G209" s="467" t="str">
        <f>IFERROR(__xludf.DUMMYFUNCTION("IFERROR(IF(C209=""Crypto"",$G$2,(IF(ISBLANK(B209),"""",IF(B209=""Cash"",$G$2,IF(GOOGLEFINANCE(B209,""CURRENCY"")=""GBX"",""GBP"",GOOGLEFINANCE(B209,""CURRENCY"")))))),Conversion!$F$1)"),"INR")</f>
        <v>INR</v>
      </c>
      <c r="H209" s="466">
        <f>IFERROR(__xludf.DUMMYFUNCTION("IF(G209=""GBP"",IF(B209="""","""",IF(G209=$G$2,F209,F209*GOOGLEFINANCE(""currency:""&amp;G209&amp;""""&amp;$G$2&amp;"""")))/100,IF(A209="""","""",IF(G209=$G$2,F209,F209*GOOGLEFINANCE(""Currency:""&amp;G209&amp;""""&amp;$G$2&amp;""""))))"),6814.05)</f>
        <v>6814.05</v>
      </c>
    </row>
    <row r="210">
      <c r="A210" s="462">
        <v>45547.0</v>
      </c>
      <c r="B210" s="469" t="s">
        <v>141</v>
      </c>
      <c r="C210" s="469" t="s">
        <v>297</v>
      </c>
      <c r="D210" s="469">
        <v>1.0</v>
      </c>
      <c r="E210" s="465">
        <v>16540.0</v>
      </c>
      <c r="F210" s="466">
        <f t="shared" si="1"/>
        <v>16540</v>
      </c>
      <c r="G210" s="467" t="str">
        <f>IFERROR(__xludf.DUMMYFUNCTION("IFERROR(IF(C210=""Crypto"",$G$2,(IF(ISBLANK(B210),"""",IF(B210=""Cash"",$G$2,IF(GOOGLEFINANCE(B210,""CURRENCY"")=""GBX"",""GBP"",GOOGLEFINANCE(B210,""CURRENCY"")))))),Conversion!$F$1)"),"INR")</f>
        <v>INR</v>
      </c>
      <c r="H210" s="466">
        <f>IFERROR(__xludf.DUMMYFUNCTION("IF(G210=""GBP"",IF(B210="""","""",IF(G210=$G$2,F210,F210*GOOGLEFINANCE(""currency:""&amp;G210&amp;""""&amp;$G$2&amp;"""")))/100,IF(A210="""","""",IF(G210=$G$2,F210,F210*GOOGLEFINANCE(""Currency:""&amp;G210&amp;""""&amp;$G$2&amp;""""))))"),16540.0)</f>
        <v>16540</v>
      </c>
    </row>
    <row r="211">
      <c r="A211" s="462">
        <v>45547.0</v>
      </c>
      <c r="B211" s="469" t="s">
        <v>169</v>
      </c>
      <c r="C211" s="469" t="s">
        <v>297</v>
      </c>
      <c r="D211" s="469">
        <v>1.0</v>
      </c>
      <c r="E211" s="465">
        <v>522.0</v>
      </c>
      <c r="F211" s="466">
        <f t="shared" si="1"/>
        <v>522</v>
      </c>
      <c r="G211" s="467" t="str">
        <f>IFERROR(__xludf.DUMMYFUNCTION("IFERROR(IF(C211=""Crypto"",$G$2,(IF(ISBLANK(B211),"""",IF(B211=""Cash"",$G$2,IF(GOOGLEFINANCE(B211,""CURRENCY"")=""GBX"",""GBP"",GOOGLEFINANCE(B211,""CURRENCY"")))))),Conversion!$F$1)"),"INR")</f>
        <v>INR</v>
      </c>
      <c r="H211" s="466">
        <f>IFERROR(__xludf.DUMMYFUNCTION("IF(G211=""GBP"",IF(B211="""","""",IF(G211=$G$2,F211,F211*GOOGLEFINANCE(""currency:""&amp;G211&amp;""""&amp;$G$2&amp;"""")))/100,IF(A211="""","""",IF(G211=$G$2,F211,F211*GOOGLEFINANCE(""Currency:""&amp;G211&amp;""""&amp;$G$2&amp;""""))))"),522.0)</f>
        <v>522</v>
      </c>
    </row>
    <row r="212">
      <c r="A212" s="462">
        <v>45547.0</v>
      </c>
      <c r="B212" s="469" t="s">
        <v>170</v>
      </c>
      <c r="C212" s="469" t="s">
        <v>297</v>
      </c>
      <c r="D212" s="469">
        <v>1.0</v>
      </c>
      <c r="E212" s="465">
        <v>863.85</v>
      </c>
      <c r="F212" s="466">
        <f t="shared" si="1"/>
        <v>863.85</v>
      </c>
      <c r="G212" s="467" t="str">
        <f>IFERROR(__xludf.DUMMYFUNCTION("IFERROR(IF(C212=""Crypto"",$G$2,(IF(ISBLANK(B212),"""",IF(B212=""Cash"",$G$2,IF(GOOGLEFINANCE(B212,""CURRENCY"")=""GBX"",""GBP"",GOOGLEFINANCE(B212,""CURRENCY"")))))),Conversion!$F$1)"),"INR")</f>
        <v>INR</v>
      </c>
      <c r="H212" s="466">
        <f>IFERROR(__xludf.DUMMYFUNCTION("IF(G212=""GBP"",IF(B212="""","""",IF(G212=$G$2,F212,F212*GOOGLEFINANCE(""currency:""&amp;G212&amp;""""&amp;$G$2&amp;"""")))/100,IF(A212="""","""",IF(G212=$G$2,F212,F212*GOOGLEFINANCE(""Currency:""&amp;G212&amp;""""&amp;$G$2&amp;""""))))"),863.85)</f>
        <v>863.85</v>
      </c>
    </row>
    <row r="213">
      <c r="A213" s="462">
        <v>45547.0</v>
      </c>
      <c r="B213" s="469" t="s">
        <v>260</v>
      </c>
      <c r="C213" s="469" t="s">
        <v>296</v>
      </c>
      <c r="D213" s="469">
        <v>550.0</v>
      </c>
      <c r="E213" s="465">
        <v>40.9545</v>
      </c>
      <c r="F213" s="466">
        <f t="shared" si="1"/>
        <v>22524.975</v>
      </c>
      <c r="G213" s="467" t="str">
        <f>IFERROR(__xludf.DUMMYFUNCTION("IFERROR(IF(C213=""Crypto"",$G$2,(IF(ISBLANK(B213),"""",IF(B213=""Cash"",$G$2,IF(GOOGLEFINANCE(B213,""CURRENCY"")=""GBX"",""GBP"",GOOGLEFINANCE(B213,""CURRENCY"")))))),Conversion!$F$1)"),"INR")</f>
        <v>INR</v>
      </c>
      <c r="H213" s="466">
        <f>IFERROR(__xludf.DUMMYFUNCTION("IF(G213=""GBP"",IF(B213="""","""",IF(G213=$G$2,F213,F213*GOOGLEFINANCE(""currency:""&amp;G213&amp;""""&amp;$G$2&amp;"""")))/100,IF(A213="""","""",IF(G213=$G$2,F213,F213*GOOGLEFINANCE(""Currency:""&amp;G213&amp;""""&amp;$G$2&amp;""""))))"),22524.975000000002)</f>
        <v>22524.975</v>
      </c>
    </row>
    <row r="214">
      <c r="A214" s="462">
        <v>45547.0</v>
      </c>
      <c r="B214" s="469" t="s">
        <v>150</v>
      </c>
      <c r="C214" s="469" t="s">
        <v>296</v>
      </c>
      <c r="D214" s="469">
        <v>25.0</v>
      </c>
      <c r="E214" s="465">
        <v>546.0</v>
      </c>
      <c r="F214" s="466">
        <f t="shared" si="1"/>
        <v>13650</v>
      </c>
      <c r="G214" s="467" t="str">
        <f>IFERROR(__xludf.DUMMYFUNCTION("IFERROR(IF(C214=""Crypto"",$G$2,(IF(ISBLANK(B214),"""",IF(B214=""Cash"",$G$2,IF(GOOGLEFINANCE(B214,""CURRENCY"")=""GBX"",""GBP"",GOOGLEFINANCE(B214,""CURRENCY"")))))),Conversion!$F$1)"),"INR")</f>
        <v>INR</v>
      </c>
      <c r="H214" s="466">
        <f>IFERROR(__xludf.DUMMYFUNCTION("IF(G214=""GBP"",IF(B214="""","""",IF(G214=$G$2,F214,F214*GOOGLEFINANCE(""currency:""&amp;G214&amp;""""&amp;$G$2&amp;"""")))/100,IF(A214="""","""",IF(G214=$G$2,F214,F214*GOOGLEFINANCE(""Currency:""&amp;G214&amp;""""&amp;$G$2&amp;""""))))"),13650.0)</f>
        <v>13650</v>
      </c>
    </row>
    <row r="215">
      <c r="A215" s="462">
        <v>45547.0</v>
      </c>
      <c r="B215" s="469" t="s">
        <v>153</v>
      </c>
      <c r="C215" s="469" t="s">
        <v>297</v>
      </c>
      <c r="D215" s="469">
        <v>1.0</v>
      </c>
      <c r="E215" s="465">
        <v>2490.0</v>
      </c>
      <c r="F215" s="466">
        <f t="shared" si="1"/>
        <v>2490</v>
      </c>
      <c r="G215" s="467" t="str">
        <f>IFERROR(__xludf.DUMMYFUNCTION("IFERROR(IF(C215=""Crypto"",$G$2,(IF(ISBLANK(B215),"""",IF(B215=""Cash"",$G$2,IF(GOOGLEFINANCE(B215,""CURRENCY"")=""GBX"",""GBP"",GOOGLEFINANCE(B215,""CURRENCY"")))))),Conversion!$F$1)"),"INR")</f>
        <v>INR</v>
      </c>
      <c r="H215" s="466">
        <f>IFERROR(__xludf.DUMMYFUNCTION("IF(G215=""GBP"",IF(B215="""","""",IF(G215=$G$2,F215,F215*GOOGLEFINANCE(""currency:""&amp;G215&amp;""""&amp;$G$2&amp;"""")))/100,IF(A215="""","""",IF(G215=$G$2,F215,F215*GOOGLEFINANCE(""Currency:""&amp;G215&amp;""""&amp;$G$2&amp;""""))))"),2490.0)</f>
        <v>2490</v>
      </c>
    </row>
    <row r="216">
      <c r="A216" s="462">
        <v>45547.0</v>
      </c>
      <c r="B216" s="469" t="s">
        <v>108</v>
      </c>
      <c r="C216" s="469" t="s">
        <v>297</v>
      </c>
      <c r="D216" s="469">
        <v>1.0</v>
      </c>
      <c r="E216" s="465">
        <v>391.1</v>
      </c>
      <c r="F216" s="466">
        <f t="shared" si="1"/>
        <v>391.1</v>
      </c>
      <c r="G216" s="467" t="str">
        <f>IFERROR(__xludf.DUMMYFUNCTION("IFERROR(IF(C216=""Crypto"",$G$2,(IF(ISBLANK(B216),"""",IF(B216=""Cash"",$G$2,IF(GOOGLEFINANCE(B216,""CURRENCY"")=""GBX"",""GBP"",GOOGLEFINANCE(B216,""CURRENCY"")))))),Conversion!$F$1)"),"INR")</f>
        <v>INR</v>
      </c>
      <c r="H216" s="466">
        <f>IFERROR(__xludf.DUMMYFUNCTION("IF(G216=""GBP"",IF(B216="""","""",IF(G216=$G$2,F216,F216*GOOGLEFINANCE(""currency:""&amp;G216&amp;""""&amp;$G$2&amp;"""")))/100,IF(A216="""","""",IF(G216=$G$2,F216,F216*GOOGLEFINANCE(""Currency:""&amp;G216&amp;""""&amp;$G$2&amp;""""))))"),391.1)</f>
        <v>391.1</v>
      </c>
    </row>
    <row r="217">
      <c r="A217" s="462">
        <v>45547.0</v>
      </c>
      <c r="B217" s="469" t="s">
        <v>112</v>
      </c>
      <c r="C217" s="469" t="s">
        <v>297</v>
      </c>
      <c r="D217" s="469">
        <v>1.0</v>
      </c>
      <c r="E217" s="465">
        <v>4386.8</v>
      </c>
      <c r="F217" s="466">
        <f t="shared" si="1"/>
        <v>4386.8</v>
      </c>
      <c r="G217" s="467" t="str">
        <f>IFERROR(__xludf.DUMMYFUNCTION("IFERROR(IF(C217=""Crypto"",$G$2,(IF(ISBLANK(B217),"""",IF(B217=""Cash"",$G$2,IF(GOOGLEFINANCE(B217,""CURRENCY"")=""GBX"",""GBP"",GOOGLEFINANCE(B217,""CURRENCY"")))))),Conversion!$F$1)"),"INR")</f>
        <v>INR</v>
      </c>
      <c r="H217" s="466">
        <f>IFERROR(__xludf.DUMMYFUNCTION("IF(G217=""GBP"",IF(B217="""","""",IF(G217=$G$2,F217,F217*GOOGLEFINANCE(""currency:""&amp;G217&amp;""""&amp;$G$2&amp;"""")))/100,IF(A217="""","""",IF(G217=$G$2,F217,F217*GOOGLEFINANCE(""Currency:""&amp;G217&amp;""""&amp;$G$2&amp;""""))))"),4386.8)</f>
        <v>4386.8</v>
      </c>
    </row>
    <row r="218">
      <c r="A218" s="462">
        <v>45547.0</v>
      </c>
      <c r="B218" s="469" t="s">
        <v>118</v>
      </c>
      <c r="C218" s="469" t="s">
        <v>297</v>
      </c>
      <c r="D218" s="469">
        <v>1.0</v>
      </c>
      <c r="E218" s="465">
        <v>1230.45</v>
      </c>
      <c r="F218" s="466">
        <f t="shared" si="1"/>
        <v>1230.45</v>
      </c>
      <c r="G218" s="467" t="str">
        <f>IFERROR(__xludf.DUMMYFUNCTION("IFERROR(IF(C218=""Crypto"",$G$2,(IF(ISBLANK(B218),"""",IF(B218=""Cash"",$G$2,IF(GOOGLEFINANCE(B218,""CURRENCY"")=""GBX"",""GBP"",GOOGLEFINANCE(B218,""CURRENCY"")))))),Conversion!$F$1)"),"INR")</f>
        <v>INR</v>
      </c>
      <c r="H218" s="466">
        <f>IFERROR(__xludf.DUMMYFUNCTION("IF(G218=""GBP"",IF(B218="""","""",IF(G218=$G$2,F218,F218*GOOGLEFINANCE(""currency:""&amp;G218&amp;""""&amp;$G$2&amp;"""")))/100,IF(A218="""","""",IF(G218=$G$2,F218,F218*GOOGLEFINANCE(""Currency:""&amp;G218&amp;""""&amp;$G$2&amp;""""))))"),1230.45)</f>
        <v>1230.45</v>
      </c>
    </row>
    <row r="219">
      <c r="A219" s="462">
        <v>45547.0</v>
      </c>
      <c r="B219" s="469" t="s">
        <v>156</v>
      </c>
      <c r="C219" s="469" t="s">
        <v>297</v>
      </c>
      <c r="D219" s="469">
        <v>1.0</v>
      </c>
      <c r="E219" s="465">
        <v>7780.15</v>
      </c>
      <c r="F219" s="466">
        <f t="shared" si="1"/>
        <v>7780.15</v>
      </c>
      <c r="G219" s="467" t="str">
        <f>IFERROR(__xludf.DUMMYFUNCTION("IFERROR(IF(C219=""Crypto"",$G$2,(IF(ISBLANK(B219),"""",IF(B219=""Cash"",$G$2,IF(GOOGLEFINANCE(B219,""CURRENCY"")=""GBX"",""GBP"",GOOGLEFINANCE(B219,""CURRENCY"")))))),Conversion!$F$1)"),"INR")</f>
        <v>INR</v>
      </c>
      <c r="H219" s="466">
        <f>IFERROR(__xludf.DUMMYFUNCTION("IF(G219=""GBP"",IF(B219="""","""",IF(G219=$G$2,F219,F219*GOOGLEFINANCE(""currency:""&amp;G219&amp;""""&amp;$G$2&amp;"""")))/100,IF(A219="""","""",IF(G219=$G$2,F219,F219*GOOGLEFINANCE(""Currency:""&amp;G219&amp;""""&amp;$G$2&amp;""""))))"),7780.15)</f>
        <v>7780.15</v>
      </c>
    </row>
    <row r="220">
      <c r="A220" s="462">
        <v>45547.0</v>
      </c>
      <c r="B220" s="469" t="s">
        <v>158</v>
      </c>
      <c r="C220" s="469" t="s">
        <v>297</v>
      </c>
      <c r="D220" s="469">
        <v>1.0</v>
      </c>
      <c r="E220" s="465">
        <v>437.7</v>
      </c>
      <c r="F220" s="466">
        <f t="shared" si="1"/>
        <v>437.7</v>
      </c>
      <c r="G220" s="467" t="str">
        <f>IFERROR(__xludf.DUMMYFUNCTION("IFERROR(IF(C220=""Crypto"",$G$2,(IF(ISBLANK(B220),"""",IF(B220=""Cash"",$G$2,IF(GOOGLEFINANCE(B220,""CURRENCY"")=""GBX"",""GBP"",GOOGLEFINANCE(B220,""CURRENCY"")))))),Conversion!$F$1)"),"INR")</f>
        <v>INR</v>
      </c>
      <c r="H220" s="466">
        <f>IFERROR(__xludf.DUMMYFUNCTION("IF(G220=""GBP"",IF(B220="""","""",IF(G220=$G$2,F220,F220*GOOGLEFINANCE(""currency:""&amp;G220&amp;""""&amp;$G$2&amp;"""")))/100,IF(A220="""","""",IF(G220=$G$2,F220,F220*GOOGLEFINANCE(""Currency:""&amp;G220&amp;""""&amp;$G$2&amp;""""))))"),437.7)</f>
        <v>437.7</v>
      </c>
    </row>
    <row r="221">
      <c r="A221" s="462">
        <v>45547.0</v>
      </c>
      <c r="B221" s="469" t="s">
        <v>130</v>
      </c>
      <c r="C221" s="469" t="s">
        <v>297</v>
      </c>
      <c r="D221" s="469">
        <v>1.0</v>
      </c>
      <c r="E221" s="465">
        <v>6304.25</v>
      </c>
      <c r="F221" s="466">
        <f t="shared" si="1"/>
        <v>6304.25</v>
      </c>
      <c r="G221" s="467" t="str">
        <f>IFERROR(__xludf.DUMMYFUNCTION("IFERROR(IF(C221=""Crypto"",$G$2,(IF(ISBLANK(B221),"""",IF(B221=""Cash"",$G$2,IF(GOOGLEFINANCE(B221,""CURRENCY"")=""GBX"",""GBP"",GOOGLEFINANCE(B221,""CURRENCY"")))))),Conversion!$F$1)"),"INR")</f>
        <v>INR</v>
      </c>
      <c r="H221" s="466">
        <f>IFERROR(__xludf.DUMMYFUNCTION("IF(G221=""GBP"",IF(B221="""","""",IF(G221=$G$2,F221,F221*GOOGLEFINANCE(""currency:""&amp;G221&amp;""""&amp;$G$2&amp;"""")))/100,IF(A221="""","""",IF(G221=$G$2,F221,F221*GOOGLEFINANCE(""Currency:""&amp;G221&amp;""""&amp;$G$2&amp;""""))))"),6304.25)</f>
        <v>6304.25</v>
      </c>
    </row>
    <row r="222">
      <c r="A222" s="462">
        <v>45547.0</v>
      </c>
      <c r="B222" s="469" t="s">
        <v>160</v>
      </c>
      <c r="C222" s="469" t="s">
        <v>297</v>
      </c>
      <c r="D222" s="469">
        <v>1.0</v>
      </c>
      <c r="E222" s="465">
        <v>1611.45</v>
      </c>
      <c r="F222" s="466">
        <f t="shared" si="1"/>
        <v>1611.45</v>
      </c>
      <c r="G222" s="467" t="str">
        <f>IFERROR(__xludf.DUMMYFUNCTION("IFERROR(IF(C222=""Crypto"",$G$2,(IF(ISBLANK(B222),"""",IF(B222=""Cash"",$G$2,IF(GOOGLEFINANCE(B222,""CURRENCY"")=""GBX"",""GBP"",GOOGLEFINANCE(B222,""CURRENCY"")))))),Conversion!$F$1)"),"INR")</f>
        <v>INR</v>
      </c>
      <c r="H222" s="466">
        <f>IFERROR(__xludf.DUMMYFUNCTION("IF(G222=""GBP"",IF(B222="""","""",IF(G222=$G$2,F222,F222*GOOGLEFINANCE(""currency:""&amp;G222&amp;""""&amp;$G$2&amp;"""")))/100,IF(A222="""","""",IF(G222=$G$2,F222,F222*GOOGLEFINANCE(""Currency:""&amp;G222&amp;""""&amp;$G$2&amp;""""))))"),1611.45)</f>
        <v>1611.45</v>
      </c>
    </row>
    <row r="223">
      <c r="A223" s="462">
        <v>45547.0</v>
      </c>
      <c r="B223" s="469" t="s">
        <v>163</v>
      </c>
      <c r="C223" s="469" t="s">
        <v>297</v>
      </c>
      <c r="D223" s="469">
        <v>1.0</v>
      </c>
      <c r="E223" s="465">
        <v>7173.6</v>
      </c>
      <c r="F223" s="466">
        <f t="shared" si="1"/>
        <v>7173.6</v>
      </c>
      <c r="G223" s="467" t="str">
        <f>IFERROR(__xludf.DUMMYFUNCTION("IFERROR(IF(C223=""Crypto"",$G$2,(IF(ISBLANK(B223),"""",IF(B223=""Cash"",$G$2,IF(GOOGLEFINANCE(B223,""CURRENCY"")=""GBX"",""GBP"",GOOGLEFINANCE(B223,""CURRENCY"")))))),Conversion!$F$1)"),"INR")</f>
        <v>INR</v>
      </c>
      <c r="H223" s="466">
        <f>IFERROR(__xludf.DUMMYFUNCTION("IF(G223=""GBP"",IF(B223="""","""",IF(G223=$G$2,F223,F223*GOOGLEFINANCE(""currency:""&amp;G223&amp;""""&amp;$G$2&amp;"""")))/100,IF(A223="""","""",IF(G223=$G$2,F223,F223*GOOGLEFINANCE(""Currency:""&amp;G223&amp;""""&amp;$G$2&amp;""""))))"),7173.6)</f>
        <v>7173.6</v>
      </c>
    </row>
    <row r="224">
      <c r="A224" s="462">
        <v>45547.0</v>
      </c>
      <c r="B224" s="469" t="s">
        <v>168</v>
      </c>
      <c r="C224" s="469" t="s">
        <v>297</v>
      </c>
      <c r="D224" s="469">
        <v>1.0</v>
      </c>
      <c r="E224" s="465">
        <v>1928.5</v>
      </c>
      <c r="F224" s="466">
        <f t="shared" si="1"/>
        <v>1928.5</v>
      </c>
      <c r="G224" s="467" t="str">
        <f>IFERROR(__xludf.DUMMYFUNCTION("IFERROR(IF(C224=""Crypto"",$G$2,(IF(ISBLANK(B224),"""",IF(B224=""Cash"",$G$2,IF(GOOGLEFINANCE(B224,""CURRENCY"")=""GBX"",""GBP"",GOOGLEFINANCE(B224,""CURRENCY"")))))),Conversion!$F$1)"),"INR")</f>
        <v>INR</v>
      </c>
      <c r="H224" s="466">
        <f>IFERROR(__xludf.DUMMYFUNCTION("IF(G224=""GBP"",IF(B224="""","""",IF(G224=$G$2,F224,F224*GOOGLEFINANCE(""currency:""&amp;G224&amp;""""&amp;$G$2&amp;"""")))/100,IF(A224="""","""",IF(G224=$G$2,F224,F224*GOOGLEFINANCE(""Currency:""&amp;G224&amp;""""&amp;$G$2&amp;""""))))"),1928.5)</f>
        <v>1928.5</v>
      </c>
    </row>
    <row r="225">
      <c r="A225" s="462">
        <v>45547.0</v>
      </c>
      <c r="B225" s="469" t="s">
        <v>264</v>
      </c>
      <c r="C225" s="469" t="s">
        <v>296</v>
      </c>
      <c r="D225" s="469">
        <v>250.0</v>
      </c>
      <c r="E225" s="465">
        <v>47.9</v>
      </c>
      <c r="F225" s="466">
        <f t="shared" si="1"/>
        <v>11975</v>
      </c>
      <c r="G225" s="467" t="str">
        <f>IFERROR(__xludf.DUMMYFUNCTION("IFERROR(IF(C225=""Crypto"",$G$2,(IF(ISBLANK(B225),"""",IF(B225=""Cash"",$G$2,IF(GOOGLEFINANCE(B225,""CURRENCY"")=""GBX"",""GBP"",GOOGLEFINANCE(B225,""CURRENCY"")))))),Conversion!$F$1)"),"INR")</f>
        <v>INR</v>
      </c>
      <c r="H225" s="466">
        <f>IFERROR(__xludf.DUMMYFUNCTION("IF(G225=""GBP"",IF(B225="""","""",IF(G225=$G$2,F225,F225*GOOGLEFINANCE(""currency:""&amp;G225&amp;""""&amp;$G$2&amp;"""")))/100,IF(A225="""","""",IF(G225=$G$2,F225,F225*GOOGLEFINANCE(""Currency:""&amp;G225&amp;""""&amp;$G$2&amp;""""))))"),11975.0)</f>
        <v>11975</v>
      </c>
    </row>
    <row r="226">
      <c r="A226" s="462">
        <v>45547.0</v>
      </c>
      <c r="B226" s="469" t="s">
        <v>124</v>
      </c>
      <c r="C226" s="469" t="s">
        <v>296</v>
      </c>
      <c r="D226" s="469">
        <v>42.0</v>
      </c>
      <c r="E226" s="465">
        <v>164.35</v>
      </c>
      <c r="F226" s="466">
        <f t="shared" si="1"/>
        <v>6902.7</v>
      </c>
      <c r="G226" s="467" t="str">
        <f>IFERROR(__xludf.DUMMYFUNCTION("IFERROR(IF(C226=""Crypto"",$G$2,(IF(ISBLANK(B226),"""",IF(B226=""Cash"",$G$2,IF(GOOGLEFINANCE(B226,""CURRENCY"")=""GBX"",""GBP"",GOOGLEFINANCE(B226,""CURRENCY"")))))),Conversion!$F$1)"),"INR")</f>
        <v>INR</v>
      </c>
      <c r="H226" s="466">
        <f>IFERROR(__xludf.DUMMYFUNCTION("IF(G226=""GBP"",IF(B226="""","""",IF(G226=$G$2,F226,F226*GOOGLEFINANCE(""currency:""&amp;G226&amp;""""&amp;$G$2&amp;"""")))/100,IF(A226="""","""",IF(G226=$G$2,F226,F226*GOOGLEFINANCE(""Currency:""&amp;G226&amp;""""&amp;$G$2&amp;""""))))"),6902.7)</f>
        <v>6902.7</v>
      </c>
    </row>
    <row r="227">
      <c r="A227" s="462">
        <v>45547.0</v>
      </c>
      <c r="B227" s="469" t="s">
        <v>88</v>
      </c>
      <c r="C227" s="469" t="s">
        <v>297</v>
      </c>
      <c r="D227" s="469">
        <v>1.0</v>
      </c>
      <c r="E227" s="465">
        <v>1419.4</v>
      </c>
      <c r="F227" s="466">
        <f t="shared" si="1"/>
        <v>1419.4</v>
      </c>
      <c r="G227" s="467" t="str">
        <f>IFERROR(__xludf.DUMMYFUNCTION("IFERROR(IF(C227=""Crypto"",$G$2,(IF(ISBLANK(B227),"""",IF(B227=""Cash"",$G$2,IF(GOOGLEFINANCE(B227,""CURRENCY"")=""GBX"",""GBP"",GOOGLEFINANCE(B227,""CURRENCY"")))))),Conversion!$F$1)"),"INR")</f>
        <v>INR</v>
      </c>
      <c r="H227" s="466">
        <f>IFERROR(__xludf.DUMMYFUNCTION("IF(G227=""GBP"",IF(B227="""","""",IF(G227=$G$2,F227,F227*GOOGLEFINANCE(""currency:""&amp;G227&amp;""""&amp;$G$2&amp;"""")))/100,IF(A227="""","""",IF(G227=$G$2,F227,F227*GOOGLEFINANCE(""Currency:""&amp;G227&amp;""""&amp;$G$2&amp;""""))))"),1419.4)</f>
        <v>1419.4</v>
      </c>
    </row>
    <row r="228">
      <c r="A228" s="462">
        <v>45547.0</v>
      </c>
      <c r="B228" s="469" t="s">
        <v>92</v>
      </c>
      <c r="C228" s="469" t="s">
        <v>297</v>
      </c>
      <c r="D228" s="469">
        <v>1.0</v>
      </c>
      <c r="E228" s="465">
        <v>7339.55</v>
      </c>
      <c r="F228" s="466">
        <f t="shared" si="1"/>
        <v>7339.55</v>
      </c>
      <c r="G228" s="467" t="str">
        <f>IFERROR(__xludf.DUMMYFUNCTION("IFERROR(IF(C228=""Crypto"",$G$2,(IF(ISBLANK(B228),"""",IF(B228=""Cash"",$G$2,IF(GOOGLEFINANCE(B228,""CURRENCY"")=""GBX"",""GBP"",GOOGLEFINANCE(B228,""CURRENCY"")))))),Conversion!$F$1)"),"INR")</f>
        <v>INR</v>
      </c>
      <c r="H228" s="466">
        <f>IFERROR(__xludf.DUMMYFUNCTION("IF(G228=""GBP"",IF(B228="""","""",IF(G228=$G$2,F228,F228*GOOGLEFINANCE(""currency:""&amp;G228&amp;""""&amp;$G$2&amp;"""")))/100,IF(A228="""","""",IF(G228=$G$2,F228,F228*GOOGLEFINANCE(""Currency:""&amp;G228&amp;""""&amp;$G$2&amp;""""))))"),7339.55)</f>
        <v>7339.55</v>
      </c>
    </row>
    <row r="229">
      <c r="A229" s="462">
        <v>45547.0</v>
      </c>
      <c r="B229" s="469" t="s">
        <v>100</v>
      </c>
      <c r="C229" s="469" t="s">
        <v>297</v>
      </c>
      <c r="D229" s="469">
        <v>1.0</v>
      </c>
      <c r="E229" s="465">
        <v>3645.1</v>
      </c>
      <c r="F229" s="466">
        <f t="shared" si="1"/>
        <v>3645.1</v>
      </c>
      <c r="G229" s="467" t="str">
        <f>IFERROR(__xludf.DUMMYFUNCTION("IFERROR(IF(C229=""Crypto"",$G$2,(IF(ISBLANK(B229),"""",IF(B229=""Cash"",$G$2,IF(GOOGLEFINANCE(B229,""CURRENCY"")=""GBX"",""GBP"",GOOGLEFINANCE(B229,""CURRENCY"")))))),Conversion!$F$1)"),"INR")</f>
        <v>INR</v>
      </c>
      <c r="H229" s="466">
        <f>IFERROR(__xludf.DUMMYFUNCTION("IF(G229=""GBP"",IF(B229="""","""",IF(G229=$G$2,F229,F229*GOOGLEFINANCE(""currency:""&amp;G229&amp;""""&amp;$G$2&amp;"""")))/100,IF(A229="""","""",IF(G229=$G$2,F229,F229*GOOGLEFINANCE(""Currency:""&amp;G229&amp;""""&amp;$G$2&amp;""""))))"),3645.1)</f>
        <v>3645.1</v>
      </c>
    </row>
    <row r="230">
      <c r="A230" s="462">
        <v>45547.0</v>
      </c>
      <c r="B230" s="469" t="s">
        <v>125</v>
      </c>
      <c r="C230" s="469" t="s">
        <v>297</v>
      </c>
      <c r="D230" s="469">
        <v>1.0</v>
      </c>
      <c r="E230" s="465">
        <v>510.75</v>
      </c>
      <c r="F230" s="466">
        <f t="shared" si="1"/>
        <v>510.75</v>
      </c>
      <c r="G230" s="467" t="str">
        <f>IFERROR(__xludf.DUMMYFUNCTION("IFERROR(IF(C230=""Crypto"",$G$2,(IF(ISBLANK(B230),"""",IF(B230=""Cash"",$G$2,IF(GOOGLEFINANCE(B230,""CURRENCY"")=""GBX"",""GBP"",GOOGLEFINANCE(B230,""CURRENCY"")))))),Conversion!$F$1)"),"INR")</f>
        <v>INR</v>
      </c>
      <c r="H230" s="466">
        <f>IFERROR(__xludf.DUMMYFUNCTION("IF(G230=""GBP"",IF(B230="""","""",IF(G230=$G$2,F230,F230*GOOGLEFINANCE(""currency:""&amp;G230&amp;""""&amp;$G$2&amp;"""")))/100,IF(A230="""","""",IF(G230=$G$2,F230,F230*GOOGLEFINANCE(""Currency:""&amp;G230&amp;""""&amp;$G$2&amp;""""))))"),510.75)</f>
        <v>510.75</v>
      </c>
    </row>
    <row r="231">
      <c r="A231" s="462">
        <v>45547.0</v>
      </c>
      <c r="B231" s="469" t="s">
        <v>147</v>
      </c>
      <c r="C231" s="469" t="s">
        <v>297</v>
      </c>
      <c r="D231" s="469">
        <v>1.0</v>
      </c>
      <c r="E231" s="465">
        <v>835.5</v>
      </c>
      <c r="F231" s="466">
        <f t="shared" si="1"/>
        <v>835.5</v>
      </c>
      <c r="G231" s="467" t="str">
        <f>IFERROR(__xludf.DUMMYFUNCTION("IFERROR(IF(C231=""Crypto"",$G$2,(IF(ISBLANK(B231),"""",IF(B231=""Cash"",$G$2,IF(GOOGLEFINANCE(B231,""CURRENCY"")=""GBX"",""GBP"",GOOGLEFINANCE(B231,""CURRENCY"")))))),Conversion!$F$1)"),"INR")</f>
        <v>INR</v>
      </c>
      <c r="H231" s="466">
        <f>IFERROR(__xludf.DUMMYFUNCTION("IF(G231=""GBP"",IF(B231="""","""",IF(G231=$G$2,F231,F231*GOOGLEFINANCE(""currency:""&amp;G231&amp;""""&amp;$G$2&amp;"""")))/100,IF(A231="""","""",IF(G231=$G$2,F231,F231*GOOGLEFINANCE(""Currency:""&amp;G231&amp;""""&amp;$G$2&amp;""""))))"),835.5)</f>
        <v>835.5</v>
      </c>
    </row>
    <row r="232">
      <c r="A232" s="462">
        <v>45547.0</v>
      </c>
      <c r="B232" s="469" t="s">
        <v>159</v>
      </c>
      <c r="C232" s="469" t="s">
        <v>297</v>
      </c>
      <c r="D232" s="469">
        <v>1.0</v>
      </c>
      <c r="E232" s="465">
        <v>4449.0</v>
      </c>
      <c r="F232" s="466">
        <f t="shared" si="1"/>
        <v>4449</v>
      </c>
      <c r="G232" s="467" t="str">
        <f>IFERROR(__xludf.DUMMYFUNCTION("IFERROR(IF(C232=""Crypto"",$G$2,(IF(ISBLANK(B232),"""",IF(B232=""Cash"",$G$2,IF(GOOGLEFINANCE(B232,""CURRENCY"")=""GBX"",""GBP"",GOOGLEFINANCE(B232,""CURRENCY"")))))),Conversion!$F$1)"),"INR")</f>
        <v>INR</v>
      </c>
      <c r="H232" s="466">
        <f>IFERROR(__xludf.DUMMYFUNCTION("IF(G232=""GBP"",IF(B232="""","""",IF(G232=$G$2,F232,F232*GOOGLEFINANCE(""currency:""&amp;G232&amp;""""&amp;$G$2&amp;"""")))/100,IF(A232="""","""",IF(G232=$G$2,F232,F232*GOOGLEFINANCE(""Currency:""&amp;G232&amp;""""&amp;$G$2&amp;""""))))"),4449.0)</f>
        <v>4449</v>
      </c>
    </row>
    <row r="233">
      <c r="A233" s="462">
        <v>45547.0</v>
      </c>
      <c r="B233" s="469" t="s">
        <v>126</v>
      </c>
      <c r="C233" s="469" t="s">
        <v>296</v>
      </c>
      <c r="D233" s="469">
        <v>60.0</v>
      </c>
      <c r="E233" s="465">
        <v>343.0</v>
      </c>
      <c r="F233" s="466">
        <f t="shared" si="1"/>
        <v>20580</v>
      </c>
      <c r="G233" s="467" t="str">
        <f>IFERROR(__xludf.DUMMYFUNCTION("IFERROR(IF(C233=""Crypto"",$G$2,(IF(ISBLANK(B233),"""",IF(B233=""Cash"",$G$2,IF(GOOGLEFINANCE(B233,""CURRENCY"")=""GBX"",""GBP"",GOOGLEFINANCE(B233,""CURRENCY"")))))),Conversion!$F$1)"),"INR")</f>
        <v>INR</v>
      </c>
      <c r="H233" s="466">
        <f>IFERROR(__xludf.DUMMYFUNCTION("IF(G233=""GBP"",IF(B233="""","""",IF(G233=$G$2,F233,F233*GOOGLEFINANCE(""currency:""&amp;G233&amp;""""&amp;$G$2&amp;"""")))/100,IF(A233="""","""",IF(G233=$G$2,F233,F233*GOOGLEFINANCE(""Currency:""&amp;G233&amp;""""&amp;$G$2&amp;""""))))"),20580.0)</f>
        <v>20580</v>
      </c>
    </row>
    <row r="234">
      <c r="A234" s="462">
        <v>45547.0</v>
      </c>
      <c r="B234" s="469" t="s">
        <v>167</v>
      </c>
      <c r="C234" s="469" t="s">
        <v>298</v>
      </c>
      <c r="D234" s="469" t="s">
        <v>301</v>
      </c>
      <c r="E234" s="465" t="s">
        <v>300</v>
      </c>
      <c r="F234" s="466" t="str">
        <f t="shared" si="1"/>
        <v>-</v>
      </c>
      <c r="G234" s="467" t="str">
        <f>IFERROR(__xludf.DUMMYFUNCTION("IFERROR(IF(C234=""Crypto"",$G$2,(IF(ISBLANK(B234),"""",IF(B234=""Cash"",$G$2,IF(GOOGLEFINANCE(B234,""CURRENCY"")=""GBX"",""GBP"",GOOGLEFINANCE(B234,""CURRENCY"")))))),Conversion!$F$1)"),"INR")</f>
        <v>INR</v>
      </c>
      <c r="H234" s="466" t="str">
        <f>IFERROR(__xludf.DUMMYFUNCTION("IF(G234=""GBP"",IF(B234="""","""",IF(G234=$G$2,F234,F234*GOOGLEFINANCE(""currency:""&amp;G234&amp;""""&amp;$G$2&amp;"""")))/100,IF(A234="""","""",IF(G234=$G$2,F234,F234*GOOGLEFINANCE(""Currency:""&amp;G234&amp;""""&amp;$G$2&amp;""""))))"),"-")</f>
        <v>-</v>
      </c>
    </row>
    <row r="235">
      <c r="A235" s="462">
        <v>45548.0</v>
      </c>
      <c r="B235" s="469" t="s">
        <v>126</v>
      </c>
      <c r="C235" s="469" t="s">
        <v>296</v>
      </c>
      <c r="D235" s="469">
        <v>60.0</v>
      </c>
      <c r="E235" s="465">
        <v>347.84</v>
      </c>
      <c r="F235" s="466">
        <f t="shared" si="1"/>
        <v>20870.4</v>
      </c>
      <c r="G235" s="467" t="str">
        <f>IFERROR(__xludf.DUMMYFUNCTION("IFERROR(IF(C235=""Crypto"",$G$2,(IF(ISBLANK(B235),"""",IF(B235=""Cash"",$G$2,IF(GOOGLEFINANCE(B235,""CURRENCY"")=""GBX"",""GBP"",GOOGLEFINANCE(B235,""CURRENCY"")))))),Conversion!$F$1)"),"INR")</f>
        <v>INR</v>
      </c>
      <c r="H235" s="466">
        <f>IFERROR(__xludf.DUMMYFUNCTION("IF(G235=""GBP"",IF(B235="""","""",IF(G235=$G$2,F235,F235*GOOGLEFINANCE(""currency:""&amp;G235&amp;""""&amp;$G$2&amp;"""")))/100,IF(A235="""","""",IF(G235=$G$2,F235,F235*GOOGLEFINANCE(""Currency:""&amp;G235&amp;""""&amp;$G$2&amp;""""))))"),20870.399999999998)</f>
        <v>20870.4</v>
      </c>
    </row>
    <row r="236">
      <c r="A236" s="462">
        <v>45548.0</v>
      </c>
      <c r="B236" s="469" t="s">
        <v>149</v>
      </c>
      <c r="C236" s="469" t="s">
        <v>296</v>
      </c>
      <c r="D236" s="469">
        <v>234.0</v>
      </c>
      <c r="E236" s="465">
        <v>80.47</v>
      </c>
      <c r="F236" s="466">
        <f t="shared" si="1"/>
        <v>18829.98</v>
      </c>
      <c r="G236" s="467" t="str">
        <f>IFERROR(__xludf.DUMMYFUNCTION("IFERROR(IF(C236=""Crypto"",$G$2,(IF(ISBLANK(B236),"""",IF(B236=""Cash"",$G$2,IF(GOOGLEFINANCE(B236,""CURRENCY"")=""GBX"",""GBP"",GOOGLEFINANCE(B236,""CURRENCY"")))))),Conversion!$F$1)"),"INR")</f>
        <v>INR</v>
      </c>
      <c r="H236" s="466">
        <f>IFERROR(__xludf.DUMMYFUNCTION("IF(G236=""GBP"",IF(B236="""","""",IF(G236=$G$2,F236,F236*GOOGLEFINANCE(""currency:""&amp;G236&amp;""""&amp;$G$2&amp;"""")))/100,IF(A236="""","""",IF(G236=$G$2,F236,F236*GOOGLEFINANCE(""Currency:""&amp;G236&amp;""""&amp;$G$2&amp;""""))))"),18829.98)</f>
        <v>18829.98</v>
      </c>
    </row>
    <row r="237">
      <c r="A237" s="462">
        <v>45548.0</v>
      </c>
      <c r="B237" s="469" t="s">
        <v>172</v>
      </c>
      <c r="C237" s="469" t="s">
        <v>296</v>
      </c>
      <c r="D237" s="469">
        <v>4.0</v>
      </c>
      <c r="E237" s="465">
        <v>1661.95</v>
      </c>
      <c r="F237" s="466">
        <f t="shared" si="1"/>
        <v>6647.8</v>
      </c>
      <c r="G237" s="467" t="str">
        <f>IFERROR(__xludf.DUMMYFUNCTION("IFERROR(IF(C237=""Crypto"",$G$2,(IF(ISBLANK(B237),"""",IF(B237=""Cash"",$G$2,IF(GOOGLEFINANCE(B237,""CURRENCY"")=""GBX"",""GBP"",GOOGLEFINANCE(B237,""CURRENCY"")))))),Conversion!$F$1)"),"INR")</f>
        <v>INR</v>
      </c>
      <c r="H237" s="466">
        <f>IFERROR(__xludf.DUMMYFUNCTION("IF(G237=""GBP"",IF(B237="""","""",IF(G237=$G$2,F237,F237*GOOGLEFINANCE(""currency:""&amp;G237&amp;""""&amp;$G$2&amp;"""")))/100,IF(A237="""","""",IF(G237=$G$2,F237,F237*GOOGLEFINANCE(""Currency:""&amp;G237&amp;""""&amp;$G$2&amp;""""))))"),6647.8)</f>
        <v>6647.8</v>
      </c>
    </row>
    <row r="238">
      <c r="A238" s="462">
        <v>45553.0</v>
      </c>
      <c r="B238" s="469" t="s">
        <v>259</v>
      </c>
      <c r="C238" s="469" t="s">
        <v>296</v>
      </c>
      <c r="D238" s="469">
        <v>30.0</v>
      </c>
      <c r="E238" s="465">
        <v>179.7</v>
      </c>
      <c r="F238" s="466">
        <f t="shared" si="1"/>
        <v>5391</v>
      </c>
      <c r="G238" s="467" t="str">
        <f>IFERROR(__xludf.DUMMYFUNCTION("IFERROR(IF(C238=""Crypto"",$G$2,(IF(ISBLANK(B238),"""",IF(B238=""Cash"",$G$2,IF(GOOGLEFINANCE(B238,""CURRENCY"")=""GBX"",""GBP"",GOOGLEFINANCE(B238,""CURRENCY"")))))),Conversion!$F$1)"),"INR")</f>
        <v>INR</v>
      </c>
      <c r="H238" s="466">
        <f>IFERROR(__xludf.DUMMYFUNCTION("IF(G238=""GBP"",IF(B238="""","""",IF(G238=$G$2,F238,F238*GOOGLEFINANCE(""currency:""&amp;G238&amp;""""&amp;$G$2&amp;"""")))/100,IF(A238="""","""",IF(G238=$G$2,F238,F238*GOOGLEFINANCE(""Currency:""&amp;G238&amp;""""&amp;$G$2&amp;""""))))"),5391.0)</f>
        <v>5391</v>
      </c>
    </row>
    <row r="239">
      <c r="A239" s="470">
        <v>45554.0</v>
      </c>
      <c r="B239" s="469" t="s">
        <v>259</v>
      </c>
      <c r="C239" s="469" t="s">
        <v>296</v>
      </c>
      <c r="D239" s="471">
        <v>40.0</v>
      </c>
      <c r="E239" s="472">
        <v>157.0</v>
      </c>
      <c r="F239" s="466">
        <f t="shared" si="1"/>
        <v>6280</v>
      </c>
      <c r="G239" s="467" t="str">
        <f>IFERROR(__xludf.DUMMYFUNCTION("IFERROR(IF(C239=""Crypto"",$G$2,(IF(ISBLANK(B239),"""",IF(B239=""Cash"",$G$2,IF(GOOGLEFINANCE(B239,""CURRENCY"")=""GBX"",""GBP"",GOOGLEFINANCE(B239,""CURRENCY"")))))),Conversion!$F$1)"),"INR")</f>
        <v>INR</v>
      </c>
      <c r="H239" s="466">
        <f>IFERROR(__xludf.DUMMYFUNCTION("IF(G239=""GBP"",IF(B239="""","""",IF(G239=$G$2,F239,F239*GOOGLEFINANCE(""currency:""&amp;G239&amp;""""&amp;$G$2&amp;"""")))/100,IF(A239="""","""",IF(G239=$G$2,F239,F239*GOOGLEFINANCE(""Currency:""&amp;G239&amp;""""&amp;$G$2&amp;""""))))"),6280.0)</f>
        <v>6280</v>
      </c>
    </row>
    <row r="240">
      <c r="A240" s="462">
        <v>45560.0</v>
      </c>
      <c r="B240" s="469" t="s">
        <v>259</v>
      </c>
      <c r="C240" s="473" t="s">
        <v>296</v>
      </c>
      <c r="D240" s="469">
        <v>30.0</v>
      </c>
      <c r="E240" s="465">
        <v>153.92</v>
      </c>
      <c r="F240" s="465">
        <f t="shared" ref="F240:F241" si="2">IFERROR((if(isblank(A240),"",Abs(D240*E240))),"-")</f>
        <v>4617.6</v>
      </c>
      <c r="G240" s="467" t="str">
        <f>IFERROR(__xludf.DUMMYFUNCTION("IFERROR(IF(C240=""Crypto"",$G$2,(IF(ISBLANK(B240),"""",IF(B240=""Cash"",$G$2,IF(GOOGLEFINANCE(B240,""CURRENCY"")=""GBX"",""GBP"",GOOGLEFINANCE(B240,""CURRENCY"")))))),Conversion!$F$1)"),"INR")</f>
        <v>INR</v>
      </c>
      <c r="H240" s="466">
        <f>IFERROR(__xludf.DUMMYFUNCTION("IF(G240=""GBP"",IF(B240="""","""",IF(G240=$G$2,F240,F240*GOOGLEFINANCE(""currency:""&amp;G240&amp;""""&amp;$G$2&amp;"""")))/100,IF(A240="""","""",IF(G240=$G$2,F240,F240*GOOGLEFINANCE(""Currency:""&amp;G240&amp;""""&amp;$G$2&amp;""""))))"),4617.599999999999)</f>
        <v>4617.6</v>
      </c>
    </row>
    <row r="241">
      <c r="A241" s="462">
        <v>45560.0</v>
      </c>
      <c r="B241" s="469" t="s">
        <v>258</v>
      </c>
      <c r="C241" s="473" t="s">
        <v>296</v>
      </c>
      <c r="D241" s="469">
        <v>49.0</v>
      </c>
      <c r="E241" s="465">
        <v>67.73</v>
      </c>
      <c r="F241" s="465">
        <f t="shared" si="2"/>
        <v>3318.77</v>
      </c>
      <c r="G241" s="467" t="str">
        <f>IFERROR(__xludf.DUMMYFUNCTION("IFERROR(IF(C241=""Crypto"",$G$2,(IF(ISBLANK(B241),"""",IF(B241=""Cash"",$G$2,IF(GOOGLEFINANCE(B241,""CURRENCY"")=""GBX"",""GBP"",GOOGLEFINANCE(B241,""CURRENCY"")))))),Conversion!$F$1)"),"INR")</f>
        <v>INR</v>
      </c>
      <c r="H241" s="466">
        <f>IFERROR(__xludf.DUMMYFUNCTION("IF(G241=""GBP"",IF(B241="""","""",IF(G241=$G$2,F241,F241*GOOGLEFINANCE(""currency:""&amp;G241&amp;""""&amp;$G$2&amp;"""")))/100,IF(A241="""","""",IF(G241=$G$2,F241,F241*GOOGLEFINANCE(""Currency:""&amp;G241&amp;""""&amp;$G$2&amp;""""))))"),3318.77)</f>
        <v>3318.77</v>
      </c>
    </row>
    <row r="242">
      <c r="A242" s="474"/>
      <c r="B242" s="475"/>
      <c r="C242" s="475"/>
      <c r="D242" s="475"/>
      <c r="E242" s="476"/>
      <c r="F242" s="466" t="str">
        <f t="shared" ref="F242:F251" si="3">IFERROR((if(isblank(B242),"",Abs(E242*D242))),"-")</f>
        <v/>
      </c>
      <c r="G242" s="467" t="str">
        <f>IFERROR(__xludf.DUMMYFUNCTION("IFERROR(IF(C242=""Crypto"",$G$2,(IF(ISBLANK(B242),"""",IF(B242=""Cash"",$G$2,IF(GOOGLEFINANCE(B242,""CURRENCY"")=""GBX"",""GBP"",GOOGLEFINANCE(B242,""CURRENCY"")))))),Conversion!$F$1)"),"")</f>
        <v/>
      </c>
      <c r="H242" s="466" t="str">
        <f>IFERROR(__xludf.DUMMYFUNCTION("IF(G242=""GBP"",IF(B242="""","""",IF(G242=$G$2,F242,F242*GOOGLEFINANCE(""currency:""&amp;G242&amp;""""&amp;$G$2&amp;"""")))/100,IF(A242="""","""",IF(G242=$G$2,F242,F242*GOOGLEFINANCE(""Currency:""&amp;G242&amp;""""&amp;$G$2&amp;""""))))"),"")</f>
        <v/>
      </c>
    </row>
    <row r="243">
      <c r="A243" s="474"/>
      <c r="B243" s="475"/>
      <c r="C243" s="475"/>
      <c r="D243" s="475"/>
      <c r="E243" s="476"/>
      <c r="F243" s="466" t="str">
        <f t="shared" si="3"/>
        <v/>
      </c>
      <c r="G243" s="467" t="str">
        <f>IFERROR(__xludf.DUMMYFUNCTION("IFERROR(IF(C243=""Crypto"",$G$2,(IF(ISBLANK(B243),"""",IF(B243=""Cash"",$G$2,IF(GOOGLEFINANCE(B243,""CURRENCY"")=""GBX"",""GBP"",GOOGLEFINANCE(B243,""CURRENCY"")))))),Conversion!$F$1)"),"")</f>
        <v/>
      </c>
      <c r="H243" s="466" t="str">
        <f>IFERROR(__xludf.DUMMYFUNCTION("IF(G243=""GBP"",IF(B243="""","""",IF(G243=$G$2,F243,F243*GOOGLEFINANCE(""currency:""&amp;G243&amp;""""&amp;$G$2&amp;"""")))/100,IF(A243="""","""",IF(G243=$G$2,F243,F243*GOOGLEFINANCE(""Currency:""&amp;G243&amp;""""&amp;$G$2&amp;""""))))"),"")</f>
        <v/>
      </c>
    </row>
    <row r="244">
      <c r="A244" s="474"/>
      <c r="B244" s="475"/>
      <c r="C244" s="475"/>
      <c r="D244" s="475"/>
      <c r="E244" s="476"/>
      <c r="F244" s="466" t="str">
        <f t="shared" si="3"/>
        <v/>
      </c>
      <c r="G244" s="467" t="str">
        <f>IFERROR(__xludf.DUMMYFUNCTION("IFERROR(IF(C244=""Crypto"",$G$2,(IF(ISBLANK(B244),"""",IF(B244=""Cash"",$G$2,IF(GOOGLEFINANCE(B244,""CURRENCY"")=""GBX"",""GBP"",GOOGLEFINANCE(B244,""CURRENCY"")))))),Conversion!$F$1)"),"")</f>
        <v/>
      </c>
      <c r="H244" s="466" t="str">
        <f>IFERROR(__xludf.DUMMYFUNCTION("IF(G244=""GBP"",IF(B244="""","""",IF(G244=$G$2,F244,F244*GOOGLEFINANCE(""currency:""&amp;G244&amp;""""&amp;$G$2&amp;"""")))/100,IF(A244="""","""",IF(G244=$G$2,F244,F244*GOOGLEFINANCE(""Currency:""&amp;G244&amp;""""&amp;$G$2&amp;""""))))"),"")</f>
        <v/>
      </c>
    </row>
    <row r="245">
      <c r="A245" s="474"/>
      <c r="B245" s="475"/>
      <c r="C245" s="475"/>
      <c r="D245" s="475"/>
      <c r="E245" s="476"/>
      <c r="F245" s="466" t="str">
        <f t="shared" si="3"/>
        <v/>
      </c>
      <c r="G245" s="467" t="str">
        <f>IFERROR(__xludf.DUMMYFUNCTION("IFERROR(IF(C245=""Crypto"",$G$2,(IF(ISBLANK(B245),"""",IF(B245=""Cash"",$G$2,IF(GOOGLEFINANCE(B245,""CURRENCY"")=""GBX"",""GBP"",GOOGLEFINANCE(B245,""CURRENCY"")))))),Conversion!$F$1)"),"")</f>
        <v/>
      </c>
      <c r="H245" s="466" t="str">
        <f>IFERROR(__xludf.DUMMYFUNCTION("IF(G245=""GBP"",IF(B245="""","""",IF(G245=$G$2,F245,F245*GOOGLEFINANCE(""currency:""&amp;G245&amp;""""&amp;$G$2&amp;"""")))/100,IF(A245="""","""",IF(G245=$G$2,F245,F245*GOOGLEFINANCE(""Currency:""&amp;G245&amp;""""&amp;$G$2&amp;""""))))"),"")</f>
        <v/>
      </c>
    </row>
    <row r="246">
      <c r="A246" s="474"/>
      <c r="B246" s="475"/>
      <c r="C246" s="475"/>
      <c r="D246" s="475"/>
      <c r="E246" s="476"/>
      <c r="F246" s="466" t="str">
        <f t="shared" si="3"/>
        <v/>
      </c>
      <c r="G246" s="467" t="str">
        <f>IFERROR(__xludf.DUMMYFUNCTION("IFERROR(IF(C246=""Crypto"",$G$2,(IF(ISBLANK(B246),"""",IF(B246=""Cash"",$G$2,IF(GOOGLEFINANCE(B246,""CURRENCY"")=""GBX"",""GBP"",GOOGLEFINANCE(B246,""CURRENCY"")))))),Conversion!$F$1)"),"")</f>
        <v/>
      </c>
      <c r="H246" s="466" t="str">
        <f>IFERROR(__xludf.DUMMYFUNCTION("IF(G246=""GBP"",IF(B246="""","""",IF(G246=$G$2,F246,F246*GOOGLEFINANCE(""currency:""&amp;G246&amp;""""&amp;$G$2&amp;"""")))/100,IF(A246="""","""",IF(G246=$G$2,F246,F246*GOOGLEFINANCE(""Currency:""&amp;G246&amp;""""&amp;$G$2&amp;""""))))"),"")</f>
        <v/>
      </c>
    </row>
    <row r="247">
      <c r="A247" s="474"/>
      <c r="B247" s="475"/>
      <c r="C247" s="475"/>
      <c r="D247" s="475"/>
      <c r="E247" s="476"/>
      <c r="F247" s="466" t="str">
        <f t="shared" si="3"/>
        <v/>
      </c>
      <c r="G247" s="467" t="str">
        <f>IFERROR(__xludf.DUMMYFUNCTION("IFERROR(IF(C247=""Crypto"",$G$2,(IF(ISBLANK(B247),"""",IF(B247=""Cash"",$G$2,IF(GOOGLEFINANCE(B247,""CURRENCY"")=""GBX"",""GBP"",GOOGLEFINANCE(B247,""CURRENCY"")))))),Conversion!$F$1)"),"")</f>
        <v/>
      </c>
      <c r="H247" s="466" t="str">
        <f>IFERROR(__xludf.DUMMYFUNCTION("IF(G247=""GBP"",IF(B247="""","""",IF(G247=$G$2,F247,F247*GOOGLEFINANCE(""currency:""&amp;G247&amp;""""&amp;$G$2&amp;"""")))/100,IF(A247="""","""",IF(G247=$G$2,F247,F247*GOOGLEFINANCE(""Currency:""&amp;G247&amp;""""&amp;$G$2&amp;""""))))"),"")</f>
        <v/>
      </c>
    </row>
    <row r="248">
      <c r="A248" s="474"/>
      <c r="B248" s="475"/>
      <c r="C248" s="475"/>
      <c r="D248" s="475"/>
      <c r="E248" s="476"/>
      <c r="F248" s="466" t="str">
        <f t="shared" si="3"/>
        <v/>
      </c>
      <c r="G248" s="467" t="str">
        <f>IFERROR(__xludf.DUMMYFUNCTION("IFERROR(IF(C248=""Crypto"",$G$2,(IF(ISBLANK(B248),"""",IF(B248=""Cash"",$G$2,IF(GOOGLEFINANCE(B248,""CURRENCY"")=""GBX"",""GBP"",GOOGLEFINANCE(B248,""CURRENCY"")))))),Conversion!$F$1)"),"")</f>
        <v/>
      </c>
      <c r="H248" s="466" t="str">
        <f>IFERROR(__xludf.DUMMYFUNCTION("IF(G248=""GBP"",IF(B248="""","""",IF(G248=$G$2,F248,F248*GOOGLEFINANCE(""currency:""&amp;G248&amp;""""&amp;$G$2&amp;"""")))/100,IF(A248="""","""",IF(G248=$G$2,F248,F248*GOOGLEFINANCE(""Currency:""&amp;G248&amp;""""&amp;$G$2&amp;""""))))"),"")</f>
        <v/>
      </c>
    </row>
    <row r="249">
      <c r="A249" s="474"/>
      <c r="B249" s="475"/>
      <c r="C249" s="475"/>
      <c r="D249" s="475"/>
      <c r="E249" s="476"/>
      <c r="F249" s="466" t="str">
        <f t="shared" si="3"/>
        <v/>
      </c>
      <c r="G249" s="467" t="str">
        <f>IFERROR(__xludf.DUMMYFUNCTION("IFERROR(IF(C249=""Crypto"",$G$2,(IF(ISBLANK(B249),"""",IF(B249=""Cash"",$G$2,IF(GOOGLEFINANCE(B249,""CURRENCY"")=""GBX"",""GBP"",GOOGLEFINANCE(B249,""CURRENCY"")))))),Conversion!$F$1)"),"")</f>
        <v/>
      </c>
      <c r="H249" s="466" t="str">
        <f>IFERROR(__xludf.DUMMYFUNCTION("IF(G249=""GBP"",IF(B249="""","""",IF(G249=$G$2,F249,F249*GOOGLEFINANCE(""currency:""&amp;G249&amp;""""&amp;$G$2&amp;"""")))/100,IF(A249="""","""",IF(G249=$G$2,F249,F249*GOOGLEFINANCE(""Currency:""&amp;G249&amp;""""&amp;$G$2&amp;""""))))"),"")</f>
        <v/>
      </c>
    </row>
    <row r="250">
      <c r="A250" s="474"/>
      <c r="B250" s="475"/>
      <c r="C250" s="475"/>
      <c r="D250" s="475"/>
      <c r="E250" s="476"/>
      <c r="F250" s="466" t="str">
        <f t="shared" si="3"/>
        <v/>
      </c>
      <c r="G250" s="467" t="str">
        <f>IFERROR(__xludf.DUMMYFUNCTION("IFERROR(IF(C250=""Crypto"",$G$2,(IF(ISBLANK(B250),"""",IF(B250=""Cash"",$G$2,IF(GOOGLEFINANCE(B250,""CURRENCY"")=""GBX"",""GBP"",GOOGLEFINANCE(B250,""CURRENCY"")))))),Conversion!$F$1)"),"")</f>
        <v/>
      </c>
      <c r="H250" s="466" t="str">
        <f>IFERROR(__xludf.DUMMYFUNCTION("IF(G250=""GBP"",IF(B250="""","""",IF(G250=$G$2,F250,F250*GOOGLEFINANCE(""currency:""&amp;G250&amp;""""&amp;$G$2&amp;"""")))/100,IF(A250="""","""",IF(G250=$G$2,F250,F250*GOOGLEFINANCE(""Currency:""&amp;G250&amp;""""&amp;$G$2&amp;""""))))"),"")</f>
        <v/>
      </c>
    </row>
    <row r="251">
      <c r="A251" s="474"/>
      <c r="B251" s="475"/>
      <c r="C251" s="475"/>
      <c r="D251" s="475"/>
      <c r="E251" s="476"/>
      <c r="F251" s="466" t="str">
        <f t="shared" si="3"/>
        <v/>
      </c>
      <c r="G251" s="467" t="str">
        <f>IFERROR(__xludf.DUMMYFUNCTION("IFERROR(IF(C251=""Crypto"",$G$2,(IF(ISBLANK(B251),"""",IF(B251=""Cash"",$G$2,IF(GOOGLEFINANCE(B251,""CURRENCY"")=""GBX"",""GBP"",GOOGLEFINANCE(B251,""CURRENCY"")))))),Conversion!$F$1)"),"")</f>
        <v/>
      </c>
      <c r="H251" s="466" t="str">
        <f>IFERROR(__xludf.DUMMYFUNCTION("IF(G251=""GBP"",IF(B251="""","""",IF(G251=$G$2,F251,F251*GOOGLEFINANCE(""currency:""&amp;G251&amp;""""&amp;$G$2&amp;"""")))/100,IF(A251="""","""",IF(G251=$G$2,F251,F251*GOOGLEFINANCE(""Currency:""&amp;G251&amp;""""&amp;$G$2&amp;""""))))"),"")</f>
        <v/>
      </c>
    </row>
    <row r="252">
      <c r="A252" s="474"/>
      <c r="B252" s="475"/>
      <c r="C252" s="475"/>
      <c r="D252" s="475"/>
      <c r="E252" s="476"/>
      <c r="F252" s="477"/>
      <c r="G252" s="467" t="str">
        <f>IFERROR(__xludf.DUMMYFUNCTION("IFERROR(IF(C252=""Crypto"",$G$2,(IF(ISBLANK(B252),"""",IF(B252=""Cash"",$G$2,IF(GOOGLEFINANCE(B252,""CURRENCY"")=""GBX"",""GBP"",GOOGLEFINANCE(B252,""CURRENCY"")))))),Conversion!$F$1)"),"")</f>
        <v/>
      </c>
      <c r="H252" s="466" t="str">
        <f>IFERROR(__xludf.DUMMYFUNCTION("IF(G252=""GBP"",IF(B252="""","""",IF(G252=$G$2,F252,F252*GOOGLEFINANCE(""currency:""&amp;G252&amp;""""&amp;$G$2&amp;"""")))/100,IF(A252="""","""",IF(G252=$G$2,F252,F252*GOOGLEFINANCE(""Currency:""&amp;G252&amp;""""&amp;$G$2&amp;""""))))"),"")</f>
        <v/>
      </c>
    </row>
    <row r="253">
      <c r="A253" s="474"/>
      <c r="B253" s="475"/>
      <c r="C253" s="475"/>
      <c r="D253" s="475"/>
      <c r="E253" s="476"/>
      <c r="F253" s="477"/>
      <c r="G253" s="467" t="str">
        <f>IFERROR(__xludf.DUMMYFUNCTION("IFERROR(IF(C253=""Crypto"",$G$2,(IF(ISBLANK(B253),"""",IF(B253=""Cash"",$G$2,IF(GOOGLEFINANCE(B253,""CURRENCY"")=""GBX"",""GBP"",GOOGLEFINANCE(B253,""CURRENCY"")))))),Conversion!$F$1)"),"")</f>
        <v/>
      </c>
      <c r="H253" s="466" t="str">
        <f>IFERROR(__xludf.DUMMYFUNCTION("IF(G253=""GBP"",IF(B253="""","""",IF(G253=$G$2,F253,F253*GOOGLEFINANCE(""currency:""&amp;G253&amp;""""&amp;$G$2&amp;"""")))/100,IF(A253="""","""",IF(G253=$G$2,F253,F253*GOOGLEFINANCE(""Currency:""&amp;G253&amp;""""&amp;$G$2&amp;""""))))"),"")</f>
        <v/>
      </c>
    </row>
    <row r="254">
      <c r="A254" s="474"/>
      <c r="B254" s="475"/>
      <c r="C254" s="475"/>
      <c r="D254" s="475"/>
      <c r="E254" s="476"/>
      <c r="F254" s="477"/>
      <c r="G254" s="467" t="str">
        <f>IFERROR(__xludf.DUMMYFUNCTION("IFERROR(IF(C254=""Crypto"",$G$2,(IF(ISBLANK(B254),"""",IF(B254=""Cash"",$G$2,IF(GOOGLEFINANCE(B254,""CURRENCY"")=""GBX"",""GBP"",GOOGLEFINANCE(B254,""CURRENCY"")))))),Conversion!$F$1)"),"")</f>
        <v/>
      </c>
      <c r="H254" s="466" t="str">
        <f>IFERROR(__xludf.DUMMYFUNCTION("IF(G254=""GBP"",IF(B254="""","""",IF(G254=$G$2,F254,F254*GOOGLEFINANCE(""currency:""&amp;G254&amp;""""&amp;$G$2&amp;"""")))/100,IF(A254="""","""",IF(G254=$G$2,F254,F254*GOOGLEFINANCE(""Currency:""&amp;G254&amp;""""&amp;$G$2&amp;""""))))"),"")</f>
        <v/>
      </c>
    </row>
    <row r="255">
      <c r="A255" s="474"/>
      <c r="B255" s="475"/>
      <c r="C255" s="475"/>
      <c r="D255" s="475"/>
      <c r="E255" s="476"/>
      <c r="F255" s="477"/>
      <c r="G255" s="467" t="str">
        <f>IFERROR(__xludf.DUMMYFUNCTION("IFERROR(IF(C255=""Crypto"",$G$2,(IF(ISBLANK(B255),"""",IF(B255=""Cash"",$G$2,IF(GOOGLEFINANCE(B255,""CURRENCY"")=""GBX"",""GBP"",GOOGLEFINANCE(B255,""CURRENCY"")))))),Conversion!$F$1)"),"")</f>
        <v/>
      </c>
      <c r="H255" s="466" t="str">
        <f>IFERROR(__xludf.DUMMYFUNCTION("IF(G255=""GBP"",IF(B255="""","""",IF(G255=$G$2,F255,F255*GOOGLEFINANCE(""currency:""&amp;G255&amp;""""&amp;$G$2&amp;"""")))/100,IF(A255="""","""",IF(G255=$G$2,F255,F255*GOOGLEFINANCE(""Currency:""&amp;G255&amp;""""&amp;$G$2&amp;""""))))"),"")</f>
        <v/>
      </c>
    </row>
    <row r="256">
      <c r="A256" s="474"/>
      <c r="B256" s="475"/>
      <c r="C256" s="475"/>
      <c r="D256" s="475"/>
      <c r="E256" s="476"/>
      <c r="F256" s="477"/>
      <c r="G256" s="467" t="str">
        <f>IFERROR(__xludf.DUMMYFUNCTION("IFERROR(IF(C256=""Crypto"",$G$2,(IF(ISBLANK(B256),"""",IF(B256=""Cash"",$G$2,IF(GOOGLEFINANCE(B256,""CURRENCY"")=""GBX"",""GBP"",GOOGLEFINANCE(B256,""CURRENCY"")))))),Conversion!$F$1)"),"")</f>
        <v/>
      </c>
      <c r="H256" s="466" t="str">
        <f>IFERROR(__xludf.DUMMYFUNCTION("IF(G256=""GBP"",IF(B256="""","""",IF(G256=$G$2,F256,F256*GOOGLEFINANCE(""currency:""&amp;G256&amp;""""&amp;$G$2&amp;"""")))/100,IF(A256="""","""",IF(G256=$G$2,F256,F256*GOOGLEFINANCE(""Currency:""&amp;G256&amp;""""&amp;$G$2&amp;""""))))"),"")</f>
        <v/>
      </c>
    </row>
    <row r="257">
      <c r="A257" s="474"/>
      <c r="B257" s="475"/>
      <c r="C257" s="475"/>
      <c r="D257" s="475"/>
      <c r="E257" s="476"/>
      <c r="F257" s="477"/>
      <c r="G257" s="467" t="str">
        <f>IFERROR(__xludf.DUMMYFUNCTION("IFERROR(IF(C257=""Crypto"",$G$2,(IF(ISBLANK(B257),"""",IF(B257=""Cash"",$G$2,IF(GOOGLEFINANCE(B257,""CURRENCY"")=""GBX"",""GBP"",GOOGLEFINANCE(B257,""CURRENCY"")))))),Conversion!$F$1)"),"")</f>
        <v/>
      </c>
      <c r="H257" s="466" t="str">
        <f>IFERROR(__xludf.DUMMYFUNCTION("IF(G257=""GBP"",IF(B257="""","""",IF(G257=$G$2,F257,F257*GOOGLEFINANCE(""currency:""&amp;G257&amp;""""&amp;$G$2&amp;"""")))/100,IF(A257="""","""",IF(G257=$G$2,F257,F257*GOOGLEFINANCE(""Currency:""&amp;G257&amp;""""&amp;$G$2&amp;""""))))"),"")</f>
        <v/>
      </c>
    </row>
    <row r="258">
      <c r="A258" s="474"/>
      <c r="B258" s="475"/>
      <c r="C258" s="475"/>
      <c r="D258" s="475"/>
      <c r="E258" s="476"/>
      <c r="F258" s="477"/>
      <c r="G258" s="467" t="str">
        <f>IFERROR(__xludf.DUMMYFUNCTION("IFERROR(IF(C258=""Crypto"",$G$2,(IF(ISBLANK(B258),"""",IF(B258=""Cash"",$G$2,IF(GOOGLEFINANCE(B258,""CURRENCY"")=""GBX"",""GBP"",GOOGLEFINANCE(B258,""CURRENCY"")))))),Conversion!$F$1)"),"")</f>
        <v/>
      </c>
      <c r="H258" s="466" t="str">
        <f>IFERROR(__xludf.DUMMYFUNCTION("IF(G258=""GBP"",IF(B258="""","""",IF(G258=$G$2,F258,F258*GOOGLEFINANCE(""currency:""&amp;G258&amp;""""&amp;$G$2&amp;"""")))/100,IF(A258="""","""",IF(G258=$G$2,F258,F258*GOOGLEFINANCE(""Currency:""&amp;G258&amp;""""&amp;$G$2&amp;""""))))"),"")</f>
        <v/>
      </c>
    </row>
    <row r="259">
      <c r="A259" s="474"/>
      <c r="B259" s="475"/>
      <c r="C259" s="475"/>
      <c r="D259" s="475"/>
      <c r="E259" s="476"/>
      <c r="F259" s="477"/>
      <c r="G259" s="467" t="str">
        <f>IFERROR(__xludf.DUMMYFUNCTION("IFERROR(IF(C259=""Crypto"",$G$2,(IF(ISBLANK(B259),"""",IF(B259=""Cash"",$G$2,IF(GOOGLEFINANCE(B259,""CURRENCY"")=""GBX"",""GBP"",GOOGLEFINANCE(B259,""CURRENCY"")))))),Conversion!$F$1)"),"")</f>
        <v/>
      </c>
      <c r="H259" s="466" t="str">
        <f>IFERROR(__xludf.DUMMYFUNCTION("IF(G259=""GBP"",IF(B259="""","""",IF(G259=$G$2,F259,F259*GOOGLEFINANCE(""currency:""&amp;G259&amp;""""&amp;$G$2&amp;"""")))/100,IF(A259="""","""",IF(G259=$G$2,F259,F259*GOOGLEFINANCE(""Currency:""&amp;G259&amp;""""&amp;$G$2&amp;""""))))"),"")</f>
        <v/>
      </c>
    </row>
    <row r="260">
      <c r="A260" s="474"/>
      <c r="B260" s="475"/>
      <c r="C260" s="475"/>
      <c r="D260" s="475"/>
      <c r="E260" s="476"/>
      <c r="F260" s="477"/>
      <c r="G260" s="467" t="str">
        <f>IFERROR(__xludf.DUMMYFUNCTION("IFERROR(IF(C260=""Crypto"",$G$2,(IF(ISBLANK(B260),"""",IF(B260=""Cash"",$G$2,IF(GOOGLEFINANCE(B260,""CURRENCY"")=""GBX"",""GBP"",GOOGLEFINANCE(B260,""CURRENCY"")))))),Conversion!$F$1)"),"")</f>
        <v/>
      </c>
      <c r="H260" s="466" t="str">
        <f>IFERROR(__xludf.DUMMYFUNCTION("IF(G260=""GBP"",IF(B260="""","""",IF(G260=$G$2,F260,F260*GOOGLEFINANCE(""currency:""&amp;G260&amp;""""&amp;$G$2&amp;"""")))/100,IF(A260="""","""",IF(G260=$G$2,F260,F260*GOOGLEFINANCE(""Currency:""&amp;G260&amp;""""&amp;$G$2&amp;""""))))"),"")</f>
        <v/>
      </c>
    </row>
    <row r="261">
      <c r="A261" s="474"/>
      <c r="B261" s="475"/>
      <c r="C261" s="475"/>
      <c r="D261" s="475"/>
      <c r="E261" s="476"/>
      <c r="F261" s="477"/>
      <c r="G261" s="467" t="str">
        <f>IFERROR(__xludf.DUMMYFUNCTION("IFERROR(IF(C261=""Crypto"",$G$2,(IF(ISBLANK(B261),"""",IF(B261=""Cash"",$G$2,IF(GOOGLEFINANCE(B261,""CURRENCY"")=""GBX"",""GBP"",GOOGLEFINANCE(B261,""CURRENCY"")))))),Conversion!$F$1)"),"")</f>
        <v/>
      </c>
      <c r="H261" s="466" t="str">
        <f>IFERROR(__xludf.DUMMYFUNCTION("IF(G261=""GBP"",IF(B261="""","""",IF(G261=$G$2,F261,F261*GOOGLEFINANCE(""currency:""&amp;G261&amp;""""&amp;$G$2&amp;"""")))/100,IF(A261="""","""",IF(G261=$G$2,F261,F261*GOOGLEFINANCE(""Currency:""&amp;G261&amp;""""&amp;$G$2&amp;""""))))"),"")</f>
        <v/>
      </c>
    </row>
    <row r="262">
      <c r="A262" s="474"/>
      <c r="B262" s="475"/>
      <c r="C262" s="475"/>
      <c r="D262" s="475"/>
      <c r="E262" s="476"/>
      <c r="F262" s="477"/>
      <c r="G262" s="467" t="str">
        <f>IFERROR(__xludf.DUMMYFUNCTION("IFERROR(IF(C262=""Crypto"",$G$2,(IF(ISBLANK(B262),"""",IF(B262=""Cash"",$G$2,IF(GOOGLEFINANCE(B262,""CURRENCY"")=""GBX"",""GBP"",GOOGLEFINANCE(B262,""CURRENCY"")))))),Conversion!$F$1)"),"")</f>
        <v/>
      </c>
      <c r="H262" s="466" t="str">
        <f>IFERROR(__xludf.DUMMYFUNCTION("IF(G262=""GBP"",IF(B262="""","""",IF(G262=$G$2,F262,F262*GOOGLEFINANCE(""currency:""&amp;G262&amp;""""&amp;$G$2&amp;"""")))/100,IF(A262="""","""",IF(G262=$G$2,F262,F262*GOOGLEFINANCE(""Currency:""&amp;G262&amp;""""&amp;$G$2&amp;""""))))"),"")</f>
        <v/>
      </c>
    </row>
    <row r="263">
      <c r="A263" s="474"/>
      <c r="B263" s="475"/>
      <c r="C263" s="475"/>
      <c r="D263" s="475"/>
      <c r="E263" s="476"/>
      <c r="F263" s="477"/>
      <c r="G263" s="467" t="str">
        <f>IFERROR(__xludf.DUMMYFUNCTION("IFERROR(IF(C263=""Crypto"",$G$2,(IF(ISBLANK(B263),"""",IF(B263=""Cash"",$G$2,IF(GOOGLEFINANCE(B263,""CURRENCY"")=""GBX"",""GBP"",GOOGLEFINANCE(B263,""CURRENCY"")))))),Conversion!$F$1)"),"")</f>
        <v/>
      </c>
      <c r="H263" s="466" t="str">
        <f>IFERROR(__xludf.DUMMYFUNCTION("IF(G263=""GBP"",IF(B263="""","""",IF(G263=$G$2,F263,F263*GOOGLEFINANCE(""currency:""&amp;G263&amp;""""&amp;$G$2&amp;"""")))/100,IF(A263="""","""",IF(G263=$G$2,F263,F263*GOOGLEFINANCE(""Currency:""&amp;G263&amp;""""&amp;$G$2&amp;""""))))"),"")</f>
        <v/>
      </c>
    </row>
    <row r="264">
      <c r="A264" s="474"/>
      <c r="B264" s="475"/>
      <c r="C264" s="475"/>
      <c r="D264" s="475"/>
      <c r="E264" s="476"/>
      <c r="F264" s="477"/>
      <c r="G264" s="467" t="str">
        <f>IFERROR(__xludf.DUMMYFUNCTION("IFERROR(IF(C264=""Crypto"",$G$2,(IF(ISBLANK(B264),"""",IF(B264=""Cash"",$G$2,IF(GOOGLEFINANCE(B264,""CURRENCY"")=""GBX"",""GBP"",GOOGLEFINANCE(B264,""CURRENCY"")))))),Conversion!$F$1)"),"")</f>
        <v/>
      </c>
      <c r="H264" s="466" t="str">
        <f>IFERROR(__xludf.DUMMYFUNCTION("IF(G264=""GBP"",IF(B264="""","""",IF(G264=$G$2,F264,F264*GOOGLEFINANCE(""currency:""&amp;G264&amp;""""&amp;$G$2&amp;"""")))/100,IF(A264="""","""",IF(G264=$G$2,F264,F264*GOOGLEFINANCE(""Currency:""&amp;G264&amp;""""&amp;$G$2&amp;""""))))"),"")</f>
        <v/>
      </c>
    </row>
    <row r="265">
      <c r="A265" s="474"/>
      <c r="B265" s="475"/>
      <c r="C265" s="475"/>
      <c r="D265" s="475"/>
      <c r="E265" s="476"/>
      <c r="F265" s="477"/>
      <c r="G265" s="467" t="str">
        <f>IFERROR(__xludf.DUMMYFUNCTION("IFERROR(IF(C265=""Crypto"",$G$2,(IF(ISBLANK(B265),"""",IF(B265=""Cash"",$G$2,IF(GOOGLEFINANCE(B265,""CURRENCY"")=""GBX"",""GBP"",GOOGLEFINANCE(B265,""CURRENCY"")))))),Conversion!$F$1)"),"")</f>
        <v/>
      </c>
      <c r="H265" s="466" t="str">
        <f>IFERROR(__xludf.DUMMYFUNCTION("IF(G265=""GBP"",IF(B265="""","""",IF(G265=$G$2,F265,F265*GOOGLEFINANCE(""currency:""&amp;G265&amp;""""&amp;$G$2&amp;"""")))/100,IF(A265="""","""",IF(G265=$G$2,F265,F265*GOOGLEFINANCE(""Currency:""&amp;G265&amp;""""&amp;$G$2&amp;""""))))"),"")</f>
        <v/>
      </c>
    </row>
    <row r="266">
      <c r="A266" s="474"/>
      <c r="B266" s="475"/>
      <c r="C266" s="475"/>
      <c r="D266" s="475"/>
      <c r="E266" s="476"/>
      <c r="F266" s="477"/>
      <c r="G266" s="467" t="str">
        <f>IFERROR(__xludf.DUMMYFUNCTION("IFERROR(IF(C266=""Crypto"",$G$2,(IF(ISBLANK(B266),"""",IF(B266=""Cash"",$G$2,IF(GOOGLEFINANCE(B266,""CURRENCY"")=""GBX"",""GBP"",GOOGLEFINANCE(B266,""CURRENCY"")))))),Conversion!$F$1)"),"")</f>
        <v/>
      </c>
      <c r="H266" s="466" t="str">
        <f>IFERROR(__xludf.DUMMYFUNCTION("IF(G266=""GBP"",IF(B266="""","""",IF(G266=$G$2,F266,F266*GOOGLEFINANCE(""currency:""&amp;G266&amp;""""&amp;$G$2&amp;"""")))/100,IF(A266="""","""",IF(G266=$G$2,F266,F266*GOOGLEFINANCE(""Currency:""&amp;G266&amp;""""&amp;$G$2&amp;""""))))"),"")</f>
        <v/>
      </c>
    </row>
    <row r="267">
      <c r="A267" s="474"/>
      <c r="B267" s="475"/>
      <c r="C267" s="475"/>
      <c r="D267" s="475"/>
      <c r="E267" s="476"/>
      <c r="F267" s="477"/>
      <c r="G267" s="467" t="str">
        <f>IFERROR(__xludf.DUMMYFUNCTION("IFERROR(IF(C267=""Crypto"",$G$2,(IF(ISBLANK(B267),"""",IF(B267=""Cash"",$G$2,IF(GOOGLEFINANCE(B267,""CURRENCY"")=""GBX"",""GBP"",GOOGLEFINANCE(B267,""CURRENCY"")))))),Conversion!$F$1)"),"")</f>
        <v/>
      </c>
      <c r="H267" s="466" t="str">
        <f>IFERROR(__xludf.DUMMYFUNCTION("IF(G267=""GBP"",IF(B267="""","""",IF(G267=$G$2,F267,F267*GOOGLEFINANCE(""currency:""&amp;G267&amp;""""&amp;$G$2&amp;"""")))/100,IF(A267="""","""",IF(G267=$G$2,F267,F267*GOOGLEFINANCE(""Currency:""&amp;G267&amp;""""&amp;$G$2&amp;""""))))"),"")</f>
        <v/>
      </c>
    </row>
    <row r="268">
      <c r="A268" s="474"/>
      <c r="B268" s="475"/>
      <c r="C268" s="475"/>
      <c r="D268" s="475"/>
      <c r="E268" s="476"/>
      <c r="F268" s="477"/>
      <c r="G268" s="467" t="str">
        <f>IFERROR(__xludf.DUMMYFUNCTION("IFERROR(IF(C268=""Crypto"",$G$2,(IF(ISBLANK(B268),"""",IF(B268=""Cash"",$G$2,IF(GOOGLEFINANCE(B268,""CURRENCY"")=""GBX"",""GBP"",GOOGLEFINANCE(B268,""CURRENCY"")))))),Conversion!$F$1)"),"")</f>
        <v/>
      </c>
      <c r="H268" s="466" t="str">
        <f>IFERROR(__xludf.DUMMYFUNCTION("IF(G268=""GBP"",IF(B268="""","""",IF(G268=$G$2,F268,F268*GOOGLEFINANCE(""currency:""&amp;G268&amp;""""&amp;$G$2&amp;"""")))/100,IF(A268="""","""",IF(G268=$G$2,F268,F268*GOOGLEFINANCE(""Currency:""&amp;G268&amp;""""&amp;$G$2&amp;""""))))"),"")</f>
        <v/>
      </c>
    </row>
    <row r="269">
      <c r="A269" s="474"/>
      <c r="B269" s="475"/>
      <c r="C269" s="475"/>
      <c r="D269" s="475"/>
      <c r="E269" s="476"/>
      <c r="F269" s="477"/>
      <c r="G269" s="467" t="str">
        <f>IFERROR(__xludf.DUMMYFUNCTION("IFERROR(IF(C269=""Crypto"",$G$2,(IF(ISBLANK(B269),"""",IF(B269=""Cash"",$G$2,IF(GOOGLEFINANCE(B269,""CURRENCY"")=""GBX"",""GBP"",GOOGLEFINANCE(B269,""CURRENCY"")))))),Conversion!$F$1)"),"")</f>
        <v/>
      </c>
      <c r="H269" s="466" t="str">
        <f>IFERROR(__xludf.DUMMYFUNCTION("IF(G269=""GBP"",IF(B269="""","""",IF(G269=$G$2,F269,F269*GOOGLEFINANCE(""currency:""&amp;G269&amp;""""&amp;$G$2&amp;"""")))/100,IF(A269="""","""",IF(G269=$G$2,F269,F269*GOOGLEFINANCE(""Currency:""&amp;G269&amp;""""&amp;$G$2&amp;""""))))"),"")</f>
        <v/>
      </c>
    </row>
    <row r="270">
      <c r="A270" s="474"/>
      <c r="B270" s="475"/>
      <c r="C270" s="475"/>
      <c r="D270" s="475"/>
      <c r="E270" s="476"/>
      <c r="F270" s="477"/>
      <c r="G270" s="467" t="str">
        <f>IFERROR(__xludf.DUMMYFUNCTION("IFERROR(IF(C270=""Crypto"",$G$2,(IF(ISBLANK(B270),"""",IF(B270=""Cash"",$G$2,IF(GOOGLEFINANCE(B270,""CURRENCY"")=""GBX"",""GBP"",GOOGLEFINANCE(B270,""CURRENCY"")))))),Conversion!$F$1)"),"")</f>
        <v/>
      </c>
      <c r="H270" s="466" t="str">
        <f>IFERROR(__xludf.DUMMYFUNCTION("IF(G270=""GBP"",IF(B270="""","""",IF(G270=$G$2,F270,F270*GOOGLEFINANCE(""currency:""&amp;G270&amp;""""&amp;$G$2&amp;"""")))/100,IF(A270="""","""",IF(G270=$G$2,F270,F270*GOOGLEFINANCE(""Currency:""&amp;G270&amp;""""&amp;$G$2&amp;""""))))"),"")</f>
        <v/>
      </c>
    </row>
    <row r="271">
      <c r="A271" s="474"/>
      <c r="B271" s="475"/>
      <c r="C271" s="475"/>
      <c r="D271" s="475"/>
      <c r="E271" s="476"/>
      <c r="F271" s="477"/>
      <c r="G271" s="467" t="str">
        <f>IFERROR(__xludf.DUMMYFUNCTION("IFERROR(IF(C271=""Crypto"",$G$2,(IF(ISBLANK(B271),"""",IF(B271=""Cash"",$G$2,IF(GOOGLEFINANCE(B271,""CURRENCY"")=""GBX"",""GBP"",GOOGLEFINANCE(B271,""CURRENCY"")))))),Conversion!$F$1)"),"")</f>
        <v/>
      </c>
      <c r="H271" s="466" t="str">
        <f>IFERROR(__xludf.DUMMYFUNCTION("IF(G271=""GBP"",IF(B271="""","""",IF(G271=$G$2,F271,F271*GOOGLEFINANCE(""currency:""&amp;G271&amp;""""&amp;$G$2&amp;"""")))/100,IF(A271="""","""",IF(G271=$G$2,F271,F271*GOOGLEFINANCE(""Currency:""&amp;G271&amp;""""&amp;$G$2&amp;""""))))"),"")</f>
        <v/>
      </c>
    </row>
    <row r="272">
      <c r="A272" s="474"/>
      <c r="B272" s="475"/>
      <c r="C272" s="475"/>
      <c r="D272" s="475"/>
      <c r="E272" s="476"/>
      <c r="F272" s="477"/>
      <c r="G272" s="467" t="str">
        <f>IFERROR(__xludf.DUMMYFUNCTION("IFERROR(IF(C272=""Crypto"",$G$2,(IF(ISBLANK(B272),"""",IF(B272=""Cash"",$G$2,IF(GOOGLEFINANCE(B272,""CURRENCY"")=""GBX"",""GBP"",GOOGLEFINANCE(B272,""CURRENCY"")))))),Conversion!$F$1)"),"")</f>
        <v/>
      </c>
      <c r="H272" s="466" t="str">
        <f>IFERROR(__xludf.DUMMYFUNCTION("IF(G272=""GBP"",IF(B272="""","""",IF(G272=$G$2,F272,F272*GOOGLEFINANCE(""currency:""&amp;G272&amp;""""&amp;$G$2&amp;"""")))/100,IF(A272="""","""",IF(G272=$G$2,F272,F272*GOOGLEFINANCE(""Currency:""&amp;G272&amp;""""&amp;$G$2&amp;""""))))"),"")</f>
        <v/>
      </c>
    </row>
    <row r="273">
      <c r="A273" s="474"/>
      <c r="B273" s="475"/>
      <c r="C273" s="475"/>
      <c r="D273" s="475"/>
      <c r="E273" s="476"/>
      <c r="F273" s="477"/>
      <c r="G273" s="467" t="str">
        <f>IFERROR(__xludf.DUMMYFUNCTION("IFERROR(IF(C273=""Crypto"",$G$2,(IF(ISBLANK(B273),"""",IF(B273=""Cash"",$G$2,IF(GOOGLEFINANCE(B273,""CURRENCY"")=""GBX"",""GBP"",GOOGLEFINANCE(B273,""CURRENCY"")))))),Conversion!$F$1)"),"")</f>
        <v/>
      </c>
      <c r="H273" s="466" t="str">
        <f>IFERROR(__xludf.DUMMYFUNCTION("IF(G273=""GBP"",IF(B273="""","""",IF(G273=$G$2,F273,F273*GOOGLEFINANCE(""currency:""&amp;G273&amp;""""&amp;$G$2&amp;"""")))/100,IF(A273="""","""",IF(G273=$G$2,F273,F273*GOOGLEFINANCE(""Currency:""&amp;G273&amp;""""&amp;$G$2&amp;""""))))"),"")</f>
        <v/>
      </c>
    </row>
    <row r="274">
      <c r="A274" s="474"/>
      <c r="B274" s="475"/>
      <c r="C274" s="475"/>
      <c r="D274" s="475"/>
      <c r="E274" s="476"/>
      <c r="F274" s="477"/>
      <c r="G274" s="467" t="str">
        <f>IFERROR(__xludf.DUMMYFUNCTION("IFERROR(IF(C274=""Crypto"",$G$2,(IF(ISBLANK(B274),"""",IF(B274=""Cash"",$G$2,IF(GOOGLEFINANCE(B274,""CURRENCY"")=""GBX"",""GBP"",GOOGLEFINANCE(B274,""CURRENCY"")))))),Conversion!$F$1)"),"")</f>
        <v/>
      </c>
      <c r="H274" s="466" t="str">
        <f>IFERROR(__xludf.DUMMYFUNCTION("IF(G274=""GBP"",IF(B274="""","""",IF(G274=$G$2,F274,F274*GOOGLEFINANCE(""currency:""&amp;G274&amp;""""&amp;$G$2&amp;"""")))/100,IF(A274="""","""",IF(G274=$G$2,F274,F274*GOOGLEFINANCE(""Currency:""&amp;G274&amp;""""&amp;$G$2&amp;""""))))"),"")</f>
        <v/>
      </c>
    </row>
    <row r="275">
      <c r="A275" s="474"/>
      <c r="B275" s="475"/>
      <c r="C275" s="475"/>
      <c r="D275" s="475"/>
      <c r="E275" s="476"/>
      <c r="F275" s="477"/>
      <c r="G275" s="467" t="str">
        <f>IFERROR(__xludf.DUMMYFUNCTION("IFERROR(IF(C275=""Crypto"",$G$2,(IF(ISBLANK(B275),"""",IF(B275=""Cash"",$G$2,IF(GOOGLEFINANCE(B275,""CURRENCY"")=""GBX"",""GBP"",GOOGLEFINANCE(B275,""CURRENCY"")))))),Conversion!$F$1)"),"")</f>
        <v/>
      </c>
      <c r="H275" s="466" t="str">
        <f>IFERROR(__xludf.DUMMYFUNCTION("IF(G275=""GBP"",IF(B275="""","""",IF(G275=$G$2,F275,F275*GOOGLEFINANCE(""currency:""&amp;G275&amp;""""&amp;$G$2&amp;"""")))/100,IF(A275="""","""",IF(G275=$G$2,F275,F275*GOOGLEFINANCE(""Currency:""&amp;G275&amp;""""&amp;$G$2&amp;""""))))"),"")</f>
        <v/>
      </c>
    </row>
    <row r="276">
      <c r="A276" s="474"/>
      <c r="B276" s="475"/>
      <c r="C276" s="475"/>
      <c r="D276" s="475"/>
      <c r="E276" s="476"/>
      <c r="F276" s="477"/>
      <c r="G276" s="467" t="str">
        <f>IFERROR(__xludf.DUMMYFUNCTION("IFERROR(IF(C276=""Crypto"",$G$2,(IF(ISBLANK(B276),"""",IF(B276=""Cash"",$G$2,IF(GOOGLEFINANCE(B276,""CURRENCY"")=""GBX"",""GBP"",GOOGLEFINANCE(B276,""CURRENCY"")))))),Conversion!$F$1)"),"")</f>
        <v/>
      </c>
      <c r="H276" s="466" t="str">
        <f>IFERROR(__xludf.DUMMYFUNCTION("IF(G276=""GBP"",IF(B276="""","""",IF(G276=$G$2,F276,F276*GOOGLEFINANCE(""currency:""&amp;G276&amp;""""&amp;$G$2&amp;"""")))/100,IF(A276="""","""",IF(G276=$G$2,F276,F276*GOOGLEFINANCE(""Currency:""&amp;G276&amp;""""&amp;$G$2&amp;""""))))"),"")</f>
        <v/>
      </c>
    </row>
    <row r="277">
      <c r="A277" s="474"/>
      <c r="B277" s="475"/>
      <c r="C277" s="475"/>
      <c r="D277" s="475"/>
      <c r="E277" s="476"/>
      <c r="F277" s="477"/>
      <c r="G277" s="467" t="str">
        <f>IFERROR(__xludf.DUMMYFUNCTION("IFERROR(IF(C277=""Crypto"",$G$2,(IF(ISBLANK(B277),"""",IF(B277=""Cash"",$G$2,IF(GOOGLEFINANCE(B277,""CURRENCY"")=""GBX"",""GBP"",GOOGLEFINANCE(B277,""CURRENCY"")))))),Conversion!$F$1)"),"")</f>
        <v/>
      </c>
      <c r="H277" s="466" t="str">
        <f>IFERROR(__xludf.DUMMYFUNCTION("IF(G277=""GBP"",IF(B277="""","""",IF(G277=$G$2,F277,F277*GOOGLEFINANCE(""currency:""&amp;G277&amp;""""&amp;$G$2&amp;"""")))/100,IF(A277="""","""",IF(G277=$G$2,F277,F277*GOOGLEFINANCE(""Currency:""&amp;G277&amp;""""&amp;$G$2&amp;""""))))"),"")</f>
        <v/>
      </c>
    </row>
    <row r="278">
      <c r="A278" s="474"/>
      <c r="B278" s="475"/>
      <c r="C278" s="475"/>
      <c r="D278" s="475"/>
      <c r="E278" s="476"/>
      <c r="F278" s="477"/>
      <c r="G278" s="467" t="str">
        <f>IFERROR(__xludf.DUMMYFUNCTION("IFERROR(IF(C278=""Crypto"",$G$2,(IF(ISBLANK(B278),"""",IF(B278=""Cash"",$G$2,IF(GOOGLEFINANCE(B278,""CURRENCY"")=""GBX"",""GBP"",GOOGLEFINANCE(B278,""CURRENCY"")))))),Conversion!$F$1)"),"")</f>
        <v/>
      </c>
      <c r="H278" s="466" t="str">
        <f>IFERROR(__xludf.DUMMYFUNCTION("IF(G278=""GBP"",IF(B278="""","""",IF(G278=$G$2,F278,F278*GOOGLEFINANCE(""currency:""&amp;G278&amp;""""&amp;$G$2&amp;"""")))/100,IF(A278="""","""",IF(G278=$G$2,F278,F278*GOOGLEFINANCE(""Currency:""&amp;G278&amp;""""&amp;$G$2&amp;""""))))"),"")</f>
        <v/>
      </c>
    </row>
    <row r="279">
      <c r="A279" s="474"/>
      <c r="B279" s="475"/>
      <c r="C279" s="475"/>
      <c r="D279" s="475"/>
      <c r="E279" s="476"/>
      <c r="F279" s="477"/>
      <c r="G279" s="467" t="str">
        <f>IFERROR(__xludf.DUMMYFUNCTION("IFERROR(IF(C279=""Crypto"",$G$2,(IF(ISBLANK(B279),"""",IF(B279=""Cash"",$G$2,IF(GOOGLEFINANCE(B279,""CURRENCY"")=""GBX"",""GBP"",GOOGLEFINANCE(B279,""CURRENCY"")))))),Conversion!$F$1)"),"")</f>
        <v/>
      </c>
      <c r="H279" s="466" t="str">
        <f>IFERROR(__xludf.DUMMYFUNCTION("IF(G279=""GBP"",IF(B279="""","""",IF(G279=$G$2,F279,F279*GOOGLEFINANCE(""currency:""&amp;G279&amp;""""&amp;$G$2&amp;"""")))/100,IF(A279="""","""",IF(G279=$G$2,F279,F279*GOOGLEFINANCE(""Currency:""&amp;G279&amp;""""&amp;$G$2&amp;""""))))"),"")</f>
        <v/>
      </c>
    </row>
    <row r="280">
      <c r="A280" s="474"/>
      <c r="B280" s="475"/>
      <c r="C280" s="475"/>
      <c r="D280" s="475"/>
      <c r="E280" s="476"/>
      <c r="F280" s="477"/>
      <c r="G280" s="467" t="str">
        <f>IFERROR(__xludf.DUMMYFUNCTION("IFERROR(IF(C280=""Crypto"",$G$2,(IF(ISBLANK(B280),"""",IF(B280=""Cash"",$G$2,IF(GOOGLEFINANCE(B280,""CURRENCY"")=""GBX"",""GBP"",GOOGLEFINANCE(B280,""CURRENCY"")))))),Conversion!$F$1)"),"")</f>
        <v/>
      </c>
      <c r="H280" s="477"/>
    </row>
    <row r="281">
      <c r="A281" s="474"/>
      <c r="B281" s="475"/>
      <c r="C281" s="475"/>
      <c r="D281" s="475"/>
      <c r="E281" s="476"/>
      <c r="F281" s="477"/>
      <c r="G281" s="467" t="str">
        <f>IFERROR(__xludf.DUMMYFUNCTION("IFERROR(IF(C281=""Crypto"",$G$2,(IF(ISBLANK(B281),"""",IF(B281=""Cash"",$G$2,IF(GOOGLEFINANCE(B281,""CURRENCY"")=""GBX"",""GBP"",GOOGLEFINANCE(B281,""CURRENCY"")))))),Conversion!$F$1)"),"")</f>
        <v/>
      </c>
      <c r="H281" s="477"/>
    </row>
    <row r="282">
      <c r="A282" s="474"/>
      <c r="B282" s="475"/>
      <c r="C282" s="475"/>
      <c r="D282" s="475"/>
      <c r="E282" s="476"/>
      <c r="F282" s="477"/>
      <c r="G282" s="467" t="str">
        <f>IFERROR(__xludf.DUMMYFUNCTION("IFERROR(IF(C282=""Crypto"",$G$2,(IF(ISBLANK(B282),"""",IF(B282=""Cash"",$G$2,IF(GOOGLEFINANCE(B282,""CURRENCY"")=""GBX"",""GBP"",GOOGLEFINANCE(B282,""CURRENCY"")))))),Conversion!$F$1)"),"")</f>
        <v/>
      </c>
      <c r="H282" s="477"/>
    </row>
    <row r="283">
      <c r="A283" s="474"/>
      <c r="B283" s="475"/>
      <c r="C283" s="475"/>
      <c r="D283" s="475"/>
      <c r="E283" s="476"/>
      <c r="F283" s="477"/>
      <c r="G283" s="467" t="str">
        <f>IFERROR(__xludf.DUMMYFUNCTION("IFERROR(IF(C283=""Crypto"",$G$2,(IF(ISBLANK(B283),"""",IF(B283=""Cash"",$G$2,IF(GOOGLEFINANCE(B283,""CURRENCY"")=""GBX"",""GBP"",GOOGLEFINANCE(B283,""CURRENCY"")))))),Conversion!$F$1)"),"")</f>
        <v/>
      </c>
      <c r="H283" s="477"/>
    </row>
    <row r="284">
      <c r="A284" s="474"/>
      <c r="B284" s="475"/>
      <c r="C284" s="475"/>
      <c r="D284" s="475"/>
      <c r="E284" s="476"/>
      <c r="F284" s="477"/>
      <c r="G284" s="467" t="str">
        <f>IFERROR(__xludf.DUMMYFUNCTION("IFERROR(IF(C284=""Crypto"",$G$2,(IF(ISBLANK(B284),"""",IF(B284=""Cash"",$G$2,IF(GOOGLEFINANCE(B284,""CURRENCY"")=""GBX"",""GBP"",GOOGLEFINANCE(B284,""CURRENCY"")))))),Conversion!$F$1)"),"")</f>
        <v/>
      </c>
      <c r="H284" s="477"/>
    </row>
    <row r="285">
      <c r="A285" s="474"/>
      <c r="B285" s="475"/>
      <c r="C285" s="475"/>
      <c r="D285" s="475"/>
      <c r="E285" s="476"/>
      <c r="F285" s="477"/>
      <c r="G285" s="467" t="str">
        <f>IFERROR(__xludf.DUMMYFUNCTION("IFERROR(IF(C285=""Crypto"",$G$2,(IF(ISBLANK(B285),"""",IF(B285=""Cash"",$G$2,IF(GOOGLEFINANCE(B285,""CURRENCY"")=""GBX"",""GBP"",GOOGLEFINANCE(B285,""CURRENCY"")))))),Conversion!$F$1)"),"")</f>
        <v/>
      </c>
      <c r="H285" s="477"/>
    </row>
    <row r="286">
      <c r="A286" s="474"/>
      <c r="B286" s="475"/>
      <c r="C286" s="475"/>
      <c r="D286" s="475"/>
      <c r="E286" s="476"/>
      <c r="F286" s="477"/>
      <c r="G286" s="467" t="str">
        <f>IFERROR(__xludf.DUMMYFUNCTION("IFERROR(IF(C286=""Crypto"",$G$2,(IF(ISBLANK(B286),"""",IF(B286=""Cash"",$G$2,IF(GOOGLEFINANCE(B286,""CURRENCY"")=""GBX"",""GBP"",GOOGLEFINANCE(B286,""CURRENCY"")))))),Conversion!$F$1)"),"")</f>
        <v/>
      </c>
      <c r="H286" s="477"/>
    </row>
    <row r="287">
      <c r="A287" s="474"/>
      <c r="B287" s="475"/>
      <c r="C287" s="475"/>
      <c r="D287" s="475"/>
      <c r="E287" s="476"/>
      <c r="F287" s="477"/>
      <c r="G287" s="467" t="str">
        <f>IFERROR(__xludf.DUMMYFUNCTION("IFERROR(IF(C287=""Crypto"",$G$2,(IF(ISBLANK(B287),"""",IF(B287=""Cash"",$G$2,IF(GOOGLEFINANCE(B287,""CURRENCY"")=""GBX"",""GBP"",GOOGLEFINANCE(B287,""CURRENCY"")))))),Conversion!$F$1)"),"")</f>
        <v/>
      </c>
      <c r="H287" s="477"/>
    </row>
    <row r="288">
      <c r="A288" s="474"/>
      <c r="B288" s="475"/>
      <c r="C288" s="475"/>
      <c r="D288" s="475"/>
      <c r="E288" s="476"/>
      <c r="F288" s="477"/>
      <c r="G288" s="478"/>
      <c r="H288" s="477"/>
    </row>
    <row r="289">
      <c r="A289" s="474"/>
      <c r="B289" s="475"/>
      <c r="C289" s="475"/>
      <c r="D289" s="475"/>
      <c r="E289" s="476"/>
      <c r="F289" s="477"/>
      <c r="G289" s="478"/>
      <c r="H289" s="477"/>
    </row>
    <row r="290">
      <c r="A290" s="474"/>
      <c r="B290" s="475"/>
      <c r="C290" s="475"/>
      <c r="D290" s="475"/>
      <c r="E290" s="476"/>
      <c r="F290" s="477"/>
      <c r="G290" s="478"/>
      <c r="H290" s="477"/>
    </row>
    <row r="291">
      <c r="A291" s="474"/>
      <c r="B291" s="475"/>
      <c r="C291" s="475"/>
      <c r="D291" s="475"/>
      <c r="E291" s="476"/>
      <c r="F291" s="477"/>
      <c r="G291" s="478"/>
      <c r="H291" s="477"/>
    </row>
    <row r="292">
      <c r="A292" s="474"/>
      <c r="B292" s="475"/>
      <c r="C292" s="475"/>
      <c r="D292" s="475"/>
      <c r="E292" s="476"/>
      <c r="F292" s="477"/>
      <c r="G292" s="478"/>
      <c r="H292" s="477"/>
    </row>
    <row r="293">
      <c r="A293" s="474"/>
      <c r="B293" s="475"/>
      <c r="C293" s="475"/>
      <c r="D293" s="475"/>
      <c r="E293" s="476"/>
      <c r="F293" s="477"/>
      <c r="G293" s="478"/>
      <c r="H293" s="477"/>
    </row>
    <row r="294">
      <c r="A294" s="474"/>
      <c r="B294" s="475"/>
      <c r="C294" s="475"/>
      <c r="D294" s="475"/>
      <c r="E294" s="476"/>
      <c r="F294" s="477"/>
      <c r="G294" s="478"/>
      <c r="H294" s="477"/>
    </row>
    <row r="295">
      <c r="A295" s="474"/>
      <c r="B295" s="475"/>
      <c r="C295" s="475"/>
      <c r="D295" s="475"/>
      <c r="E295" s="476"/>
      <c r="F295" s="477"/>
      <c r="G295" s="478"/>
      <c r="H295" s="477"/>
    </row>
    <row r="296">
      <c r="A296" s="474"/>
      <c r="B296" s="475"/>
      <c r="C296" s="475"/>
      <c r="D296" s="475"/>
      <c r="E296" s="476"/>
      <c r="F296" s="477"/>
      <c r="G296" s="478"/>
      <c r="H296" s="477"/>
    </row>
    <row r="297">
      <c r="A297" s="474"/>
      <c r="B297" s="475"/>
      <c r="C297" s="475"/>
      <c r="D297" s="475"/>
      <c r="E297" s="476"/>
      <c r="F297" s="477"/>
      <c r="G297" s="478"/>
      <c r="H297" s="477"/>
    </row>
    <row r="298">
      <c r="A298" s="474"/>
      <c r="B298" s="475"/>
      <c r="C298" s="475"/>
      <c r="D298" s="475"/>
      <c r="E298" s="476"/>
      <c r="F298" s="477"/>
      <c r="G298" s="478"/>
      <c r="H298" s="477"/>
    </row>
    <row r="299">
      <c r="A299" s="474"/>
      <c r="B299" s="475"/>
      <c r="C299" s="475"/>
      <c r="D299" s="475"/>
      <c r="E299" s="476"/>
      <c r="F299" s="477"/>
      <c r="G299" s="478"/>
      <c r="H299" s="477"/>
    </row>
    <row r="300">
      <c r="A300" s="474"/>
      <c r="B300" s="475"/>
      <c r="C300" s="475"/>
      <c r="D300" s="475"/>
      <c r="E300" s="476"/>
      <c r="F300" s="477"/>
      <c r="G300" s="478"/>
      <c r="H300" s="477"/>
    </row>
    <row r="301">
      <c r="A301" s="474"/>
      <c r="B301" s="475"/>
      <c r="C301" s="475"/>
      <c r="D301" s="475"/>
      <c r="E301" s="476"/>
      <c r="F301" s="477"/>
      <c r="G301" s="478"/>
      <c r="H301" s="477"/>
    </row>
    <row r="302">
      <c r="A302" s="474"/>
      <c r="B302" s="475"/>
      <c r="C302" s="475"/>
      <c r="D302" s="475"/>
      <c r="E302" s="476"/>
      <c r="F302" s="477"/>
      <c r="G302" s="478"/>
      <c r="H302" s="477"/>
    </row>
    <row r="303">
      <c r="A303" s="474"/>
      <c r="B303" s="475"/>
      <c r="C303" s="475"/>
      <c r="D303" s="475"/>
      <c r="E303" s="476"/>
      <c r="F303" s="477"/>
      <c r="G303" s="478"/>
      <c r="H303" s="477"/>
    </row>
    <row r="304">
      <c r="A304" s="474"/>
      <c r="B304" s="475"/>
      <c r="C304" s="475"/>
      <c r="D304" s="475"/>
      <c r="E304" s="476"/>
      <c r="F304" s="477"/>
      <c r="G304" s="478"/>
      <c r="H304" s="477"/>
    </row>
    <row r="305">
      <c r="A305" s="474"/>
      <c r="B305" s="475"/>
      <c r="C305" s="475"/>
      <c r="D305" s="475"/>
      <c r="E305" s="476"/>
      <c r="F305" s="477"/>
      <c r="G305" s="478"/>
      <c r="H305" s="477"/>
    </row>
    <row r="306">
      <c r="A306" s="474"/>
      <c r="B306" s="475"/>
      <c r="C306" s="475"/>
      <c r="D306" s="475"/>
      <c r="E306" s="476"/>
      <c r="F306" s="477"/>
      <c r="G306" s="478"/>
      <c r="H306" s="477"/>
    </row>
    <row r="307">
      <c r="A307" s="474"/>
      <c r="B307" s="475"/>
      <c r="C307" s="475"/>
      <c r="D307" s="475"/>
      <c r="E307" s="476"/>
      <c r="F307" s="477"/>
      <c r="G307" s="478"/>
      <c r="H307" s="477"/>
    </row>
    <row r="308">
      <c r="A308" s="474"/>
      <c r="B308" s="475"/>
      <c r="C308" s="475"/>
      <c r="D308" s="475"/>
      <c r="E308" s="476"/>
      <c r="F308" s="477"/>
      <c r="G308" s="478"/>
      <c r="H308" s="477"/>
    </row>
    <row r="309">
      <c r="A309" s="474"/>
      <c r="B309" s="475"/>
      <c r="C309" s="475"/>
      <c r="D309" s="475"/>
      <c r="E309" s="476"/>
      <c r="F309" s="477"/>
      <c r="G309" s="478"/>
      <c r="H309" s="477"/>
    </row>
    <row r="310">
      <c r="A310" s="474"/>
      <c r="B310" s="475"/>
      <c r="C310" s="475"/>
      <c r="D310" s="475"/>
      <c r="E310" s="476"/>
      <c r="F310" s="477"/>
      <c r="G310" s="478"/>
      <c r="H310" s="477"/>
    </row>
    <row r="311">
      <c r="A311" s="474"/>
      <c r="B311" s="475"/>
      <c r="C311" s="475"/>
      <c r="D311" s="475"/>
      <c r="E311" s="476"/>
      <c r="F311" s="477"/>
      <c r="G311" s="478"/>
      <c r="H311" s="477"/>
    </row>
    <row r="312">
      <c r="A312" s="474"/>
      <c r="B312" s="475"/>
      <c r="C312" s="475"/>
      <c r="D312" s="475"/>
      <c r="E312" s="476"/>
      <c r="F312" s="477"/>
      <c r="G312" s="478"/>
      <c r="H312" s="477"/>
    </row>
    <row r="313">
      <c r="A313" s="474"/>
      <c r="B313" s="475"/>
      <c r="C313" s="475"/>
      <c r="D313" s="475"/>
      <c r="E313" s="476"/>
      <c r="F313" s="477"/>
      <c r="G313" s="478"/>
      <c r="H313" s="477"/>
    </row>
    <row r="314">
      <c r="A314" s="474"/>
      <c r="B314" s="475"/>
      <c r="C314" s="475"/>
      <c r="D314" s="475"/>
      <c r="E314" s="476"/>
      <c r="F314" s="477"/>
      <c r="G314" s="478"/>
      <c r="H314" s="477"/>
    </row>
    <row r="315">
      <c r="A315" s="474"/>
      <c r="B315" s="475"/>
      <c r="C315" s="475"/>
      <c r="D315" s="475"/>
      <c r="E315" s="476"/>
      <c r="F315" s="477"/>
      <c r="G315" s="478"/>
      <c r="H315" s="477"/>
    </row>
    <row r="316">
      <c r="A316" s="474"/>
      <c r="B316" s="475"/>
      <c r="C316" s="475"/>
      <c r="D316" s="475"/>
      <c r="E316" s="476"/>
      <c r="F316" s="477"/>
      <c r="G316" s="478"/>
      <c r="H316" s="477"/>
    </row>
    <row r="317">
      <c r="A317" s="474"/>
      <c r="B317" s="475"/>
      <c r="C317" s="475"/>
      <c r="D317" s="475"/>
      <c r="E317" s="476"/>
      <c r="F317" s="477"/>
      <c r="G317" s="478"/>
      <c r="H317" s="477"/>
    </row>
    <row r="318">
      <c r="A318" s="474"/>
      <c r="B318" s="475"/>
      <c r="C318" s="475"/>
      <c r="D318" s="475"/>
      <c r="E318" s="476"/>
      <c r="F318" s="477"/>
      <c r="G318" s="478"/>
      <c r="H318" s="477"/>
    </row>
    <row r="319">
      <c r="A319" s="474"/>
      <c r="B319" s="475"/>
      <c r="C319" s="475"/>
      <c r="D319" s="475"/>
      <c r="E319" s="476"/>
      <c r="F319" s="477"/>
      <c r="G319" s="478"/>
      <c r="H319" s="477"/>
    </row>
    <row r="320">
      <c r="A320" s="474"/>
      <c r="B320" s="475"/>
      <c r="C320" s="475"/>
      <c r="D320" s="475"/>
      <c r="E320" s="476"/>
      <c r="F320" s="477"/>
      <c r="G320" s="478"/>
      <c r="H320" s="477"/>
    </row>
    <row r="321">
      <c r="A321" s="474"/>
      <c r="B321" s="475"/>
      <c r="C321" s="475"/>
      <c r="D321" s="475"/>
      <c r="E321" s="476"/>
      <c r="F321" s="477"/>
      <c r="G321" s="478"/>
      <c r="H321" s="477"/>
    </row>
    <row r="322">
      <c r="A322" s="474"/>
      <c r="B322" s="475"/>
      <c r="C322" s="475"/>
      <c r="D322" s="475"/>
      <c r="E322" s="476"/>
      <c r="F322" s="477"/>
      <c r="G322" s="478"/>
      <c r="H322" s="477"/>
    </row>
    <row r="323">
      <c r="A323" s="474"/>
      <c r="B323" s="475"/>
      <c r="C323" s="475"/>
      <c r="D323" s="475"/>
      <c r="E323" s="476"/>
      <c r="F323" s="477"/>
      <c r="G323" s="478"/>
      <c r="H323" s="477"/>
    </row>
    <row r="324">
      <c r="A324" s="474"/>
      <c r="B324" s="475"/>
      <c r="C324" s="475"/>
      <c r="D324" s="475"/>
      <c r="E324" s="476"/>
      <c r="F324" s="477"/>
      <c r="G324" s="478"/>
      <c r="H324" s="477"/>
    </row>
    <row r="325">
      <c r="A325" s="474"/>
      <c r="B325" s="475"/>
      <c r="C325" s="475"/>
      <c r="D325" s="475"/>
      <c r="E325" s="476"/>
      <c r="F325" s="477"/>
      <c r="G325" s="478"/>
      <c r="H325" s="477"/>
    </row>
    <row r="326">
      <c r="A326" s="474"/>
      <c r="B326" s="475"/>
      <c r="C326" s="475"/>
      <c r="D326" s="475"/>
      <c r="E326" s="476"/>
      <c r="F326" s="477"/>
      <c r="G326" s="478"/>
      <c r="H326" s="477"/>
    </row>
    <row r="327">
      <c r="A327" s="474"/>
      <c r="B327" s="475"/>
      <c r="C327" s="475"/>
      <c r="D327" s="475"/>
      <c r="E327" s="476"/>
      <c r="F327" s="477"/>
      <c r="G327" s="478"/>
      <c r="H327" s="477"/>
    </row>
    <row r="328">
      <c r="A328" s="474"/>
      <c r="B328" s="475"/>
      <c r="C328" s="475"/>
      <c r="D328" s="475"/>
      <c r="E328" s="476"/>
      <c r="F328" s="477"/>
      <c r="G328" s="478"/>
      <c r="H328" s="477"/>
    </row>
    <row r="329">
      <c r="A329" s="474"/>
      <c r="B329" s="475"/>
      <c r="C329" s="475"/>
      <c r="D329" s="475"/>
      <c r="E329" s="476"/>
      <c r="F329" s="477"/>
      <c r="G329" s="478"/>
      <c r="H329" s="477"/>
    </row>
    <row r="330">
      <c r="A330" s="474"/>
      <c r="B330" s="475"/>
      <c r="C330" s="475"/>
      <c r="D330" s="475"/>
      <c r="E330" s="476"/>
      <c r="F330" s="477"/>
      <c r="G330" s="478"/>
      <c r="H330" s="477"/>
    </row>
    <row r="331">
      <c r="A331" s="474"/>
      <c r="B331" s="475"/>
      <c r="C331" s="475"/>
      <c r="D331" s="475"/>
      <c r="E331" s="476"/>
      <c r="F331" s="477"/>
      <c r="G331" s="478"/>
      <c r="H331" s="477"/>
    </row>
    <row r="332">
      <c r="A332" s="474"/>
      <c r="B332" s="475"/>
      <c r="C332" s="475"/>
      <c r="D332" s="475"/>
      <c r="E332" s="476"/>
      <c r="F332" s="477"/>
      <c r="G332" s="478"/>
      <c r="H332" s="477"/>
    </row>
    <row r="333">
      <c r="A333" s="474"/>
      <c r="B333" s="475"/>
      <c r="C333" s="475"/>
      <c r="D333" s="475"/>
      <c r="E333" s="476"/>
      <c r="F333" s="477"/>
      <c r="G333" s="478"/>
      <c r="H333" s="477"/>
    </row>
    <row r="334">
      <c r="A334" s="474"/>
      <c r="B334" s="475"/>
      <c r="C334" s="475"/>
      <c r="D334" s="475"/>
      <c r="E334" s="476"/>
      <c r="F334" s="477"/>
      <c r="G334" s="478"/>
      <c r="H334" s="477"/>
    </row>
    <row r="335">
      <c r="A335" s="474"/>
      <c r="B335" s="475"/>
      <c r="C335" s="475"/>
      <c r="D335" s="475"/>
      <c r="E335" s="476"/>
      <c r="F335" s="477"/>
      <c r="G335" s="478"/>
      <c r="H335" s="477"/>
    </row>
    <row r="336">
      <c r="A336" s="474"/>
      <c r="B336" s="475"/>
      <c r="C336" s="475"/>
      <c r="D336" s="475"/>
      <c r="E336" s="476"/>
      <c r="F336" s="477"/>
      <c r="G336" s="478"/>
      <c r="H336" s="477"/>
    </row>
    <row r="337">
      <c r="A337" s="474"/>
      <c r="B337" s="475"/>
      <c r="C337" s="475"/>
      <c r="D337" s="475"/>
      <c r="E337" s="476"/>
      <c r="F337" s="477"/>
      <c r="G337" s="478"/>
      <c r="H337" s="477"/>
    </row>
    <row r="338">
      <c r="A338" s="474"/>
      <c r="B338" s="475"/>
      <c r="C338" s="475"/>
      <c r="D338" s="475"/>
      <c r="E338" s="476"/>
      <c r="F338" s="477"/>
      <c r="G338" s="478"/>
      <c r="H338" s="477"/>
    </row>
    <row r="339">
      <c r="A339" s="474"/>
      <c r="B339" s="475"/>
      <c r="C339" s="475"/>
      <c r="D339" s="475"/>
      <c r="E339" s="476"/>
      <c r="F339" s="477"/>
      <c r="G339" s="478"/>
      <c r="H339" s="477"/>
    </row>
    <row r="340">
      <c r="A340" s="474"/>
      <c r="B340" s="475"/>
      <c r="C340" s="475"/>
      <c r="D340" s="475"/>
      <c r="E340" s="476"/>
      <c r="F340" s="477"/>
      <c r="G340" s="478"/>
      <c r="H340" s="477"/>
    </row>
    <row r="341">
      <c r="A341" s="474"/>
      <c r="B341" s="475"/>
      <c r="C341" s="475"/>
      <c r="D341" s="475"/>
      <c r="E341" s="476"/>
      <c r="F341" s="477"/>
      <c r="G341" s="478"/>
      <c r="H341" s="477"/>
    </row>
    <row r="342">
      <c r="A342" s="474"/>
      <c r="B342" s="475"/>
      <c r="C342" s="475"/>
      <c r="D342" s="475"/>
      <c r="E342" s="476"/>
      <c r="F342" s="477"/>
      <c r="G342" s="478"/>
      <c r="H342" s="477"/>
    </row>
    <row r="343">
      <c r="A343" s="474"/>
      <c r="B343" s="475"/>
      <c r="C343" s="475"/>
      <c r="D343" s="475"/>
      <c r="E343" s="476"/>
      <c r="F343" s="477"/>
      <c r="G343" s="478"/>
      <c r="H343" s="477"/>
    </row>
    <row r="344">
      <c r="A344" s="474"/>
      <c r="B344" s="475"/>
      <c r="C344" s="475"/>
      <c r="D344" s="475"/>
      <c r="E344" s="476"/>
      <c r="F344" s="477"/>
      <c r="G344" s="478"/>
      <c r="H344" s="477"/>
    </row>
    <row r="345">
      <c r="A345" s="474"/>
      <c r="B345" s="475"/>
      <c r="C345" s="475"/>
      <c r="D345" s="475"/>
      <c r="E345" s="476"/>
      <c r="F345" s="477"/>
      <c r="G345" s="478"/>
      <c r="H345" s="477"/>
    </row>
    <row r="346">
      <c r="A346" s="474"/>
      <c r="B346" s="475"/>
      <c r="C346" s="475"/>
      <c r="D346" s="475"/>
      <c r="E346" s="476"/>
      <c r="F346" s="477"/>
      <c r="G346" s="478"/>
      <c r="H346" s="477"/>
    </row>
    <row r="347">
      <c r="A347" s="474"/>
      <c r="B347" s="475"/>
      <c r="C347" s="475"/>
      <c r="D347" s="475"/>
      <c r="E347" s="476"/>
      <c r="F347" s="477"/>
      <c r="G347" s="478"/>
      <c r="H347" s="477"/>
    </row>
    <row r="348">
      <c r="A348" s="474"/>
      <c r="B348" s="475"/>
      <c r="C348" s="475"/>
      <c r="D348" s="475"/>
      <c r="E348" s="476"/>
      <c r="F348" s="477"/>
      <c r="G348" s="478"/>
      <c r="H348" s="477"/>
    </row>
    <row r="349">
      <c r="A349" s="474"/>
      <c r="B349" s="475"/>
      <c r="C349" s="475"/>
      <c r="D349" s="475"/>
      <c r="E349" s="476"/>
      <c r="F349" s="477"/>
      <c r="G349" s="478"/>
      <c r="H349" s="477"/>
    </row>
    <row r="350">
      <c r="A350" s="474"/>
      <c r="B350" s="475"/>
      <c r="C350" s="475"/>
      <c r="D350" s="475"/>
      <c r="E350" s="476"/>
      <c r="F350" s="477"/>
      <c r="G350" s="478"/>
      <c r="H350" s="477"/>
    </row>
    <row r="351">
      <c r="A351" s="474"/>
      <c r="B351" s="475"/>
      <c r="C351" s="475"/>
      <c r="D351" s="475"/>
      <c r="E351" s="476"/>
      <c r="F351" s="477"/>
      <c r="G351" s="478"/>
      <c r="H351" s="477"/>
    </row>
    <row r="352">
      <c r="A352" s="474"/>
      <c r="B352" s="475"/>
      <c r="C352" s="475"/>
      <c r="D352" s="475"/>
      <c r="E352" s="476"/>
      <c r="F352" s="477"/>
      <c r="G352" s="478"/>
      <c r="H352" s="477"/>
    </row>
    <row r="353">
      <c r="A353" s="474"/>
      <c r="B353" s="475"/>
      <c r="C353" s="475"/>
      <c r="D353" s="475"/>
      <c r="E353" s="476"/>
      <c r="F353" s="477"/>
      <c r="G353" s="478"/>
      <c r="H353" s="477"/>
    </row>
    <row r="354">
      <c r="A354" s="474"/>
      <c r="B354" s="475"/>
      <c r="C354" s="475"/>
      <c r="D354" s="475"/>
      <c r="E354" s="476"/>
      <c r="F354" s="477"/>
      <c r="G354" s="478"/>
      <c r="H354" s="477"/>
    </row>
    <row r="355">
      <c r="A355" s="474"/>
      <c r="B355" s="475"/>
      <c r="C355" s="475"/>
      <c r="D355" s="475"/>
      <c r="E355" s="476"/>
      <c r="F355" s="477"/>
      <c r="G355" s="478"/>
      <c r="H355" s="477"/>
    </row>
    <row r="356">
      <c r="A356" s="474"/>
      <c r="B356" s="475"/>
      <c r="C356" s="475"/>
      <c r="D356" s="475"/>
      <c r="E356" s="476"/>
      <c r="F356" s="477"/>
      <c r="G356" s="478"/>
      <c r="H356" s="477"/>
    </row>
    <row r="357">
      <c r="A357" s="474"/>
      <c r="B357" s="475"/>
      <c r="C357" s="475"/>
      <c r="D357" s="475"/>
      <c r="E357" s="476"/>
      <c r="F357" s="477"/>
      <c r="G357" s="478"/>
      <c r="H357" s="477"/>
    </row>
    <row r="358">
      <c r="A358" s="474"/>
      <c r="B358" s="475"/>
      <c r="C358" s="475"/>
      <c r="D358" s="475"/>
      <c r="E358" s="476"/>
      <c r="F358" s="477"/>
      <c r="G358" s="478"/>
      <c r="H358" s="477"/>
    </row>
    <row r="359">
      <c r="A359" s="474"/>
      <c r="B359" s="475"/>
      <c r="C359" s="475"/>
      <c r="D359" s="475"/>
      <c r="E359" s="476"/>
      <c r="F359" s="477"/>
      <c r="G359" s="478"/>
      <c r="H359" s="477"/>
    </row>
    <row r="360">
      <c r="A360" s="474"/>
      <c r="B360" s="475"/>
      <c r="C360" s="475"/>
      <c r="D360" s="475"/>
      <c r="E360" s="476"/>
      <c r="F360" s="477"/>
      <c r="G360" s="478"/>
      <c r="H360" s="477"/>
    </row>
    <row r="361">
      <c r="A361" s="474"/>
      <c r="B361" s="475"/>
      <c r="C361" s="475"/>
      <c r="D361" s="475"/>
      <c r="E361" s="476"/>
      <c r="F361" s="477"/>
      <c r="G361" s="478"/>
      <c r="H361" s="477"/>
    </row>
    <row r="362">
      <c r="A362" s="474"/>
      <c r="B362" s="475"/>
      <c r="C362" s="475"/>
      <c r="D362" s="475"/>
      <c r="E362" s="476"/>
      <c r="F362" s="477"/>
      <c r="G362" s="478"/>
      <c r="H362" s="477"/>
    </row>
    <row r="363">
      <c r="A363" s="474"/>
      <c r="B363" s="475"/>
      <c r="C363" s="475"/>
      <c r="D363" s="475"/>
      <c r="E363" s="476"/>
      <c r="F363" s="477"/>
      <c r="G363" s="478"/>
      <c r="H363" s="477"/>
    </row>
    <row r="364">
      <c r="A364" s="474"/>
      <c r="B364" s="475"/>
      <c r="C364" s="475"/>
      <c r="D364" s="475"/>
      <c r="E364" s="476"/>
      <c r="F364" s="477"/>
      <c r="G364" s="478"/>
      <c r="H364" s="477"/>
    </row>
    <row r="365">
      <c r="A365" s="474"/>
      <c r="B365" s="475"/>
      <c r="C365" s="475"/>
      <c r="D365" s="475"/>
      <c r="E365" s="476"/>
      <c r="F365" s="477"/>
      <c r="G365" s="478"/>
      <c r="H365" s="477"/>
    </row>
    <row r="366">
      <c r="A366" s="474"/>
      <c r="B366" s="475"/>
      <c r="C366" s="475"/>
      <c r="D366" s="475"/>
      <c r="E366" s="476"/>
      <c r="F366" s="477"/>
      <c r="G366" s="478"/>
      <c r="H366" s="477"/>
    </row>
    <row r="367">
      <c r="A367" s="474"/>
      <c r="B367" s="475"/>
      <c r="C367" s="475"/>
      <c r="D367" s="475"/>
      <c r="E367" s="476"/>
      <c r="F367" s="477"/>
      <c r="G367" s="478"/>
      <c r="H367" s="477"/>
    </row>
    <row r="368">
      <c r="A368" s="474"/>
      <c r="B368" s="475"/>
      <c r="C368" s="475"/>
      <c r="D368" s="475"/>
      <c r="E368" s="476"/>
      <c r="F368" s="477"/>
      <c r="G368" s="478"/>
      <c r="H368" s="477"/>
    </row>
    <row r="369">
      <c r="A369" s="474"/>
      <c r="B369" s="475"/>
      <c r="C369" s="475"/>
      <c r="D369" s="475"/>
      <c r="E369" s="476"/>
      <c r="F369" s="477"/>
      <c r="G369" s="478"/>
      <c r="H369" s="477"/>
    </row>
    <row r="370">
      <c r="A370" s="474"/>
      <c r="B370" s="475"/>
      <c r="C370" s="475"/>
      <c r="D370" s="475"/>
      <c r="E370" s="476"/>
      <c r="F370" s="477"/>
      <c r="G370" s="478"/>
      <c r="H370" s="477"/>
    </row>
    <row r="371">
      <c r="A371" s="474"/>
      <c r="B371" s="475"/>
      <c r="C371" s="475"/>
      <c r="D371" s="475"/>
      <c r="E371" s="476"/>
      <c r="F371" s="477"/>
      <c r="G371" s="478"/>
      <c r="H371" s="477"/>
    </row>
    <row r="372">
      <c r="A372" s="474"/>
      <c r="B372" s="475"/>
      <c r="C372" s="475"/>
      <c r="D372" s="475"/>
      <c r="E372" s="476"/>
      <c r="F372" s="477"/>
      <c r="G372" s="478"/>
      <c r="H372" s="477"/>
    </row>
    <row r="373">
      <c r="A373" s="474"/>
      <c r="B373" s="475"/>
      <c r="C373" s="475"/>
      <c r="D373" s="475"/>
      <c r="E373" s="476"/>
      <c r="F373" s="477"/>
      <c r="G373" s="478"/>
      <c r="H373" s="477"/>
    </row>
    <row r="374">
      <c r="A374" s="474"/>
      <c r="B374" s="475"/>
      <c r="C374" s="475"/>
      <c r="D374" s="475"/>
      <c r="E374" s="476"/>
      <c r="F374" s="477"/>
      <c r="G374" s="478"/>
      <c r="H374" s="477"/>
    </row>
    <row r="375">
      <c r="A375" s="474"/>
      <c r="B375" s="475"/>
      <c r="C375" s="475"/>
      <c r="D375" s="475"/>
      <c r="E375" s="476"/>
      <c r="F375" s="477"/>
      <c r="G375" s="478"/>
      <c r="H375" s="477"/>
    </row>
    <row r="376">
      <c r="A376" s="474"/>
      <c r="B376" s="475"/>
      <c r="C376" s="475"/>
      <c r="D376" s="475"/>
      <c r="E376" s="476"/>
      <c r="F376" s="477"/>
      <c r="G376" s="478"/>
      <c r="H376" s="477"/>
    </row>
    <row r="377">
      <c r="A377" s="474"/>
      <c r="B377" s="475"/>
      <c r="C377" s="475"/>
      <c r="D377" s="475"/>
      <c r="E377" s="476"/>
      <c r="F377" s="477"/>
      <c r="G377" s="478"/>
      <c r="H377" s="477"/>
    </row>
    <row r="378">
      <c r="A378" s="474"/>
      <c r="B378" s="475"/>
      <c r="C378" s="475"/>
      <c r="D378" s="475"/>
      <c r="E378" s="476"/>
      <c r="F378" s="477"/>
      <c r="G378" s="478"/>
      <c r="H378" s="477"/>
    </row>
    <row r="379">
      <c r="A379" s="474"/>
      <c r="B379" s="475"/>
      <c r="C379" s="475"/>
      <c r="D379" s="475"/>
      <c r="E379" s="476"/>
      <c r="F379" s="477"/>
      <c r="G379" s="478"/>
      <c r="H379" s="477"/>
    </row>
    <row r="380">
      <c r="A380" s="474"/>
      <c r="B380" s="475"/>
      <c r="C380" s="475"/>
      <c r="D380" s="475"/>
      <c r="E380" s="476"/>
      <c r="F380" s="477"/>
      <c r="G380" s="478"/>
      <c r="H380" s="477"/>
    </row>
    <row r="381">
      <c r="A381" s="474"/>
      <c r="B381" s="475"/>
      <c r="C381" s="475"/>
      <c r="D381" s="475"/>
      <c r="E381" s="476"/>
      <c r="F381" s="477"/>
      <c r="G381" s="478"/>
      <c r="H381" s="477"/>
    </row>
    <row r="382">
      <c r="A382" s="474"/>
      <c r="B382" s="475"/>
      <c r="C382" s="475"/>
      <c r="D382" s="475"/>
      <c r="E382" s="476"/>
      <c r="F382" s="477"/>
      <c r="G382" s="478"/>
      <c r="H382" s="477"/>
    </row>
    <row r="383">
      <c r="A383" s="474"/>
      <c r="B383" s="475"/>
      <c r="C383" s="475"/>
      <c r="D383" s="475"/>
      <c r="E383" s="476"/>
      <c r="F383" s="477"/>
      <c r="G383" s="478"/>
      <c r="H383" s="477"/>
    </row>
    <row r="384">
      <c r="A384" s="474"/>
      <c r="B384" s="475"/>
      <c r="C384" s="475"/>
      <c r="D384" s="475"/>
      <c r="E384" s="476"/>
      <c r="F384" s="477"/>
      <c r="G384" s="478"/>
      <c r="H384" s="477"/>
    </row>
    <row r="385">
      <c r="A385" s="474"/>
      <c r="B385" s="475"/>
      <c r="C385" s="475"/>
      <c r="D385" s="475"/>
      <c r="E385" s="476"/>
      <c r="F385" s="477"/>
      <c r="G385" s="478"/>
      <c r="H385" s="477"/>
    </row>
    <row r="386">
      <c r="A386" s="474"/>
      <c r="B386" s="475"/>
      <c r="C386" s="475"/>
      <c r="D386" s="475"/>
      <c r="E386" s="476"/>
      <c r="F386" s="477"/>
      <c r="G386" s="478"/>
      <c r="H386" s="477"/>
    </row>
    <row r="387">
      <c r="A387" s="474"/>
      <c r="B387" s="475"/>
      <c r="C387" s="475"/>
      <c r="D387" s="475"/>
      <c r="E387" s="476"/>
      <c r="F387" s="477"/>
      <c r="G387" s="478"/>
      <c r="H387" s="477"/>
    </row>
    <row r="388">
      <c r="A388" s="474"/>
      <c r="B388" s="475"/>
      <c r="C388" s="475"/>
      <c r="D388" s="475"/>
      <c r="E388" s="476"/>
      <c r="F388" s="477"/>
      <c r="G388" s="478"/>
      <c r="H388" s="477"/>
    </row>
    <row r="389">
      <c r="A389" s="474"/>
      <c r="B389" s="475"/>
      <c r="C389" s="475"/>
      <c r="D389" s="475"/>
      <c r="E389" s="476"/>
      <c r="F389" s="477"/>
      <c r="G389" s="478"/>
      <c r="H389" s="477"/>
    </row>
    <row r="390">
      <c r="A390" s="474"/>
      <c r="B390" s="475"/>
      <c r="C390" s="475"/>
      <c r="D390" s="475"/>
      <c r="E390" s="476"/>
      <c r="F390" s="477"/>
      <c r="G390" s="478"/>
      <c r="H390" s="477"/>
    </row>
    <row r="391">
      <c r="A391" s="474"/>
      <c r="B391" s="475"/>
      <c r="C391" s="475"/>
      <c r="D391" s="475"/>
      <c r="E391" s="476"/>
      <c r="F391" s="477"/>
      <c r="G391" s="478"/>
      <c r="H391" s="477"/>
    </row>
    <row r="392">
      <c r="A392" s="474"/>
      <c r="B392" s="475"/>
      <c r="C392" s="475"/>
      <c r="D392" s="475"/>
      <c r="E392" s="476"/>
      <c r="F392" s="477"/>
      <c r="G392" s="478"/>
      <c r="H392" s="477"/>
    </row>
    <row r="393">
      <c r="A393" s="474"/>
      <c r="B393" s="475"/>
      <c r="C393" s="475"/>
      <c r="D393" s="475"/>
      <c r="E393" s="476"/>
      <c r="F393" s="477"/>
      <c r="G393" s="478"/>
      <c r="H393" s="477"/>
    </row>
    <row r="394">
      <c r="A394" s="474"/>
      <c r="B394" s="475"/>
      <c r="C394" s="475"/>
      <c r="D394" s="475"/>
      <c r="E394" s="476"/>
      <c r="F394" s="477"/>
      <c r="G394" s="478"/>
      <c r="H394" s="477"/>
    </row>
    <row r="395">
      <c r="A395" s="474"/>
      <c r="B395" s="475"/>
      <c r="C395" s="475"/>
      <c r="D395" s="475"/>
      <c r="E395" s="476"/>
      <c r="F395" s="477"/>
      <c r="G395" s="478"/>
      <c r="H395" s="477"/>
    </row>
    <row r="396">
      <c r="A396" s="474"/>
      <c r="B396" s="475"/>
      <c r="C396" s="475"/>
      <c r="D396" s="475"/>
      <c r="E396" s="476"/>
      <c r="F396" s="477"/>
      <c r="G396" s="478"/>
      <c r="H396" s="477"/>
    </row>
    <row r="397">
      <c r="A397" s="474"/>
      <c r="B397" s="475"/>
      <c r="C397" s="475"/>
      <c r="D397" s="475"/>
      <c r="E397" s="476"/>
      <c r="F397" s="477"/>
      <c r="G397" s="478"/>
      <c r="H397" s="477"/>
    </row>
    <row r="398">
      <c r="A398" s="474"/>
      <c r="B398" s="475"/>
      <c r="C398" s="475"/>
      <c r="D398" s="475"/>
      <c r="E398" s="476"/>
      <c r="F398" s="477"/>
      <c r="G398" s="478"/>
      <c r="H398" s="477"/>
    </row>
    <row r="399">
      <c r="A399" s="474"/>
      <c r="B399" s="475"/>
      <c r="C399" s="475"/>
      <c r="D399" s="475"/>
      <c r="E399" s="476"/>
      <c r="F399" s="477"/>
      <c r="G399" s="478"/>
      <c r="H399" s="477"/>
    </row>
    <row r="400">
      <c r="A400" s="474"/>
      <c r="B400" s="475"/>
      <c r="C400" s="475"/>
      <c r="D400" s="475"/>
      <c r="E400" s="476"/>
      <c r="F400" s="477"/>
      <c r="G400" s="478"/>
      <c r="H400" s="477"/>
    </row>
    <row r="401">
      <c r="A401" s="474"/>
      <c r="B401" s="475"/>
      <c r="C401" s="475"/>
      <c r="D401" s="475"/>
      <c r="E401" s="476"/>
      <c r="F401" s="477"/>
      <c r="G401" s="478"/>
      <c r="H401" s="477"/>
    </row>
    <row r="402">
      <c r="A402" s="474"/>
      <c r="B402" s="475"/>
      <c r="C402" s="475"/>
      <c r="D402" s="475"/>
      <c r="E402" s="476"/>
      <c r="F402" s="477"/>
      <c r="G402" s="478"/>
      <c r="H402" s="477"/>
    </row>
    <row r="403">
      <c r="A403" s="474"/>
      <c r="B403" s="475"/>
      <c r="C403" s="475"/>
      <c r="D403" s="475"/>
      <c r="E403" s="476"/>
      <c r="F403" s="477"/>
      <c r="G403" s="478"/>
      <c r="H403" s="477"/>
    </row>
    <row r="404">
      <c r="A404" s="474"/>
      <c r="B404" s="475"/>
      <c r="C404" s="475"/>
      <c r="D404" s="475"/>
      <c r="E404" s="476"/>
      <c r="F404" s="477"/>
      <c r="G404" s="478"/>
      <c r="H404" s="477"/>
    </row>
    <row r="405">
      <c r="A405" s="474"/>
      <c r="B405" s="475"/>
      <c r="C405" s="475"/>
      <c r="D405" s="475"/>
      <c r="E405" s="476"/>
      <c r="F405" s="477"/>
      <c r="G405" s="478"/>
      <c r="H405" s="477"/>
    </row>
    <row r="406">
      <c r="A406" s="474"/>
      <c r="B406" s="475"/>
      <c r="C406" s="475"/>
      <c r="D406" s="475"/>
      <c r="E406" s="476"/>
      <c r="F406" s="477"/>
      <c r="G406" s="478"/>
      <c r="H406" s="477"/>
    </row>
    <row r="407">
      <c r="A407" s="474"/>
      <c r="B407" s="475"/>
      <c r="C407" s="475"/>
      <c r="D407" s="475"/>
      <c r="E407" s="476"/>
      <c r="F407" s="477"/>
      <c r="G407" s="478"/>
      <c r="H407" s="477"/>
    </row>
    <row r="408">
      <c r="A408" s="474"/>
      <c r="B408" s="475"/>
      <c r="C408" s="475"/>
      <c r="D408" s="475"/>
      <c r="E408" s="476"/>
      <c r="F408" s="477"/>
      <c r="G408" s="478"/>
      <c r="H408" s="477"/>
    </row>
    <row r="409">
      <c r="A409" s="474"/>
      <c r="B409" s="475"/>
      <c r="C409" s="475"/>
      <c r="D409" s="475"/>
      <c r="E409" s="476"/>
      <c r="F409" s="477"/>
      <c r="G409" s="478"/>
      <c r="H409" s="477"/>
    </row>
    <row r="410">
      <c r="A410" s="474"/>
      <c r="B410" s="475"/>
      <c r="C410" s="475"/>
      <c r="D410" s="475"/>
      <c r="E410" s="476"/>
      <c r="F410" s="477"/>
      <c r="G410" s="478"/>
      <c r="H410" s="477"/>
    </row>
    <row r="411">
      <c r="A411" s="474"/>
      <c r="B411" s="475"/>
      <c r="C411" s="475"/>
      <c r="D411" s="475"/>
      <c r="E411" s="476"/>
      <c r="F411" s="477"/>
      <c r="G411" s="478"/>
      <c r="H411" s="477"/>
    </row>
    <row r="412">
      <c r="A412" s="474"/>
      <c r="B412" s="475"/>
      <c r="C412" s="475"/>
      <c r="D412" s="475"/>
      <c r="E412" s="476"/>
      <c r="F412" s="477"/>
      <c r="G412" s="478"/>
      <c r="H412" s="477"/>
    </row>
    <row r="413">
      <c r="A413" s="474"/>
      <c r="B413" s="475"/>
      <c r="C413" s="475"/>
      <c r="D413" s="475"/>
      <c r="E413" s="476"/>
      <c r="F413" s="477"/>
      <c r="G413" s="478"/>
      <c r="H413" s="477"/>
    </row>
    <row r="414">
      <c r="A414" s="474"/>
      <c r="B414" s="475"/>
      <c r="C414" s="475"/>
      <c r="D414" s="475"/>
      <c r="E414" s="476"/>
      <c r="F414" s="477"/>
      <c r="G414" s="478"/>
      <c r="H414" s="477"/>
    </row>
    <row r="415">
      <c r="A415" s="474"/>
      <c r="B415" s="475"/>
      <c r="C415" s="475"/>
      <c r="D415" s="475"/>
      <c r="E415" s="476"/>
      <c r="F415" s="477"/>
      <c r="G415" s="478"/>
      <c r="H415" s="477"/>
    </row>
    <row r="416">
      <c r="A416" s="474"/>
      <c r="B416" s="475"/>
      <c r="C416" s="475"/>
      <c r="D416" s="475"/>
      <c r="E416" s="476"/>
      <c r="F416" s="477"/>
      <c r="G416" s="478"/>
      <c r="H416" s="477"/>
    </row>
    <row r="417">
      <c r="A417" s="474"/>
      <c r="B417" s="475"/>
      <c r="C417" s="475"/>
      <c r="D417" s="475"/>
      <c r="E417" s="476"/>
      <c r="F417" s="477"/>
      <c r="G417" s="478"/>
      <c r="H417" s="477"/>
    </row>
    <row r="418">
      <c r="A418" s="474"/>
      <c r="B418" s="475"/>
      <c r="C418" s="475"/>
      <c r="D418" s="475"/>
      <c r="E418" s="476"/>
      <c r="F418" s="477"/>
      <c r="G418" s="478"/>
      <c r="H418" s="477"/>
    </row>
    <row r="419">
      <c r="A419" s="474"/>
      <c r="B419" s="475"/>
      <c r="C419" s="475"/>
      <c r="D419" s="475"/>
      <c r="E419" s="476"/>
      <c r="F419" s="477"/>
      <c r="G419" s="478"/>
      <c r="H419" s="477"/>
    </row>
    <row r="420">
      <c r="A420" s="474"/>
      <c r="B420" s="475"/>
      <c r="C420" s="475"/>
      <c r="D420" s="475"/>
      <c r="E420" s="476"/>
      <c r="F420" s="477"/>
      <c r="G420" s="478"/>
      <c r="H420" s="477"/>
    </row>
    <row r="421">
      <c r="A421" s="474"/>
      <c r="B421" s="475"/>
      <c r="C421" s="475"/>
      <c r="D421" s="475"/>
      <c r="E421" s="476"/>
      <c r="F421" s="477"/>
      <c r="G421" s="478"/>
      <c r="H421" s="477"/>
    </row>
    <row r="422">
      <c r="A422" s="474"/>
      <c r="B422" s="475"/>
      <c r="C422" s="475"/>
      <c r="D422" s="475"/>
      <c r="E422" s="476"/>
      <c r="F422" s="477"/>
      <c r="G422" s="478"/>
      <c r="H422" s="477"/>
    </row>
    <row r="423">
      <c r="A423" s="474"/>
      <c r="B423" s="475"/>
      <c r="C423" s="475"/>
      <c r="D423" s="475"/>
      <c r="E423" s="476"/>
      <c r="F423" s="477"/>
      <c r="G423" s="478"/>
      <c r="H423" s="477"/>
    </row>
    <row r="424">
      <c r="A424" s="474"/>
      <c r="B424" s="475"/>
      <c r="C424" s="475"/>
      <c r="D424" s="475"/>
      <c r="E424" s="476"/>
      <c r="F424" s="477"/>
      <c r="G424" s="478"/>
      <c r="H424" s="477"/>
    </row>
    <row r="425">
      <c r="A425" s="474"/>
      <c r="B425" s="475"/>
      <c r="C425" s="475"/>
      <c r="D425" s="475"/>
      <c r="E425" s="476"/>
      <c r="F425" s="477"/>
      <c r="G425" s="478"/>
      <c r="H425" s="477"/>
    </row>
    <row r="426">
      <c r="A426" s="474"/>
      <c r="B426" s="475"/>
      <c r="C426" s="475"/>
      <c r="D426" s="475"/>
      <c r="E426" s="476"/>
      <c r="F426" s="477"/>
      <c r="G426" s="478"/>
      <c r="H426" s="477"/>
    </row>
    <row r="427">
      <c r="A427" s="474"/>
      <c r="B427" s="475"/>
      <c r="C427" s="475"/>
      <c r="D427" s="475"/>
      <c r="E427" s="476"/>
      <c r="F427" s="477"/>
      <c r="G427" s="478"/>
      <c r="H427" s="477"/>
    </row>
    <row r="428">
      <c r="A428" s="474"/>
      <c r="B428" s="475"/>
      <c r="C428" s="475"/>
      <c r="D428" s="475"/>
      <c r="E428" s="476"/>
      <c r="F428" s="477"/>
      <c r="G428" s="478"/>
      <c r="H428" s="477"/>
    </row>
    <row r="429">
      <c r="A429" s="474"/>
      <c r="B429" s="475"/>
      <c r="C429" s="475"/>
      <c r="D429" s="475"/>
      <c r="E429" s="476"/>
      <c r="F429" s="477"/>
      <c r="G429" s="478"/>
      <c r="H429" s="477"/>
    </row>
    <row r="430">
      <c r="A430" s="474"/>
      <c r="B430" s="475"/>
      <c r="C430" s="475"/>
      <c r="D430" s="475"/>
      <c r="E430" s="476"/>
      <c r="F430" s="477"/>
      <c r="G430" s="478"/>
      <c r="H430" s="477"/>
    </row>
    <row r="431">
      <c r="A431" s="474"/>
      <c r="B431" s="475"/>
      <c r="C431" s="475"/>
      <c r="D431" s="475"/>
      <c r="E431" s="476"/>
      <c r="F431" s="477"/>
      <c r="G431" s="478"/>
      <c r="H431" s="477"/>
    </row>
    <row r="432">
      <c r="A432" s="474"/>
      <c r="B432" s="475"/>
      <c r="C432" s="475"/>
      <c r="D432" s="475"/>
      <c r="E432" s="476"/>
      <c r="F432" s="477"/>
      <c r="G432" s="478"/>
      <c r="H432" s="477"/>
    </row>
    <row r="433">
      <c r="A433" s="474"/>
      <c r="B433" s="475"/>
      <c r="C433" s="475"/>
      <c r="D433" s="475"/>
      <c r="E433" s="476"/>
      <c r="F433" s="477"/>
      <c r="G433" s="478"/>
      <c r="H433" s="477"/>
    </row>
    <row r="434">
      <c r="A434" s="474"/>
      <c r="B434" s="475"/>
      <c r="C434" s="475"/>
      <c r="D434" s="475"/>
      <c r="E434" s="476"/>
      <c r="F434" s="477"/>
      <c r="G434" s="478"/>
      <c r="H434" s="477"/>
    </row>
    <row r="435">
      <c r="A435" s="474"/>
      <c r="B435" s="475"/>
      <c r="C435" s="475"/>
      <c r="D435" s="475"/>
      <c r="E435" s="476"/>
      <c r="F435" s="477"/>
      <c r="G435" s="478"/>
      <c r="H435" s="477"/>
    </row>
    <row r="436">
      <c r="A436" s="474"/>
      <c r="B436" s="475"/>
      <c r="C436" s="475"/>
      <c r="D436" s="475"/>
      <c r="E436" s="476"/>
      <c r="F436" s="477"/>
      <c r="G436" s="478"/>
      <c r="H436" s="477"/>
    </row>
    <row r="437">
      <c r="A437" s="474"/>
      <c r="B437" s="475"/>
      <c r="C437" s="475"/>
      <c r="D437" s="475"/>
      <c r="E437" s="476"/>
      <c r="F437" s="477"/>
      <c r="G437" s="478"/>
      <c r="H437" s="477"/>
    </row>
    <row r="438">
      <c r="A438" s="474"/>
      <c r="B438" s="475"/>
      <c r="C438" s="475"/>
      <c r="D438" s="475"/>
      <c r="E438" s="476"/>
      <c r="F438" s="477"/>
      <c r="G438" s="478"/>
      <c r="H438" s="477"/>
    </row>
    <row r="439">
      <c r="A439" s="474"/>
      <c r="B439" s="475"/>
      <c r="C439" s="475"/>
      <c r="D439" s="475"/>
      <c r="E439" s="476"/>
      <c r="F439" s="477"/>
      <c r="G439" s="478"/>
      <c r="H439" s="477"/>
    </row>
    <row r="440">
      <c r="A440" s="474"/>
      <c r="B440" s="475"/>
      <c r="C440" s="475"/>
      <c r="D440" s="475"/>
      <c r="E440" s="476"/>
      <c r="F440" s="477"/>
      <c r="G440" s="478"/>
      <c r="H440" s="477"/>
    </row>
    <row r="441">
      <c r="A441" s="474"/>
      <c r="B441" s="475"/>
      <c r="C441" s="475"/>
      <c r="D441" s="475"/>
      <c r="E441" s="476"/>
      <c r="F441" s="477"/>
      <c r="G441" s="478"/>
      <c r="H441" s="477"/>
    </row>
    <row r="442">
      <c r="A442" s="474"/>
      <c r="B442" s="475"/>
      <c r="C442" s="475"/>
      <c r="D442" s="475"/>
      <c r="E442" s="476"/>
      <c r="F442" s="477"/>
      <c r="G442" s="478"/>
      <c r="H442" s="477"/>
    </row>
    <row r="443">
      <c r="A443" s="474"/>
      <c r="B443" s="475"/>
      <c r="C443" s="475"/>
      <c r="D443" s="475"/>
      <c r="E443" s="476"/>
      <c r="F443" s="477"/>
      <c r="G443" s="478"/>
      <c r="H443" s="477"/>
    </row>
    <row r="444">
      <c r="A444" s="474"/>
      <c r="B444" s="475"/>
      <c r="C444" s="475"/>
      <c r="D444" s="475"/>
      <c r="E444" s="476"/>
      <c r="F444" s="477"/>
      <c r="G444" s="478"/>
      <c r="H444" s="477"/>
    </row>
    <row r="445">
      <c r="A445" s="474"/>
      <c r="B445" s="475"/>
      <c r="C445" s="475"/>
      <c r="D445" s="475"/>
      <c r="E445" s="476"/>
      <c r="F445" s="477"/>
      <c r="G445" s="478"/>
      <c r="H445" s="477"/>
    </row>
    <row r="446">
      <c r="A446" s="474"/>
      <c r="B446" s="475"/>
      <c r="C446" s="475"/>
      <c r="D446" s="475"/>
      <c r="E446" s="476"/>
      <c r="F446" s="477"/>
      <c r="G446" s="478"/>
      <c r="H446" s="477"/>
    </row>
    <row r="447">
      <c r="A447" s="474"/>
      <c r="B447" s="475"/>
      <c r="C447" s="475"/>
      <c r="D447" s="475"/>
      <c r="E447" s="476"/>
      <c r="F447" s="477"/>
      <c r="G447" s="478"/>
      <c r="H447" s="477"/>
    </row>
    <row r="448">
      <c r="A448" s="474"/>
      <c r="B448" s="475"/>
      <c r="C448" s="475"/>
      <c r="D448" s="475"/>
      <c r="E448" s="476"/>
      <c r="F448" s="477"/>
      <c r="G448" s="478"/>
      <c r="H448" s="477"/>
    </row>
    <row r="449">
      <c r="A449" s="474"/>
      <c r="B449" s="475"/>
      <c r="C449" s="475"/>
      <c r="D449" s="475"/>
      <c r="E449" s="476"/>
      <c r="F449" s="477"/>
      <c r="G449" s="478"/>
      <c r="H449" s="477"/>
    </row>
    <row r="450">
      <c r="A450" s="474"/>
      <c r="B450" s="475"/>
      <c r="C450" s="475"/>
      <c r="D450" s="475"/>
      <c r="E450" s="476"/>
      <c r="F450" s="477"/>
      <c r="G450" s="478"/>
      <c r="H450" s="477"/>
    </row>
    <row r="451">
      <c r="A451" s="474"/>
      <c r="B451" s="475"/>
      <c r="C451" s="475"/>
      <c r="D451" s="475"/>
      <c r="E451" s="476"/>
      <c r="F451" s="477"/>
      <c r="G451" s="478"/>
      <c r="H451" s="477"/>
    </row>
    <row r="452">
      <c r="A452" s="474"/>
      <c r="B452" s="475"/>
      <c r="C452" s="475"/>
      <c r="D452" s="475"/>
      <c r="E452" s="476"/>
      <c r="F452" s="477"/>
      <c r="G452" s="478"/>
      <c r="H452" s="477"/>
    </row>
    <row r="453">
      <c r="A453" s="474"/>
      <c r="B453" s="475"/>
      <c r="C453" s="475"/>
      <c r="D453" s="475"/>
      <c r="E453" s="476"/>
      <c r="F453" s="477"/>
      <c r="G453" s="478"/>
      <c r="H453" s="477"/>
    </row>
    <row r="454">
      <c r="A454" s="474"/>
      <c r="B454" s="475"/>
      <c r="C454" s="475"/>
      <c r="D454" s="475"/>
      <c r="E454" s="476"/>
      <c r="F454" s="477"/>
      <c r="G454" s="478"/>
      <c r="H454" s="477"/>
    </row>
    <row r="455">
      <c r="A455" s="474"/>
      <c r="B455" s="475"/>
      <c r="C455" s="475"/>
      <c r="D455" s="475"/>
      <c r="E455" s="476"/>
      <c r="F455" s="477"/>
      <c r="G455" s="478"/>
      <c r="H455" s="477"/>
    </row>
    <row r="456">
      <c r="A456" s="474"/>
      <c r="B456" s="475"/>
      <c r="C456" s="475"/>
      <c r="D456" s="475"/>
      <c r="E456" s="476"/>
      <c r="F456" s="477"/>
      <c r="G456" s="478"/>
      <c r="H456" s="477"/>
    </row>
    <row r="457">
      <c r="A457" s="474"/>
      <c r="B457" s="475"/>
      <c r="C457" s="475"/>
      <c r="D457" s="475"/>
      <c r="E457" s="476"/>
      <c r="F457" s="477"/>
      <c r="G457" s="478"/>
      <c r="H457" s="477"/>
    </row>
    <row r="458">
      <c r="A458" s="474"/>
      <c r="B458" s="475"/>
      <c r="C458" s="475"/>
      <c r="D458" s="475"/>
      <c r="E458" s="476"/>
      <c r="F458" s="477"/>
      <c r="G458" s="478"/>
      <c r="H458" s="477"/>
    </row>
    <row r="459">
      <c r="A459" s="474"/>
      <c r="B459" s="475"/>
      <c r="C459" s="475"/>
      <c r="D459" s="475"/>
      <c r="E459" s="476"/>
      <c r="F459" s="477"/>
      <c r="G459" s="478"/>
      <c r="H459" s="477"/>
    </row>
    <row r="460">
      <c r="A460" s="474"/>
      <c r="B460" s="475"/>
      <c r="C460" s="475"/>
      <c r="D460" s="475"/>
      <c r="E460" s="476"/>
      <c r="F460" s="477"/>
      <c r="G460" s="478"/>
      <c r="H460" s="477"/>
    </row>
    <row r="461">
      <c r="A461" s="474"/>
      <c r="B461" s="475"/>
      <c r="C461" s="475"/>
      <c r="D461" s="475"/>
      <c r="E461" s="476"/>
      <c r="F461" s="477"/>
      <c r="G461" s="478"/>
      <c r="H461" s="477"/>
    </row>
    <row r="462">
      <c r="A462" s="474"/>
      <c r="B462" s="475"/>
      <c r="C462" s="475"/>
      <c r="D462" s="475"/>
      <c r="E462" s="476"/>
      <c r="F462" s="477"/>
      <c r="G462" s="478"/>
      <c r="H462" s="477"/>
    </row>
    <row r="463">
      <c r="A463" s="474"/>
      <c r="B463" s="475"/>
      <c r="C463" s="475"/>
      <c r="D463" s="475"/>
      <c r="E463" s="476"/>
      <c r="F463" s="477"/>
      <c r="G463" s="478"/>
      <c r="H463" s="477"/>
    </row>
    <row r="464">
      <c r="A464" s="474"/>
      <c r="B464" s="475"/>
      <c r="C464" s="475"/>
      <c r="D464" s="475"/>
      <c r="E464" s="476"/>
      <c r="F464" s="477"/>
      <c r="G464" s="478"/>
      <c r="H464" s="477"/>
    </row>
    <row r="465">
      <c r="A465" s="474"/>
      <c r="B465" s="475"/>
      <c r="C465" s="475"/>
      <c r="D465" s="475"/>
      <c r="E465" s="476"/>
      <c r="F465" s="477"/>
      <c r="G465" s="478"/>
      <c r="H465" s="477"/>
    </row>
    <row r="466">
      <c r="A466" s="474"/>
      <c r="B466" s="475"/>
      <c r="C466" s="475"/>
      <c r="D466" s="475"/>
      <c r="E466" s="476"/>
      <c r="F466" s="477"/>
      <c r="G466" s="478"/>
      <c r="H466" s="477"/>
    </row>
    <row r="467">
      <c r="A467" s="474"/>
      <c r="B467" s="475"/>
      <c r="C467" s="475"/>
      <c r="D467" s="475"/>
      <c r="E467" s="476"/>
      <c r="F467" s="477"/>
      <c r="G467" s="478"/>
      <c r="H467" s="477"/>
    </row>
    <row r="468">
      <c r="A468" s="474"/>
      <c r="B468" s="475"/>
      <c r="C468" s="475"/>
      <c r="D468" s="475"/>
      <c r="E468" s="476"/>
      <c r="F468" s="477"/>
      <c r="G468" s="478"/>
      <c r="H468" s="477"/>
    </row>
    <row r="469">
      <c r="A469" s="474"/>
      <c r="B469" s="475"/>
      <c r="C469" s="475"/>
      <c r="D469" s="475"/>
      <c r="E469" s="476"/>
      <c r="F469" s="477"/>
      <c r="G469" s="478"/>
      <c r="H469" s="477"/>
    </row>
    <row r="470">
      <c r="A470" s="474"/>
      <c r="B470" s="475"/>
      <c r="C470" s="475"/>
      <c r="D470" s="475"/>
      <c r="E470" s="476"/>
      <c r="F470" s="477"/>
      <c r="G470" s="478"/>
      <c r="H470" s="477"/>
    </row>
    <row r="471">
      <c r="A471" s="474"/>
      <c r="B471" s="475"/>
      <c r="C471" s="475"/>
      <c r="D471" s="475"/>
      <c r="E471" s="476"/>
      <c r="F471" s="477"/>
      <c r="G471" s="478"/>
      <c r="H471" s="477"/>
    </row>
    <row r="472">
      <c r="A472" s="474"/>
      <c r="B472" s="475"/>
      <c r="C472" s="475"/>
      <c r="D472" s="475"/>
      <c r="E472" s="476"/>
      <c r="F472" s="477"/>
      <c r="G472" s="478"/>
      <c r="H472" s="477"/>
    </row>
    <row r="473">
      <c r="A473" s="474"/>
      <c r="B473" s="475"/>
      <c r="C473" s="475"/>
      <c r="D473" s="475"/>
      <c r="E473" s="476"/>
      <c r="F473" s="477"/>
      <c r="G473" s="478"/>
      <c r="H473" s="477"/>
    </row>
    <row r="474">
      <c r="A474" s="474"/>
      <c r="B474" s="475"/>
      <c r="C474" s="475"/>
      <c r="D474" s="475"/>
      <c r="E474" s="476"/>
      <c r="F474" s="477"/>
      <c r="G474" s="478"/>
      <c r="H474" s="477"/>
    </row>
    <row r="475">
      <c r="A475" s="474"/>
      <c r="B475" s="475"/>
      <c r="C475" s="475"/>
      <c r="D475" s="475"/>
      <c r="E475" s="476"/>
      <c r="F475" s="477"/>
      <c r="G475" s="478"/>
      <c r="H475" s="477"/>
    </row>
    <row r="476">
      <c r="A476" s="474"/>
      <c r="B476" s="475"/>
      <c r="C476" s="475"/>
      <c r="D476" s="475"/>
      <c r="E476" s="476"/>
      <c r="F476" s="477"/>
      <c r="G476" s="478"/>
      <c r="H476" s="477"/>
    </row>
    <row r="477">
      <c r="A477" s="474"/>
      <c r="B477" s="475"/>
      <c r="C477" s="475"/>
      <c r="D477" s="475"/>
      <c r="E477" s="476"/>
      <c r="F477" s="477"/>
      <c r="G477" s="478"/>
      <c r="H477" s="477"/>
    </row>
    <row r="478">
      <c r="A478" s="474"/>
      <c r="B478" s="475"/>
      <c r="C478" s="475"/>
      <c r="D478" s="475"/>
      <c r="E478" s="476"/>
      <c r="F478" s="477"/>
      <c r="G478" s="478"/>
      <c r="H478" s="477"/>
    </row>
    <row r="479">
      <c r="A479" s="474"/>
      <c r="B479" s="475"/>
      <c r="C479" s="475"/>
      <c r="D479" s="475"/>
      <c r="E479" s="476"/>
      <c r="F479" s="477"/>
      <c r="G479" s="478"/>
      <c r="H479" s="477"/>
    </row>
    <row r="480">
      <c r="A480" s="474"/>
      <c r="B480" s="475"/>
      <c r="C480" s="475"/>
      <c r="D480" s="475"/>
      <c r="E480" s="476"/>
      <c r="F480" s="477"/>
      <c r="G480" s="478"/>
      <c r="H480" s="477"/>
    </row>
    <row r="481">
      <c r="A481" s="474"/>
      <c r="B481" s="475"/>
      <c r="C481" s="475"/>
      <c r="D481" s="475"/>
      <c r="E481" s="476"/>
      <c r="F481" s="477"/>
      <c r="G481" s="478"/>
      <c r="H481" s="477"/>
    </row>
    <row r="482">
      <c r="A482" s="474"/>
      <c r="B482" s="475"/>
      <c r="C482" s="475"/>
      <c r="D482" s="475"/>
      <c r="E482" s="476"/>
      <c r="F482" s="477"/>
      <c r="G482" s="478"/>
      <c r="H482" s="477"/>
    </row>
    <row r="483">
      <c r="A483" s="474"/>
      <c r="B483" s="475"/>
      <c r="C483" s="475"/>
      <c r="D483" s="475"/>
      <c r="E483" s="476"/>
      <c r="F483" s="477"/>
      <c r="G483" s="478"/>
      <c r="H483" s="477"/>
    </row>
    <row r="484">
      <c r="A484" s="474"/>
      <c r="B484" s="475"/>
      <c r="C484" s="475"/>
      <c r="D484" s="475"/>
      <c r="E484" s="476"/>
      <c r="F484" s="477"/>
      <c r="G484" s="478"/>
      <c r="H484" s="477"/>
    </row>
    <row r="485">
      <c r="A485" s="474"/>
      <c r="B485" s="475"/>
      <c r="C485" s="475"/>
      <c r="D485" s="475"/>
      <c r="E485" s="476"/>
      <c r="F485" s="477"/>
      <c r="G485" s="478"/>
      <c r="H485" s="477"/>
    </row>
    <row r="486">
      <c r="A486" s="474"/>
      <c r="B486" s="475"/>
      <c r="C486" s="475"/>
      <c r="D486" s="475"/>
      <c r="E486" s="476"/>
      <c r="F486" s="477"/>
      <c r="G486" s="478"/>
      <c r="H486" s="477"/>
    </row>
    <row r="487">
      <c r="A487" s="474"/>
      <c r="B487" s="475"/>
      <c r="C487" s="475"/>
      <c r="D487" s="475"/>
      <c r="E487" s="476"/>
      <c r="F487" s="477"/>
      <c r="G487" s="478"/>
      <c r="H487" s="477"/>
    </row>
    <row r="488">
      <c r="A488" s="474"/>
      <c r="B488" s="475"/>
      <c r="C488" s="475"/>
      <c r="D488" s="475"/>
      <c r="E488" s="476"/>
      <c r="F488" s="477"/>
      <c r="G488" s="478"/>
      <c r="H488" s="477"/>
    </row>
    <row r="489">
      <c r="A489" s="474"/>
      <c r="B489" s="475"/>
      <c r="C489" s="475"/>
      <c r="D489" s="475"/>
      <c r="E489" s="476"/>
      <c r="F489" s="477"/>
      <c r="G489" s="478"/>
      <c r="H489" s="477"/>
    </row>
    <row r="490">
      <c r="A490" s="474"/>
      <c r="B490" s="475"/>
      <c r="C490" s="475"/>
      <c r="D490" s="475"/>
      <c r="E490" s="476"/>
      <c r="F490" s="477"/>
      <c r="G490" s="478"/>
      <c r="H490" s="477"/>
    </row>
    <row r="491">
      <c r="A491" s="474"/>
      <c r="B491" s="475"/>
      <c r="C491" s="475"/>
      <c r="D491" s="475"/>
      <c r="E491" s="476"/>
      <c r="F491" s="477"/>
      <c r="G491" s="478"/>
      <c r="H491" s="477"/>
    </row>
    <row r="492">
      <c r="A492" s="474"/>
      <c r="B492" s="475"/>
      <c r="C492" s="475"/>
      <c r="D492" s="475"/>
      <c r="E492" s="476"/>
      <c r="F492" s="477"/>
      <c r="G492" s="478"/>
      <c r="H492" s="477"/>
    </row>
    <row r="493">
      <c r="A493" s="474"/>
      <c r="B493" s="475"/>
      <c r="C493" s="475"/>
      <c r="D493" s="475"/>
      <c r="E493" s="476"/>
      <c r="F493" s="477"/>
      <c r="G493" s="478"/>
      <c r="H493" s="477"/>
    </row>
    <row r="494">
      <c r="A494" s="474"/>
      <c r="B494" s="475"/>
      <c r="C494" s="475"/>
      <c r="D494" s="475"/>
      <c r="E494" s="476"/>
      <c r="F494" s="477"/>
      <c r="G494" s="478"/>
      <c r="H494" s="477"/>
    </row>
    <row r="495">
      <c r="A495" s="474"/>
      <c r="B495" s="475"/>
      <c r="C495" s="475"/>
      <c r="D495" s="475"/>
      <c r="E495" s="476"/>
      <c r="F495" s="477"/>
      <c r="G495" s="478"/>
      <c r="H495" s="477"/>
    </row>
    <row r="496">
      <c r="A496" s="474"/>
      <c r="B496" s="475"/>
      <c r="C496" s="475"/>
      <c r="D496" s="475"/>
      <c r="E496" s="476"/>
      <c r="F496" s="477"/>
      <c r="G496" s="478"/>
      <c r="H496" s="477"/>
    </row>
    <row r="497">
      <c r="A497" s="474"/>
      <c r="B497" s="475"/>
      <c r="C497" s="475"/>
      <c r="D497" s="475"/>
      <c r="E497" s="476"/>
      <c r="F497" s="477"/>
      <c r="G497" s="478"/>
      <c r="H497" s="477"/>
    </row>
    <row r="498">
      <c r="A498" s="474"/>
      <c r="B498" s="475"/>
      <c r="C498" s="475"/>
      <c r="D498" s="475"/>
      <c r="E498" s="476"/>
      <c r="F498" s="477"/>
      <c r="G498" s="478"/>
      <c r="H498" s="477"/>
    </row>
    <row r="499">
      <c r="A499" s="474"/>
      <c r="B499" s="475"/>
      <c r="C499" s="475"/>
      <c r="D499" s="475"/>
      <c r="E499" s="476"/>
      <c r="F499" s="477"/>
      <c r="G499" s="478"/>
      <c r="H499" s="477"/>
    </row>
    <row r="500">
      <c r="A500" s="474"/>
      <c r="B500" s="475"/>
      <c r="C500" s="475"/>
      <c r="D500" s="475"/>
      <c r="E500" s="476"/>
      <c r="F500" s="477"/>
      <c r="G500" s="478"/>
      <c r="H500" s="477"/>
    </row>
    <row r="501">
      <c r="A501" s="474"/>
      <c r="B501" s="475"/>
      <c r="C501" s="475"/>
      <c r="D501" s="475"/>
      <c r="E501" s="476"/>
      <c r="F501" s="477"/>
      <c r="G501" s="478"/>
      <c r="H501" s="477"/>
    </row>
    <row r="502">
      <c r="A502" s="474"/>
      <c r="B502" s="475"/>
      <c r="C502" s="475"/>
      <c r="D502" s="475"/>
      <c r="E502" s="476"/>
      <c r="F502" s="477"/>
      <c r="G502" s="478"/>
      <c r="H502" s="477"/>
    </row>
    <row r="503">
      <c r="A503" s="474"/>
      <c r="B503" s="475"/>
      <c r="C503" s="475"/>
      <c r="D503" s="475"/>
      <c r="E503" s="476"/>
      <c r="F503" s="477"/>
      <c r="G503" s="478"/>
      <c r="H503" s="477"/>
    </row>
    <row r="504">
      <c r="A504" s="474"/>
      <c r="B504" s="475"/>
      <c r="C504" s="475"/>
      <c r="D504" s="475"/>
      <c r="E504" s="476"/>
      <c r="F504" s="477"/>
      <c r="G504" s="478"/>
      <c r="H504" s="477"/>
    </row>
    <row r="505">
      <c r="A505" s="474"/>
      <c r="B505" s="475"/>
      <c r="C505" s="475"/>
      <c r="D505" s="475"/>
      <c r="E505" s="476"/>
      <c r="F505" s="477"/>
      <c r="G505" s="478"/>
      <c r="H505" s="477"/>
    </row>
    <row r="506">
      <c r="A506" s="474"/>
      <c r="B506" s="475"/>
      <c r="C506" s="475"/>
      <c r="D506" s="475"/>
      <c r="E506" s="476"/>
      <c r="F506" s="477"/>
      <c r="G506" s="478"/>
      <c r="H506" s="477"/>
    </row>
    <row r="507">
      <c r="A507" s="474"/>
      <c r="B507" s="475"/>
      <c r="C507" s="475"/>
      <c r="D507" s="475"/>
      <c r="E507" s="476"/>
      <c r="F507" s="477"/>
      <c r="G507" s="478"/>
      <c r="H507" s="477"/>
    </row>
    <row r="508">
      <c r="A508" s="474"/>
      <c r="B508" s="475"/>
      <c r="C508" s="475"/>
      <c r="D508" s="475"/>
      <c r="E508" s="476"/>
      <c r="F508" s="477"/>
      <c r="G508" s="478"/>
      <c r="H508" s="477"/>
    </row>
    <row r="509">
      <c r="A509" s="474"/>
      <c r="B509" s="475"/>
      <c r="C509" s="475"/>
      <c r="D509" s="475"/>
      <c r="E509" s="476"/>
      <c r="F509" s="477"/>
      <c r="G509" s="478"/>
      <c r="H509" s="477"/>
    </row>
    <row r="510">
      <c r="A510" s="474"/>
      <c r="B510" s="475"/>
      <c r="C510" s="475"/>
      <c r="D510" s="475"/>
      <c r="E510" s="476"/>
      <c r="F510" s="477"/>
      <c r="G510" s="478"/>
      <c r="H510" s="477"/>
    </row>
    <row r="511">
      <c r="A511" s="474"/>
      <c r="B511" s="475"/>
      <c r="C511" s="475"/>
      <c r="D511" s="475"/>
      <c r="E511" s="476"/>
      <c r="F511" s="477"/>
      <c r="G511" s="478"/>
      <c r="H511" s="477"/>
    </row>
    <row r="512">
      <c r="A512" s="474"/>
      <c r="B512" s="475"/>
      <c r="C512" s="475"/>
      <c r="D512" s="475"/>
      <c r="E512" s="476"/>
      <c r="F512" s="477"/>
      <c r="G512" s="478"/>
      <c r="H512" s="477"/>
    </row>
    <row r="513">
      <c r="A513" s="474"/>
      <c r="B513" s="475"/>
      <c r="C513" s="475"/>
      <c r="D513" s="475"/>
      <c r="E513" s="476"/>
      <c r="F513" s="477"/>
      <c r="G513" s="478"/>
      <c r="H513" s="477"/>
    </row>
    <row r="514">
      <c r="A514" s="474"/>
      <c r="B514" s="475"/>
      <c r="C514" s="475"/>
      <c r="D514" s="475"/>
      <c r="E514" s="476"/>
      <c r="F514" s="477"/>
      <c r="G514" s="478"/>
      <c r="H514" s="477"/>
    </row>
    <row r="515">
      <c r="A515" s="474"/>
      <c r="B515" s="475"/>
      <c r="C515" s="475"/>
      <c r="D515" s="475"/>
      <c r="E515" s="476"/>
      <c r="F515" s="477"/>
      <c r="G515" s="478"/>
      <c r="H515" s="477"/>
    </row>
    <row r="516">
      <c r="A516" s="474"/>
      <c r="B516" s="475"/>
      <c r="C516" s="475"/>
      <c r="D516" s="475"/>
      <c r="E516" s="476"/>
      <c r="F516" s="477"/>
      <c r="G516" s="478"/>
      <c r="H516" s="477"/>
    </row>
    <row r="517">
      <c r="A517" s="474"/>
      <c r="B517" s="475"/>
      <c r="C517" s="475"/>
      <c r="D517" s="475"/>
      <c r="E517" s="476"/>
      <c r="F517" s="477"/>
      <c r="G517" s="478"/>
      <c r="H517" s="477"/>
    </row>
    <row r="518">
      <c r="A518" s="474"/>
      <c r="B518" s="475"/>
      <c r="C518" s="475"/>
      <c r="D518" s="475"/>
      <c r="E518" s="476"/>
      <c r="F518" s="477"/>
      <c r="G518" s="478"/>
      <c r="H518" s="477"/>
    </row>
    <row r="519">
      <c r="A519" s="474"/>
      <c r="B519" s="475"/>
      <c r="C519" s="475"/>
      <c r="D519" s="475"/>
      <c r="E519" s="476"/>
      <c r="F519" s="477"/>
      <c r="G519" s="478"/>
      <c r="H519" s="477"/>
    </row>
    <row r="520">
      <c r="A520" s="474"/>
      <c r="B520" s="475"/>
      <c r="C520" s="475"/>
      <c r="D520" s="475"/>
      <c r="E520" s="476"/>
      <c r="F520" s="477"/>
      <c r="G520" s="478"/>
      <c r="H520" s="477"/>
    </row>
    <row r="521">
      <c r="A521" s="474"/>
      <c r="B521" s="475"/>
      <c r="C521" s="475"/>
      <c r="D521" s="475"/>
      <c r="E521" s="476"/>
      <c r="F521" s="477"/>
      <c r="G521" s="478"/>
      <c r="H521" s="477"/>
    </row>
    <row r="522">
      <c r="A522" s="474"/>
      <c r="B522" s="475"/>
      <c r="C522" s="475"/>
      <c r="D522" s="475"/>
      <c r="E522" s="476"/>
      <c r="F522" s="477"/>
      <c r="G522" s="478"/>
      <c r="H522" s="477"/>
    </row>
    <row r="523">
      <c r="A523" s="474"/>
      <c r="B523" s="475"/>
      <c r="C523" s="475"/>
      <c r="D523" s="475"/>
      <c r="E523" s="476"/>
      <c r="F523" s="477"/>
      <c r="G523" s="478"/>
      <c r="H523" s="477"/>
    </row>
    <row r="524">
      <c r="A524" s="474"/>
      <c r="B524" s="475"/>
      <c r="C524" s="475"/>
      <c r="D524" s="475"/>
      <c r="E524" s="476"/>
      <c r="F524" s="477"/>
      <c r="G524" s="478"/>
      <c r="H524" s="477"/>
    </row>
    <row r="525">
      <c r="A525" s="474"/>
      <c r="B525" s="475"/>
      <c r="C525" s="475"/>
      <c r="D525" s="475"/>
      <c r="E525" s="476"/>
      <c r="F525" s="477"/>
      <c r="G525" s="478"/>
      <c r="H525" s="477"/>
    </row>
    <row r="526">
      <c r="A526" s="474"/>
      <c r="B526" s="475"/>
      <c r="C526" s="475"/>
      <c r="D526" s="475"/>
      <c r="E526" s="476"/>
      <c r="F526" s="477"/>
      <c r="G526" s="478"/>
      <c r="H526" s="477"/>
    </row>
    <row r="527">
      <c r="A527" s="474"/>
      <c r="B527" s="475"/>
      <c r="C527" s="475"/>
      <c r="D527" s="475"/>
      <c r="E527" s="476"/>
      <c r="F527" s="477"/>
      <c r="G527" s="478"/>
      <c r="H527" s="477"/>
    </row>
    <row r="528">
      <c r="A528" s="474"/>
      <c r="B528" s="475"/>
      <c r="C528" s="475"/>
      <c r="D528" s="475"/>
      <c r="E528" s="476"/>
      <c r="F528" s="477"/>
      <c r="G528" s="478"/>
      <c r="H528" s="477"/>
    </row>
    <row r="529">
      <c r="A529" s="474"/>
      <c r="B529" s="475"/>
      <c r="C529" s="475"/>
      <c r="D529" s="475"/>
      <c r="E529" s="476"/>
      <c r="F529" s="477"/>
      <c r="G529" s="478"/>
      <c r="H529" s="477"/>
    </row>
    <row r="530">
      <c r="A530" s="474"/>
      <c r="B530" s="475"/>
      <c r="C530" s="475"/>
      <c r="D530" s="475"/>
      <c r="E530" s="476"/>
      <c r="F530" s="477"/>
      <c r="G530" s="478"/>
      <c r="H530" s="477"/>
    </row>
    <row r="531">
      <c r="A531" s="474"/>
      <c r="B531" s="475"/>
      <c r="C531" s="475"/>
      <c r="D531" s="475"/>
      <c r="E531" s="476"/>
      <c r="F531" s="477"/>
      <c r="G531" s="478"/>
      <c r="H531" s="477"/>
    </row>
    <row r="532">
      <c r="A532" s="474"/>
      <c r="B532" s="475"/>
      <c r="C532" s="475"/>
      <c r="D532" s="475"/>
      <c r="E532" s="476"/>
      <c r="F532" s="477"/>
      <c r="G532" s="478"/>
      <c r="H532" s="477"/>
    </row>
    <row r="533">
      <c r="A533" s="474"/>
      <c r="B533" s="475"/>
      <c r="C533" s="475"/>
      <c r="D533" s="475"/>
      <c r="E533" s="476"/>
      <c r="F533" s="477"/>
      <c r="G533" s="478"/>
      <c r="H533" s="477"/>
    </row>
    <row r="534">
      <c r="A534" s="474"/>
      <c r="B534" s="475"/>
      <c r="C534" s="475"/>
      <c r="D534" s="475"/>
      <c r="E534" s="476"/>
      <c r="F534" s="477"/>
      <c r="G534" s="478"/>
      <c r="H534" s="477"/>
    </row>
    <row r="535">
      <c r="A535" s="474"/>
      <c r="B535" s="475"/>
      <c r="C535" s="475"/>
      <c r="D535" s="475"/>
      <c r="E535" s="476"/>
      <c r="F535" s="477"/>
      <c r="G535" s="478"/>
      <c r="H535" s="477"/>
    </row>
    <row r="536">
      <c r="A536" s="474"/>
      <c r="B536" s="475"/>
      <c r="C536" s="475"/>
      <c r="D536" s="475"/>
      <c r="E536" s="476"/>
      <c r="F536" s="477"/>
      <c r="G536" s="478"/>
      <c r="H536" s="477"/>
    </row>
    <row r="537">
      <c r="A537" s="474"/>
      <c r="B537" s="475"/>
      <c r="C537" s="475"/>
      <c r="D537" s="475"/>
      <c r="E537" s="476"/>
      <c r="F537" s="477"/>
      <c r="G537" s="478"/>
      <c r="H537" s="477"/>
    </row>
    <row r="538">
      <c r="A538" s="474"/>
      <c r="B538" s="475"/>
      <c r="C538" s="475"/>
      <c r="D538" s="475"/>
      <c r="E538" s="476"/>
      <c r="F538" s="477"/>
      <c r="G538" s="478"/>
      <c r="H538" s="477"/>
    </row>
    <row r="539">
      <c r="A539" s="474"/>
      <c r="B539" s="475"/>
      <c r="C539" s="475"/>
      <c r="D539" s="475"/>
      <c r="E539" s="476"/>
      <c r="F539" s="477"/>
      <c r="G539" s="478"/>
      <c r="H539" s="477"/>
    </row>
    <row r="540">
      <c r="A540" s="474"/>
      <c r="B540" s="475"/>
      <c r="C540" s="475"/>
      <c r="D540" s="475"/>
      <c r="E540" s="476"/>
      <c r="F540" s="477"/>
      <c r="G540" s="478"/>
      <c r="H540" s="477"/>
    </row>
    <row r="541">
      <c r="A541" s="474"/>
      <c r="B541" s="475"/>
      <c r="C541" s="475"/>
      <c r="D541" s="475"/>
      <c r="E541" s="476"/>
      <c r="F541" s="477"/>
      <c r="G541" s="478"/>
      <c r="H541" s="477"/>
    </row>
    <row r="542">
      <c r="A542" s="474"/>
      <c r="B542" s="475"/>
      <c r="C542" s="475"/>
      <c r="D542" s="475"/>
      <c r="E542" s="476"/>
      <c r="F542" s="477"/>
      <c r="G542" s="478"/>
      <c r="H542" s="477"/>
    </row>
    <row r="543">
      <c r="A543" s="474"/>
      <c r="B543" s="475"/>
      <c r="C543" s="475"/>
      <c r="D543" s="475"/>
      <c r="E543" s="476"/>
      <c r="F543" s="477"/>
      <c r="G543" s="478"/>
      <c r="H543" s="477"/>
    </row>
    <row r="544">
      <c r="A544" s="474"/>
      <c r="B544" s="475"/>
      <c r="C544" s="475"/>
      <c r="D544" s="475"/>
      <c r="E544" s="476"/>
      <c r="F544" s="477"/>
      <c r="G544" s="478"/>
      <c r="H544" s="477"/>
    </row>
    <row r="545">
      <c r="A545" s="474"/>
      <c r="B545" s="475"/>
      <c r="C545" s="475"/>
      <c r="D545" s="475"/>
      <c r="E545" s="476"/>
      <c r="F545" s="477"/>
      <c r="G545" s="478"/>
      <c r="H545" s="477"/>
    </row>
    <row r="546">
      <c r="A546" s="474"/>
      <c r="B546" s="475"/>
      <c r="C546" s="475"/>
      <c r="D546" s="475"/>
      <c r="E546" s="476"/>
      <c r="F546" s="477"/>
      <c r="G546" s="478"/>
      <c r="H546" s="477"/>
    </row>
    <row r="547">
      <c r="A547" s="474"/>
      <c r="B547" s="475"/>
      <c r="C547" s="475"/>
      <c r="D547" s="475"/>
      <c r="E547" s="476"/>
      <c r="F547" s="477"/>
      <c r="G547" s="478"/>
      <c r="H547" s="477"/>
    </row>
    <row r="548">
      <c r="A548" s="474"/>
      <c r="B548" s="475"/>
      <c r="C548" s="475"/>
      <c r="D548" s="475"/>
      <c r="E548" s="476"/>
      <c r="F548" s="477"/>
      <c r="G548" s="478"/>
      <c r="H548" s="477"/>
    </row>
    <row r="549">
      <c r="A549" s="474"/>
      <c r="B549" s="475"/>
      <c r="C549" s="475"/>
      <c r="D549" s="475"/>
      <c r="E549" s="476"/>
      <c r="F549" s="477"/>
      <c r="G549" s="478"/>
      <c r="H549" s="477"/>
    </row>
    <row r="550">
      <c r="A550" s="474"/>
      <c r="B550" s="475"/>
      <c r="C550" s="475"/>
      <c r="D550" s="475"/>
      <c r="E550" s="476"/>
      <c r="F550" s="477"/>
      <c r="G550" s="478"/>
      <c r="H550" s="477"/>
    </row>
    <row r="551">
      <c r="A551" s="474"/>
      <c r="B551" s="475"/>
      <c r="C551" s="475"/>
      <c r="D551" s="475"/>
      <c r="E551" s="476"/>
      <c r="F551" s="477"/>
      <c r="G551" s="478"/>
      <c r="H551" s="477"/>
    </row>
    <row r="552">
      <c r="A552" s="474"/>
      <c r="B552" s="475"/>
      <c r="C552" s="475"/>
      <c r="D552" s="475"/>
      <c r="E552" s="476"/>
      <c r="F552" s="477"/>
      <c r="G552" s="478"/>
      <c r="H552" s="477"/>
    </row>
    <row r="553">
      <c r="A553" s="474"/>
      <c r="B553" s="475"/>
      <c r="C553" s="475"/>
      <c r="D553" s="475"/>
      <c r="E553" s="476"/>
      <c r="F553" s="477"/>
      <c r="G553" s="478"/>
      <c r="H553" s="477"/>
    </row>
    <row r="554">
      <c r="A554" s="474"/>
      <c r="B554" s="475"/>
      <c r="C554" s="475"/>
      <c r="D554" s="475"/>
      <c r="E554" s="476"/>
      <c r="F554" s="477"/>
      <c r="G554" s="478"/>
      <c r="H554" s="477"/>
    </row>
    <row r="555">
      <c r="A555" s="474"/>
      <c r="B555" s="475"/>
      <c r="C555" s="475"/>
      <c r="D555" s="475"/>
      <c r="E555" s="476"/>
      <c r="F555" s="477"/>
      <c r="G555" s="478"/>
      <c r="H555" s="477"/>
    </row>
    <row r="556">
      <c r="A556" s="474"/>
      <c r="B556" s="475"/>
      <c r="C556" s="475"/>
      <c r="D556" s="475"/>
      <c r="E556" s="476"/>
      <c r="F556" s="477"/>
      <c r="G556" s="478"/>
      <c r="H556" s="477"/>
    </row>
    <row r="557">
      <c r="A557" s="474"/>
      <c r="B557" s="475"/>
      <c r="C557" s="475"/>
      <c r="D557" s="475"/>
      <c r="E557" s="476"/>
      <c r="F557" s="477"/>
      <c r="G557" s="478"/>
      <c r="H557" s="477"/>
    </row>
    <row r="558">
      <c r="A558" s="474"/>
      <c r="B558" s="475"/>
      <c r="C558" s="475"/>
      <c r="D558" s="475"/>
      <c r="E558" s="476"/>
      <c r="F558" s="477"/>
      <c r="G558" s="478"/>
      <c r="H558" s="477"/>
    </row>
    <row r="559">
      <c r="A559" s="474"/>
      <c r="B559" s="475"/>
      <c r="C559" s="475"/>
      <c r="D559" s="475"/>
      <c r="E559" s="476"/>
      <c r="F559" s="477"/>
      <c r="G559" s="478"/>
      <c r="H559" s="477"/>
    </row>
    <row r="560">
      <c r="A560" s="474"/>
      <c r="B560" s="475"/>
      <c r="C560" s="475"/>
      <c r="D560" s="475"/>
      <c r="E560" s="476"/>
      <c r="F560" s="477"/>
      <c r="G560" s="478"/>
      <c r="H560" s="477"/>
    </row>
    <row r="561">
      <c r="A561" s="474"/>
      <c r="B561" s="475"/>
      <c r="C561" s="475"/>
      <c r="D561" s="475"/>
      <c r="E561" s="476"/>
      <c r="F561" s="477"/>
      <c r="G561" s="478"/>
      <c r="H561" s="477"/>
    </row>
    <row r="562">
      <c r="A562" s="474"/>
      <c r="B562" s="475"/>
      <c r="C562" s="475"/>
      <c r="D562" s="475"/>
      <c r="E562" s="476"/>
      <c r="F562" s="477"/>
      <c r="G562" s="478"/>
      <c r="H562" s="477"/>
    </row>
    <row r="563">
      <c r="A563" s="474"/>
      <c r="B563" s="475"/>
      <c r="C563" s="475"/>
      <c r="D563" s="475"/>
      <c r="E563" s="476"/>
      <c r="F563" s="477"/>
      <c r="G563" s="478"/>
      <c r="H563" s="477"/>
    </row>
    <row r="564">
      <c r="A564" s="474"/>
      <c r="B564" s="475"/>
      <c r="C564" s="475"/>
      <c r="D564" s="475"/>
      <c r="E564" s="476"/>
      <c r="F564" s="477"/>
      <c r="G564" s="478"/>
      <c r="H564" s="477"/>
    </row>
    <row r="565">
      <c r="A565" s="474"/>
      <c r="B565" s="475"/>
      <c r="C565" s="475"/>
      <c r="D565" s="475"/>
      <c r="E565" s="476"/>
      <c r="F565" s="477"/>
      <c r="G565" s="478"/>
      <c r="H565" s="477"/>
    </row>
    <row r="566">
      <c r="A566" s="474"/>
      <c r="B566" s="475"/>
      <c r="C566" s="475"/>
      <c r="D566" s="475"/>
      <c r="E566" s="476"/>
      <c r="F566" s="477"/>
      <c r="G566" s="478"/>
      <c r="H566" s="477"/>
    </row>
    <row r="567">
      <c r="A567" s="474"/>
      <c r="B567" s="475"/>
      <c r="C567" s="475"/>
      <c r="D567" s="475"/>
      <c r="E567" s="476"/>
      <c r="F567" s="477"/>
      <c r="G567" s="478"/>
      <c r="H567" s="477"/>
    </row>
    <row r="568">
      <c r="A568" s="474"/>
      <c r="B568" s="475"/>
      <c r="C568" s="475"/>
      <c r="D568" s="475"/>
      <c r="E568" s="476"/>
      <c r="F568" s="477"/>
      <c r="G568" s="478"/>
      <c r="H568" s="477"/>
    </row>
    <row r="569">
      <c r="A569" s="474"/>
      <c r="B569" s="475"/>
      <c r="C569" s="475"/>
      <c r="D569" s="475"/>
      <c r="E569" s="476"/>
      <c r="F569" s="477"/>
      <c r="G569" s="478"/>
      <c r="H569" s="477"/>
    </row>
    <row r="570">
      <c r="A570" s="474"/>
      <c r="B570" s="475"/>
      <c r="C570" s="475"/>
      <c r="D570" s="475"/>
      <c r="E570" s="476"/>
      <c r="F570" s="477"/>
      <c r="G570" s="478"/>
      <c r="H570" s="477"/>
    </row>
    <row r="571">
      <c r="A571" s="474"/>
      <c r="B571" s="475"/>
      <c r="C571" s="475"/>
      <c r="D571" s="475"/>
      <c r="E571" s="476"/>
      <c r="F571" s="477"/>
      <c r="G571" s="478"/>
      <c r="H571" s="477"/>
    </row>
    <row r="572">
      <c r="A572" s="474"/>
      <c r="B572" s="475"/>
      <c r="C572" s="475"/>
      <c r="D572" s="475"/>
      <c r="E572" s="476"/>
      <c r="F572" s="477"/>
      <c r="G572" s="478"/>
      <c r="H572" s="477"/>
    </row>
    <row r="573">
      <c r="A573" s="474"/>
      <c r="B573" s="475"/>
      <c r="C573" s="475"/>
      <c r="D573" s="475"/>
      <c r="E573" s="476"/>
      <c r="F573" s="477"/>
      <c r="G573" s="478"/>
      <c r="H573" s="477"/>
    </row>
    <row r="574">
      <c r="A574" s="474"/>
      <c r="B574" s="475"/>
      <c r="C574" s="475"/>
      <c r="D574" s="475"/>
      <c r="E574" s="476"/>
      <c r="F574" s="477"/>
      <c r="G574" s="478"/>
      <c r="H574" s="477"/>
    </row>
    <row r="575">
      <c r="A575" s="474"/>
      <c r="B575" s="475"/>
      <c r="C575" s="475"/>
      <c r="D575" s="475"/>
      <c r="E575" s="476"/>
      <c r="F575" s="477"/>
      <c r="G575" s="478"/>
      <c r="H575" s="477"/>
    </row>
    <row r="576">
      <c r="A576" s="474"/>
      <c r="B576" s="475"/>
      <c r="C576" s="475"/>
      <c r="D576" s="475"/>
      <c r="E576" s="476"/>
      <c r="F576" s="477"/>
      <c r="G576" s="478"/>
      <c r="H576" s="477"/>
    </row>
    <row r="577">
      <c r="A577" s="474"/>
      <c r="B577" s="475"/>
      <c r="C577" s="475"/>
      <c r="D577" s="475"/>
      <c r="E577" s="476"/>
      <c r="F577" s="477"/>
      <c r="G577" s="478"/>
      <c r="H577" s="477"/>
    </row>
    <row r="578">
      <c r="A578" s="474"/>
      <c r="B578" s="475"/>
      <c r="C578" s="475"/>
      <c r="D578" s="475"/>
      <c r="E578" s="476"/>
      <c r="F578" s="477"/>
      <c r="G578" s="478"/>
      <c r="H578" s="477"/>
    </row>
    <row r="579">
      <c r="A579" s="474"/>
      <c r="B579" s="475"/>
      <c r="C579" s="475"/>
      <c r="D579" s="475"/>
      <c r="E579" s="476"/>
      <c r="F579" s="477"/>
      <c r="G579" s="478"/>
      <c r="H579" s="477"/>
    </row>
    <row r="580">
      <c r="A580" s="474"/>
      <c r="B580" s="475"/>
      <c r="C580" s="475"/>
      <c r="D580" s="475"/>
      <c r="E580" s="476"/>
      <c r="F580" s="477"/>
      <c r="G580" s="478"/>
      <c r="H580" s="477"/>
    </row>
    <row r="581">
      <c r="A581" s="474"/>
      <c r="B581" s="475"/>
      <c r="C581" s="475"/>
      <c r="D581" s="475"/>
      <c r="E581" s="476"/>
      <c r="F581" s="477"/>
      <c r="G581" s="478"/>
      <c r="H581" s="477"/>
    </row>
    <row r="582">
      <c r="A582" s="474"/>
      <c r="B582" s="475"/>
      <c r="C582" s="475"/>
      <c r="D582" s="475"/>
      <c r="E582" s="476"/>
      <c r="F582" s="477"/>
      <c r="G582" s="478"/>
      <c r="H582" s="477"/>
    </row>
    <row r="583">
      <c r="A583" s="474"/>
      <c r="B583" s="475"/>
      <c r="C583" s="475"/>
      <c r="D583" s="475"/>
      <c r="E583" s="476"/>
      <c r="F583" s="477"/>
      <c r="G583" s="478"/>
      <c r="H583" s="477"/>
    </row>
    <row r="584">
      <c r="A584" s="474"/>
      <c r="B584" s="475"/>
      <c r="C584" s="475"/>
      <c r="D584" s="475"/>
      <c r="E584" s="476"/>
      <c r="F584" s="477"/>
      <c r="G584" s="478"/>
      <c r="H584" s="477"/>
    </row>
    <row r="585">
      <c r="A585" s="474"/>
      <c r="B585" s="475"/>
      <c r="C585" s="475"/>
      <c r="D585" s="475"/>
      <c r="E585" s="476"/>
      <c r="F585" s="477"/>
      <c r="G585" s="478"/>
      <c r="H585" s="477"/>
    </row>
    <row r="586">
      <c r="A586" s="474"/>
      <c r="B586" s="475"/>
      <c r="C586" s="475"/>
      <c r="D586" s="475"/>
      <c r="E586" s="476"/>
      <c r="F586" s="477"/>
      <c r="G586" s="478"/>
      <c r="H586" s="477"/>
    </row>
    <row r="587">
      <c r="A587" s="474"/>
      <c r="B587" s="475"/>
      <c r="C587" s="475"/>
      <c r="D587" s="475"/>
      <c r="E587" s="476"/>
      <c r="F587" s="477"/>
      <c r="G587" s="478"/>
      <c r="H587" s="477"/>
    </row>
    <row r="588">
      <c r="A588" s="474"/>
      <c r="B588" s="475"/>
      <c r="C588" s="475"/>
      <c r="D588" s="475"/>
      <c r="E588" s="476"/>
      <c r="F588" s="477"/>
      <c r="G588" s="478"/>
      <c r="H588" s="477"/>
    </row>
    <row r="589">
      <c r="A589" s="474"/>
      <c r="B589" s="475"/>
      <c r="C589" s="475"/>
      <c r="D589" s="475"/>
      <c r="E589" s="476"/>
      <c r="F589" s="477"/>
      <c r="G589" s="478"/>
      <c r="H589" s="477"/>
    </row>
    <row r="590">
      <c r="A590" s="474"/>
      <c r="B590" s="475"/>
      <c r="C590" s="475"/>
      <c r="D590" s="475"/>
      <c r="E590" s="476"/>
      <c r="F590" s="477"/>
      <c r="G590" s="478"/>
      <c r="H590" s="477"/>
    </row>
    <row r="591">
      <c r="A591" s="474"/>
      <c r="B591" s="475"/>
      <c r="C591" s="475"/>
      <c r="D591" s="475"/>
      <c r="E591" s="476"/>
      <c r="F591" s="477"/>
      <c r="G591" s="478"/>
      <c r="H591" s="477"/>
    </row>
    <row r="592">
      <c r="A592" s="474"/>
      <c r="B592" s="475"/>
      <c r="C592" s="475"/>
      <c r="D592" s="475"/>
      <c r="E592" s="476"/>
      <c r="F592" s="477"/>
      <c r="G592" s="478"/>
      <c r="H592" s="477"/>
    </row>
    <row r="593">
      <c r="A593" s="474"/>
      <c r="B593" s="475"/>
      <c r="C593" s="475"/>
      <c r="D593" s="475"/>
      <c r="E593" s="476"/>
      <c r="F593" s="477"/>
      <c r="G593" s="478"/>
      <c r="H593" s="477"/>
    </row>
    <row r="594">
      <c r="A594" s="474"/>
      <c r="B594" s="475"/>
      <c r="C594" s="475"/>
      <c r="D594" s="475"/>
      <c r="E594" s="476"/>
      <c r="F594" s="477"/>
      <c r="G594" s="478"/>
      <c r="H594" s="477"/>
    </row>
    <row r="595">
      <c r="A595" s="474"/>
      <c r="B595" s="475"/>
      <c r="C595" s="475"/>
      <c r="D595" s="475"/>
      <c r="E595" s="476"/>
      <c r="F595" s="477"/>
      <c r="G595" s="478"/>
      <c r="H595" s="477"/>
    </row>
    <row r="596">
      <c r="A596" s="474"/>
      <c r="B596" s="475"/>
      <c r="C596" s="475"/>
      <c r="D596" s="475"/>
      <c r="E596" s="476"/>
      <c r="F596" s="477"/>
      <c r="G596" s="478"/>
      <c r="H596" s="477"/>
    </row>
    <row r="597">
      <c r="A597" s="474"/>
      <c r="B597" s="475"/>
      <c r="C597" s="475"/>
      <c r="D597" s="475"/>
      <c r="E597" s="476"/>
      <c r="F597" s="477"/>
      <c r="G597" s="478"/>
      <c r="H597" s="477"/>
    </row>
    <row r="598">
      <c r="A598" s="474"/>
      <c r="B598" s="475"/>
      <c r="C598" s="475"/>
      <c r="D598" s="475"/>
      <c r="E598" s="476"/>
      <c r="F598" s="477"/>
      <c r="G598" s="478"/>
      <c r="H598" s="477"/>
    </row>
    <row r="599">
      <c r="A599" s="474"/>
      <c r="B599" s="475"/>
      <c r="C599" s="475"/>
      <c r="D599" s="475"/>
      <c r="E599" s="476"/>
      <c r="F599" s="477"/>
      <c r="G599" s="478"/>
      <c r="H599" s="477"/>
    </row>
    <row r="600">
      <c r="A600" s="474"/>
      <c r="B600" s="475"/>
      <c r="C600" s="475"/>
      <c r="D600" s="475"/>
      <c r="E600" s="476"/>
      <c r="F600" s="477"/>
      <c r="G600" s="478"/>
      <c r="H600" s="477"/>
    </row>
    <row r="601">
      <c r="A601" s="474"/>
      <c r="B601" s="475"/>
      <c r="C601" s="475"/>
      <c r="D601" s="475"/>
      <c r="E601" s="476"/>
      <c r="F601" s="477"/>
      <c r="G601" s="478"/>
      <c r="H601" s="477"/>
    </row>
    <row r="602">
      <c r="A602" s="474"/>
      <c r="B602" s="475"/>
      <c r="C602" s="475"/>
      <c r="D602" s="475"/>
      <c r="E602" s="476"/>
      <c r="F602" s="477"/>
      <c r="G602" s="478"/>
      <c r="H602" s="477"/>
    </row>
    <row r="603">
      <c r="A603" s="474"/>
      <c r="B603" s="475"/>
      <c r="C603" s="475"/>
      <c r="D603" s="475"/>
      <c r="E603" s="476"/>
      <c r="F603" s="477"/>
      <c r="G603" s="478"/>
      <c r="H603" s="477"/>
    </row>
    <row r="604">
      <c r="A604" s="474"/>
      <c r="B604" s="475"/>
      <c r="C604" s="475"/>
      <c r="D604" s="475"/>
      <c r="E604" s="476"/>
      <c r="F604" s="477"/>
      <c r="G604" s="478"/>
      <c r="H604" s="477"/>
    </row>
    <row r="605">
      <c r="A605" s="474"/>
      <c r="B605" s="475"/>
      <c r="C605" s="475"/>
      <c r="D605" s="475"/>
      <c r="E605" s="476"/>
      <c r="F605" s="477"/>
      <c r="G605" s="478"/>
      <c r="H605" s="477"/>
    </row>
    <row r="606">
      <c r="A606" s="474"/>
      <c r="B606" s="475"/>
      <c r="C606" s="475"/>
      <c r="D606" s="475"/>
      <c r="E606" s="476"/>
      <c r="F606" s="477"/>
      <c r="G606" s="478"/>
      <c r="H606" s="477"/>
    </row>
    <row r="607">
      <c r="A607" s="474"/>
      <c r="B607" s="475"/>
      <c r="C607" s="475"/>
      <c r="D607" s="475"/>
      <c r="E607" s="476"/>
      <c r="F607" s="477"/>
      <c r="G607" s="478"/>
      <c r="H607" s="477"/>
    </row>
    <row r="608">
      <c r="A608" s="474"/>
      <c r="B608" s="475"/>
      <c r="C608" s="475"/>
      <c r="D608" s="475"/>
      <c r="E608" s="476"/>
      <c r="F608" s="477"/>
      <c r="G608" s="478"/>
      <c r="H608" s="477"/>
    </row>
    <row r="609">
      <c r="A609" s="474"/>
      <c r="B609" s="475"/>
      <c r="C609" s="475"/>
      <c r="D609" s="475"/>
      <c r="E609" s="476"/>
      <c r="F609" s="477"/>
      <c r="G609" s="478"/>
      <c r="H609" s="477"/>
    </row>
    <row r="610">
      <c r="A610" s="474"/>
      <c r="B610" s="475"/>
      <c r="C610" s="475"/>
      <c r="D610" s="475"/>
      <c r="E610" s="476"/>
      <c r="F610" s="477"/>
      <c r="G610" s="478"/>
      <c r="H610" s="477"/>
    </row>
    <row r="611">
      <c r="A611" s="474"/>
      <c r="B611" s="475"/>
      <c r="C611" s="475"/>
      <c r="D611" s="475"/>
      <c r="E611" s="476"/>
      <c r="F611" s="477"/>
      <c r="G611" s="478"/>
      <c r="H611" s="477"/>
    </row>
    <row r="612">
      <c r="A612" s="474"/>
      <c r="B612" s="475"/>
      <c r="C612" s="475"/>
      <c r="D612" s="475"/>
      <c r="E612" s="476"/>
      <c r="F612" s="477"/>
      <c r="G612" s="478"/>
      <c r="H612" s="477"/>
    </row>
    <row r="613">
      <c r="A613" s="474"/>
      <c r="B613" s="475"/>
      <c r="C613" s="475"/>
      <c r="D613" s="475"/>
      <c r="E613" s="476"/>
      <c r="F613" s="477"/>
      <c r="G613" s="478"/>
      <c r="H613" s="477"/>
    </row>
    <row r="614">
      <c r="A614" s="474"/>
      <c r="B614" s="475"/>
      <c r="C614" s="475"/>
      <c r="D614" s="475"/>
      <c r="E614" s="476"/>
      <c r="F614" s="477"/>
      <c r="G614" s="478"/>
      <c r="H614" s="477"/>
    </row>
    <row r="615">
      <c r="A615" s="474"/>
      <c r="B615" s="475"/>
      <c r="C615" s="475"/>
      <c r="D615" s="475"/>
      <c r="E615" s="476"/>
      <c r="F615" s="477"/>
      <c r="G615" s="478"/>
      <c r="H615" s="477"/>
    </row>
    <row r="616">
      <c r="A616" s="474"/>
      <c r="B616" s="475"/>
      <c r="C616" s="475"/>
      <c r="D616" s="475"/>
      <c r="E616" s="476"/>
      <c r="F616" s="477"/>
      <c r="G616" s="478"/>
      <c r="H616" s="477"/>
    </row>
    <row r="617">
      <c r="A617" s="474"/>
      <c r="B617" s="475"/>
      <c r="C617" s="475"/>
      <c r="D617" s="475"/>
      <c r="E617" s="476"/>
      <c r="F617" s="477"/>
      <c r="G617" s="478"/>
      <c r="H617" s="477"/>
    </row>
    <row r="618">
      <c r="A618" s="474"/>
      <c r="B618" s="475"/>
      <c r="C618" s="475"/>
      <c r="D618" s="475"/>
      <c r="E618" s="476"/>
      <c r="F618" s="477"/>
      <c r="G618" s="478"/>
      <c r="H618" s="477"/>
    </row>
    <row r="619">
      <c r="A619" s="474"/>
      <c r="B619" s="475"/>
      <c r="C619" s="475"/>
      <c r="D619" s="475"/>
      <c r="E619" s="476"/>
      <c r="F619" s="477"/>
      <c r="G619" s="478"/>
      <c r="H619" s="477"/>
    </row>
    <row r="620">
      <c r="A620" s="474"/>
      <c r="B620" s="475"/>
      <c r="C620" s="475"/>
      <c r="D620" s="475"/>
      <c r="E620" s="476"/>
      <c r="F620" s="477"/>
      <c r="G620" s="478"/>
      <c r="H620" s="477"/>
    </row>
    <row r="621">
      <c r="A621" s="474"/>
      <c r="B621" s="475"/>
      <c r="C621" s="475"/>
      <c r="D621" s="475"/>
      <c r="E621" s="476"/>
      <c r="F621" s="477"/>
      <c r="G621" s="478"/>
      <c r="H621" s="477"/>
    </row>
    <row r="622">
      <c r="A622" s="474"/>
      <c r="B622" s="475"/>
      <c r="C622" s="475"/>
      <c r="D622" s="475"/>
      <c r="E622" s="476"/>
      <c r="F622" s="477"/>
      <c r="G622" s="478"/>
      <c r="H622" s="477"/>
    </row>
    <row r="623">
      <c r="A623" s="474"/>
      <c r="B623" s="475"/>
      <c r="C623" s="475"/>
      <c r="D623" s="475"/>
      <c r="E623" s="476"/>
      <c r="F623" s="477"/>
      <c r="G623" s="478"/>
      <c r="H623" s="477"/>
    </row>
    <row r="624">
      <c r="A624" s="474"/>
      <c r="B624" s="475"/>
      <c r="C624" s="475"/>
      <c r="D624" s="475"/>
      <c r="E624" s="476"/>
      <c r="F624" s="477"/>
      <c r="G624" s="478"/>
      <c r="H624" s="477"/>
    </row>
    <row r="625">
      <c r="A625" s="474"/>
      <c r="B625" s="475"/>
      <c r="C625" s="475"/>
      <c r="D625" s="475"/>
      <c r="E625" s="476"/>
      <c r="F625" s="477"/>
      <c r="G625" s="478"/>
      <c r="H625" s="477"/>
    </row>
    <row r="626">
      <c r="A626" s="474"/>
      <c r="B626" s="475"/>
      <c r="C626" s="475"/>
      <c r="D626" s="475"/>
      <c r="E626" s="476"/>
      <c r="F626" s="477"/>
      <c r="G626" s="478"/>
      <c r="H626" s="477"/>
    </row>
    <row r="627">
      <c r="A627" s="474"/>
      <c r="B627" s="475"/>
      <c r="C627" s="475"/>
      <c r="D627" s="475"/>
      <c r="E627" s="476"/>
      <c r="F627" s="477"/>
      <c r="G627" s="478"/>
      <c r="H627" s="477"/>
    </row>
    <row r="628">
      <c r="A628" s="474"/>
      <c r="B628" s="475"/>
      <c r="C628" s="475"/>
      <c r="D628" s="475"/>
      <c r="E628" s="476"/>
      <c r="F628" s="477"/>
      <c r="G628" s="478"/>
      <c r="H628" s="477"/>
    </row>
    <row r="629">
      <c r="A629" s="474"/>
      <c r="B629" s="475"/>
      <c r="C629" s="475"/>
      <c r="D629" s="475"/>
      <c r="E629" s="476"/>
      <c r="F629" s="477"/>
      <c r="G629" s="478"/>
      <c r="H629" s="477"/>
    </row>
    <row r="630">
      <c r="A630" s="474"/>
      <c r="B630" s="475"/>
      <c r="C630" s="475"/>
      <c r="D630" s="475"/>
      <c r="E630" s="476"/>
      <c r="F630" s="477"/>
      <c r="G630" s="478"/>
      <c r="H630" s="477"/>
    </row>
    <row r="631">
      <c r="A631" s="474"/>
      <c r="B631" s="475"/>
      <c r="C631" s="475"/>
      <c r="D631" s="475"/>
      <c r="E631" s="476"/>
      <c r="F631" s="477"/>
      <c r="G631" s="478"/>
      <c r="H631" s="477"/>
    </row>
    <row r="632">
      <c r="A632" s="474"/>
      <c r="B632" s="475"/>
      <c r="C632" s="475"/>
      <c r="D632" s="475"/>
      <c r="E632" s="476"/>
      <c r="F632" s="477"/>
      <c r="G632" s="478"/>
      <c r="H632" s="477"/>
    </row>
    <row r="633">
      <c r="A633" s="474"/>
      <c r="B633" s="475"/>
      <c r="C633" s="475"/>
      <c r="D633" s="475"/>
      <c r="E633" s="476"/>
      <c r="F633" s="477"/>
      <c r="G633" s="478"/>
      <c r="H633" s="477"/>
    </row>
    <row r="634">
      <c r="A634" s="474"/>
      <c r="B634" s="475"/>
      <c r="C634" s="475"/>
      <c r="D634" s="475"/>
      <c r="E634" s="476"/>
      <c r="F634" s="477"/>
      <c r="G634" s="478"/>
      <c r="H634" s="477"/>
    </row>
    <row r="635">
      <c r="A635" s="474"/>
      <c r="B635" s="475"/>
      <c r="C635" s="475"/>
      <c r="D635" s="475"/>
      <c r="E635" s="476"/>
      <c r="F635" s="477"/>
      <c r="G635" s="478"/>
      <c r="H635" s="477"/>
    </row>
    <row r="636">
      <c r="A636" s="474"/>
      <c r="B636" s="475"/>
      <c r="C636" s="475"/>
      <c r="D636" s="475"/>
      <c r="E636" s="476"/>
      <c r="F636" s="477"/>
      <c r="G636" s="478"/>
      <c r="H636" s="477"/>
    </row>
    <row r="637">
      <c r="A637" s="474"/>
      <c r="B637" s="475"/>
      <c r="C637" s="475"/>
      <c r="D637" s="475"/>
      <c r="E637" s="476"/>
      <c r="F637" s="477"/>
      <c r="G637" s="478"/>
      <c r="H637" s="477"/>
    </row>
    <row r="638">
      <c r="A638" s="474"/>
      <c r="B638" s="475"/>
      <c r="C638" s="475"/>
      <c r="D638" s="475"/>
      <c r="E638" s="476"/>
      <c r="F638" s="477"/>
      <c r="G638" s="478"/>
      <c r="H638" s="477"/>
    </row>
    <row r="639">
      <c r="A639" s="474"/>
      <c r="B639" s="475"/>
      <c r="C639" s="475"/>
      <c r="D639" s="475"/>
      <c r="E639" s="476"/>
      <c r="F639" s="477"/>
      <c r="G639" s="478"/>
      <c r="H639" s="477"/>
    </row>
    <row r="640">
      <c r="A640" s="474"/>
      <c r="B640" s="475"/>
      <c r="C640" s="475"/>
      <c r="D640" s="475"/>
      <c r="E640" s="476"/>
      <c r="F640" s="477"/>
      <c r="G640" s="478"/>
      <c r="H640" s="477"/>
    </row>
    <row r="641">
      <c r="A641" s="474"/>
      <c r="B641" s="475"/>
      <c r="C641" s="475"/>
      <c r="D641" s="475"/>
      <c r="E641" s="476"/>
      <c r="F641" s="477"/>
      <c r="G641" s="478"/>
      <c r="H641" s="477"/>
    </row>
    <row r="642">
      <c r="A642" s="474"/>
      <c r="B642" s="475"/>
      <c r="C642" s="475"/>
      <c r="D642" s="475"/>
      <c r="E642" s="476"/>
      <c r="F642" s="477"/>
      <c r="G642" s="478"/>
      <c r="H642" s="477"/>
    </row>
    <row r="643">
      <c r="A643" s="474"/>
      <c r="B643" s="475"/>
      <c r="C643" s="475"/>
      <c r="D643" s="475"/>
      <c r="E643" s="476"/>
      <c r="F643" s="477"/>
      <c r="G643" s="478"/>
      <c r="H643" s="477"/>
    </row>
    <row r="644">
      <c r="A644" s="474"/>
      <c r="B644" s="475"/>
      <c r="C644" s="475"/>
      <c r="D644" s="475"/>
      <c r="E644" s="476"/>
      <c r="F644" s="477"/>
      <c r="G644" s="478"/>
      <c r="H644" s="477"/>
    </row>
    <row r="645">
      <c r="A645" s="474"/>
      <c r="B645" s="475"/>
      <c r="C645" s="475"/>
      <c r="D645" s="475"/>
      <c r="E645" s="476"/>
      <c r="F645" s="477"/>
      <c r="G645" s="478"/>
      <c r="H645" s="477"/>
    </row>
    <row r="646">
      <c r="A646" s="474"/>
      <c r="B646" s="475"/>
      <c r="C646" s="475"/>
      <c r="D646" s="475"/>
      <c r="E646" s="476"/>
      <c r="F646" s="477"/>
      <c r="G646" s="478"/>
      <c r="H646" s="477"/>
    </row>
    <row r="647">
      <c r="A647" s="474"/>
      <c r="B647" s="475"/>
      <c r="C647" s="475"/>
      <c r="D647" s="475"/>
      <c r="E647" s="476"/>
      <c r="F647" s="477"/>
      <c r="G647" s="478"/>
      <c r="H647" s="477"/>
    </row>
    <row r="648">
      <c r="A648" s="474"/>
      <c r="B648" s="475"/>
      <c r="C648" s="475"/>
      <c r="D648" s="475"/>
      <c r="E648" s="476"/>
      <c r="F648" s="477"/>
      <c r="G648" s="478"/>
      <c r="H648" s="477"/>
    </row>
    <row r="649">
      <c r="A649" s="474"/>
      <c r="B649" s="475"/>
      <c r="C649" s="475"/>
      <c r="D649" s="475"/>
      <c r="E649" s="476"/>
      <c r="F649" s="477"/>
      <c r="G649" s="478"/>
      <c r="H649" s="477"/>
    </row>
    <row r="650">
      <c r="A650" s="474"/>
      <c r="B650" s="475"/>
      <c r="C650" s="475"/>
      <c r="D650" s="475"/>
      <c r="E650" s="476"/>
      <c r="F650" s="477"/>
      <c r="G650" s="478"/>
      <c r="H650" s="477"/>
    </row>
    <row r="651">
      <c r="A651" s="474"/>
      <c r="B651" s="475"/>
      <c r="C651" s="475"/>
      <c r="D651" s="475"/>
      <c r="E651" s="476"/>
      <c r="F651" s="477"/>
      <c r="G651" s="478"/>
      <c r="H651" s="477"/>
    </row>
    <row r="652">
      <c r="A652" s="474"/>
      <c r="B652" s="475"/>
      <c r="C652" s="475"/>
      <c r="D652" s="475"/>
      <c r="E652" s="476"/>
      <c r="F652" s="477"/>
      <c r="G652" s="478"/>
      <c r="H652" s="477"/>
    </row>
    <row r="653">
      <c r="A653" s="474"/>
      <c r="B653" s="475"/>
      <c r="C653" s="475"/>
      <c r="D653" s="475"/>
      <c r="E653" s="476"/>
      <c r="F653" s="477"/>
      <c r="G653" s="478"/>
      <c r="H653" s="477"/>
    </row>
    <row r="654">
      <c r="A654" s="474"/>
      <c r="B654" s="475"/>
      <c r="C654" s="475"/>
      <c r="D654" s="475"/>
      <c r="E654" s="476"/>
      <c r="F654" s="477"/>
      <c r="G654" s="478"/>
      <c r="H654" s="477"/>
    </row>
    <row r="655">
      <c r="A655" s="474"/>
      <c r="B655" s="475"/>
      <c r="C655" s="475"/>
      <c r="D655" s="475"/>
      <c r="E655" s="476"/>
      <c r="F655" s="477"/>
      <c r="G655" s="478"/>
      <c r="H655" s="477"/>
    </row>
    <row r="656">
      <c r="A656" s="474"/>
      <c r="B656" s="475"/>
      <c r="C656" s="475"/>
      <c r="D656" s="475"/>
      <c r="E656" s="476"/>
      <c r="F656" s="477"/>
      <c r="G656" s="478"/>
      <c r="H656" s="477"/>
    </row>
    <row r="657">
      <c r="A657" s="474"/>
      <c r="B657" s="475"/>
      <c r="C657" s="475"/>
      <c r="D657" s="475"/>
      <c r="E657" s="476"/>
      <c r="F657" s="477"/>
      <c r="G657" s="478"/>
      <c r="H657" s="477"/>
    </row>
    <row r="658">
      <c r="A658" s="474"/>
      <c r="B658" s="475"/>
      <c r="C658" s="475"/>
      <c r="D658" s="475"/>
      <c r="E658" s="476"/>
      <c r="F658" s="477"/>
      <c r="G658" s="478"/>
      <c r="H658" s="477"/>
    </row>
    <row r="659">
      <c r="A659" s="474"/>
      <c r="B659" s="475"/>
      <c r="C659" s="475"/>
      <c r="D659" s="475"/>
      <c r="E659" s="476"/>
      <c r="F659" s="477"/>
      <c r="G659" s="478"/>
      <c r="H659" s="477"/>
    </row>
    <row r="660">
      <c r="A660" s="474"/>
      <c r="B660" s="475"/>
      <c r="C660" s="475"/>
      <c r="D660" s="475"/>
      <c r="E660" s="476"/>
      <c r="F660" s="477"/>
      <c r="G660" s="478"/>
      <c r="H660" s="477"/>
    </row>
    <row r="661">
      <c r="A661" s="474"/>
      <c r="B661" s="475"/>
      <c r="C661" s="475"/>
      <c r="D661" s="475"/>
      <c r="E661" s="476"/>
      <c r="F661" s="477"/>
      <c r="G661" s="478"/>
      <c r="H661" s="477"/>
    </row>
    <row r="662">
      <c r="A662" s="474"/>
      <c r="B662" s="475"/>
      <c r="C662" s="475"/>
      <c r="D662" s="475"/>
      <c r="E662" s="476"/>
      <c r="F662" s="477"/>
      <c r="G662" s="478"/>
      <c r="H662" s="477"/>
    </row>
    <row r="663">
      <c r="A663" s="474"/>
      <c r="B663" s="475"/>
      <c r="C663" s="475"/>
      <c r="D663" s="475"/>
      <c r="E663" s="476"/>
      <c r="F663" s="477"/>
      <c r="G663" s="478"/>
      <c r="H663" s="477"/>
    </row>
    <row r="664">
      <c r="A664" s="474"/>
      <c r="B664" s="475"/>
      <c r="C664" s="475"/>
      <c r="D664" s="475"/>
      <c r="E664" s="476"/>
      <c r="F664" s="477"/>
      <c r="G664" s="478"/>
      <c r="H664" s="477"/>
    </row>
    <row r="665">
      <c r="A665" s="474"/>
      <c r="B665" s="475"/>
      <c r="C665" s="475"/>
      <c r="D665" s="475"/>
      <c r="E665" s="476"/>
      <c r="F665" s="477"/>
      <c r="G665" s="478"/>
      <c r="H665" s="477"/>
    </row>
    <row r="666">
      <c r="A666" s="474"/>
      <c r="B666" s="475"/>
      <c r="C666" s="475"/>
      <c r="D666" s="475"/>
      <c r="E666" s="476"/>
      <c r="F666" s="477"/>
      <c r="G666" s="478"/>
      <c r="H666" s="477"/>
    </row>
    <row r="667">
      <c r="A667" s="474"/>
      <c r="B667" s="475"/>
      <c r="C667" s="475"/>
      <c r="D667" s="475"/>
      <c r="E667" s="476"/>
      <c r="F667" s="477"/>
      <c r="G667" s="478"/>
      <c r="H667" s="477"/>
    </row>
    <row r="668">
      <c r="A668" s="474"/>
      <c r="B668" s="475"/>
      <c r="C668" s="475"/>
      <c r="D668" s="475"/>
      <c r="E668" s="476"/>
      <c r="F668" s="477"/>
      <c r="G668" s="478"/>
      <c r="H668" s="477"/>
    </row>
    <row r="669">
      <c r="A669" s="474"/>
      <c r="B669" s="475"/>
      <c r="C669" s="475"/>
      <c r="D669" s="475"/>
      <c r="E669" s="476"/>
      <c r="F669" s="477"/>
      <c r="G669" s="478"/>
      <c r="H669" s="477"/>
    </row>
    <row r="670">
      <c r="A670" s="474"/>
      <c r="B670" s="475"/>
      <c r="C670" s="475"/>
      <c r="D670" s="475"/>
      <c r="E670" s="476"/>
      <c r="F670" s="477"/>
      <c r="G670" s="478"/>
      <c r="H670" s="477"/>
    </row>
    <row r="671">
      <c r="A671" s="474"/>
      <c r="B671" s="475"/>
      <c r="C671" s="475"/>
      <c r="D671" s="475"/>
      <c r="E671" s="476"/>
      <c r="F671" s="477"/>
      <c r="G671" s="478"/>
      <c r="H671" s="477"/>
    </row>
    <row r="672">
      <c r="A672" s="474"/>
      <c r="B672" s="475"/>
      <c r="C672" s="475"/>
      <c r="D672" s="475"/>
      <c r="E672" s="476"/>
      <c r="F672" s="477"/>
      <c r="G672" s="478"/>
      <c r="H672" s="477"/>
    </row>
    <row r="673">
      <c r="A673" s="474"/>
      <c r="B673" s="475"/>
      <c r="C673" s="475"/>
      <c r="D673" s="475"/>
      <c r="E673" s="476"/>
      <c r="F673" s="477"/>
      <c r="G673" s="478"/>
      <c r="H673" s="477"/>
    </row>
    <row r="674">
      <c r="A674" s="474"/>
      <c r="B674" s="475"/>
      <c r="C674" s="475"/>
      <c r="D674" s="475"/>
      <c r="E674" s="476"/>
      <c r="F674" s="477"/>
      <c r="G674" s="478"/>
      <c r="H674" s="477"/>
    </row>
    <row r="675">
      <c r="A675" s="474"/>
      <c r="B675" s="475"/>
      <c r="C675" s="475"/>
      <c r="D675" s="475"/>
      <c r="E675" s="476"/>
      <c r="F675" s="477"/>
      <c r="G675" s="478"/>
      <c r="H675" s="477"/>
    </row>
    <row r="676">
      <c r="A676" s="474"/>
      <c r="B676" s="475"/>
      <c r="C676" s="475"/>
      <c r="D676" s="475"/>
      <c r="E676" s="476"/>
      <c r="F676" s="477"/>
      <c r="G676" s="478"/>
      <c r="H676" s="477"/>
    </row>
    <row r="677">
      <c r="A677" s="474"/>
      <c r="B677" s="475"/>
      <c r="C677" s="475"/>
      <c r="D677" s="475"/>
      <c r="E677" s="476"/>
      <c r="F677" s="477"/>
      <c r="G677" s="478"/>
      <c r="H677" s="477"/>
    </row>
    <row r="678">
      <c r="A678" s="474"/>
      <c r="B678" s="475"/>
      <c r="C678" s="475"/>
      <c r="D678" s="475"/>
      <c r="E678" s="476"/>
      <c r="F678" s="477"/>
      <c r="G678" s="478"/>
      <c r="H678" s="477"/>
    </row>
    <row r="679">
      <c r="A679" s="474"/>
      <c r="B679" s="475"/>
      <c r="C679" s="475"/>
      <c r="D679" s="475"/>
      <c r="E679" s="476"/>
      <c r="F679" s="477"/>
      <c r="G679" s="478"/>
      <c r="H679" s="477"/>
    </row>
    <row r="680">
      <c r="A680" s="474"/>
      <c r="B680" s="475"/>
      <c r="C680" s="475"/>
      <c r="D680" s="475"/>
      <c r="E680" s="476"/>
      <c r="F680" s="477"/>
      <c r="G680" s="478"/>
      <c r="H680" s="477"/>
    </row>
    <row r="681">
      <c r="A681" s="474"/>
      <c r="B681" s="475"/>
      <c r="C681" s="475"/>
      <c r="D681" s="475"/>
      <c r="E681" s="476"/>
      <c r="F681" s="477"/>
      <c r="G681" s="478"/>
      <c r="H681" s="477"/>
    </row>
    <row r="682">
      <c r="A682" s="474"/>
      <c r="B682" s="475"/>
      <c r="C682" s="475"/>
      <c r="D682" s="475"/>
      <c r="E682" s="476"/>
      <c r="F682" s="477"/>
      <c r="G682" s="478"/>
      <c r="H682" s="477"/>
    </row>
    <row r="683">
      <c r="A683" s="474"/>
      <c r="B683" s="475"/>
      <c r="C683" s="475"/>
      <c r="D683" s="475"/>
      <c r="E683" s="476"/>
      <c r="F683" s="477"/>
      <c r="G683" s="478"/>
      <c r="H683" s="477"/>
    </row>
    <row r="684">
      <c r="A684" s="474"/>
      <c r="B684" s="475"/>
      <c r="C684" s="475"/>
      <c r="D684" s="475"/>
      <c r="E684" s="476"/>
      <c r="F684" s="477"/>
      <c r="G684" s="478"/>
      <c r="H684" s="477"/>
    </row>
    <row r="685">
      <c r="A685" s="474"/>
      <c r="B685" s="475"/>
      <c r="C685" s="475"/>
      <c r="D685" s="475"/>
      <c r="E685" s="476"/>
      <c r="F685" s="477"/>
      <c r="G685" s="478"/>
      <c r="H685" s="477"/>
    </row>
    <row r="686">
      <c r="A686" s="474"/>
      <c r="B686" s="475"/>
      <c r="C686" s="475"/>
      <c r="D686" s="475"/>
      <c r="E686" s="476"/>
      <c r="F686" s="477"/>
      <c r="G686" s="478"/>
      <c r="H686" s="477"/>
    </row>
    <row r="687">
      <c r="A687" s="474"/>
      <c r="B687" s="475"/>
      <c r="C687" s="475"/>
      <c r="D687" s="475"/>
      <c r="E687" s="476"/>
      <c r="F687" s="477"/>
      <c r="G687" s="478"/>
      <c r="H687" s="477"/>
    </row>
    <row r="688">
      <c r="A688" s="474"/>
      <c r="B688" s="475"/>
      <c r="C688" s="475"/>
      <c r="D688" s="475"/>
      <c r="E688" s="476"/>
      <c r="F688" s="477"/>
      <c r="G688" s="478"/>
      <c r="H688" s="477"/>
    </row>
    <row r="689">
      <c r="A689" s="474"/>
      <c r="B689" s="475"/>
      <c r="C689" s="475"/>
      <c r="D689" s="475"/>
      <c r="E689" s="476"/>
      <c r="F689" s="477"/>
      <c r="G689" s="478"/>
      <c r="H689" s="477"/>
    </row>
    <row r="690">
      <c r="A690" s="474"/>
      <c r="B690" s="475"/>
      <c r="C690" s="475"/>
      <c r="D690" s="475"/>
      <c r="E690" s="476"/>
      <c r="F690" s="477"/>
      <c r="G690" s="478"/>
      <c r="H690" s="477"/>
    </row>
    <row r="691">
      <c r="A691" s="474"/>
      <c r="B691" s="475"/>
      <c r="C691" s="475"/>
      <c r="D691" s="475"/>
      <c r="E691" s="476"/>
      <c r="F691" s="477"/>
      <c r="G691" s="478"/>
      <c r="H691" s="477"/>
    </row>
    <row r="692">
      <c r="A692" s="474"/>
      <c r="B692" s="475"/>
      <c r="C692" s="475"/>
      <c r="D692" s="475"/>
      <c r="E692" s="476"/>
      <c r="F692" s="477"/>
      <c r="G692" s="478"/>
      <c r="H692" s="477"/>
    </row>
    <row r="693">
      <c r="A693" s="474"/>
      <c r="B693" s="475"/>
      <c r="C693" s="475"/>
      <c r="D693" s="475"/>
      <c r="E693" s="476"/>
      <c r="F693" s="477"/>
      <c r="G693" s="478"/>
      <c r="H693" s="477"/>
    </row>
    <row r="694">
      <c r="A694" s="474"/>
      <c r="B694" s="475"/>
      <c r="C694" s="475"/>
      <c r="D694" s="475"/>
      <c r="E694" s="476"/>
      <c r="F694" s="477"/>
      <c r="G694" s="478"/>
      <c r="H694" s="477"/>
    </row>
    <row r="695">
      <c r="A695" s="474"/>
      <c r="B695" s="475"/>
      <c r="C695" s="475"/>
      <c r="D695" s="475"/>
      <c r="E695" s="476"/>
      <c r="F695" s="477"/>
      <c r="G695" s="478"/>
      <c r="H695" s="477"/>
    </row>
    <row r="696">
      <c r="A696" s="474"/>
      <c r="B696" s="475"/>
      <c r="C696" s="475"/>
      <c r="D696" s="475"/>
      <c r="E696" s="476"/>
      <c r="F696" s="477"/>
      <c r="G696" s="478"/>
      <c r="H696" s="477"/>
    </row>
    <row r="697">
      <c r="A697" s="474"/>
      <c r="B697" s="475"/>
      <c r="C697" s="475"/>
      <c r="D697" s="475"/>
      <c r="E697" s="476"/>
      <c r="F697" s="477"/>
      <c r="G697" s="478"/>
      <c r="H697" s="477"/>
    </row>
    <row r="698">
      <c r="A698" s="474"/>
      <c r="B698" s="475"/>
      <c r="C698" s="475"/>
      <c r="D698" s="475"/>
      <c r="E698" s="476"/>
      <c r="F698" s="477"/>
      <c r="G698" s="478"/>
      <c r="H698" s="477"/>
    </row>
    <row r="699">
      <c r="A699" s="474"/>
      <c r="B699" s="475"/>
      <c r="C699" s="475"/>
      <c r="D699" s="475"/>
      <c r="E699" s="476"/>
      <c r="F699" s="477"/>
      <c r="G699" s="478"/>
      <c r="H699" s="477"/>
    </row>
    <row r="700">
      <c r="A700" s="474"/>
      <c r="B700" s="475"/>
      <c r="C700" s="475"/>
      <c r="D700" s="475"/>
      <c r="E700" s="476"/>
      <c r="F700" s="477"/>
      <c r="G700" s="478"/>
      <c r="H700" s="477"/>
    </row>
    <row r="701">
      <c r="A701" s="474"/>
      <c r="B701" s="475"/>
      <c r="C701" s="475"/>
      <c r="D701" s="475"/>
      <c r="E701" s="476"/>
      <c r="F701" s="477"/>
      <c r="G701" s="478"/>
      <c r="H701" s="477"/>
    </row>
    <row r="702">
      <c r="A702" s="474"/>
      <c r="B702" s="475"/>
      <c r="C702" s="475"/>
      <c r="D702" s="475"/>
      <c r="E702" s="476"/>
      <c r="F702" s="477"/>
      <c r="G702" s="478"/>
      <c r="H702" s="477"/>
    </row>
    <row r="703">
      <c r="A703" s="474"/>
      <c r="B703" s="475"/>
      <c r="C703" s="475"/>
      <c r="D703" s="475"/>
      <c r="E703" s="476"/>
      <c r="F703" s="477"/>
      <c r="G703" s="478"/>
      <c r="H703" s="477"/>
    </row>
    <row r="704">
      <c r="A704" s="474"/>
      <c r="B704" s="475"/>
      <c r="C704" s="475"/>
      <c r="D704" s="475"/>
      <c r="E704" s="476"/>
      <c r="F704" s="477"/>
      <c r="G704" s="478"/>
      <c r="H704" s="477"/>
    </row>
    <row r="705">
      <c r="A705" s="474"/>
      <c r="B705" s="475"/>
      <c r="C705" s="475"/>
      <c r="D705" s="475"/>
      <c r="E705" s="476"/>
      <c r="F705" s="477"/>
      <c r="G705" s="478"/>
      <c r="H705" s="477"/>
    </row>
    <row r="706">
      <c r="A706" s="474"/>
      <c r="B706" s="475"/>
      <c r="C706" s="475"/>
      <c r="D706" s="475"/>
      <c r="E706" s="476"/>
      <c r="F706" s="477"/>
      <c r="G706" s="478"/>
      <c r="H706" s="477"/>
    </row>
    <row r="707">
      <c r="A707" s="474"/>
      <c r="B707" s="475"/>
      <c r="C707" s="475"/>
      <c r="D707" s="475"/>
      <c r="E707" s="476"/>
      <c r="F707" s="477"/>
      <c r="G707" s="478"/>
      <c r="H707" s="477"/>
    </row>
    <row r="708">
      <c r="A708" s="474"/>
      <c r="B708" s="475"/>
      <c r="C708" s="475"/>
      <c r="D708" s="475"/>
      <c r="E708" s="476"/>
      <c r="F708" s="477"/>
      <c r="G708" s="478"/>
      <c r="H708" s="477"/>
    </row>
    <row r="709">
      <c r="A709" s="474"/>
      <c r="B709" s="475"/>
      <c r="C709" s="475"/>
      <c r="D709" s="475"/>
      <c r="E709" s="476"/>
      <c r="F709" s="477"/>
      <c r="G709" s="478"/>
      <c r="H709" s="477"/>
    </row>
    <row r="710">
      <c r="A710" s="474"/>
      <c r="B710" s="475"/>
      <c r="C710" s="475"/>
      <c r="D710" s="475"/>
      <c r="E710" s="476"/>
      <c r="F710" s="477"/>
      <c r="G710" s="478"/>
      <c r="H710" s="477"/>
    </row>
    <row r="711">
      <c r="A711" s="474"/>
      <c r="B711" s="475"/>
      <c r="C711" s="475"/>
      <c r="D711" s="475"/>
      <c r="E711" s="476"/>
      <c r="F711" s="477"/>
      <c r="G711" s="478"/>
      <c r="H711" s="477"/>
    </row>
    <row r="712">
      <c r="A712" s="474"/>
      <c r="B712" s="475"/>
      <c r="C712" s="475"/>
      <c r="D712" s="475"/>
      <c r="E712" s="476"/>
      <c r="F712" s="477"/>
      <c r="G712" s="478"/>
      <c r="H712" s="477"/>
    </row>
    <row r="713">
      <c r="A713" s="474"/>
      <c r="B713" s="475"/>
      <c r="C713" s="475"/>
      <c r="D713" s="475"/>
      <c r="E713" s="476"/>
      <c r="F713" s="477"/>
      <c r="G713" s="478"/>
      <c r="H713" s="477"/>
    </row>
    <row r="714">
      <c r="A714" s="474"/>
      <c r="B714" s="475"/>
      <c r="C714" s="475"/>
      <c r="D714" s="475"/>
      <c r="E714" s="476"/>
      <c r="F714" s="477"/>
      <c r="G714" s="478"/>
      <c r="H714" s="477"/>
    </row>
    <row r="715">
      <c r="A715" s="474"/>
      <c r="B715" s="475"/>
      <c r="C715" s="475"/>
      <c r="D715" s="475"/>
      <c r="E715" s="476"/>
      <c r="F715" s="477"/>
      <c r="G715" s="478"/>
      <c r="H715" s="477"/>
    </row>
    <row r="716">
      <c r="A716" s="474"/>
      <c r="B716" s="475"/>
      <c r="C716" s="475"/>
      <c r="D716" s="475"/>
      <c r="E716" s="476"/>
      <c r="F716" s="477"/>
      <c r="G716" s="478"/>
      <c r="H716" s="477"/>
    </row>
    <row r="717">
      <c r="A717" s="474"/>
      <c r="B717" s="475"/>
      <c r="C717" s="475"/>
      <c r="D717" s="475"/>
      <c r="E717" s="476"/>
      <c r="F717" s="477"/>
      <c r="G717" s="478"/>
      <c r="H717" s="477"/>
    </row>
    <row r="718">
      <c r="A718" s="474"/>
      <c r="B718" s="475"/>
      <c r="C718" s="475"/>
      <c r="D718" s="475"/>
      <c r="E718" s="476"/>
      <c r="F718" s="477"/>
      <c r="G718" s="478"/>
      <c r="H718" s="477"/>
    </row>
    <row r="719">
      <c r="A719" s="474"/>
      <c r="B719" s="475"/>
      <c r="C719" s="475"/>
      <c r="D719" s="475"/>
      <c r="E719" s="476"/>
      <c r="F719" s="477"/>
      <c r="G719" s="478"/>
      <c r="H719" s="477"/>
    </row>
    <row r="720">
      <c r="A720" s="474"/>
      <c r="B720" s="475"/>
      <c r="C720" s="475"/>
      <c r="D720" s="475"/>
      <c r="E720" s="476"/>
      <c r="F720" s="477"/>
      <c r="G720" s="478"/>
      <c r="H720" s="477"/>
    </row>
    <row r="721">
      <c r="A721" s="474"/>
      <c r="B721" s="475"/>
      <c r="C721" s="475"/>
      <c r="D721" s="475"/>
      <c r="E721" s="476"/>
      <c r="F721" s="477"/>
      <c r="G721" s="478"/>
      <c r="H721" s="477"/>
    </row>
    <row r="722">
      <c r="A722" s="474"/>
      <c r="B722" s="475"/>
      <c r="C722" s="475"/>
      <c r="D722" s="475"/>
      <c r="E722" s="476"/>
      <c r="F722" s="477"/>
      <c r="G722" s="478"/>
      <c r="H722" s="477"/>
    </row>
    <row r="723">
      <c r="A723" s="474"/>
      <c r="B723" s="475"/>
      <c r="C723" s="475"/>
      <c r="D723" s="475"/>
      <c r="E723" s="476"/>
      <c r="F723" s="477"/>
      <c r="G723" s="478"/>
      <c r="H723" s="477"/>
    </row>
    <row r="724">
      <c r="A724" s="474"/>
      <c r="B724" s="475"/>
      <c r="C724" s="475"/>
      <c r="D724" s="475"/>
      <c r="E724" s="476"/>
      <c r="F724" s="477"/>
      <c r="G724" s="478"/>
      <c r="H724" s="477"/>
    </row>
    <row r="725">
      <c r="A725" s="474"/>
      <c r="B725" s="475"/>
      <c r="C725" s="475"/>
      <c r="D725" s="475"/>
      <c r="E725" s="476"/>
      <c r="F725" s="477"/>
      <c r="G725" s="478"/>
      <c r="H725" s="477"/>
    </row>
    <row r="726">
      <c r="A726" s="474"/>
      <c r="B726" s="475"/>
      <c r="C726" s="475"/>
      <c r="D726" s="475"/>
      <c r="E726" s="476"/>
      <c r="F726" s="477"/>
      <c r="G726" s="478"/>
      <c r="H726" s="477"/>
    </row>
    <row r="727">
      <c r="A727" s="474"/>
      <c r="B727" s="475"/>
      <c r="C727" s="475"/>
      <c r="D727" s="475"/>
      <c r="E727" s="476"/>
      <c r="F727" s="477"/>
      <c r="G727" s="478"/>
      <c r="H727" s="477"/>
    </row>
    <row r="728">
      <c r="A728" s="474"/>
      <c r="B728" s="475"/>
      <c r="C728" s="475"/>
      <c r="D728" s="475"/>
      <c r="E728" s="476"/>
      <c r="F728" s="477"/>
      <c r="G728" s="478"/>
      <c r="H728" s="477"/>
    </row>
    <row r="729">
      <c r="A729" s="474"/>
      <c r="B729" s="475"/>
      <c r="C729" s="475"/>
      <c r="D729" s="475"/>
      <c r="E729" s="476"/>
      <c r="F729" s="477"/>
      <c r="G729" s="478"/>
      <c r="H729" s="477"/>
    </row>
    <row r="730">
      <c r="A730" s="474"/>
      <c r="B730" s="475"/>
      <c r="C730" s="475"/>
      <c r="D730" s="475"/>
      <c r="E730" s="476"/>
      <c r="F730" s="477"/>
      <c r="G730" s="478"/>
      <c r="H730" s="477"/>
    </row>
    <row r="731">
      <c r="A731" s="474"/>
      <c r="B731" s="475"/>
      <c r="C731" s="475"/>
      <c r="D731" s="475"/>
      <c r="E731" s="476"/>
      <c r="F731" s="477"/>
      <c r="G731" s="478"/>
      <c r="H731" s="477"/>
    </row>
    <row r="732">
      <c r="A732" s="474"/>
      <c r="B732" s="475"/>
      <c r="C732" s="475"/>
      <c r="D732" s="475"/>
      <c r="E732" s="476"/>
      <c r="F732" s="477"/>
      <c r="G732" s="478"/>
      <c r="H732" s="477"/>
    </row>
    <row r="733">
      <c r="A733" s="474"/>
      <c r="B733" s="475"/>
      <c r="C733" s="475"/>
      <c r="D733" s="475"/>
      <c r="E733" s="476"/>
      <c r="F733" s="477"/>
      <c r="G733" s="478"/>
      <c r="H733" s="477"/>
    </row>
    <row r="734">
      <c r="A734" s="474"/>
      <c r="B734" s="475"/>
      <c r="C734" s="475"/>
      <c r="D734" s="475"/>
      <c r="E734" s="476"/>
      <c r="F734" s="477"/>
      <c r="G734" s="478"/>
      <c r="H734" s="477"/>
    </row>
    <row r="735">
      <c r="A735" s="474"/>
      <c r="B735" s="475"/>
      <c r="C735" s="475"/>
      <c r="D735" s="475"/>
      <c r="E735" s="476"/>
      <c r="F735" s="477"/>
      <c r="G735" s="478"/>
      <c r="H735" s="477"/>
    </row>
    <row r="736">
      <c r="A736" s="474"/>
      <c r="B736" s="475"/>
      <c r="C736" s="475"/>
      <c r="D736" s="475"/>
      <c r="E736" s="476"/>
      <c r="F736" s="477"/>
      <c r="G736" s="478"/>
      <c r="H736" s="477"/>
    </row>
    <row r="737">
      <c r="A737" s="474"/>
      <c r="B737" s="475"/>
      <c r="C737" s="475"/>
      <c r="D737" s="475"/>
      <c r="E737" s="476"/>
      <c r="F737" s="477"/>
      <c r="G737" s="478"/>
      <c r="H737" s="477"/>
    </row>
    <row r="738">
      <c r="A738" s="474"/>
      <c r="B738" s="475"/>
      <c r="C738" s="475"/>
      <c r="D738" s="475"/>
      <c r="E738" s="476"/>
      <c r="F738" s="477"/>
      <c r="G738" s="478"/>
      <c r="H738" s="477"/>
    </row>
    <row r="739">
      <c r="A739" s="474"/>
      <c r="B739" s="475"/>
      <c r="C739" s="475"/>
      <c r="D739" s="475"/>
      <c r="E739" s="476"/>
      <c r="F739" s="477"/>
      <c r="G739" s="478"/>
      <c r="H739" s="477"/>
    </row>
    <row r="740">
      <c r="A740" s="474"/>
      <c r="B740" s="475"/>
      <c r="C740" s="475"/>
      <c r="D740" s="475"/>
      <c r="E740" s="476"/>
      <c r="F740" s="477"/>
      <c r="G740" s="478"/>
      <c r="H740" s="477"/>
    </row>
    <row r="741">
      <c r="A741" s="474"/>
      <c r="B741" s="475"/>
      <c r="C741" s="475"/>
      <c r="D741" s="475"/>
      <c r="E741" s="476"/>
      <c r="F741" s="477"/>
      <c r="G741" s="478"/>
      <c r="H741" s="477"/>
    </row>
    <row r="742">
      <c r="A742" s="474"/>
      <c r="B742" s="475"/>
      <c r="C742" s="475"/>
      <c r="D742" s="475"/>
      <c r="E742" s="476"/>
      <c r="F742" s="477"/>
      <c r="G742" s="478"/>
      <c r="H742" s="477"/>
    </row>
    <row r="743">
      <c r="A743" s="474"/>
      <c r="B743" s="475"/>
      <c r="C743" s="475"/>
      <c r="D743" s="475"/>
      <c r="E743" s="476"/>
      <c r="F743" s="477"/>
      <c r="G743" s="478"/>
      <c r="H743" s="477"/>
    </row>
    <row r="744">
      <c r="A744" s="474"/>
      <c r="B744" s="475"/>
      <c r="C744" s="475"/>
      <c r="D744" s="475"/>
      <c r="E744" s="476"/>
      <c r="F744" s="477"/>
      <c r="G744" s="478"/>
      <c r="H744" s="477"/>
    </row>
    <row r="745">
      <c r="A745" s="474"/>
      <c r="B745" s="475"/>
      <c r="C745" s="475"/>
      <c r="D745" s="475"/>
      <c r="E745" s="476"/>
      <c r="F745" s="477"/>
      <c r="G745" s="478"/>
      <c r="H745" s="477"/>
    </row>
    <row r="746">
      <c r="A746" s="474"/>
      <c r="B746" s="475"/>
      <c r="C746" s="475"/>
      <c r="D746" s="475"/>
      <c r="E746" s="476"/>
      <c r="F746" s="477"/>
      <c r="G746" s="478"/>
      <c r="H746" s="477"/>
    </row>
    <row r="747">
      <c r="A747" s="474"/>
      <c r="B747" s="475"/>
      <c r="C747" s="475"/>
      <c r="D747" s="475"/>
      <c r="E747" s="476"/>
      <c r="F747" s="477"/>
      <c r="G747" s="478"/>
      <c r="H747" s="477"/>
    </row>
    <row r="748">
      <c r="A748" s="474"/>
      <c r="B748" s="475"/>
      <c r="C748" s="475"/>
      <c r="D748" s="475"/>
      <c r="E748" s="476"/>
      <c r="F748" s="477"/>
      <c r="G748" s="478"/>
      <c r="H748" s="477"/>
    </row>
    <row r="749">
      <c r="A749" s="474"/>
      <c r="B749" s="475"/>
      <c r="C749" s="475"/>
      <c r="D749" s="475"/>
      <c r="E749" s="476"/>
      <c r="F749" s="477"/>
      <c r="G749" s="478"/>
      <c r="H749" s="477"/>
    </row>
    <row r="750">
      <c r="A750" s="474"/>
      <c r="B750" s="475"/>
      <c r="C750" s="475"/>
      <c r="D750" s="475"/>
      <c r="E750" s="476"/>
      <c r="F750" s="477"/>
      <c r="G750" s="478"/>
      <c r="H750" s="477"/>
    </row>
    <row r="751">
      <c r="A751" s="474"/>
      <c r="B751" s="475"/>
      <c r="C751" s="475"/>
      <c r="D751" s="475"/>
      <c r="E751" s="476"/>
      <c r="F751" s="477"/>
      <c r="G751" s="478"/>
      <c r="H751" s="477"/>
    </row>
    <row r="752">
      <c r="A752" s="474"/>
      <c r="B752" s="475"/>
      <c r="C752" s="475"/>
      <c r="D752" s="475"/>
      <c r="E752" s="476"/>
      <c r="F752" s="477"/>
      <c r="G752" s="478"/>
      <c r="H752" s="477"/>
    </row>
    <row r="753">
      <c r="A753" s="474"/>
      <c r="B753" s="475"/>
      <c r="C753" s="475"/>
      <c r="D753" s="475"/>
      <c r="E753" s="476"/>
      <c r="F753" s="477"/>
      <c r="G753" s="478"/>
      <c r="H753" s="477"/>
    </row>
    <row r="754">
      <c r="A754" s="474"/>
      <c r="B754" s="475"/>
      <c r="C754" s="475"/>
      <c r="D754" s="475"/>
      <c r="E754" s="476"/>
      <c r="F754" s="477"/>
      <c r="G754" s="478"/>
      <c r="H754" s="477"/>
    </row>
    <row r="755">
      <c r="A755" s="474"/>
      <c r="B755" s="475"/>
      <c r="C755" s="475"/>
      <c r="D755" s="475"/>
      <c r="E755" s="476"/>
      <c r="F755" s="477"/>
      <c r="G755" s="478"/>
      <c r="H755" s="477"/>
    </row>
    <row r="756">
      <c r="A756" s="474"/>
      <c r="B756" s="475"/>
      <c r="C756" s="475"/>
      <c r="D756" s="475"/>
      <c r="E756" s="476"/>
      <c r="F756" s="477"/>
      <c r="G756" s="478"/>
      <c r="H756" s="477"/>
    </row>
    <row r="757">
      <c r="A757" s="474"/>
      <c r="B757" s="475"/>
      <c r="C757" s="475"/>
      <c r="D757" s="475"/>
      <c r="E757" s="476"/>
      <c r="F757" s="477"/>
      <c r="G757" s="478"/>
      <c r="H757" s="477"/>
    </row>
    <row r="758">
      <c r="A758" s="474"/>
      <c r="B758" s="475"/>
      <c r="C758" s="475"/>
      <c r="D758" s="475"/>
      <c r="E758" s="476"/>
      <c r="F758" s="477"/>
      <c r="G758" s="478"/>
      <c r="H758" s="477"/>
    </row>
    <row r="759">
      <c r="A759" s="474"/>
      <c r="B759" s="475"/>
      <c r="C759" s="475"/>
      <c r="D759" s="475"/>
      <c r="E759" s="476"/>
      <c r="F759" s="477"/>
      <c r="G759" s="478"/>
      <c r="H759" s="477"/>
    </row>
    <row r="760">
      <c r="A760" s="474"/>
      <c r="B760" s="475"/>
      <c r="C760" s="475"/>
      <c r="D760" s="475"/>
      <c r="E760" s="476"/>
      <c r="F760" s="477"/>
      <c r="G760" s="478"/>
      <c r="H760" s="477"/>
    </row>
    <row r="761">
      <c r="A761" s="474"/>
      <c r="B761" s="475"/>
      <c r="C761" s="475"/>
      <c r="D761" s="475"/>
      <c r="E761" s="476"/>
      <c r="F761" s="477"/>
      <c r="G761" s="478"/>
      <c r="H761" s="477"/>
    </row>
    <row r="762">
      <c r="A762" s="474"/>
      <c r="B762" s="475"/>
      <c r="C762" s="475"/>
      <c r="D762" s="475"/>
      <c r="E762" s="476"/>
      <c r="F762" s="477"/>
      <c r="G762" s="478"/>
      <c r="H762" s="477"/>
    </row>
    <row r="763">
      <c r="A763" s="474"/>
      <c r="B763" s="475"/>
      <c r="C763" s="475"/>
      <c r="D763" s="475"/>
      <c r="E763" s="476"/>
      <c r="F763" s="477"/>
      <c r="G763" s="478"/>
      <c r="H763" s="477"/>
    </row>
    <row r="764">
      <c r="A764" s="474"/>
      <c r="B764" s="475"/>
      <c r="C764" s="475"/>
      <c r="D764" s="475"/>
      <c r="E764" s="476"/>
      <c r="F764" s="477"/>
      <c r="G764" s="478"/>
      <c r="H764" s="477"/>
    </row>
    <row r="765">
      <c r="A765" s="474"/>
      <c r="B765" s="475"/>
      <c r="C765" s="475"/>
      <c r="D765" s="475"/>
      <c r="E765" s="476"/>
      <c r="F765" s="477"/>
      <c r="G765" s="478"/>
      <c r="H765" s="477"/>
    </row>
    <row r="766">
      <c r="A766" s="474"/>
      <c r="B766" s="475"/>
      <c r="C766" s="475"/>
      <c r="D766" s="475"/>
      <c r="E766" s="476"/>
      <c r="F766" s="477"/>
      <c r="G766" s="478"/>
      <c r="H766" s="477"/>
    </row>
    <row r="767">
      <c r="A767" s="474"/>
      <c r="B767" s="475"/>
      <c r="C767" s="475"/>
      <c r="D767" s="475"/>
      <c r="E767" s="476"/>
      <c r="F767" s="477"/>
      <c r="G767" s="478"/>
      <c r="H767" s="477"/>
    </row>
    <row r="768">
      <c r="A768" s="474"/>
      <c r="B768" s="475"/>
      <c r="C768" s="475"/>
      <c r="D768" s="475"/>
      <c r="E768" s="476"/>
      <c r="F768" s="477"/>
      <c r="G768" s="478"/>
      <c r="H768" s="477"/>
    </row>
    <row r="769">
      <c r="A769" s="474"/>
      <c r="B769" s="475"/>
      <c r="C769" s="475"/>
      <c r="D769" s="475"/>
      <c r="E769" s="476"/>
      <c r="F769" s="477"/>
      <c r="G769" s="478"/>
      <c r="H769" s="477"/>
    </row>
    <row r="770">
      <c r="A770" s="474"/>
      <c r="B770" s="475"/>
      <c r="C770" s="475"/>
      <c r="D770" s="475"/>
      <c r="E770" s="476"/>
      <c r="F770" s="477"/>
      <c r="G770" s="478"/>
      <c r="H770" s="477"/>
    </row>
    <row r="771">
      <c r="A771" s="474"/>
      <c r="B771" s="475"/>
      <c r="C771" s="475"/>
      <c r="D771" s="475"/>
      <c r="E771" s="476"/>
      <c r="F771" s="477"/>
      <c r="G771" s="478"/>
      <c r="H771" s="477"/>
    </row>
    <row r="772">
      <c r="A772" s="474"/>
      <c r="B772" s="475"/>
      <c r="C772" s="475"/>
      <c r="D772" s="475"/>
      <c r="E772" s="476"/>
      <c r="F772" s="477"/>
      <c r="G772" s="478"/>
      <c r="H772" s="477"/>
    </row>
    <row r="773">
      <c r="A773" s="474"/>
      <c r="B773" s="475"/>
      <c r="C773" s="475"/>
      <c r="D773" s="475"/>
      <c r="E773" s="476"/>
      <c r="F773" s="477"/>
      <c r="G773" s="478"/>
      <c r="H773" s="477"/>
    </row>
    <row r="774">
      <c r="A774" s="474"/>
      <c r="B774" s="475"/>
      <c r="C774" s="475"/>
      <c r="D774" s="475"/>
      <c r="E774" s="476"/>
      <c r="F774" s="477"/>
      <c r="G774" s="478"/>
      <c r="H774" s="477"/>
    </row>
    <row r="775">
      <c r="A775" s="474"/>
      <c r="B775" s="475"/>
      <c r="C775" s="475"/>
      <c r="D775" s="475"/>
      <c r="E775" s="476"/>
      <c r="F775" s="477"/>
      <c r="G775" s="478"/>
      <c r="H775" s="477"/>
    </row>
    <row r="776">
      <c r="A776" s="474"/>
      <c r="B776" s="475"/>
      <c r="C776" s="475"/>
      <c r="D776" s="475"/>
      <c r="E776" s="476"/>
      <c r="F776" s="477"/>
      <c r="G776" s="478"/>
      <c r="H776" s="477"/>
    </row>
    <row r="777">
      <c r="A777" s="474"/>
      <c r="B777" s="475"/>
      <c r="C777" s="475"/>
      <c r="D777" s="475"/>
      <c r="E777" s="476"/>
      <c r="F777" s="477"/>
      <c r="G777" s="478"/>
      <c r="H777" s="477"/>
    </row>
    <row r="778">
      <c r="A778" s="474"/>
      <c r="B778" s="475"/>
      <c r="C778" s="475"/>
      <c r="D778" s="475"/>
      <c r="E778" s="476"/>
      <c r="F778" s="477"/>
      <c r="G778" s="478"/>
      <c r="H778" s="477"/>
    </row>
    <row r="779">
      <c r="A779" s="474"/>
      <c r="B779" s="475"/>
      <c r="C779" s="475"/>
      <c r="D779" s="475"/>
      <c r="E779" s="476"/>
      <c r="F779" s="477"/>
      <c r="G779" s="478"/>
      <c r="H779" s="477"/>
    </row>
    <row r="780">
      <c r="A780" s="474"/>
      <c r="B780" s="475"/>
      <c r="C780" s="475"/>
      <c r="D780" s="475"/>
      <c r="E780" s="476"/>
      <c r="F780" s="477"/>
      <c r="G780" s="478"/>
      <c r="H780" s="477"/>
    </row>
    <row r="781">
      <c r="A781" s="474"/>
      <c r="B781" s="475"/>
      <c r="C781" s="475"/>
      <c r="D781" s="475"/>
      <c r="E781" s="476"/>
      <c r="F781" s="477"/>
      <c r="G781" s="478"/>
      <c r="H781" s="477"/>
    </row>
    <row r="782">
      <c r="A782" s="474"/>
      <c r="B782" s="475"/>
      <c r="C782" s="475"/>
      <c r="D782" s="475"/>
      <c r="E782" s="476"/>
      <c r="F782" s="477"/>
      <c r="G782" s="478"/>
      <c r="H782" s="477"/>
    </row>
    <row r="783">
      <c r="A783" s="474"/>
      <c r="B783" s="475"/>
      <c r="C783" s="475"/>
      <c r="D783" s="475"/>
      <c r="E783" s="476"/>
      <c r="F783" s="477"/>
      <c r="G783" s="478"/>
      <c r="H783" s="477"/>
    </row>
    <row r="784">
      <c r="A784" s="474"/>
      <c r="B784" s="475"/>
      <c r="C784" s="475"/>
      <c r="D784" s="475"/>
      <c r="E784" s="476"/>
      <c r="F784" s="477"/>
      <c r="G784" s="478"/>
      <c r="H784" s="477"/>
    </row>
    <row r="785">
      <c r="A785" s="474"/>
      <c r="B785" s="475"/>
      <c r="C785" s="475"/>
      <c r="D785" s="475"/>
      <c r="E785" s="476"/>
      <c r="F785" s="477"/>
      <c r="G785" s="478"/>
      <c r="H785" s="477"/>
    </row>
    <row r="786">
      <c r="A786" s="474"/>
      <c r="B786" s="475"/>
      <c r="C786" s="475"/>
      <c r="D786" s="475"/>
      <c r="E786" s="476"/>
      <c r="F786" s="477"/>
      <c r="G786" s="478"/>
      <c r="H786" s="477"/>
    </row>
    <row r="787">
      <c r="A787" s="474"/>
      <c r="B787" s="475"/>
      <c r="C787" s="475"/>
      <c r="D787" s="475"/>
      <c r="E787" s="476"/>
      <c r="F787" s="477"/>
      <c r="G787" s="478"/>
      <c r="H787" s="477"/>
    </row>
    <row r="788">
      <c r="A788" s="474"/>
      <c r="B788" s="475"/>
      <c r="C788" s="475"/>
      <c r="D788" s="475"/>
      <c r="E788" s="476"/>
      <c r="F788" s="477"/>
      <c r="G788" s="478"/>
      <c r="H788" s="477"/>
    </row>
    <row r="789">
      <c r="A789" s="474"/>
      <c r="B789" s="475"/>
      <c r="C789" s="475"/>
      <c r="D789" s="475"/>
      <c r="E789" s="476"/>
      <c r="F789" s="477"/>
      <c r="G789" s="478"/>
      <c r="H789" s="477"/>
    </row>
    <row r="790">
      <c r="A790" s="474"/>
      <c r="B790" s="475"/>
      <c r="C790" s="475"/>
      <c r="D790" s="475"/>
      <c r="E790" s="476"/>
      <c r="F790" s="477"/>
      <c r="G790" s="478"/>
      <c r="H790" s="477"/>
    </row>
    <row r="791">
      <c r="A791" s="474"/>
      <c r="B791" s="475"/>
      <c r="C791" s="475"/>
      <c r="D791" s="475"/>
      <c r="E791" s="476"/>
      <c r="F791" s="477"/>
      <c r="G791" s="478"/>
      <c r="H791" s="477"/>
    </row>
    <row r="792">
      <c r="A792" s="474"/>
      <c r="B792" s="475"/>
      <c r="C792" s="475"/>
      <c r="D792" s="475"/>
      <c r="E792" s="476"/>
      <c r="F792" s="477"/>
      <c r="G792" s="478"/>
      <c r="H792" s="477"/>
    </row>
    <row r="793">
      <c r="A793" s="474"/>
      <c r="B793" s="475"/>
      <c r="C793" s="475"/>
      <c r="D793" s="475"/>
      <c r="E793" s="476"/>
      <c r="F793" s="477"/>
      <c r="G793" s="478"/>
      <c r="H793" s="477"/>
    </row>
    <row r="794">
      <c r="A794" s="474"/>
      <c r="B794" s="475"/>
      <c r="C794" s="475"/>
      <c r="D794" s="475"/>
      <c r="E794" s="476"/>
      <c r="F794" s="477"/>
      <c r="G794" s="478"/>
      <c r="H794" s="477"/>
    </row>
    <row r="795">
      <c r="A795" s="474"/>
      <c r="B795" s="475"/>
      <c r="C795" s="475"/>
      <c r="D795" s="475"/>
      <c r="E795" s="476"/>
      <c r="F795" s="477"/>
      <c r="G795" s="478"/>
      <c r="H795" s="477"/>
    </row>
    <row r="796">
      <c r="A796" s="474"/>
      <c r="B796" s="475"/>
      <c r="C796" s="475"/>
      <c r="D796" s="475"/>
      <c r="E796" s="476"/>
      <c r="F796" s="477"/>
      <c r="G796" s="478"/>
      <c r="H796" s="477"/>
    </row>
    <row r="797">
      <c r="A797" s="474"/>
      <c r="B797" s="475"/>
      <c r="C797" s="475"/>
      <c r="D797" s="475"/>
      <c r="E797" s="476"/>
      <c r="F797" s="477"/>
      <c r="G797" s="478"/>
      <c r="H797" s="477"/>
    </row>
    <row r="798">
      <c r="A798" s="474"/>
      <c r="B798" s="475"/>
      <c r="C798" s="475"/>
      <c r="D798" s="475"/>
      <c r="E798" s="476"/>
      <c r="F798" s="477"/>
      <c r="G798" s="478"/>
      <c r="H798" s="477"/>
    </row>
    <row r="799">
      <c r="A799" s="474"/>
      <c r="B799" s="475"/>
      <c r="C799" s="475"/>
      <c r="D799" s="475"/>
      <c r="E799" s="476"/>
      <c r="F799" s="477"/>
      <c r="G799" s="478"/>
      <c r="H799" s="477"/>
    </row>
    <row r="800">
      <c r="A800" s="474"/>
      <c r="B800" s="475"/>
      <c r="C800" s="475"/>
      <c r="D800" s="475"/>
      <c r="E800" s="476"/>
      <c r="F800" s="477"/>
      <c r="G800" s="478"/>
      <c r="H800" s="477"/>
    </row>
    <row r="801">
      <c r="A801" s="474"/>
      <c r="B801" s="475"/>
      <c r="C801" s="475"/>
      <c r="D801" s="475"/>
      <c r="E801" s="476"/>
      <c r="F801" s="477"/>
      <c r="G801" s="478"/>
      <c r="H801" s="477"/>
    </row>
    <row r="802">
      <c r="A802" s="474"/>
      <c r="B802" s="475"/>
      <c r="C802" s="475"/>
      <c r="D802" s="475"/>
      <c r="E802" s="476"/>
      <c r="F802" s="477"/>
      <c r="G802" s="478"/>
      <c r="H802" s="477"/>
    </row>
    <row r="803">
      <c r="A803" s="474"/>
      <c r="B803" s="475"/>
      <c r="C803" s="475"/>
      <c r="D803" s="475"/>
      <c r="E803" s="476"/>
      <c r="F803" s="477"/>
      <c r="G803" s="478"/>
      <c r="H803" s="477"/>
    </row>
    <row r="804">
      <c r="A804" s="474"/>
      <c r="B804" s="475"/>
      <c r="C804" s="475"/>
      <c r="D804" s="475"/>
      <c r="E804" s="476"/>
      <c r="F804" s="477"/>
      <c r="G804" s="478"/>
      <c r="H804" s="477"/>
    </row>
    <row r="805">
      <c r="A805" s="474"/>
      <c r="B805" s="475"/>
      <c r="C805" s="475"/>
      <c r="D805" s="475"/>
      <c r="E805" s="476"/>
      <c r="F805" s="477"/>
      <c r="G805" s="478"/>
      <c r="H805" s="477"/>
    </row>
    <row r="806">
      <c r="A806" s="474"/>
      <c r="B806" s="475"/>
      <c r="C806" s="475"/>
      <c r="D806" s="475"/>
      <c r="E806" s="476"/>
      <c r="F806" s="477"/>
      <c r="G806" s="478"/>
      <c r="H806" s="477"/>
    </row>
    <row r="807">
      <c r="A807" s="474"/>
      <c r="B807" s="475"/>
      <c r="C807" s="475"/>
      <c r="D807" s="475"/>
      <c r="E807" s="476"/>
      <c r="F807" s="477"/>
      <c r="G807" s="478"/>
      <c r="H807" s="477"/>
    </row>
    <row r="808">
      <c r="A808" s="474"/>
      <c r="B808" s="475"/>
      <c r="C808" s="475"/>
      <c r="D808" s="475"/>
      <c r="E808" s="476"/>
      <c r="F808" s="477"/>
      <c r="G808" s="478"/>
      <c r="H808" s="477"/>
    </row>
    <row r="809">
      <c r="A809" s="474"/>
      <c r="B809" s="475"/>
      <c r="C809" s="475"/>
      <c r="D809" s="475"/>
      <c r="E809" s="476"/>
      <c r="F809" s="477"/>
      <c r="G809" s="478"/>
      <c r="H809" s="477"/>
    </row>
    <row r="810">
      <c r="A810" s="474"/>
      <c r="B810" s="475"/>
      <c r="C810" s="475"/>
      <c r="D810" s="475"/>
      <c r="E810" s="476"/>
      <c r="F810" s="477"/>
      <c r="G810" s="478"/>
      <c r="H810" s="477"/>
    </row>
    <row r="811">
      <c r="A811" s="474"/>
      <c r="B811" s="475"/>
      <c r="C811" s="475"/>
      <c r="D811" s="475"/>
      <c r="E811" s="476"/>
      <c r="F811" s="477"/>
      <c r="G811" s="478"/>
      <c r="H811" s="477"/>
    </row>
    <row r="812">
      <c r="A812" s="474"/>
      <c r="B812" s="475"/>
      <c r="C812" s="475"/>
      <c r="D812" s="475"/>
      <c r="E812" s="476"/>
      <c r="F812" s="477"/>
      <c r="G812" s="478"/>
      <c r="H812" s="477"/>
    </row>
    <row r="813">
      <c r="A813" s="474"/>
      <c r="B813" s="475"/>
      <c r="C813" s="475"/>
      <c r="D813" s="475"/>
      <c r="E813" s="476"/>
      <c r="F813" s="477"/>
      <c r="G813" s="478"/>
      <c r="H813" s="477"/>
    </row>
    <row r="814">
      <c r="A814" s="474"/>
      <c r="B814" s="475"/>
      <c r="C814" s="475"/>
      <c r="D814" s="475"/>
      <c r="E814" s="476"/>
      <c r="F814" s="477"/>
      <c r="G814" s="478"/>
      <c r="H814" s="477"/>
    </row>
    <row r="815">
      <c r="A815" s="474"/>
      <c r="B815" s="475"/>
      <c r="C815" s="475"/>
      <c r="D815" s="475"/>
      <c r="E815" s="476"/>
      <c r="F815" s="477"/>
      <c r="G815" s="478"/>
      <c r="H815" s="477"/>
    </row>
    <row r="816">
      <c r="A816" s="474"/>
      <c r="B816" s="475"/>
      <c r="C816" s="475"/>
      <c r="D816" s="475"/>
      <c r="E816" s="476"/>
      <c r="F816" s="477"/>
      <c r="G816" s="478"/>
      <c r="H816" s="477"/>
    </row>
    <row r="817">
      <c r="A817" s="474"/>
      <c r="B817" s="475"/>
      <c r="C817" s="475"/>
      <c r="D817" s="475"/>
      <c r="E817" s="476"/>
      <c r="F817" s="477"/>
      <c r="G817" s="478"/>
      <c r="H817" s="477"/>
    </row>
    <row r="818">
      <c r="A818" s="474"/>
      <c r="B818" s="475"/>
      <c r="C818" s="475"/>
      <c r="D818" s="475"/>
      <c r="E818" s="476"/>
      <c r="F818" s="477"/>
      <c r="G818" s="478"/>
      <c r="H818" s="477"/>
    </row>
    <row r="819">
      <c r="A819" s="474"/>
      <c r="B819" s="475"/>
      <c r="C819" s="475"/>
      <c r="D819" s="475"/>
      <c r="E819" s="476"/>
      <c r="F819" s="477"/>
      <c r="G819" s="478"/>
      <c r="H819" s="477"/>
    </row>
    <row r="820">
      <c r="A820" s="474"/>
      <c r="B820" s="475"/>
      <c r="C820" s="475"/>
      <c r="D820" s="475"/>
      <c r="E820" s="476"/>
      <c r="F820" s="477"/>
      <c r="G820" s="478"/>
      <c r="H820" s="477"/>
    </row>
    <row r="821">
      <c r="A821" s="474"/>
      <c r="B821" s="475"/>
      <c r="C821" s="475"/>
      <c r="D821" s="475"/>
      <c r="E821" s="476"/>
      <c r="F821" s="477"/>
      <c r="G821" s="478"/>
      <c r="H821" s="477"/>
    </row>
    <row r="822">
      <c r="A822" s="474"/>
      <c r="B822" s="475"/>
      <c r="C822" s="475"/>
      <c r="D822" s="475"/>
      <c r="E822" s="476"/>
      <c r="F822" s="477"/>
      <c r="G822" s="478"/>
      <c r="H822" s="477"/>
    </row>
    <row r="823">
      <c r="A823" s="474"/>
      <c r="B823" s="475"/>
      <c r="C823" s="475"/>
      <c r="D823" s="475"/>
      <c r="E823" s="476"/>
      <c r="F823" s="477"/>
      <c r="G823" s="478"/>
      <c r="H823" s="477"/>
    </row>
    <row r="824">
      <c r="A824" s="474"/>
      <c r="B824" s="475"/>
      <c r="C824" s="475"/>
      <c r="D824" s="475"/>
      <c r="E824" s="476"/>
      <c r="F824" s="477"/>
      <c r="G824" s="478"/>
      <c r="H824" s="477"/>
    </row>
    <row r="825">
      <c r="A825" s="474"/>
      <c r="B825" s="475"/>
      <c r="C825" s="475"/>
      <c r="D825" s="475"/>
      <c r="E825" s="476"/>
      <c r="F825" s="477"/>
      <c r="G825" s="478"/>
      <c r="H825" s="477"/>
    </row>
    <row r="826">
      <c r="A826" s="474"/>
      <c r="B826" s="475"/>
      <c r="C826" s="475"/>
      <c r="D826" s="475"/>
      <c r="E826" s="476"/>
      <c r="F826" s="477"/>
      <c r="G826" s="478"/>
      <c r="H826" s="477"/>
    </row>
    <row r="827">
      <c r="A827" s="474"/>
      <c r="B827" s="475"/>
      <c r="C827" s="475"/>
      <c r="D827" s="475"/>
      <c r="E827" s="476"/>
      <c r="F827" s="477"/>
      <c r="G827" s="478"/>
      <c r="H827" s="477"/>
    </row>
    <row r="828">
      <c r="A828" s="474"/>
      <c r="B828" s="475"/>
      <c r="C828" s="475"/>
      <c r="D828" s="475"/>
      <c r="E828" s="476"/>
      <c r="F828" s="477"/>
      <c r="G828" s="478"/>
      <c r="H828" s="477"/>
    </row>
    <row r="829">
      <c r="A829" s="474"/>
      <c r="B829" s="475"/>
      <c r="C829" s="475"/>
      <c r="D829" s="475"/>
      <c r="E829" s="476"/>
      <c r="F829" s="477"/>
      <c r="G829" s="478"/>
      <c r="H829" s="477"/>
    </row>
    <row r="830">
      <c r="A830" s="474"/>
      <c r="B830" s="475"/>
      <c r="C830" s="475"/>
      <c r="D830" s="475"/>
      <c r="E830" s="476"/>
      <c r="F830" s="477"/>
      <c r="G830" s="478"/>
      <c r="H830" s="477"/>
    </row>
    <row r="831">
      <c r="A831" s="474"/>
      <c r="B831" s="475"/>
      <c r="C831" s="475"/>
      <c r="D831" s="475"/>
      <c r="E831" s="476"/>
      <c r="F831" s="477"/>
      <c r="G831" s="478"/>
      <c r="H831" s="477"/>
    </row>
    <row r="832">
      <c r="A832" s="474"/>
      <c r="B832" s="475"/>
      <c r="C832" s="475"/>
      <c r="D832" s="475"/>
      <c r="E832" s="476"/>
      <c r="F832" s="477"/>
      <c r="G832" s="478"/>
      <c r="H832" s="477"/>
    </row>
    <row r="833">
      <c r="A833" s="474"/>
      <c r="B833" s="475"/>
      <c r="C833" s="475"/>
      <c r="D833" s="475"/>
      <c r="E833" s="476"/>
      <c r="F833" s="477"/>
      <c r="G833" s="478"/>
      <c r="H833" s="477"/>
    </row>
    <row r="834">
      <c r="A834" s="474"/>
      <c r="B834" s="475"/>
      <c r="C834" s="475"/>
      <c r="D834" s="475"/>
      <c r="E834" s="476"/>
      <c r="F834" s="477"/>
      <c r="G834" s="478"/>
      <c r="H834" s="477"/>
    </row>
    <row r="835">
      <c r="A835" s="474"/>
      <c r="B835" s="475"/>
      <c r="C835" s="475"/>
      <c r="D835" s="475"/>
      <c r="E835" s="476"/>
      <c r="F835" s="477"/>
      <c r="G835" s="478"/>
      <c r="H835" s="477"/>
    </row>
    <row r="836">
      <c r="A836" s="474"/>
      <c r="B836" s="475"/>
      <c r="C836" s="475"/>
      <c r="D836" s="475"/>
      <c r="E836" s="476"/>
      <c r="F836" s="477"/>
      <c r="G836" s="478"/>
      <c r="H836" s="477"/>
    </row>
    <row r="837">
      <c r="A837" s="474"/>
      <c r="B837" s="475"/>
      <c r="C837" s="475"/>
      <c r="D837" s="475"/>
      <c r="E837" s="476"/>
      <c r="F837" s="477"/>
      <c r="G837" s="478"/>
      <c r="H837" s="477"/>
    </row>
    <row r="838">
      <c r="A838" s="474"/>
      <c r="B838" s="475"/>
      <c r="C838" s="475"/>
      <c r="D838" s="475"/>
      <c r="E838" s="476"/>
      <c r="F838" s="477"/>
      <c r="G838" s="478"/>
      <c r="H838" s="477"/>
    </row>
    <row r="839">
      <c r="A839" s="474"/>
      <c r="B839" s="475"/>
      <c r="C839" s="475"/>
      <c r="D839" s="475"/>
      <c r="E839" s="476"/>
      <c r="F839" s="477"/>
      <c r="G839" s="478"/>
      <c r="H839" s="477"/>
    </row>
    <row r="840">
      <c r="A840" s="474"/>
      <c r="B840" s="475"/>
      <c r="C840" s="475"/>
      <c r="D840" s="475"/>
      <c r="E840" s="476"/>
      <c r="F840" s="477"/>
      <c r="G840" s="478"/>
      <c r="H840" s="477"/>
    </row>
    <row r="841">
      <c r="A841" s="474"/>
      <c r="B841" s="475"/>
      <c r="C841" s="475"/>
      <c r="D841" s="475"/>
      <c r="E841" s="476"/>
      <c r="F841" s="477"/>
      <c r="G841" s="478"/>
      <c r="H841" s="477"/>
    </row>
    <row r="842">
      <c r="A842" s="474"/>
      <c r="B842" s="475"/>
      <c r="C842" s="475"/>
      <c r="D842" s="475"/>
      <c r="E842" s="476"/>
      <c r="F842" s="477"/>
      <c r="G842" s="478"/>
      <c r="H842" s="477"/>
    </row>
    <row r="843">
      <c r="A843" s="474"/>
      <c r="B843" s="475"/>
      <c r="C843" s="475"/>
      <c r="D843" s="475"/>
      <c r="E843" s="476"/>
      <c r="F843" s="477"/>
      <c r="G843" s="478"/>
      <c r="H843" s="477"/>
    </row>
    <row r="844">
      <c r="A844" s="474"/>
      <c r="B844" s="475"/>
      <c r="C844" s="475"/>
      <c r="D844" s="475"/>
      <c r="E844" s="476"/>
      <c r="F844" s="477"/>
      <c r="G844" s="478"/>
      <c r="H844" s="477"/>
    </row>
    <row r="845">
      <c r="A845" s="474"/>
      <c r="B845" s="475"/>
      <c r="C845" s="475"/>
      <c r="D845" s="475"/>
      <c r="E845" s="476"/>
      <c r="F845" s="477"/>
      <c r="G845" s="478"/>
      <c r="H845" s="477"/>
    </row>
    <row r="846">
      <c r="A846" s="474"/>
      <c r="B846" s="475"/>
      <c r="C846" s="475"/>
      <c r="D846" s="475"/>
      <c r="E846" s="476"/>
      <c r="F846" s="477"/>
      <c r="G846" s="478"/>
      <c r="H846" s="477"/>
    </row>
    <row r="847">
      <c r="A847" s="474"/>
      <c r="B847" s="475"/>
      <c r="C847" s="475"/>
      <c r="D847" s="475"/>
      <c r="E847" s="476"/>
      <c r="F847" s="477"/>
      <c r="G847" s="478"/>
      <c r="H847" s="477"/>
    </row>
    <row r="848">
      <c r="A848" s="474"/>
      <c r="B848" s="475"/>
      <c r="C848" s="475"/>
      <c r="D848" s="475"/>
      <c r="E848" s="476"/>
      <c r="F848" s="477"/>
      <c r="G848" s="478"/>
      <c r="H848" s="477"/>
    </row>
    <row r="849">
      <c r="A849" s="474"/>
      <c r="B849" s="475"/>
      <c r="C849" s="475"/>
      <c r="D849" s="475"/>
      <c r="E849" s="476"/>
      <c r="F849" s="477"/>
      <c r="G849" s="478"/>
      <c r="H849" s="477"/>
    </row>
    <row r="850">
      <c r="A850" s="474"/>
      <c r="B850" s="475"/>
      <c r="C850" s="475"/>
      <c r="D850" s="475"/>
      <c r="E850" s="476"/>
      <c r="F850" s="477"/>
      <c r="G850" s="478"/>
      <c r="H850" s="477"/>
    </row>
    <row r="851">
      <c r="A851" s="474"/>
      <c r="B851" s="475"/>
      <c r="C851" s="475"/>
      <c r="D851" s="475"/>
      <c r="E851" s="476"/>
      <c r="F851" s="477"/>
      <c r="G851" s="478"/>
      <c r="H851" s="477"/>
    </row>
    <row r="852">
      <c r="A852" s="474"/>
      <c r="B852" s="475"/>
      <c r="C852" s="475"/>
      <c r="D852" s="475"/>
      <c r="E852" s="476"/>
      <c r="F852" s="477"/>
      <c r="G852" s="478"/>
      <c r="H852" s="477"/>
    </row>
    <row r="853">
      <c r="A853" s="474"/>
      <c r="B853" s="475"/>
      <c r="C853" s="475"/>
      <c r="D853" s="475"/>
      <c r="E853" s="476"/>
      <c r="F853" s="477"/>
      <c r="G853" s="478"/>
      <c r="H853" s="477"/>
    </row>
    <row r="854">
      <c r="A854" s="474"/>
      <c r="B854" s="475"/>
      <c r="C854" s="475"/>
      <c r="D854" s="475"/>
      <c r="E854" s="476"/>
      <c r="F854" s="477"/>
      <c r="G854" s="478"/>
      <c r="H854" s="477"/>
    </row>
    <row r="855">
      <c r="A855" s="474"/>
      <c r="B855" s="475"/>
      <c r="C855" s="475"/>
      <c r="D855" s="475"/>
      <c r="E855" s="476"/>
      <c r="F855" s="477"/>
      <c r="G855" s="478"/>
      <c r="H855" s="477"/>
    </row>
    <row r="856">
      <c r="A856" s="474"/>
      <c r="B856" s="475"/>
      <c r="C856" s="475"/>
      <c r="D856" s="475"/>
      <c r="E856" s="476"/>
      <c r="F856" s="477"/>
      <c r="G856" s="478"/>
      <c r="H856" s="477"/>
    </row>
    <row r="857">
      <c r="A857" s="474"/>
      <c r="B857" s="475"/>
      <c r="C857" s="475"/>
      <c r="D857" s="475"/>
      <c r="E857" s="476"/>
      <c r="F857" s="477"/>
      <c r="G857" s="478"/>
      <c r="H857" s="477"/>
    </row>
    <row r="858">
      <c r="A858" s="474"/>
      <c r="B858" s="475"/>
      <c r="C858" s="475"/>
      <c r="D858" s="475"/>
      <c r="E858" s="476"/>
      <c r="F858" s="477"/>
      <c r="G858" s="478"/>
      <c r="H858" s="477"/>
    </row>
    <row r="859">
      <c r="A859" s="474"/>
      <c r="B859" s="475"/>
      <c r="C859" s="475"/>
      <c r="D859" s="475"/>
      <c r="E859" s="476"/>
      <c r="F859" s="477"/>
      <c r="G859" s="478"/>
      <c r="H859" s="477"/>
    </row>
    <row r="860">
      <c r="A860" s="474"/>
      <c r="B860" s="475"/>
      <c r="C860" s="475"/>
      <c r="D860" s="475"/>
      <c r="E860" s="476"/>
      <c r="F860" s="477"/>
      <c r="G860" s="478"/>
      <c r="H860" s="477"/>
    </row>
    <row r="861">
      <c r="A861" s="474"/>
      <c r="B861" s="475"/>
      <c r="C861" s="475"/>
      <c r="D861" s="475"/>
      <c r="E861" s="476"/>
      <c r="F861" s="477"/>
      <c r="G861" s="478"/>
      <c r="H861" s="477"/>
    </row>
    <row r="862">
      <c r="A862" s="474"/>
      <c r="B862" s="475"/>
      <c r="C862" s="475"/>
      <c r="D862" s="475"/>
      <c r="E862" s="476"/>
      <c r="F862" s="477"/>
      <c r="G862" s="478"/>
      <c r="H862" s="477"/>
    </row>
    <row r="863">
      <c r="A863" s="474"/>
      <c r="B863" s="475"/>
      <c r="C863" s="475"/>
      <c r="D863" s="475"/>
      <c r="E863" s="476"/>
      <c r="F863" s="477"/>
      <c r="G863" s="478"/>
      <c r="H863" s="477"/>
    </row>
    <row r="864">
      <c r="A864" s="474"/>
      <c r="B864" s="475"/>
      <c r="C864" s="475"/>
      <c r="D864" s="475"/>
      <c r="E864" s="476"/>
      <c r="F864" s="477"/>
      <c r="G864" s="478"/>
      <c r="H864" s="477"/>
    </row>
    <row r="865">
      <c r="A865" s="474"/>
      <c r="B865" s="475"/>
      <c r="C865" s="475"/>
      <c r="D865" s="475"/>
      <c r="E865" s="476"/>
      <c r="F865" s="477"/>
      <c r="G865" s="478"/>
      <c r="H865" s="477"/>
    </row>
    <row r="866">
      <c r="A866" s="474"/>
      <c r="B866" s="475"/>
      <c r="C866" s="475"/>
      <c r="D866" s="475"/>
      <c r="E866" s="476"/>
      <c r="F866" s="477"/>
      <c r="G866" s="478"/>
      <c r="H866" s="477"/>
    </row>
    <row r="867">
      <c r="A867" s="474"/>
      <c r="B867" s="475"/>
      <c r="C867" s="475"/>
      <c r="D867" s="475"/>
      <c r="E867" s="476"/>
      <c r="F867" s="477"/>
      <c r="G867" s="478"/>
      <c r="H867" s="477"/>
    </row>
    <row r="868">
      <c r="A868" s="474"/>
      <c r="B868" s="475"/>
      <c r="C868" s="475"/>
      <c r="D868" s="475"/>
      <c r="E868" s="476"/>
      <c r="F868" s="477"/>
      <c r="G868" s="478"/>
      <c r="H868" s="477"/>
    </row>
    <row r="869">
      <c r="A869" s="474"/>
      <c r="B869" s="475"/>
      <c r="C869" s="475"/>
      <c r="D869" s="475"/>
      <c r="E869" s="476"/>
      <c r="F869" s="477"/>
      <c r="G869" s="478"/>
      <c r="H869" s="477"/>
    </row>
    <row r="870">
      <c r="A870" s="474"/>
      <c r="B870" s="475"/>
      <c r="C870" s="475"/>
      <c r="D870" s="475"/>
      <c r="E870" s="476"/>
      <c r="F870" s="477"/>
      <c r="G870" s="478"/>
      <c r="H870" s="477"/>
    </row>
    <row r="871">
      <c r="A871" s="474"/>
      <c r="B871" s="475"/>
      <c r="C871" s="475"/>
      <c r="D871" s="475"/>
      <c r="E871" s="476"/>
      <c r="F871" s="477"/>
      <c r="G871" s="478"/>
      <c r="H871" s="477"/>
    </row>
    <row r="872">
      <c r="A872" s="474"/>
      <c r="B872" s="475"/>
      <c r="C872" s="475"/>
      <c r="D872" s="475"/>
      <c r="E872" s="476"/>
      <c r="F872" s="477"/>
      <c r="G872" s="478"/>
      <c r="H872" s="477"/>
    </row>
    <row r="873">
      <c r="A873" s="474"/>
      <c r="B873" s="475"/>
      <c r="C873" s="475"/>
      <c r="D873" s="475"/>
      <c r="E873" s="476"/>
      <c r="F873" s="477"/>
      <c r="G873" s="478"/>
      <c r="H873" s="477"/>
    </row>
    <row r="874">
      <c r="A874" s="474"/>
      <c r="B874" s="475"/>
      <c r="C874" s="475"/>
      <c r="D874" s="475"/>
      <c r="E874" s="476"/>
      <c r="F874" s="477"/>
      <c r="G874" s="478"/>
      <c r="H874" s="477"/>
    </row>
    <row r="875">
      <c r="A875" s="474"/>
      <c r="B875" s="475"/>
      <c r="C875" s="475"/>
      <c r="D875" s="475"/>
      <c r="E875" s="476"/>
      <c r="F875" s="477"/>
      <c r="G875" s="478"/>
      <c r="H875" s="477"/>
    </row>
    <row r="876">
      <c r="A876" s="474"/>
      <c r="B876" s="475"/>
      <c r="C876" s="475"/>
      <c r="D876" s="475"/>
      <c r="E876" s="476"/>
      <c r="F876" s="477"/>
      <c r="G876" s="478"/>
      <c r="H876" s="477"/>
    </row>
    <row r="877">
      <c r="A877" s="474"/>
      <c r="B877" s="475"/>
      <c r="C877" s="475"/>
      <c r="D877" s="475"/>
      <c r="E877" s="476"/>
      <c r="F877" s="477"/>
      <c r="G877" s="478"/>
      <c r="H877" s="477"/>
    </row>
    <row r="878">
      <c r="A878" s="474"/>
      <c r="B878" s="475"/>
      <c r="C878" s="475"/>
      <c r="D878" s="475"/>
      <c r="E878" s="476"/>
      <c r="F878" s="477"/>
      <c r="G878" s="478"/>
      <c r="H878" s="477"/>
    </row>
    <row r="879">
      <c r="A879" s="474"/>
      <c r="B879" s="475"/>
      <c r="C879" s="475"/>
      <c r="D879" s="475"/>
      <c r="E879" s="476"/>
      <c r="F879" s="477"/>
      <c r="G879" s="478"/>
      <c r="H879" s="477"/>
    </row>
    <row r="880">
      <c r="A880" s="474"/>
      <c r="B880" s="475"/>
      <c r="C880" s="475"/>
      <c r="D880" s="475"/>
      <c r="E880" s="476"/>
      <c r="F880" s="477"/>
      <c r="G880" s="478"/>
      <c r="H880" s="477"/>
    </row>
    <row r="881">
      <c r="A881" s="474"/>
      <c r="B881" s="475"/>
      <c r="C881" s="475"/>
      <c r="D881" s="475"/>
      <c r="E881" s="476"/>
      <c r="F881" s="477"/>
      <c r="G881" s="478"/>
      <c r="H881" s="477"/>
    </row>
    <row r="882">
      <c r="A882" s="474"/>
      <c r="B882" s="475"/>
      <c r="C882" s="475"/>
      <c r="D882" s="475"/>
      <c r="E882" s="476"/>
      <c r="F882" s="477"/>
      <c r="G882" s="478"/>
      <c r="H882" s="477"/>
    </row>
    <row r="883">
      <c r="A883" s="474"/>
      <c r="B883" s="475"/>
      <c r="C883" s="475"/>
      <c r="D883" s="475"/>
      <c r="E883" s="476"/>
      <c r="F883" s="477"/>
      <c r="G883" s="478"/>
      <c r="H883" s="477"/>
    </row>
    <row r="884">
      <c r="A884" s="474"/>
      <c r="B884" s="475"/>
      <c r="C884" s="475"/>
      <c r="D884" s="475"/>
      <c r="E884" s="476"/>
      <c r="F884" s="477"/>
      <c r="G884" s="478"/>
      <c r="H884" s="477"/>
    </row>
    <row r="885">
      <c r="A885" s="474"/>
      <c r="B885" s="475"/>
      <c r="C885" s="475"/>
      <c r="D885" s="475"/>
      <c r="E885" s="476"/>
      <c r="F885" s="477"/>
      <c r="G885" s="478"/>
      <c r="H885" s="477"/>
    </row>
    <row r="886">
      <c r="A886" s="474"/>
      <c r="B886" s="475"/>
      <c r="C886" s="475"/>
      <c r="D886" s="475"/>
      <c r="E886" s="476"/>
      <c r="F886" s="477"/>
      <c r="G886" s="478"/>
      <c r="H886" s="477"/>
    </row>
    <row r="887">
      <c r="A887" s="474"/>
      <c r="B887" s="475"/>
      <c r="C887" s="475"/>
      <c r="D887" s="475"/>
      <c r="E887" s="476"/>
      <c r="F887" s="477"/>
      <c r="G887" s="478"/>
      <c r="H887" s="477"/>
    </row>
    <row r="888">
      <c r="A888" s="474"/>
      <c r="B888" s="475"/>
      <c r="C888" s="475"/>
      <c r="D888" s="475"/>
      <c r="E888" s="476"/>
      <c r="F888" s="477"/>
      <c r="G888" s="478"/>
      <c r="H888" s="477"/>
    </row>
    <row r="889">
      <c r="A889" s="474"/>
      <c r="B889" s="475"/>
      <c r="C889" s="475"/>
      <c r="D889" s="475"/>
      <c r="E889" s="476"/>
      <c r="F889" s="477"/>
      <c r="G889" s="478"/>
      <c r="H889" s="477"/>
    </row>
    <row r="890">
      <c r="A890" s="474"/>
      <c r="B890" s="475"/>
      <c r="C890" s="475"/>
      <c r="D890" s="475"/>
      <c r="E890" s="476"/>
      <c r="F890" s="477"/>
      <c r="G890" s="478"/>
      <c r="H890" s="477"/>
    </row>
    <row r="891">
      <c r="A891" s="474"/>
      <c r="B891" s="475"/>
      <c r="C891" s="475"/>
      <c r="D891" s="475"/>
      <c r="E891" s="476"/>
      <c r="F891" s="477"/>
      <c r="G891" s="478"/>
      <c r="H891" s="477"/>
    </row>
    <row r="892">
      <c r="A892" s="474"/>
      <c r="B892" s="475"/>
      <c r="C892" s="475"/>
      <c r="D892" s="475"/>
      <c r="E892" s="476"/>
      <c r="F892" s="477"/>
      <c r="G892" s="478"/>
      <c r="H892" s="477"/>
    </row>
    <row r="893">
      <c r="A893" s="474"/>
      <c r="B893" s="475"/>
      <c r="C893" s="475"/>
      <c r="D893" s="475"/>
      <c r="E893" s="476"/>
      <c r="F893" s="477"/>
      <c r="G893" s="478"/>
      <c r="H893" s="477"/>
    </row>
    <row r="894">
      <c r="A894" s="474"/>
      <c r="B894" s="475"/>
      <c r="C894" s="475"/>
      <c r="D894" s="475"/>
      <c r="E894" s="476"/>
      <c r="F894" s="477"/>
      <c r="G894" s="478"/>
      <c r="H894" s="477"/>
    </row>
    <row r="895">
      <c r="A895" s="474"/>
      <c r="B895" s="475"/>
      <c r="C895" s="475"/>
      <c r="D895" s="475"/>
      <c r="E895" s="476"/>
      <c r="F895" s="477"/>
      <c r="G895" s="478"/>
      <c r="H895" s="477"/>
    </row>
    <row r="896">
      <c r="A896" s="474"/>
      <c r="B896" s="475"/>
      <c r="C896" s="475"/>
      <c r="D896" s="475"/>
      <c r="E896" s="476"/>
      <c r="F896" s="477"/>
      <c r="G896" s="478"/>
      <c r="H896" s="477"/>
    </row>
    <row r="897">
      <c r="A897" s="474"/>
      <c r="B897" s="475"/>
      <c r="C897" s="475"/>
      <c r="D897" s="475"/>
      <c r="E897" s="476"/>
      <c r="F897" s="477"/>
      <c r="G897" s="478"/>
      <c r="H897" s="477"/>
    </row>
    <row r="898">
      <c r="A898" s="474"/>
      <c r="B898" s="475"/>
      <c r="C898" s="475"/>
      <c r="D898" s="475"/>
      <c r="E898" s="476"/>
      <c r="F898" s="477"/>
      <c r="G898" s="478"/>
      <c r="H898" s="477"/>
    </row>
    <row r="899">
      <c r="A899" s="474"/>
      <c r="B899" s="475"/>
      <c r="C899" s="475"/>
      <c r="D899" s="475"/>
      <c r="E899" s="476"/>
      <c r="F899" s="477"/>
      <c r="G899" s="478"/>
      <c r="H899" s="477"/>
    </row>
    <row r="900">
      <c r="A900" s="474"/>
      <c r="B900" s="475"/>
      <c r="C900" s="475"/>
      <c r="D900" s="475"/>
      <c r="E900" s="476"/>
      <c r="F900" s="477"/>
      <c r="G900" s="478"/>
      <c r="H900" s="477"/>
    </row>
    <row r="901">
      <c r="A901" s="474"/>
      <c r="B901" s="475"/>
      <c r="C901" s="475"/>
      <c r="D901" s="475"/>
      <c r="E901" s="476"/>
      <c r="F901" s="477"/>
      <c r="G901" s="478"/>
      <c r="H901" s="477"/>
    </row>
    <row r="902">
      <c r="A902" s="474"/>
      <c r="B902" s="475"/>
      <c r="C902" s="475"/>
      <c r="D902" s="475"/>
      <c r="E902" s="476"/>
      <c r="F902" s="477"/>
      <c r="G902" s="478"/>
      <c r="H902" s="477"/>
    </row>
    <row r="903">
      <c r="A903" s="474"/>
      <c r="B903" s="475"/>
      <c r="C903" s="475"/>
      <c r="D903" s="475"/>
      <c r="E903" s="476"/>
      <c r="F903" s="477"/>
      <c r="G903" s="478"/>
      <c r="H903" s="477"/>
    </row>
    <row r="904">
      <c r="A904" s="474"/>
      <c r="B904" s="475"/>
      <c r="C904" s="475"/>
      <c r="D904" s="475"/>
      <c r="E904" s="476"/>
      <c r="F904" s="477"/>
      <c r="G904" s="478"/>
      <c r="H904" s="477"/>
    </row>
    <row r="905">
      <c r="A905" s="474"/>
      <c r="B905" s="475"/>
      <c r="C905" s="475"/>
      <c r="D905" s="475"/>
      <c r="E905" s="476"/>
      <c r="F905" s="477"/>
      <c r="G905" s="478"/>
      <c r="H905" s="477"/>
    </row>
    <row r="906">
      <c r="A906" s="474"/>
      <c r="B906" s="475"/>
      <c r="C906" s="475"/>
      <c r="D906" s="475"/>
      <c r="E906" s="476"/>
      <c r="F906" s="477"/>
      <c r="G906" s="478"/>
      <c r="H906" s="477"/>
    </row>
    <row r="907">
      <c r="A907" s="474"/>
      <c r="B907" s="475"/>
      <c r="C907" s="475"/>
      <c r="D907" s="475"/>
      <c r="E907" s="476"/>
      <c r="F907" s="477"/>
      <c r="G907" s="478"/>
      <c r="H907" s="477"/>
    </row>
    <row r="908">
      <c r="A908" s="474"/>
      <c r="B908" s="475"/>
      <c r="C908" s="475"/>
      <c r="D908" s="475"/>
      <c r="E908" s="476"/>
      <c r="F908" s="477"/>
      <c r="G908" s="478"/>
      <c r="H908" s="477"/>
    </row>
    <row r="909">
      <c r="A909" s="474"/>
      <c r="B909" s="475"/>
      <c r="C909" s="475"/>
      <c r="D909" s="475"/>
      <c r="E909" s="476"/>
      <c r="F909" s="477"/>
      <c r="G909" s="478"/>
      <c r="H909" s="477"/>
    </row>
    <row r="910">
      <c r="A910" s="474"/>
      <c r="B910" s="475"/>
      <c r="C910" s="475"/>
      <c r="D910" s="475"/>
      <c r="E910" s="476"/>
      <c r="F910" s="477"/>
      <c r="G910" s="478"/>
      <c r="H910" s="477"/>
    </row>
    <row r="911">
      <c r="A911" s="474"/>
      <c r="B911" s="475"/>
      <c r="C911" s="475"/>
      <c r="D911" s="475"/>
      <c r="E911" s="476"/>
      <c r="F911" s="477"/>
      <c r="G911" s="478"/>
      <c r="H911" s="477"/>
    </row>
    <row r="912">
      <c r="A912" s="474"/>
      <c r="B912" s="475"/>
      <c r="C912" s="475"/>
      <c r="D912" s="475"/>
      <c r="E912" s="476"/>
      <c r="F912" s="477"/>
      <c r="G912" s="478"/>
      <c r="H912" s="477"/>
    </row>
    <row r="913">
      <c r="A913" s="474"/>
      <c r="B913" s="475"/>
      <c r="C913" s="475"/>
      <c r="D913" s="475"/>
      <c r="E913" s="476"/>
      <c r="F913" s="477"/>
      <c r="G913" s="478"/>
      <c r="H913" s="477"/>
    </row>
    <row r="914">
      <c r="A914" s="474"/>
      <c r="B914" s="475"/>
      <c r="C914" s="475"/>
      <c r="D914" s="475"/>
      <c r="E914" s="476"/>
      <c r="F914" s="477"/>
      <c r="G914" s="478"/>
      <c r="H914" s="477"/>
    </row>
    <row r="915">
      <c r="A915" s="474"/>
      <c r="B915" s="475"/>
      <c r="C915" s="475"/>
      <c r="D915" s="475"/>
      <c r="E915" s="476"/>
      <c r="F915" s="477"/>
      <c r="G915" s="478"/>
      <c r="H915" s="477"/>
    </row>
    <row r="916">
      <c r="A916" s="474"/>
      <c r="B916" s="475"/>
      <c r="C916" s="475"/>
      <c r="D916" s="475"/>
      <c r="E916" s="476"/>
      <c r="F916" s="477"/>
      <c r="G916" s="478"/>
      <c r="H916" s="477"/>
    </row>
    <row r="917">
      <c r="A917" s="474"/>
      <c r="B917" s="475"/>
      <c r="C917" s="475"/>
      <c r="D917" s="475"/>
      <c r="E917" s="476"/>
      <c r="F917" s="477"/>
      <c r="G917" s="478"/>
      <c r="H917" s="477"/>
    </row>
    <row r="918">
      <c r="A918" s="474"/>
      <c r="B918" s="475"/>
      <c r="C918" s="475"/>
      <c r="D918" s="475"/>
      <c r="E918" s="476"/>
      <c r="F918" s="477"/>
      <c r="G918" s="478"/>
      <c r="H918" s="477"/>
    </row>
    <row r="919">
      <c r="A919" s="474"/>
      <c r="B919" s="475"/>
      <c r="C919" s="475"/>
      <c r="D919" s="475"/>
      <c r="E919" s="476"/>
      <c r="F919" s="477"/>
      <c r="G919" s="478"/>
      <c r="H919" s="477"/>
    </row>
    <row r="920">
      <c r="A920" s="474"/>
      <c r="B920" s="475"/>
      <c r="C920" s="475"/>
      <c r="D920" s="475"/>
      <c r="E920" s="476"/>
      <c r="F920" s="477"/>
      <c r="G920" s="478"/>
      <c r="H920" s="477"/>
    </row>
    <row r="921">
      <c r="A921" s="474"/>
      <c r="B921" s="475"/>
      <c r="C921" s="475"/>
      <c r="D921" s="475"/>
      <c r="E921" s="476"/>
      <c r="F921" s="477"/>
      <c r="G921" s="478"/>
      <c r="H921" s="477"/>
    </row>
    <row r="922">
      <c r="A922" s="474"/>
      <c r="B922" s="475"/>
      <c r="C922" s="475"/>
      <c r="D922" s="475"/>
      <c r="E922" s="476"/>
      <c r="F922" s="477"/>
      <c r="G922" s="478"/>
      <c r="H922" s="477"/>
    </row>
    <row r="923">
      <c r="A923" s="474"/>
      <c r="B923" s="475"/>
      <c r="C923" s="475"/>
      <c r="D923" s="475"/>
      <c r="E923" s="476"/>
      <c r="F923" s="477"/>
      <c r="G923" s="478"/>
      <c r="H923" s="477"/>
    </row>
    <row r="924">
      <c r="A924" s="474"/>
      <c r="B924" s="475"/>
      <c r="C924" s="475"/>
      <c r="D924" s="475"/>
      <c r="E924" s="476"/>
      <c r="F924" s="477"/>
      <c r="G924" s="478"/>
      <c r="H924" s="477"/>
    </row>
    <row r="925">
      <c r="A925" s="474"/>
      <c r="B925" s="475"/>
      <c r="C925" s="475"/>
      <c r="D925" s="475"/>
      <c r="E925" s="476"/>
      <c r="F925" s="477"/>
      <c r="G925" s="478"/>
      <c r="H925" s="477"/>
    </row>
    <row r="926">
      <c r="A926" s="474"/>
      <c r="B926" s="475"/>
      <c r="C926" s="475"/>
      <c r="D926" s="475"/>
      <c r="E926" s="476"/>
      <c r="F926" s="477"/>
      <c r="G926" s="478"/>
      <c r="H926" s="477"/>
    </row>
    <row r="927">
      <c r="A927" s="474"/>
      <c r="B927" s="475"/>
      <c r="C927" s="475"/>
      <c r="D927" s="475"/>
      <c r="E927" s="476"/>
      <c r="F927" s="477"/>
      <c r="G927" s="478"/>
      <c r="H927" s="477"/>
    </row>
    <row r="928">
      <c r="A928" s="474"/>
      <c r="B928" s="475"/>
      <c r="C928" s="475"/>
      <c r="D928" s="475"/>
      <c r="E928" s="476"/>
      <c r="F928" s="477"/>
      <c r="G928" s="478"/>
      <c r="H928" s="477"/>
    </row>
    <row r="929">
      <c r="A929" s="474"/>
      <c r="B929" s="475"/>
      <c r="C929" s="475"/>
      <c r="D929" s="475"/>
      <c r="E929" s="476"/>
      <c r="F929" s="477"/>
      <c r="G929" s="478"/>
      <c r="H929" s="477"/>
    </row>
    <row r="930">
      <c r="A930" s="474"/>
      <c r="B930" s="475"/>
      <c r="C930" s="475"/>
      <c r="D930" s="475"/>
      <c r="E930" s="476"/>
      <c r="F930" s="477"/>
      <c r="G930" s="478"/>
      <c r="H930" s="477"/>
    </row>
    <row r="931">
      <c r="A931" s="474"/>
      <c r="B931" s="475"/>
      <c r="C931" s="475"/>
      <c r="D931" s="475"/>
      <c r="E931" s="476"/>
      <c r="F931" s="477"/>
      <c r="G931" s="478"/>
      <c r="H931" s="477"/>
    </row>
    <row r="932">
      <c r="A932" s="474"/>
      <c r="B932" s="475"/>
      <c r="C932" s="475"/>
      <c r="D932" s="475"/>
      <c r="E932" s="476"/>
      <c r="F932" s="477"/>
      <c r="G932" s="478"/>
      <c r="H932" s="477"/>
    </row>
    <row r="933">
      <c r="A933" s="474"/>
      <c r="B933" s="475"/>
      <c r="C933" s="475"/>
      <c r="D933" s="475"/>
      <c r="E933" s="476"/>
      <c r="F933" s="477"/>
      <c r="G933" s="478"/>
      <c r="H933" s="477"/>
    </row>
    <row r="934">
      <c r="A934" s="474"/>
      <c r="B934" s="475"/>
      <c r="C934" s="475"/>
      <c r="D934" s="475"/>
      <c r="E934" s="476"/>
      <c r="F934" s="477"/>
      <c r="G934" s="478"/>
      <c r="H934" s="477"/>
    </row>
    <row r="935">
      <c r="A935" s="474"/>
      <c r="B935" s="475"/>
      <c r="C935" s="475"/>
      <c r="D935" s="475"/>
      <c r="E935" s="476"/>
      <c r="F935" s="477"/>
      <c r="G935" s="478"/>
      <c r="H935" s="477"/>
    </row>
    <row r="936">
      <c r="A936" s="474"/>
      <c r="B936" s="475"/>
      <c r="C936" s="475"/>
      <c r="D936" s="475"/>
      <c r="E936" s="476"/>
      <c r="F936" s="477"/>
      <c r="G936" s="478"/>
      <c r="H936" s="477"/>
    </row>
    <row r="937">
      <c r="A937" s="474"/>
      <c r="B937" s="475"/>
      <c r="C937" s="475"/>
      <c r="D937" s="475"/>
      <c r="E937" s="476"/>
      <c r="F937" s="477"/>
      <c r="G937" s="478"/>
      <c r="H937" s="477"/>
    </row>
    <row r="938">
      <c r="A938" s="474"/>
      <c r="B938" s="475"/>
      <c r="C938" s="475"/>
      <c r="D938" s="475"/>
      <c r="E938" s="476"/>
      <c r="F938" s="477"/>
      <c r="G938" s="478"/>
      <c r="H938" s="477"/>
    </row>
    <row r="939">
      <c r="A939" s="474"/>
      <c r="B939" s="475"/>
      <c r="C939" s="475"/>
      <c r="D939" s="475"/>
      <c r="E939" s="476"/>
      <c r="F939" s="477"/>
      <c r="G939" s="478"/>
      <c r="H939" s="477"/>
    </row>
    <row r="940">
      <c r="A940" s="474"/>
      <c r="B940" s="475"/>
      <c r="C940" s="475"/>
      <c r="D940" s="475"/>
      <c r="E940" s="476"/>
      <c r="F940" s="477"/>
      <c r="G940" s="478"/>
      <c r="H940" s="477"/>
    </row>
    <row r="941">
      <c r="A941" s="474"/>
      <c r="B941" s="475"/>
      <c r="C941" s="475"/>
      <c r="D941" s="475"/>
      <c r="E941" s="476"/>
      <c r="F941" s="477"/>
      <c r="G941" s="478"/>
      <c r="H941" s="477"/>
    </row>
    <row r="942">
      <c r="A942" s="474"/>
      <c r="B942" s="475"/>
      <c r="C942" s="475"/>
      <c r="D942" s="475"/>
      <c r="E942" s="476"/>
      <c r="F942" s="477"/>
      <c r="G942" s="478"/>
      <c r="H942" s="477"/>
    </row>
    <row r="943">
      <c r="A943" s="474"/>
      <c r="B943" s="475"/>
      <c r="C943" s="475"/>
      <c r="D943" s="475"/>
      <c r="E943" s="476"/>
      <c r="F943" s="477"/>
      <c r="G943" s="478"/>
      <c r="H943" s="477"/>
    </row>
    <row r="944">
      <c r="A944" s="474"/>
      <c r="B944" s="475"/>
      <c r="C944" s="475"/>
      <c r="D944" s="475"/>
      <c r="E944" s="476"/>
      <c r="F944" s="477"/>
      <c r="G944" s="478"/>
      <c r="H944" s="477"/>
    </row>
    <row r="945">
      <c r="A945" s="474"/>
      <c r="B945" s="475"/>
      <c r="C945" s="475"/>
      <c r="D945" s="475"/>
      <c r="E945" s="476"/>
      <c r="F945" s="477"/>
      <c r="G945" s="478"/>
      <c r="H945" s="477"/>
    </row>
    <row r="946">
      <c r="A946" s="474"/>
      <c r="B946" s="475"/>
      <c r="C946" s="475"/>
      <c r="D946" s="475"/>
      <c r="E946" s="476"/>
      <c r="F946" s="477"/>
      <c r="G946" s="478"/>
      <c r="H946" s="477"/>
    </row>
    <row r="947">
      <c r="A947" s="474"/>
      <c r="B947" s="475"/>
      <c r="C947" s="475"/>
      <c r="D947" s="475"/>
      <c r="E947" s="476"/>
      <c r="F947" s="477"/>
      <c r="G947" s="478"/>
      <c r="H947" s="477"/>
    </row>
    <row r="948">
      <c r="A948" s="474"/>
      <c r="B948" s="475"/>
      <c r="C948" s="475"/>
      <c r="D948" s="475"/>
      <c r="E948" s="476"/>
      <c r="F948" s="477"/>
      <c r="G948" s="478"/>
      <c r="H948" s="477"/>
    </row>
    <row r="949">
      <c r="A949" s="474"/>
      <c r="B949" s="475"/>
      <c r="C949" s="475"/>
      <c r="D949" s="475"/>
      <c r="E949" s="476"/>
      <c r="F949" s="477"/>
      <c r="G949" s="478"/>
      <c r="H949" s="477"/>
    </row>
    <row r="950">
      <c r="A950" s="474"/>
      <c r="B950" s="475"/>
      <c r="C950" s="475"/>
      <c r="D950" s="475"/>
      <c r="E950" s="476"/>
      <c r="F950" s="477"/>
      <c r="G950" s="478"/>
      <c r="H950" s="477"/>
    </row>
    <row r="951">
      <c r="A951" s="474"/>
      <c r="B951" s="475"/>
      <c r="C951" s="475"/>
      <c r="D951" s="475"/>
      <c r="E951" s="476"/>
      <c r="F951" s="477"/>
      <c r="G951" s="478"/>
      <c r="H951" s="477"/>
    </row>
    <row r="952">
      <c r="A952" s="474"/>
      <c r="B952" s="475"/>
      <c r="C952" s="475"/>
      <c r="D952" s="475"/>
      <c r="E952" s="476"/>
      <c r="F952" s="477"/>
      <c r="G952" s="478"/>
      <c r="H952" s="477"/>
    </row>
    <row r="953">
      <c r="A953" s="474"/>
      <c r="B953" s="475"/>
      <c r="C953" s="475"/>
      <c r="D953" s="475"/>
      <c r="E953" s="476"/>
      <c r="F953" s="477"/>
      <c r="G953" s="478"/>
      <c r="H953" s="477"/>
    </row>
    <row r="954">
      <c r="A954" s="474"/>
      <c r="B954" s="475"/>
      <c r="C954" s="475"/>
      <c r="D954" s="475"/>
      <c r="E954" s="476"/>
      <c r="F954" s="477"/>
      <c r="G954" s="478"/>
      <c r="H954" s="477"/>
    </row>
    <row r="955">
      <c r="A955" s="474"/>
      <c r="B955" s="475"/>
      <c r="C955" s="475"/>
      <c r="D955" s="475"/>
      <c r="E955" s="476"/>
      <c r="F955" s="477"/>
      <c r="G955" s="478"/>
      <c r="H955" s="477"/>
    </row>
    <row r="956">
      <c r="A956" s="474"/>
      <c r="B956" s="475"/>
      <c r="C956" s="475"/>
      <c r="D956" s="475"/>
      <c r="E956" s="476"/>
      <c r="F956" s="477"/>
      <c r="G956" s="478"/>
      <c r="H956" s="477"/>
    </row>
    <row r="957">
      <c r="A957" s="474"/>
      <c r="B957" s="475"/>
      <c r="C957" s="475"/>
      <c r="D957" s="475"/>
      <c r="E957" s="476"/>
      <c r="F957" s="477"/>
      <c r="G957" s="478"/>
      <c r="H957" s="477"/>
    </row>
    <row r="958">
      <c r="A958" s="474"/>
      <c r="B958" s="475"/>
      <c r="C958" s="475"/>
      <c r="D958" s="475"/>
      <c r="E958" s="476"/>
      <c r="F958" s="477"/>
      <c r="G958" s="478"/>
      <c r="H958" s="477"/>
    </row>
    <row r="959">
      <c r="A959" s="474"/>
      <c r="B959" s="475"/>
      <c r="C959" s="475"/>
      <c r="D959" s="475"/>
      <c r="E959" s="476"/>
      <c r="F959" s="477"/>
      <c r="G959" s="478"/>
      <c r="H959" s="477"/>
    </row>
    <row r="960">
      <c r="A960" s="474"/>
      <c r="B960" s="475"/>
      <c r="C960" s="475"/>
      <c r="D960" s="475"/>
      <c r="E960" s="476"/>
      <c r="F960" s="477"/>
      <c r="G960" s="478"/>
      <c r="H960" s="477"/>
    </row>
    <row r="961">
      <c r="A961" s="474"/>
      <c r="B961" s="475"/>
      <c r="C961" s="475"/>
      <c r="D961" s="475"/>
      <c r="E961" s="476"/>
      <c r="F961" s="477"/>
      <c r="G961" s="478"/>
      <c r="H961" s="477"/>
    </row>
    <row r="962">
      <c r="A962" s="474"/>
      <c r="B962" s="475"/>
      <c r="C962" s="475"/>
      <c r="D962" s="475"/>
      <c r="E962" s="476"/>
      <c r="F962" s="477"/>
      <c r="G962" s="478"/>
      <c r="H962" s="477"/>
    </row>
    <row r="963">
      <c r="A963" s="474"/>
      <c r="B963" s="475"/>
      <c r="C963" s="475"/>
      <c r="D963" s="475"/>
      <c r="E963" s="476"/>
      <c r="F963" s="477"/>
      <c r="G963" s="478"/>
      <c r="H963" s="477"/>
    </row>
    <row r="964">
      <c r="A964" s="474"/>
      <c r="B964" s="475"/>
      <c r="C964" s="475"/>
      <c r="D964" s="475"/>
      <c r="E964" s="476"/>
      <c r="F964" s="477"/>
      <c r="G964" s="478"/>
      <c r="H964" s="477"/>
    </row>
    <row r="965">
      <c r="A965" s="474"/>
      <c r="B965" s="475"/>
      <c r="C965" s="475"/>
      <c r="D965" s="475"/>
      <c r="E965" s="476"/>
      <c r="F965" s="477"/>
      <c r="G965" s="478"/>
      <c r="H965" s="477"/>
    </row>
    <row r="966">
      <c r="A966" s="474"/>
      <c r="B966" s="475"/>
      <c r="C966" s="475"/>
      <c r="D966" s="475"/>
      <c r="E966" s="476"/>
      <c r="F966" s="477"/>
      <c r="G966" s="478"/>
      <c r="H966" s="477"/>
    </row>
    <row r="967">
      <c r="A967" s="474"/>
      <c r="B967" s="475"/>
      <c r="C967" s="475"/>
      <c r="D967" s="475"/>
      <c r="E967" s="476"/>
      <c r="F967" s="477"/>
      <c r="G967" s="478"/>
      <c r="H967" s="477"/>
    </row>
    <row r="968">
      <c r="A968" s="474"/>
      <c r="B968" s="475"/>
      <c r="C968" s="475"/>
      <c r="D968" s="475"/>
      <c r="E968" s="476"/>
      <c r="F968" s="477"/>
      <c r="G968" s="478"/>
      <c r="H968" s="477"/>
    </row>
    <row r="969">
      <c r="A969" s="474"/>
      <c r="B969" s="475"/>
      <c r="C969" s="475"/>
      <c r="D969" s="475"/>
      <c r="E969" s="476"/>
      <c r="F969" s="477"/>
      <c r="G969" s="478"/>
      <c r="H969" s="477"/>
    </row>
    <row r="970">
      <c r="A970" s="474"/>
      <c r="B970" s="475"/>
      <c r="C970" s="475"/>
      <c r="D970" s="475"/>
      <c r="E970" s="476"/>
      <c r="F970" s="477"/>
      <c r="G970" s="478"/>
      <c r="H970" s="477"/>
    </row>
    <row r="971">
      <c r="A971" s="474"/>
      <c r="B971" s="475"/>
      <c r="C971" s="475"/>
      <c r="D971" s="475"/>
      <c r="E971" s="476"/>
      <c r="F971" s="477"/>
      <c r="G971" s="478"/>
      <c r="H971" s="477"/>
    </row>
    <row r="972">
      <c r="A972" s="474"/>
      <c r="B972" s="475"/>
      <c r="C972" s="475"/>
      <c r="D972" s="475"/>
      <c r="E972" s="476"/>
      <c r="F972" s="477"/>
      <c r="G972" s="478"/>
      <c r="H972" s="477"/>
    </row>
    <row r="973">
      <c r="A973" s="474"/>
      <c r="B973" s="475"/>
      <c r="C973" s="475"/>
      <c r="D973" s="475"/>
      <c r="E973" s="476"/>
      <c r="F973" s="477"/>
      <c r="G973" s="478"/>
      <c r="H973" s="477"/>
    </row>
    <row r="974">
      <c r="A974" s="474"/>
      <c r="B974" s="475"/>
      <c r="C974" s="475"/>
      <c r="D974" s="475"/>
      <c r="E974" s="476"/>
      <c r="F974" s="477"/>
      <c r="G974" s="478"/>
      <c r="H974" s="477"/>
    </row>
    <row r="975">
      <c r="A975" s="474"/>
      <c r="B975" s="475"/>
      <c r="C975" s="475"/>
      <c r="D975" s="475"/>
      <c r="E975" s="476"/>
      <c r="F975" s="477"/>
      <c r="G975" s="478"/>
      <c r="H975" s="477"/>
    </row>
    <row r="976">
      <c r="A976" s="474"/>
      <c r="B976" s="475"/>
      <c r="C976" s="475"/>
      <c r="D976" s="475"/>
      <c r="E976" s="476"/>
      <c r="F976" s="477"/>
      <c r="G976" s="478"/>
      <c r="H976" s="477"/>
    </row>
    <row r="977">
      <c r="A977" s="474"/>
      <c r="B977" s="475"/>
      <c r="C977" s="475"/>
      <c r="D977" s="475"/>
      <c r="E977" s="476"/>
      <c r="F977" s="477"/>
      <c r="G977" s="478"/>
      <c r="H977" s="477"/>
    </row>
    <row r="978">
      <c r="A978" s="474"/>
      <c r="B978" s="475"/>
      <c r="C978" s="475"/>
      <c r="D978" s="475"/>
      <c r="E978" s="476"/>
      <c r="F978" s="477"/>
      <c r="G978" s="478"/>
      <c r="H978" s="477"/>
    </row>
    <row r="979">
      <c r="A979" s="474"/>
      <c r="B979" s="475"/>
      <c r="C979" s="475"/>
      <c r="D979" s="475"/>
      <c r="E979" s="476"/>
      <c r="F979" s="477"/>
      <c r="G979" s="478"/>
      <c r="H979" s="477"/>
    </row>
    <row r="980">
      <c r="A980" s="474"/>
      <c r="B980" s="475"/>
      <c r="C980" s="475"/>
      <c r="D980" s="475"/>
      <c r="E980" s="476"/>
      <c r="F980" s="477"/>
      <c r="G980" s="478"/>
      <c r="H980" s="477"/>
    </row>
    <row r="981">
      <c r="A981" s="474"/>
      <c r="B981" s="475"/>
      <c r="C981" s="475"/>
      <c r="D981" s="475"/>
      <c r="E981" s="476"/>
      <c r="F981" s="477"/>
      <c r="G981" s="478"/>
      <c r="H981" s="477"/>
    </row>
    <row r="982">
      <c r="A982" s="474"/>
      <c r="B982" s="475"/>
      <c r="C982" s="475"/>
      <c r="D982" s="475"/>
      <c r="E982" s="476"/>
      <c r="F982" s="477"/>
      <c r="G982" s="478"/>
      <c r="H982" s="477"/>
    </row>
    <row r="983">
      <c r="A983" s="474"/>
      <c r="B983" s="475"/>
      <c r="C983" s="475"/>
      <c r="D983" s="475"/>
      <c r="E983" s="476"/>
      <c r="F983" s="477"/>
      <c r="G983" s="478"/>
      <c r="H983" s="477"/>
    </row>
    <row r="984">
      <c r="A984" s="474"/>
      <c r="B984" s="475"/>
      <c r="C984" s="475"/>
      <c r="D984" s="475"/>
      <c r="E984" s="476"/>
      <c r="F984" s="477"/>
      <c r="G984" s="478"/>
      <c r="H984" s="477"/>
    </row>
    <row r="985">
      <c r="A985" s="474"/>
      <c r="B985" s="475"/>
      <c r="C985" s="475"/>
      <c r="D985" s="475"/>
      <c r="E985" s="476"/>
      <c r="F985" s="477"/>
      <c r="G985" s="478"/>
      <c r="H985" s="477"/>
    </row>
    <row r="986">
      <c r="A986" s="474"/>
      <c r="B986" s="475"/>
      <c r="C986" s="475"/>
      <c r="D986" s="475"/>
      <c r="E986" s="476"/>
      <c r="F986" s="477"/>
      <c r="G986" s="478"/>
      <c r="H986" s="477"/>
    </row>
    <row r="987">
      <c r="A987" s="474"/>
      <c r="B987" s="475"/>
      <c r="C987" s="475"/>
      <c r="D987" s="475"/>
      <c r="E987" s="476"/>
      <c r="F987" s="477"/>
      <c r="G987" s="478"/>
      <c r="H987" s="477"/>
    </row>
    <row r="988">
      <c r="A988" s="474"/>
      <c r="B988" s="475"/>
      <c r="C988" s="475"/>
      <c r="D988" s="475"/>
      <c r="E988" s="476"/>
      <c r="F988" s="477"/>
      <c r="G988" s="478"/>
      <c r="H988" s="477"/>
    </row>
    <row r="989">
      <c r="A989" s="474"/>
      <c r="B989" s="475"/>
      <c r="C989" s="475"/>
      <c r="D989" s="475"/>
      <c r="E989" s="476"/>
      <c r="F989" s="477"/>
      <c r="G989" s="478"/>
      <c r="H989" s="477"/>
    </row>
    <row r="990">
      <c r="A990" s="474"/>
      <c r="B990" s="475"/>
      <c r="C990" s="475"/>
      <c r="D990" s="475"/>
      <c r="E990" s="476"/>
      <c r="F990" s="477"/>
      <c r="G990" s="478"/>
      <c r="H990" s="477"/>
    </row>
    <row r="991">
      <c r="A991" s="474"/>
      <c r="B991" s="475"/>
      <c r="C991" s="475"/>
      <c r="D991" s="475"/>
      <c r="E991" s="476"/>
      <c r="F991" s="477"/>
      <c r="G991" s="478"/>
      <c r="H991" s="477"/>
    </row>
    <row r="992">
      <c r="A992" s="474"/>
      <c r="B992" s="475"/>
      <c r="C992" s="475"/>
      <c r="D992" s="475"/>
      <c r="E992" s="476"/>
      <c r="F992" s="477"/>
      <c r="G992" s="478"/>
      <c r="H992" s="477"/>
    </row>
    <row r="993">
      <c r="A993" s="474"/>
      <c r="B993" s="475"/>
      <c r="C993" s="475"/>
      <c r="D993" s="475"/>
      <c r="E993" s="476"/>
      <c r="F993" s="477"/>
      <c r="G993" s="478"/>
      <c r="H993" s="477"/>
    </row>
  </sheetData>
  <mergeCells count="2">
    <mergeCell ref="A1:F1"/>
    <mergeCell ref="G1:H1"/>
  </mergeCells>
  <conditionalFormatting sqref="C3:C992">
    <cfRule type="cellIs" dxfId="9" priority="1" operator="equal">
      <formula>"Buy"</formula>
    </cfRule>
  </conditionalFormatting>
  <conditionalFormatting sqref="C3:C992">
    <cfRule type="cellIs" dxfId="62" priority="2" operator="equal">
      <formula>"Sell"</formula>
    </cfRule>
  </conditionalFormatting>
  <conditionalFormatting sqref="C3:C992">
    <cfRule type="cellIs" dxfId="21" priority="3" operator="equal">
      <formula>"SPLIT"</formula>
    </cfRule>
  </conditionalFormatting>
  <conditionalFormatting sqref="C3:C992">
    <cfRule type="cellIs" dxfId="21" priority="4" operator="equal">
      <formula>"Bonus"</formula>
    </cfRule>
  </conditionalFormatting>
  <conditionalFormatting sqref="C3:C992">
    <cfRule type="cellIs" dxfId="18" priority="5" operator="equal">
      <formula>"Withdrawal"</formula>
    </cfRule>
  </conditionalFormatting>
  <conditionalFormatting sqref="A1:H993">
    <cfRule type="notContainsBlanks" dxfId="20" priority="6">
      <formula>LEN(TRIM(A1))&gt;0</formula>
    </cfRule>
  </conditionalFormatting>
  <dataValidations>
    <dataValidation type="list" allowBlank="1" sqref="C3:C993">
      <formula1>"Deposit,Buy,Sell,SPLIT,Dividend,DRIP,Withdrawal,Bonus"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6" max="6" width="15.13"/>
    <col customWidth="1" min="7" max="7" width="15.0"/>
    <col customWidth="1" min="8" max="8" width="53.38"/>
    <col customWidth="1" min="9" max="9" width="15.5"/>
    <col customWidth="1" min="11" max="11" width="59.13"/>
    <col customWidth="1" min="12" max="12" width="145.5"/>
  </cols>
  <sheetData>
    <row r="1">
      <c r="A1" s="479" t="s">
        <v>302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64"/>
    </row>
    <row r="2">
      <c r="A2" s="480" t="s">
        <v>70</v>
      </c>
      <c r="B2" s="481" t="s">
        <v>303</v>
      </c>
      <c r="C2" s="482" t="s">
        <v>304</v>
      </c>
      <c r="D2" s="483" t="s">
        <v>305</v>
      </c>
      <c r="E2" s="484" t="s">
        <v>306</v>
      </c>
      <c r="F2" s="485" t="s">
        <v>307</v>
      </c>
      <c r="G2" s="486" t="s">
        <v>308</v>
      </c>
      <c r="H2" s="487" t="s">
        <v>309</v>
      </c>
      <c r="I2" s="481" t="s">
        <v>310</v>
      </c>
      <c r="J2" s="481" t="s">
        <v>311</v>
      </c>
      <c r="K2" s="487" t="s">
        <v>312</v>
      </c>
      <c r="L2" s="488" t="s">
        <v>313</v>
      </c>
    </row>
    <row r="3">
      <c r="A3" s="349" t="str">
        <f>Dashboard!B29</f>
        <v>BOM:514183</v>
      </c>
      <c r="B3" s="356" t="str">
        <f>Dashboard!H29</f>
        <v>Hold</v>
      </c>
      <c r="C3" s="356">
        <f>Dashboard!G29</f>
        <v>113.4</v>
      </c>
      <c r="D3" s="489">
        <f>Dashboard!M29</f>
        <v>75.8725</v>
      </c>
      <c r="E3" s="490" t="s">
        <v>314</v>
      </c>
      <c r="F3" s="491" t="str">
        <f t="shared" ref="F3:F666" si="1">if(ISBLANK(A3),"",if(C3&gt;D3,"-",if(C3&lt;=D3,((D3-C3)/D3),"")))</f>
        <v>-</v>
      </c>
      <c r="G3" s="492" t="s">
        <v>314</v>
      </c>
      <c r="H3" s="349" t="str">
        <f t="shared" ref="H3:H666" si="2">if(ISBLANK(A3),"",if(C3&lt;=D3,CONCAT(" ","("&amp;(Value((D3-C3)/D3)*100)&amp;"% Down)."),""))</f>
        <v/>
      </c>
      <c r="I3" s="349" t="str">
        <f t="shared" ref="I3:I666" si="3">if(J3="Yes","No",if(B3="Buy","Yes",if(B3="Sell","Yes",if(B3="","",""))))</f>
        <v/>
      </c>
      <c r="J3" s="493"/>
      <c r="K3" s="349" t="str">
        <f>IFERROR(__xludf.DUMMYFUNCTION("if(ISBLANK(A3),"""",if(B3=""Buy"",CONCAT(GOOGLEFINANCE(A3,""name""),"" {Symbol: ""&amp;A3&amp;""} High Alert!! Share Has Reached Its Target Buying Price,""),""""))"),"")</f>
        <v/>
      </c>
      <c r="L3" s="349" t="b">
        <f>IFERROR(__xludf.DUMMYFUNCTION("if(B3= ""Buy"",CONCAT(GOOGLEFINANCE(A3,""NAME""),"" share currently trading at Rs""&amp;C3&amp;"", Which is ""&amp;H3&amp;"" below the Target price of Rs""&amp;D3&amp;"".""))"),FALSE)</f>
        <v>0</v>
      </c>
    </row>
    <row r="4">
      <c r="A4" s="349" t="str">
        <f>Dashboard!B30</f>
        <v>BOM:541167</v>
      </c>
      <c r="B4" s="356" t="str">
        <f>Dashboard!H30</f>
        <v>Hold</v>
      </c>
      <c r="C4" s="356">
        <f>Dashboard!G30</f>
        <v>2887</v>
      </c>
      <c r="D4" s="489">
        <f>Dashboard!M30</f>
        <v>2064.595</v>
      </c>
      <c r="E4" s="490" t="s">
        <v>314</v>
      </c>
      <c r="F4" s="491" t="str">
        <f t="shared" si="1"/>
        <v>-</v>
      </c>
      <c r="G4" s="492" t="s">
        <v>314</v>
      </c>
      <c r="H4" s="349" t="str">
        <f t="shared" si="2"/>
        <v/>
      </c>
      <c r="I4" s="349" t="str">
        <f t="shared" si="3"/>
        <v/>
      </c>
      <c r="J4" s="493"/>
      <c r="K4" s="349" t="str">
        <f>IFERROR(__xludf.DUMMYFUNCTION("if(ISBLANK(A4),"""",if(B4=""Buy"",CONCAT(GOOGLEFINANCE(A4,""name""),"" {Symbol: ""&amp;A4&amp;""} High Alert!! Share Has Reached Its Target Buying Price,""),""""))"),"")</f>
        <v/>
      </c>
      <c r="L4" s="349" t="b">
        <f>IFERROR(__xludf.DUMMYFUNCTION("if(B4= ""Buy"",CONCAT(GOOGLEFINANCE(A4,""NAME""),"" share currently trading at Rs""&amp;C4&amp;"", Which is ""&amp;H4&amp;"" below the Target price of Rs""&amp;D4&amp;"".""))"),FALSE)</f>
        <v>0</v>
      </c>
    </row>
    <row r="5">
      <c r="A5" s="349" t="str">
        <f>Dashboard!B31</f>
        <v>NSE:AARTIIND</v>
      </c>
      <c r="B5" s="356" t="str">
        <f>Dashboard!H31</f>
        <v>Hold</v>
      </c>
      <c r="C5" s="356">
        <f>Dashboard!G31</f>
        <v>478.6</v>
      </c>
      <c r="D5" s="489">
        <f>Dashboard!M31</f>
        <v>235.395</v>
      </c>
      <c r="E5" s="490" t="s">
        <v>314</v>
      </c>
      <c r="F5" s="491" t="str">
        <f t="shared" si="1"/>
        <v>-</v>
      </c>
      <c r="G5" s="492" t="s">
        <v>314</v>
      </c>
      <c r="H5" s="349" t="str">
        <f t="shared" si="2"/>
        <v/>
      </c>
      <c r="I5" s="349" t="str">
        <f t="shared" si="3"/>
        <v/>
      </c>
      <c r="J5" s="493"/>
      <c r="K5" s="349" t="str">
        <f>IFERROR(__xludf.DUMMYFUNCTION("if(ISBLANK(A5),"""",if(B5=""Buy"",CONCAT(GOOGLEFINANCE(A5,""name""),"" {Symbol: ""&amp;A5&amp;""} High Alert!! Share Has Reached Its Target Buying Price,""),""""))"),"")</f>
        <v/>
      </c>
      <c r="L5" s="349" t="b">
        <f>IFERROR(__xludf.DUMMYFUNCTION("if(B5= ""Buy"",CONCAT(GOOGLEFINANCE(A5,""NAME""),"" share currently trading at Rs""&amp;C5&amp;"", Which is ""&amp;H5&amp;"" below the Target price of Rs""&amp;D5&amp;"".""))"),FALSE)</f>
        <v>0</v>
      </c>
    </row>
    <row r="6">
      <c r="A6" s="349" t="str">
        <f>Dashboard!B33</f>
        <v>NSE:ALKYLAMINE</v>
      </c>
      <c r="B6" s="356" t="str">
        <f>Dashboard!H33</f>
        <v>Hold</v>
      </c>
      <c r="C6" s="356">
        <f>Dashboard!G33</f>
        <v>1802</v>
      </c>
      <c r="D6" s="489">
        <f>Dashboard!M33</f>
        <v>1463.28</v>
      </c>
      <c r="E6" s="490" t="s">
        <v>314</v>
      </c>
      <c r="F6" s="491" t="str">
        <f t="shared" si="1"/>
        <v>-</v>
      </c>
      <c r="G6" s="492" t="s">
        <v>314</v>
      </c>
      <c r="H6" s="349" t="str">
        <f t="shared" si="2"/>
        <v/>
      </c>
      <c r="I6" s="349" t="str">
        <f t="shared" si="3"/>
        <v/>
      </c>
      <c r="J6" s="493"/>
      <c r="K6" s="349" t="str">
        <f>IFERROR(__xludf.DUMMYFUNCTION("if(ISBLANK(A6),"""",if(B6=""Buy"",CONCAT(GOOGLEFINANCE(A6,""name""),"" {Symbol: ""&amp;A6&amp;""} High Alert!! Share Has Reached Its Target Buying Price,""),""""))"),"")</f>
        <v/>
      </c>
      <c r="L6" s="349" t="b">
        <f>IFERROR(__xludf.DUMMYFUNCTION("if(B6= ""Buy"",CONCAT(GOOGLEFINANCE(A6,""NAME""),"" share currently trading at Rs""&amp;C6&amp;"", Which is ""&amp;H6&amp;"" below the Target price of Rs""&amp;D6&amp;"".""))"),FALSE)</f>
        <v>0</v>
      </c>
    </row>
    <row r="7">
      <c r="A7" s="349" t="str">
        <f>Dashboard!B34</f>
        <v>NSE:AMIORG</v>
      </c>
      <c r="B7" s="349"/>
      <c r="C7" s="356" t="str">
        <f>Dashboard!G34</f>
        <v>#N/A</v>
      </c>
      <c r="D7" s="489" t="str">
        <f>Dashboard!M34</f>
        <v>#N/A</v>
      </c>
      <c r="E7" s="490" t="s">
        <v>314</v>
      </c>
      <c r="F7" s="491" t="str">
        <f t="shared" si="1"/>
        <v>#N/A</v>
      </c>
      <c r="G7" s="492" t="s">
        <v>314</v>
      </c>
      <c r="H7" s="349" t="str">
        <f t="shared" si="2"/>
        <v>#N/A</v>
      </c>
      <c r="I7" s="349" t="str">
        <f t="shared" si="3"/>
        <v/>
      </c>
      <c r="J7" s="493"/>
      <c r="K7" s="349" t="str">
        <f>IFERROR(__xludf.DUMMYFUNCTION("if(ISBLANK(A7),"""",if(B7=""Buy"",CONCAT(GOOGLEFINANCE(A7,""name""),"" {Symbol: ""&amp;A7&amp;""} High Alert!! Share Has Reached Its Target Buying Price,""),""""))"),"")</f>
        <v/>
      </c>
      <c r="L7" s="349" t="b">
        <f>IFERROR(__xludf.DUMMYFUNCTION("if(B7= ""Buy"",CONCAT(GOOGLEFINANCE(A7,""NAME""),"" share currently trading at Rs""&amp;C7&amp;"", Which is ""&amp;H7&amp;"" below the Target price of Rs""&amp;D7&amp;"".""))"),FALSE)</f>
        <v>0</v>
      </c>
    </row>
    <row r="8">
      <c r="A8" s="349" t="str">
        <f>Dashboard!B35</f>
        <v>NSE:ASIANPAINT</v>
      </c>
      <c r="B8" s="349"/>
      <c r="C8" s="356">
        <f>Dashboard!G35</f>
        <v>2730.2</v>
      </c>
      <c r="D8" s="489">
        <f>Dashboard!M35</f>
        <v>1791.42</v>
      </c>
      <c r="E8" s="490" t="s">
        <v>314</v>
      </c>
      <c r="F8" s="491" t="str">
        <f t="shared" si="1"/>
        <v>-</v>
      </c>
      <c r="G8" s="492" t="s">
        <v>314</v>
      </c>
      <c r="H8" s="349" t="str">
        <f t="shared" si="2"/>
        <v/>
      </c>
      <c r="I8" s="349" t="str">
        <f t="shared" si="3"/>
        <v/>
      </c>
      <c r="J8" s="493"/>
      <c r="K8" s="349" t="str">
        <f>IFERROR(__xludf.DUMMYFUNCTION("if(ISBLANK(A8),"""",if(B8=""Buy"",CONCAT(GOOGLEFINANCE(A8,""name""),"" {Symbol: ""&amp;A8&amp;""} High Alert!! Share Has Reached Its Target Buying Price,""),""""))"),"")</f>
        <v/>
      </c>
      <c r="L8" s="349" t="b">
        <f>IFERROR(__xludf.DUMMYFUNCTION("if(B8= ""Buy"",CONCAT(GOOGLEFINANCE(A8,""NAME""),"" share currently trading at Rs""&amp;C8&amp;"", Which is ""&amp;H8&amp;"" below the Target price of Rs""&amp;D8&amp;"".""))"),FALSE)</f>
        <v>0</v>
      </c>
    </row>
    <row r="9">
      <c r="A9" s="349" t="str">
        <f>Dashboard!B36</f>
        <v>NSE:ASTRAL</v>
      </c>
      <c r="B9" s="349"/>
      <c r="C9" s="356">
        <f>Dashboard!G36</f>
        <v>1356.9</v>
      </c>
      <c r="D9" s="489">
        <f>Dashboard!M36</f>
        <v>884.35</v>
      </c>
      <c r="E9" s="490" t="s">
        <v>314</v>
      </c>
      <c r="F9" s="491" t="str">
        <f t="shared" si="1"/>
        <v>-</v>
      </c>
      <c r="G9" s="492" t="s">
        <v>314</v>
      </c>
      <c r="H9" s="349" t="str">
        <f t="shared" si="2"/>
        <v/>
      </c>
      <c r="I9" s="349" t="str">
        <f t="shared" si="3"/>
        <v/>
      </c>
      <c r="J9" s="493"/>
      <c r="K9" s="349" t="str">
        <f>IFERROR(__xludf.DUMMYFUNCTION("if(ISBLANK(A9),"""",if(B9=""Buy"",CONCAT(GOOGLEFINANCE(A9,""name""),"" {Symbol: ""&amp;A9&amp;""} High Alert!! Share Has Reached Its Target Buying Price,""),""""))"),"")</f>
        <v/>
      </c>
      <c r="L9" s="349" t="b">
        <f>IFERROR(__xludf.DUMMYFUNCTION("if(B9= ""Buy"",CONCAT(GOOGLEFINANCE(A9,""NAME""),"" share currently trading at Rs""&amp;C9&amp;"", Which is ""&amp;H9&amp;"" below the Target price of Rs""&amp;D9&amp;"".""))"),FALSE)</f>
        <v>0</v>
      </c>
    </row>
    <row r="10">
      <c r="A10" s="349" t="str">
        <f>Dashboard!B37</f>
        <v>NSE:AUBANK</v>
      </c>
      <c r="B10" s="349"/>
      <c r="C10" s="356">
        <f>Dashboard!G37</f>
        <v>1066</v>
      </c>
      <c r="D10" s="489">
        <f>Dashboard!M37</f>
        <v>701.7075</v>
      </c>
      <c r="E10" s="490" t="s">
        <v>314</v>
      </c>
      <c r="F10" s="491" t="str">
        <f t="shared" si="1"/>
        <v>-</v>
      </c>
      <c r="G10" s="492" t="s">
        <v>314</v>
      </c>
      <c r="H10" s="349" t="str">
        <f t="shared" si="2"/>
        <v/>
      </c>
      <c r="I10" s="349" t="str">
        <f t="shared" si="3"/>
        <v/>
      </c>
      <c r="J10" s="493"/>
      <c r="K10" s="349" t="str">
        <f>IFERROR(__xludf.DUMMYFUNCTION("if(ISBLANK(A10),"""",if(B10=""Buy"",CONCAT(GOOGLEFINANCE(A10,""name""),"" {Symbol: ""&amp;A10&amp;""} High Alert!! Share Has Reached Its Target Buying Price,""),""""))"),"")</f>
        <v/>
      </c>
      <c r="L10" s="349" t="b">
        <f>IFERROR(__xludf.DUMMYFUNCTION("if(B10= ""Buy"",CONCAT(GOOGLEFINANCE(A10,""NAME""),"" share currently trading at Rs""&amp;C10&amp;"", Which is ""&amp;H10&amp;"" below the Target price of Rs""&amp;D10&amp;"".""))"),FALSE)</f>
        <v>0</v>
      </c>
    </row>
    <row r="11">
      <c r="A11" s="349" t="str">
        <f>Dashboard!B38</f>
        <v>NSE:BAJFINANCE</v>
      </c>
      <c r="B11" s="349"/>
      <c r="C11" s="356">
        <f>Dashboard!G38</f>
        <v>1039.4</v>
      </c>
      <c r="D11" s="489">
        <f>Dashboard!M38</f>
        <v>826.875</v>
      </c>
      <c r="E11" s="490" t="s">
        <v>314</v>
      </c>
      <c r="F11" s="491" t="str">
        <f t="shared" si="1"/>
        <v>-</v>
      </c>
      <c r="G11" s="492" t="s">
        <v>314</v>
      </c>
      <c r="H11" s="349" t="str">
        <f t="shared" si="2"/>
        <v/>
      </c>
      <c r="I11" s="349" t="str">
        <f t="shared" si="3"/>
        <v/>
      </c>
      <c r="J11" s="493"/>
      <c r="K11" s="349" t="str">
        <f>IFERROR(__xludf.DUMMYFUNCTION("if(ISBLANK(A11),"""",if(B11=""Buy"",CONCAT(GOOGLEFINANCE(A11,""name""),"" {Symbol: ""&amp;A11&amp;""} High Alert!! Share Has Reached Its Target Buying Price,""),""""))"),"")</f>
        <v/>
      </c>
      <c r="L11" s="349" t="b">
        <f>IFERROR(__xludf.DUMMYFUNCTION("if(B11= ""Buy"",CONCAT(GOOGLEFINANCE(A11,""NAME""),"" share currently trading at Rs""&amp;C11&amp;"", Which is ""&amp;H11&amp;"" below the Target price of Rs""&amp;D11&amp;"".""))"),FALSE)</f>
        <v>0</v>
      </c>
    </row>
    <row r="12">
      <c r="A12" s="349" t="str">
        <f>Dashboard!B39</f>
        <v>NSE:BATAINDIA</v>
      </c>
      <c r="B12" s="349"/>
      <c r="C12" s="356">
        <f>Dashboard!G39</f>
        <v>684</v>
      </c>
      <c r="D12" s="489">
        <f>Dashboard!M39</f>
        <v>937.977</v>
      </c>
      <c r="E12" s="490" t="s">
        <v>314</v>
      </c>
      <c r="F12" s="491">
        <f t="shared" si="1"/>
        <v>0.2707710317</v>
      </c>
      <c r="G12" s="492" t="s">
        <v>314</v>
      </c>
      <c r="H12" s="349" t="str">
        <f t="shared" si="2"/>
        <v> (27.0771031699072% Down).</v>
      </c>
      <c r="I12" s="349" t="str">
        <f t="shared" si="3"/>
        <v/>
      </c>
      <c r="J12" s="493"/>
      <c r="K12" s="349" t="str">
        <f>IFERROR(__xludf.DUMMYFUNCTION("if(ISBLANK(A12),"""",if(B12=""Buy"",CONCAT(GOOGLEFINANCE(A12,""name""),"" {Symbol: ""&amp;A12&amp;""} High Alert!! Share Has Reached Its Target Buying Price,""),""""))"),"")</f>
        <v/>
      </c>
      <c r="L12" s="349" t="b">
        <f>IFERROR(__xludf.DUMMYFUNCTION("if(B12= ""Buy"",CONCAT(GOOGLEFINANCE(A12,""NAME""),"" share currently trading at Rs""&amp;C12&amp;"", Which is ""&amp;H12&amp;"" below the Target price of Rs""&amp;D12&amp;"".""))"),FALSE)</f>
        <v>0</v>
      </c>
    </row>
    <row r="13">
      <c r="A13" s="349" t="str">
        <f>Dashboard!B40</f>
        <v>NSE:BERGEPAINT</v>
      </c>
      <c r="B13" s="349"/>
      <c r="C13" s="356">
        <f>Dashboard!G40</f>
        <v>509.9</v>
      </c>
      <c r="D13" s="489">
        <f>Dashboard!M40</f>
        <v>420</v>
      </c>
      <c r="E13" s="490" t="s">
        <v>314</v>
      </c>
      <c r="F13" s="491" t="str">
        <f t="shared" si="1"/>
        <v>-</v>
      </c>
      <c r="G13" s="492" t="s">
        <v>314</v>
      </c>
      <c r="H13" s="349" t="str">
        <f t="shared" si="2"/>
        <v/>
      </c>
      <c r="I13" s="349" t="str">
        <f t="shared" si="3"/>
        <v/>
      </c>
      <c r="J13" s="493"/>
      <c r="K13" s="349" t="str">
        <f>IFERROR(__xludf.DUMMYFUNCTION("if(ISBLANK(A13),"""",if(B13=""Buy"",CONCAT(GOOGLEFINANCE(A13,""name""),"" {Symbol: ""&amp;A13&amp;""} High Alert!! Share Has Reached Its Target Buying Price,""),""""))"),"")</f>
        <v/>
      </c>
      <c r="L13" s="349" t="b">
        <f>IFERROR(__xludf.DUMMYFUNCTION("if(B13= ""Buy"",CONCAT(GOOGLEFINANCE(A13,""NAME""),"" share currently trading at Rs""&amp;C13&amp;"", Which is ""&amp;H13&amp;"" below the Target price of Rs""&amp;D13&amp;"".""))"),FALSE)</f>
        <v>0</v>
      </c>
    </row>
    <row r="14">
      <c r="A14" s="349" t="str">
        <f>Dashboard!B41</f>
        <v>NSE:BSE</v>
      </c>
      <c r="B14" s="349"/>
      <c r="C14" s="356">
        <f>Dashboard!G41</f>
        <v>3678.7</v>
      </c>
      <c r="D14" s="489">
        <f>Dashboard!M41</f>
        <v>2001.06</v>
      </c>
      <c r="E14" s="490" t="s">
        <v>314</v>
      </c>
      <c r="F14" s="491" t="str">
        <f t="shared" si="1"/>
        <v>-</v>
      </c>
      <c r="G14" s="492" t="s">
        <v>314</v>
      </c>
      <c r="H14" s="349" t="str">
        <f t="shared" si="2"/>
        <v/>
      </c>
      <c r="I14" s="349" t="str">
        <f t="shared" si="3"/>
        <v/>
      </c>
      <c r="J14" s="493"/>
      <c r="K14" s="349" t="str">
        <f>IFERROR(__xludf.DUMMYFUNCTION("if(ISBLANK(A14),"""",if(B14=""Buy"",CONCAT(GOOGLEFINANCE(A14,""name""),"" {Symbol: ""&amp;A14&amp;""} High Alert!! Share Has Reached Its Target Buying Price,""),""""))"),"")</f>
        <v/>
      </c>
      <c r="L14" s="349" t="b">
        <f>IFERROR(__xludf.DUMMYFUNCTION("if(B14= ""Buy"",CONCAT(GOOGLEFINANCE(A14,""NAME""),"" share currently trading at Rs""&amp;C14&amp;"", Which is ""&amp;H14&amp;"" below the Target price of Rs""&amp;D14&amp;"".""))"),FALSE)</f>
        <v>0</v>
      </c>
    </row>
    <row r="15">
      <c r="A15" s="349" t="str">
        <f>Dashboard!B42</f>
        <v>NSE:CAMS</v>
      </c>
      <c r="B15" s="349"/>
      <c r="C15" s="356">
        <f>Dashboard!G42</f>
        <v>777.35</v>
      </c>
      <c r="D15" s="489">
        <f>Dashboard!M42</f>
        <v>471.79</v>
      </c>
      <c r="E15" s="490" t="s">
        <v>314</v>
      </c>
      <c r="F15" s="491" t="str">
        <f t="shared" si="1"/>
        <v>-</v>
      </c>
      <c r="G15" s="492" t="s">
        <v>314</v>
      </c>
      <c r="H15" s="349" t="str">
        <f t="shared" si="2"/>
        <v/>
      </c>
      <c r="I15" s="349" t="str">
        <f t="shared" si="3"/>
        <v/>
      </c>
      <c r="J15" s="493"/>
      <c r="K15" s="349" t="str">
        <f>IFERROR(__xludf.DUMMYFUNCTION("if(ISBLANK(A15),"""",if(B15=""Buy"",CONCAT(GOOGLEFINANCE(A15,""name""),"" {Symbol: ""&amp;A15&amp;""} High Alert!! Share Has Reached Its Target Buying Price,""),""""))"),"")</f>
        <v/>
      </c>
      <c r="L15" s="349" t="b">
        <f>IFERROR(__xludf.DUMMYFUNCTION("if(B15= ""Buy"",CONCAT(GOOGLEFINANCE(A15,""NAME""),"" share currently trading at Rs""&amp;C15&amp;"", Which is ""&amp;H15&amp;"" below the Target price of Rs""&amp;D15&amp;"".""))"),FALSE)</f>
        <v>0</v>
      </c>
    </row>
    <row r="16">
      <c r="A16" s="349" t="str">
        <f>Dashboard!B43</f>
        <v>NSE:CDSL</v>
      </c>
      <c r="B16" s="349"/>
      <c r="C16" s="356">
        <f>Dashboard!G43</f>
        <v>1358</v>
      </c>
      <c r="D16" s="489">
        <f>Dashboard!M43</f>
        <v>807.705</v>
      </c>
      <c r="E16" s="490" t="s">
        <v>314</v>
      </c>
      <c r="F16" s="491" t="str">
        <f t="shared" si="1"/>
        <v>-</v>
      </c>
      <c r="G16" s="492" t="s">
        <v>314</v>
      </c>
      <c r="H16" s="349" t="str">
        <f t="shared" si="2"/>
        <v/>
      </c>
      <c r="I16" s="349" t="str">
        <f t="shared" si="3"/>
        <v/>
      </c>
      <c r="J16" s="493"/>
      <c r="K16" s="349" t="str">
        <f>IFERROR(__xludf.DUMMYFUNCTION("if(ISBLANK(A16),"""",if(B16=""Buy"",CONCAT(GOOGLEFINANCE(A16,""name""),"" {Symbol: ""&amp;A16&amp;""} High Alert!! Share Has Reached Its Target Buying Price,""),""""))"),"")</f>
        <v/>
      </c>
      <c r="L16" s="349" t="b">
        <f>IFERROR(__xludf.DUMMYFUNCTION("if(B16= ""Buy"",CONCAT(GOOGLEFINANCE(A16,""NAME""),"" share currently trading at Rs""&amp;C16&amp;"", Which is ""&amp;H16&amp;"" below the Target price of Rs""&amp;D16&amp;"".""))"),FALSE)</f>
        <v>0</v>
      </c>
    </row>
    <row r="17">
      <c r="A17" s="349" t="str">
        <f>Dashboard!B44</f>
        <v>NSE:CGPOWER</v>
      </c>
      <c r="B17" s="349"/>
      <c r="C17" s="356">
        <f>Dashboard!G44</f>
        <v>910.45</v>
      </c>
      <c r="D17" s="489">
        <f>Dashboard!M44</f>
        <v>0</v>
      </c>
      <c r="E17" s="490" t="s">
        <v>314</v>
      </c>
      <c r="F17" s="491" t="str">
        <f t="shared" si="1"/>
        <v>-</v>
      </c>
      <c r="G17" s="492" t="s">
        <v>314</v>
      </c>
      <c r="H17" s="349" t="str">
        <f t="shared" si="2"/>
        <v/>
      </c>
      <c r="I17" s="349" t="str">
        <f t="shared" si="3"/>
        <v/>
      </c>
      <c r="J17" s="493"/>
      <c r="K17" s="349" t="str">
        <f>IFERROR(__xludf.DUMMYFUNCTION("if(ISBLANK(A17),"""",if(B17=""Buy"",CONCAT(GOOGLEFINANCE(A17,""name""),"" {Symbol: ""&amp;A17&amp;""} High Alert!! Share Has Reached Its Target Buying Price,""),""""))"),"")</f>
        <v/>
      </c>
      <c r="L17" s="349" t="b">
        <f>IFERROR(__xludf.DUMMYFUNCTION("if(B17= ""Buy"",CONCAT(GOOGLEFINANCE(A17,""NAME""),"" share currently trading at Rs""&amp;C17&amp;"", Which is ""&amp;H17&amp;"" below the Target price of Rs""&amp;D17&amp;"".""))"),FALSE)</f>
        <v>0</v>
      </c>
    </row>
    <row r="18">
      <c r="A18" s="349" t="str">
        <f>Dashboard!B45</f>
        <v>NSE:CLEAN</v>
      </c>
      <c r="B18" s="349"/>
      <c r="C18" s="356">
        <f>Dashboard!G45</f>
        <v>798</v>
      </c>
      <c r="D18" s="489">
        <f>Dashboard!M45</f>
        <v>894</v>
      </c>
      <c r="E18" s="490" t="s">
        <v>314</v>
      </c>
      <c r="F18" s="491">
        <f t="shared" si="1"/>
        <v>0.1073825503</v>
      </c>
      <c r="G18" s="492" t="s">
        <v>314</v>
      </c>
      <c r="H18" s="349" t="str">
        <f t="shared" si="2"/>
        <v> (10.738255033557% Down).</v>
      </c>
      <c r="I18" s="349" t="str">
        <f t="shared" si="3"/>
        <v/>
      </c>
      <c r="J18" s="493"/>
      <c r="K18" s="349" t="str">
        <f>IFERROR(__xludf.DUMMYFUNCTION("if(ISBLANK(A18),"""",if(B18=""Buy"",CONCAT(GOOGLEFINANCE(A18,""name""),"" {Symbol: ""&amp;A18&amp;""} High Alert!! Share Has Reached Its Target Buying Price,""),""""))"),"")</f>
        <v/>
      </c>
      <c r="L18" s="349" t="b">
        <f>IFERROR(__xludf.DUMMYFUNCTION("if(B18= ""Buy"",CONCAT(GOOGLEFINANCE(A18,""NAME""),"" share currently trading at Rs""&amp;C18&amp;"", Which is ""&amp;H18&amp;"" below the Target price of Rs""&amp;D18&amp;"".""))"),FALSE)</f>
        <v>0</v>
      </c>
    </row>
    <row r="19">
      <c r="A19" s="349" t="str">
        <f>Dashboard!B46</f>
        <v>NSE:COLPAL</v>
      </c>
      <c r="B19" s="349"/>
      <c r="C19" s="356">
        <f>Dashboard!G46</f>
        <v>2076.4</v>
      </c>
      <c r="D19" s="489">
        <f>Dashboard!M46</f>
        <v>1377.2</v>
      </c>
      <c r="E19" s="490" t="s">
        <v>314</v>
      </c>
      <c r="F19" s="491" t="str">
        <f t="shared" si="1"/>
        <v>-</v>
      </c>
      <c r="G19" s="492" t="s">
        <v>314</v>
      </c>
      <c r="H19" s="349" t="str">
        <f t="shared" si="2"/>
        <v/>
      </c>
      <c r="I19" s="349" t="str">
        <f t="shared" si="3"/>
        <v/>
      </c>
      <c r="J19" s="493"/>
      <c r="K19" s="349" t="str">
        <f>IFERROR(__xludf.DUMMYFUNCTION("if(ISBLANK(A19),"""",if(B19=""Buy"",CONCAT(GOOGLEFINANCE(A19,""name""),"" {Symbol: ""&amp;A19&amp;""} High Alert!! Share Has Reached Its Target Buying Price,""),""""))"),"")</f>
        <v/>
      </c>
      <c r="L19" s="349" t="b">
        <f>IFERROR(__xludf.DUMMYFUNCTION("if(B19= ""Buy"",CONCAT(GOOGLEFINANCE(A19,""NAME""),"" share currently trading at Rs""&amp;C19&amp;"", Which is ""&amp;H19&amp;"" below the Target price of Rs""&amp;D19&amp;"".""))"),FALSE)</f>
        <v>0</v>
      </c>
    </row>
    <row r="20">
      <c r="A20" s="349" t="str">
        <f>Dashboard!B47</f>
        <v>NSE:DABUR</v>
      </c>
      <c r="B20" s="349"/>
      <c r="C20" s="356">
        <f>Dashboard!G47</f>
        <v>454</v>
      </c>
      <c r="D20" s="489">
        <f>Dashboard!M47</f>
        <v>375.05</v>
      </c>
      <c r="E20" s="490" t="s">
        <v>314</v>
      </c>
      <c r="F20" s="491" t="str">
        <f t="shared" si="1"/>
        <v>-</v>
      </c>
      <c r="G20" s="492" t="s">
        <v>314</v>
      </c>
      <c r="H20" s="349" t="str">
        <f t="shared" si="2"/>
        <v/>
      </c>
      <c r="I20" s="349" t="str">
        <f t="shared" si="3"/>
        <v/>
      </c>
      <c r="J20" s="493"/>
      <c r="K20" s="349" t="str">
        <f>IFERROR(__xludf.DUMMYFUNCTION("if(ISBLANK(A20),"""",if(B20=""Buy"",CONCAT(GOOGLEFINANCE(A20,""name""),"" {Symbol: ""&amp;A20&amp;""} High Alert!! Share Has Reached Its Target Buying Price,""),""""))"),"")</f>
        <v/>
      </c>
      <c r="L20" s="349" t="b">
        <f>IFERROR(__xludf.DUMMYFUNCTION("if(B20= ""Buy"",CONCAT(GOOGLEFINANCE(A20,""NAME""),"" share currently trading at Rs""&amp;C20&amp;"", Which is ""&amp;H20&amp;"" below the Target price of Rs""&amp;D20&amp;"".""))"),FALSE)</f>
        <v>0</v>
      </c>
    </row>
    <row r="21">
      <c r="A21" s="349" t="str">
        <f>Dashboard!B48</f>
        <v>NSE:DEEPAKNTR</v>
      </c>
      <c r="B21" s="349"/>
      <c r="C21" s="356">
        <f>Dashboard!G48</f>
        <v>1606.8</v>
      </c>
      <c r="D21" s="489">
        <f>Dashboard!M48</f>
        <v>1099.725</v>
      </c>
      <c r="E21" s="490" t="s">
        <v>314</v>
      </c>
      <c r="F21" s="491" t="str">
        <f t="shared" si="1"/>
        <v>-</v>
      </c>
      <c r="G21" s="492" t="s">
        <v>314</v>
      </c>
      <c r="H21" s="349" t="str">
        <f t="shared" si="2"/>
        <v/>
      </c>
      <c r="I21" s="349" t="str">
        <f t="shared" si="3"/>
        <v/>
      </c>
      <c r="J21" s="493"/>
      <c r="K21" s="349" t="str">
        <f>IFERROR(__xludf.DUMMYFUNCTION("if(ISBLANK(A21),"""",if(B21=""Buy"",CONCAT(GOOGLEFINANCE(A21,""name""),"" {Symbol: ""&amp;A21&amp;""} High Alert!! Share Has Reached Its Target Buying Price,""),""""))"),"")</f>
        <v/>
      </c>
      <c r="L21" s="349" t="b">
        <f>IFERROR(__xludf.DUMMYFUNCTION("if(B21= ""Buy"",CONCAT(GOOGLEFINANCE(A21,""NAME""),"" share currently trading at Rs""&amp;C21&amp;"", Which is ""&amp;H21&amp;"" below the Target price of Rs""&amp;D21&amp;"".""))"),FALSE)</f>
        <v>0</v>
      </c>
    </row>
    <row r="22">
      <c r="A22" s="349" t="str">
        <f>Dashboard!B49</f>
        <v>NSE:DIXON</v>
      </c>
      <c r="B22" s="349"/>
      <c r="C22" s="356">
        <f>Dashboard!G49</f>
        <v>13237</v>
      </c>
      <c r="D22" s="489">
        <f>Dashboard!M49</f>
        <v>12006.15</v>
      </c>
      <c r="E22" s="490" t="s">
        <v>314</v>
      </c>
      <c r="F22" s="491" t="str">
        <f t="shared" si="1"/>
        <v>-</v>
      </c>
      <c r="G22" s="492" t="s">
        <v>314</v>
      </c>
      <c r="H22" s="349" t="str">
        <f t="shared" si="2"/>
        <v/>
      </c>
      <c r="I22" s="349" t="str">
        <f t="shared" si="3"/>
        <v/>
      </c>
      <c r="J22" s="493"/>
      <c r="K22" s="349" t="str">
        <f>IFERROR(__xludf.DUMMYFUNCTION("if(ISBLANK(A22),"""",if(B22=""Buy"",CONCAT(GOOGLEFINANCE(A22,""name""),"" {Symbol: ""&amp;A22&amp;""} High Alert!! Share Has Reached Its Target Buying Price,""),""""))"),"")</f>
        <v/>
      </c>
      <c r="L22" s="349" t="b">
        <f>IFERROR(__xludf.DUMMYFUNCTION("if(B22= ""Buy"",CONCAT(GOOGLEFINANCE(A22,""NAME""),"" share currently trading at Rs""&amp;C22&amp;"", Which is ""&amp;H22&amp;"" below the Target price of Rs""&amp;D22&amp;"".""))"),FALSE)</f>
        <v>0</v>
      </c>
    </row>
    <row r="23">
      <c r="A23" s="349" t="str">
        <f>Dashboard!B50</f>
        <v>NSE:DMART</v>
      </c>
      <c r="B23" s="349"/>
      <c r="C23" s="356">
        <f>Dashboard!G50</f>
        <v>4070</v>
      </c>
      <c r="D23" s="489">
        <f>Dashboard!M50</f>
        <v>2722.225</v>
      </c>
      <c r="E23" s="490" t="s">
        <v>314</v>
      </c>
      <c r="F23" s="491" t="str">
        <f t="shared" si="1"/>
        <v>-</v>
      </c>
      <c r="G23" s="492" t="s">
        <v>314</v>
      </c>
      <c r="H23" s="349" t="str">
        <f t="shared" si="2"/>
        <v/>
      </c>
      <c r="I23" s="349" t="str">
        <f t="shared" si="3"/>
        <v/>
      </c>
      <c r="J23" s="493"/>
      <c r="K23" s="349" t="str">
        <f>IFERROR(__xludf.DUMMYFUNCTION("if(ISBLANK(A23),"""",if(B23=""Buy"",CONCAT(GOOGLEFINANCE(A23,""name""),"" {Symbol: ""&amp;A23&amp;""} High Alert!! Share Has Reached Its Target Buying Price,""),""""))"),"")</f>
        <v/>
      </c>
      <c r="L23" s="349" t="b">
        <f>IFERROR(__xludf.DUMMYFUNCTION("if(B23= ""Buy"",CONCAT(GOOGLEFINANCE(A23,""NAME""),"" share currently trading at Rs""&amp;C23&amp;"", Which is ""&amp;H23&amp;"" below the Target price of Rs""&amp;D23&amp;"".""))"),FALSE)</f>
        <v>0</v>
      </c>
    </row>
    <row r="24">
      <c r="A24" s="349" t="str">
        <f>Dashboard!B51</f>
        <v>NSE:FCL</v>
      </c>
      <c r="B24" s="349"/>
      <c r="C24" s="356">
        <f>Dashboard!G51</f>
        <v>37.19</v>
      </c>
      <c r="D24" s="489">
        <f>Dashboard!M51</f>
        <v>21.231</v>
      </c>
      <c r="E24" s="490" t="s">
        <v>314</v>
      </c>
      <c r="F24" s="491" t="str">
        <f t="shared" si="1"/>
        <v>-</v>
      </c>
      <c r="G24" s="492" t="s">
        <v>314</v>
      </c>
      <c r="H24" s="349" t="str">
        <f t="shared" si="2"/>
        <v/>
      </c>
      <c r="I24" s="349" t="str">
        <f t="shared" si="3"/>
        <v/>
      </c>
      <c r="J24" s="493"/>
      <c r="K24" s="349" t="str">
        <f>IFERROR(__xludf.DUMMYFUNCTION("if(ISBLANK(A24),"""",if(B24=""Buy"",CONCAT(GOOGLEFINANCE(A24,""name""),"" {Symbol: ""&amp;A24&amp;""} High Alert!! Share Has Reached Its Target Buying Price,""),""""))"),"")</f>
        <v/>
      </c>
      <c r="L24" s="349" t="b">
        <f>IFERROR(__xludf.DUMMYFUNCTION("if(B24= ""Buy"",CONCAT(GOOGLEFINANCE(A24,""NAME""),"" share currently trading at Rs""&amp;C24&amp;"", Which is ""&amp;H24&amp;"" below the Target price of Rs""&amp;D24&amp;"".""))"),FALSE)</f>
        <v>0</v>
      </c>
    </row>
    <row r="25">
      <c r="A25" s="349" t="str">
        <f>Dashboard!B52</f>
        <v>NSE:FEDERALBNK</v>
      </c>
      <c r="B25" s="349"/>
      <c r="C25" s="356">
        <f>Dashboard!G52</f>
        <v>331.2</v>
      </c>
      <c r="D25" s="489">
        <f>Dashboard!M52</f>
        <v>250.725</v>
      </c>
      <c r="E25" s="490" t="s">
        <v>314</v>
      </c>
      <c r="F25" s="491" t="str">
        <f t="shared" si="1"/>
        <v>-</v>
      </c>
      <c r="G25" s="492" t="s">
        <v>314</v>
      </c>
      <c r="H25" s="349" t="str">
        <f t="shared" si="2"/>
        <v/>
      </c>
      <c r="I25" s="349" t="str">
        <f t="shared" si="3"/>
        <v/>
      </c>
      <c r="J25" s="493"/>
      <c r="K25" s="349" t="str">
        <f>IFERROR(__xludf.DUMMYFUNCTION("if(ISBLANK(A25),"""",if(B25=""Buy"",CONCAT(GOOGLEFINANCE(A25,""name""),"" {Symbol: ""&amp;A25&amp;""} High Alert!! Share Has Reached Its Target Buying Price,""),""""))"),"")</f>
        <v/>
      </c>
      <c r="L25" s="349" t="b">
        <f>IFERROR(__xludf.DUMMYFUNCTION("if(B25= ""Buy"",CONCAT(GOOGLEFINANCE(A25,""NAME""),"" share currently trading at Rs""&amp;C25&amp;"", Which is ""&amp;H25&amp;"" below the Target price of Rs""&amp;D25&amp;"".""))"),FALSE)</f>
        <v>0</v>
      </c>
    </row>
    <row r="26">
      <c r="A26" s="349" t="str">
        <f>Dashboard!B53</f>
        <v>NSE:FINEORG</v>
      </c>
      <c r="B26" s="349"/>
      <c r="C26" s="356">
        <f>Dashboard!G53</f>
        <v>4999</v>
      </c>
      <c r="D26" s="489">
        <f>Dashboard!M53</f>
        <v>3021.7</v>
      </c>
      <c r="E26" s="490" t="s">
        <v>314</v>
      </c>
      <c r="F26" s="491" t="str">
        <f t="shared" si="1"/>
        <v>-</v>
      </c>
      <c r="G26" s="492" t="s">
        <v>314</v>
      </c>
      <c r="H26" s="349" t="str">
        <f t="shared" si="2"/>
        <v/>
      </c>
      <c r="I26" s="349" t="str">
        <f t="shared" si="3"/>
        <v/>
      </c>
      <c r="J26" s="493"/>
      <c r="K26" s="349" t="str">
        <f>IFERROR(__xludf.DUMMYFUNCTION("if(ISBLANK(A26),"""",if(B26=""Buy"",CONCAT(GOOGLEFINANCE(A26,""name""),"" {Symbol: ""&amp;A26&amp;""} High Alert!! Share Has Reached Its Target Buying Price,""),""""))"),"")</f>
        <v/>
      </c>
      <c r="L26" s="349" t="b">
        <f>IFERROR(__xludf.DUMMYFUNCTION("if(B26= ""Buy"",CONCAT(GOOGLEFINANCE(A26,""NAME""),"" share currently trading at Rs""&amp;C26&amp;"", Which is ""&amp;H26&amp;"" below the Target price of Rs""&amp;D26&amp;"".""))"),FALSE)</f>
        <v>0</v>
      </c>
    </row>
    <row r="27">
      <c r="A27" s="349" t="str">
        <f>Dashboard!B54</f>
        <v>NSE:GREENPANEL</v>
      </c>
      <c r="B27" s="349"/>
      <c r="C27" s="356">
        <f>Dashboard!G54</f>
        <v>196.37</v>
      </c>
      <c r="D27" s="489">
        <f>Dashboard!M54</f>
        <v>150.84</v>
      </c>
      <c r="E27" s="490" t="s">
        <v>314</v>
      </c>
      <c r="F27" s="491" t="str">
        <f t="shared" si="1"/>
        <v>-</v>
      </c>
      <c r="G27" s="492" t="s">
        <v>314</v>
      </c>
      <c r="H27" s="349" t="str">
        <f t="shared" si="2"/>
        <v/>
      </c>
      <c r="I27" s="349" t="str">
        <f t="shared" si="3"/>
        <v/>
      </c>
      <c r="J27" s="493"/>
      <c r="K27" s="349" t="str">
        <f>IFERROR(__xludf.DUMMYFUNCTION("if(ISBLANK(A27),"""",if(B27=""Buy"",CONCAT(GOOGLEFINANCE(A27,""name""),"" {Symbol: ""&amp;A27&amp;""} High Alert!! Share Has Reached Its Target Buying Price,""),""""))"),"")</f>
        <v/>
      </c>
      <c r="L27" s="349" t="b">
        <f>IFERROR(__xludf.DUMMYFUNCTION("if(B27= ""Buy"",CONCAT(GOOGLEFINANCE(A27,""NAME""),"" share currently trading at Rs""&amp;C27&amp;"", Which is ""&amp;H27&amp;"" below the Target price of Rs""&amp;D27&amp;"".""))"),FALSE)</f>
        <v>0</v>
      </c>
    </row>
    <row r="28">
      <c r="A28" s="349" t="str">
        <f>Dashboard!B55</f>
        <v>NSE:GVKPIL</v>
      </c>
      <c r="B28" s="349"/>
      <c r="C28" s="356">
        <f>Dashboard!G55</f>
        <v>2.61</v>
      </c>
      <c r="D28" s="489">
        <f>Dashboard!M55</f>
        <v>0.848</v>
      </c>
      <c r="E28" s="490" t="s">
        <v>314</v>
      </c>
      <c r="F28" s="491" t="str">
        <f t="shared" si="1"/>
        <v>-</v>
      </c>
      <c r="G28" s="492" t="s">
        <v>314</v>
      </c>
      <c r="H28" s="349" t="str">
        <f t="shared" si="2"/>
        <v/>
      </c>
      <c r="I28" s="349" t="str">
        <f t="shared" si="3"/>
        <v/>
      </c>
      <c r="J28" s="493"/>
      <c r="K28" s="349" t="str">
        <f>IFERROR(__xludf.DUMMYFUNCTION("if(ISBLANK(A28),"""",if(B28=""Buy"",CONCAT(GOOGLEFINANCE(A28,""name""),"" {Symbol: ""&amp;A28&amp;""} High Alert!! Share Has Reached Its Target Buying Price,""),""""))"),"")</f>
        <v/>
      </c>
      <c r="L28" s="349" t="b">
        <f>IFERROR(__xludf.DUMMYFUNCTION("if(B28= ""Buy"",CONCAT(GOOGLEFINANCE(A28,""NAME""),"" share currently trading at Rs""&amp;C28&amp;"", Which is ""&amp;H28&amp;"" below the Target price of Rs""&amp;D28&amp;"".""))"),FALSE)</f>
        <v>0</v>
      </c>
    </row>
    <row r="29">
      <c r="A29" s="349" t="str">
        <f>Dashboard!B56</f>
        <v>NSE:HAPPSTMNDS</v>
      </c>
      <c r="B29" s="349"/>
      <c r="C29" s="356">
        <f>Dashboard!G56</f>
        <v>349.5</v>
      </c>
      <c r="D29" s="489">
        <f>Dashboard!M56</f>
        <v>358.545</v>
      </c>
      <c r="E29" s="490" t="s">
        <v>314</v>
      </c>
      <c r="F29" s="491">
        <f t="shared" si="1"/>
        <v>0.02522695896</v>
      </c>
      <c r="G29" s="492" t="s">
        <v>314</v>
      </c>
      <c r="H29" s="349" t="str">
        <f t="shared" si="2"/>
        <v> (2.52269589591264% Down).</v>
      </c>
      <c r="I29" s="349" t="str">
        <f t="shared" si="3"/>
        <v/>
      </c>
      <c r="J29" s="493"/>
      <c r="K29" s="349" t="str">
        <f>IFERROR(__xludf.DUMMYFUNCTION("if(ISBLANK(A29),"""",if(B29=""Buy"",CONCAT(GOOGLEFINANCE(A29,""name""),"" {Symbol: ""&amp;A29&amp;""} High Alert!! Share Has Reached Its Target Buying Price,""),""""))"),"")</f>
        <v/>
      </c>
      <c r="L29" s="349" t="b">
        <f>IFERROR(__xludf.DUMMYFUNCTION("if(B29= ""Buy"",CONCAT(GOOGLEFINANCE(A29,""NAME""),"" share currently trading at Rs""&amp;C29&amp;"", Which is ""&amp;H29&amp;"" below the Target price of Rs""&amp;D29&amp;"".""))"),FALSE)</f>
        <v>0</v>
      </c>
    </row>
    <row r="30">
      <c r="A30" s="349" t="str">
        <f>Dashboard!B57</f>
        <v>NSE:HCLTECH</v>
      </c>
      <c r="B30" s="349"/>
      <c r="C30" s="356">
        <f>Dashboard!G57</f>
        <v>1170</v>
      </c>
      <c r="D30" s="489">
        <f>Dashboard!M57</f>
        <v>1068.06</v>
      </c>
      <c r="E30" s="490" t="s">
        <v>314</v>
      </c>
      <c r="F30" s="491" t="str">
        <f t="shared" si="1"/>
        <v>-</v>
      </c>
      <c r="G30" s="492" t="s">
        <v>314</v>
      </c>
      <c r="H30" s="349" t="str">
        <f t="shared" si="2"/>
        <v/>
      </c>
      <c r="I30" s="349" t="str">
        <f t="shared" si="3"/>
        <v/>
      </c>
      <c r="J30" s="493"/>
      <c r="K30" s="349" t="str">
        <f>IFERROR(__xludf.DUMMYFUNCTION("if(ISBLANK(A30),"""",if(B30=""Buy"",CONCAT(GOOGLEFINANCE(A30,""name""),"" {Symbol: ""&amp;A30&amp;""} High Alert!! Share Has Reached Its Target Buying Price,""),""""))"),"")</f>
        <v/>
      </c>
      <c r="L30" s="349" t="b">
        <f>IFERROR(__xludf.DUMMYFUNCTION("if(B30= ""Buy"",CONCAT(GOOGLEFINANCE(A30,""NAME""),"" share currently trading at Rs""&amp;C30&amp;"", Which is ""&amp;H30&amp;"" below the Target price of Rs""&amp;D30&amp;"".""))"),FALSE)</f>
        <v>0</v>
      </c>
    </row>
    <row r="31">
      <c r="A31" s="349" t="str">
        <f>Dashboard!B58</f>
        <v>NSE:HDFCAMC</v>
      </c>
      <c r="B31" s="349"/>
      <c r="C31" s="356">
        <f>Dashboard!G58</f>
        <v>2784</v>
      </c>
      <c r="D31" s="489">
        <f>Dashboard!M58</f>
        <v>1928.7125</v>
      </c>
      <c r="E31" s="490" t="s">
        <v>314</v>
      </c>
      <c r="F31" s="491" t="str">
        <f t="shared" si="1"/>
        <v>-</v>
      </c>
      <c r="G31" s="492" t="s">
        <v>314</v>
      </c>
      <c r="H31" s="349" t="str">
        <f t="shared" si="2"/>
        <v/>
      </c>
      <c r="I31" s="349" t="str">
        <f t="shared" si="3"/>
        <v/>
      </c>
      <c r="J31" s="493"/>
      <c r="K31" s="349" t="str">
        <f>IFERROR(__xludf.DUMMYFUNCTION("if(ISBLANK(A31),"""",if(B31=""Buy"",CONCAT(GOOGLEFINANCE(A31,""name""),"" {Symbol: ""&amp;A31&amp;""} High Alert!! Share Has Reached Its Target Buying Price,""),""""))"),"")</f>
        <v/>
      </c>
      <c r="L31" s="349" t="b">
        <f>IFERROR(__xludf.DUMMYFUNCTION("if(B31= ""Buy"",CONCAT(GOOGLEFINANCE(A31,""NAME""),"" share currently trading at Rs""&amp;C31&amp;"", Which is ""&amp;H31&amp;"" below the Target price of Rs""&amp;D31&amp;"".""))"),FALSE)</f>
        <v>0</v>
      </c>
    </row>
    <row r="32">
      <c r="A32" s="349" t="str">
        <f>Dashboard!B59</f>
        <v>NSE:HDFCBANK</v>
      </c>
      <c r="B32" s="349"/>
      <c r="C32" s="356">
        <f>Dashboard!G59</f>
        <v>827.5</v>
      </c>
      <c r="D32" s="489">
        <f>Dashboard!M59</f>
        <v>816.4</v>
      </c>
      <c r="E32" s="490" t="s">
        <v>314</v>
      </c>
      <c r="F32" s="491" t="str">
        <f t="shared" si="1"/>
        <v>-</v>
      </c>
      <c r="G32" s="492" t="s">
        <v>314</v>
      </c>
      <c r="H32" s="349" t="str">
        <f t="shared" si="2"/>
        <v/>
      </c>
      <c r="I32" s="349" t="str">
        <f t="shared" si="3"/>
        <v/>
      </c>
      <c r="J32" s="493"/>
      <c r="K32" s="349" t="str">
        <f>IFERROR(__xludf.DUMMYFUNCTION("if(ISBLANK(A32),"""",if(B32=""Buy"",CONCAT(GOOGLEFINANCE(A32,""name""),"" {Symbol: ""&amp;A32&amp;""} High Alert!! Share Has Reached Its Target Buying Price,""),""""))"),"")</f>
        <v/>
      </c>
      <c r="L32" s="349" t="b">
        <f>IFERROR(__xludf.DUMMYFUNCTION("if(B32= ""Buy"",CONCAT(GOOGLEFINANCE(A32,""NAME""),"" share currently trading at Rs""&amp;C32&amp;"", Which is ""&amp;H32&amp;"" below the Target price of Rs""&amp;D32&amp;"".""))"),FALSE)</f>
        <v>0</v>
      </c>
    </row>
    <row r="33">
      <c r="A33" s="349" t="str">
        <f>Dashboard!B60</f>
        <v>NSE:HDFCLIFE</v>
      </c>
      <c r="B33" s="349"/>
      <c r="C33" s="356">
        <f>Dashboard!G60</f>
        <v>572.75</v>
      </c>
      <c r="D33" s="489">
        <f>Dashboard!M60</f>
        <v>611.25</v>
      </c>
      <c r="E33" s="490" t="s">
        <v>314</v>
      </c>
      <c r="F33" s="491">
        <f t="shared" si="1"/>
        <v>0.06298568507</v>
      </c>
      <c r="G33" s="492" t="s">
        <v>314</v>
      </c>
      <c r="H33" s="349" t="str">
        <f t="shared" si="2"/>
        <v> (6.29856850715747% Down).</v>
      </c>
      <c r="I33" s="349" t="str">
        <f t="shared" si="3"/>
        <v/>
      </c>
      <c r="J33" s="493"/>
      <c r="K33" s="349" t="str">
        <f>IFERROR(__xludf.DUMMYFUNCTION("if(ISBLANK(A33),"""",if(B33=""Buy"",CONCAT(GOOGLEFINANCE(A33,""name""),"" {Symbol: ""&amp;A33&amp;""} High Alert!! Share Has Reached Its Target Buying Price,""),""""))"),"")</f>
        <v/>
      </c>
      <c r="L33" s="349" t="b">
        <f>IFERROR(__xludf.DUMMYFUNCTION("if(B33= ""Buy"",CONCAT(GOOGLEFINANCE(A33,""NAME""),"" share currently trading at Rs""&amp;C33&amp;"", Which is ""&amp;H33&amp;"" below the Target price of Rs""&amp;D33&amp;"".""))"),FALSE)</f>
        <v>0</v>
      </c>
    </row>
    <row r="34">
      <c r="A34" s="349" t="str">
        <f>Dashboard!B61</f>
        <v>NSE:HINDUNILVR</v>
      </c>
      <c r="B34" s="349"/>
      <c r="C34" s="356">
        <f>Dashboard!G61</f>
        <v>2203.1</v>
      </c>
      <c r="D34" s="489">
        <f>Dashboard!M61</f>
        <v>1765.036</v>
      </c>
      <c r="E34" s="490" t="s">
        <v>314</v>
      </c>
      <c r="F34" s="491" t="str">
        <f t="shared" si="1"/>
        <v>-</v>
      </c>
      <c r="G34" s="492" t="s">
        <v>314</v>
      </c>
      <c r="H34" s="349" t="str">
        <f t="shared" si="2"/>
        <v/>
      </c>
      <c r="I34" s="349" t="str">
        <f t="shared" si="3"/>
        <v/>
      </c>
      <c r="J34" s="493"/>
      <c r="K34" s="349" t="str">
        <f>IFERROR(__xludf.DUMMYFUNCTION("if(ISBLANK(A34),"""",if(B34=""Buy"",CONCAT(GOOGLEFINANCE(A34,""name""),"" {Symbol: ""&amp;A34&amp;""} High Alert!! Share Has Reached Its Target Buying Price,""),""""))"),"")</f>
        <v/>
      </c>
      <c r="L34" s="349" t="b">
        <f>IFERROR(__xludf.DUMMYFUNCTION("if(B34= ""Buy"",CONCAT(GOOGLEFINANCE(A34,""NAME""),"" share currently trading at Rs""&amp;C34&amp;"", Which is ""&amp;H34&amp;"" below the Target price of Rs""&amp;D34&amp;"".""))"),FALSE)</f>
        <v>0</v>
      </c>
    </row>
    <row r="35">
      <c r="A35" s="349" t="str">
        <f>Dashboard!B62</f>
        <v>NSE:HLEGLAS</v>
      </c>
      <c r="B35" s="349"/>
      <c r="C35" s="356">
        <f>Dashboard!G62</f>
        <v>404</v>
      </c>
      <c r="D35" s="489">
        <f>Dashboard!M62</f>
        <v>231.6825</v>
      </c>
      <c r="E35" s="490" t="s">
        <v>314</v>
      </c>
      <c r="F35" s="491" t="str">
        <f t="shared" si="1"/>
        <v>-</v>
      </c>
      <c r="G35" s="492" t="s">
        <v>314</v>
      </c>
      <c r="H35" s="349" t="str">
        <f t="shared" si="2"/>
        <v/>
      </c>
      <c r="I35" s="349" t="str">
        <f t="shared" si="3"/>
        <v/>
      </c>
      <c r="J35" s="493"/>
      <c r="K35" s="349" t="str">
        <f>IFERROR(__xludf.DUMMYFUNCTION("if(ISBLANK(A35),"""",if(B35=""Buy"",CONCAT(GOOGLEFINANCE(A35,""name""),"" {Symbol: ""&amp;A35&amp;""} High Alert!! Share Has Reached Its Target Buying Price,""),""""))"),"")</f>
        <v/>
      </c>
      <c r="L35" s="349" t="b">
        <f>IFERROR(__xludf.DUMMYFUNCTION("if(B35= ""Buy"",CONCAT(GOOGLEFINANCE(A35,""NAME""),"" share currently trading at Rs""&amp;C35&amp;"", Which is ""&amp;H35&amp;"" below the Target price of Rs""&amp;D35&amp;"".""))"),FALSE)</f>
        <v>0</v>
      </c>
    </row>
    <row r="36">
      <c r="A36" s="349" t="str">
        <f>Dashboard!B63</f>
        <v>NSE:HNDFDS</v>
      </c>
      <c r="B36" s="349"/>
      <c r="C36" s="356">
        <f>Dashboard!G63</f>
        <v>540</v>
      </c>
      <c r="D36" s="489">
        <f>Dashboard!M63</f>
        <v>409.43</v>
      </c>
      <c r="E36" s="490" t="s">
        <v>314</v>
      </c>
      <c r="F36" s="491" t="str">
        <f t="shared" si="1"/>
        <v>-</v>
      </c>
      <c r="G36" s="492" t="s">
        <v>314</v>
      </c>
      <c r="H36" s="349" t="str">
        <f t="shared" si="2"/>
        <v/>
      </c>
      <c r="I36" s="349" t="str">
        <f t="shared" si="3"/>
        <v/>
      </c>
      <c r="J36" s="493"/>
      <c r="K36" s="349" t="str">
        <f>IFERROR(__xludf.DUMMYFUNCTION("if(ISBLANK(A36),"""",if(B36=""Buy"",CONCAT(GOOGLEFINANCE(A36,""name""),"" {Symbol: ""&amp;A36&amp;""} High Alert!! Share Has Reached Its Target Buying Price,""),""""))"),"")</f>
        <v/>
      </c>
      <c r="L36" s="349" t="b">
        <f>IFERROR(__xludf.DUMMYFUNCTION("if(B36= ""Buy"",CONCAT(GOOGLEFINANCE(A36,""NAME""),"" share currently trading at Rs""&amp;C36&amp;"", Which is ""&amp;H36&amp;"" below the Target price of Rs""&amp;D36&amp;"".""))"),FALSE)</f>
        <v>0</v>
      </c>
    </row>
    <row r="37">
      <c r="A37" s="349" t="str">
        <f>Dashboard!B64</f>
        <v>NSE:ICICIBANK</v>
      </c>
      <c r="B37" s="349"/>
      <c r="C37" s="356">
        <f>Dashboard!G64</f>
        <v>1412</v>
      </c>
      <c r="D37" s="489">
        <f>Dashboard!M64</f>
        <v>1200</v>
      </c>
      <c r="E37" s="490" t="s">
        <v>314</v>
      </c>
      <c r="F37" s="491" t="str">
        <f t="shared" si="1"/>
        <v>-</v>
      </c>
      <c r="G37" s="492" t="s">
        <v>314</v>
      </c>
      <c r="H37" s="349" t="str">
        <f t="shared" si="2"/>
        <v/>
      </c>
      <c r="I37" s="349" t="str">
        <f t="shared" si="3"/>
        <v/>
      </c>
      <c r="J37" s="493"/>
      <c r="K37" s="349" t="str">
        <f>IFERROR(__xludf.DUMMYFUNCTION("if(ISBLANK(A37),"""",if(B37=""Buy"",CONCAT(GOOGLEFINANCE(A37,""name""),"" {Symbol: ""&amp;A37&amp;""} High Alert!! Share Has Reached Its Target Buying Price,""),""""))"),"")</f>
        <v/>
      </c>
      <c r="L37" s="349" t="b">
        <f>IFERROR(__xludf.DUMMYFUNCTION("if(B37= ""Buy"",CONCAT(GOOGLEFINANCE(A37,""NAME""),"" share currently trading at Rs""&amp;C37&amp;"", Which is ""&amp;H37&amp;"" below the Target price of Rs""&amp;D37&amp;"".""))"),FALSE)</f>
        <v>0</v>
      </c>
    </row>
    <row r="38">
      <c r="A38" s="349" t="str">
        <f>Dashboard!B65</f>
        <v>NSE:IEX</v>
      </c>
      <c r="B38" s="349"/>
      <c r="C38" s="356">
        <f>Dashboard!G65</f>
        <v>122.44</v>
      </c>
      <c r="D38" s="489">
        <f>Dashboard!M65</f>
        <v>0</v>
      </c>
      <c r="E38" s="490" t="s">
        <v>314</v>
      </c>
      <c r="F38" s="491" t="str">
        <f t="shared" si="1"/>
        <v>-</v>
      </c>
      <c r="G38" s="492" t="s">
        <v>314</v>
      </c>
      <c r="H38" s="349" t="str">
        <f t="shared" si="2"/>
        <v/>
      </c>
      <c r="I38" s="349" t="str">
        <f t="shared" si="3"/>
        <v/>
      </c>
      <c r="J38" s="493"/>
      <c r="K38" s="349" t="str">
        <f>IFERROR(__xludf.DUMMYFUNCTION("if(ISBLANK(A38),"""",if(B38=""Buy"",CONCAT(GOOGLEFINANCE(A38,""name""),"" {Symbol: ""&amp;A38&amp;""} High Alert!! Share Has Reached Its Target Buying Price,""),""""))"),"")</f>
        <v/>
      </c>
      <c r="L38" s="349" t="b">
        <f>IFERROR(__xludf.DUMMYFUNCTION("if(B38= ""Buy"",CONCAT(GOOGLEFINANCE(A38,""NAME""),"" share currently trading at Rs""&amp;C38&amp;"", Which is ""&amp;H38&amp;"" below the Target price of Rs""&amp;D38&amp;"".""))"),FALSE)</f>
        <v>0</v>
      </c>
    </row>
    <row r="39">
      <c r="A39" s="349" t="str">
        <f>Dashboard!B66</f>
        <v>NSE:INFY</v>
      </c>
      <c r="B39" s="349"/>
      <c r="C39" s="356">
        <f>Dashboard!G66</f>
        <v>1071.9</v>
      </c>
      <c r="D39" s="489">
        <f>Dashboard!M66</f>
        <v>1036.8</v>
      </c>
      <c r="E39" s="490" t="s">
        <v>314</v>
      </c>
      <c r="F39" s="491" t="str">
        <f t="shared" si="1"/>
        <v>-</v>
      </c>
      <c r="G39" s="492" t="s">
        <v>314</v>
      </c>
      <c r="H39" s="349" t="str">
        <f t="shared" si="2"/>
        <v/>
      </c>
      <c r="I39" s="349" t="str">
        <f t="shared" si="3"/>
        <v/>
      </c>
      <c r="J39" s="493"/>
      <c r="K39" s="349" t="str">
        <f>IFERROR(__xludf.DUMMYFUNCTION("if(ISBLANK(A39),"""",if(B39=""Buy"",CONCAT(GOOGLEFINANCE(A39,""name""),"" {Symbol: ""&amp;A39&amp;""} High Alert!! Share Has Reached Its Target Buying Price,""),""""))"),"")</f>
        <v/>
      </c>
      <c r="L39" s="349" t="b">
        <f>IFERROR(__xludf.DUMMYFUNCTION("if(B39= ""Buy"",CONCAT(GOOGLEFINANCE(A39,""NAME""),"" share currently trading at Rs""&amp;C39&amp;"", Which is ""&amp;H39&amp;"" below the Target price of Rs""&amp;D39&amp;"".""))"),FALSE)</f>
        <v>0</v>
      </c>
    </row>
    <row r="40">
      <c r="A40" s="349" t="str">
        <f>Dashboard!B67</f>
        <v>NSE:IPL</v>
      </c>
      <c r="B40" s="349"/>
      <c r="C40" s="356">
        <f>Dashboard!G67</f>
        <v>158.5</v>
      </c>
      <c r="D40" s="489">
        <f>Dashboard!M67</f>
        <v>61.46</v>
      </c>
      <c r="E40" s="490" t="s">
        <v>314</v>
      </c>
      <c r="F40" s="491" t="str">
        <f t="shared" si="1"/>
        <v>-</v>
      </c>
      <c r="G40" s="492" t="s">
        <v>314</v>
      </c>
      <c r="H40" s="349" t="str">
        <f t="shared" si="2"/>
        <v/>
      </c>
      <c r="I40" s="349" t="str">
        <f t="shared" si="3"/>
        <v/>
      </c>
      <c r="J40" s="493"/>
      <c r="K40" s="349" t="str">
        <f>IFERROR(__xludf.DUMMYFUNCTION("if(ISBLANK(A40),"""",if(B40=""Buy"",CONCAT(GOOGLEFINANCE(A40,""name""),"" {Symbol: ""&amp;A40&amp;""} High Alert!! Share Has Reached Its Target Buying Price,""),""""))"),"")</f>
        <v/>
      </c>
      <c r="L40" s="349" t="b">
        <f>IFERROR(__xludf.DUMMYFUNCTION("if(B40= ""Buy"",CONCAT(GOOGLEFINANCE(A40,""NAME""),"" share currently trading at Rs""&amp;C40&amp;"", Which is ""&amp;H40&amp;"" below the Target price of Rs""&amp;D40&amp;"".""))"),FALSE)</f>
        <v>0</v>
      </c>
    </row>
    <row r="41">
      <c r="A41" s="349" t="str">
        <f>Dashboard!B68</f>
        <v>NSE:IRCON</v>
      </c>
      <c r="B41" s="349"/>
      <c r="C41" s="356">
        <f>Dashboard!G68</f>
        <v>133.03</v>
      </c>
      <c r="D41" s="489">
        <f>Dashboard!M68</f>
        <v>70.0525</v>
      </c>
      <c r="E41" s="490" t="s">
        <v>314</v>
      </c>
      <c r="F41" s="491" t="str">
        <f t="shared" si="1"/>
        <v>-</v>
      </c>
      <c r="G41" s="492" t="s">
        <v>314</v>
      </c>
      <c r="H41" s="349" t="str">
        <f t="shared" si="2"/>
        <v/>
      </c>
      <c r="I41" s="349" t="str">
        <f t="shared" si="3"/>
        <v/>
      </c>
      <c r="J41" s="493"/>
      <c r="K41" s="349" t="str">
        <f>IFERROR(__xludf.DUMMYFUNCTION("if(ISBLANK(A41),"""",if(B41=""Buy"",CONCAT(GOOGLEFINANCE(A41,""name""),"" {Symbol: ""&amp;A41&amp;""} High Alert!! Share Has Reached Its Target Buying Price,""),""""))"),"")</f>
        <v/>
      </c>
      <c r="L41" s="349" t="b">
        <f>IFERROR(__xludf.DUMMYFUNCTION("if(B41= ""Buy"",CONCAT(GOOGLEFINANCE(A41,""NAME""),"" share currently trading at Rs""&amp;C41&amp;"", Which is ""&amp;H41&amp;"" below the Target price of Rs""&amp;D41&amp;"".""))"),FALSE)</f>
        <v>0</v>
      </c>
    </row>
    <row r="42">
      <c r="A42" s="349" t="str">
        <f>Dashboard!B69</f>
        <v>NSE:IRCTC</v>
      </c>
      <c r="B42" s="349"/>
      <c r="C42" s="356">
        <f>Dashboard!G69</f>
        <v>501.65</v>
      </c>
      <c r="D42" s="489">
        <f>Dashboard!M69</f>
        <v>439.23</v>
      </c>
      <c r="E42" s="490" t="s">
        <v>314</v>
      </c>
      <c r="F42" s="491" t="str">
        <f t="shared" si="1"/>
        <v>-</v>
      </c>
      <c r="G42" s="492" t="s">
        <v>314</v>
      </c>
      <c r="H42" s="349" t="str">
        <f t="shared" si="2"/>
        <v/>
      </c>
      <c r="I42" s="349" t="str">
        <f t="shared" si="3"/>
        <v/>
      </c>
      <c r="J42" s="493"/>
      <c r="K42" s="349" t="str">
        <f>IFERROR(__xludf.DUMMYFUNCTION("if(ISBLANK(A42),"""",if(B42=""Buy"",CONCAT(GOOGLEFINANCE(A42,""name""),"" {Symbol: ""&amp;A42&amp;""} High Alert!! Share Has Reached Its Target Buying Price,""),""""))"),"")</f>
        <v/>
      </c>
      <c r="L42" s="349" t="b">
        <f>IFERROR(__xludf.DUMMYFUNCTION("if(B42= ""Buy"",CONCAT(GOOGLEFINANCE(A42,""NAME""),"" share currently trading at Rs""&amp;C42&amp;"", Which is ""&amp;H42&amp;"" below the Target price of Rs""&amp;D42&amp;"".""))"),FALSE)</f>
        <v>0</v>
      </c>
    </row>
    <row r="43">
      <c r="A43" s="349" t="str">
        <f>Dashboard!B70</f>
        <v>NSE:IRFC</v>
      </c>
      <c r="B43" s="349"/>
      <c r="C43" s="356">
        <f>Dashboard!G70</f>
        <v>89.9</v>
      </c>
      <c r="D43" s="489">
        <f>Dashboard!M70</f>
        <v>56</v>
      </c>
      <c r="E43" s="490" t="s">
        <v>314</v>
      </c>
      <c r="F43" s="491" t="str">
        <f t="shared" si="1"/>
        <v>-</v>
      </c>
      <c r="G43" s="492" t="s">
        <v>314</v>
      </c>
      <c r="H43" s="349" t="str">
        <f t="shared" si="2"/>
        <v/>
      </c>
      <c r="I43" s="349" t="str">
        <f t="shared" si="3"/>
        <v/>
      </c>
      <c r="J43" s="493"/>
      <c r="K43" s="349" t="str">
        <f>IFERROR(__xludf.DUMMYFUNCTION("if(ISBLANK(A43),"""",if(B43=""Buy"",CONCAT(GOOGLEFINANCE(A43,""name""),"" {Symbol: ""&amp;A43&amp;""} High Alert!! Share Has Reached Its Target Buying Price,""),""""))"),"")</f>
        <v/>
      </c>
      <c r="L43" s="349" t="b">
        <f>IFERROR(__xludf.DUMMYFUNCTION("if(B43= ""Buy"",CONCAT(GOOGLEFINANCE(A43,""NAME""),"" share currently trading at Rs""&amp;C43&amp;"", Which is ""&amp;H43&amp;"" below the Target price of Rs""&amp;D43&amp;"".""))"),FALSE)</f>
        <v>0</v>
      </c>
    </row>
    <row r="44">
      <c r="A44" s="349" t="str">
        <f>Dashboard!B71</f>
        <v>NSE:ITC</v>
      </c>
      <c r="B44" s="349"/>
      <c r="C44" s="356">
        <f>Dashboard!G71</f>
        <v>288</v>
      </c>
      <c r="D44" s="489">
        <f>Dashboard!M71</f>
        <v>234.85</v>
      </c>
      <c r="E44" s="490" t="s">
        <v>314</v>
      </c>
      <c r="F44" s="491" t="str">
        <f t="shared" si="1"/>
        <v>-</v>
      </c>
      <c r="G44" s="492" t="s">
        <v>314</v>
      </c>
      <c r="H44" s="349" t="str">
        <f t="shared" si="2"/>
        <v/>
      </c>
      <c r="I44" s="349" t="str">
        <f t="shared" si="3"/>
        <v/>
      </c>
      <c r="J44" s="493"/>
      <c r="K44" s="349" t="str">
        <f>IFERROR(__xludf.DUMMYFUNCTION("if(ISBLANK(A44),"""",if(B44=""Buy"",CONCAT(GOOGLEFINANCE(A44,""name""),"" {Symbol: ""&amp;A44&amp;""} High Alert!! Share Has Reached Its Target Buying Price,""),""""))"),"")</f>
        <v/>
      </c>
      <c r="L44" s="349" t="b">
        <f>IFERROR(__xludf.DUMMYFUNCTION("if(B44= ""Buy"",CONCAT(GOOGLEFINANCE(A44,""NAME""),"" share currently trading at Rs""&amp;C44&amp;"", Which is ""&amp;H44&amp;"" below the Target price of Rs""&amp;D44&amp;"".""))"),FALSE)</f>
        <v>0</v>
      </c>
    </row>
    <row r="45">
      <c r="A45" s="349" t="str">
        <f>Dashboard!B72</f>
        <v>NSE:JIOFIN</v>
      </c>
      <c r="B45" s="349"/>
      <c r="C45" s="356">
        <f>Dashboard!G72</f>
        <v>243</v>
      </c>
      <c r="D45" s="489">
        <f>Dashboard!M72</f>
        <v>118.51</v>
      </c>
      <c r="E45" s="490" t="s">
        <v>314</v>
      </c>
      <c r="F45" s="491" t="str">
        <f t="shared" si="1"/>
        <v>-</v>
      </c>
      <c r="G45" s="492" t="s">
        <v>314</v>
      </c>
      <c r="H45" s="349" t="str">
        <f t="shared" si="2"/>
        <v/>
      </c>
      <c r="I45" s="349" t="str">
        <f t="shared" si="3"/>
        <v/>
      </c>
      <c r="J45" s="493"/>
      <c r="K45" s="349" t="str">
        <f>IFERROR(__xludf.DUMMYFUNCTION("if(ISBLANK(A45),"""",if(B45=""Buy"",CONCAT(GOOGLEFINANCE(A45,""name""),"" {Symbol: ""&amp;A45&amp;""} High Alert!! Share Has Reached Its Target Buying Price,""),""""))"),"")</f>
        <v/>
      </c>
      <c r="L45" s="349" t="b">
        <f>IFERROR(__xludf.DUMMYFUNCTION("if(B45= ""Buy"",CONCAT(GOOGLEFINANCE(A45,""NAME""),"" share currently trading at Rs""&amp;C45&amp;"", Which is ""&amp;H45&amp;"" below the Target price of Rs""&amp;D45&amp;"".""))"),FALSE)</f>
        <v>0</v>
      </c>
    </row>
    <row r="46">
      <c r="A46" s="349" t="str">
        <f>Dashboard!B73</f>
        <v>NSE:JUBLFOOD</v>
      </c>
      <c r="B46" s="349"/>
      <c r="C46" s="356">
        <f>Dashboard!G73</f>
        <v>455.7</v>
      </c>
      <c r="D46" s="489">
        <f>Dashboard!M73</f>
        <v>464.555</v>
      </c>
      <c r="E46" s="490" t="s">
        <v>314</v>
      </c>
      <c r="F46" s="491">
        <f t="shared" si="1"/>
        <v>0.01906125217</v>
      </c>
      <c r="G46" s="492" t="s">
        <v>314</v>
      </c>
      <c r="H46" s="349" t="str">
        <f t="shared" si="2"/>
        <v> (1.90612521660515% Down).</v>
      </c>
      <c r="I46" s="349" t="str">
        <f t="shared" si="3"/>
        <v/>
      </c>
      <c r="J46" s="493"/>
      <c r="K46" s="349" t="str">
        <f>IFERROR(__xludf.DUMMYFUNCTION("if(ISBLANK(A46),"""",if(B46=""Buy"",CONCAT(GOOGLEFINANCE(A46,""name""),"" {Symbol: ""&amp;A46&amp;""} High Alert!! Share Has Reached Its Target Buying Price,""),""""))"),"")</f>
        <v/>
      </c>
      <c r="L46" s="349" t="b">
        <f>IFERROR(__xludf.DUMMYFUNCTION("if(B46= ""Buy"",CONCAT(GOOGLEFINANCE(A46,""NAME""),"" share currently trading at Rs""&amp;C46&amp;"", Which is ""&amp;H46&amp;"" below the Target price of Rs""&amp;D46&amp;"".""))"),FALSE)</f>
        <v>0</v>
      </c>
    </row>
    <row r="47">
      <c r="A47" s="349" t="str">
        <f>Dashboard!B74</f>
        <v>NSE:LATENTVIEW</v>
      </c>
      <c r="B47" s="349"/>
      <c r="C47" s="356">
        <f>Dashboard!G74</f>
        <v>301.8</v>
      </c>
      <c r="D47" s="489">
        <f>Dashboard!M74</f>
        <v>284.625</v>
      </c>
      <c r="E47" s="490" t="s">
        <v>314</v>
      </c>
      <c r="F47" s="491" t="str">
        <f t="shared" si="1"/>
        <v>-</v>
      </c>
      <c r="G47" s="492" t="s">
        <v>314</v>
      </c>
      <c r="H47" s="349" t="str">
        <f t="shared" si="2"/>
        <v/>
      </c>
      <c r="I47" s="349" t="str">
        <f t="shared" si="3"/>
        <v/>
      </c>
      <c r="J47" s="493"/>
      <c r="K47" s="349" t="str">
        <f>IFERROR(__xludf.DUMMYFUNCTION("if(ISBLANK(A47),"""",if(B47=""Buy"",CONCAT(GOOGLEFINANCE(A47,""name""),"" {Symbol: ""&amp;A47&amp;""} High Alert!! Share Has Reached Its Target Buying Price,""),""""))"),"")</f>
        <v/>
      </c>
      <c r="L47" s="349" t="b">
        <f>IFERROR(__xludf.DUMMYFUNCTION("if(B47= ""Buy"",CONCAT(GOOGLEFINANCE(A47,""NAME""),"" share currently trading at Rs""&amp;C47&amp;"", Which is ""&amp;H47&amp;"" below the Target price of Rs""&amp;D47&amp;"".""))"),FALSE)</f>
        <v>0</v>
      </c>
    </row>
    <row r="48">
      <c r="A48" s="349" t="str">
        <f>Dashboard!B75</f>
        <v>NSE:LICI</v>
      </c>
      <c r="B48" s="349"/>
      <c r="C48" s="356">
        <f>Dashboard!G75</f>
        <v>435.5</v>
      </c>
      <c r="D48" s="489">
        <f>Dashboard!M75</f>
        <v>262.075</v>
      </c>
      <c r="E48" s="490" t="s">
        <v>314</v>
      </c>
      <c r="F48" s="491" t="str">
        <f t="shared" si="1"/>
        <v>-</v>
      </c>
      <c r="G48" s="492" t="s">
        <v>314</v>
      </c>
      <c r="H48" s="349" t="str">
        <f t="shared" si="2"/>
        <v/>
      </c>
      <c r="I48" s="349" t="str">
        <f t="shared" si="3"/>
        <v/>
      </c>
      <c r="J48" s="493"/>
      <c r="K48" s="349" t="str">
        <f>IFERROR(__xludf.DUMMYFUNCTION("if(ISBLANK(A48),"""",if(B48=""Buy"",CONCAT(GOOGLEFINANCE(A48,""name""),"" {Symbol: ""&amp;A48&amp;""} High Alert!! Share Has Reached Its Target Buying Price,""),""""))"),"")</f>
        <v/>
      </c>
      <c r="L48" s="349" t="b">
        <f>IFERROR(__xludf.DUMMYFUNCTION("if(B48= ""Buy"",CONCAT(GOOGLEFINANCE(A48,""NAME""),"" share currently trading at Rs""&amp;C48&amp;"", Which is ""&amp;H48&amp;"" below the Target price of Rs""&amp;D48&amp;"".""))"),FALSE)</f>
        <v>0</v>
      </c>
    </row>
    <row r="49">
      <c r="A49" s="349" t="str">
        <f>Dashboard!B76</f>
        <v>NSE:LTIM</v>
      </c>
      <c r="B49" s="349"/>
      <c r="C49" s="356" t="str">
        <f>Dashboard!G76</f>
        <v>#N/A</v>
      </c>
      <c r="D49" s="489" t="str">
        <f>Dashboard!M76</f>
        <v>#N/A</v>
      </c>
      <c r="E49" s="490" t="s">
        <v>314</v>
      </c>
      <c r="F49" s="491" t="str">
        <f t="shared" si="1"/>
        <v>#N/A</v>
      </c>
      <c r="G49" s="492" t="s">
        <v>314</v>
      </c>
      <c r="H49" s="349" t="str">
        <f t="shared" si="2"/>
        <v>#N/A</v>
      </c>
      <c r="I49" s="349" t="str">
        <f t="shared" si="3"/>
        <v/>
      </c>
      <c r="J49" s="493"/>
      <c r="K49" s="349" t="str">
        <f>IFERROR(__xludf.DUMMYFUNCTION("if(ISBLANK(A49),"""",if(B49=""Buy"",CONCAT(GOOGLEFINANCE(A49,""name""),"" {Symbol: ""&amp;A49&amp;""} High Alert!! Share Has Reached Its Target Buying Price,""),""""))"),"")</f>
        <v/>
      </c>
      <c r="L49" s="349" t="b">
        <f>IFERROR(__xludf.DUMMYFUNCTION("if(B49= ""Buy"",CONCAT(GOOGLEFINANCE(A49,""NAME""),"" share currently trading at Rs""&amp;C49&amp;"", Which is ""&amp;H49&amp;"" below the Target price of Rs""&amp;D49&amp;"".""))"),FALSE)</f>
        <v>0</v>
      </c>
    </row>
    <row r="50">
      <c r="A50" s="349" t="str">
        <f>Dashboard!B77</f>
        <v>NSE:LTTS</v>
      </c>
      <c r="B50" s="349"/>
      <c r="C50" s="356">
        <f>Dashboard!G77</f>
        <v>3238</v>
      </c>
      <c r="D50" s="489">
        <f>Dashboard!M77</f>
        <v>3071.9</v>
      </c>
      <c r="E50" s="490" t="s">
        <v>314</v>
      </c>
      <c r="F50" s="491" t="str">
        <f t="shared" si="1"/>
        <v>-</v>
      </c>
      <c r="G50" s="492" t="s">
        <v>314</v>
      </c>
      <c r="H50" s="349" t="str">
        <f t="shared" si="2"/>
        <v/>
      </c>
      <c r="I50" s="349" t="str">
        <f t="shared" si="3"/>
        <v/>
      </c>
      <c r="J50" s="493"/>
      <c r="K50" s="349" t="str">
        <f>IFERROR(__xludf.DUMMYFUNCTION("if(ISBLANK(A50),"""",if(B50=""Buy"",CONCAT(GOOGLEFINANCE(A50,""name""),"" {Symbol: ""&amp;A50&amp;""} High Alert!! Share Has Reached Its Target Buying Price,""),""""))"),"")</f>
        <v/>
      </c>
      <c r="L50" s="349" t="b">
        <f>IFERROR(__xludf.DUMMYFUNCTION("if(B50= ""Buy"",CONCAT(GOOGLEFINANCE(A50,""NAME""),"" share currently trading at Rs""&amp;C50&amp;"", Which is ""&amp;H50&amp;"" below the Target price of Rs""&amp;D50&amp;"".""))"),FALSE)</f>
        <v>0</v>
      </c>
    </row>
    <row r="51">
      <c r="A51" s="349" t="str">
        <f>Dashboard!B78</f>
        <v>NSE:MARUTI</v>
      </c>
      <c r="B51" s="349"/>
      <c r="C51" s="356">
        <f>Dashboard!G78</f>
        <v>14528</v>
      </c>
      <c r="D51" s="489">
        <f>Dashboard!M78</f>
        <v>5000</v>
      </c>
      <c r="E51" s="490" t="s">
        <v>314</v>
      </c>
      <c r="F51" s="491" t="str">
        <f t="shared" si="1"/>
        <v>-</v>
      </c>
      <c r="G51" s="492" t="s">
        <v>314</v>
      </c>
      <c r="H51" s="349" t="str">
        <f t="shared" si="2"/>
        <v/>
      </c>
      <c r="I51" s="349" t="str">
        <f t="shared" si="3"/>
        <v/>
      </c>
      <c r="J51" s="493"/>
      <c r="K51" s="349" t="str">
        <f>IFERROR(__xludf.DUMMYFUNCTION("if(ISBLANK(A51),"""",if(B51=""Buy"",CONCAT(GOOGLEFINANCE(A51,""name""),"" {Symbol: ""&amp;A51&amp;""} High Alert!! Share Has Reached Its Target Buying Price,""),""""))"),"")</f>
        <v/>
      </c>
      <c r="L51" s="349" t="b">
        <f>IFERROR(__xludf.DUMMYFUNCTION("if(B51= ""Buy"",CONCAT(GOOGLEFINANCE(A51,""NAME""),"" share currently trading at Rs""&amp;C51&amp;"", Which is ""&amp;H51&amp;"" below the Target price of Rs""&amp;D51&amp;"".""))"),FALSE)</f>
        <v>0</v>
      </c>
    </row>
    <row r="52">
      <c r="A52" s="349" t="str">
        <f>Dashboard!B79</f>
        <v>NSE:MOLDTKPAC</v>
      </c>
      <c r="B52" s="349"/>
      <c r="C52" s="356">
        <f>Dashboard!G79</f>
        <v>694.65</v>
      </c>
      <c r="D52" s="489">
        <f>Dashboard!M79</f>
        <v>312.515</v>
      </c>
      <c r="E52" s="490" t="s">
        <v>314</v>
      </c>
      <c r="F52" s="491" t="str">
        <f t="shared" si="1"/>
        <v>-</v>
      </c>
      <c r="G52" s="492" t="s">
        <v>314</v>
      </c>
      <c r="H52" s="349" t="str">
        <f t="shared" si="2"/>
        <v/>
      </c>
      <c r="I52" s="349" t="str">
        <f t="shared" si="3"/>
        <v/>
      </c>
      <c r="J52" s="493"/>
      <c r="K52" s="349" t="str">
        <f>IFERROR(__xludf.DUMMYFUNCTION("if(ISBLANK(A52),"""",if(B52=""Buy"",CONCAT(GOOGLEFINANCE(A52,""name""),"" {Symbol: ""&amp;A52&amp;""} High Alert!! Share Has Reached Its Target Buying Price,""),""""))"),"")</f>
        <v/>
      </c>
      <c r="L52" s="349" t="b">
        <f>IFERROR(__xludf.DUMMYFUNCTION("if(B52= ""Buy"",CONCAT(GOOGLEFINANCE(A52,""NAME""),"" share currently trading at Rs""&amp;C52&amp;"", Which is ""&amp;H52&amp;"" below the Target price of Rs""&amp;D52&amp;"".""))"),FALSE)</f>
        <v>0</v>
      </c>
    </row>
    <row r="53">
      <c r="A53" s="349" t="str">
        <f>Dashboard!B80</f>
        <v>NSE:MOTHERSON</v>
      </c>
      <c r="B53" s="349"/>
      <c r="C53" s="356">
        <f>Dashboard!G80</f>
        <v>143</v>
      </c>
      <c r="D53" s="489">
        <f>Dashboard!M80</f>
        <v>69.8625</v>
      </c>
      <c r="E53" s="490" t="s">
        <v>314</v>
      </c>
      <c r="F53" s="491" t="str">
        <f t="shared" si="1"/>
        <v>-</v>
      </c>
      <c r="G53" s="492" t="s">
        <v>314</v>
      </c>
      <c r="H53" s="349" t="str">
        <f t="shared" si="2"/>
        <v/>
      </c>
      <c r="I53" s="349" t="str">
        <f t="shared" si="3"/>
        <v/>
      </c>
      <c r="J53" s="493"/>
      <c r="K53" s="349" t="str">
        <f>IFERROR(__xludf.DUMMYFUNCTION("if(ISBLANK(A53),"""",if(B53=""Buy"",CONCAT(GOOGLEFINANCE(A53,""name""),"" {Symbol: ""&amp;A53&amp;""} High Alert!! Share Has Reached Its Target Buying Price,""),""""))"),"")</f>
        <v/>
      </c>
      <c r="L53" s="349" t="b">
        <f>IFERROR(__xludf.DUMMYFUNCTION("if(B53= ""Buy"",CONCAT(GOOGLEFINANCE(A53,""NAME""),"" share currently trading at Rs""&amp;C53&amp;"", Which is ""&amp;H53&amp;"" below the Target price of Rs""&amp;D53&amp;"".""))"),FALSE)</f>
        <v>0</v>
      </c>
    </row>
    <row r="54">
      <c r="A54" s="349" t="str">
        <f>Dashboard!B81</f>
        <v>NSE:MTARTECH</v>
      </c>
      <c r="B54" s="349"/>
      <c r="C54" s="356">
        <f>Dashboard!G81</f>
        <v>7000</v>
      </c>
      <c r="D54" s="489">
        <f>Dashboard!M81</f>
        <v>4792.7</v>
      </c>
      <c r="E54" s="490" t="s">
        <v>314</v>
      </c>
      <c r="F54" s="491" t="str">
        <f t="shared" si="1"/>
        <v>-</v>
      </c>
      <c r="G54" s="492" t="s">
        <v>314</v>
      </c>
      <c r="H54" s="349" t="str">
        <f t="shared" si="2"/>
        <v/>
      </c>
      <c r="I54" s="349" t="str">
        <f t="shared" si="3"/>
        <v/>
      </c>
      <c r="J54" s="493"/>
      <c r="K54" s="349" t="str">
        <f>IFERROR(__xludf.DUMMYFUNCTION("if(ISBLANK(A54),"""",if(B54=""Buy"",CONCAT(GOOGLEFINANCE(A54,""name""),"" {Symbol: ""&amp;A54&amp;""} High Alert!! Share Has Reached Its Target Buying Price,""),""""))"),"")</f>
        <v/>
      </c>
      <c r="L54" s="349" t="b">
        <f>IFERROR(__xludf.DUMMYFUNCTION("if(B54= ""Buy"",CONCAT(GOOGLEFINANCE(A54,""NAME""),"" share currently trading at Rs""&amp;C54&amp;"", Which is ""&amp;H54&amp;"" below the Target price of Rs""&amp;D54&amp;"".""))"),FALSE)</f>
        <v>0</v>
      </c>
    </row>
    <row r="55">
      <c r="A55" s="349" t="str">
        <f>Dashboard!B82</f>
        <v>NSE:MUTHOOTFIN</v>
      </c>
      <c r="B55" s="349"/>
      <c r="C55" s="356">
        <f>Dashboard!G82</f>
        <v>3116</v>
      </c>
      <c r="D55" s="489">
        <f>Dashboard!M82</f>
        <v>3319.6</v>
      </c>
      <c r="E55" s="490" t="s">
        <v>314</v>
      </c>
      <c r="F55" s="491">
        <f t="shared" si="1"/>
        <v>0.06133269069</v>
      </c>
      <c r="G55" s="492" t="s">
        <v>314</v>
      </c>
      <c r="H55" s="349" t="str">
        <f t="shared" si="2"/>
        <v> (6.13326906856248% Down).</v>
      </c>
      <c r="I55" s="349" t="str">
        <f t="shared" si="3"/>
        <v/>
      </c>
      <c r="J55" s="493"/>
      <c r="K55" s="349" t="str">
        <f>IFERROR(__xludf.DUMMYFUNCTION("if(ISBLANK(A55),"""",if(B55=""Buy"",CONCAT(GOOGLEFINANCE(A55,""name""),"" {Symbol: ""&amp;A55&amp;""} High Alert!! Share Has Reached Its Target Buying Price,""),""""))"),"")</f>
        <v/>
      </c>
      <c r="L55" s="349" t="b">
        <f>IFERROR(__xludf.DUMMYFUNCTION("if(B55= ""Buy"",CONCAT(GOOGLEFINANCE(A55,""NAME""),"" share currently trading at Rs""&amp;C55&amp;"", Which is ""&amp;H55&amp;"" below the Target price of Rs""&amp;D55&amp;"".""))"),FALSE)</f>
        <v>0</v>
      </c>
    </row>
    <row r="56">
      <c r="A56" s="349" t="str">
        <f>Dashboard!B83</f>
        <v>NSE:NAZARA</v>
      </c>
      <c r="B56" s="349"/>
      <c r="C56" s="356">
        <f>Dashboard!G83</f>
        <v>301.9</v>
      </c>
      <c r="D56" s="489">
        <f>Dashboard!M83</f>
        <v>254.275</v>
      </c>
      <c r="E56" s="490" t="s">
        <v>314</v>
      </c>
      <c r="F56" s="491" t="str">
        <f t="shared" si="1"/>
        <v>-</v>
      </c>
      <c r="G56" s="492" t="s">
        <v>314</v>
      </c>
      <c r="H56" s="349" t="str">
        <f t="shared" si="2"/>
        <v/>
      </c>
      <c r="I56" s="349" t="str">
        <f t="shared" si="3"/>
        <v/>
      </c>
      <c r="J56" s="493"/>
      <c r="K56" s="349" t="str">
        <f>IFERROR(__xludf.DUMMYFUNCTION("if(ISBLANK(A56),"""",if(B56=""Buy"",CONCAT(GOOGLEFINANCE(A56,""name""),"" {Symbol: ""&amp;A56&amp;""} High Alert!! Share Has Reached Its Target Buying Price,""),""""))"),"")</f>
        <v/>
      </c>
      <c r="L56" s="349" t="b">
        <f>IFERROR(__xludf.DUMMYFUNCTION("if(B56= ""Buy"",CONCAT(GOOGLEFINANCE(A56,""NAME""),"" share currently trading at Rs""&amp;C56&amp;"", Which is ""&amp;H56&amp;"" below the Target price of Rs""&amp;D56&amp;"".""))"),FALSE)</f>
        <v>0</v>
      </c>
    </row>
    <row r="57">
      <c r="A57" s="349" t="str">
        <f>Dashboard!B84</f>
        <v>NSE:NESTLEIND</v>
      </c>
      <c r="B57" s="349"/>
      <c r="C57" s="356">
        <f>Dashboard!G84</f>
        <v>1466.9</v>
      </c>
      <c r="D57" s="489">
        <f>Dashboard!M84</f>
        <v>1048.67</v>
      </c>
      <c r="E57" s="490" t="s">
        <v>314</v>
      </c>
      <c r="F57" s="491" t="str">
        <f t="shared" si="1"/>
        <v>-</v>
      </c>
      <c r="G57" s="492" t="s">
        <v>314</v>
      </c>
      <c r="H57" s="349" t="str">
        <f t="shared" si="2"/>
        <v/>
      </c>
      <c r="I57" s="349" t="str">
        <f t="shared" si="3"/>
        <v/>
      </c>
      <c r="J57" s="493"/>
      <c r="K57" s="349" t="str">
        <f>IFERROR(__xludf.DUMMYFUNCTION("if(ISBLANK(A57),"""",if(B57=""Buy"",CONCAT(GOOGLEFINANCE(A57,""name""),"" {Symbol: ""&amp;A57&amp;""} High Alert!! Share Has Reached Its Target Buying Price,""),""""))"),"")</f>
        <v/>
      </c>
      <c r="L57" s="349" t="b">
        <f>IFERROR(__xludf.DUMMYFUNCTION("if(B57= ""Buy"",CONCAT(GOOGLEFINANCE(A57,""NAME""),"" share currently trading at Rs""&amp;C57&amp;"", Which is ""&amp;H57&amp;"" below the Target price of Rs""&amp;D57&amp;"".""))"),FALSE)</f>
        <v>0</v>
      </c>
    </row>
    <row r="58">
      <c r="A58" s="349" t="str">
        <f>Dashboard!B85</f>
        <v>NSE:PARADEEP</v>
      </c>
      <c r="B58" s="349"/>
      <c r="C58" s="356">
        <f>Dashboard!G85</f>
        <v>139.3</v>
      </c>
      <c r="D58" s="489">
        <f>Dashboard!M85</f>
        <v>140.634</v>
      </c>
      <c r="E58" s="490" t="s">
        <v>314</v>
      </c>
      <c r="F58" s="491">
        <f t="shared" si="1"/>
        <v>0.009485615143</v>
      </c>
      <c r="G58" s="492" t="s">
        <v>314</v>
      </c>
      <c r="H58" s="349" t="str">
        <f t="shared" si="2"/>
        <v> (0.94856151428529% Down).</v>
      </c>
      <c r="I58" s="349" t="str">
        <f t="shared" si="3"/>
        <v/>
      </c>
      <c r="J58" s="493"/>
      <c r="K58" s="349" t="str">
        <f>IFERROR(__xludf.DUMMYFUNCTION("if(ISBLANK(A58),"""",if(B58=""Buy"",CONCAT(GOOGLEFINANCE(A58,""name""),"" {Symbol: ""&amp;A58&amp;""} High Alert!! Share Has Reached Its Target Buying Price,""),""""))"),"")</f>
        <v/>
      </c>
      <c r="L58" s="349" t="b">
        <f>IFERROR(__xludf.DUMMYFUNCTION("if(B58= ""Buy"",CONCAT(GOOGLEFINANCE(A58,""NAME""),"" share currently trading at Rs""&amp;C58&amp;"", Which is ""&amp;H58&amp;"" below the Target price of Rs""&amp;D58&amp;"".""))"),FALSE)</f>
        <v>0</v>
      </c>
    </row>
    <row r="59">
      <c r="A59" s="349" t="str">
        <f>Dashboard!B86</f>
        <v>NSE:PARAS</v>
      </c>
      <c r="B59" s="349"/>
      <c r="C59" s="356">
        <f>Dashboard!G86</f>
        <v>1292</v>
      </c>
      <c r="D59" s="489">
        <f>Dashboard!M86</f>
        <v>721.5</v>
      </c>
      <c r="E59" s="490" t="s">
        <v>314</v>
      </c>
      <c r="F59" s="491" t="str">
        <f t="shared" si="1"/>
        <v>-</v>
      </c>
      <c r="G59" s="492" t="s">
        <v>314</v>
      </c>
      <c r="H59" s="349" t="str">
        <f t="shared" si="2"/>
        <v/>
      </c>
      <c r="I59" s="349" t="str">
        <f t="shared" si="3"/>
        <v/>
      </c>
      <c r="J59" s="493"/>
      <c r="K59" s="349" t="str">
        <f>IFERROR(__xludf.DUMMYFUNCTION("if(ISBLANK(A59),"""",if(B59=""Buy"",CONCAT(GOOGLEFINANCE(A59,""name""),"" {Symbol: ""&amp;A59&amp;""} High Alert!! Share Has Reached Its Target Buying Price,""),""""))"),"")</f>
        <v/>
      </c>
      <c r="L59" s="349" t="b">
        <f>IFERROR(__xludf.DUMMYFUNCTION("if(B59= ""Buy"",CONCAT(GOOGLEFINANCE(A59,""NAME""),"" share currently trading at Rs""&amp;C59&amp;"", Which is ""&amp;H59&amp;"" below the Target price of Rs""&amp;D59&amp;"".""))"),FALSE)</f>
        <v>0</v>
      </c>
    </row>
    <row r="60">
      <c r="A60" s="349" t="str">
        <f>Dashboard!B87</f>
        <v>NSE:PGHH</v>
      </c>
      <c r="B60" s="349"/>
      <c r="C60" s="356">
        <f>Dashboard!G87</f>
        <v>9024</v>
      </c>
      <c r="D60" s="489">
        <f>Dashboard!M87</f>
        <v>9451</v>
      </c>
      <c r="E60" s="490" t="s">
        <v>314</v>
      </c>
      <c r="F60" s="491">
        <f t="shared" si="1"/>
        <v>0.04518040419</v>
      </c>
      <c r="G60" s="492" t="s">
        <v>314</v>
      </c>
      <c r="H60" s="349" t="str">
        <f t="shared" si="2"/>
        <v> (4.51804041900328% Down).</v>
      </c>
      <c r="I60" s="349" t="str">
        <f t="shared" si="3"/>
        <v/>
      </c>
      <c r="J60" s="493"/>
      <c r="K60" s="349" t="str">
        <f>IFERROR(__xludf.DUMMYFUNCTION("if(ISBLANK(A60),"""",if(B60=""Buy"",CONCAT(GOOGLEFINANCE(A60,""name""),"" {Symbol: ""&amp;A60&amp;""} High Alert!! Share Has Reached Its Target Buying Price,""),""""))"),"")</f>
        <v/>
      </c>
      <c r="L60" s="349" t="b">
        <f>IFERROR(__xludf.DUMMYFUNCTION("if(B60= ""Buy"",CONCAT(GOOGLEFINANCE(A60,""NAME""),"" share currently trading at Rs""&amp;C60&amp;"", Which is ""&amp;H60&amp;"" below the Target price of Rs""&amp;D60&amp;"".""))"),FALSE)</f>
        <v>0</v>
      </c>
    </row>
    <row r="61">
      <c r="A61" s="349" t="str">
        <f>Dashboard!B88</f>
        <v>NSE:PIDILITIND</v>
      </c>
      <c r="B61" s="349"/>
      <c r="C61" s="356">
        <f>Dashboard!G88</f>
        <v>1618.8</v>
      </c>
      <c r="D61" s="489">
        <f>Dashboard!M88</f>
        <v>1220.025</v>
      </c>
      <c r="E61" s="490" t="s">
        <v>314</v>
      </c>
      <c r="F61" s="491" t="str">
        <f t="shared" si="1"/>
        <v>-</v>
      </c>
      <c r="G61" s="492" t="s">
        <v>314</v>
      </c>
      <c r="H61" s="349" t="str">
        <f t="shared" si="2"/>
        <v/>
      </c>
      <c r="I61" s="349" t="str">
        <f t="shared" si="3"/>
        <v/>
      </c>
      <c r="J61" s="493"/>
      <c r="K61" s="349" t="str">
        <f>IFERROR(__xludf.DUMMYFUNCTION("if(ISBLANK(A61),"""",if(B61=""Buy"",CONCAT(GOOGLEFINANCE(A61,""name""),"" {Symbol: ""&amp;A61&amp;""} High Alert!! Share Has Reached Its Target Buying Price,""),""""))"),"")</f>
        <v/>
      </c>
      <c r="L61" s="349" t="b">
        <f>IFERROR(__xludf.DUMMYFUNCTION("if(B61= ""Buy"",CONCAT(GOOGLEFINANCE(A61,""NAME""),"" share currently trading at Rs""&amp;C61&amp;"", Which is ""&amp;H61&amp;"" below the Target price of Rs""&amp;D61&amp;"".""))"),FALSE)</f>
        <v>0</v>
      </c>
    </row>
    <row r="62">
      <c r="A62" s="349" t="str">
        <f>Dashboard!B89</f>
        <v>NSE:PIIND</v>
      </c>
      <c r="B62" s="349"/>
      <c r="C62" s="356">
        <f>Dashboard!G89</f>
        <v>2648</v>
      </c>
      <c r="D62" s="489">
        <f>Dashboard!M89</f>
        <v>2381.5</v>
      </c>
      <c r="E62" s="490" t="s">
        <v>314</v>
      </c>
      <c r="F62" s="491" t="str">
        <f t="shared" si="1"/>
        <v>-</v>
      </c>
      <c r="G62" s="492" t="s">
        <v>314</v>
      </c>
      <c r="H62" s="349" t="str">
        <f t="shared" si="2"/>
        <v/>
      </c>
      <c r="I62" s="349" t="str">
        <f t="shared" si="3"/>
        <v/>
      </c>
      <c r="J62" s="493"/>
      <c r="K62" s="349" t="str">
        <f>IFERROR(__xludf.DUMMYFUNCTION("if(ISBLANK(A62),"""",if(B62=""Buy"",CONCAT(GOOGLEFINANCE(A62,""name""),"" {Symbol: ""&amp;A62&amp;""} High Alert!! Share Has Reached Its Target Buying Price,""),""""))"),"")</f>
        <v/>
      </c>
      <c r="L62" s="349" t="b">
        <f>IFERROR(__xludf.DUMMYFUNCTION("if(B62= ""Buy"",CONCAT(GOOGLEFINANCE(A62,""NAME""),"" share currently trading at Rs""&amp;C62&amp;"", Which is ""&amp;H62&amp;"" below the Target price of Rs""&amp;D62&amp;"".""))"),FALSE)</f>
        <v>0</v>
      </c>
    </row>
    <row r="63">
      <c r="A63" s="349" t="str">
        <f>Dashboard!B90</f>
        <v>NSE:POLYCAB</v>
      </c>
      <c r="B63" s="349"/>
      <c r="C63" s="356">
        <f>Dashboard!G90</f>
        <v>9364</v>
      </c>
      <c r="D63" s="489">
        <f>Dashboard!M90</f>
        <v>6075.6</v>
      </c>
      <c r="E63" s="490" t="s">
        <v>314</v>
      </c>
      <c r="F63" s="491" t="str">
        <f t="shared" si="1"/>
        <v>-</v>
      </c>
      <c r="G63" s="492" t="s">
        <v>314</v>
      </c>
      <c r="H63" s="349" t="str">
        <f t="shared" si="2"/>
        <v/>
      </c>
      <c r="I63" s="349" t="str">
        <f t="shared" si="3"/>
        <v/>
      </c>
      <c r="J63" s="493"/>
      <c r="K63" s="349" t="str">
        <f>IFERROR(__xludf.DUMMYFUNCTION("if(ISBLANK(A63),"""",if(B63=""Buy"",CONCAT(GOOGLEFINANCE(A63,""name""),"" {Symbol: ""&amp;A63&amp;""} High Alert!! Share Has Reached Its Target Buying Price,""),""""))"),"")</f>
        <v/>
      </c>
      <c r="L63" s="349" t="b">
        <f>IFERROR(__xludf.DUMMYFUNCTION("if(B63= ""Buy"",CONCAT(GOOGLEFINANCE(A63,""NAME""),"" share currently trading at Rs""&amp;C63&amp;"", Which is ""&amp;H63&amp;"" below the Target price of Rs""&amp;D63&amp;"".""))"),FALSE)</f>
        <v>0</v>
      </c>
    </row>
    <row r="64">
      <c r="A64" s="349" t="str">
        <f>Dashboard!B91</f>
        <v>NSE:PRINCEPIPE</v>
      </c>
      <c r="B64" s="349"/>
      <c r="C64" s="356">
        <f>Dashboard!G91</f>
        <v>269.9</v>
      </c>
      <c r="D64" s="489">
        <f>Dashboard!M91</f>
        <v>56.43</v>
      </c>
      <c r="E64" s="490" t="s">
        <v>314</v>
      </c>
      <c r="F64" s="491" t="str">
        <f t="shared" si="1"/>
        <v>-</v>
      </c>
      <c r="G64" s="492" t="s">
        <v>314</v>
      </c>
      <c r="H64" s="349" t="str">
        <f t="shared" si="2"/>
        <v/>
      </c>
      <c r="I64" s="349" t="str">
        <f t="shared" si="3"/>
        <v/>
      </c>
      <c r="J64" s="493"/>
      <c r="K64" s="349" t="str">
        <f>IFERROR(__xludf.DUMMYFUNCTION("if(ISBLANK(A64),"""",if(B64=""Buy"",CONCAT(GOOGLEFINANCE(A64,""name""),"" {Symbol: ""&amp;A64&amp;""} High Alert!! Share Has Reached Its Target Buying Price,""),""""))"),"")</f>
        <v/>
      </c>
      <c r="L64" s="349" t="b">
        <f>IFERROR(__xludf.DUMMYFUNCTION("if(B64= ""Buy"",CONCAT(GOOGLEFINANCE(A64,""NAME""),"" share currently trading at Rs""&amp;C64&amp;"", Which is ""&amp;H64&amp;"" below the Target price of Rs""&amp;D64&amp;"".""))"),FALSE)</f>
        <v>0</v>
      </c>
    </row>
    <row r="65">
      <c r="A65" s="349" t="str">
        <f>Dashboard!B92</f>
        <v>NSE:RAILTEL</v>
      </c>
      <c r="B65" s="349"/>
      <c r="C65" s="356">
        <f>Dashboard!G92</f>
        <v>311.3</v>
      </c>
      <c r="D65" s="489">
        <f>Dashboard!M92</f>
        <v>191.7</v>
      </c>
      <c r="E65" s="490" t="s">
        <v>314</v>
      </c>
      <c r="F65" s="491" t="str">
        <f t="shared" si="1"/>
        <v>-</v>
      </c>
      <c r="G65" s="492" t="s">
        <v>314</v>
      </c>
      <c r="H65" s="349" t="str">
        <f t="shared" si="2"/>
        <v/>
      </c>
      <c r="I65" s="349" t="str">
        <f t="shared" si="3"/>
        <v/>
      </c>
      <c r="J65" s="493"/>
      <c r="K65" s="349" t="str">
        <f>IFERROR(__xludf.DUMMYFUNCTION("if(ISBLANK(A65),"""",if(B65=""Buy"",CONCAT(GOOGLEFINANCE(A65,""name""),"" {Symbol: ""&amp;A65&amp;""} High Alert!! Share Has Reached Its Target Buying Price,""),""""))"),"")</f>
        <v/>
      </c>
      <c r="L65" s="349" t="b">
        <f>IFERROR(__xludf.DUMMYFUNCTION("if(B65= ""Buy"",CONCAT(GOOGLEFINANCE(A65,""NAME""),"" share currently trading at Rs""&amp;C65&amp;"", Which is ""&amp;H65&amp;"" below the Target price of Rs""&amp;D65&amp;"".""))"),FALSE)</f>
        <v>0</v>
      </c>
    </row>
    <row r="66">
      <c r="A66" s="349" t="str">
        <f>Dashboard!B93</f>
        <v>NSE:RELAXO</v>
      </c>
      <c r="B66" s="349"/>
      <c r="C66" s="356">
        <f>Dashboard!G93</f>
        <v>391.5</v>
      </c>
      <c r="D66" s="489">
        <f>Dashboard!M93</f>
        <v>184.1</v>
      </c>
      <c r="E66" s="490" t="s">
        <v>314</v>
      </c>
      <c r="F66" s="491" t="str">
        <f t="shared" si="1"/>
        <v>-</v>
      </c>
      <c r="G66" s="492" t="s">
        <v>314</v>
      </c>
      <c r="H66" s="349" t="str">
        <f t="shared" si="2"/>
        <v/>
      </c>
      <c r="I66" s="349" t="str">
        <f t="shared" si="3"/>
        <v/>
      </c>
      <c r="J66" s="493"/>
      <c r="K66" s="349" t="str">
        <f>IFERROR(__xludf.DUMMYFUNCTION("if(ISBLANK(A66),"""",if(B66=""Buy"",CONCAT(GOOGLEFINANCE(A66,""name""),"" {Symbol: ""&amp;A66&amp;""} High Alert!! Share Has Reached Its Target Buying Price,""),""""))"),"")</f>
        <v/>
      </c>
      <c r="L66" s="349" t="b">
        <f>IFERROR(__xludf.DUMMYFUNCTION("if(B66= ""Buy"",CONCAT(GOOGLEFINANCE(A66,""NAME""),"" share currently trading at Rs""&amp;C66&amp;"", Which is ""&amp;H66&amp;"" below the Target price of Rs""&amp;D66&amp;"".""))"),FALSE)</f>
        <v>0</v>
      </c>
    </row>
    <row r="67">
      <c r="A67" s="349" t="str">
        <f>Dashboard!B94</f>
        <v>NSE:RELIANCE</v>
      </c>
      <c r="B67" s="349"/>
      <c r="C67" s="356">
        <f>Dashboard!G94</f>
        <v>1305</v>
      </c>
      <c r="D67" s="489">
        <f>Dashboard!M94</f>
        <v>1047.67</v>
      </c>
      <c r="E67" s="490" t="s">
        <v>314</v>
      </c>
      <c r="F67" s="491" t="str">
        <f t="shared" si="1"/>
        <v>-</v>
      </c>
      <c r="G67" s="492" t="s">
        <v>314</v>
      </c>
      <c r="H67" s="349" t="str">
        <f t="shared" si="2"/>
        <v/>
      </c>
      <c r="I67" s="349" t="str">
        <f t="shared" si="3"/>
        <v/>
      </c>
      <c r="J67" s="493"/>
      <c r="K67" s="349" t="str">
        <f>IFERROR(__xludf.DUMMYFUNCTION("if(ISBLANK(A67),"""",if(B67=""Buy"",CONCAT(GOOGLEFINANCE(A67,""name""),"" {Symbol: ""&amp;A67&amp;""} High Alert!! Share Has Reached Its Target Buying Price,""),""""))"),"")</f>
        <v/>
      </c>
      <c r="L67" s="349" t="b">
        <f>IFERROR(__xludf.DUMMYFUNCTION("if(B67= ""Buy"",CONCAT(GOOGLEFINANCE(A67,""NAME""),"" share currently trading at Rs""&amp;C67&amp;"", Which is ""&amp;H67&amp;"" below the Target price of Rs""&amp;D67&amp;"".""))"),FALSE)</f>
        <v>0</v>
      </c>
    </row>
    <row r="68">
      <c r="A68" s="349" t="str">
        <f>Dashboard!B95</f>
        <v>NSE:RTNINDIA</v>
      </c>
      <c r="B68" s="349"/>
      <c r="C68" s="356">
        <f>Dashboard!G95</f>
        <v>32.9</v>
      </c>
      <c r="D68" s="489">
        <f>Dashboard!M95</f>
        <v>17.425</v>
      </c>
      <c r="E68" s="490" t="s">
        <v>314</v>
      </c>
      <c r="F68" s="491" t="str">
        <f t="shared" si="1"/>
        <v>-</v>
      </c>
      <c r="G68" s="492" t="s">
        <v>314</v>
      </c>
      <c r="H68" s="349" t="str">
        <f t="shared" si="2"/>
        <v/>
      </c>
      <c r="I68" s="349" t="str">
        <f t="shared" si="3"/>
        <v/>
      </c>
      <c r="J68" s="493"/>
      <c r="K68" s="349" t="str">
        <f>IFERROR(__xludf.DUMMYFUNCTION("if(ISBLANK(A68),"""",if(B68=""Buy"",CONCAT(GOOGLEFINANCE(A68,""name""),"" {Symbol: ""&amp;A68&amp;""} High Alert!! Share Has Reached Its Target Buying Price,""),""""))"),"")</f>
        <v/>
      </c>
      <c r="L68" s="349" t="b">
        <f>IFERROR(__xludf.DUMMYFUNCTION("if(B68= ""Buy"",CONCAT(GOOGLEFINANCE(A68,""NAME""),"" share currently trading at Rs""&amp;C68&amp;"", Which is ""&amp;H68&amp;"" below the Target price of Rs""&amp;D68&amp;"".""))"),FALSE)</f>
        <v>0</v>
      </c>
    </row>
    <row r="69">
      <c r="A69" s="349" t="str">
        <f>Dashboard!B96</f>
        <v>NSE:RVNL</v>
      </c>
      <c r="B69" s="349"/>
      <c r="C69" s="356">
        <f>Dashboard!G96</f>
        <v>232.4</v>
      </c>
      <c r="D69" s="489">
        <f>Dashboard!M96</f>
        <v>200.35</v>
      </c>
      <c r="E69" s="490" t="s">
        <v>314</v>
      </c>
      <c r="F69" s="491" t="str">
        <f t="shared" si="1"/>
        <v>-</v>
      </c>
      <c r="G69" s="492" t="s">
        <v>314</v>
      </c>
      <c r="H69" s="349" t="str">
        <f t="shared" si="2"/>
        <v/>
      </c>
      <c r="I69" s="349" t="str">
        <f t="shared" si="3"/>
        <v/>
      </c>
      <c r="J69" s="493"/>
      <c r="K69" s="349" t="str">
        <f>IFERROR(__xludf.DUMMYFUNCTION("if(ISBLANK(A69),"""",if(B69=""Buy"",CONCAT(GOOGLEFINANCE(A69,""name""),"" {Symbol: ""&amp;A69&amp;""} High Alert!! Share Has Reached Its Target Buying Price,""),""""))"),"")</f>
        <v/>
      </c>
      <c r="L69" s="349" t="b">
        <f>IFERROR(__xludf.DUMMYFUNCTION("if(B69= ""Buy"",CONCAT(GOOGLEFINANCE(A69,""NAME""),"" share currently trading at Rs""&amp;C69&amp;"", Which is ""&amp;H69&amp;"" below the Target price of Rs""&amp;D69&amp;"".""))"),FALSE)</f>
        <v>0</v>
      </c>
    </row>
    <row r="70">
      <c r="A70" s="349" t="str">
        <f>Dashboard!B97</f>
        <v>NSE:SBICARD</v>
      </c>
      <c r="B70" s="349"/>
      <c r="C70" s="356">
        <f>Dashboard!G97</f>
        <v>604.4</v>
      </c>
      <c r="D70" s="489">
        <f>Dashboard!M97</f>
        <v>753.5625</v>
      </c>
      <c r="E70" s="490" t="s">
        <v>314</v>
      </c>
      <c r="F70" s="491">
        <f t="shared" si="1"/>
        <v>0.1979431036</v>
      </c>
      <c r="G70" s="492" t="s">
        <v>314</v>
      </c>
      <c r="H70" s="349" t="str">
        <f t="shared" si="2"/>
        <v> (19.7943103591275% Down).</v>
      </c>
      <c r="I70" s="349" t="str">
        <f t="shared" si="3"/>
        <v/>
      </c>
      <c r="J70" s="493"/>
      <c r="K70" s="349" t="str">
        <f>IFERROR(__xludf.DUMMYFUNCTION("if(ISBLANK(A70),"""",if(B70=""Buy"",CONCAT(GOOGLEFINANCE(A70,""name""),"" {Symbol: ""&amp;A70&amp;""} High Alert!! Share Has Reached Its Target Buying Price,""),""""))"),"")</f>
        <v/>
      </c>
      <c r="L70" s="349" t="b">
        <f>IFERROR(__xludf.DUMMYFUNCTION("if(B70= ""Buy"",CONCAT(GOOGLEFINANCE(A70,""NAME""),"" share currently trading at Rs""&amp;C70&amp;"", Which is ""&amp;H70&amp;"" below the Target price of Rs""&amp;D70&amp;"".""))"),FALSE)</f>
        <v>0</v>
      </c>
    </row>
    <row r="71">
      <c r="A71" s="349" t="str">
        <f>Dashboard!B98</f>
        <v>NSE:SBIN</v>
      </c>
      <c r="B71" s="349"/>
      <c r="C71" s="356">
        <f>Dashboard!G98</f>
        <v>1036.2</v>
      </c>
      <c r="D71" s="489">
        <f>Dashboard!M98</f>
        <v>864.29</v>
      </c>
      <c r="E71" s="490" t="s">
        <v>314</v>
      </c>
      <c r="F71" s="491" t="str">
        <f t="shared" si="1"/>
        <v>-</v>
      </c>
      <c r="G71" s="492" t="s">
        <v>314</v>
      </c>
      <c r="H71" s="349" t="str">
        <f t="shared" si="2"/>
        <v/>
      </c>
      <c r="I71" s="349" t="str">
        <f t="shared" si="3"/>
        <v/>
      </c>
      <c r="J71" s="493"/>
      <c r="K71" s="349" t="str">
        <f>IFERROR(__xludf.DUMMYFUNCTION("if(ISBLANK(A71),"""",if(B71=""Buy"",CONCAT(GOOGLEFINANCE(A71,""name""),"" {Symbol: ""&amp;A71&amp;""} High Alert!! Share Has Reached Its Target Buying Price,""),""""))"),"")</f>
        <v/>
      </c>
      <c r="L71" s="349" t="b">
        <f>IFERROR(__xludf.DUMMYFUNCTION("if(B71= ""Buy"",CONCAT(GOOGLEFINANCE(A71,""NAME""),"" share currently trading at Rs""&amp;C71&amp;"", Which is ""&amp;H71&amp;"" below the Target price of Rs""&amp;D71&amp;"".""))"),FALSE)</f>
        <v>0</v>
      </c>
    </row>
    <row r="72">
      <c r="A72" s="349" t="str">
        <f>Dashboard!B99</f>
        <v>NSE:SRF</v>
      </c>
      <c r="B72" s="349"/>
      <c r="C72" s="356">
        <f>Dashboard!G99</f>
        <v>2811.3</v>
      </c>
      <c r="D72" s="489">
        <f>Dashboard!M99</f>
        <v>2593.5</v>
      </c>
      <c r="E72" s="490" t="s">
        <v>314</v>
      </c>
      <c r="F72" s="491" t="str">
        <f t="shared" si="1"/>
        <v>-</v>
      </c>
      <c r="G72" s="492" t="s">
        <v>314</v>
      </c>
      <c r="H72" s="349" t="str">
        <f t="shared" si="2"/>
        <v/>
      </c>
      <c r="I72" s="349" t="str">
        <f t="shared" si="3"/>
        <v/>
      </c>
      <c r="J72" s="493"/>
      <c r="K72" s="349" t="str">
        <f>IFERROR(__xludf.DUMMYFUNCTION("if(ISBLANK(A72),"""",if(B72=""Buy"",CONCAT(GOOGLEFINANCE(A72,""name""),"" {Symbol: ""&amp;A72&amp;""} High Alert!! Share Has Reached Its Target Buying Price,""),""""))"),"")</f>
        <v/>
      </c>
      <c r="L72" s="349" t="b">
        <f>IFERROR(__xludf.DUMMYFUNCTION("if(B72= ""Buy"",CONCAT(GOOGLEFINANCE(A72,""NAME""),"" share currently trading at Rs""&amp;C72&amp;"", Which is ""&amp;H72&amp;"" below the Target price of Rs""&amp;D72&amp;"".""))"),FALSE)</f>
        <v>0</v>
      </c>
    </row>
    <row r="73">
      <c r="A73" s="349" t="str">
        <f>Dashboard!B100</f>
        <v>NSE:SUZLON</v>
      </c>
      <c r="B73" s="349"/>
      <c r="C73" s="356">
        <f>Dashboard!G100</f>
        <v>54.4</v>
      </c>
      <c r="D73" s="489">
        <f>Dashboard!M100</f>
        <v>37.565</v>
      </c>
      <c r="E73" s="490" t="s">
        <v>314</v>
      </c>
      <c r="F73" s="491" t="str">
        <f t="shared" si="1"/>
        <v>-</v>
      </c>
      <c r="G73" s="492" t="s">
        <v>314</v>
      </c>
      <c r="H73" s="349" t="str">
        <f t="shared" si="2"/>
        <v/>
      </c>
      <c r="I73" s="349" t="str">
        <f t="shared" si="3"/>
        <v/>
      </c>
      <c r="J73" s="493"/>
      <c r="K73" s="349" t="str">
        <f>IFERROR(__xludf.DUMMYFUNCTION("if(ISBLANK(A73),"""",if(B73=""Buy"",CONCAT(GOOGLEFINANCE(A73,""name""),"" {Symbol: ""&amp;A73&amp;""} High Alert!! Share Has Reached Its Target Buying Price,""),""""))"),"")</f>
        <v/>
      </c>
      <c r="L73" s="349" t="b">
        <f>IFERROR(__xludf.DUMMYFUNCTION("if(B73= ""Buy"",CONCAT(GOOGLEFINANCE(A73,""NAME""),"" share currently trading at Rs""&amp;C73&amp;"", Which is ""&amp;H73&amp;"" below the Target price of Rs""&amp;D73&amp;"".""))"),FALSE)</f>
        <v>0</v>
      </c>
    </row>
    <row r="74">
      <c r="A74" s="349" t="str">
        <f>Dashboard!B101</f>
        <v>NSE:TATACONSUM</v>
      </c>
      <c r="B74" s="349"/>
      <c r="C74" s="356">
        <f>Dashboard!G101</f>
        <v>1121.1</v>
      </c>
      <c r="D74" s="489">
        <f>Dashboard!M101</f>
        <v>897.89</v>
      </c>
      <c r="E74" s="490" t="s">
        <v>314</v>
      </c>
      <c r="F74" s="491" t="str">
        <f t="shared" si="1"/>
        <v>-</v>
      </c>
      <c r="G74" s="492" t="s">
        <v>314</v>
      </c>
      <c r="H74" s="349" t="str">
        <f t="shared" si="2"/>
        <v/>
      </c>
      <c r="I74" s="349" t="str">
        <f t="shared" si="3"/>
        <v/>
      </c>
      <c r="J74" s="493"/>
      <c r="K74" s="349" t="str">
        <f>IFERROR(__xludf.DUMMYFUNCTION("if(ISBLANK(A74),"""",if(B74=""Buy"",CONCAT(GOOGLEFINANCE(A74,""name""),"" {Symbol: ""&amp;A74&amp;""} High Alert!! Share Has Reached Its Target Buying Price,""),""""))"),"")</f>
        <v/>
      </c>
      <c r="L74" s="349" t="b">
        <f>IFERROR(__xludf.DUMMYFUNCTION("if(B74= ""Buy"",CONCAT(GOOGLEFINANCE(A74,""NAME""),"" share currently trading at Rs""&amp;C74&amp;"", Which is ""&amp;H74&amp;"" below the Target price of Rs""&amp;D74&amp;"".""))"),FALSE)</f>
        <v>0</v>
      </c>
    </row>
    <row r="75">
      <c r="A75" s="349" t="str">
        <f>Dashboard!B102</f>
        <v>NSE:TATAELXSI</v>
      </c>
      <c r="B75" s="349"/>
      <c r="C75" s="356">
        <f>Dashboard!G102</f>
        <v>3708</v>
      </c>
      <c r="D75" s="489">
        <f>Dashboard!M102</f>
        <v>3219.75</v>
      </c>
      <c r="E75" s="490" t="s">
        <v>314</v>
      </c>
      <c r="F75" s="491" t="str">
        <f t="shared" si="1"/>
        <v>-</v>
      </c>
      <c r="G75" s="492" t="s">
        <v>314</v>
      </c>
      <c r="H75" s="349" t="str">
        <f t="shared" si="2"/>
        <v/>
      </c>
      <c r="I75" s="349" t="str">
        <f t="shared" si="3"/>
        <v/>
      </c>
      <c r="J75" s="493"/>
      <c r="K75" s="349" t="str">
        <f>IFERROR(__xludf.DUMMYFUNCTION("if(ISBLANK(A75),"""",if(B75=""Buy"",CONCAT(GOOGLEFINANCE(A75,""name""),"" {Symbol: ""&amp;A75&amp;""} High Alert!! Share Has Reached Its Target Buying Price,""),""""))"),"")</f>
        <v/>
      </c>
      <c r="L75" s="349" t="b">
        <f>IFERROR(__xludf.DUMMYFUNCTION("if(B75= ""Buy"",CONCAT(GOOGLEFINANCE(A75,""NAME""),"" share currently trading at Rs""&amp;C75&amp;"", Which is ""&amp;H75&amp;"" below the Target price of Rs""&amp;D75&amp;"".""))"),FALSE)</f>
        <v>0</v>
      </c>
    </row>
    <row r="76">
      <c r="A76" s="349" t="str">
        <f>Dashboard!B103</f>
        <v>NSE:TATAMOTORS</v>
      </c>
      <c r="B76" s="349"/>
      <c r="C76" s="356" t="str">
        <f>Dashboard!G103</f>
        <v>#N/A</v>
      </c>
      <c r="D76" s="489" t="str">
        <f>Dashboard!M103</f>
        <v>#N/A</v>
      </c>
      <c r="E76" s="490" t="s">
        <v>314</v>
      </c>
      <c r="F76" s="491" t="str">
        <f t="shared" si="1"/>
        <v>#N/A</v>
      </c>
      <c r="G76" s="492" t="s">
        <v>314</v>
      </c>
      <c r="H76" s="349" t="str">
        <f t="shared" si="2"/>
        <v>#N/A</v>
      </c>
      <c r="I76" s="349" t="str">
        <f t="shared" si="3"/>
        <v/>
      </c>
      <c r="J76" s="493"/>
      <c r="K76" s="349" t="str">
        <f>IFERROR(__xludf.DUMMYFUNCTION("if(ISBLANK(A76),"""",if(B76=""Buy"",CONCAT(GOOGLEFINANCE(A76,""name""),"" {Symbol: ""&amp;A76&amp;""} High Alert!! Share Has Reached Its Target Buying Price,""),""""))"),"")</f>
        <v/>
      </c>
      <c r="L76" s="349" t="b">
        <f>IFERROR(__xludf.DUMMYFUNCTION("if(B76= ""Buy"",CONCAT(GOOGLEFINANCE(A76,""NAME""),"" share currently trading at Rs""&amp;C76&amp;"", Which is ""&amp;H76&amp;"" below the Target price of Rs""&amp;D76&amp;"".""))"),FALSE)</f>
        <v>0</v>
      </c>
    </row>
    <row r="77">
      <c r="A77" s="349" t="str">
        <f>Dashboard!B104</f>
        <v>NSE:TATAPOWER</v>
      </c>
      <c r="B77" s="349"/>
      <c r="C77" s="356">
        <f>Dashboard!G104</f>
        <v>377.1</v>
      </c>
      <c r="D77" s="489">
        <f>Dashboard!M104</f>
        <v>302.185</v>
      </c>
      <c r="E77" s="490" t="s">
        <v>314</v>
      </c>
      <c r="F77" s="491" t="str">
        <f t="shared" si="1"/>
        <v>-</v>
      </c>
      <c r="G77" s="492" t="s">
        <v>314</v>
      </c>
      <c r="H77" s="349" t="str">
        <f t="shared" si="2"/>
        <v/>
      </c>
      <c r="I77" s="349" t="str">
        <f t="shared" si="3"/>
        <v/>
      </c>
      <c r="J77" s="493"/>
      <c r="K77" s="349" t="str">
        <f>IFERROR(__xludf.DUMMYFUNCTION("if(ISBLANK(A77),"""",if(B77=""Buy"",CONCAT(GOOGLEFINANCE(A77,""name""),"" {Symbol: ""&amp;A77&amp;""} High Alert!! Share Has Reached Its Target Buying Price,""),""""))"),"")</f>
        <v/>
      </c>
      <c r="L77" s="349" t="b">
        <f>IFERROR(__xludf.DUMMYFUNCTION("if(B77= ""Buy"",CONCAT(GOOGLEFINANCE(A77,""NAME""),"" share currently trading at Rs""&amp;C77&amp;"", Which is ""&amp;H77&amp;"" below the Target price of Rs""&amp;D77&amp;"".""))"),FALSE)</f>
        <v>0</v>
      </c>
    </row>
    <row r="78">
      <c r="A78" s="349" t="str">
        <f>Dashboard!B105</f>
        <v>NSE:TCS</v>
      </c>
      <c r="B78" s="349"/>
      <c r="C78" s="356">
        <f>Dashboard!G105</f>
        <v>2095.9</v>
      </c>
      <c r="D78" s="489">
        <f>Dashboard!M105</f>
        <v>2226.965</v>
      </c>
      <c r="E78" s="490" t="s">
        <v>314</v>
      </c>
      <c r="F78" s="491">
        <f t="shared" si="1"/>
        <v>0.05885364162</v>
      </c>
      <c r="G78" s="492" t="s">
        <v>314</v>
      </c>
      <c r="H78" s="349" t="str">
        <f t="shared" si="2"/>
        <v> (5.88536416153824% Down).</v>
      </c>
      <c r="I78" s="349" t="str">
        <f t="shared" si="3"/>
        <v/>
      </c>
      <c r="J78" s="493"/>
      <c r="K78" s="349" t="str">
        <f>IFERROR(__xludf.DUMMYFUNCTION("if(ISBLANK(A78),"""",if(B78=""Buy"",CONCAT(GOOGLEFINANCE(A78,""name""),"" {Symbol: ""&amp;A78&amp;""} High Alert!! Share Has Reached Its Target Buying Price,""),""""))"),"")</f>
        <v/>
      </c>
      <c r="L78" s="349" t="b">
        <f>IFERROR(__xludf.DUMMYFUNCTION("if(B78= ""Buy"",CONCAT(GOOGLEFINANCE(A78,""NAME""),"" share currently trading at Rs""&amp;C78&amp;"", Which is ""&amp;H78&amp;"" below the Target price of Rs""&amp;D78&amp;"".""))"),FALSE)</f>
        <v>0</v>
      </c>
    </row>
    <row r="79">
      <c r="A79" s="349" t="str">
        <f>Dashboard!B106</f>
        <v>NSE:TECHM</v>
      </c>
      <c r="B79" s="349"/>
      <c r="C79" s="356">
        <f>Dashboard!G106</f>
        <v>1447</v>
      </c>
      <c r="D79" s="489">
        <f>Dashboard!M106</f>
        <v>1112.4</v>
      </c>
      <c r="E79" s="490" t="s">
        <v>314</v>
      </c>
      <c r="F79" s="491" t="str">
        <f t="shared" si="1"/>
        <v>-</v>
      </c>
      <c r="G79" s="492" t="s">
        <v>314</v>
      </c>
      <c r="H79" s="349" t="str">
        <f t="shared" si="2"/>
        <v/>
      </c>
      <c r="I79" s="349" t="str">
        <f t="shared" si="3"/>
        <v/>
      </c>
      <c r="J79" s="493"/>
      <c r="K79" s="349" t="str">
        <f>IFERROR(__xludf.DUMMYFUNCTION("if(ISBLANK(A79),"""",if(B79=""Buy"",CONCAT(GOOGLEFINANCE(A79,""name""),"" {Symbol: ""&amp;A79&amp;""} High Alert!! Share Has Reached Its Target Buying Price,""),""""))"),"")</f>
        <v/>
      </c>
      <c r="L79" s="349" t="b">
        <f>IFERROR(__xludf.DUMMYFUNCTION("if(B79= ""Buy"",CONCAT(GOOGLEFINANCE(A79,""NAME""),"" share currently trading at Rs""&amp;C79&amp;"", Which is ""&amp;H79&amp;"" below the Target price of Rs""&amp;D79&amp;"".""))"),FALSE)</f>
        <v>0</v>
      </c>
    </row>
    <row r="80">
      <c r="A80" s="349" t="str">
        <f>Dashboard!B107</f>
        <v>NSE:TITAN</v>
      </c>
      <c r="B80" s="349"/>
      <c r="C80" s="356">
        <f>Dashboard!G107</f>
        <v>4591.2</v>
      </c>
      <c r="D80" s="489">
        <f>Dashboard!M107</f>
        <v>3259.13</v>
      </c>
      <c r="E80" s="490" t="s">
        <v>314</v>
      </c>
      <c r="F80" s="491" t="str">
        <f t="shared" si="1"/>
        <v>-</v>
      </c>
      <c r="G80" s="492" t="s">
        <v>314</v>
      </c>
      <c r="H80" s="349" t="str">
        <f t="shared" si="2"/>
        <v/>
      </c>
      <c r="I80" s="349" t="str">
        <f t="shared" si="3"/>
        <v/>
      </c>
      <c r="J80" s="493"/>
      <c r="K80" s="349" t="str">
        <f>IFERROR(__xludf.DUMMYFUNCTION("if(ISBLANK(A80),"""",if(B80=""Buy"",CONCAT(GOOGLEFINANCE(A80,""name""),"" {Symbol: ""&amp;A80&amp;""} High Alert!! Share Has Reached Its Target Buying Price,""),""""))"),"")</f>
        <v/>
      </c>
      <c r="L80" s="349" t="b">
        <f>IFERROR(__xludf.DUMMYFUNCTION("if(B80= ""Buy"",CONCAT(GOOGLEFINANCE(A80,""NAME""),"" share currently trading at Rs""&amp;C80&amp;"", Which is ""&amp;H80&amp;"" below the Target price of Rs""&amp;D80&amp;"".""))"),FALSE)</f>
        <v>0</v>
      </c>
    </row>
    <row r="81">
      <c r="A81" s="349" t="str">
        <f>Dashboard!B108</f>
        <v>NSE:TRACXN</v>
      </c>
      <c r="B81" s="349"/>
      <c r="C81" s="356">
        <f>Dashboard!G108</f>
        <v>30.27</v>
      </c>
      <c r="D81" s="489">
        <f>Dashboard!M108</f>
        <v>22.3615</v>
      </c>
      <c r="E81" s="490" t="s">
        <v>314</v>
      </c>
      <c r="F81" s="491" t="str">
        <f t="shared" si="1"/>
        <v>-</v>
      </c>
      <c r="G81" s="492" t="s">
        <v>314</v>
      </c>
      <c r="H81" s="349" t="str">
        <f t="shared" si="2"/>
        <v/>
      </c>
      <c r="I81" s="349" t="str">
        <f t="shared" si="3"/>
        <v/>
      </c>
      <c r="J81" s="493"/>
      <c r="K81" s="349" t="str">
        <f>IFERROR(__xludf.DUMMYFUNCTION("if(ISBLANK(A81),"""",if(B81=""Buy"",CONCAT(GOOGLEFINANCE(A81,""name""),"" {Symbol: ""&amp;A81&amp;""} High Alert!! Share Has Reached Its Target Buying Price,""),""""))"),"")</f>
        <v/>
      </c>
      <c r="L81" s="349" t="b">
        <f>IFERROR(__xludf.DUMMYFUNCTION("if(B81= ""Buy"",CONCAT(GOOGLEFINANCE(A81,""NAME""),"" share currently trading at Rs""&amp;C81&amp;"", Which is ""&amp;H81&amp;"" below the Target price of Rs""&amp;D81&amp;"".""))"),FALSE)</f>
        <v>0</v>
      </c>
    </row>
    <row r="82">
      <c r="A82" s="349" t="str">
        <f>Dashboard!B109</f>
        <v>NSE:TRENT</v>
      </c>
      <c r="B82" s="349"/>
      <c r="C82" s="356">
        <f>Dashboard!G109</f>
        <v>2921</v>
      </c>
      <c r="D82" s="489">
        <f>Dashboard!M109</f>
        <v>2080.463</v>
      </c>
      <c r="E82" s="490" t="s">
        <v>314</v>
      </c>
      <c r="F82" s="491" t="str">
        <f t="shared" si="1"/>
        <v>-</v>
      </c>
      <c r="G82" s="492" t="s">
        <v>314</v>
      </c>
      <c r="H82" s="349" t="str">
        <f t="shared" si="2"/>
        <v/>
      </c>
      <c r="I82" s="349" t="str">
        <f t="shared" si="3"/>
        <v/>
      </c>
      <c r="J82" s="493"/>
      <c r="K82" s="349" t="str">
        <f>IFERROR(__xludf.DUMMYFUNCTION("if(ISBLANK(A82),"""",if(B82=""Buy"",CONCAT(GOOGLEFINANCE(A82,""name""),"" {Symbol: ""&amp;A82&amp;""} High Alert!! Share Has Reached Its Target Buying Price,""),""""))"),"")</f>
        <v/>
      </c>
      <c r="L82" s="349" t="b">
        <f>IFERROR(__xludf.DUMMYFUNCTION("if(B82= ""Buy"",CONCAT(GOOGLEFINANCE(A82,""NAME""),"" share currently trading at Rs""&amp;C82&amp;"", Which is ""&amp;H82&amp;"" below the Target price of Rs""&amp;D82&amp;"".""))"),FALSE)</f>
        <v>0</v>
      </c>
    </row>
    <row r="83">
      <c r="A83" s="349" t="str">
        <f>Dashboard!B110</f>
        <v>NSE:TRIDENT</v>
      </c>
      <c r="B83" s="349"/>
      <c r="C83" s="356">
        <f>Dashboard!G110</f>
        <v>25.96</v>
      </c>
      <c r="D83" s="489">
        <f>Dashboard!M110</f>
        <v>18.513</v>
      </c>
      <c r="E83" s="490" t="s">
        <v>314</v>
      </c>
      <c r="F83" s="491" t="str">
        <f t="shared" si="1"/>
        <v>-</v>
      </c>
      <c r="G83" s="492" t="s">
        <v>314</v>
      </c>
      <c r="H83" s="349" t="str">
        <f t="shared" si="2"/>
        <v/>
      </c>
      <c r="I83" s="349" t="str">
        <f t="shared" si="3"/>
        <v/>
      </c>
      <c r="J83" s="493"/>
      <c r="K83" s="349" t="str">
        <f>IFERROR(__xludf.DUMMYFUNCTION("if(ISBLANK(A83),"""",if(B83=""Buy"",CONCAT(GOOGLEFINANCE(A83,""name""),"" {Symbol: ""&amp;A83&amp;""} High Alert!! Share Has Reached Its Target Buying Price,""),""""))"),"")</f>
        <v/>
      </c>
      <c r="L83" s="349" t="b">
        <f>IFERROR(__xludf.DUMMYFUNCTION("if(B83= ""Buy"",CONCAT(GOOGLEFINANCE(A83,""NAME""),"" share currently trading at Rs""&amp;C83&amp;"", Which is ""&amp;H83&amp;"" below the Target price of Rs""&amp;D83&amp;"".""))"),FALSE)</f>
        <v>0</v>
      </c>
    </row>
    <row r="84">
      <c r="A84" s="349" t="str">
        <f>Dashboard!B111</f>
        <v>NSE:UNOMINDA</v>
      </c>
      <c r="B84" s="349"/>
      <c r="C84" s="356">
        <f>Dashboard!G111</f>
        <v>1126</v>
      </c>
      <c r="D84" s="489">
        <f>Dashboard!M111</f>
        <v>829.2</v>
      </c>
      <c r="E84" s="490" t="s">
        <v>314</v>
      </c>
      <c r="F84" s="491" t="str">
        <f t="shared" si="1"/>
        <v>-</v>
      </c>
      <c r="G84" s="492" t="s">
        <v>314</v>
      </c>
      <c r="H84" s="349" t="str">
        <f t="shared" si="2"/>
        <v/>
      </c>
      <c r="I84" s="349" t="str">
        <f t="shared" si="3"/>
        <v/>
      </c>
      <c r="J84" s="493"/>
      <c r="K84" s="349" t="str">
        <f>IFERROR(__xludf.DUMMYFUNCTION("if(ISBLANK(A84),"""",if(B84=""Buy"",CONCAT(GOOGLEFINANCE(A84,""name""),"" {Symbol: ""&amp;A84&amp;""} High Alert!! Share Has Reached Its Target Buying Price,""),""""))"),"")</f>
        <v/>
      </c>
      <c r="L84" s="349" t="b">
        <f>IFERROR(__xludf.DUMMYFUNCTION("if(B84= ""Buy"",CONCAT(GOOGLEFINANCE(A84,""NAME""),"" share currently trading at Rs""&amp;C84&amp;"", Which is ""&amp;H84&amp;"" below the Target price of Rs""&amp;D84&amp;"".""))"),FALSE)</f>
        <v>0</v>
      </c>
    </row>
    <row r="85">
      <c r="A85" s="349" t="str">
        <f>Dashboard!B112</f>
        <v>NSE:URJA</v>
      </c>
      <c r="B85" s="349"/>
      <c r="C85" s="356">
        <f>Dashboard!G112</f>
        <v>9.59</v>
      </c>
      <c r="D85" s="489">
        <f>Dashboard!M112</f>
        <v>5.3394</v>
      </c>
      <c r="E85" s="490" t="s">
        <v>314</v>
      </c>
      <c r="F85" s="491" t="str">
        <f t="shared" si="1"/>
        <v>-</v>
      </c>
      <c r="G85" s="492" t="s">
        <v>314</v>
      </c>
      <c r="H85" s="349" t="str">
        <f t="shared" si="2"/>
        <v/>
      </c>
      <c r="I85" s="349" t="str">
        <f t="shared" si="3"/>
        <v/>
      </c>
      <c r="J85" s="493"/>
      <c r="K85" s="349" t="str">
        <f>IFERROR(__xludf.DUMMYFUNCTION("if(ISBLANK(A85),"""",if(B85=""Buy"",CONCAT(GOOGLEFINANCE(A85,""name""),"" {Symbol: ""&amp;A85&amp;""} High Alert!! Share Has Reached Its Target Buying Price,""),""""))"),"")</f>
        <v/>
      </c>
      <c r="L85" s="349" t="b">
        <f>IFERROR(__xludf.DUMMYFUNCTION("if(B85= ""Buy"",CONCAT(GOOGLEFINANCE(A85,""NAME""),"" share currently trading at Rs""&amp;C85&amp;"", Which is ""&amp;H85&amp;"" below the Target price of Rs""&amp;D85&amp;"".""))"),FALSE)</f>
        <v>0</v>
      </c>
    </row>
    <row r="86">
      <c r="A86" s="349" t="str">
        <f>Dashboard!B113</f>
        <v>NSE:VBL</v>
      </c>
      <c r="B86" s="349"/>
      <c r="C86" s="356">
        <f>Dashboard!G113</f>
        <v>484</v>
      </c>
      <c r="D86" s="489">
        <f>Dashboard!M113</f>
        <v>305.69</v>
      </c>
      <c r="E86" s="490" t="s">
        <v>314</v>
      </c>
      <c r="F86" s="491" t="str">
        <f t="shared" si="1"/>
        <v>-</v>
      </c>
      <c r="G86" s="492" t="s">
        <v>314</v>
      </c>
      <c r="H86" s="349" t="str">
        <f t="shared" si="2"/>
        <v/>
      </c>
      <c r="I86" s="349" t="str">
        <f t="shared" si="3"/>
        <v/>
      </c>
      <c r="J86" s="493"/>
      <c r="K86" s="349" t="str">
        <f>IFERROR(__xludf.DUMMYFUNCTION("if(ISBLANK(A86),"""",if(B86=""Buy"",CONCAT(GOOGLEFINANCE(A86,""name""),"" {Symbol: ""&amp;A86&amp;""} High Alert!! Share Has Reached Its Target Buying Price,""),""""))"),"")</f>
        <v/>
      </c>
      <c r="L86" s="349" t="b">
        <f>IFERROR(__xludf.DUMMYFUNCTION("if(B86= ""Buy"",CONCAT(GOOGLEFINANCE(A86,""NAME""),"" share currently trading at Rs""&amp;C86&amp;"", Which is ""&amp;H86&amp;"" below the Target price of Rs""&amp;D86&amp;"".""))"),FALSE)</f>
        <v>0</v>
      </c>
    </row>
    <row r="87">
      <c r="A87" s="349" t="str">
        <f>Dashboard!B114</f>
        <v>NSE:VINATIORGA</v>
      </c>
      <c r="B87" s="349"/>
      <c r="C87" s="356">
        <f>Dashboard!G114</f>
        <v>1353.5</v>
      </c>
      <c r="D87" s="489">
        <f>Dashboard!M114</f>
        <v>1224</v>
      </c>
      <c r="E87" s="490" t="s">
        <v>314</v>
      </c>
      <c r="F87" s="491" t="str">
        <f t="shared" si="1"/>
        <v>-</v>
      </c>
      <c r="G87" s="492" t="s">
        <v>314</v>
      </c>
      <c r="H87" s="349" t="str">
        <f t="shared" si="2"/>
        <v/>
      </c>
      <c r="I87" s="349" t="str">
        <f t="shared" si="3"/>
        <v/>
      </c>
      <c r="J87" s="493"/>
      <c r="K87" s="349" t="str">
        <f>IFERROR(__xludf.DUMMYFUNCTION("if(ISBLANK(A87),"""",if(B87=""Buy"",CONCAT(GOOGLEFINANCE(A87,""name""),"" {Symbol: ""&amp;A87&amp;""} High Alert!! Share Has Reached Its Target Buying Price,""),""""))"),"")</f>
        <v/>
      </c>
      <c r="L87" s="349" t="b">
        <f>IFERROR(__xludf.DUMMYFUNCTION("if(B87= ""Buy"",CONCAT(GOOGLEFINANCE(A87,""NAME""),"" share currently trading at Rs""&amp;C87&amp;"", Which is ""&amp;H87&amp;"" below the Target price of Rs""&amp;D87&amp;"".""))"),FALSE)</f>
        <v>0</v>
      </c>
    </row>
    <row r="88">
      <c r="A88" s="349" t="str">
        <f>Dashboard!B115</f>
        <v>NSE:WIPRO</v>
      </c>
      <c r="B88" s="349"/>
      <c r="C88" s="356">
        <f>Dashboard!G115</f>
        <v>173</v>
      </c>
      <c r="D88" s="489">
        <f>Dashboard!M115</f>
        <v>177.515</v>
      </c>
      <c r="E88" s="490" t="s">
        <v>314</v>
      </c>
      <c r="F88" s="491">
        <f t="shared" si="1"/>
        <v>0.02543447033</v>
      </c>
      <c r="G88" s="492" t="s">
        <v>314</v>
      </c>
      <c r="H88" s="349" t="str">
        <f t="shared" si="2"/>
        <v> (2.54344703264514% Down).</v>
      </c>
      <c r="I88" s="349" t="str">
        <f t="shared" si="3"/>
        <v/>
      </c>
      <c r="J88" s="493"/>
      <c r="K88" s="349" t="str">
        <f>IFERROR(__xludf.DUMMYFUNCTION("if(ISBLANK(A88),"""",if(B88=""Buy"",CONCAT(GOOGLEFINANCE(A88,""name""),"" {Symbol: ""&amp;A88&amp;""} High Alert!! Share Has Reached Its Target Buying Price,""),""""))"),"")</f>
        <v/>
      </c>
      <c r="L88" s="349" t="b">
        <f>IFERROR(__xludf.DUMMYFUNCTION("if(B88= ""Buy"",CONCAT(GOOGLEFINANCE(A88,""NAME""),"" share currently trading at Rs""&amp;C88&amp;"", Which is ""&amp;H88&amp;"" below the Target price of Rs""&amp;D88&amp;"".""))"),FALSE)</f>
        <v>0</v>
      </c>
    </row>
    <row r="89">
      <c r="A89" s="349" t="str">
        <f>Dashboard!B116</f>
        <v>NSE:WONDERLA</v>
      </c>
      <c r="B89" s="349"/>
      <c r="C89" s="356">
        <f>Dashboard!G116</f>
        <v>486.8</v>
      </c>
      <c r="D89" s="489">
        <f>Dashboard!M116</f>
        <v>306.315</v>
      </c>
      <c r="E89" s="490" t="s">
        <v>314</v>
      </c>
      <c r="F89" s="491" t="str">
        <f t="shared" si="1"/>
        <v>-</v>
      </c>
      <c r="G89" s="492" t="s">
        <v>314</v>
      </c>
      <c r="H89" s="349" t="str">
        <f t="shared" si="2"/>
        <v/>
      </c>
      <c r="I89" s="349" t="str">
        <f t="shared" si="3"/>
        <v/>
      </c>
      <c r="J89" s="493"/>
      <c r="K89" s="349" t="str">
        <f>IFERROR(__xludf.DUMMYFUNCTION("if(ISBLANK(A89),"""",if(B89=""Buy"",CONCAT(GOOGLEFINANCE(A89,""name""),"" {Symbol: ""&amp;A89&amp;""} High Alert!! Share Has Reached Its Target Buying Price,""),""""))"),"")</f>
        <v/>
      </c>
      <c r="L89" s="349" t="b">
        <f>IFERROR(__xludf.DUMMYFUNCTION("if(B89= ""Buy"",CONCAT(GOOGLEFINANCE(A89,""NAME""),"" share currently trading at Rs""&amp;C89&amp;"", Which is ""&amp;H89&amp;"" below the Target price of Rs""&amp;D89&amp;"".""))"),FALSE)</f>
        <v>0</v>
      </c>
    </row>
    <row r="90">
      <c r="A90" s="349" t="str">
        <f>Dashboard!B117</f>
        <v>NSE:YESBANK</v>
      </c>
      <c r="B90" s="349"/>
      <c r="C90" s="356">
        <f>Dashboard!G117</f>
        <v>24.05</v>
      </c>
      <c r="D90" s="489">
        <f>Dashboard!M117</f>
        <v>12.89</v>
      </c>
      <c r="E90" s="490" t="s">
        <v>314</v>
      </c>
      <c r="F90" s="491" t="str">
        <f t="shared" si="1"/>
        <v>-</v>
      </c>
      <c r="G90" s="492" t="s">
        <v>314</v>
      </c>
      <c r="H90" s="349" t="str">
        <f t="shared" si="2"/>
        <v/>
      </c>
      <c r="I90" s="349" t="str">
        <f t="shared" si="3"/>
        <v/>
      </c>
      <c r="J90" s="493"/>
      <c r="K90" s="349" t="str">
        <f>IFERROR(__xludf.DUMMYFUNCTION("if(ISBLANK(A90),"""",if(B90=""Buy"",CONCAT(GOOGLEFINANCE(A90,""name""),"" {Symbol: ""&amp;A90&amp;""} High Alert!! Share Has Reached Its Target Buying Price,""),""""))"),"")</f>
        <v/>
      </c>
      <c r="L90" s="349" t="b">
        <f>IFERROR(__xludf.DUMMYFUNCTION("if(B90= ""Buy"",CONCAT(GOOGLEFINANCE(A90,""NAME""),"" share currently trading at Rs""&amp;C90&amp;"", Which is ""&amp;H90&amp;"" below the Target price of Rs""&amp;D90&amp;"".""))"),FALSE)</f>
        <v>0</v>
      </c>
    </row>
    <row r="91">
      <c r="A91" s="349" t="str">
        <f>Dashboard!B118</f>
        <v>NSE:ZENTEC</v>
      </c>
      <c r="B91" s="349"/>
      <c r="C91" s="356">
        <f>Dashboard!G118</f>
        <v>1861</v>
      </c>
      <c r="D91" s="489">
        <f>Dashboard!M118</f>
        <v>708.4</v>
      </c>
      <c r="E91" s="490" t="s">
        <v>314</v>
      </c>
      <c r="F91" s="491" t="str">
        <f t="shared" si="1"/>
        <v>-</v>
      </c>
      <c r="G91" s="492" t="s">
        <v>314</v>
      </c>
      <c r="H91" s="349" t="str">
        <f t="shared" si="2"/>
        <v/>
      </c>
      <c r="I91" s="349" t="str">
        <f t="shared" si="3"/>
        <v/>
      </c>
      <c r="J91" s="493"/>
      <c r="K91" s="349" t="str">
        <f>IFERROR(__xludf.DUMMYFUNCTION("if(ISBLANK(A91),"""",if(B91=""Buy"",CONCAT(GOOGLEFINANCE(A91,""name""),"" {Symbol: ""&amp;A91&amp;""} High Alert!! Share Has Reached Its Target Buying Price,""),""""))"),"")</f>
        <v/>
      </c>
      <c r="L91" s="349" t="b">
        <f>IFERROR(__xludf.DUMMYFUNCTION("if(B91= ""Buy"",CONCAT(GOOGLEFINANCE(A91,""NAME""),"" share currently trading at Rs""&amp;C91&amp;"", Which is ""&amp;H91&amp;"" below the Target price of Rs""&amp;D91&amp;"".""))"),FALSE)</f>
        <v>0</v>
      </c>
    </row>
    <row r="92">
      <c r="A92" s="349" t="str">
        <f>Dashboard!B119</f>
        <v/>
      </c>
      <c r="B92" s="349"/>
      <c r="C92" s="356" t="str">
        <f>Dashboard!G119</f>
        <v/>
      </c>
      <c r="D92" s="489" t="str">
        <f>Dashboard!M119</f>
        <v/>
      </c>
      <c r="E92" s="490" t="s">
        <v>314</v>
      </c>
      <c r="F92" s="491" t="str">
        <f t="shared" si="1"/>
        <v/>
      </c>
      <c r="G92" s="492" t="s">
        <v>314</v>
      </c>
      <c r="H92" s="349" t="str">
        <f t="shared" si="2"/>
        <v/>
      </c>
      <c r="I92" s="349" t="str">
        <f t="shared" si="3"/>
        <v/>
      </c>
      <c r="J92" s="493"/>
      <c r="K92" s="349" t="str">
        <f>IFERROR(__xludf.DUMMYFUNCTION("if(ISBLANK(A92),"""",if(B92=""Buy"",CONCAT(GOOGLEFINANCE(A92,""name""),"" {Symbol: ""&amp;A92&amp;""} High Alert!! Share Has Reached Its Target Buying Price,""),""""))"),"")</f>
        <v/>
      </c>
      <c r="L92" s="349" t="b">
        <f>IFERROR(__xludf.DUMMYFUNCTION("if(B92= ""Buy"",CONCAT(GOOGLEFINANCE(A92,""NAME""),"" share currently trading at Rs""&amp;C92&amp;"", Which is ""&amp;H92&amp;"" below the Target price of Rs""&amp;D92&amp;"".""))"),FALSE)</f>
        <v>0</v>
      </c>
    </row>
    <row r="93">
      <c r="A93" s="349" t="str">
        <f>Dashboard!B120</f>
        <v/>
      </c>
      <c r="B93" s="349"/>
      <c r="C93" s="356" t="str">
        <f>Dashboard!G120</f>
        <v/>
      </c>
      <c r="D93" s="489" t="str">
        <f>Dashboard!M120</f>
        <v/>
      </c>
      <c r="E93" s="490" t="s">
        <v>314</v>
      </c>
      <c r="F93" s="491" t="str">
        <f t="shared" si="1"/>
        <v/>
      </c>
      <c r="G93" s="492" t="s">
        <v>314</v>
      </c>
      <c r="H93" s="349" t="str">
        <f t="shared" si="2"/>
        <v/>
      </c>
      <c r="I93" s="349" t="str">
        <f t="shared" si="3"/>
        <v/>
      </c>
      <c r="J93" s="493"/>
      <c r="K93" s="349" t="str">
        <f>IFERROR(__xludf.DUMMYFUNCTION("if(ISBLANK(A93),"""",if(B93=""Buy"",CONCAT(GOOGLEFINANCE(A93,""name""),"" {Symbol: ""&amp;A93&amp;""} High Alert!! Share Has Reached Its Target Buying Price,""),""""))"),"")</f>
        <v/>
      </c>
      <c r="L93" s="349" t="b">
        <f>IFERROR(__xludf.DUMMYFUNCTION("if(B93= ""Buy"",CONCAT(GOOGLEFINANCE(A93,""NAME""),"" share currently trading at Rs""&amp;C93&amp;"", Which is ""&amp;H93&amp;"" below the Target price of Rs""&amp;D93&amp;"".""))"),FALSE)</f>
        <v>0</v>
      </c>
    </row>
    <row r="94">
      <c r="A94" s="349" t="str">
        <f>Dashboard!B121</f>
        <v/>
      </c>
      <c r="B94" s="349"/>
      <c r="C94" s="356" t="str">
        <f>Dashboard!G121</f>
        <v/>
      </c>
      <c r="D94" s="489" t="str">
        <f>Dashboard!M121</f>
        <v/>
      </c>
      <c r="E94" s="490" t="s">
        <v>314</v>
      </c>
      <c r="F94" s="491" t="str">
        <f t="shared" si="1"/>
        <v/>
      </c>
      <c r="G94" s="492" t="s">
        <v>314</v>
      </c>
      <c r="H94" s="349" t="str">
        <f t="shared" si="2"/>
        <v/>
      </c>
      <c r="I94" s="349" t="str">
        <f t="shared" si="3"/>
        <v/>
      </c>
      <c r="J94" s="493"/>
      <c r="K94" s="349" t="str">
        <f>IFERROR(__xludf.DUMMYFUNCTION("if(ISBLANK(A94),"""",if(B94=""Buy"",CONCAT(GOOGLEFINANCE(A94,""name""),"" {Symbol: ""&amp;A94&amp;""} High Alert!! Share Has Reached Its Target Buying Price,""),""""))"),"")</f>
        <v/>
      </c>
      <c r="L94" s="349" t="b">
        <f>IFERROR(__xludf.DUMMYFUNCTION("if(B94= ""Buy"",CONCAT(GOOGLEFINANCE(A94,""NAME""),"" share currently trading at Rs""&amp;C94&amp;"", Which is ""&amp;H94&amp;"" below the Target price of Rs""&amp;D94&amp;"".""))"),FALSE)</f>
        <v>0</v>
      </c>
    </row>
    <row r="95">
      <c r="A95" s="349" t="str">
        <f>Dashboard!B122</f>
        <v/>
      </c>
      <c r="B95" s="349"/>
      <c r="C95" s="356" t="str">
        <f>Dashboard!G122</f>
        <v/>
      </c>
      <c r="D95" s="489" t="str">
        <f>Dashboard!M122</f>
        <v/>
      </c>
      <c r="E95" s="490" t="s">
        <v>314</v>
      </c>
      <c r="F95" s="491" t="str">
        <f t="shared" si="1"/>
        <v/>
      </c>
      <c r="G95" s="492" t="s">
        <v>314</v>
      </c>
      <c r="H95" s="349" t="str">
        <f t="shared" si="2"/>
        <v/>
      </c>
      <c r="I95" s="349" t="str">
        <f t="shared" si="3"/>
        <v/>
      </c>
      <c r="J95" s="493"/>
      <c r="K95" s="349" t="str">
        <f>IFERROR(__xludf.DUMMYFUNCTION("if(ISBLANK(A95),"""",if(B95=""Buy"",CONCAT(GOOGLEFINANCE(A95,""name""),"" {Symbol: ""&amp;A95&amp;""} High Alert!! Share Has Reached Its Target Buying Price,""),""""))"),"")</f>
        <v/>
      </c>
      <c r="L95" s="349" t="b">
        <f>IFERROR(__xludf.DUMMYFUNCTION("if(B95= ""Buy"",CONCAT(GOOGLEFINANCE(A95,""NAME""),"" share currently trading at Rs""&amp;C95&amp;"", Which is ""&amp;H95&amp;"" below the Target price of Rs""&amp;D95&amp;"".""))"),FALSE)</f>
        <v>0</v>
      </c>
    </row>
    <row r="96">
      <c r="A96" s="349" t="str">
        <f>Dashboard!B122</f>
        <v/>
      </c>
      <c r="B96" s="349"/>
      <c r="C96" s="356" t="str">
        <f>Dashboard!G122</f>
        <v/>
      </c>
      <c r="D96" s="489" t="str">
        <f>Dashboard!M122</f>
        <v/>
      </c>
      <c r="E96" s="490" t="s">
        <v>314</v>
      </c>
      <c r="F96" s="491" t="str">
        <f t="shared" si="1"/>
        <v/>
      </c>
      <c r="G96" s="492" t="s">
        <v>314</v>
      </c>
      <c r="H96" s="349" t="str">
        <f t="shared" si="2"/>
        <v/>
      </c>
      <c r="I96" s="349" t="str">
        <f t="shared" si="3"/>
        <v/>
      </c>
      <c r="J96" s="493"/>
      <c r="K96" s="349" t="str">
        <f>IFERROR(__xludf.DUMMYFUNCTION("if(ISBLANK(A96),"""",if(B96=""Buy"",CONCAT(GOOGLEFINANCE(A96,""name""),"" {Symbol: ""&amp;A96&amp;""} High Alert!! Share Has Reached Its Target Buying Price,""),""""))"),"")</f>
        <v/>
      </c>
      <c r="L96" s="349" t="b">
        <f>IFERROR(__xludf.DUMMYFUNCTION("if(B96= ""Buy"",CONCAT(GOOGLEFINANCE(A96,""NAME""),"" share currently trading at Rs""&amp;C96&amp;"", Which is ""&amp;H96&amp;"" below the Target price of Rs""&amp;D96&amp;"".""))"),FALSE)</f>
        <v>0</v>
      </c>
    </row>
    <row r="97">
      <c r="A97" s="349" t="str">
        <f>Dashboard!B200</f>
        <v/>
      </c>
      <c r="B97" s="349"/>
      <c r="C97" s="356" t="str">
        <f>Dashboard!G200</f>
        <v/>
      </c>
      <c r="D97" s="489" t="str">
        <f>Dashboard!M200</f>
        <v/>
      </c>
      <c r="E97" s="490" t="s">
        <v>314</v>
      </c>
      <c r="F97" s="491" t="str">
        <f t="shared" si="1"/>
        <v/>
      </c>
      <c r="G97" s="492" t="s">
        <v>314</v>
      </c>
      <c r="H97" s="349" t="str">
        <f t="shared" si="2"/>
        <v/>
      </c>
      <c r="I97" s="349" t="str">
        <f t="shared" si="3"/>
        <v/>
      </c>
      <c r="J97" s="493"/>
      <c r="K97" s="349" t="str">
        <f>IFERROR(__xludf.DUMMYFUNCTION("if(ISBLANK(A97),"""",if(B97=""Buy"",CONCAT(GOOGLEFINANCE(A97,""name""),"" {Symbol: ""&amp;A97&amp;""} High Alert!! Share Has Reached Its Target Buying Price,""),""""))"),"")</f>
        <v/>
      </c>
      <c r="L97" s="349" t="b">
        <f>IFERROR(__xludf.DUMMYFUNCTION("if(B97= ""Buy"",CONCAT(GOOGLEFINANCE(A97,""NAME""),"" share currently trading at Rs""&amp;C97&amp;"", Which is ""&amp;H97&amp;"" below the Target price of Rs""&amp;D97&amp;"".""))"),FALSE)</f>
        <v>0</v>
      </c>
    </row>
    <row r="98">
      <c r="A98" s="349" t="str">
        <f>Dashboard!B201</f>
        <v/>
      </c>
      <c r="B98" s="349"/>
      <c r="C98" s="356" t="str">
        <f>Dashboard!G201</f>
        <v/>
      </c>
      <c r="D98" s="489" t="str">
        <f>Dashboard!M201</f>
        <v/>
      </c>
      <c r="E98" s="490" t="s">
        <v>314</v>
      </c>
      <c r="F98" s="491" t="str">
        <f t="shared" si="1"/>
        <v/>
      </c>
      <c r="G98" s="492" t="s">
        <v>314</v>
      </c>
      <c r="H98" s="349" t="str">
        <f t="shared" si="2"/>
        <v/>
      </c>
      <c r="I98" s="349" t="str">
        <f t="shared" si="3"/>
        <v/>
      </c>
      <c r="J98" s="493"/>
      <c r="K98" s="349" t="str">
        <f>IFERROR(__xludf.DUMMYFUNCTION("if(ISBLANK(A98),"""",if(B98=""Buy"",CONCAT(GOOGLEFINANCE(A98,""name""),"" {Symbol: ""&amp;A98&amp;""} High Alert!! Share Has Reached Its Target Buying Price,""),""""))"),"")</f>
        <v/>
      </c>
      <c r="L98" s="349" t="b">
        <f>IFERROR(__xludf.DUMMYFUNCTION("if(B98= ""Buy"",CONCAT(GOOGLEFINANCE(A98,""NAME""),"" share currently trading at Rs""&amp;C98&amp;"", Which is ""&amp;H98&amp;"" below the Target price of Rs""&amp;D98&amp;"".""))"),FALSE)</f>
        <v>0</v>
      </c>
    </row>
    <row r="99">
      <c r="A99" s="349" t="str">
        <f>Dashboard!B202</f>
        <v/>
      </c>
      <c r="B99" s="349"/>
      <c r="C99" s="356" t="str">
        <f>Dashboard!G202</f>
        <v/>
      </c>
      <c r="D99" s="489" t="str">
        <f>Dashboard!M202</f>
        <v/>
      </c>
      <c r="E99" s="490" t="s">
        <v>314</v>
      </c>
      <c r="F99" s="491" t="str">
        <f t="shared" si="1"/>
        <v/>
      </c>
      <c r="G99" s="492" t="s">
        <v>314</v>
      </c>
      <c r="H99" s="349" t="str">
        <f t="shared" si="2"/>
        <v/>
      </c>
      <c r="I99" s="349" t="str">
        <f t="shared" si="3"/>
        <v/>
      </c>
      <c r="J99" s="493"/>
      <c r="K99" s="349" t="str">
        <f>IFERROR(__xludf.DUMMYFUNCTION("if(ISBLANK(A99),"""",if(B99=""Buy"",CONCAT(GOOGLEFINANCE(A99,""name""),"" {Symbol: ""&amp;A99&amp;""} High Alert!! Share Has Reached Its Target Buying Price,""),""""))"),"")</f>
        <v/>
      </c>
      <c r="L99" s="349" t="b">
        <f>IFERROR(__xludf.DUMMYFUNCTION("if(B99= ""Buy"",CONCAT(GOOGLEFINANCE(A99,""NAME""),"" share currently trading at Rs""&amp;C99&amp;"", Which is ""&amp;H99&amp;"" below the Target price of Rs""&amp;D99&amp;"".""))"),FALSE)</f>
        <v>0</v>
      </c>
    </row>
    <row r="100">
      <c r="A100" s="349" t="str">
        <f>Dashboard!B203</f>
        <v/>
      </c>
      <c r="B100" s="349"/>
      <c r="C100" s="356" t="str">
        <f>Dashboard!G203</f>
        <v/>
      </c>
      <c r="D100" s="489" t="str">
        <f>Dashboard!M203</f>
        <v/>
      </c>
      <c r="E100" s="490" t="s">
        <v>314</v>
      </c>
      <c r="F100" s="491" t="str">
        <f t="shared" si="1"/>
        <v/>
      </c>
      <c r="G100" s="492" t="s">
        <v>314</v>
      </c>
      <c r="H100" s="349" t="str">
        <f t="shared" si="2"/>
        <v/>
      </c>
      <c r="I100" s="349" t="str">
        <f t="shared" si="3"/>
        <v/>
      </c>
      <c r="J100" s="493"/>
      <c r="K100" s="349" t="str">
        <f>IFERROR(__xludf.DUMMYFUNCTION("if(ISBLANK(A100),"""",if(B100=""Buy"",CONCAT(GOOGLEFINANCE(A100,""name""),"" {Symbol: ""&amp;A100&amp;""} High Alert!! Share Has Reached Its Target Buying Price,""),""""))"),"")</f>
        <v/>
      </c>
      <c r="L100" s="349" t="b">
        <f>IFERROR(__xludf.DUMMYFUNCTION("if(B100= ""Buy"",CONCAT(GOOGLEFINANCE(A100,""NAME""),"" share currently trading at Rs""&amp;C100&amp;"", Which is ""&amp;H100&amp;"" below the Target price of Rs""&amp;D100&amp;"".""))"),FALSE)</f>
        <v>0</v>
      </c>
    </row>
    <row r="101">
      <c r="A101" s="349" t="str">
        <f>Dashboard!B204</f>
        <v/>
      </c>
      <c r="B101" s="349"/>
      <c r="C101" s="356" t="str">
        <f>Dashboard!G204</f>
        <v/>
      </c>
      <c r="D101" s="489" t="str">
        <f>Dashboard!M204</f>
        <v/>
      </c>
      <c r="E101" s="490" t="s">
        <v>314</v>
      </c>
      <c r="F101" s="491" t="str">
        <f t="shared" si="1"/>
        <v/>
      </c>
      <c r="G101" s="492" t="s">
        <v>314</v>
      </c>
      <c r="H101" s="349" t="str">
        <f t="shared" si="2"/>
        <v/>
      </c>
      <c r="I101" s="349" t="str">
        <f t="shared" si="3"/>
        <v/>
      </c>
      <c r="J101" s="493"/>
      <c r="K101" s="349" t="str">
        <f>IFERROR(__xludf.DUMMYFUNCTION("if(ISBLANK(A101),"""",if(B101=""Buy"",CONCAT(GOOGLEFINANCE(A101,""name""),"" {Symbol: ""&amp;A101&amp;""} High Alert!! Share Has Reached Its Target Buying Price,""),""""))"),"")</f>
        <v/>
      </c>
      <c r="L101" s="349" t="b">
        <f>IFERROR(__xludf.DUMMYFUNCTION("if(B101= ""Buy"",CONCAT(GOOGLEFINANCE(A101,""NAME""),"" share currently trading at Rs""&amp;C101&amp;"", Which is ""&amp;H101&amp;"" below the Target price of Rs""&amp;D101&amp;"".""))"),FALSE)</f>
        <v>0</v>
      </c>
    </row>
    <row r="102">
      <c r="A102" s="349" t="str">
        <f>Dashboard!B205</f>
        <v/>
      </c>
      <c r="B102" s="349"/>
      <c r="C102" s="356" t="str">
        <f>Dashboard!G205</f>
        <v/>
      </c>
      <c r="D102" s="489" t="str">
        <f>Dashboard!M205</f>
        <v/>
      </c>
      <c r="E102" s="490" t="s">
        <v>314</v>
      </c>
      <c r="F102" s="491" t="str">
        <f t="shared" si="1"/>
        <v/>
      </c>
      <c r="G102" s="492" t="s">
        <v>314</v>
      </c>
      <c r="H102" s="349" t="str">
        <f t="shared" si="2"/>
        <v/>
      </c>
      <c r="I102" s="349" t="str">
        <f t="shared" si="3"/>
        <v/>
      </c>
      <c r="J102" s="493"/>
      <c r="K102" s="349" t="str">
        <f>IFERROR(__xludf.DUMMYFUNCTION("if(ISBLANK(A102),"""",if(B102=""Buy"",CONCAT(GOOGLEFINANCE(A102,""name""),"" {Symbol: ""&amp;A102&amp;""} High Alert!! Share Has Reached Its Target Buying Price,""),""""))"),"")</f>
        <v/>
      </c>
      <c r="L102" s="349" t="b">
        <f>IFERROR(__xludf.DUMMYFUNCTION("if(B102= ""Buy"",CONCAT(GOOGLEFINANCE(A102,""NAME""),"" share currently trading at Rs""&amp;C102&amp;"", Which is ""&amp;H102&amp;"" below the Target price of Rs""&amp;D102&amp;"".""))"),FALSE)</f>
        <v>0</v>
      </c>
    </row>
    <row r="103">
      <c r="A103" s="349" t="str">
        <f>Dashboard!B206</f>
        <v/>
      </c>
      <c r="B103" s="349"/>
      <c r="C103" s="356" t="str">
        <f>Dashboard!G206</f>
        <v/>
      </c>
      <c r="D103" s="489" t="str">
        <f>Dashboard!M206</f>
        <v/>
      </c>
      <c r="E103" s="490" t="s">
        <v>314</v>
      </c>
      <c r="F103" s="491" t="str">
        <f t="shared" si="1"/>
        <v/>
      </c>
      <c r="G103" s="492" t="s">
        <v>314</v>
      </c>
      <c r="H103" s="349" t="str">
        <f t="shared" si="2"/>
        <v/>
      </c>
      <c r="I103" s="349" t="str">
        <f t="shared" si="3"/>
        <v/>
      </c>
      <c r="J103" s="493"/>
      <c r="K103" s="349" t="str">
        <f>IFERROR(__xludf.DUMMYFUNCTION("if(ISBLANK(A103),"""",if(B103=""Buy"",CONCAT(GOOGLEFINANCE(A103,""name""),"" {Symbol: ""&amp;A103&amp;""} High Alert!! Share Has Reached Its Target Buying Price,""),""""))"),"")</f>
        <v/>
      </c>
      <c r="L103" s="349" t="b">
        <f>IFERROR(__xludf.DUMMYFUNCTION("if(B103= ""Buy"",CONCAT(GOOGLEFINANCE(A103,""NAME""),"" share currently trading at Rs""&amp;C103&amp;"", Which is ""&amp;H103&amp;"" below the Target price of Rs""&amp;D103&amp;"".""))"),FALSE)</f>
        <v>0</v>
      </c>
    </row>
    <row r="104">
      <c r="A104" s="349" t="str">
        <f>Dashboard!B207</f>
        <v/>
      </c>
      <c r="B104" s="349"/>
      <c r="C104" s="356" t="str">
        <f>Dashboard!G207</f>
        <v/>
      </c>
      <c r="D104" s="489" t="str">
        <f>Dashboard!M207</f>
        <v/>
      </c>
      <c r="E104" s="490" t="s">
        <v>314</v>
      </c>
      <c r="F104" s="491" t="str">
        <f t="shared" si="1"/>
        <v/>
      </c>
      <c r="G104" s="492" t="s">
        <v>314</v>
      </c>
      <c r="H104" s="349" t="str">
        <f t="shared" si="2"/>
        <v/>
      </c>
      <c r="I104" s="349" t="str">
        <f t="shared" si="3"/>
        <v/>
      </c>
      <c r="J104" s="493"/>
      <c r="K104" s="349" t="str">
        <f>IFERROR(__xludf.DUMMYFUNCTION("if(ISBLANK(A104),"""",if(B104=""Buy"",CONCAT(GOOGLEFINANCE(A104,""name""),"" {Symbol: ""&amp;A104&amp;""} High Alert!! Share Has Reached Its Target Buying Price,""),""""))"),"")</f>
        <v/>
      </c>
      <c r="L104" s="349" t="b">
        <f>IFERROR(__xludf.DUMMYFUNCTION("if(B104= ""Buy"",CONCAT(GOOGLEFINANCE(A104,""NAME""),"" share currently trading at Rs""&amp;C104&amp;"", Which is ""&amp;H104&amp;"" below the Target price of Rs""&amp;D104&amp;"".""))"),FALSE)</f>
        <v>0</v>
      </c>
    </row>
    <row r="105">
      <c r="A105" s="349" t="str">
        <f>Dashboard!B208</f>
        <v/>
      </c>
      <c r="B105" s="349"/>
      <c r="C105" s="356" t="str">
        <f>Dashboard!G208</f>
        <v/>
      </c>
      <c r="D105" s="489" t="str">
        <f>Dashboard!M208</f>
        <v/>
      </c>
      <c r="E105" s="490" t="s">
        <v>314</v>
      </c>
      <c r="F105" s="491" t="str">
        <f t="shared" si="1"/>
        <v/>
      </c>
      <c r="G105" s="492" t="s">
        <v>314</v>
      </c>
      <c r="H105" s="349" t="str">
        <f t="shared" si="2"/>
        <v/>
      </c>
      <c r="I105" s="349" t="str">
        <f t="shared" si="3"/>
        <v/>
      </c>
      <c r="J105" s="493"/>
      <c r="K105" s="349" t="str">
        <f>IFERROR(__xludf.DUMMYFUNCTION("if(ISBLANK(A105),"""",if(B105=""Buy"",CONCAT(GOOGLEFINANCE(A105,""name""),"" {Symbol: ""&amp;A105&amp;""} High Alert!! Share Has Reached Its Target Buying Price,""),""""))"),"")</f>
        <v/>
      </c>
      <c r="L105" s="349" t="b">
        <f>IFERROR(__xludf.DUMMYFUNCTION("if(B105= ""Buy"",CONCAT(GOOGLEFINANCE(A105,""NAME""),"" share currently trading at Rs""&amp;C105&amp;"", Which is ""&amp;H105&amp;"" below the Target price of Rs""&amp;D105&amp;"".""))"),FALSE)</f>
        <v>0</v>
      </c>
    </row>
    <row r="106">
      <c r="A106" s="349" t="str">
        <f>Dashboard!B209</f>
        <v/>
      </c>
      <c r="B106" s="349"/>
      <c r="C106" s="356" t="str">
        <f>Dashboard!G209</f>
        <v/>
      </c>
      <c r="D106" s="489" t="str">
        <f>Dashboard!M209</f>
        <v/>
      </c>
      <c r="E106" s="490" t="s">
        <v>314</v>
      </c>
      <c r="F106" s="491" t="str">
        <f t="shared" si="1"/>
        <v/>
      </c>
      <c r="G106" s="492" t="s">
        <v>314</v>
      </c>
      <c r="H106" s="349" t="str">
        <f t="shared" si="2"/>
        <v/>
      </c>
      <c r="I106" s="349" t="str">
        <f t="shared" si="3"/>
        <v/>
      </c>
      <c r="J106" s="493"/>
      <c r="K106" s="349" t="str">
        <f>IFERROR(__xludf.DUMMYFUNCTION("if(ISBLANK(A106),"""",if(B106=""Buy"",CONCAT(GOOGLEFINANCE(A106,""name""),"" {Symbol: ""&amp;A106&amp;""} High Alert!! Share Has Reached Its Target Buying Price,""),""""))"),"")</f>
        <v/>
      </c>
      <c r="L106" s="349" t="b">
        <f>IFERROR(__xludf.DUMMYFUNCTION("if(B106= ""Buy"",CONCAT(GOOGLEFINANCE(A106,""NAME""),"" share currently trading at Rs""&amp;C106&amp;"", Which is ""&amp;H106&amp;"" below the Target price of Rs""&amp;D106&amp;"".""))"),FALSE)</f>
        <v>0</v>
      </c>
    </row>
    <row r="107">
      <c r="A107" s="349" t="str">
        <f>Dashboard!B210</f>
        <v/>
      </c>
      <c r="B107" s="349"/>
      <c r="C107" s="356" t="str">
        <f>Dashboard!G210</f>
        <v/>
      </c>
      <c r="D107" s="489" t="str">
        <f>Dashboard!M210</f>
        <v/>
      </c>
      <c r="E107" s="490" t="s">
        <v>314</v>
      </c>
      <c r="F107" s="491" t="str">
        <f t="shared" si="1"/>
        <v/>
      </c>
      <c r="G107" s="492" t="s">
        <v>314</v>
      </c>
      <c r="H107" s="349" t="str">
        <f t="shared" si="2"/>
        <v/>
      </c>
      <c r="I107" s="349" t="str">
        <f t="shared" si="3"/>
        <v/>
      </c>
      <c r="J107" s="493"/>
      <c r="K107" s="349" t="str">
        <f>IFERROR(__xludf.DUMMYFUNCTION("if(ISBLANK(A107),"""",if(B107=""Buy"",CONCAT(GOOGLEFINANCE(A107,""name""),"" {Symbol: ""&amp;A107&amp;""} High Alert!! Share Has Reached Its Target Buying Price,""),""""))"),"")</f>
        <v/>
      </c>
      <c r="L107" s="349" t="b">
        <f>IFERROR(__xludf.DUMMYFUNCTION("if(B107= ""Buy"",CONCAT(GOOGLEFINANCE(A107,""NAME""),"" share currently trading at Rs""&amp;C107&amp;"", Which is ""&amp;H107&amp;"" below the Target price of Rs""&amp;D107&amp;"".""))"),FALSE)</f>
        <v>0</v>
      </c>
    </row>
    <row r="108">
      <c r="A108" s="349" t="str">
        <f>Dashboard!B211</f>
        <v/>
      </c>
      <c r="B108" s="349"/>
      <c r="C108" s="356" t="str">
        <f>Dashboard!G211</f>
        <v/>
      </c>
      <c r="D108" s="489" t="str">
        <f>Dashboard!M211</f>
        <v/>
      </c>
      <c r="E108" s="490" t="s">
        <v>314</v>
      </c>
      <c r="F108" s="491" t="str">
        <f t="shared" si="1"/>
        <v/>
      </c>
      <c r="G108" s="492" t="s">
        <v>314</v>
      </c>
      <c r="H108" s="349" t="str">
        <f t="shared" si="2"/>
        <v/>
      </c>
      <c r="I108" s="349" t="str">
        <f t="shared" si="3"/>
        <v/>
      </c>
      <c r="J108" s="493"/>
      <c r="K108" s="349" t="str">
        <f>IFERROR(__xludf.DUMMYFUNCTION("if(ISBLANK(A108),"""",if(B108=""Buy"",CONCAT(GOOGLEFINANCE(A108,""name""),"" {Symbol: ""&amp;A108&amp;""} High Alert!! Share Has Reached Its Target Buying Price,""),""""))"),"")</f>
        <v/>
      </c>
      <c r="L108" s="349" t="b">
        <f>IFERROR(__xludf.DUMMYFUNCTION("if(B108= ""Buy"",CONCAT(GOOGLEFINANCE(A108,""NAME""),"" share currently trading at Rs""&amp;C108&amp;"", Which is ""&amp;H108&amp;"" below the Target price of Rs""&amp;D108&amp;"".""))"),FALSE)</f>
        <v>0</v>
      </c>
    </row>
    <row r="109">
      <c r="A109" s="349" t="str">
        <f>Dashboard!B212</f>
        <v/>
      </c>
      <c r="B109" s="349"/>
      <c r="C109" s="356" t="str">
        <f>Dashboard!G212</f>
        <v/>
      </c>
      <c r="D109" s="489" t="str">
        <f>Dashboard!M212</f>
        <v/>
      </c>
      <c r="E109" s="490" t="s">
        <v>314</v>
      </c>
      <c r="F109" s="491" t="str">
        <f t="shared" si="1"/>
        <v/>
      </c>
      <c r="G109" s="492" t="s">
        <v>314</v>
      </c>
      <c r="H109" s="349" t="str">
        <f t="shared" si="2"/>
        <v/>
      </c>
      <c r="I109" s="349" t="str">
        <f t="shared" si="3"/>
        <v/>
      </c>
      <c r="J109" s="493"/>
      <c r="K109" s="349" t="str">
        <f>IFERROR(__xludf.DUMMYFUNCTION("if(ISBLANK(A109),"""",if(B109=""Buy"",CONCAT(GOOGLEFINANCE(A109,""name""),"" {Symbol: ""&amp;A109&amp;""} High Alert!! Share Has Reached Its Target Buying Price,""),""""))"),"")</f>
        <v/>
      </c>
      <c r="L109" s="349" t="b">
        <f>IFERROR(__xludf.DUMMYFUNCTION("if(B109= ""Buy"",CONCAT(GOOGLEFINANCE(A109,""NAME""),"" share currently trading at Rs""&amp;C109&amp;"", Which is ""&amp;H109&amp;"" below the Target price of Rs""&amp;D109&amp;"".""))"),FALSE)</f>
        <v>0</v>
      </c>
    </row>
    <row r="110">
      <c r="A110" s="349" t="str">
        <f>Dashboard!B213</f>
        <v/>
      </c>
      <c r="B110" s="349"/>
      <c r="C110" s="356" t="str">
        <f>Dashboard!G213</f>
        <v/>
      </c>
      <c r="D110" s="489" t="str">
        <f>Dashboard!M213</f>
        <v/>
      </c>
      <c r="E110" s="490" t="s">
        <v>314</v>
      </c>
      <c r="F110" s="491" t="str">
        <f t="shared" si="1"/>
        <v/>
      </c>
      <c r="G110" s="492" t="s">
        <v>314</v>
      </c>
      <c r="H110" s="349" t="str">
        <f t="shared" si="2"/>
        <v/>
      </c>
      <c r="I110" s="349" t="str">
        <f t="shared" si="3"/>
        <v/>
      </c>
      <c r="J110" s="493"/>
      <c r="K110" s="349" t="str">
        <f>IFERROR(__xludf.DUMMYFUNCTION("if(ISBLANK(A110),"""",if(B110=""Buy"",CONCAT(GOOGLEFINANCE(A110,""name""),"" {Symbol: ""&amp;A110&amp;""} High Alert!! Share Has Reached Its Target Buying Price,""),""""))"),"")</f>
        <v/>
      </c>
      <c r="L110" s="349" t="b">
        <f>IFERROR(__xludf.DUMMYFUNCTION("if(B110= ""Buy"",CONCAT(GOOGLEFINANCE(A110,""NAME""),"" share currently trading at Rs""&amp;C110&amp;"", Which is ""&amp;H110&amp;"" below the Target price of Rs""&amp;D110&amp;"".""))"),FALSE)</f>
        <v>0</v>
      </c>
    </row>
    <row r="111">
      <c r="A111" s="349" t="str">
        <f>Dashboard!B214</f>
        <v/>
      </c>
      <c r="B111" s="349"/>
      <c r="C111" s="356" t="str">
        <f>Dashboard!G214</f>
        <v/>
      </c>
      <c r="D111" s="489" t="str">
        <f>Dashboard!M214</f>
        <v/>
      </c>
      <c r="E111" s="490" t="s">
        <v>314</v>
      </c>
      <c r="F111" s="491" t="str">
        <f t="shared" si="1"/>
        <v/>
      </c>
      <c r="G111" s="492" t="s">
        <v>314</v>
      </c>
      <c r="H111" s="349" t="str">
        <f t="shared" si="2"/>
        <v/>
      </c>
      <c r="I111" s="349" t="str">
        <f t="shared" si="3"/>
        <v/>
      </c>
      <c r="J111" s="493"/>
      <c r="K111" s="349" t="str">
        <f>IFERROR(__xludf.DUMMYFUNCTION("if(ISBLANK(A111),"""",if(B111=""Buy"",CONCAT(GOOGLEFINANCE(A111,""name""),"" {Symbol: ""&amp;A111&amp;""} High Alert!! Share Has Reached Its Target Buying Price,""),""""))"),"")</f>
        <v/>
      </c>
      <c r="L111" s="349" t="b">
        <f>IFERROR(__xludf.DUMMYFUNCTION("if(B111= ""Buy"",CONCAT(GOOGLEFINANCE(A111,""NAME""),"" share currently trading at Rs""&amp;C111&amp;"", Which is ""&amp;H111&amp;"" below the Target price of Rs""&amp;D111&amp;"".""))"),FALSE)</f>
        <v>0</v>
      </c>
    </row>
    <row r="112">
      <c r="A112" s="349" t="str">
        <f>Dashboard!B215</f>
        <v/>
      </c>
      <c r="B112" s="349"/>
      <c r="C112" s="356" t="str">
        <f>Dashboard!G215</f>
        <v/>
      </c>
      <c r="D112" s="489" t="str">
        <f>Dashboard!M215</f>
        <v/>
      </c>
      <c r="E112" s="490" t="s">
        <v>314</v>
      </c>
      <c r="F112" s="491" t="str">
        <f t="shared" si="1"/>
        <v/>
      </c>
      <c r="G112" s="492" t="s">
        <v>314</v>
      </c>
      <c r="H112" s="349" t="str">
        <f t="shared" si="2"/>
        <v/>
      </c>
      <c r="I112" s="349" t="str">
        <f t="shared" si="3"/>
        <v/>
      </c>
      <c r="J112" s="493"/>
      <c r="K112" s="349" t="str">
        <f>IFERROR(__xludf.DUMMYFUNCTION("if(ISBLANK(A112),"""",if(B112=""Buy"",CONCAT(GOOGLEFINANCE(A112,""name""),"" {Symbol: ""&amp;A112&amp;""} High Alert!! Share Has Reached Its Target Buying Price,""),""""))"),"")</f>
        <v/>
      </c>
      <c r="L112" s="349" t="b">
        <f>IFERROR(__xludf.DUMMYFUNCTION("if(B112= ""Buy"",CONCAT(GOOGLEFINANCE(A112,""NAME""),"" share currently trading at Rs""&amp;C112&amp;"", Which is ""&amp;H112&amp;"" below the Target price of Rs""&amp;D112&amp;"".""))"),FALSE)</f>
        <v>0</v>
      </c>
    </row>
    <row r="113">
      <c r="A113" s="349" t="str">
        <f>Dashboard!B216</f>
        <v/>
      </c>
      <c r="B113" s="349"/>
      <c r="C113" s="356" t="str">
        <f>Dashboard!G216</f>
        <v/>
      </c>
      <c r="D113" s="489" t="str">
        <f>Dashboard!M216</f>
        <v/>
      </c>
      <c r="E113" s="490" t="s">
        <v>314</v>
      </c>
      <c r="F113" s="491" t="str">
        <f t="shared" si="1"/>
        <v/>
      </c>
      <c r="G113" s="492" t="s">
        <v>314</v>
      </c>
      <c r="H113" s="349" t="str">
        <f t="shared" si="2"/>
        <v/>
      </c>
      <c r="I113" s="349" t="str">
        <f t="shared" si="3"/>
        <v/>
      </c>
      <c r="J113" s="493"/>
      <c r="K113" s="349" t="str">
        <f>IFERROR(__xludf.DUMMYFUNCTION("if(ISBLANK(A113),"""",if(B113=""Buy"",CONCAT(GOOGLEFINANCE(A113,""name""),"" {Symbol: ""&amp;A113&amp;""} High Alert!! Share Has Reached Its Target Buying Price,""),""""))"),"")</f>
        <v/>
      </c>
      <c r="L113" s="349" t="b">
        <f>IFERROR(__xludf.DUMMYFUNCTION("if(B113= ""Buy"",CONCAT(GOOGLEFINANCE(A113,""NAME""),"" share currently trading at Rs""&amp;C113&amp;"", Which is ""&amp;H113&amp;"" below the Target price of Rs""&amp;D113&amp;"".""))"),FALSE)</f>
        <v>0</v>
      </c>
    </row>
    <row r="114">
      <c r="A114" s="349" t="str">
        <f>Dashboard!B217</f>
        <v/>
      </c>
      <c r="B114" s="349"/>
      <c r="C114" s="356" t="str">
        <f>Dashboard!G217</f>
        <v/>
      </c>
      <c r="D114" s="489" t="str">
        <f>Dashboard!M217</f>
        <v/>
      </c>
      <c r="E114" s="490" t="s">
        <v>314</v>
      </c>
      <c r="F114" s="491" t="str">
        <f t="shared" si="1"/>
        <v/>
      </c>
      <c r="G114" s="492" t="s">
        <v>314</v>
      </c>
      <c r="H114" s="349" t="str">
        <f t="shared" si="2"/>
        <v/>
      </c>
      <c r="I114" s="349" t="str">
        <f t="shared" si="3"/>
        <v/>
      </c>
      <c r="J114" s="493"/>
      <c r="K114" s="349" t="str">
        <f>IFERROR(__xludf.DUMMYFUNCTION("if(ISBLANK(A114),"""",if(B114=""Buy"",CONCAT(GOOGLEFINANCE(A114,""name""),"" {Symbol: ""&amp;A114&amp;""} High Alert!! Share Has Reached Its Target Buying Price,""),""""))"),"")</f>
        <v/>
      </c>
      <c r="L114" s="349" t="b">
        <f>IFERROR(__xludf.DUMMYFUNCTION("if(B114= ""Buy"",CONCAT(GOOGLEFINANCE(A114,""NAME""),"" share currently trading at Rs""&amp;C114&amp;"", Which is ""&amp;H114&amp;"" below the Target price of Rs""&amp;D114&amp;"".""))"),FALSE)</f>
        <v>0</v>
      </c>
    </row>
    <row r="115">
      <c r="A115" s="349" t="str">
        <f>Dashboard!B218</f>
        <v/>
      </c>
      <c r="B115" s="349"/>
      <c r="C115" s="356" t="str">
        <f>Dashboard!G218</f>
        <v/>
      </c>
      <c r="D115" s="489" t="str">
        <f>Dashboard!M218</f>
        <v/>
      </c>
      <c r="E115" s="490" t="s">
        <v>314</v>
      </c>
      <c r="F115" s="491" t="str">
        <f t="shared" si="1"/>
        <v/>
      </c>
      <c r="G115" s="492" t="s">
        <v>314</v>
      </c>
      <c r="H115" s="349" t="str">
        <f t="shared" si="2"/>
        <v/>
      </c>
      <c r="I115" s="349" t="str">
        <f t="shared" si="3"/>
        <v/>
      </c>
      <c r="J115" s="493"/>
      <c r="K115" s="349" t="str">
        <f>IFERROR(__xludf.DUMMYFUNCTION("if(ISBLANK(A115),"""",if(B115=""Buy"",CONCAT(GOOGLEFINANCE(A115,""name""),"" {Symbol: ""&amp;A115&amp;""} High Alert!! Share Has Reached Its Target Buying Price,""),""""))"),"")</f>
        <v/>
      </c>
      <c r="L115" s="349" t="b">
        <f>IFERROR(__xludf.DUMMYFUNCTION("if(B115= ""Buy"",CONCAT(GOOGLEFINANCE(A115,""NAME""),"" share currently trading at Rs""&amp;C115&amp;"", Which is ""&amp;H115&amp;"" below the Target price of Rs""&amp;D115&amp;"".""))"),FALSE)</f>
        <v>0</v>
      </c>
    </row>
    <row r="116">
      <c r="A116" s="349" t="str">
        <f>Dashboard!B219</f>
        <v/>
      </c>
      <c r="B116" s="349"/>
      <c r="C116" s="356" t="str">
        <f>Dashboard!G219</f>
        <v/>
      </c>
      <c r="D116" s="489" t="str">
        <f>Dashboard!M219</f>
        <v/>
      </c>
      <c r="E116" s="490" t="s">
        <v>314</v>
      </c>
      <c r="F116" s="491" t="str">
        <f t="shared" si="1"/>
        <v/>
      </c>
      <c r="G116" s="492" t="s">
        <v>314</v>
      </c>
      <c r="H116" s="349" t="str">
        <f t="shared" si="2"/>
        <v/>
      </c>
      <c r="I116" s="349" t="str">
        <f t="shared" si="3"/>
        <v/>
      </c>
      <c r="J116" s="493"/>
      <c r="K116" s="349" t="str">
        <f>IFERROR(__xludf.DUMMYFUNCTION("if(ISBLANK(A116),"""",if(B116=""Buy"",CONCAT(GOOGLEFINANCE(A116,""name""),"" {Symbol: ""&amp;A116&amp;""} High Alert!! Share Has Reached Its Target Buying Price,""),""""))"),"")</f>
        <v/>
      </c>
      <c r="L116" s="349" t="b">
        <f>IFERROR(__xludf.DUMMYFUNCTION("if(B116= ""Buy"",CONCAT(GOOGLEFINANCE(A116,""NAME""),"" share currently trading at Rs""&amp;C116&amp;"", Which is ""&amp;H116&amp;"" below the Target price of Rs""&amp;D116&amp;"".""))"),FALSE)</f>
        <v>0</v>
      </c>
    </row>
    <row r="117">
      <c r="A117" s="349" t="str">
        <f>Dashboard!B220</f>
        <v/>
      </c>
      <c r="B117" s="349"/>
      <c r="C117" s="356" t="str">
        <f>Dashboard!G220</f>
        <v/>
      </c>
      <c r="D117" s="489" t="str">
        <f>Dashboard!M220</f>
        <v/>
      </c>
      <c r="E117" s="490" t="s">
        <v>314</v>
      </c>
      <c r="F117" s="491" t="str">
        <f t="shared" si="1"/>
        <v/>
      </c>
      <c r="G117" s="492" t="s">
        <v>314</v>
      </c>
      <c r="H117" s="349" t="str">
        <f t="shared" si="2"/>
        <v/>
      </c>
      <c r="I117" s="349" t="str">
        <f t="shared" si="3"/>
        <v/>
      </c>
      <c r="J117" s="493"/>
      <c r="K117" s="349" t="str">
        <f>IFERROR(__xludf.DUMMYFUNCTION("if(ISBLANK(A117),"""",if(B117=""Buy"",CONCAT(GOOGLEFINANCE(A117,""name""),"" {Symbol: ""&amp;A117&amp;""} High Alert!! Share Has Reached Its Target Buying Price,""),""""))"),"")</f>
        <v/>
      </c>
      <c r="L117" s="349" t="b">
        <f>IFERROR(__xludf.DUMMYFUNCTION("if(B117= ""Buy"",CONCAT(GOOGLEFINANCE(A117,""NAME""),"" share currently trading at Rs""&amp;C117&amp;"", Which is ""&amp;H117&amp;"" below the Target price of Rs""&amp;D117&amp;"".""))"),FALSE)</f>
        <v>0</v>
      </c>
    </row>
    <row r="118">
      <c r="A118" s="349" t="str">
        <f>Dashboard!B221</f>
        <v/>
      </c>
      <c r="B118" s="349"/>
      <c r="C118" s="356" t="str">
        <f>Dashboard!G221</f>
        <v/>
      </c>
      <c r="D118" s="489" t="str">
        <f>Dashboard!M221</f>
        <v/>
      </c>
      <c r="E118" s="490" t="s">
        <v>314</v>
      </c>
      <c r="F118" s="491" t="str">
        <f t="shared" si="1"/>
        <v/>
      </c>
      <c r="G118" s="492" t="s">
        <v>314</v>
      </c>
      <c r="H118" s="349" t="str">
        <f t="shared" si="2"/>
        <v/>
      </c>
      <c r="I118" s="349" t="str">
        <f t="shared" si="3"/>
        <v/>
      </c>
      <c r="J118" s="493"/>
      <c r="K118" s="349" t="str">
        <f>IFERROR(__xludf.DUMMYFUNCTION("if(ISBLANK(A118),"""",if(B118=""Buy"",CONCAT(GOOGLEFINANCE(A118,""name""),"" {Symbol: ""&amp;A118&amp;""} High Alert!! Share Has Reached Its Target Buying Price,""),""""))"),"")</f>
        <v/>
      </c>
      <c r="L118" s="349" t="b">
        <f>IFERROR(__xludf.DUMMYFUNCTION("if(B118= ""Buy"",CONCAT(GOOGLEFINANCE(A118,""NAME""),"" share currently trading at Rs""&amp;C118&amp;"", Which is ""&amp;H118&amp;"" below the Target price of Rs""&amp;D118&amp;"".""))"),FALSE)</f>
        <v>0</v>
      </c>
    </row>
    <row r="119">
      <c r="A119" s="349" t="str">
        <f>Dashboard!B222</f>
        <v/>
      </c>
      <c r="B119" s="349"/>
      <c r="C119" s="356" t="str">
        <f>Dashboard!G222</f>
        <v/>
      </c>
      <c r="D119" s="489" t="str">
        <f>Dashboard!M222</f>
        <v/>
      </c>
      <c r="E119" s="490" t="s">
        <v>314</v>
      </c>
      <c r="F119" s="491" t="str">
        <f t="shared" si="1"/>
        <v/>
      </c>
      <c r="G119" s="492" t="s">
        <v>314</v>
      </c>
      <c r="H119" s="349" t="str">
        <f t="shared" si="2"/>
        <v/>
      </c>
      <c r="I119" s="349" t="str">
        <f t="shared" si="3"/>
        <v/>
      </c>
      <c r="J119" s="493"/>
      <c r="K119" s="349" t="str">
        <f>IFERROR(__xludf.DUMMYFUNCTION("if(ISBLANK(A119),"""",if(B119=""Buy"",CONCAT(GOOGLEFINANCE(A119,""name""),"" {Symbol: ""&amp;A119&amp;""} High Alert!! Share Has Reached Its Target Buying Price,""),""""))"),"")</f>
        <v/>
      </c>
      <c r="L119" s="349" t="b">
        <f>IFERROR(__xludf.DUMMYFUNCTION("if(B119= ""Buy"",CONCAT(GOOGLEFINANCE(A119,""NAME""),"" share currently trading at Rs""&amp;C119&amp;"", Which is ""&amp;H119&amp;"" below the Target price of Rs""&amp;D119&amp;"".""))"),FALSE)</f>
        <v>0</v>
      </c>
    </row>
    <row r="120">
      <c r="A120" s="349" t="str">
        <f>Dashboard!B223</f>
        <v/>
      </c>
      <c r="B120" s="349"/>
      <c r="C120" s="356" t="str">
        <f>Dashboard!G223</f>
        <v/>
      </c>
      <c r="D120" s="489" t="str">
        <f>Dashboard!M223</f>
        <v/>
      </c>
      <c r="E120" s="490" t="s">
        <v>314</v>
      </c>
      <c r="F120" s="491" t="str">
        <f t="shared" si="1"/>
        <v/>
      </c>
      <c r="G120" s="492" t="s">
        <v>314</v>
      </c>
      <c r="H120" s="349" t="str">
        <f t="shared" si="2"/>
        <v/>
      </c>
      <c r="I120" s="349" t="str">
        <f t="shared" si="3"/>
        <v/>
      </c>
      <c r="J120" s="493"/>
      <c r="K120" s="349" t="str">
        <f>IFERROR(__xludf.DUMMYFUNCTION("if(ISBLANK(A120),"""",if(B120=""Buy"",CONCAT(GOOGLEFINANCE(A120,""name""),"" {Symbol: ""&amp;A120&amp;""} High Alert!! Share Has Reached Its Target Buying Price,""),""""))"),"")</f>
        <v/>
      </c>
      <c r="L120" s="349" t="b">
        <f>IFERROR(__xludf.DUMMYFUNCTION("if(B120= ""Buy"",CONCAT(GOOGLEFINANCE(A120,""NAME""),"" share currently trading at Rs""&amp;C120&amp;"", Which is ""&amp;H120&amp;"" below the Target price of Rs""&amp;D120&amp;"".""))"),FALSE)</f>
        <v>0</v>
      </c>
    </row>
    <row r="121">
      <c r="A121" s="349" t="str">
        <f>Dashboard!B224</f>
        <v/>
      </c>
      <c r="B121" s="349"/>
      <c r="C121" s="356" t="str">
        <f>Dashboard!G224</f>
        <v/>
      </c>
      <c r="D121" s="489" t="str">
        <f>Dashboard!M224</f>
        <v/>
      </c>
      <c r="E121" s="490" t="s">
        <v>314</v>
      </c>
      <c r="F121" s="491" t="str">
        <f t="shared" si="1"/>
        <v/>
      </c>
      <c r="G121" s="492" t="s">
        <v>314</v>
      </c>
      <c r="H121" s="349" t="str">
        <f t="shared" si="2"/>
        <v/>
      </c>
      <c r="I121" s="349" t="str">
        <f t="shared" si="3"/>
        <v/>
      </c>
      <c r="J121" s="493"/>
      <c r="K121" s="349" t="str">
        <f>IFERROR(__xludf.DUMMYFUNCTION("if(ISBLANK(A121),"""",if(B121=""Buy"",CONCAT(GOOGLEFINANCE(A121,""name""),"" {Symbol: ""&amp;A121&amp;""} High Alert!! Share Has Reached Its Target Buying Price,""),""""))"),"")</f>
        <v/>
      </c>
      <c r="L121" s="349" t="b">
        <f>IFERROR(__xludf.DUMMYFUNCTION("if(B121= ""Buy"",CONCAT(GOOGLEFINANCE(A121,""NAME""),"" share currently trading at Rs""&amp;C121&amp;"", Which is ""&amp;H121&amp;"" below the Target price of Rs""&amp;D121&amp;"".""))"),FALSE)</f>
        <v>0</v>
      </c>
    </row>
    <row r="122">
      <c r="A122" s="349" t="str">
        <f>Dashboard!B225</f>
        <v/>
      </c>
      <c r="B122" s="349"/>
      <c r="C122" s="356" t="str">
        <f>Dashboard!G225</f>
        <v/>
      </c>
      <c r="D122" s="489" t="str">
        <f>Dashboard!M225</f>
        <v/>
      </c>
      <c r="E122" s="490" t="s">
        <v>314</v>
      </c>
      <c r="F122" s="491" t="str">
        <f t="shared" si="1"/>
        <v/>
      </c>
      <c r="G122" s="492" t="s">
        <v>314</v>
      </c>
      <c r="H122" s="349" t="str">
        <f t="shared" si="2"/>
        <v/>
      </c>
      <c r="I122" s="349" t="str">
        <f t="shared" si="3"/>
        <v/>
      </c>
      <c r="J122" s="493"/>
      <c r="K122" s="349" t="str">
        <f>IFERROR(__xludf.DUMMYFUNCTION("if(ISBLANK(A122),"""",if(B122=""Buy"",CONCAT(GOOGLEFINANCE(A122,""name""),"" {Symbol: ""&amp;A122&amp;""} High Alert!! Share Has Reached Its Target Buying Price,""),""""))"),"")</f>
        <v/>
      </c>
      <c r="L122" s="349" t="b">
        <f>IFERROR(__xludf.DUMMYFUNCTION("if(B122= ""Buy"",CONCAT(GOOGLEFINANCE(A122,""NAME""),"" share currently trading at Rs""&amp;C122&amp;"", Which is ""&amp;H122&amp;"" below the Target price of Rs""&amp;D122&amp;"".""))"),FALSE)</f>
        <v>0</v>
      </c>
    </row>
    <row r="123">
      <c r="A123" s="349" t="str">
        <f>Dashboard!B226</f>
        <v/>
      </c>
      <c r="B123" s="349"/>
      <c r="C123" s="356" t="str">
        <f>Dashboard!G226</f>
        <v/>
      </c>
      <c r="D123" s="489" t="str">
        <f>Dashboard!M226</f>
        <v/>
      </c>
      <c r="E123" s="490" t="s">
        <v>314</v>
      </c>
      <c r="F123" s="491" t="str">
        <f t="shared" si="1"/>
        <v/>
      </c>
      <c r="G123" s="492" t="s">
        <v>314</v>
      </c>
      <c r="H123" s="349" t="str">
        <f t="shared" si="2"/>
        <v/>
      </c>
      <c r="I123" s="349" t="str">
        <f t="shared" si="3"/>
        <v/>
      </c>
      <c r="J123" s="493"/>
      <c r="K123" s="349" t="str">
        <f>IFERROR(__xludf.DUMMYFUNCTION("if(ISBLANK(A123),"""",if(B123=""Buy"",CONCAT(GOOGLEFINANCE(A123,""name""),"" {Symbol: ""&amp;A123&amp;""} High Alert!! Share Has Reached Its Target Buying Price,""),""""))"),"")</f>
        <v/>
      </c>
      <c r="L123" s="349" t="b">
        <f>IFERROR(__xludf.DUMMYFUNCTION("if(B123= ""Buy"",CONCAT(GOOGLEFINANCE(A123,""NAME""),"" share currently trading at Rs""&amp;C123&amp;"", Which is ""&amp;H123&amp;"" below the Target price of Rs""&amp;D123&amp;"".""))"),FALSE)</f>
        <v>0</v>
      </c>
    </row>
    <row r="124">
      <c r="A124" s="349" t="str">
        <f>Dashboard!B227</f>
        <v/>
      </c>
      <c r="B124" s="349"/>
      <c r="C124" s="356" t="str">
        <f>Dashboard!G227</f>
        <v/>
      </c>
      <c r="D124" s="489" t="str">
        <f>Dashboard!M227</f>
        <v/>
      </c>
      <c r="E124" s="490" t="s">
        <v>314</v>
      </c>
      <c r="F124" s="491" t="str">
        <f t="shared" si="1"/>
        <v/>
      </c>
      <c r="G124" s="492" t="s">
        <v>314</v>
      </c>
      <c r="H124" s="349" t="str">
        <f t="shared" si="2"/>
        <v/>
      </c>
      <c r="I124" s="349" t="str">
        <f t="shared" si="3"/>
        <v/>
      </c>
      <c r="J124" s="493"/>
      <c r="K124" s="349" t="str">
        <f>IFERROR(__xludf.DUMMYFUNCTION("if(ISBLANK(A124),"""",if(B124=""Buy"",CONCAT(GOOGLEFINANCE(A124,""name""),"" {Symbol: ""&amp;A124&amp;""} High Alert!! Share Has Reached Its Target Buying Price,""),""""))"),"")</f>
        <v/>
      </c>
      <c r="L124" s="349" t="b">
        <f>IFERROR(__xludf.DUMMYFUNCTION("if(B124= ""Buy"",CONCAT(GOOGLEFINANCE(A124,""NAME""),"" share currently trading at Rs""&amp;C124&amp;"", Which is ""&amp;H124&amp;"" below the Target price of Rs""&amp;D124&amp;"".""))"),FALSE)</f>
        <v>0</v>
      </c>
    </row>
    <row r="125">
      <c r="A125" s="349" t="str">
        <f>Dashboard!B228</f>
        <v/>
      </c>
      <c r="B125" s="349"/>
      <c r="C125" s="356" t="str">
        <f>Dashboard!G228</f>
        <v/>
      </c>
      <c r="D125" s="489" t="str">
        <f>Dashboard!M228</f>
        <v/>
      </c>
      <c r="E125" s="490" t="s">
        <v>314</v>
      </c>
      <c r="F125" s="491" t="str">
        <f t="shared" si="1"/>
        <v/>
      </c>
      <c r="G125" s="492" t="s">
        <v>314</v>
      </c>
      <c r="H125" s="349" t="str">
        <f t="shared" si="2"/>
        <v/>
      </c>
      <c r="I125" s="349" t="str">
        <f t="shared" si="3"/>
        <v/>
      </c>
      <c r="J125" s="493"/>
      <c r="K125" s="349" t="str">
        <f>IFERROR(__xludf.DUMMYFUNCTION("if(ISBLANK(A125),"""",if(B125=""Buy"",CONCAT(GOOGLEFINANCE(A125,""name""),"" {Symbol: ""&amp;A125&amp;""} High Alert!! Share Has Reached Its Target Buying Price,""),""""))"),"")</f>
        <v/>
      </c>
      <c r="L125" s="349" t="b">
        <f>IFERROR(__xludf.DUMMYFUNCTION("if(B125= ""Buy"",CONCAT(GOOGLEFINANCE(A125,""NAME""),"" share currently trading at Rs""&amp;C125&amp;"", Which is ""&amp;H125&amp;"" below the Target price of Rs""&amp;D125&amp;"".""))"),FALSE)</f>
        <v>0</v>
      </c>
    </row>
    <row r="126">
      <c r="A126" s="349" t="str">
        <f>Dashboard!B229</f>
        <v/>
      </c>
      <c r="B126" s="349"/>
      <c r="C126" s="356" t="str">
        <f>Dashboard!G229</f>
        <v/>
      </c>
      <c r="D126" s="489" t="str">
        <f>Dashboard!M229</f>
        <v/>
      </c>
      <c r="E126" s="490" t="s">
        <v>314</v>
      </c>
      <c r="F126" s="491" t="str">
        <f t="shared" si="1"/>
        <v/>
      </c>
      <c r="G126" s="492" t="s">
        <v>314</v>
      </c>
      <c r="H126" s="349" t="str">
        <f t="shared" si="2"/>
        <v/>
      </c>
      <c r="I126" s="349" t="str">
        <f t="shared" si="3"/>
        <v/>
      </c>
      <c r="J126" s="493"/>
      <c r="K126" s="349" t="str">
        <f>IFERROR(__xludf.DUMMYFUNCTION("if(ISBLANK(A126),"""",if(B126=""Buy"",CONCAT(GOOGLEFINANCE(A126,""name""),"" {Symbol: ""&amp;A126&amp;""} High Alert!! Share Has Reached Its Target Buying Price,""),""""))"),"")</f>
        <v/>
      </c>
      <c r="L126" s="349" t="b">
        <f>IFERROR(__xludf.DUMMYFUNCTION("if(B126= ""Buy"",CONCAT(GOOGLEFINANCE(A126,""NAME""),"" share currently trading at Rs""&amp;C126&amp;"", Which is ""&amp;H126&amp;"" below the Target price of Rs""&amp;D126&amp;"".""))"),FALSE)</f>
        <v>0</v>
      </c>
    </row>
    <row r="127">
      <c r="A127" s="349" t="str">
        <f>Dashboard!B230</f>
        <v/>
      </c>
      <c r="B127" s="349"/>
      <c r="C127" s="356" t="str">
        <f>Dashboard!G230</f>
        <v/>
      </c>
      <c r="D127" s="489" t="str">
        <f>Dashboard!M230</f>
        <v/>
      </c>
      <c r="E127" s="490" t="s">
        <v>314</v>
      </c>
      <c r="F127" s="491" t="str">
        <f t="shared" si="1"/>
        <v/>
      </c>
      <c r="G127" s="492" t="s">
        <v>314</v>
      </c>
      <c r="H127" s="349" t="str">
        <f t="shared" si="2"/>
        <v/>
      </c>
      <c r="I127" s="349" t="str">
        <f t="shared" si="3"/>
        <v/>
      </c>
      <c r="J127" s="493"/>
      <c r="K127" s="349" t="str">
        <f>IFERROR(__xludf.DUMMYFUNCTION("if(ISBLANK(A127),"""",if(B127=""Buy"",CONCAT(GOOGLEFINANCE(A127,""name""),"" {Symbol: ""&amp;A127&amp;""} High Alert!! Share Has Reached Its Target Buying Price,""),""""))"),"")</f>
        <v/>
      </c>
      <c r="L127" s="349" t="b">
        <f>IFERROR(__xludf.DUMMYFUNCTION("if(B127= ""Buy"",CONCAT(GOOGLEFINANCE(A127,""NAME""),"" share currently trading at Rs""&amp;C127&amp;"", Which is ""&amp;H127&amp;"" below the Target price of Rs""&amp;D127&amp;"".""))"),FALSE)</f>
        <v>0</v>
      </c>
    </row>
    <row r="128">
      <c r="A128" s="349" t="str">
        <f>Dashboard!B231</f>
        <v/>
      </c>
      <c r="B128" s="349"/>
      <c r="C128" s="356" t="str">
        <f>Dashboard!G231</f>
        <v/>
      </c>
      <c r="D128" s="489" t="str">
        <f>Dashboard!M231</f>
        <v/>
      </c>
      <c r="E128" s="490" t="s">
        <v>314</v>
      </c>
      <c r="F128" s="491" t="str">
        <f t="shared" si="1"/>
        <v/>
      </c>
      <c r="G128" s="492" t="s">
        <v>314</v>
      </c>
      <c r="H128" s="349" t="str">
        <f t="shared" si="2"/>
        <v/>
      </c>
      <c r="I128" s="349" t="str">
        <f t="shared" si="3"/>
        <v/>
      </c>
      <c r="J128" s="493"/>
      <c r="K128" s="349" t="str">
        <f>IFERROR(__xludf.DUMMYFUNCTION("if(ISBLANK(A128),"""",if(B128=""Buy"",CONCAT(GOOGLEFINANCE(A128,""name""),"" {Symbol: ""&amp;A128&amp;""} High Alert!! Share Has Reached Its Target Buying Price,""),""""))"),"")</f>
        <v/>
      </c>
      <c r="L128" s="349" t="b">
        <f>IFERROR(__xludf.DUMMYFUNCTION("if(B128= ""Buy"",CONCAT(GOOGLEFINANCE(A128,""NAME""),"" share currently trading at Rs""&amp;C128&amp;"", Which is ""&amp;H128&amp;"" below the Target price of Rs""&amp;D128&amp;"".""))"),FALSE)</f>
        <v>0</v>
      </c>
    </row>
    <row r="129">
      <c r="A129" s="349" t="str">
        <f>Dashboard!B232</f>
        <v/>
      </c>
      <c r="B129" s="349"/>
      <c r="C129" s="356" t="str">
        <f>Dashboard!G232</f>
        <v/>
      </c>
      <c r="D129" s="489" t="str">
        <f>Dashboard!M232</f>
        <v/>
      </c>
      <c r="E129" s="490" t="s">
        <v>314</v>
      </c>
      <c r="F129" s="491" t="str">
        <f t="shared" si="1"/>
        <v/>
      </c>
      <c r="G129" s="492" t="s">
        <v>314</v>
      </c>
      <c r="H129" s="349" t="str">
        <f t="shared" si="2"/>
        <v/>
      </c>
      <c r="I129" s="349" t="str">
        <f t="shared" si="3"/>
        <v/>
      </c>
      <c r="J129" s="493"/>
      <c r="K129" s="349" t="str">
        <f>IFERROR(__xludf.DUMMYFUNCTION("if(ISBLANK(A129),"""",if(B129=""Buy"",CONCAT(GOOGLEFINANCE(A129,""name""),"" {Symbol: ""&amp;A129&amp;""} High Alert!! Share Has Reached Its Target Buying Price,""),""""))"),"")</f>
        <v/>
      </c>
      <c r="L129" s="349" t="b">
        <f>IFERROR(__xludf.DUMMYFUNCTION("if(B129= ""Buy"",CONCAT(GOOGLEFINANCE(A129,""NAME""),"" share currently trading at Rs""&amp;C129&amp;"", Which is ""&amp;H129&amp;"" below the Target price of Rs""&amp;D129&amp;"".""))"),FALSE)</f>
        <v>0</v>
      </c>
    </row>
    <row r="130">
      <c r="A130" s="349" t="str">
        <f>Dashboard!B233</f>
        <v/>
      </c>
      <c r="B130" s="349"/>
      <c r="C130" s="356" t="str">
        <f>Dashboard!G233</f>
        <v/>
      </c>
      <c r="D130" s="489" t="str">
        <f>Dashboard!M233</f>
        <v/>
      </c>
      <c r="E130" s="490" t="s">
        <v>314</v>
      </c>
      <c r="F130" s="491" t="str">
        <f t="shared" si="1"/>
        <v/>
      </c>
      <c r="G130" s="492" t="s">
        <v>314</v>
      </c>
      <c r="H130" s="349" t="str">
        <f t="shared" si="2"/>
        <v/>
      </c>
      <c r="I130" s="349" t="str">
        <f t="shared" si="3"/>
        <v/>
      </c>
      <c r="J130" s="493"/>
      <c r="K130" s="349" t="str">
        <f>IFERROR(__xludf.DUMMYFUNCTION("if(ISBLANK(A130),"""",if(B130=""Buy"",CONCAT(GOOGLEFINANCE(A130,""name""),"" {Symbol: ""&amp;A130&amp;""} High Alert!! Share Has Reached Its Target Buying Price,""),""""))"),"")</f>
        <v/>
      </c>
      <c r="L130" s="349" t="b">
        <f>IFERROR(__xludf.DUMMYFUNCTION("if(B130= ""Buy"",CONCAT(GOOGLEFINANCE(A130,""NAME""),"" share currently trading at Rs""&amp;C130&amp;"", Which is ""&amp;H130&amp;"" below the Target price of Rs""&amp;D130&amp;"".""))"),FALSE)</f>
        <v>0</v>
      </c>
    </row>
    <row r="131">
      <c r="A131" s="349" t="str">
        <f>Dashboard!B234</f>
        <v/>
      </c>
      <c r="B131" s="349"/>
      <c r="C131" s="356" t="str">
        <f>Dashboard!G234</f>
        <v/>
      </c>
      <c r="D131" s="489" t="str">
        <f>Dashboard!M234</f>
        <v/>
      </c>
      <c r="E131" s="490" t="s">
        <v>314</v>
      </c>
      <c r="F131" s="491" t="str">
        <f t="shared" si="1"/>
        <v/>
      </c>
      <c r="G131" s="492" t="s">
        <v>314</v>
      </c>
      <c r="H131" s="349" t="str">
        <f t="shared" si="2"/>
        <v/>
      </c>
      <c r="I131" s="349" t="str">
        <f t="shared" si="3"/>
        <v/>
      </c>
      <c r="J131" s="493"/>
      <c r="K131" s="349" t="str">
        <f>IFERROR(__xludf.DUMMYFUNCTION("if(ISBLANK(A131),"""",if(B131=""Buy"",CONCAT(GOOGLEFINANCE(A131,""name""),"" {Symbol: ""&amp;A131&amp;""} High Alert!! Share Has Reached Its Target Buying Price,""),""""))"),"")</f>
        <v/>
      </c>
      <c r="L131" s="349" t="b">
        <f>IFERROR(__xludf.DUMMYFUNCTION("if(B131= ""Buy"",CONCAT(GOOGLEFINANCE(A131,""NAME""),"" share currently trading at Rs""&amp;C131&amp;"", Which is ""&amp;H131&amp;"" below the Target price of Rs""&amp;D131&amp;"".""))"),FALSE)</f>
        <v>0</v>
      </c>
    </row>
    <row r="132">
      <c r="A132" s="349" t="str">
        <f>Dashboard!B235</f>
        <v/>
      </c>
      <c r="B132" s="349"/>
      <c r="C132" s="356" t="str">
        <f>Dashboard!G235</f>
        <v/>
      </c>
      <c r="D132" s="489" t="str">
        <f>Dashboard!M235</f>
        <v/>
      </c>
      <c r="E132" s="490" t="s">
        <v>314</v>
      </c>
      <c r="F132" s="491" t="str">
        <f t="shared" si="1"/>
        <v/>
      </c>
      <c r="G132" s="492" t="s">
        <v>314</v>
      </c>
      <c r="H132" s="349" t="str">
        <f t="shared" si="2"/>
        <v/>
      </c>
      <c r="I132" s="349" t="str">
        <f t="shared" si="3"/>
        <v/>
      </c>
      <c r="J132" s="493"/>
      <c r="K132" s="349" t="str">
        <f>IFERROR(__xludf.DUMMYFUNCTION("if(ISBLANK(A132),"""",if(B132=""Buy"",CONCAT(GOOGLEFINANCE(A132,""name""),"" {Symbol: ""&amp;A132&amp;""} High Alert!! Share Has Reached Its Target Buying Price,""),""""))"),"")</f>
        <v/>
      </c>
      <c r="L132" s="349" t="b">
        <f>IFERROR(__xludf.DUMMYFUNCTION("if(B132= ""Buy"",CONCAT(GOOGLEFINANCE(A132,""NAME""),"" share currently trading at Rs""&amp;C132&amp;"", Which is ""&amp;H132&amp;"" below the Target price of Rs""&amp;D132&amp;"".""))"),FALSE)</f>
        <v>0</v>
      </c>
    </row>
    <row r="133">
      <c r="A133" s="349" t="str">
        <f>Dashboard!B236</f>
        <v/>
      </c>
      <c r="B133" s="349"/>
      <c r="C133" s="356" t="str">
        <f>Dashboard!G236</f>
        <v/>
      </c>
      <c r="D133" s="489" t="str">
        <f>Dashboard!M236</f>
        <v/>
      </c>
      <c r="E133" s="490" t="s">
        <v>314</v>
      </c>
      <c r="F133" s="491" t="str">
        <f t="shared" si="1"/>
        <v/>
      </c>
      <c r="G133" s="492" t="s">
        <v>314</v>
      </c>
      <c r="H133" s="349" t="str">
        <f t="shared" si="2"/>
        <v/>
      </c>
      <c r="I133" s="349" t="str">
        <f t="shared" si="3"/>
        <v/>
      </c>
      <c r="J133" s="493"/>
      <c r="K133" s="349" t="str">
        <f>IFERROR(__xludf.DUMMYFUNCTION("if(ISBLANK(A133),"""",if(B133=""Buy"",CONCAT(GOOGLEFINANCE(A133,""name""),"" {Symbol: ""&amp;A133&amp;""} High Alert!! Share Has Reached Its Target Buying Price,""),""""))"),"")</f>
        <v/>
      </c>
      <c r="L133" s="349" t="b">
        <f>IFERROR(__xludf.DUMMYFUNCTION("if(B133= ""Buy"",CONCAT(GOOGLEFINANCE(A133,""NAME""),"" share currently trading at Rs""&amp;C133&amp;"", Which is ""&amp;H133&amp;"" below the Target price of Rs""&amp;D133&amp;"".""))"),FALSE)</f>
        <v>0</v>
      </c>
    </row>
    <row r="134">
      <c r="A134" s="349" t="str">
        <f>Dashboard!B237</f>
        <v/>
      </c>
      <c r="B134" s="349"/>
      <c r="C134" s="356" t="str">
        <f>Dashboard!G237</f>
        <v/>
      </c>
      <c r="D134" s="489" t="str">
        <f>Dashboard!M237</f>
        <v/>
      </c>
      <c r="E134" s="490" t="s">
        <v>314</v>
      </c>
      <c r="F134" s="491" t="str">
        <f t="shared" si="1"/>
        <v/>
      </c>
      <c r="G134" s="492" t="s">
        <v>314</v>
      </c>
      <c r="H134" s="349" t="str">
        <f t="shared" si="2"/>
        <v/>
      </c>
      <c r="I134" s="349" t="str">
        <f t="shared" si="3"/>
        <v/>
      </c>
      <c r="J134" s="493"/>
      <c r="K134" s="349" t="str">
        <f>IFERROR(__xludf.DUMMYFUNCTION("if(ISBLANK(A134),"""",if(B134=""Buy"",CONCAT(GOOGLEFINANCE(A134,""name""),"" {Symbol: ""&amp;A134&amp;""} High Alert!! Share Has Reached Its Target Buying Price,""),""""))"),"")</f>
        <v/>
      </c>
      <c r="L134" s="349" t="b">
        <f>IFERROR(__xludf.DUMMYFUNCTION("if(B134= ""Buy"",CONCAT(GOOGLEFINANCE(A134,""NAME""),"" share currently trading at Rs""&amp;C134&amp;"", Which is ""&amp;H134&amp;"" below the Target price of Rs""&amp;D134&amp;"".""))"),FALSE)</f>
        <v>0</v>
      </c>
    </row>
    <row r="135">
      <c r="A135" s="349" t="str">
        <f>Dashboard!B238</f>
        <v/>
      </c>
      <c r="B135" s="349"/>
      <c r="C135" s="356" t="str">
        <f>Dashboard!G238</f>
        <v/>
      </c>
      <c r="D135" s="489" t="str">
        <f>Dashboard!M238</f>
        <v/>
      </c>
      <c r="E135" s="490" t="s">
        <v>314</v>
      </c>
      <c r="F135" s="491" t="str">
        <f t="shared" si="1"/>
        <v/>
      </c>
      <c r="G135" s="492" t="s">
        <v>314</v>
      </c>
      <c r="H135" s="349" t="str">
        <f t="shared" si="2"/>
        <v/>
      </c>
      <c r="I135" s="349" t="str">
        <f t="shared" si="3"/>
        <v/>
      </c>
      <c r="J135" s="493"/>
      <c r="K135" s="349" t="str">
        <f>IFERROR(__xludf.DUMMYFUNCTION("if(ISBLANK(A135),"""",if(B135=""Buy"",CONCAT(GOOGLEFINANCE(A135,""name""),"" {Symbol: ""&amp;A135&amp;""} High Alert!! Share Has Reached Its Target Buying Price,""),""""))"),"")</f>
        <v/>
      </c>
      <c r="L135" s="349" t="b">
        <f>IFERROR(__xludf.DUMMYFUNCTION("if(B135= ""Buy"",CONCAT(GOOGLEFINANCE(A135,""NAME""),"" share currently trading at Rs""&amp;C135&amp;"", Which is ""&amp;H135&amp;"" below the Target price of Rs""&amp;D135&amp;"".""))"),FALSE)</f>
        <v>0</v>
      </c>
    </row>
    <row r="136">
      <c r="A136" s="349" t="str">
        <f>Dashboard!B239</f>
        <v/>
      </c>
      <c r="B136" s="349"/>
      <c r="C136" s="356" t="str">
        <f>Dashboard!G239</f>
        <v/>
      </c>
      <c r="D136" s="489" t="str">
        <f>Dashboard!M239</f>
        <v/>
      </c>
      <c r="E136" s="490" t="s">
        <v>314</v>
      </c>
      <c r="F136" s="491" t="str">
        <f t="shared" si="1"/>
        <v/>
      </c>
      <c r="G136" s="492" t="s">
        <v>314</v>
      </c>
      <c r="H136" s="349" t="str">
        <f t="shared" si="2"/>
        <v/>
      </c>
      <c r="I136" s="349" t="str">
        <f t="shared" si="3"/>
        <v/>
      </c>
      <c r="J136" s="493"/>
      <c r="K136" s="349" t="str">
        <f>IFERROR(__xludf.DUMMYFUNCTION("if(ISBLANK(A136),"""",if(B136=""Buy"",CONCAT(GOOGLEFINANCE(A136,""name""),"" {Symbol: ""&amp;A136&amp;""} High Alert!! Share Has Reached Its Target Buying Price,""),""""))"),"")</f>
        <v/>
      </c>
      <c r="L136" s="349" t="b">
        <f>IFERROR(__xludf.DUMMYFUNCTION("if(B136= ""Buy"",CONCAT(GOOGLEFINANCE(A136,""NAME""),"" share currently trading at Rs""&amp;C136&amp;"", Which is ""&amp;H136&amp;"" below the Target price of Rs""&amp;D136&amp;"".""))"),FALSE)</f>
        <v>0</v>
      </c>
    </row>
    <row r="137">
      <c r="A137" s="349" t="str">
        <f>Dashboard!B240</f>
        <v/>
      </c>
      <c r="B137" s="349"/>
      <c r="C137" s="356" t="str">
        <f>Dashboard!G240</f>
        <v/>
      </c>
      <c r="D137" s="489" t="str">
        <f>Dashboard!M240</f>
        <v/>
      </c>
      <c r="E137" s="490" t="s">
        <v>314</v>
      </c>
      <c r="F137" s="491" t="str">
        <f t="shared" si="1"/>
        <v/>
      </c>
      <c r="G137" s="492" t="s">
        <v>314</v>
      </c>
      <c r="H137" s="349" t="str">
        <f t="shared" si="2"/>
        <v/>
      </c>
      <c r="I137" s="349" t="str">
        <f t="shared" si="3"/>
        <v/>
      </c>
      <c r="J137" s="493"/>
      <c r="K137" s="349" t="str">
        <f>IFERROR(__xludf.DUMMYFUNCTION("if(ISBLANK(A137),"""",if(B137=""Buy"",CONCAT(GOOGLEFINANCE(A137,""name""),"" {Symbol: ""&amp;A137&amp;""} High Alert!! Share Has Reached Its Target Buying Price,""),""""))"),"")</f>
        <v/>
      </c>
      <c r="L137" s="349" t="b">
        <f>IFERROR(__xludf.DUMMYFUNCTION("if(B137= ""Buy"",CONCAT(GOOGLEFINANCE(A137,""NAME""),"" share currently trading at Rs""&amp;C137&amp;"", Which is ""&amp;H137&amp;"" below the Target price of Rs""&amp;D137&amp;"".""))"),FALSE)</f>
        <v>0</v>
      </c>
    </row>
    <row r="138">
      <c r="A138" s="349" t="str">
        <f>Dashboard!B234</f>
        <v/>
      </c>
      <c r="B138" s="349"/>
      <c r="C138" s="356" t="str">
        <f>Dashboard!G234</f>
        <v/>
      </c>
      <c r="D138" s="489" t="str">
        <f>Dashboard!M234</f>
        <v/>
      </c>
      <c r="E138" s="490" t="s">
        <v>314</v>
      </c>
      <c r="F138" s="491" t="str">
        <f t="shared" si="1"/>
        <v/>
      </c>
      <c r="G138" s="492" t="s">
        <v>314</v>
      </c>
      <c r="H138" s="349" t="str">
        <f t="shared" si="2"/>
        <v/>
      </c>
      <c r="I138" s="349" t="str">
        <f t="shared" si="3"/>
        <v/>
      </c>
      <c r="J138" s="493"/>
      <c r="K138" s="349" t="str">
        <f>IFERROR(__xludf.DUMMYFUNCTION("if(ISBLANK(A138),"""",if(B138=""Buy"",CONCAT(GOOGLEFINANCE(A138,""name""),"" {Symbol: ""&amp;A138&amp;""} High Alert!! Share Has Reached Its Target Buying Price,""),""""))"),"")</f>
        <v/>
      </c>
      <c r="L138" s="349" t="b">
        <f>IFERROR(__xludf.DUMMYFUNCTION("if(B138= ""Buy"",CONCAT(GOOGLEFINANCE(A138,""NAME""),"" share currently trading at Rs""&amp;C138&amp;"", Which is ""&amp;H138&amp;"" below the Target price of Rs""&amp;D138&amp;"".""))"),FALSE)</f>
        <v>0</v>
      </c>
    </row>
    <row r="139">
      <c r="A139" s="349" t="str">
        <f>Dashboard!B235</f>
        <v/>
      </c>
      <c r="B139" s="349" t="str">
        <f>Dashboard!H235</f>
        <v/>
      </c>
      <c r="C139" s="356" t="str">
        <f>Dashboard!G235</f>
        <v/>
      </c>
      <c r="D139" s="489" t="str">
        <f>Dashboard!M235</f>
        <v/>
      </c>
      <c r="E139" s="490" t="s">
        <v>314</v>
      </c>
      <c r="F139" s="491" t="str">
        <f t="shared" si="1"/>
        <v/>
      </c>
      <c r="G139" s="492" t="s">
        <v>314</v>
      </c>
      <c r="H139" s="349" t="str">
        <f t="shared" si="2"/>
        <v/>
      </c>
      <c r="I139" s="349" t="str">
        <f t="shared" si="3"/>
        <v/>
      </c>
      <c r="J139" s="493"/>
      <c r="K139" s="349" t="str">
        <f>IFERROR(__xludf.DUMMYFUNCTION("if(ISBLANK(A139),"""",if(B139=""Buy"",CONCAT(GOOGLEFINANCE(A139,""name""),"" {Symbol: ""&amp;A139&amp;""} High Alert!! Share Has Reached Its Target Buying Price,""),""""))"),"")</f>
        <v/>
      </c>
      <c r="L139" s="349" t="b">
        <f>IFERROR(__xludf.DUMMYFUNCTION("if(B139= ""Buy"",CONCAT(GOOGLEFINANCE(A139,""NAME""),"" share currently trading at Rs""&amp;C139&amp;"", Which is ""&amp;H139&amp;"" below the Target price of Rs""&amp;D139&amp;"".""))"),FALSE)</f>
        <v>0</v>
      </c>
    </row>
    <row r="140">
      <c r="A140" s="349" t="str">
        <f>Dashboard!B236</f>
        <v/>
      </c>
      <c r="B140" s="349" t="str">
        <f>Dashboard!H236</f>
        <v/>
      </c>
      <c r="C140" s="356" t="str">
        <f>Dashboard!G236</f>
        <v/>
      </c>
      <c r="D140" s="489" t="str">
        <f>Dashboard!M236</f>
        <v/>
      </c>
      <c r="E140" s="490" t="s">
        <v>314</v>
      </c>
      <c r="F140" s="491" t="str">
        <f t="shared" si="1"/>
        <v/>
      </c>
      <c r="G140" s="492" t="s">
        <v>314</v>
      </c>
      <c r="H140" s="349" t="str">
        <f t="shared" si="2"/>
        <v/>
      </c>
      <c r="I140" s="349" t="str">
        <f t="shared" si="3"/>
        <v/>
      </c>
      <c r="J140" s="493"/>
      <c r="K140" s="349" t="str">
        <f>IFERROR(__xludf.DUMMYFUNCTION("if(ISBLANK(A140),"""",if(B140=""Buy"",CONCAT(GOOGLEFINANCE(A140,""name""),"" {Symbol: ""&amp;A140&amp;""} High Alert!! Share Has Reached Its Target Buying Price,""),""""))"),"")</f>
        <v/>
      </c>
      <c r="L140" s="349" t="b">
        <f>IFERROR(__xludf.DUMMYFUNCTION("if(B140= ""Buy"",CONCAT(GOOGLEFINANCE(A140,""NAME""),"" share currently trading at Rs""&amp;C140&amp;"", Which is ""&amp;H140&amp;"" below the Target price of Rs""&amp;D140&amp;"".""))"),FALSE)</f>
        <v>0</v>
      </c>
    </row>
    <row r="141">
      <c r="A141" s="349" t="str">
        <f>Dashboard!B237</f>
        <v/>
      </c>
      <c r="B141" s="349" t="str">
        <f>Dashboard!H237</f>
        <v/>
      </c>
      <c r="C141" s="356" t="str">
        <f>Dashboard!G237</f>
        <v/>
      </c>
      <c r="D141" s="489" t="str">
        <f>Dashboard!M237</f>
        <v/>
      </c>
      <c r="E141" s="490" t="s">
        <v>314</v>
      </c>
      <c r="F141" s="491" t="str">
        <f t="shared" si="1"/>
        <v/>
      </c>
      <c r="G141" s="492" t="s">
        <v>314</v>
      </c>
      <c r="H141" s="349" t="str">
        <f t="shared" si="2"/>
        <v/>
      </c>
      <c r="I141" s="349" t="str">
        <f t="shared" si="3"/>
        <v/>
      </c>
      <c r="J141" s="493"/>
      <c r="K141" s="349" t="str">
        <f>IFERROR(__xludf.DUMMYFUNCTION("if(ISBLANK(A141),"""",if(B141=""Buy"",CONCAT(GOOGLEFINANCE(A141,""name""),"" {Symbol: ""&amp;A141&amp;""} High Alert!! Share Has Reached Its Target Buying Price,""),""""))"),"")</f>
        <v/>
      </c>
      <c r="L141" s="349" t="b">
        <f>IFERROR(__xludf.DUMMYFUNCTION("if(B141= ""Buy"",CONCAT(GOOGLEFINANCE(A141,""NAME""),"" share currently trading at Rs""&amp;C141&amp;"", Which is ""&amp;H141&amp;"" below the Target price of Rs""&amp;D141&amp;"".""))"),FALSE)</f>
        <v>0</v>
      </c>
    </row>
    <row r="142">
      <c r="A142" s="349" t="str">
        <f>Dashboard!B238</f>
        <v/>
      </c>
      <c r="B142" s="349" t="str">
        <f>Dashboard!H238</f>
        <v/>
      </c>
      <c r="C142" s="356" t="str">
        <f>Dashboard!G238</f>
        <v/>
      </c>
      <c r="D142" s="489" t="str">
        <f>Dashboard!M238</f>
        <v/>
      </c>
      <c r="E142" s="490" t="s">
        <v>314</v>
      </c>
      <c r="F142" s="491" t="str">
        <f t="shared" si="1"/>
        <v/>
      </c>
      <c r="G142" s="492" t="s">
        <v>314</v>
      </c>
      <c r="H142" s="349" t="str">
        <f t="shared" si="2"/>
        <v/>
      </c>
      <c r="I142" s="349" t="str">
        <f t="shared" si="3"/>
        <v/>
      </c>
      <c r="J142" s="493"/>
      <c r="K142" s="349" t="str">
        <f>IFERROR(__xludf.DUMMYFUNCTION("if(ISBLANK(A142),"""",if(B142=""Buy"",CONCAT(GOOGLEFINANCE(A142,""name""),"" {Symbol: ""&amp;A142&amp;""} High Alert!! Share Has Reached Its Target Buying Price,""),""""))"),"")</f>
        <v/>
      </c>
      <c r="L142" s="349" t="b">
        <f>IFERROR(__xludf.DUMMYFUNCTION("if(B142= ""Buy"",CONCAT(GOOGLEFINANCE(A142,""NAME""),"" share currently trading at Rs""&amp;C142&amp;"", Which is ""&amp;H142&amp;"" below the Target price of Rs""&amp;D142&amp;"".""))"),FALSE)</f>
        <v>0</v>
      </c>
    </row>
    <row r="143">
      <c r="A143" s="349" t="str">
        <f>Dashboard!B239</f>
        <v/>
      </c>
      <c r="B143" s="349" t="str">
        <f>Dashboard!H239</f>
        <v/>
      </c>
      <c r="C143" s="356" t="str">
        <f>Dashboard!G239</f>
        <v/>
      </c>
      <c r="D143" s="489" t="str">
        <f>Dashboard!M239</f>
        <v/>
      </c>
      <c r="E143" s="490" t="s">
        <v>314</v>
      </c>
      <c r="F143" s="491" t="str">
        <f t="shared" si="1"/>
        <v/>
      </c>
      <c r="G143" s="492" t="s">
        <v>314</v>
      </c>
      <c r="H143" s="349" t="str">
        <f t="shared" si="2"/>
        <v/>
      </c>
      <c r="I143" s="349" t="str">
        <f t="shared" si="3"/>
        <v/>
      </c>
      <c r="J143" s="493"/>
      <c r="K143" s="349" t="str">
        <f>IFERROR(__xludf.DUMMYFUNCTION("if(ISBLANK(A143),"""",if(B143=""Buy"",CONCAT(GOOGLEFINANCE(A143,""name""),"" {Symbol: ""&amp;A143&amp;""} High Alert!! Share Has Reached Its Target Buying Price,""),""""))"),"")</f>
        <v/>
      </c>
      <c r="L143" s="349" t="b">
        <f>IFERROR(__xludf.DUMMYFUNCTION("if(B143= ""Buy"",CONCAT(GOOGLEFINANCE(A143,""NAME""),"" share currently trading at Rs""&amp;C143&amp;"", Which is ""&amp;H143&amp;"" below the Target price of Rs""&amp;D143&amp;"".""))"),FALSE)</f>
        <v>0</v>
      </c>
    </row>
    <row r="144">
      <c r="A144" s="349" t="str">
        <f>Dashboard!B240</f>
        <v/>
      </c>
      <c r="B144" s="349" t="str">
        <f>Dashboard!H240</f>
        <v/>
      </c>
      <c r="C144" s="356" t="str">
        <f>Dashboard!G240</f>
        <v/>
      </c>
      <c r="D144" s="489" t="str">
        <f>Dashboard!M240</f>
        <v/>
      </c>
      <c r="E144" s="490" t="s">
        <v>314</v>
      </c>
      <c r="F144" s="491" t="str">
        <f t="shared" si="1"/>
        <v/>
      </c>
      <c r="G144" s="492" t="s">
        <v>314</v>
      </c>
      <c r="H144" s="349" t="str">
        <f t="shared" si="2"/>
        <v/>
      </c>
      <c r="I144" s="349" t="str">
        <f t="shared" si="3"/>
        <v/>
      </c>
      <c r="J144" s="493"/>
      <c r="K144" s="349" t="str">
        <f>IFERROR(__xludf.DUMMYFUNCTION("if(ISBLANK(A144),"""",if(B144=""Buy"",CONCAT(GOOGLEFINANCE(A144,""name""),"" {Symbol: ""&amp;A144&amp;""} High Alert!! Share Has Reached Its Target Buying Price,""),""""))"),"")</f>
        <v/>
      </c>
      <c r="L144" s="349" t="b">
        <f>IFERROR(__xludf.DUMMYFUNCTION("if(B144= ""Buy"",CONCAT(GOOGLEFINANCE(A144,""NAME""),"" share currently trading at Rs""&amp;C144&amp;"", Which is ""&amp;H144&amp;"" below the Target price of Rs""&amp;D144&amp;"".""))"),FALSE)</f>
        <v>0</v>
      </c>
    </row>
    <row r="145">
      <c r="A145" s="349" t="str">
        <f>Dashboard!B241</f>
        <v/>
      </c>
      <c r="B145" s="349" t="str">
        <f>Dashboard!H241</f>
        <v/>
      </c>
      <c r="C145" s="356" t="str">
        <f>Dashboard!G241</f>
        <v/>
      </c>
      <c r="D145" s="489" t="str">
        <f>Dashboard!M241</f>
        <v/>
      </c>
      <c r="E145" s="490" t="s">
        <v>314</v>
      </c>
      <c r="F145" s="491" t="str">
        <f t="shared" si="1"/>
        <v/>
      </c>
      <c r="G145" s="492" t="s">
        <v>314</v>
      </c>
      <c r="H145" s="349" t="str">
        <f t="shared" si="2"/>
        <v/>
      </c>
      <c r="I145" s="349" t="str">
        <f t="shared" si="3"/>
        <v/>
      </c>
      <c r="J145" s="493"/>
      <c r="K145" s="349" t="str">
        <f>IFERROR(__xludf.DUMMYFUNCTION("if(ISBLANK(A145),"""",if(B145=""Buy"",CONCAT(GOOGLEFINANCE(A145,""name""),"" {Symbol: ""&amp;A145&amp;""} High Alert!! Share Has Reached Its Target Buying Price,""),""""))"),"")</f>
        <v/>
      </c>
      <c r="L145" s="349" t="b">
        <f>IFERROR(__xludf.DUMMYFUNCTION("if(B145= ""Buy"",CONCAT(GOOGLEFINANCE(A145,""NAME""),"" share currently trading at Rs""&amp;C145&amp;"", Which is ""&amp;H145&amp;"" below the Target price of Rs""&amp;D145&amp;"".""))"),FALSE)</f>
        <v>0</v>
      </c>
    </row>
    <row r="146">
      <c r="A146" s="349" t="str">
        <f>Dashboard!B242</f>
        <v/>
      </c>
      <c r="B146" s="349" t="str">
        <f>Dashboard!H242</f>
        <v/>
      </c>
      <c r="C146" s="356" t="str">
        <f>Dashboard!G242</f>
        <v/>
      </c>
      <c r="D146" s="489" t="str">
        <f>Dashboard!M242</f>
        <v/>
      </c>
      <c r="E146" s="490" t="s">
        <v>314</v>
      </c>
      <c r="F146" s="491" t="str">
        <f t="shared" si="1"/>
        <v/>
      </c>
      <c r="G146" s="492" t="s">
        <v>314</v>
      </c>
      <c r="H146" s="349" t="str">
        <f t="shared" si="2"/>
        <v/>
      </c>
      <c r="I146" s="349" t="str">
        <f t="shared" si="3"/>
        <v/>
      </c>
      <c r="J146" s="493"/>
      <c r="K146" s="349" t="str">
        <f>IFERROR(__xludf.DUMMYFUNCTION("if(ISBLANK(A146),"""",if(B146=""Buy"",CONCAT(GOOGLEFINANCE(A146,""name""),"" {Symbol: ""&amp;A146&amp;""} High Alert!! Share Has Reached Its Target Buying Price,""),""""))"),"")</f>
        <v/>
      </c>
      <c r="L146" s="349" t="b">
        <f>IFERROR(__xludf.DUMMYFUNCTION("if(B146= ""Buy"",CONCAT(GOOGLEFINANCE(A146,""NAME""),"" share currently trading at Rs""&amp;C146&amp;"", Which is ""&amp;H146&amp;"" below the Target price of Rs""&amp;D146&amp;"".""))"),FALSE)</f>
        <v>0</v>
      </c>
    </row>
    <row r="147">
      <c r="A147" s="349" t="str">
        <f>Dashboard!B243</f>
        <v/>
      </c>
      <c r="B147" s="349" t="str">
        <f>Dashboard!H243</f>
        <v/>
      </c>
      <c r="C147" s="356" t="str">
        <f>Dashboard!G243</f>
        <v/>
      </c>
      <c r="D147" s="489" t="str">
        <f>Dashboard!M243</f>
        <v/>
      </c>
      <c r="E147" s="490" t="s">
        <v>314</v>
      </c>
      <c r="F147" s="491" t="str">
        <f t="shared" si="1"/>
        <v/>
      </c>
      <c r="G147" s="492" t="s">
        <v>314</v>
      </c>
      <c r="H147" s="349" t="str">
        <f t="shared" si="2"/>
        <v/>
      </c>
      <c r="I147" s="349" t="str">
        <f t="shared" si="3"/>
        <v/>
      </c>
      <c r="J147" s="493"/>
      <c r="K147" s="349" t="str">
        <f>IFERROR(__xludf.DUMMYFUNCTION("if(ISBLANK(A147),"""",if(B147=""Buy"",CONCAT(GOOGLEFINANCE(A147,""name""),"" {Symbol: ""&amp;A147&amp;""} High Alert!! Share Has Reached Its Target Buying Price,""),""""))"),"")</f>
        <v/>
      </c>
      <c r="L147" s="349" t="b">
        <f>IFERROR(__xludf.DUMMYFUNCTION("if(B147= ""Buy"",CONCAT(GOOGLEFINANCE(A147,""NAME""),"" share currently trading at Rs""&amp;C147&amp;"", Which is ""&amp;H147&amp;"" below the Target price of Rs""&amp;D147&amp;"".""))"),FALSE)</f>
        <v>0</v>
      </c>
    </row>
    <row r="148">
      <c r="A148" s="349" t="str">
        <f>Dashboard!B244</f>
        <v/>
      </c>
      <c r="B148" s="349" t="str">
        <f>Dashboard!H244</f>
        <v/>
      </c>
      <c r="C148" s="356" t="str">
        <f>Dashboard!G244</f>
        <v/>
      </c>
      <c r="D148" s="489" t="str">
        <f>Dashboard!M244</f>
        <v/>
      </c>
      <c r="E148" s="490" t="s">
        <v>314</v>
      </c>
      <c r="F148" s="491" t="str">
        <f t="shared" si="1"/>
        <v/>
      </c>
      <c r="G148" s="492" t="s">
        <v>314</v>
      </c>
      <c r="H148" s="349" t="str">
        <f t="shared" si="2"/>
        <v/>
      </c>
      <c r="I148" s="349" t="str">
        <f t="shared" si="3"/>
        <v/>
      </c>
      <c r="J148" s="493"/>
      <c r="K148" s="349" t="str">
        <f>IFERROR(__xludf.DUMMYFUNCTION("if(ISBLANK(A148),"""",if(B148=""Buy"",CONCAT(GOOGLEFINANCE(A148,""name""),"" {Symbol: ""&amp;A148&amp;""} High Alert!! Share Has Reached Its Target Buying Price,""),""""))"),"")</f>
        <v/>
      </c>
      <c r="L148" s="349" t="b">
        <f>IFERROR(__xludf.DUMMYFUNCTION("if(B148= ""Buy"",CONCAT(GOOGLEFINANCE(A148,""NAME""),"" share currently trading at Rs""&amp;C148&amp;"", Which is ""&amp;H148&amp;"" below the Target price of Rs""&amp;D148&amp;"".""))"),FALSE)</f>
        <v>0</v>
      </c>
    </row>
    <row r="149">
      <c r="A149" s="349" t="str">
        <f>Dashboard!B245</f>
        <v/>
      </c>
      <c r="B149" s="349" t="str">
        <f>Dashboard!H245</f>
        <v/>
      </c>
      <c r="C149" s="356" t="str">
        <f>Dashboard!G245</f>
        <v/>
      </c>
      <c r="D149" s="489" t="str">
        <f>Dashboard!M245</f>
        <v/>
      </c>
      <c r="E149" s="490" t="s">
        <v>314</v>
      </c>
      <c r="F149" s="491" t="str">
        <f t="shared" si="1"/>
        <v/>
      </c>
      <c r="G149" s="492" t="s">
        <v>314</v>
      </c>
      <c r="H149" s="349" t="str">
        <f t="shared" si="2"/>
        <v/>
      </c>
      <c r="I149" s="349" t="str">
        <f t="shared" si="3"/>
        <v/>
      </c>
      <c r="J149" s="493"/>
      <c r="K149" s="349" t="str">
        <f>IFERROR(__xludf.DUMMYFUNCTION("if(ISBLANK(A149),"""",if(B149=""Buy"",CONCAT(GOOGLEFINANCE(A149,""name""),"" {Symbol: ""&amp;A149&amp;""} High Alert!! Share Has Reached Its Target Buying Price,""),""""))"),"")</f>
        <v/>
      </c>
      <c r="L149" s="349" t="b">
        <f>IFERROR(__xludf.DUMMYFUNCTION("if(B149= ""Buy"",CONCAT(GOOGLEFINANCE(A149,""NAME""),"" share currently trading at Rs""&amp;C149&amp;"", Which is ""&amp;H149&amp;"" below the Target price of Rs""&amp;D149&amp;"".""))"),FALSE)</f>
        <v>0</v>
      </c>
    </row>
    <row r="150">
      <c r="A150" s="349" t="str">
        <f>Dashboard!B246</f>
        <v/>
      </c>
      <c r="B150" s="349" t="str">
        <f>Dashboard!H246</f>
        <v/>
      </c>
      <c r="C150" s="356" t="str">
        <f>Dashboard!G246</f>
        <v/>
      </c>
      <c r="D150" s="489" t="str">
        <f>Dashboard!M246</f>
        <v/>
      </c>
      <c r="E150" s="490" t="s">
        <v>314</v>
      </c>
      <c r="F150" s="491" t="str">
        <f t="shared" si="1"/>
        <v/>
      </c>
      <c r="G150" s="492" t="s">
        <v>314</v>
      </c>
      <c r="H150" s="349" t="str">
        <f t="shared" si="2"/>
        <v/>
      </c>
      <c r="I150" s="349" t="str">
        <f t="shared" si="3"/>
        <v/>
      </c>
      <c r="J150" s="493"/>
      <c r="K150" s="349" t="str">
        <f>IFERROR(__xludf.DUMMYFUNCTION("if(ISBLANK(A150),"""",if(B150=""Buy"",CONCAT(GOOGLEFINANCE(A150,""name""),"" {Symbol: ""&amp;A150&amp;""} High Alert!! Share Has Reached Its Target Buying Price,""),""""))"),"")</f>
        <v/>
      </c>
      <c r="L150" s="349" t="b">
        <f>IFERROR(__xludf.DUMMYFUNCTION("if(B150= ""Buy"",CONCAT(GOOGLEFINANCE(A150,""NAME""),"" share currently trading at Rs""&amp;C150&amp;"", Which is ""&amp;H150&amp;"" below the Target price of Rs""&amp;D150&amp;"".""))"),FALSE)</f>
        <v>0</v>
      </c>
    </row>
    <row r="151">
      <c r="A151" s="349" t="str">
        <f>Dashboard!B247</f>
        <v/>
      </c>
      <c r="B151" s="349" t="str">
        <f>Dashboard!H247</f>
        <v/>
      </c>
      <c r="C151" s="356" t="str">
        <f>Dashboard!G247</f>
        <v/>
      </c>
      <c r="D151" s="489" t="str">
        <f>Dashboard!M247</f>
        <v/>
      </c>
      <c r="E151" s="490" t="s">
        <v>314</v>
      </c>
      <c r="F151" s="491" t="str">
        <f t="shared" si="1"/>
        <v/>
      </c>
      <c r="G151" s="492" t="s">
        <v>314</v>
      </c>
      <c r="H151" s="349" t="str">
        <f t="shared" si="2"/>
        <v/>
      </c>
      <c r="I151" s="349" t="str">
        <f t="shared" si="3"/>
        <v/>
      </c>
      <c r="J151" s="493"/>
      <c r="K151" s="349" t="str">
        <f>IFERROR(__xludf.DUMMYFUNCTION("if(ISBLANK(A151),"""",if(B151=""Buy"",CONCAT(GOOGLEFINANCE(A151,""name""),"" {Symbol: ""&amp;A151&amp;""} High Alert!! Share Has Reached Its Target Buying Price,""),""""))"),"")</f>
        <v/>
      </c>
      <c r="L151" s="349" t="b">
        <f>IFERROR(__xludf.DUMMYFUNCTION("if(B151= ""Buy"",CONCAT(GOOGLEFINANCE(A151,""NAME""),"" share currently trading at Rs""&amp;C151&amp;"", Which is ""&amp;H151&amp;"" below the Target price of Rs""&amp;D151&amp;"".""))"),FALSE)</f>
        <v>0</v>
      </c>
    </row>
    <row r="152">
      <c r="A152" s="349" t="str">
        <f>Dashboard!B248</f>
        <v/>
      </c>
      <c r="B152" s="349" t="str">
        <f>Dashboard!H248</f>
        <v/>
      </c>
      <c r="C152" s="356" t="str">
        <f>Dashboard!G248</f>
        <v/>
      </c>
      <c r="D152" s="489" t="str">
        <f>Dashboard!M248</f>
        <v/>
      </c>
      <c r="E152" s="490" t="s">
        <v>314</v>
      </c>
      <c r="F152" s="491" t="str">
        <f t="shared" si="1"/>
        <v/>
      </c>
      <c r="G152" s="492" t="s">
        <v>314</v>
      </c>
      <c r="H152" s="349" t="str">
        <f t="shared" si="2"/>
        <v/>
      </c>
      <c r="I152" s="349" t="str">
        <f t="shared" si="3"/>
        <v/>
      </c>
      <c r="J152" s="493"/>
      <c r="K152" s="349" t="str">
        <f>IFERROR(__xludf.DUMMYFUNCTION("if(ISBLANK(A152),"""",if(B152=""Buy"",CONCAT(GOOGLEFINANCE(A152,""name""),"" {Symbol: ""&amp;A152&amp;""} High Alert!! Share Has Reached Its Target Buying Price,""),""""))"),"")</f>
        <v/>
      </c>
      <c r="L152" s="349" t="b">
        <f>IFERROR(__xludf.DUMMYFUNCTION("if(B152= ""Buy"",CONCAT(GOOGLEFINANCE(A152,""NAME""),"" share currently trading at Rs""&amp;C152&amp;"", Which is ""&amp;H152&amp;"" below the Target price of Rs""&amp;D152&amp;"".""))"),FALSE)</f>
        <v>0</v>
      </c>
    </row>
    <row r="153">
      <c r="A153" s="349" t="str">
        <f>Dashboard!B249</f>
        <v/>
      </c>
      <c r="B153" s="349" t="str">
        <f>Dashboard!H249</f>
        <v/>
      </c>
      <c r="C153" s="356" t="str">
        <f>Dashboard!G249</f>
        <v/>
      </c>
      <c r="D153" s="489" t="str">
        <f>Dashboard!M249</f>
        <v/>
      </c>
      <c r="E153" s="490" t="s">
        <v>314</v>
      </c>
      <c r="F153" s="491" t="str">
        <f t="shared" si="1"/>
        <v/>
      </c>
      <c r="G153" s="492" t="s">
        <v>314</v>
      </c>
      <c r="H153" s="349" t="str">
        <f t="shared" si="2"/>
        <v/>
      </c>
      <c r="I153" s="349" t="str">
        <f t="shared" si="3"/>
        <v/>
      </c>
      <c r="J153" s="493"/>
      <c r="K153" s="349" t="str">
        <f>IFERROR(__xludf.DUMMYFUNCTION("if(ISBLANK(A153),"""",if(B153=""Buy"",CONCAT(GOOGLEFINANCE(A153,""name""),"" {Symbol: ""&amp;A153&amp;""} High Alert!! Share Has Reached Its Target Buying Price,""),""""))"),"")</f>
        <v/>
      </c>
      <c r="L153" s="349" t="b">
        <f>IFERROR(__xludf.DUMMYFUNCTION("if(B153= ""Buy"",CONCAT(GOOGLEFINANCE(A153,""NAME""),"" share currently trading at Rs""&amp;C153&amp;"", Which is ""&amp;H153&amp;"" below the Target price of Rs""&amp;D153&amp;"".""))"),FALSE)</f>
        <v>0</v>
      </c>
    </row>
    <row r="154">
      <c r="A154" s="349" t="str">
        <f>Dashboard!B250</f>
        <v/>
      </c>
      <c r="B154" s="349" t="str">
        <f>Dashboard!H250</f>
        <v/>
      </c>
      <c r="C154" s="356" t="str">
        <f>Dashboard!G250</f>
        <v/>
      </c>
      <c r="D154" s="489" t="str">
        <f>Dashboard!M250</f>
        <v/>
      </c>
      <c r="E154" s="490" t="s">
        <v>314</v>
      </c>
      <c r="F154" s="491" t="str">
        <f t="shared" si="1"/>
        <v/>
      </c>
      <c r="G154" s="492" t="s">
        <v>314</v>
      </c>
      <c r="H154" s="349" t="str">
        <f t="shared" si="2"/>
        <v/>
      </c>
      <c r="I154" s="349" t="str">
        <f t="shared" si="3"/>
        <v/>
      </c>
      <c r="J154" s="493"/>
      <c r="K154" s="349" t="str">
        <f>IFERROR(__xludf.DUMMYFUNCTION("if(ISBLANK(A154),"""",if(B154=""Buy"",CONCAT(GOOGLEFINANCE(A154,""name""),"" {Symbol: ""&amp;A154&amp;""} High Alert!! Share Has Reached Its Target Buying Price,""),""""))"),"")</f>
        <v/>
      </c>
      <c r="L154" s="349" t="b">
        <f>IFERROR(__xludf.DUMMYFUNCTION("if(B154= ""Buy"",CONCAT(GOOGLEFINANCE(A154,""NAME""),"" share currently trading at Rs""&amp;C154&amp;"", Which is ""&amp;H154&amp;"" below the Target price of Rs""&amp;D154&amp;"".""))"),FALSE)</f>
        <v>0</v>
      </c>
    </row>
    <row r="155">
      <c r="A155" s="349" t="str">
        <f>Dashboard!B251</f>
        <v/>
      </c>
      <c r="B155" s="349" t="str">
        <f>Dashboard!H251</f>
        <v/>
      </c>
      <c r="C155" s="356" t="str">
        <f>Dashboard!G251</f>
        <v/>
      </c>
      <c r="D155" s="489" t="str">
        <f>Dashboard!M251</f>
        <v/>
      </c>
      <c r="E155" s="490" t="s">
        <v>314</v>
      </c>
      <c r="F155" s="491" t="str">
        <f t="shared" si="1"/>
        <v/>
      </c>
      <c r="G155" s="492" t="s">
        <v>314</v>
      </c>
      <c r="H155" s="349" t="str">
        <f t="shared" si="2"/>
        <v/>
      </c>
      <c r="I155" s="349" t="str">
        <f t="shared" si="3"/>
        <v/>
      </c>
      <c r="J155" s="493"/>
      <c r="K155" s="349" t="str">
        <f>IFERROR(__xludf.DUMMYFUNCTION("if(ISBLANK(A155),"""",if(B155=""Buy"",CONCAT(GOOGLEFINANCE(A155,""name""),"" {Symbol: ""&amp;A155&amp;""} High Alert!! Share Has Reached Its Target Buying Price,""),""""))"),"")</f>
        <v/>
      </c>
      <c r="L155" s="349" t="b">
        <f>IFERROR(__xludf.DUMMYFUNCTION("if(B155= ""Buy"",CONCAT(GOOGLEFINANCE(A155,""NAME""),"" share currently trading at Rs""&amp;C155&amp;"", Which is ""&amp;H155&amp;"" below the Target price of Rs""&amp;D155&amp;"".""))"),FALSE)</f>
        <v>0</v>
      </c>
    </row>
    <row r="156">
      <c r="A156" s="349" t="str">
        <f>Dashboard!B252</f>
        <v/>
      </c>
      <c r="B156" s="349" t="str">
        <f>Dashboard!H252</f>
        <v/>
      </c>
      <c r="C156" s="356" t="str">
        <f>Dashboard!G252</f>
        <v/>
      </c>
      <c r="D156" s="489" t="str">
        <f>Dashboard!M252</f>
        <v/>
      </c>
      <c r="E156" s="490" t="s">
        <v>314</v>
      </c>
      <c r="F156" s="491" t="str">
        <f t="shared" si="1"/>
        <v/>
      </c>
      <c r="G156" s="492" t="s">
        <v>314</v>
      </c>
      <c r="H156" s="349" t="str">
        <f t="shared" si="2"/>
        <v/>
      </c>
      <c r="I156" s="349" t="str">
        <f t="shared" si="3"/>
        <v/>
      </c>
      <c r="J156" s="493"/>
      <c r="K156" s="349" t="str">
        <f>IFERROR(__xludf.DUMMYFUNCTION("if(ISBLANK(A156),"""",if(B156=""Buy"",CONCAT(GOOGLEFINANCE(A156,""name""),"" {Symbol: ""&amp;A156&amp;""} High Alert!! Share Has Reached Its Target Buying Price,""),""""))"),"")</f>
        <v/>
      </c>
      <c r="L156" s="349" t="b">
        <f>IFERROR(__xludf.DUMMYFUNCTION("if(B156= ""Buy"",CONCAT(GOOGLEFINANCE(A156,""NAME""),"" share currently trading at Rs""&amp;C156&amp;"", Which is ""&amp;H156&amp;"" below the Target price of Rs""&amp;D156&amp;"".""))"),FALSE)</f>
        <v>0</v>
      </c>
    </row>
    <row r="157">
      <c r="A157" s="349" t="str">
        <f>Dashboard!B253</f>
        <v/>
      </c>
      <c r="B157" s="349" t="str">
        <f>Dashboard!H253</f>
        <v/>
      </c>
      <c r="C157" s="356" t="str">
        <f>Dashboard!G253</f>
        <v/>
      </c>
      <c r="D157" s="489" t="str">
        <f>Dashboard!M253</f>
        <v/>
      </c>
      <c r="E157" s="490" t="s">
        <v>314</v>
      </c>
      <c r="F157" s="491" t="str">
        <f t="shared" si="1"/>
        <v/>
      </c>
      <c r="G157" s="492" t="s">
        <v>314</v>
      </c>
      <c r="H157" s="349" t="str">
        <f t="shared" si="2"/>
        <v/>
      </c>
      <c r="I157" s="349" t="str">
        <f t="shared" si="3"/>
        <v/>
      </c>
      <c r="J157" s="493"/>
      <c r="K157" s="349" t="str">
        <f>IFERROR(__xludf.DUMMYFUNCTION("if(ISBLANK(A157),"""",if(B157=""Buy"",CONCAT(GOOGLEFINANCE(A157,""name""),"" {Symbol: ""&amp;A157&amp;""} High Alert!! Share Has Reached Its Target Buying Price,""),""""))"),"")</f>
        <v/>
      </c>
      <c r="L157" s="349" t="b">
        <f>IFERROR(__xludf.DUMMYFUNCTION("if(B157= ""Buy"",CONCAT(GOOGLEFINANCE(A157,""NAME""),"" share currently trading at Rs""&amp;C157&amp;"", Which is ""&amp;H157&amp;"" below the Target price of Rs""&amp;D157&amp;"".""))"),FALSE)</f>
        <v>0</v>
      </c>
    </row>
    <row r="158">
      <c r="A158" s="349" t="str">
        <f>Dashboard!B254</f>
        <v/>
      </c>
      <c r="B158" s="349" t="str">
        <f>Dashboard!H254</f>
        <v/>
      </c>
      <c r="C158" s="356" t="str">
        <f>Dashboard!G254</f>
        <v/>
      </c>
      <c r="D158" s="489" t="str">
        <f>Dashboard!M254</f>
        <v/>
      </c>
      <c r="E158" s="490" t="s">
        <v>314</v>
      </c>
      <c r="F158" s="491" t="str">
        <f t="shared" si="1"/>
        <v/>
      </c>
      <c r="G158" s="492" t="s">
        <v>314</v>
      </c>
      <c r="H158" s="349" t="str">
        <f t="shared" si="2"/>
        <v/>
      </c>
      <c r="I158" s="349" t="str">
        <f t="shared" si="3"/>
        <v/>
      </c>
      <c r="J158" s="493"/>
      <c r="K158" s="349" t="str">
        <f>IFERROR(__xludf.DUMMYFUNCTION("if(ISBLANK(A158),"""",if(B158=""Buy"",CONCAT(GOOGLEFINANCE(A158,""name""),"" {Symbol: ""&amp;A158&amp;""} High Alert!! Share Has Reached Its Target Buying Price,""),""""))"),"")</f>
        <v/>
      </c>
      <c r="L158" s="349" t="b">
        <f>IFERROR(__xludf.DUMMYFUNCTION("if(B158= ""Buy"",CONCAT(GOOGLEFINANCE(A158,""NAME""),"" share currently trading at Rs""&amp;C158&amp;"", Which is ""&amp;H158&amp;"" below the Target price of Rs""&amp;D158&amp;"".""))"),FALSE)</f>
        <v>0</v>
      </c>
    </row>
    <row r="159">
      <c r="A159" s="349" t="str">
        <f>Dashboard!B255</f>
        <v/>
      </c>
      <c r="B159" s="349" t="str">
        <f>Dashboard!H255</f>
        <v/>
      </c>
      <c r="C159" s="356" t="str">
        <f>Dashboard!G255</f>
        <v/>
      </c>
      <c r="D159" s="489" t="str">
        <f>Dashboard!M255</f>
        <v/>
      </c>
      <c r="E159" s="490" t="s">
        <v>314</v>
      </c>
      <c r="F159" s="491" t="str">
        <f t="shared" si="1"/>
        <v/>
      </c>
      <c r="G159" s="492" t="s">
        <v>314</v>
      </c>
      <c r="H159" s="349" t="str">
        <f t="shared" si="2"/>
        <v/>
      </c>
      <c r="I159" s="349" t="str">
        <f t="shared" si="3"/>
        <v/>
      </c>
      <c r="J159" s="493"/>
      <c r="K159" s="349" t="str">
        <f>IFERROR(__xludf.DUMMYFUNCTION("if(ISBLANK(A159),"""",if(B159=""Buy"",CONCAT(GOOGLEFINANCE(A159,""name""),"" {Symbol: ""&amp;A159&amp;""} High Alert!! Share Has Reached Its Target Buying Price,""),""""))"),"")</f>
        <v/>
      </c>
      <c r="L159" s="349" t="b">
        <f>IFERROR(__xludf.DUMMYFUNCTION("if(B159= ""Buy"",CONCAT(GOOGLEFINANCE(A159,""NAME""),"" share currently trading at Rs""&amp;C159&amp;"", Which is ""&amp;H159&amp;"" below the Target price of Rs""&amp;D159&amp;"".""))"),FALSE)</f>
        <v>0</v>
      </c>
    </row>
    <row r="160">
      <c r="A160" s="349" t="str">
        <f>Dashboard!B256</f>
        <v/>
      </c>
      <c r="B160" s="349" t="str">
        <f>Dashboard!H256</f>
        <v/>
      </c>
      <c r="C160" s="356" t="str">
        <f>Dashboard!G256</f>
        <v/>
      </c>
      <c r="D160" s="489" t="str">
        <f>Dashboard!M256</f>
        <v/>
      </c>
      <c r="E160" s="490" t="s">
        <v>314</v>
      </c>
      <c r="F160" s="491" t="str">
        <f t="shared" si="1"/>
        <v/>
      </c>
      <c r="G160" s="492" t="s">
        <v>314</v>
      </c>
      <c r="H160" s="349" t="str">
        <f t="shared" si="2"/>
        <v/>
      </c>
      <c r="I160" s="349" t="str">
        <f t="shared" si="3"/>
        <v/>
      </c>
      <c r="J160" s="493"/>
      <c r="K160" s="349" t="str">
        <f>IFERROR(__xludf.DUMMYFUNCTION("if(ISBLANK(A160),"""",if(B160=""Buy"",CONCAT(GOOGLEFINANCE(A160,""name""),"" {Symbol: ""&amp;A160&amp;""} High Alert!! Share Has Reached Its Target Buying Price,""),""""))"),"")</f>
        <v/>
      </c>
      <c r="L160" s="349" t="b">
        <f>IFERROR(__xludf.DUMMYFUNCTION("if(B160= ""Buy"",CONCAT(GOOGLEFINANCE(A160,""NAME""),"" share currently trading at Rs""&amp;C160&amp;"", Which is ""&amp;H160&amp;"" below the Target price of Rs""&amp;D160&amp;"".""))"),FALSE)</f>
        <v>0</v>
      </c>
    </row>
    <row r="161">
      <c r="A161" s="349" t="str">
        <f>Dashboard!B257</f>
        <v/>
      </c>
      <c r="B161" s="349" t="str">
        <f>Dashboard!H257</f>
        <v/>
      </c>
      <c r="C161" s="356" t="str">
        <f>Dashboard!G257</f>
        <v/>
      </c>
      <c r="D161" s="489" t="str">
        <f>Dashboard!M257</f>
        <v/>
      </c>
      <c r="E161" s="490" t="s">
        <v>314</v>
      </c>
      <c r="F161" s="491" t="str">
        <f t="shared" si="1"/>
        <v/>
      </c>
      <c r="G161" s="492" t="s">
        <v>314</v>
      </c>
      <c r="H161" s="349" t="str">
        <f t="shared" si="2"/>
        <v/>
      </c>
      <c r="I161" s="349" t="str">
        <f t="shared" si="3"/>
        <v/>
      </c>
      <c r="J161" s="493"/>
      <c r="K161" s="349" t="str">
        <f>IFERROR(__xludf.DUMMYFUNCTION("if(ISBLANK(A161),"""",if(B161=""Buy"",CONCAT(GOOGLEFINANCE(A161,""name""),"" {Symbol: ""&amp;A161&amp;""} High Alert!! Share Has Reached Its Target Buying Price,""),""""))"),"")</f>
        <v/>
      </c>
      <c r="L161" s="349" t="b">
        <f>IFERROR(__xludf.DUMMYFUNCTION("if(B161= ""Buy"",CONCAT(GOOGLEFINANCE(A161,""NAME""),"" share currently trading at Rs""&amp;C161&amp;"", Which is ""&amp;H161&amp;"" below the Target price of Rs""&amp;D161&amp;"".""))"),FALSE)</f>
        <v>0</v>
      </c>
    </row>
    <row r="162">
      <c r="A162" s="349" t="str">
        <f>Dashboard!B258</f>
        <v/>
      </c>
      <c r="B162" s="349" t="str">
        <f>Dashboard!H258</f>
        <v/>
      </c>
      <c r="C162" s="356" t="str">
        <f>Dashboard!G258</f>
        <v/>
      </c>
      <c r="D162" s="489" t="str">
        <f>Dashboard!M258</f>
        <v/>
      </c>
      <c r="E162" s="490" t="s">
        <v>314</v>
      </c>
      <c r="F162" s="491" t="str">
        <f t="shared" si="1"/>
        <v/>
      </c>
      <c r="G162" s="492" t="s">
        <v>314</v>
      </c>
      <c r="H162" s="349" t="str">
        <f t="shared" si="2"/>
        <v/>
      </c>
      <c r="I162" s="349" t="str">
        <f t="shared" si="3"/>
        <v/>
      </c>
      <c r="J162" s="493"/>
      <c r="K162" s="349" t="str">
        <f>IFERROR(__xludf.DUMMYFUNCTION("if(ISBLANK(A162),"""",if(B162=""Buy"",CONCAT(GOOGLEFINANCE(A162,""name""),"" {Symbol: ""&amp;A162&amp;""} High Alert!! Share Has Reached Its Target Buying Price,""),""""))"),"")</f>
        <v/>
      </c>
      <c r="L162" s="349" t="b">
        <f>IFERROR(__xludf.DUMMYFUNCTION("if(B162= ""Buy"",CONCAT(GOOGLEFINANCE(A162,""NAME""),"" share currently trading at Rs""&amp;C162&amp;"", Which is ""&amp;H162&amp;"" below the Target price of Rs""&amp;D162&amp;"".""))"),FALSE)</f>
        <v>0</v>
      </c>
    </row>
    <row r="163">
      <c r="A163" s="349" t="str">
        <f>Dashboard!B259</f>
        <v/>
      </c>
      <c r="B163" s="349" t="str">
        <f>Dashboard!H259</f>
        <v/>
      </c>
      <c r="C163" s="356" t="str">
        <f>Dashboard!G259</f>
        <v/>
      </c>
      <c r="D163" s="489" t="str">
        <f>Dashboard!M259</f>
        <v/>
      </c>
      <c r="E163" s="490" t="s">
        <v>314</v>
      </c>
      <c r="F163" s="491" t="str">
        <f t="shared" si="1"/>
        <v/>
      </c>
      <c r="G163" s="492" t="s">
        <v>314</v>
      </c>
      <c r="H163" s="349" t="str">
        <f t="shared" si="2"/>
        <v/>
      </c>
      <c r="I163" s="349" t="str">
        <f t="shared" si="3"/>
        <v/>
      </c>
      <c r="J163" s="493"/>
      <c r="K163" s="349" t="str">
        <f>IFERROR(__xludf.DUMMYFUNCTION("if(ISBLANK(A163),"""",if(B163=""Buy"",CONCAT(GOOGLEFINANCE(A163,""name""),"" {Symbol: ""&amp;A163&amp;""} High Alert!! Share Has Reached Its Target Buying Price,""),""""))"),"")</f>
        <v/>
      </c>
      <c r="L163" s="349" t="b">
        <f>IFERROR(__xludf.DUMMYFUNCTION("if(B163= ""Buy"",CONCAT(GOOGLEFINANCE(A163,""NAME""),"" share currently trading at Rs""&amp;C163&amp;"", Which is ""&amp;H163&amp;"" below the Target price of Rs""&amp;D163&amp;"".""))"),FALSE)</f>
        <v>0</v>
      </c>
    </row>
    <row r="164">
      <c r="A164" s="349" t="str">
        <f>Dashboard!B260</f>
        <v/>
      </c>
      <c r="B164" s="349" t="str">
        <f>Dashboard!H260</f>
        <v/>
      </c>
      <c r="C164" s="356" t="str">
        <f>Dashboard!G260</f>
        <v/>
      </c>
      <c r="D164" s="489" t="str">
        <f>Dashboard!M260</f>
        <v/>
      </c>
      <c r="E164" s="490" t="s">
        <v>314</v>
      </c>
      <c r="F164" s="491" t="str">
        <f t="shared" si="1"/>
        <v/>
      </c>
      <c r="G164" s="492" t="s">
        <v>314</v>
      </c>
      <c r="H164" s="349" t="str">
        <f t="shared" si="2"/>
        <v/>
      </c>
      <c r="I164" s="349" t="str">
        <f t="shared" si="3"/>
        <v/>
      </c>
      <c r="J164" s="493"/>
      <c r="K164" s="349" t="str">
        <f>IFERROR(__xludf.DUMMYFUNCTION("if(ISBLANK(A164),"""",if(B164=""Buy"",CONCAT(GOOGLEFINANCE(A164,""name""),"" {Symbol: ""&amp;A164&amp;""} High Alert!! Share Has Reached Its Target Buying Price,""),""""))"),"")</f>
        <v/>
      </c>
      <c r="L164" s="349" t="b">
        <f>IFERROR(__xludf.DUMMYFUNCTION("if(B164= ""Buy"",CONCAT(GOOGLEFINANCE(A164,""NAME""),"" share currently trading at Rs""&amp;C164&amp;"", Which is ""&amp;H164&amp;"" below the Target price of Rs""&amp;D164&amp;"".""))"),FALSE)</f>
        <v>0</v>
      </c>
    </row>
    <row r="165">
      <c r="A165" s="349" t="str">
        <f>Dashboard!B261</f>
        <v/>
      </c>
      <c r="B165" s="349" t="str">
        <f>Dashboard!H261</f>
        <v/>
      </c>
      <c r="C165" s="356" t="str">
        <f>Dashboard!G261</f>
        <v/>
      </c>
      <c r="D165" s="489" t="str">
        <f>Dashboard!M261</f>
        <v/>
      </c>
      <c r="E165" s="490" t="s">
        <v>314</v>
      </c>
      <c r="F165" s="491" t="str">
        <f t="shared" si="1"/>
        <v/>
      </c>
      <c r="G165" s="492" t="s">
        <v>314</v>
      </c>
      <c r="H165" s="349" t="str">
        <f t="shared" si="2"/>
        <v/>
      </c>
      <c r="I165" s="349" t="str">
        <f t="shared" si="3"/>
        <v/>
      </c>
      <c r="J165" s="493"/>
      <c r="K165" s="349" t="str">
        <f>IFERROR(__xludf.DUMMYFUNCTION("if(ISBLANK(A165),"""",if(B165=""Buy"",CONCAT(GOOGLEFINANCE(A165,""name""),"" {Symbol: ""&amp;A165&amp;""} High Alert!! Share Has Reached Its Target Buying Price,""),""""))"),"")</f>
        <v/>
      </c>
      <c r="L165" s="349" t="b">
        <f>IFERROR(__xludf.DUMMYFUNCTION("if(B165= ""Buy"",CONCAT(GOOGLEFINANCE(A165,""NAME""),"" share currently trading at Rs""&amp;C165&amp;"", Which is ""&amp;H165&amp;"" below the Target price of Rs""&amp;D165&amp;"".""))"),FALSE)</f>
        <v>0</v>
      </c>
    </row>
    <row r="166">
      <c r="A166" s="349" t="str">
        <f>Dashboard!B262</f>
        <v/>
      </c>
      <c r="B166" s="349" t="str">
        <f>Dashboard!H262</f>
        <v/>
      </c>
      <c r="C166" s="356" t="str">
        <f>Dashboard!G262</f>
        <v/>
      </c>
      <c r="D166" s="489" t="str">
        <f>Dashboard!M262</f>
        <v/>
      </c>
      <c r="E166" s="490" t="s">
        <v>314</v>
      </c>
      <c r="F166" s="491" t="str">
        <f t="shared" si="1"/>
        <v/>
      </c>
      <c r="G166" s="492" t="s">
        <v>314</v>
      </c>
      <c r="H166" s="349" t="str">
        <f t="shared" si="2"/>
        <v/>
      </c>
      <c r="I166" s="349" t="str">
        <f t="shared" si="3"/>
        <v/>
      </c>
      <c r="J166" s="493"/>
      <c r="K166" s="349" t="str">
        <f>IFERROR(__xludf.DUMMYFUNCTION("if(ISBLANK(A166),"""",if(B166=""Buy"",CONCAT(GOOGLEFINANCE(A166,""name""),"" {Symbol: ""&amp;A166&amp;""} High Alert!! Share Has Reached Its Target Buying Price,""),""""))"),"")</f>
        <v/>
      </c>
      <c r="L166" s="349" t="b">
        <f>IFERROR(__xludf.DUMMYFUNCTION("if(B166= ""Buy"",CONCAT(GOOGLEFINANCE(A166,""NAME""),"" share currently trading at Rs""&amp;C166&amp;"", Which is ""&amp;H166&amp;"" below the Target price of Rs""&amp;D166&amp;"".""))"),FALSE)</f>
        <v>0</v>
      </c>
    </row>
    <row r="167">
      <c r="A167" s="349" t="str">
        <f>Dashboard!B263</f>
        <v/>
      </c>
      <c r="B167" s="349" t="str">
        <f>Dashboard!H263</f>
        <v/>
      </c>
      <c r="C167" s="356" t="str">
        <f>Dashboard!G263</f>
        <v/>
      </c>
      <c r="D167" s="489" t="str">
        <f>Dashboard!M263</f>
        <v/>
      </c>
      <c r="E167" s="490" t="s">
        <v>314</v>
      </c>
      <c r="F167" s="491" t="str">
        <f t="shared" si="1"/>
        <v/>
      </c>
      <c r="G167" s="492" t="s">
        <v>314</v>
      </c>
      <c r="H167" s="349" t="str">
        <f t="shared" si="2"/>
        <v/>
      </c>
      <c r="I167" s="349" t="str">
        <f t="shared" si="3"/>
        <v/>
      </c>
      <c r="J167" s="493"/>
      <c r="K167" s="349" t="str">
        <f>IFERROR(__xludf.DUMMYFUNCTION("if(ISBLANK(A167),"""",if(B167=""Buy"",CONCAT(GOOGLEFINANCE(A167,""name""),"" {Symbol: ""&amp;A167&amp;""} High Alert!! Share Has Reached Its Target Buying Price,""),""""))"),"")</f>
        <v/>
      </c>
      <c r="L167" s="349" t="b">
        <f>IFERROR(__xludf.DUMMYFUNCTION("if(B167= ""Buy"",CONCAT(GOOGLEFINANCE(A167,""NAME""),"" share currently trading at Rs""&amp;C167&amp;"", Which is ""&amp;H167&amp;"" below the Target price of Rs""&amp;D167&amp;"".""))"),FALSE)</f>
        <v>0</v>
      </c>
    </row>
    <row r="168">
      <c r="A168" s="349" t="str">
        <f>Dashboard!B264</f>
        <v/>
      </c>
      <c r="B168" s="349" t="str">
        <f>Dashboard!H264</f>
        <v/>
      </c>
      <c r="C168" s="356" t="str">
        <f>Dashboard!G264</f>
        <v/>
      </c>
      <c r="D168" s="489" t="str">
        <f>Dashboard!M264</f>
        <v/>
      </c>
      <c r="E168" s="490" t="s">
        <v>314</v>
      </c>
      <c r="F168" s="491" t="str">
        <f t="shared" si="1"/>
        <v/>
      </c>
      <c r="G168" s="492" t="s">
        <v>314</v>
      </c>
      <c r="H168" s="349" t="str">
        <f t="shared" si="2"/>
        <v/>
      </c>
      <c r="I168" s="349" t="str">
        <f t="shared" si="3"/>
        <v/>
      </c>
      <c r="J168" s="493"/>
      <c r="K168" s="349" t="str">
        <f>IFERROR(__xludf.DUMMYFUNCTION("if(ISBLANK(A168),"""",if(B168=""Buy"",CONCAT(GOOGLEFINANCE(A168,""name""),"" {Symbol: ""&amp;A168&amp;""} High Alert!! Share Has Reached Its Target Buying Price,""),""""))"),"")</f>
        <v/>
      </c>
      <c r="L168" s="349" t="b">
        <f>IFERROR(__xludf.DUMMYFUNCTION("if(B168= ""Buy"",CONCAT(GOOGLEFINANCE(A168,""NAME""),"" share currently trading at Rs""&amp;C168&amp;"", Which is ""&amp;H168&amp;"" below the Target price of Rs""&amp;D168&amp;"".""))"),FALSE)</f>
        <v>0</v>
      </c>
    </row>
    <row r="169">
      <c r="A169" s="349" t="str">
        <f>Dashboard!B265</f>
        <v/>
      </c>
      <c r="B169" s="349" t="str">
        <f>Dashboard!H265</f>
        <v/>
      </c>
      <c r="C169" s="356" t="str">
        <f>Dashboard!G265</f>
        <v/>
      </c>
      <c r="D169" s="489" t="str">
        <f>Dashboard!M265</f>
        <v/>
      </c>
      <c r="E169" s="490" t="s">
        <v>314</v>
      </c>
      <c r="F169" s="491" t="str">
        <f t="shared" si="1"/>
        <v/>
      </c>
      <c r="G169" s="492" t="s">
        <v>314</v>
      </c>
      <c r="H169" s="349" t="str">
        <f t="shared" si="2"/>
        <v/>
      </c>
      <c r="I169" s="349" t="str">
        <f t="shared" si="3"/>
        <v/>
      </c>
      <c r="J169" s="493"/>
      <c r="K169" s="349" t="str">
        <f>IFERROR(__xludf.DUMMYFUNCTION("if(ISBLANK(A169),"""",if(B169=""Buy"",CONCAT(GOOGLEFINANCE(A169,""name""),"" {Symbol: ""&amp;A169&amp;""} High Alert!! Share Has Reached Its Target Buying Price,""),""""))"),"")</f>
        <v/>
      </c>
      <c r="L169" s="349" t="b">
        <f>IFERROR(__xludf.DUMMYFUNCTION("if(B169= ""Buy"",CONCAT(GOOGLEFINANCE(A169,""NAME""),"" share currently trading at Rs""&amp;C169&amp;"", Which is ""&amp;H169&amp;"" below the Target price of Rs""&amp;D169&amp;"".""))"),FALSE)</f>
        <v>0</v>
      </c>
    </row>
    <row r="170">
      <c r="A170" s="349" t="str">
        <f>Dashboard!B266</f>
        <v/>
      </c>
      <c r="B170" s="349" t="str">
        <f>Dashboard!H266</f>
        <v/>
      </c>
      <c r="C170" s="356" t="str">
        <f>Dashboard!G266</f>
        <v/>
      </c>
      <c r="D170" s="489" t="str">
        <f>Dashboard!M266</f>
        <v/>
      </c>
      <c r="E170" s="490" t="s">
        <v>314</v>
      </c>
      <c r="F170" s="491" t="str">
        <f t="shared" si="1"/>
        <v/>
      </c>
      <c r="G170" s="492" t="s">
        <v>314</v>
      </c>
      <c r="H170" s="349" t="str">
        <f t="shared" si="2"/>
        <v/>
      </c>
      <c r="I170" s="349" t="str">
        <f t="shared" si="3"/>
        <v/>
      </c>
      <c r="J170" s="493"/>
      <c r="K170" s="349" t="str">
        <f>IFERROR(__xludf.DUMMYFUNCTION("if(ISBLANK(A170),"""",if(B170=""Buy"",CONCAT(GOOGLEFINANCE(A170,""name""),"" {Symbol: ""&amp;A170&amp;""} High Alert!! Share Has Reached Its Target Buying Price,""),""""))"),"")</f>
        <v/>
      </c>
      <c r="L170" s="349" t="b">
        <f>IFERROR(__xludf.DUMMYFUNCTION("if(B170= ""Buy"",CONCAT(GOOGLEFINANCE(A170,""NAME""),"" share currently trading at Rs""&amp;C170&amp;"", Which is ""&amp;H170&amp;"" below the Target price of Rs""&amp;D170&amp;"".""))"),FALSE)</f>
        <v>0</v>
      </c>
    </row>
    <row r="171">
      <c r="A171" s="349" t="str">
        <f>Dashboard!B267</f>
        <v/>
      </c>
      <c r="B171" s="349" t="str">
        <f>Dashboard!H267</f>
        <v/>
      </c>
      <c r="C171" s="356" t="str">
        <f>Dashboard!G267</f>
        <v/>
      </c>
      <c r="D171" s="489" t="str">
        <f>Dashboard!M267</f>
        <v/>
      </c>
      <c r="E171" s="490" t="s">
        <v>314</v>
      </c>
      <c r="F171" s="491" t="str">
        <f t="shared" si="1"/>
        <v/>
      </c>
      <c r="G171" s="492" t="s">
        <v>314</v>
      </c>
      <c r="H171" s="349" t="str">
        <f t="shared" si="2"/>
        <v/>
      </c>
      <c r="I171" s="349" t="str">
        <f t="shared" si="3"/>
        <v/>
      </c>
      <c r="J171" s="493"/>
      <c r="K171" s="349" t="str">
        <f>IFERROR(__xludf.DUMMYFUNCTION("if(ISBLANK(A171),"""",if(B171=""Buy"",CONCAT(GOOGLEFINANCE(A171,""name""),"" {Symbol: ""&amp;A171&amp;""} High Alert!! Share Has Reached Its Target Buying Price,""),""""))"),"")</f>
        <v/>
      </c>
      <c r="L171" s="349" t="b">
        <f>IFERROR(__xludf.DUMMYFUNCTION("if(B171= ""Buy"",CONCAT(GOOGLEFINANCE(A171,""NAME""),"" share currently trading at Rs""&amp;C171&amp;"", Which is ""&amp;H171&amp;"" below the Target price of Rs""&amp;D171&amp;"".""))"),FALSE)</f>
        <v>0</v>
      </c>
    </row>
    <row r="172">
      <c r="A172" s="349" t="str">
        <f>Dashboard!B268</f>
        <v/>
      </c>
      <c r="B172" s="349" t="str">
        <f>Dashboard!H268</f>
        <v/>
      </c>
      <c r="C172" s="356" t="str">
        <f>Dashboard!G268</f>
        <v/>
      </c>
      <c r="D172" s="489" t="str">
        <f>Dashboard!M268</f>
        <v/>
      </c>
      <c r="E172" s="490" t="s">
        <v>314</v>
      </c>
      <c r="F172" s="491" t="str">
        <f t="shared" si="1"/>
        <v/>
      </c>
      <c r="G172" s="492" t="s">
        <v>314</v>
      </c>
      <c r="H172" s="349" t="str">
        <f t="shared" si="2"/>
        <v/>
      </c>
      <c r="I172" s="349" t="str">
        <f t="shared" si="3"/>
        <v/>
      </c>
      <c r="J172" s="493"/>
      <c r="K172" s="349" t="str">
        <f>IFERROR(__xludf.DUMMYFUNCTION("if(ISBLANK(A172),"""",if(B172=""Buy"",CONCAT(GOOGLEFINANCE(A172,""name""),"" {Symbol: ""&amp;A172&amp;""} High Alert!! Share Has Reached Its Target Buying Price,""),""""))"),"")</f>
        <v/>
      </c>
      <c r="L172" s="349" t="b">
        <f>IFERROR(__xludf.DUMMYFUNCTION("if(B172= ""Buy"",CONCAT(GOOGLEFINANCE(A172,""NAME""),"" share currently trading at Rs""&amp;C172&amp;"", Which is ""&amp;H172&amp;"" below the Target price of Rs""&amp;D172&amp;"".""))"),FALSE)</f>
        <v>0</v>
      </c>
    </row>
    <row r="173">
      <c r="A173" s="349" t="str">
        <f>Dashboard!B269</f>
        <v/>
      </c>
      <c r="B173" s="349" t="str">
        <f>Dashboard!H269</f>
        <v/>
      </c>
      <c r="C173" s="356" t="str">
        <f>Dashboard!G269</f>
        <v/>
      </c>
      <c r="D173" s="489" t="str">
        <f>Dashboard!M269</f>
        <v/>
      </c>
      <c r="E173" s="490" t="s">
        <v>314</v>
      </c>
      <c r="F173" s="491" t="str">
        <f t="shared" si="1"/>
        <v/>
      </c>
      <c r="G173" s="492" t="s">
        <v>314</v>
      </c>
      <c r="H173" s="349" t="str">
        <f t="shared" si="2"/>
        <v/>
      </c>
      <c r="I173" s="349" t="str">
        <f t="shared" si="3"/>
        <v/>
      </c>
      <c r="J173" s="493"/>
      <c r="K173" s="349" t="str">
        <f>IFERROR(__xludf.DUMMYFUNCTION("if(ISBLANK(A173),"""",if(B173=""Buy"",CONCAT(GOOGLEFINANCE(A173,""name""),"" {Symbol: ""&amp;A173&amp;""} High Alert!! Share Has Reached Its Target Buying Price,""),""""))"),"")</f>
        <v/>
      </c>
      <c r="L173" s="349" t="b">
        <f>IFERROR(__xludf.DUMMYFUNCTION("if(B173= ""Buy"",CONCAT(GOOGLEFINANCE(A173,""NAME""),"" share currently trading at Rs""&amp;C173&amp;"", Which is ""&amp;H173&amp;"" below the Target price of Rs""&amp;D173&amp;"".""))"),FALSE)</f>
        <v>0</v>
      </c>
    </row>
    <row r="174">
      <c r="A174" s="349" t="str">
        <f>Dashboard!B270</f>
        <v/>
      </c>
      <c r="B174" s="349" t="str">
        <f>Dashboard!H270</f>
        <v/>
      </c>
      <c r="C174" s="356" t="str">
        <f>Dashboard!G270</f>
        <v/>
      </c>
      <c r="D174" s="489" t="str">
        <f>Dashboard!M270</f>
        <v/>
      </c>
      <c r="E174" s="490" t="s">
        <v>314</v>
      </c>
      <c r="F174" s="491" t="str">
        <f t="shared" si="1"/>
        <v/>
      </c>
      <c r="G174" s="492" t="s">
        <v>314</v>
      </c>
      <c r="H174" s="349" t="str">
        <f t="shared" si="2"/>
        <v/>
      </c>
      <c r="I174" s="349" t="str">
        <f t="shared" si="3"/>
        <v/>
      </c>
      <c r="J174" s="493"/>
      <c r="K174" s="349" t="str">
        <f>IFERROR(__xludf.DUMMYFUNCTION("if(ISBLANK(A174),"""",if(B174=""Buy"",CONCAT(GOOGLEFINANCE(A174,""name""),"" {Symbol: ""&amp;A174&amp;""} High Alert!! Share Has Reached Its Target Buying Price,""),""""))"),"")</f>
        <v/>
      </c>
      <c r="L174" s="349" t="b">
        <f>IFERROR(__xludf.DUMMYFUNCTION("if(B174= ""Buy"",CONCAT(GOOGLEFINANCE(A174,""NAME""),"" share currently trading at Rs""&amp;C174&amp;"", Which is ""&amp;H174&amp;"" below the Target price of Rs""&amp;D174&amp;"".""))"),FALSE)</f>
        <v>0</v>
      </c>
    </row>
    <row r="175">
      <c r="A175" s="349" t="str">
        <f>Dashboard!B271</f>
        <v/>
      </c>
      <c r="B175" s="349" t="str">
        <f>Dashboard!H271</f>
        <v/>
      </c>
      <c r="C175" s="356" t="str">
        <f>Dashboard!G271</f>
        <v/>
      </c>
      <c r="D175" s="489" t="str">
        <f>Dashboard!M271</f>
        <v/>
      </c>
      <c r="E175" s="490" t="s">
        <v>314</v>
      </c>
      <c r="F175" s="491" t="str">
        <f t="shared" si="1"/>
        <v/>
      </c>
      <c r="G175" s="492" t="s">
        <v>314</v>
      </c>
      <c r="H175" s="349" t="str">
        <f t="shared" si="2"/>
        <v/>
      </c>
      <c r="I175" s="349" t="str">
        <f t="shared" si="3"/>
        <v/>
      </c>
      <c r="J175" s="493"/>
      <c r="K175" s="349" t="str">
        <f>IFERROR(__xludf.DUMMYFUNCTION("if(ISBLANK(A175),"""",if(B175=""Buy"",CONCAT(GOOGLEFINANCE(A175,""name""),"" {Symbol: ""&amp;A175&amp;""} High Alert!! Share Has Reached Its Target Buying Price,""),""""))"),"")</f>
        <v/>
      </c>
      <c r="L175" s="349" t="b">
        <f>IFERROR(__xludf.DUMMYFUNCTION("if(B175= ""Buy"",CONCAT(GOOGLEFINANCE(A175,""NAME""),"" share currently trading at Rs""&amp;C175&amp;"", Which is ""&amp;H175&amp;"" below the Target price of Rs""&amp;D175&amp;"".""))"),FALSE)</f>
        <v>0</v>
      </c>
    </row>
    <row r="176">
      <c r="A176" s="349" t="str">
        <f>Dashboard!B272</f>
        <v/>
      </c>
      <c r="B176" s="349" t="str">
        <f>Dashboard!H272</f>
        <v/>
      </c>
      <c r="C176" s="356" t="str">
        <f>Dashboard!G272</f>
        <v/>
      </c>
      <c r="D176" s="489" t="str">
        <f>Dashboard!M272</f>
        <v/>
      </c>
      <c r="E176" s="490" t="s">
        <v>314</v>
      </c>
      <c r="F176" s="491" t="str">
        <f t="shared" si="1"/>
        <v/>
      </c>
      <c r="G176" s="492" t="s">
        <v>314</v>
      </c>
      <c r="H176" s="349" t="str">
        <f t="shared" si="2"/>
        <v/>
      </c>
      <c r="I176" s="349" t="str">
        <f t="shared" si="3"/>
        <v/>
      </c>
      <c r="J176" s="493"/>
      <c r="K176" s="349" t="str">
        <f>IFERROR(__xludf.DUMMYFUNCTION("if(ISBLANK(A176),"""",if(B176=""Buy"",CONCAT(GOOGLEFINANCE(A176,""name""),"" {Symbol: ""&amp;A176&amp;""} High Alert!! Share Has Reached Its Target Buying Price,""),""""))"),"")</f>
        <v/>
      </c>
      <c r="L176" s="349" t="b">
        <f>IFERROR(__xludf.DUMMYFUNCTION("if(B176= ""Buy"",CONCAT(GOOGLEFINANCE(A176,""NAME""),"" share currently trading at Rs""&amp;C176&amp;"", Which is ""&amp;H176&amp;"" below the Target price of Rs""&amp;D176&amp;"".""))"),FALSE)</f>
        <v>0</v>
      </c>
    </row>
    <row r="177">
      <c r="A177" s="349" t="str">
        <f>Dashboard!B273</f>
        <v/>
      </c>
      <c r="B177" s="349" t="str">
        <f>Dashboard!H273</f>
        <v/>
      </c>
      <c r="C177" s="356" t="str">
        <f>Dashboard!G273</f>
        <v/>
      </c>
      <c r="D177" s="489" t="str">
        <f>Dashboard!M273</f>
        <v/>
      </c>
      <c r="E177" s="490" t="s">
        <v>314</v>
      </c>
      <c r="F177" s="491" t="str">
        <f t="shared" si="1"/>
        <v/>
      </c>
      <c r="G177" s="492" t="s">
        <v>314</v>
      </c>
      <c r="H177" s="349" t="str">
        <f t="shared" si="2"/>
        <v/>
      </c>
      <c r="I177" s="349" t="str">
        <f t="shared" si="3"/>
        <v/>
      </c>
      <c r="J177" s="493"/>
      <c r="K177" s="349" t="str">
        <f>IFERROR(__xludf.DUMMYFUNCTION("if(ISBLANK(A177),"""",if(B177=""Buy"",CONCAT(GOOGLEFINANCE(A177,""name""),"" {Symbol: ""&amp;A177&amp;""} High Alert!! Share Has Reached Its Target Buying Price,""),""""))"),"")</f>
        <v/>
      </c>
      <c r="L177" s="349" t="b">
        <f>IFERROR(__xludf.DUMMYFUNCTION("if(B177= ""Buy"",CONCAT(GOOGLEFINANCE(A177,""NAME""),"" share currently trading at Rs""&amp;C177&amp;"", Which is ""&amp;H177&amp;"" below the Target price of Rs""&amp;D177&amp;"".""))"),FALSE)</f>
        <v>0</v>
      </c>
    </row>
    <row r="178">
      <c r="A178" s="349" t="str">
        <f>Dashboard!B274</f>
        <v/>
      </c>
      <c r="B178" s="349" t="str">
        <f>Dashboard!H274</f>
        <v/>
      </c>
      <c r="C178" s="356" t="str">
        <f>Dashboard!G274</f>
        <v/>
      </c>
      <c r="D178" s="489" t="str">
        <f>Dashboard!M274</f>
        <v/>
      </c>
      <c r="E178" s="490" t="s">
        <v>314</v>
      </c>
      <c r="F178" s="491" t="str">
        <f t="shared" si="1"/>
        <v/>
      </c>
      <c r="G178" s="492" t="s">
        <v>314</v>
      </c>
      <c r="H178" s="349" t="str">
        <f t="shared" si="2"/>
        <v/>
      </c>
      <c r="I178" s="349" t="str">
        <f t="shared" si="3"/>
        <v/>
      </c>
      <c r="J178" s="493"/>
      <c r="K178" s="349" t="str">
        <f>IFERROR(__xludf.DUMMYFUNCTION("if(ISBLANK(A178),"""",if(B178=""Buy"",CONCAT(GOOGLEFINANCE(A178,""name""),"" {Symbol: ""&amp;A178&amp;""} High Alert!! Share Has Reached Its Target Buying Price,""),""""))"),"")</f>
        <v/>
      </c>
      <c r="L178" s="349" t="b">
        <f>IFERROR(__xludf.DUMMYFUNCTION("if(B178= ""Buy"",CONCAT(GOOGLEFINANCE(A178,""NAME""),"" share currently trading at Rs""&amp;C178&amp;"", Which is ""&amp;H178&amp;"" below the Target price of Rs""&amp;D178&amp;"".""))"),FALSE)</f>
        <v>0</v>
      </c>
    </row>
    <row r="179">
      <c r="A179" s="349" t="str">
        <f>Dashboard!B275</f>
        <v/>
      </c>
      <c r="B179" s="349" t="str">
        <f>Dashboard!H275</f>
        <v/>
      </c>
      <c r="C179" s="356" t="str">
        <f>Dashboard!G275</f>
        <v/>
      </c>
      <c r="D179" s="489" t="str">
        <f>Dashboard!M275</f>
        <v/>
      </c>
      <c r="E179" s="490" t="s">
        <v>314</v>
      </c>
      <c r="F179" s="491" t="str">
        <f t="shared" si="1"/>
        <v/>
      </c>
      <c r="G179" s="492" t="s">
        <v>314</v>
      </c>
      <c r="H179" s="349" t="str">
        <f t="shared" si="2"/>
        <v/>
      </c>
      <c r="I179" s="349" t="str">
        <f t="shared" si="3"/>
        <v/>
      </c>
      <c r="J179" s="493"/>
      <c r="K179" s="349" t="str">
        <f>IFERROR(__xludf.DUMMYFUNCTION("if(ISBLANK(A179),"""",if(B179=""Buy"",CONCAT(GOOGLEFINANCE(A179,""name""),"" {Symbol: ""&amp;A179&amp;""} High Alert!! Share Has Reached Its Target Buying Price,""),""""))"),"")</f>
        <v/>
      </c>
      <c r="L179" s="349" t="b">
        <f>IFERROR(__xludf.DUMMYFUNCTION("if(B179= ""Buy"",CONCAT(GOOGLEFINANCE(A179,""NAME""),"" share currently trading at Rs""&amp;C179&amp;"", Which is ""&amp;H179&amp;"" below the Target price of Rs""&amp;D179&amp;"".""))"),FALSE)</f>
        <v>0</v>
      </c>
    </row>
    <row r="180">
      <c r="A180" s="349" t="str">
        <f>Dashboard!B276</f>
        <v/>
      </c>
      <c r="B180" s="349" t="str">
        <f>Dashboard!H276</f>
        <v/>
      </c>
      <c r="C180" s="356" t="str">
        <f>Dashboard!G276</f>
        <v/>
      </c>
      <c r="D180" s="489" t="str">
        <f>Dashboard!M276</f>
        <v/>
      </c>
      <c r="E180" s="490" t="s">
        <v>314</v>
      </c>
      <c r="F180" s="491" t="str">
        <f t="shared" si="1"/>
        <v/>
      </c>
      <c r="G180" s="492" t="s">
        <v>314</v>
      </c>
      <c r="H180" s="349" t="str">
        <f t="shared" si="2"/>
        <v/>
      </c>
      <c r="I180" s="349" t="str">
        <f t="shared" si="3"/>
        <v/>
      </c>
      <c r="J180" s="493"/>
      <c r="K180" s="349" t="str">
        <f>IFERROR(__xludf.DUMMYFUNCTION("if(ISBLANK(A180),"""",if(B180=""Buy"",CONCAT(GOOGLEFINANCE(A180,""name""),"" {Symbol: ""&amp;A180&amp;""} High Alert!! Share Has Reached Its Target Buying Price,""),""""))"),"")</f>
        <v/>
      </c>
      <c r="L180" s="349" t="b">
        <f>IFERROR(__xludf.DUMMYFUNCTION("if(B180= ""Buy"",CONCAT(GOOGLEFINANCE(A180,""NAME""),"" share currently trading at Rs""&amp;C180&amp;"", Which is ""&amp;H180&amp;"" below the Target price of Rs""&amp;D180&amp;"".""))"),FALSE)</f>
        <v>0</v>
      </c>
    </row>
    <row r="181">
      <c r="A181" s="349" t="str">
        <f>Dashboard!B277</f>
        <v/>
      </c>
      <c r="B181" s="349" t="str">
        <f>Dashboard!H277</f>
        <v/>
      </c>
      <c r="C181" s="356" t="str">
        <f>Dashboard!G277</f>
        <v/>
      </c>
      <c r="D181" s="489" t="str">
        <f>Dashboard!M277</f>
        <v/>
      </c>
      <c r="E181" s="490" t="s">
        <v>314</v>
      </c>
      <c r="F181" s="491" t="str">
        <f t="shared" si="1"/>
        <v/>
      </c>
      <c r="G181" s="492" t="s">
        <v>314</v>
      </c>
      <c r="H181" s="349" t="str">
        <f t="shared" si="2"/>
        <v/>
      </c>
      <c r="I181" s="349" t="str">
        <f t="shared" si="3"/>
        <v/>
      </c>
      <c r="J181" s="493"/>
      <c r="K181" s="349" t="str">
        <f>IFERROR(__xludf.DUMMYFUNCTION("if(ISBLANK(A181),"""",if(B181=""Buy"",CONCAT(GOOGLEFINANCE(A181,""name""),"" {Symbol: ""&amp;A181&amp;""} High Alert!! Share Has Reached Its Target Buying Price,""),""""))"),"")</f>
        <v/>
      </c>
      <c r="L181" s="349" t="b">
        <f>IFERROR(__xludf.DUMMYFUNCTION("if(B181= ""Buy"",CONCAT(GOOGLEFINANCE(A181,""NAME""),"" share currently trading at Rs""&amp;C181&amp;"", Which is ""&amp;H181&amp;"" below the Target price of Rs""&amp;D181&amp;"".""))"),FALSE)</f>
        <v>0</v>
      </c>
    </row>
    <row r="182">
      <c r="A182" s="349" t="str">
        <f>Dashboard!B278</f>
        <v/>
      </c>
      <c r="B182" s="349" t="str">
        <f>Dashboard!H278</f>
        <v/>
      </c>
      <c r="C182" s="356" t="str">
        <f>Dashboard!G278</f>
        <v/>
      </c>
      <c r="D182" s="489" t="str">
        <f>Dashboard!M278</f>
        <v/>
      </c>
      <c r="E182" s="490" t="s">
        <v>314</v>
      </c>
      <c r="F182" s="491" t="str">
        <f t="shared" si="1"/>
        <v/>
      </c>
      <c r="G182" s="492" t="s">
        <v>314</v>
      </c>
      <c r="H182" s="349" t="str">
        <f t="shared" si="2"/>
        <v/>
      </c>
      <c r="I182" s="349" t="str">
        <f t="shared" si="3"/>
        <v/>
      </c>
      <c r="J182" s="493"/>
      <c r="K182" s="349" t="str">
        <f>IFERROR(__xludf.DUMMYFUNCTION("if(ISBLANK(A182),"""",if(B182=""Buy"",CONCAT(GOOGLEFINANCE(A182,""name""),"" {Symbol: ""&amp;A182&amp;""} High Alert!! Share Has Reached Its Target Buying Price,""),""""))"),"")</f>
        <v/>
      </c>
      <c r="L182" s="349" t="b">
        <f>IFERROR(__xludf.DUMMYFUNCTION("if(B182= ""Buy"",CONCAT(GOOGLEFINANCE(A182,""NAME""),"" share currently trading at Rs""&amp;C182&amp;"", Which is ""&amp;H182&amp;"" below the Target price of Rs""&amp;D182&amp;"".""))"),FALSE)</f>
        <v>0</v>
      </c>
    </row>
    <row r="183">
      <c r="A183" s="349" t="str">
        <f>Dashboard!B279</f>
        <v/>
      </c>
      <c r="B183" s="349" t="str">
        <f>Dashboard!H279</f>
        <v/>
      </c>
      <c r="C183" s="356" t="str">
        <f>Dashboard!G279</f>
        <v/>
      </c>
      <c r="D183" s="489" t="str">
        <f>Dashboard!M279</f>
        <v/>
      </c>
      <c r="E183" s="490" t="s">
        <v>314</v>
      </c>
      <c r="F183" s="491" t="str">
        <f t="shared" si="1"/>
        <v/>
      </c>
      <c r="G183" s="492" t="s">
        <v>314</v>
      </c>
      <c r="H183" s="349" t="str">
        <f t="shared" si="2"/>
        <v/>
      </c>
      <c r="I183" s="349" t="str">
        <f t="shared" si="3"/>
        <v/>
      </c>
      <c r="J183" s="493"/>
      <c r="K183" s="349" t="str">
        <f>IFERROR(__xludf.DUMMYFUNCTION("if(ISBLANK(A183),"""",if(B183=""Buy"",CONCAT(GOOGLEFINANCE(A183,""name""),"" {Symbol: ""&amp;A183&amp;""} High Alert!! Share Has Reached Its Target Buying Price,""),""""))"),"")</f>
        <v/>
      </c>
      <c r="L183" s="349" t="b">
        <f>IFERROR(__xludf.DUMMYFUNCTION("if(B183= ""Buy"",CONCAT(GOOGLEFINANCE(A183,""NAME""),"" share currently trading at Rs""&amp;C183&amp;"", Which is ""&amp;H183&amp;"" below the Target price of Rs""&amp;D183&amp;"".""))"),FALSE)</f>
        <v>0</v>
      </c>
    </row>
    <row r="184">
      <c r="A184" s="349" t="str">
        <f>Dashboard!B280</f>
        <v/>
      </c>
      <c r="B184" s="349" t="str">
        <f>Dashboard!H280</f>
        <v/>
      </c>
      <c r="C184" s="356" t="str">
        <f>Dashboard!G280</f>
        <v/>
      </c>
      <c r="D184" s="489" t="str">
        <f>Dashboard!M280</f>
        <v/>
      </c>
      <c r="E184" s="490" t="s">
        <v>314</v>
      </c>
      <c r="F184" s="491" t="str">
        <f t="shared" si="1"/>
        <v/>
      </c>
      <c r="G184" s="492" t="s">
        <v>314</v>
      </c>
      <c r="H184" s="349" t="str">
        <f t="shared" si="2"/>
        <v/>
      </c>
      <c r="I184" s="349" t="str">
        <f t="shared" si="3"/>
        <v/>
      </c>
      <c r="J184" s="493"/>
      <c r="K184" s="349" t="str">
        <f>IFERROR(__xludf.DUMMYFUNCTION("if(ISBLANK(A184),"""",if(B184=""Buy"",CONCAT(GOOGLEFINANCE(A184,""name""),"" {Symbol: ""&amp;A184&amp;""} High Alert!! Share Has Reached Its Target Buying Price,""),""""))"),"")</f>
        <v/>
      </c>
      <c r="L184" s="349" t="b">
        <f>IFERROR(__xludf.DUMMYFUNCTION("if(B184= ""Buy"",CONCAT(GOOGLEFINANCE(A184,""NAME""),"" share currently trading at Rs""&amp;C184&amp;"", Which is ""&amp;H184&amp;"" below the Target price of Rs""&amp;D184&amp;"".""))"),FALSE)</f>
        <v>0</v>
      </c>
    </row>
    <row r="185">
      <c r="A185" s="349" t="str">
        <f>Dashboard!B281</f>
        <v/>
      </c>
      <c r="B185" s="349" t="str">
        <f>Dashboard!H281</f>
        <v/>
      </c>
      <c r="C185" s="356" t="str">
        <f>Dashboard!G281</f>
        <v/>
      </c>
      <c r="D185" s="489" t="str">
        <f>Dashboard!M281</f>
        <v/>
      </c>
      <c r="E185" s="490" t="s">
        <v>314</v>
      </c>
      <c r="F185" s="491" t="str">
        <f t="shared" si="1"/>
        <v/>
      </c>
      <c r="G185" s="492" t="s">
        <v>314</v>
      </c>
      <c r="H185" s="349" t="str">
        <f t="shared" si="2"/>
        <v/>
      </c>
      <c r="I185" s="349" t="str">
        <f t="shared" si="3"/>
        <v/>
      </c>
      <c r="J185" s="493"/>
      <c r="K185" s="349" t="str">
        <f>IFERROR(__xludf.DUMMYFUNCTION("if(ISBLANK(A185),"""",if(B185=""Buy"",CONCAT(GOOGLEFINANCE(A185,""name""),"" {Symbol: ""&amp;A185&amp;""} High Alert!! Share Has Reached Its Target Buying Price,""),""""))"),"")</f>
        <v/>
      </c>
      <c r="L185" s="349" t="b">
        <f>IFERROR(__xludf.DUMMYFUNCTION("if(B185= ""Buy"",CONCAT(GOOGLEFINANCE(A185,""NAME""),"" share currently trading at Rs""&amp;C185&amp;"", Which is ""&amp;H185&amp;"" below the Target price of Rs""&amp;D185&amp;"".""))"),FALSE)</f>
        <v>0</v>
      </c>
    </row>
    <row r="186">
      <c r="A186" s="349" t="str">
        <f>Dashboard!B282</f>
        <v/>
      </c>
      <c r="B186" s="349" t="str">
        <f>Dashboard!H282</f>
        <v/>
      </c>
      <c r="C186" s="356" t="str">
        <f>Dashboard!G282</f>
        <v/>
      </c>
      <c r="D186" s="489" t="str">
        <f>Dashboard!M282</f>
        <v/>
      </c>
      <c r="E186" s="490" t="s">
        <v>314</v>
      </c>
      <c r="F186" s="491" t="str">
        <f t="shared" si="1"/>
        <v/>
      </c>
      <c r="G186" s="492" t="s">
        <v>314</v>
      </c>
      <c r="H186" s="349" t="str">
        <f t="shared" si="2"/>
        <v/>
      </c>
      <c r="I186" s="349" t="str">
        <f t="shared" si="3"/>
        <v/>
      </c>
      <c r="J186" s="493"/>
      <c r="K186" s="349" t="str">
        <f>IFERROR(__xludf.DUMMYFUNCTION("if(ISBLANK(A186),"""",if(B186=""Buy"",CONCAT(GOOGLEFINANCE(A186,""name""),"" {Symbol: ""&amp;A186&amp;""} High Alert!! Share Has Reached Its Target Buying Price,""),""""))"),"")</f>
        <v/>
      </c>
      <c r="L186" s="349" t="b">
        <f>IFERROR(__xludf.DUMMYFUNCTION("if(B186= ""Buy"",CONCAT(GOOGLEFINANCE(A186,""NAME""),"" share currently trading at Rs""&amp;C186&amp;"", Which is ""&amp;H186&amp;"" below the Target price of Rs""&amp;D186&amp;"".""))"),FALSE)</f>
        <v>0</v>
      </c>
    </row>
    <row r="187">
      <c r="A187" s="349" t="str">
        <f>Dashboard!B283</f>
        <v/>
      </c>
      <c r="B187" s="349" t="str">
        <f>Dashboard!H283</f>
        <v/>
      </c>
      <c r="C187" s="356" t="str">
        <f>Dashboard!G283</f>
        <v/>
      </c>
      <c r="D187" s="489" t="str">
        <f>Dashboard!M283</f>
        <v/>
      </c>
      <c r="E187" s="490" t="s">
        <v>314</v>
      </c>
      <c r="F187" s="491" t="str">
        <f t="shared" si="1"/>
        <v/>
      </c>
      <c r="G187" s="492" t="s">
        <v>314</v>
      </c>
      <c r="H187" s="349" t="str">
        <f t="shared" si="2"/>
        <v/>
      </c>
      <c r="I187" s="349" t="str">
        <f t="shared" si="3"/>
        <v/>
      </c>
      <c r="J187" s="493"/>
      <c r="K187" s="349" t="str">
        <f>IFERROR(__xludf.DUMMYFUNCTION("if(ISBLANK(A187),"""",if(B187=""Buy"",CONCAT(GOOGLEFINANCE(A187,""name""),"" {Symbol: ""&amp;A187&amp;""} High Alert!! Share Has Reached Its Target Buying Price,""),""""))"),"")</f>
        <v/>
      </c>
      <c r="L187" s="349" t="b">
        <f>IFERROR(__xludf.DUMMYFUNCTION("if(B187= ""Buy"",CONCAT(GOOGLEFINANCE(A187,""NAME""),"" share currently trading at Rs""&amp;C187&amp;"", Which is ""&amp;H187&amp;"" below the Target price of Rs""&amp;D187&amp;"".""))"),FALSE)</f>
        <v>0</v>
      </c>
    </row>
    <row r="188">
      <c r="A188" s="349" t="str">
        <f>Dashboard!B284</f>
        <v/>
      </c>
      <c r="B188" s="349" t="str">
        <f>Dashboard!H284</f>
        <v/>
      </c>
      <c r="C188" s="356" t="str">
        <f>Dashboard!G284</f>
        <v/>
      </c>
      <c r="D188" s="489" t="str">
        <f>Dashboard!M284</f>
        <v/>
      </c>
      <c r="E188" s="490" t="s">
        <v>314</v>
      </c>
      <c r="F188" s="491" t="str">
        <f t="shared" si="1"/>
        <v/>
      </c>
      <c r="G188" s="492" t="s">
        <v>314</v>
      </c>
      <c r="H188" s="349" t="str">
        <f t="shared" si="2"/>
        <v/>
      </c>
      <c r="I188" s="349" t="str">
        <f t="shared" si="3"/>
        <v/>
      </c>
      <c r="J188" s="493"/>
      <c r="K188" s="349" t="str">
        <f>IFERROR(__xludf.DUMMYFUNCTION("if(ISBLANK(A188),"""",if(B188=""Buy"",CONCAT(GOOGLEFINANCE(A188,""name""),"" {Symbol: ""&amp;A188&amp;""} High Alert!! Share Has Reached Its Target Buying Price,""),""""))"),"")</f>
        <v/>
      </c>
      <c r="L188" s="349" t="b">
        <f>IFERROR(__xludf.DUMMYFUNCTION("if(B188= ""Buy"",CONCAT(GOOGLEFINANCE(A188,""NAME""),"" share currently trading at Rs""&amp;C188&amp;"", Which is ""&amp;H188&amp;"" below the Target price of Rs""&amp;D188&amp;"".""))"),FALSE)</f>
        <v>0</v>
      </c>
    </row>
    <row r="189">
      <c r="A189" s="349" t="str">
        <f>Dashboard!B285</f>
        <v/>
      </c>
      <c r="B189" s="349" t="str">
        <f>Dashboard!H285</f>
        <v/>
      </c>
      <c r="C189" s="356" t="str">
        <f>Dashboard!G285</f>
        <v/>
      </c>
      <c r="D189" s="489" t="str">
        <f>Dashboard!M285</f>
        <v/>
      </c>
      <c r="E189" s="490" t="s">
        <v>314</v>
      </c>
      <c r="F189" s="491" t="str">
        <f t="shared" si="1"/>
        <v/>
      </c>
      <c r="G189" s="492" t="s">
        <v>314</v>
      </c>
      <c r="H189" s="349" t="str">
        <f t="shared" si="2"/>
        <v/>
      </c>
      <c r="I189" s="349" t="str">
        <f t="shared" si="3"/>
        <v/>
      </c>
      <c r="J189" s="493"/>
      <c r="K189" s="349" t="str">
        <f>IFERROR(__xludf.DUMMYFUNCTION("if(ISBLANK(A189),"""",if(B189=""Buy"",CONCAT(GOOGLEFINANCE(A189,""name""),"" {Symbol: ""&amp;A189&amp;""} High Alert!! Share Has Reached Its Target Buying Price,""),""""))"),"")</f>
        <v/>
      </c>
      <c r="L189" s="349" t="b">
        <f>IFERROR(__xludf.DUMMYFUNCTION("if(B189= ""Buy"",CONCAT(GOOGLEFINANCE(A189,""NAME""),"" share currently trading at Rs""&amp;C189&amp;"", Which is ""&amp;H189&amp;"" below the Target price of Rs""&amp;D189&amp;"".""))"),FALSE)</f>
        <v>0</v>
      </c>
    </row>
    <row r="190">
      <c r="A190" s="349" t="str">
        <f>Dashboard!B286</f>
        <v/>
      </c>
      <c r="B190" s="349" t="str">
        <f>Dashboard!H286</f>
        <v/>
      </c>
      <c r="C190" s="356" t="str">
        <f>Dashboard!G286</f>
        <v/>
      </c>
      <c r="D190" s="489" t="str">
        <f>Dashboard!M286</f>
        <v/>
      </c>
      <c r="E190" s="490" t="s">
        <v>314</v>
      </c>
      <c r="F190" s="491" t="str">
        <f t="shared" si="1"/>
        <v/>
      </c>
      <c r="G190" s="492" t="s">
        <v>314</v>
      </c>
      <c r="H190" s="349" t="str">
        <f t="shared" si="2"/>
        <v/>
      </c>
      <c r="I190" s="349" t="str">
        <f t="shared" si="3"/>
        <v/>
      </c>
      <c r="J190" s="493"/>
      <c r="K190" s="349" t="str">
        <f>IFERROR(__xludf.DUMMYFUNCTION("if(ISBLANK(A190),"""",if(B190=""Buy"",CONCAT(GOOGLEFINANCE(A190,""name""),"" {Symbol: ""&amp;A190&amp;""} High Alert!! Share Has Reached Its Target Buying Price,""),""""))"),"")</f>
        <v/>
      </c>
      <c r="L190" s="349" t="b">
        <f>IFERROR(__xludf.DUMMYFUNCTION("if(B190= ""Buy"",CONCAT(GOOGLEFINANCE(A190,""NAME""),"" share currently trading at Rs""&amp;C190&amp;"", Which is ""&amp;H190&amp;"" below the Target price of Rs""&amp;D190&amp;"".""))"),FALSE)</f>
        <v>0</v>
      </c>
    </row>
    <row r="191">
      <c r="A191" s="349" t="str">
        <f>Dashboard!B287</f>
        <v/>
      </c>
      <c r="B191" s="349" t="str">
        <f>Dashboard!H287</f>
        <v/>
      </c>
      <c r="C191" s="356" t="str">
        <f>Dashboard!G287</f>
        <v/>
      </c>
      <c r="D191" s="489" t="str">
        <f>Dashboard!M287</f>
        <v/>
      </c>
      <c r="E191" s="490" t="s">
        <v>314</v>
      </c>
      <c r="F191" s="491" t="str">
        <f t="shared" si="1"/>
        <v/>
      </c>
      <c r="G191" s="492" t="s">
        <v>314</v>
      </c>
      <c r="H191" s="349" t="str">
        <f t="shared" si="2"/>
        <v/>
      </c>
      <c r="I191" s="349" t="str">
        <f t="shared" si="3"/>
        <v/>
      </c>
      <c r="J191" s="493"/>
      <c r="K191" s="349" t="str">
        <f>IFERROR(__xludf.DUMMYFUNCTION("if(ISBLANK(A191),"""",if(B191=""Buy"",CONCAT(GOOGLEFINANCE(A191,""name""),"" {Symbol: ""&amp;A191&amp;""} High Alert!! Share Has Reached Its Target Buying Price,""),""""))"),"")</f>
        <v/>
      </c>
      <c r="L191" s="349" t="b">
        <f>IFERROR(__xludf.DUMMYFUNCTION("if(B191= ""Buy"",CONCAT(GOOGLEFINANCE(A191,""NAME""),"" share currently trading at Rs""&amp;C191&amp;"", Which is ""&amp;H191&amp;"" below the Target price of Rs""&amp;D191&amp;"".""))"),FALSE)</f>
        <v>0</v>
      </c>
    </row>
    <row r="192">
      <c r="A192" s="349" t="str">
        <f>Dashboard!B288</f>
        <v/>
      </c>
      <c r="B192" s="349" t="str">
        <f>Dashboard!H288</f>
        <v/>
      </c>
      <c r="C192" s="356" t="str">
        <f>Dashboard!G288</f>
        <v/>
      </c>
      <c r="D192" s="489" t="str">
        <f>Dashboard!M288</f>
        <v/>
      </c>
      <c r="E192" s="490" t="s">
        <v>314</v>
      </c>
      <c r="F192" s="491" t="str">
        <f t="shared" si="1"/>
        <v/>
      </c>
      <c r="G192" s="492" t="s">
        <v>314</v>
      </c>
      <c r="H192" s="349" t="str">
        <f t="shared" si="2"/>
        <v/>
      </c>
      <c r="I192" s="349" t="str">
        <f t="shared" si="3"/>
        <v/>
      </c>
      <c r="J192" s="493"/>
      <c r="K192" s="349" t="str">
        <f>IFERROR(__xludf.DUMMYFUNCTION("if(ISBLANK(A192),"""",if(B192=""Buy"",CONCAT(GOOGLEFINANCE(A192,""name""),"" {Symbol: ""&amp;A192&amp;""} High Alert!! Share Has Reached Its Target Buying Price,""),""""))"),"")</f>
        <v/>
      </c>
      <c r="L192" s="349" t="b">
        <f>IFERROR(__xludf.DUMMYFUNCTION("if(B192= ""Buy"",CONCAT(GOOGLEFINANCE(A192,""NAME""),"" share currently trading at Rs""&amp;C192&amp;"", Which is ""&amp;H192&amp;"" below the Target price of Rs""&amp;D192&amp;"".""))"),FALSE)</f>
        <v>0</v>
      </c>
    </row>
    <row r="193">
      <c r="A193" s="349" t="str">
        <f>Dashboard!B289</f>
        <v/>
      </c>
      <c r="B193" s="349" t="str">
        <f>Dashboard!H289</f>
        <v/>
      </c>
      <c r="C193" s="356" t="str">
        <f>Dashboard!G289</f>
        <v/>
      </c>
      <c r="D193" s="489" t="str">
        <f>Dashboard!M289</f>
        <v/>
      </c>
      <c r="E193" s="490" t="s">
        <v>314</v>
      </c>
      <c r="F193" s="491" t="str">
        <f t="shared" si="1"/>
        <v/>
      </c>
      <c r="G193" s="492" t="s">
        <v>314</v>
      </c>
      <c r="H193" s="349" t="str">
        <f t="shared" si="2"/>
        <v/>
      </c>
      <c r="I193" s="349" t="str">
        <f t="shared" si="3"/>
        <v/>
      </c>
      <c r="J193" s="493"/>
      <c r="K193" s="349" t="str">
        <f>IFERROR(__xludf.DUMMYFUNCTION("if(ISBLANK(A193),"""",if(B193=""Buy"",CONCAT(GOOGLEFINANCE(A193,""name""),"" {Symbol: ""&amp;A193&amp;""} High Alert!! Share Has Reached Its Target Buying Price,""),""""))"),"")</f>
        <v/>
      </c>
      <c r="L193" s="349" t="b">
        <f>IFERROR(__xludf.DUMMYFUNCTION("if(B193= ""Buy"",CONCAT(GOOGLEFINANCE(A193,""NAME""),"" share currently trading at Rs""&amp;C193&amp;"", Which is ""&amp;H193&amp;"" below the Target price of Rs""&amp;D193&amp;"".""))"),FALSE)</f>
        <v>0</v>
      </c>
    </row>
    <row r="194">
      <c r="A194" s="349" t="str">
        <f>Dashboard!B290</f>
        <v/>
      </c>
      <c r="B194" s="349" t="str">
        <f>Dashboard!H290</f>
        <v/>
      </c>
      <c r="C194" s="356" t="str">
        <f>Dashboard!G290</f>
        <v/>
      </c>
      <c r="D194" s="489" t="str">
        <f>Dashboard!M290</f>
        <v/>
      </c>
      <c r="E194" s="490" t="s">
        <v>314</v>
      </c>
      <c r="F194" s="491" t="str">
        <f t="shared" si="1"/>
        <v/>
      </c>
      <c r="G194" s="492" t="s">
        <v>314</v>
      </c>
      <c r="H194" s="349" t="str">
        <f t="shared" si="2"/>
        <v/>
      </c>
      <c r="I194" s="349" t="str">
        <f t="shared" si="3"/>
        <v/>
      </c>
      <c r="J194" s="493"/>
      <c r="K194" s="349" t="str">
        <f>IFERROR(__xludf.DUMMYFUNCTION("if(ISBLANK(A194),"""",if(B194=""Buy"",CONCAT(GOOGLEFINANCE(A194,""name""),"" {Symbol: ""&amp;A194&amp;""} High Alert!! Share Has Reached Its Target Buying Price,""),""""))"),"")</f>
        <v/>
      </c>
      <c r="L194" s="349" t="b">
        <f>IFERROR(__xludf.DUMMYFUNCTION("if(B194= ""Buy"",CONCAT(GOOGLEFINANCE(A194,""NAME""),"" share currently trading at Rs""&amp;C194&amp;"", Which is ""&amp;H194&amp;"" below the Target price of Rs""&amp;D194&amp;"".""))"),FALSE)</f>
        <v>0</v>
      </c>
    </row>
    <row r="195">
      <c r="A195" s="349" t="str">
        <f>Dashboard!B291</f>
        <v/>
      </c>
      <c r="B195" s="349" t="str">
        <f>Dashboard!H291</f>
        <v/>
      </c>
      <c r="C195" s="356" t="str">
        <f>Dashboard!G291</f>
        <v/>
      </c>
      <c r="D195" s="489" t="str">
        <f>Dashboard!M291</f>
        <v/>
      </c>
      <c r="E195" s="490" t="s">
        <v>314</v>
      </c>
      <c r="F195" s="491" t="str">
        <f t="shared" si="1"/>
        <v/>
      </c>
      <c r="G195" s="492" t="s">
        <v>314</v>
      </c>
      <c r="H195" s="349" t="str">
        <f t="shared" si="2"/>
        <v/>
      </c>
      <c r="I195" s="349" t="str">
        <f t="shared" si="3"/>
        <v/>
      </c>
      <c r="J195" s="493"/>
      <c r="K195" s="349" t="str">
        <f>IFERROR(__xludf.DUMMYFUNCTION("if(ISBLANK(A195),"""",if(B195=""Buy"",CONCAT(GOOGLEFINANCE(A195,""name""),"" {Symbol: ""&amp;A195&amp;""} High Alert!! Share Has Reached Its Target Buying Price,""),""""))"),"")</f>
        <v/>
      </c>
      <c r="L195" s="349" t="b">
        <f>IFERROR(__xludf.DUMMYFUNCTION("if(B195= ""Buy"",CONCAT(GOOGLEFINANCE(A195,""NAME""),"" share currently trading at Rs""&amp;C195&amp;"", Which is ""&amp;H195&amp;"" below the Target price of Rs""&amp;D195&amp;"".""))"),FALSE)</f>
        <v>0</v>
      </c>
    </row>
    <row r="196">
      <c r="A196" s="349" t="str">
        <f>Dashboard!B292</f>
        <v/>
      </c>
      <c r="B196" s="349" t="str">
        <f>Dashboard!H292</f>
        <v/>
      </c>
      <c r="C196" s="356" t="str">
        <f>Dashboard!G292</f>
        <v/>
      </c>
      <c r="D196" s="489" t="str">
        <f>Dashboard!M292</f>
        <v/>
      </c>
      <c r="E196" s="490" t="s">
        <v>314</v>
      </c>
      <c r="F196" s="491" t="str">
        <f t="shared" si="1"/>
        <v/>
      </c>
      <c r="G196" s="492" t="s">
        <v>314</v>
      </c>
      <c r="H196" s="349" t="str">
        <f t="shared" si="2"/>
        <v/>
      </c>
      <c r="I196" s="349" t="str">
        <f t="shared" si="3"/>
        <v/>
      </c>
      <c r="J196" s="493"/>
      <c r="K196" s="349" t="str">
        <f>IFERROR(__xludf.DUMMYFUNCTION("if(ISBLANK(A196),"""",if(B196=""Buy"",CONCAT(GOOGLEFINANCE(A196,""name""),"" {Symbol: ""&amp;A196&amp;""} High Alert!! Share Has Reached Its Target Buying Price,""),""""))"),"")</f>
        <v/>
      </c>
      <c r="L196" s="349" t="b">
        <f>IFERROR(__xludf.DUMMYFUNCTION("if(B196= ""Buy"",CONCAT(GOOGLEFINANCE(A196,""NAME""),"" share currently trading at Rs""&amp;C196&amp;"", Which is ""&amp;H196&amp;"" below the Target price of Rs""&amp;D196&amp;"".""))"),FALSE)</f>
        <v>0</v>
      </c>
    </row>
    <row r="197">
      <c r="A197" s="349" t="str">
        <f>Dashboard!B293</f>
        <v/>
      </c>
      <c r="B197" s="349" t="str">
        <f>Dashboard!H293</f>
        <v/>
      </c>
      <c r="C197" s="356" t="str">
        <f>Dashboard!G293</f>
        <v/>
      </c>
      <c r="D197" s="489" t="str">
        <f>Dashboard!M293</f>
        <v/>
      </c>
      <c r="E197" s="490" t="s">
        <v>314</v>
      </c>
      <c r="F197" s="491" t="str">
        <f t="shared" si="1"/>
        <v/>
      </c>
      <c r="G197" s="492" t="s">
        <v>314</v>
      </c>
      <c r="H197" s="349" t="str">
        <f t="shared" si="2"/>
        <v/>
      </c>
      <c r="I197" s="349" t="str">
        <f t="shared" si="3"/>
        <v/>
      </c>
      <c r="J197" s="493"/>
      <c r="K197" s="349" t="str">
        <f>IFERROR(__xludf.DUMMYFUNCTION("if(ISBLANK(A197),"""",if(B197=""Buy"",CONCAT(GOOGLEFINANCE(A197,""name""),"" {Symbol: ""&amp;A197&amp;""} High Alert!! Share Has Reached Its Target Buying Price,""),""""))"),"")</f>
        <v/>
      </c>
      <c r="L197" s="349" t="b">
        <f>IFERROR(__xludf.DUMMYFUNCTION("if(B197= ""Buy"",CONCAT(GOOGLEFINANCE(A197,""NAME""),"" share currently trading at Rs""&amp;C197&amp;"", Which is ""&amp;H197&amp;"" below the Target price of Rs""&amp;D197&amp;"".""))"),FALSE)</f>
        <v>0</v>
      </c>
    </row>
    <row r="198">
      <c r="A198" s="349" t="str">
        <f>Dashboard!B294</f>
        <v/>
      </c>
      <c r="B198" s="349" t="str">
        <f>Dashboard!H294</f>
        <v/>
      </c>
      <c r="C198" s="356" t="str">
        <f>Dashboard!G294</f>
        <v/>
      </c>
      <c r="D198" s="489" t="str">
        <f>Dashboard!M294</f>
        <v/>
      </c>
      <c r="E198" s="490" t="s">
        <v>314</v>
      </c>
      <c r="F198" s="491" t="str">
        <f t="shared" si="1"/>
        <v/>
      </c>
      <c r="G198" s="492" t="s">
        <v>314</v>
      </c>
      <c r="H198" s="349" t="str">
        <f t="shared" si="2"/>
        <v/>
      </c>
      <c r="I198" s="349" t="str">
        <f t="shared" si="3"/>
        <v/>
      </c>
      <c r="J198" s="493"/>
      <c r="K198" s="349" t="str">
        <f>IFERROR(__xludf.DUMMYFUNCTION("if(ISBLANK(A198),"""",if(B198=""Buy"",CONCAT(GOOGLEFINANCE(A198,""name""),"" {Symbol: ""&amp;A198&amp;""} High Alert!! Share Has Reached Its Target Buying Price,""),""""))"),"")</f>
        <v/>
      </c>
      <c r="L198" s="349" t="b">
        <f>IFERROR(__xludf.DUMMYFUNCTION("if(B198= ""Buy"",CONCAT(GOOGLEFINANCE(A198,""NAME""),"" share currently trading at Rs""&amp;C198&amp;"", Which is ""&amp;H198&amp;"" below the Target price of Rs""&amp;D198&amp;"".""))"),FALSE)</f>
        <v>0</v>
      </c>
    </row>
    <row r="199">
      <c r="A199" s="349" t="str">
        <f>Dashboard!B295</f>
        <v/>
      </c>
      <c r="B199" s="349" t="str">
        <f>Dashboard!H295</f>
        <v/>
      </c>
      <c r="C199" s="356" t="str">
        <f>Dashboard!G295</f>
        <v/>
      </c>
      <c r="D199" s="489" t="str">
        <f>Dashboard!M295</f>
        <v/>
      </c>
      <c r="E199" s="490" t="s">
        <v>314</v>
      </c>
      <c r="F199" s="491" t="str">
        <f t="shared" si="1"/>
        <v/>
      </c>
      <c r="G199" s="492" t="s">
        <v>314</v>
      </c>
      <c r="H199" s="349" t="str">
        <f t="shared" si="2"/>
        <v/>
      </c>
      <c r="I199" s="349" t="str">
        <f t="shared" si="3"/>
        <v/>
      </c>
      <c r="J199" s="493"/>
      <c r="K199" s="349" t="str">
        <f>IFERROR(__xludf.DUMMYFUNCTION("if(ISBLANK(A199),"""",if(B199=""Buy"",CONCAT(GOOGLEFINANCE(A199,""name""),"" {Symbol: ""&amp;A199&amp;""} High Alert!! Share Has Reached Its Target Buying Price,""),""""))"),"")</f>
        <v/>
      </c>
      <c r="L199" s="349" t="b">
        <f>IFERROR(__xludf.DUMMYFUNCTION("if(B199= ""Buy"",CONCAT(GOOGLEFINANCE(A199,""NAME""),"" share currently trading at Rs""&amp;C199&amp;"", Which is ""&amp;H199&amp;"" below the Target price of Rs""&amp;D199&amp;"".""))"),FALSE)</f>
        <v>0</v>
      </c>
    </row>
    <row r="200">
      <c r="A200" s="349" t="str">
        <f>Dashboard!B296</f>
        <v/>
      </c>
      <c r="B200" s="349" t="str">
        <f>Dashboard!H296</f>
        <v/>
      </c>
      <c r="C200" s="356" t="str">
        <f>Dashboard!G296</f>
        <v/>
      </c>
      <c r="D200" s="489" t="str">
        <f>Dashboard!M296</f>
        <v/>
      </c>
      <c r="E200" s="490" t="s">
        <v>314</v>
      </c>
      <c r="F200" s="491" t="str">
        <f t="shared" si="1"/>
        <v/>
      </c>
      <c r="G200" s="492" t="s">
        <v>314</v>
      </c>
      <c r="H200" s="349" t="str">
        <f t="shared" si="2"/>
        <v/>
      </c>
      <c r="I200" s="349" t="str">
        <f t="shared" si="3"/>
        <v/>
      </c>
      <c r="J200" s="493"/>
      <c r="K200" s="349" t="str">
        <f>IFERROR(__xludf.DUMMYFUNCTION("if(ISBLANK(A200),"""",if(B200=""Buy"",CONCAT(GOOGLEFINANCE(A200,""name""),"" {Symbol: ""&amp;A200&amp;""} High Alert!! Share Has Reached Its Target Buying Price,""),""""))"),"")</f>
        <v/>
      </c>
      <c r="L200" s="349" t="b">
        <f>IFERROR(__xludf.DUMMYFUNCTION("if(B200= ""Buy"",CONCAT(GOOGLEFINANCE(A200,""NAME""),"" share currently trading at Rs""&amp;C200&amp;"", Which is ""&amp;H200&amp;"" below the Target price of Rs""&amp;D200&amp;"".""))"),FALSE)</f>
        <v>0</v>
      </c>
    </row>
    <row r="201">
      <c r="A201" s="349" t="str">
        <f>Dashboard!B297</f>
        <v/>
      </c>
      <c r="B201" s="349" t="str">
        <f>Dashboard!H297</f>
        <v/>
      </c>
      <c r="C201" s="356" t="str">
        <f>Dashboard!G297</f>
        <v/>
      </c>
      <c r="D201" s="489" t="str">
        <f>Dashboard!M297</f>
        <v/>
      </c>
      <c r="E201" s="490" t="s">
        <v>314</v>
      </c>
      <c r="F201" s="491" t="str">
        <f t="shared" si="1"/>
        <v/>
      </c>
      <c r="G201" s="492" t="s">
        <v>314</v>
      </c>
      <c r="H201" s="349" t="str">
        <f t="shared" si="2"/>
        <v/>
      </c>
      <c r="I201" s="349" t="str">
        <f t="shared" si="3"/>
        <v/>
      </c>
      <c r="J201" s="493"/>
      <c r="K201" s="349" t="str">
        <f>IFERROR(__xludf.DUMMYFUNCTION("if(ISBLANK(A201),"""",if(B201=""Buy"",CONCAT(GOOGLEFINANCE(A201,""name""),"" {Symbol: ""&amp;A201&amp;""} High Alert!! Share Has Reached Its Target Buying Price,""),""""))"),"")</f>
        <v/>
      </c>
      <c r="L201" s="349" t="b">
        <f>IFERROR(__xludf.DUMMYFUNCTION("if(B201= ""Buy"",CONCAT(GOOGLEFINANCE(A201,""NAME""),"" share currently trading at Rs""&amp;C201&amp;"", Which is ""&amp;H201&amp;"" below the Target price of Rs""&amp;D201&amp;"".""))"),FALSE)</f>
        <v>0</v>
      </c>
    </row>
    <row r="202">
      <c r="A202" s="349" t="str">
        <f>Dashboard!B298</f>
        <v/>
      </c>
      <c r="B202" s="349" t="str">
        <f>Dashboard!H298</f>
        <v/>
      </c>
      <c r="C202" s="356" t="str">
        <f>Dashboard!G298</f>
        <v/>
      </c>
      <c r="D202" s="489" t="str">
        <f>Dashboard!M298</f>
        <v/>
      </c>
      <c r="E202" s="490" t="s">
        <v>314</v>
      </c>
      <c r="F202" s="491" t="str">
        <f t="shared" si="1"/>
        <v/>
      </c>
      <c r="G202" s="492" t="s">
        <v>314</v>
      </c>
      <c r="H202" s="349" t="str">
        <f t="shared" si="2"/>
        <v/>
      </c>
      <c r="I202" s="349" t="str">
        <f t="shared" si="3"/>
        <v/>
      </c>
      <c r="J202" s="493"/>
      <c r="K202" s="349" t="str">
        <f>IFERROR(__xludf.DUMMYFUNCTION("if(ISBLANK(A202),"""",if(B202=""Buy"",CONCAT(GOOGLEFINANCE(A202,""name""),"" {Symbol: ""&amp;A202&amp;""} High Alert!! Share Has Reached Its Target Buying Price,""),""""))"),"")</f>
        <v/>
      </c>
      <c r="L202" s="349" t="b">
        <f>IFERROR(__xludf.DUMMYFUNCTION("if(B202= ""Buy"",CONCAT(GOOGLEFINANCE(A202,""NAME""),"" share currently trading at Rs""&amp;C202&amp;"", Which is ""&amp;H202&amp;"" below the Target price of Rs""&amp;D202&amp;"".""))"),FALSE)</f>
        <v>0</v>
      </c>
    </row>
    <row r="203">
      <c r="A203" s="349" t="str">
        <f>Dashboard!B299</f>
        <v/>
      </c>
      <c r="B203" s="349" t="str">
        <f>Dashboard!H299</f>
        <v/>
      </c>
      <c r="C203" s="356" t="str">
        <f>Dashboard!G299</f>
        <v/>
      </c>
      <c r="D203" s="489" t="str">
        <f>Dashboard!M299</f>
        <v/>
      </c>
      <c r="E203" s="490" t="s">
        <v>314</v>
      </c>
      <c r="F203" s="491" t="str">
        <f t="shared" si="1"/>
        <v/>
      </c>
      <c r="G203" s="492" t="s">
        <v>314</v>
      </c>
      <c r="H203" s="349" t="str">
        <f t="shared" si="2"/>
        <v/>
      </c>
      <c r="I203" s="349" t="str">
        <f t="shared" si="3"/>
        <v/>
      </c>
      <c r="J203" s="493"/>
      <c r="K203" s="349" t="str">
        <f>IFERROR(__xludf.DUMMYFUNCTION("if(ISBLANK(A203),"""",if(B203=""Buy"",CONCAT(GOOGLEFINANCE(A203,""name""),"" {Symbol: ""&amp;A203&amp;""} High Alert!! Share Has Reached Its Target Buying Price,""),""""))"),"")</f>
        <v/>
      </c>
      <c r="L203" s="349" t="b">
        <f>IFERROR(__xludf.DUMMYFUNCTION("if(B203= ""Buy"",CONCAT(GOOGLEFINANCE(A203,""NAME""),"" share currently trading at Rs""&amp;C203&amp;"", Which is ""&amp;H203&amp;"" below the Target price of Rs""&amp;D203&amp;"".""))"),FALSE)</f>
        <v>0</v>
      </c>
    </row>
    <row r="204">
      <c r="A204" s="349" t="str">
        <f>Dashboard!B300</f>
        <v/>
      </c>
      <c r="B204" s="349" t="str">
        <f>Dashboard!H300</f>
        <v/>
      </c>
      <c r="C204" s="356" t="str">
        <f>Dashboard!G300</f>
        <v/>
      </c>
      <c r="D204" s="489" t="str">
        <f>Dashboard!M300</f>
        <v/>
      </c>
      <c r="E204" s="490" t="s">
        <v>314</v>
      </c>
      <c r="F204" s="491" t="str">
        <f t="shared" si="1"/>
        <v/>
      </c>
      <c r="G204" s="492" t="s">
        <v>314</v>
      </c>
      <c r="H204" s="349" t="str">
        <f t="shared" si="2"/>
        <v/>
      </c>
      <c r="I204" s="349" t="str">
        <f t="shared" si="3"/>
        <v/>
      </c>
      <c r="J204" s="493"/>
      <c r="K204" s="349" t="str">
        <f>IFERROR(__xludf.DUMMYFUNCTION("if(ISBLANK(A204),"""",if(B204=""Buy"",CONCAT(GOOGLEFINANCE(A204,""name""),"" {Symbol: ""&amp;A204&amp;""} High Alert!! Share Has Reached Its Target Buying Price,""),""""))"),"")</f>
        <v/>
      </c>
      <c r="L204" s="349" t="b">
        <f>IFERROR(__xludf.DUMMYFUNCTION("if(B204= ""Buy"",CONCAT(GOOGLEFINANCE(A204,""NAME""),"" share currently trading at Rs""&amp;C204&amp;"", Which is ""&amp;H204&amp;"" below the Target price of Rs""&amp;D204&amp;"".""))"),FALSE)</f>
        <v>0</v>
      </c>
    </row>
    <row r="205">
      <c r="A205" s="349" t="str">
        <f>Dashboard!B301</f>
        <v/>
      </c>
      <c r="B205" s="349" t="str">
        <f>Dashboard!H301</f>
        <v/>
      </c>
      <c r="C205" s="356" t="str">
        <f>Dashboard!G301</f>
        <v/>
      </c>
      <c r="D205" s="489" t="str">
        <f>Dashboard!M301</f>
        <v/>
      </c>
      <c r="E205" s="490" t="s">
        <v>314</v>
      </c>
      <c r="F205" s="491" t="str">
        <f t="shared" si="1"/>
        <v/>
      </c>
      <c r="G205" s="492" t="s">
        <v>314</v>
      </c>
      <c r="H205" s="349" t="str">
        <f t="shared" si="2"/>
        <v/>
      </c>
      <c r="I205" s="349" t="str">
        <f t="shared" si="3"/>
        <v/>
      </c>
      <c r="J205" s="493"/>
      <c r="K205" s="349" t="str">
        <f>IFERROR(__xludf.DUMMYFUNCTION("if(ISBLANK(A205),"""",if(B205=""Buy"",CONCAT(GOOGLEFINANCE(A205,""name""),"" {Symbol: ""&amp;A205&amp;""} High Alert!! Share Has Reached Its Target Buying Price,""),""""))"),"")</f>
        <v/>
      </c>
      <c r="L205" s="349" t="b">
        <f>IFERROR(__xludf.DUMMYFUNCTION("if(B205= ""Buy"",CONCAT(GOOGLEFINANCE(A205,""NAME""),"" share currently trading at Rs""&amp;C205&amp;"", Which is ""&amp;H205&amp;"" below the Target price of Rs""&amp;D205&amp;"".""))"),FALSE)</f>
        <v>0</v>
      </c>
    </row>
    <row r="206">
      <c r="A206" s="349" t="str">
        <f>Dashboard!B302</f>
        <v/>
      </c>
      <c r="B206" s="349" t="str">
        <f>Dashboard!H302</f>
        <v/>
      </c>
      <c r="C206" s="356" t="str">
        <f>Dashboard!G302</f>
        <v/>
      </c>
      <c r="D206" s="489" t="str">
        <f>Dashboard!M302</f>
        <v/>
      </c>
      <c r="E206" s="490" t="s">
        <v>314</v>
      </c>
      <c r="F206" s="491" t="str">
        <f t="shared" si="1"/>
        <v/>
      </c>
      <c r="G206" s="492" t="s">
        <v>314</v>
      </c>
      <c r="H206" s="349" t="str">
        <f t="shared" si="2"/>
        <v/>
      </c>
      <c r="I206" s="349" t="str">
        <f t="shared" si="3"/>
        <v/>
      </c>
      <c r="J206" s="493"/>
      <c r="K206" s="349" t="str">
        <f>IFERROR(__xludf.DUMMYFUNCTION("if(ISBLANK(A206),"""",if(B206=""Buy"",CONCAT(GOOGLEFINANCE(A206,""name""),"" {Symbol: ""&amp;A206&amp;""} High Alert!! Share Has Reached Its Target Buying Price,""),""""))"),"")</f>
        <v/>
      </c>
      <c r="L206" s="349" t="b">
        <f>IFERROR(__xludf.DUMMYFUNCTION("if(B206= ""Buy"",CONCAT(GOOGLEFINANCE(A206,""NAME""),"" share currently trading at Rs""&amp;C206&amp;"", Which is ""&amp;H206&amp;"" below the Target price of Rs""&amp;D206&amp;"".""))"),FALSE)</f>
        <v>0</v>
      </c>
    </row>
    <row r="207">
      <c r="A207" s="349" t="str">
        <f>Dashboard!B303</f>
        <v/>
      </c>
      <c r="B207" s="349" t="str">
        <f>Dashboard!H303</f>
        <v/>
      </c>
      <c r="C207" s="356" t="str">
        <f>Dashboard!G303</f>
        <v/>
      </c>
      <c r="D207" s="489" t="str">
        <f>Dashboard!M303</f>
        <v/>
      </c>
      <c r="E207" s="490" t="s">
        <v>314</v>
      </c>
      <c r="F207" s="491" t="str">
        <f t="shared" si="1"/>
        <v/>
      </c>
      <c r="G207" s="492" t="s">
        <v>314</v>
      </c>
      <c r="H207" s="349" t="str">
        <f t="shared" si="2"/>
        <v/>
      </c>
      <c r="I207" s="349" t="str">
        <f t="shared" si="3"/>
        <v/>
      </c>
      <c r="J207" s="493"/>
      <c r="K207" s="349" t="str">
        <f>IFERROR(__xludf.DUMMYFUNCTION("if(ISBLANK(A207),"""",if(B207=""Buy"",CONCAT(GOOGLEFINANCE(A207,""name""),"" {Symbol: ""&amp;A207&amp;""} High Alert!! Share Has Reached Its Target Buying Price,""),""""))"),"")</f>
        <v/>
      </c>
      <c r="L207" s="349" t="b">
        <f>IFERROR(__xludf.DUMMYFUNCTION("if(B207= ""Buy"",CONCAT(GOOGLEFINANCE(A207,""NAME""),"" share currently trading at Rs""&amp;C207&amp;"", Which is ""&amp;H207&amp;"" below the Target price of Rs""&amp;D207&amp;"".""))"),FALSE)</f>
        <v>0</v>
      </c>
    </row>
    <row r="208">
      <c r="A208" s="349" t="str">
        <f>Dashboard!B304</f>
        <v/>
      </c>
      <c r="B208" s="349" t="str">
        <f>Dashboard!H304</f>
        <v/>
      </c>
      <c r="C208" s="356" t="str">
        <f>Dashboard!G304</f>
        <v/>
      </c>
      <c r="D208" s="489" t="str">
        <f>Dashboard!M304</f>
        <v/>
      </c>
      <c r="E208" s="490" t="s">
        <v>314</v>
      </c>
      <c r="F208" s="491" t="str">
        <f t="shared" si="1"/>
        <v/>
      </c>
      <c r="G208" s="492" t="s">
        <v>314</v>
      </c>
      <c r="H208" s="349" t="str">
        <f t="shared" si="2"/>
        <v/>
      </c>
      <c r="I208" s="349" t="str">
        <f t="shared" si="3"/>
        <v/>
      </c>
      <c r="J208" s="493"/>
      <c r="K208" s="349" t="str">
        <f>IFERROR(__xludf.DUMMYFUNCTION("if(ISBLANK(A208),"""",if(B208=""Buy"",CONCAT(GOOGLEFINANCE(A208,""name""),"" {Symbol: ""&amp;A208&amp;""} High Alert!! Share Has Reached Its Target Buying Price,""),""""))"),"")</f>
        <v/>
      </c>
      <c r="L208" s="349" t="b">
        <f>IFERROR(__xludf.DUMMYFUNCTION("if(B208= ""Buy"",CONCAT(GOOGLEFINANCE(A208,""NAME""),"" share currently trading at Rs""&amp;C208&amp;"", Which is ""&amp;H208&amp;"" below the Target price of Rs""&amp;D208&amp;"".""))"),FALSE)</f>
        <v>0</v>
      </c>
    </row>
    <row r="209">
      <c r="A209" s="349" t="str">
        <f>Dashboard!B305</f>
        <v/>
      </c>
      <c r="B209" s="349" t="str">
        <f>Dashboard!H305</f>
        <v/>
      </c>
      <c r="C209" s="356" t="str">
        <f>Dashboard!G305</f>
        <v/>
      </c>
      <c r="D209" s="489" t="str">
        <f>Dashboard!M305</f>
        <v/>
      </c>
      <c r="E209" s="490" t="s">
        <v>314</v>
      </c>
      <c r="F209" s="491" t="str">
        <f t="shared" si="1"/>
        <v/>
      </c>
      <c r="G209" s="492" t="s">
        <v>314</v>
      </c>
      <c r="H209" s="349" t="str">
        <f t="shared" si="2"/>
        <v/>
      </c>
      <c r="I209" s="349" t="str">
        <f t="shared" si="3"/>
        <v/>
      </c>
      <c r="J209" s="493"/>
      <c r="K209" s="349" t="str">
        <f>IFERROR(__xludf.DUMMYFUNCTION("if(ISBLANK(A209),"""",if(B209=""Buy"",CONCAT(GOOGLEFINANCE(A209,""name""),"" {Symbol: ""&amp;A209&amp;""} High Alert!! Share Has Reached Its Target Buying Price,""),""""))"),"")</f>
        <v/>
      </c>
      <c r="L209" s="349" t="b">
        <f>IFERROR(__xludf.DUMMYFUNCTION("if(B209= ""Buy"",CONCAT(GOOGLEFINANCE(A209,""NAME""),"" share currently trading at Rs""&amp;C209&amp;"", Which is ""&amp;H209&amp;"" below the Target price of Rs""&amp;D209&amp;"".""))"),FALSE)</f>
        <v>0</v>
      </c>
    </row>
    <row r="210">
      <c r="A210" s="349" t="str">
        <f>Dashboard!B306</f>
        <v/>
      </c>
      <c r="B210" s="349" t="str">
        <f>Dashboard!H306</f>
        <v/>
      </c>
      <c r="C210" s="356" t="str">
        <f>Dashboard!G306</f>
        <v/>
      </c>
      <c r="D210" s="489" t="str">
        <f>Dashboard!M306</f>
        <v/>
      </c>
      <c r="E210" s="490" t="s">
        <v>314</v>
      </c>
      <c r="F210" s="491" t="str">
        <f t="shared" si="1"/>
        <v/>
      </c>
      <c r="G210" s="492" t="s">
        <v>314</v>
      </c>
      <c r="H210" s="349" t="str">
        <f t="shared" si="2"/>
        <v/>
      </c>
      <c r="I210" s="349" t="str">
        <f t="shared" si="3"/>
        <v/>
      </c>
      <c r="J210" s="493"/>
      <c r="K210" s="349" t="str">
        <f>IFERROR(__xludf.DUMMYFUNCTION("if(ISBLANK(A210),"""",if(B210=""Buy"",CONCAT(GOOGLEFINANCE(A210,""name""),"" {Symbol: ""&amp;A210&amp;""} High Alert!! Share Has Reached Its Target Buying Price,""),""""))"),"")</f>
        <v/>
      </c>
      <c r="L210" s="349" t="b">
        <f>IFERROR(__xludf.DUMMYFUNCTION("if(B210= ""Buy"",CONCAT(GOOGLEFINANCE(A210,""NAME""),"" share currently trading at Rs""&amp;C210&amp;"", Which is ""&amp;H210&amp;"" below the Target price of Rs""&amp;D210&amp;"".""))"),FALSE)</f>
        <v>0</v>
      </c>
    </row>
    <row r="211">
      <c r="A211" s="349" t="str">
        <f>Dashboard!B307</f>
        <v/>
      </c>
      <c r="B211" s="349" t="str">
        <f>Dashboard!H307</f>
        <v/>
      </c>
      <c r="C211" s="356" t="str">
        <f>Dashboard!G307</f>
        <v/>
      </c>
      <c r="D211" s="489" t="str">
        <f>Dashboard!M307</f>
        <v/>
      </c>
      <c r="E211" s="490" t="s">
        <v>314</v>
      </c>
      <c r="F211" s="491" t="str">
        <f t="shared" si="1"/>
        <v/>
      </c>
      <c r="G211" s="492" t="s">
        <v>314</v>
      </c>
      <c r="H211" s="349" t="str">
        <f t="shared" si="2"/>
        <v/>
      </c>
      <c r="I211" s="349" t="str">
        <f t="shared" si="3"/>
        <v/>
      </c>
      <c r="J211" s="493"/>
      <c r="K211" s="349" t="str">
        <f>IFERROR(__xludf.DUMMYFUNCTION("if(ISBLANK(A211),"""",if(B211=""Buy"",CONCAT(GOOGLEFINANCE(A211,""name""),"" {Symbol: ""&amp;A211&amp;""} High Alert!! Share Has Reached Its Target Buying Price,""),""""))"),"")</f>
        <v/>
      </c>
      <c r="L211" s="349" t="b">
        <f>IFERROR(__xludf.DUMMYFUNCTION("if(B211= ""Buy"",CONCAT(GOOGLEFINANCE(A211,""NAME""),"" share currently trading at Rs""&amp;C211&amp;"", Which is ""&amp;H211&amp;"" below the Target price of Rs""&amp;D211&amp;"".""))"),FALSE)</f>
        <v>0</v>
      </c>
    </row>
    <row r="212">
      <c r="A212" s="349" t="str">
        <f>Dashboard!B308</f>
        <v/>
      </c>
      <c r="B212" s="349" t="str">
        <f>Dashboard!H308</f>
        <v/>
      </c>
      <c r="C212" s="356" t="str">
        <f>Dashboard!G308</f>
        <v/>
      </c>
      <c r="D212" s="489" t="str">
        <f>Dashboard!M308</f>
        <v/>
      </c>
      <c r="E212" s="490" t="s">
        <v>314</v>
      </c>
      <c r="F212" s="491" t="str">
        <f t="shared" si="1"/>
        <v/>
      </c>
      <c r="G212" s="492" t="s">
        <v>314</v>
      </c>
      <c r="H212" s="349" t="str">
        <f t="shared" si="2"/>
        <v/>
      </c>
      <c r="I212" s="349" t="str">
        <f t="shared" si="3"/>
        <v/>
      </c>
      <c r="J212" s="493"/>
      <c r="K212" s="349" t="str">
        <f>IFERROR(__xludf.DUMMYFUNCTION("if(ISBLANK(A212),"""",if(B212=""Buy"",CONCAT(GOOGLEFINANCE(A212,""name""),"" {Symbol: ""&amp;A212&amp;""} High Alert!! Share Has Reached Its Target Buying Price,""),""""))"),"")</f>
        <v/>
      </c>
      <c r="L212" s="349" t="b">
        <f>IFERROR(__xludf.DUMMYFUNCTION("if(B212= ""Buy"",CONCAT(GOOGLEFINANCE(A212,""NAME""),"" share currently trading at Rs""&amp;C212&amp;"", Which is ""&amp;H212&amp;"" below the Target price of Rs""&amp;D212&amp;"".""))"),FALSE)</f>
        <v>0</v>
      </c>
    </row>
    <row r="213">
      <c r="A213" s="349" t="str">
        <f>Dashboard!B309</f>
        <v/>
      </c>
      <c r="B213" s="349" t="str">
        <f>Dashboard!H309</f>
        <v/>
      </c>
      <c r="C213" s="356" t="str">
        <f>Dashboard!G309</f>
        <v/>
      </c>
      <c r="D213" s="489" t="str">
        <f>Dashboard!M309</f>
        <v/>
      </c>
      <c r="E213" s="490" t="s">
        <v>314</v>
      </c>
      <c r="F213" s="491" t="str">
        <f t="shared" si="1"/>
        <v/>
      </c>
      <c r="G213" s="492" t="s">
        <v>314</v>
      </c>
      <c r="H213" s="349" t="str">
        <f t="shared" si="2"/>
        <v/>
      </c>
      <c r="I213" s="349" t="str">
        <f t="shared" si="3"/>
        <v/>
      </c>
      <c r="J213" s="493"/>
      <c r="K213" s="349" t="str">
        <f>IFERROR(__xludf.DUMMYFUNCTION("if(ISBLANK(A213),"""",if(B213=""Buy"",CONCAT(GOOGLEFINANCE(A213,""name""),"" {Symbol: ""&amp;A213&amp;""} High Alert!! Share Has Reached Its Target Buying Price,""),""""))"),"")</f>
        <v/>
      </c>
      <c r="L213" s="349" t="b">
        <f>IFERROR(__xludf.DUMMYFUNCTION("if(B213= ""Buy"",CONCAT(GOOGLEFINANCE(A213,""NAME""),"" share currently trading at Rs""&amp;C213&amp;"", Which is ""&amp;H213&amp;"" below the Target price of Rs""&amp;D213&amp;"".""))"),FALSE)</f>
        <v>0</v>
      </c>
    </row>
    <row r="214">
      <c r="A214" s="349" t="str">
        <f>Dashboard!B310</f>
        <v/>
      </c>
      <c r="B214" s="349" t="str">
        <f>Dashboard!H310</f>
        <v/>
      </c>
      <c r="C214" s="356" t="str">
        <f>Dashboard!G310</f>
        <v/>
      </c>
      <c r="D214" s="489" t="str">
        <f>Dashboard!M310</f>
        <v/>
      </c>
      <c r="E214" s="490" t="s">
        <v>314</v>
      </c>
      <c r="F214" s="491" t="str">
        <f t="shared" si="1"/>
        <v/>
      </c>
      <c r="G214" s="492" t="s">
        <v>314</v>
      </c>
      <c r="H214" s="349" t="str">
        <f t="shared" si="2"/>
        <v/>
      </c>
      <c r="I214" s="349" t="str">
        <f t="shared" si="3"/>
        <v/>
      </c>
      <c r="J214" s="493"/>
      <c r="K214" s="349" t="str">
        <f>IFERROR(__xludf.DUMMYFUNCTION("if(ISBLANK(A214),"""",if(B214=""Buy"",CONCAT(GOOGLEFINANCE(A214,""name""),"" {Symbol: ""&amp;A214&amp;""} High Alert!! Share Has Reached Its Target Buying Price,""),""""))"),"")</f>
        <v/>
      </c>
      <c r="L214" s="349" t="b">
        <f>IFERROR(__xludf.DUMMYFUNCTION("if(B214= ""Buy"",CONCAT(GOOGLEFINANCE(A214,""NAME""),"" share currently trading at Rs""&amp;C214&amp;"", Which is ""&amp;H214&amp;"" below the Target price of Rs""&amp;D214&amp;"".""))"),FALSE)</f>
        <v>0</v>
      </c>
    </row>
    <row r="215">
      <c r="A215" s="349" t="str">
        <f>Dashboard!B311</f>
        <v/>
      </c>
      <c r="B215" s="349" t="str">
        <f>Dashboard!H311</f>
        <v/>
      </c>
      <c r="C215" s="356" t="str">
        <f>Dashboard!G311</f>
        <v/>
      </c>
      <c r="D215" s="489" t="str">
        <f>Dashboard!M311</f>
        <v/>
      </c>
      <c r="E215" s="490" t="s">
        <v>314</v>
      </c>
      <c r="F215" s="491" t="str">
        <f t="shared" si="1"/>
        <v/>
      </c>
      <c r="G215" s="492" t="s">
        <v>314</v>
      </c>
      <c r="H215" s="349" t="str">
        <f t="shared" si="2"/>
        <v/>
      </c>
      <c r="I215" s="349" t="str">
        <f t="shared" si="3"/>
        <v/>
      </c>
      <c r="J215" s="493"/>
      <c r="K215" s="349" t="str">
        <f>IFERROR(__xludf.DUMMYFUNCTION("if(ISBLANK(A215),"""",if(B215=""Buy"",CONCAT(GOOGLEFINANCE(A215,""name""),"" {Symbol: ""&amp;A215&amp;""} High Alert!! Share Has Reached Its Target Buying Price,""),""""))"),"")</f>
        <v/>
      </c>
      <c r="L215" s="349" t="b">
        <f>IFERROR(__xludf.DUMMYFUNCTION("if(B215= ""Buy"",CONCAT(GOOGLEFINANCE(A215,""NAME""),"" share currently trading at Rs""&amp;C215&amp;"", Which is ""&amp;H215&amp;"" below the Target price of Rs""&amp;D215&amp;"".""))"),FALSE)</f>
        <v>0</v>
      </c>
    </row>
    <row r="216">
      <c r="A216" s="349" t="str">
        <f>Dashboard!B312</f>
        <v/>
      </c>
      <c r="B216" s="349" t="str">
        <f>Dashboard!H312</f>
        <v/>
      </c>
      <c r="C216" s="356" t="str">
        <f>Dashboard!G312</f>
        <v/>
      </c>
      <c r="D216" s="489" t="str">
        <f>Dashboard!M312</f>
        <v/>
      </c>
      <c r="E216" s="490" t="s">
        <v>314</v>
      </c>
      <c r="F216" s="491" t="str">
        <f t="shared" si="1"/>
        <v/>
      </c>
      <c r="G216" s="492" t="s">
        <v>314</v>
      </c>
      <c r="H216" s="349" t="str">
        <f t="shared" si="2"/>
        <v/>
      </c>
      <c r="I216" s="349" t="str">
        <f t="shared" si="3"/>
        <v/>
      </c>
      <c r="J216" s="493"/>
      <c r="K216" s="349" t="str">
        <f>IFERROR(__xludf.DUMMYFUNCTION("if(ISBLANK(A216),"""",if(B216=""Buy"",CONCAT(GOOGLEFINANCE(A216,""name""),"" {Symbol: ""&amp;A216&amp;""} High Alert!! Share Has Reached Its Target Buying Price,""),""""))"),"")</f>
        <v/>
      </c>
      <c r="L216" s="349" t="b">
        <f>IFERROR(__xludf.DUMMYFUNCTION("if(B216= ""Buy"",CONCAT(GOOGLEFINANCE(A216,""NAME""),"" share currently trading at Rs""&amp;C216&amp;"", Which is ""&amp;H216&amp;"" below the Target price of Rs""&amp;D216&amp;"".""))"),FALSE)</f>
        <v>0</v>
      </c>
    </row>
    <row r="217">
      <c r="A217" s="349" t="str">
        <f>Dashboard!B313</f>
        <v/>
      </c>
      <c r="B217" s="349" t="str">
        <f>Dashboard!H313</f>
        <v/>
      </c>
      <c r="C217" s="356" t="str">
        <f>Dashboard!G313</f>
        <v/>
      </c>
      <c r="D217" s="489" t="str">
        <f>Dashboard!M313</f>
        <v/>
      </c>
      <c r="E217" s="490" t="s">
        <v>314</v>
      </c>
      <c r="F217" s="491" t="str">
        <f t="shared" si="1"/>
        <v/>
      </c>
      <c r="G217" s="492" t="s">
        <v>314</v>
      </c>
      <c r="H217" s="349" t="str">
        <f t="shared" si="2"/>
        <v/>
      </c>
      <c r="I217" s="349" t="str">
        <f t="shared" si="3"/>
        <v/>
      </c>
      <c r="J217" s="493"/>
      <c r="K217" s="349" t="str">
        <f>IFERROR(__xludf.DUMMYFUNCTION("if(ISBLANK(A217),"""",if(B217=""Buy"",CONCAT(GOOGLEFINANCE(A217,""name""),"" {Symbol: ""&amp;A217&amp;""} High Alert!! Share Has Reached Its Target Buying Price,""),""""))"),"")</f>
        <v/>
      </c>
      <c r="L217" s="349" t="b">
        <f>IFERROR(__xludf.DUMMYFUNCTION("if(B217= ""Buy"",CONCAT(GOOGLEFINANCE(A217,""NAME""),"" share currently trading at Rs""&amp;C217&amp;"", Which is ""&amp;H217&amp;"" below the Target price of Rs""&amp;D217&amp;"".""))"),FALSE)</f>
        <v>0</v>
      </c>
    </row>
    <row r="218">
      <c r="A218" s="349" t="str">
        <f>Dashboard!B314</f>
        <v/>
      </c>
      <c r="B218" s="349" t="str">
        <f>Dashboard!H314</f>
        <v/>
      </c>
      <c r="C218" s="356" t="str">
        <f>Dashboard!G314</f>
        <v/>
      </c>
      <c r="D218" s="489" t="str">
        <f>Dashboard!M314</f>
        <v/>
      </c>
      <c r="E218" s="490" t="s">
        <v>314</v>
      </c>
      <c r="F218" s="491" t="str">
        <f t="shared" si="1"/>
        <v/>
      </c>
      <c r="G218" s="492" t="s">
        <v>314</v>
      </c>
      <c r="H218" s="349" t="str">
        <f t="shared" si="2"/>
        <v/>
      </c>
      <c r="I218" s="349" t="str">
        <f t="shared" si="3"/>
        <v/>
      </c>
      <c r="J218" s="493"/>
      <c r="K218" s="349" t="str">
        <f>IFERROR(__xludf.DUMMYFUNCTION("if(ISBLANK(A218),"""",if(B218=""Buy"",CONCAT(GOOGLEFINANCE(A218,""name""),"" {Symbol: ""&amp;A218&amp;""} High Alert!! Share Has Reached Its Target Buying Price,""),""""))"),"")</f>
        <v/>
      </c>
      <c r="L218" s="349" t="b">
        <f>IFERROR(__xludf.DUMMYFUNCTION("if(B218= ""Buy"",CONCAT(GOOGLEFINANCE(A218,""NAME""),"" share currently trading at Rs""&amp;C218&amp;"", Which is ""&amp;H218&amp;"" below the Target price of Rs""&amp;D218&amp;"".""))"),FALSE)</f>
        <v>0</v>
      </c>
    </row>
    <row r="219">
      <c r="A219" s="349" t="str">
        <f>Dashboard!B315</f>
        <v/>
      </c>
      <c r="B219" s="349" t="str">
        <f>Dashboard!H315</f>
        <v/>
      </c>
      <c r="C219" s="356" t="str">
        <f>Dashboard!G315</f>
        <v/>
      </c>
      <c r="D219" s="489" t="str">
        <f>Dashboard!M315</f>
        <v/>
      </c>
      <c r="E219" s="490" t="s">
        <v>314</v>
      </c>
      <c r="F219" s="491" t="str">
        <f t="shared" si="1"/>
        <v/>
      </c>
      <c r="G219" s="492" t="s">
        <v>314</v>
      </c>
      <c r="H219" s="349" t="str">
        <f t="shared" si="2"/>
        <v/>
      </c>
      <c r="I219" s="349" t="str">
        <f t="shared" si="3"/>
        <v/>
      </c>
      <c r="J219" s="493"/>
      <c r="K219" s="349" t="str">
        <f>IFERROR(__xludf.DUMMYFUNCTION("if(ISBLANK(A219),"""",if(B219=""Buy"",CONCAT(GOOGLEFINANCE(A219,""name""),"" {Symbol: ""&amp;A219&amp;""} High Alert!! Share Has Reached Its Target Buying Price,""),""""))"),"")</f>
        <v/>
      </c>
      <c r="L219" s="349" t="b">
        <f>IFERROR(__xludf.DUMMYFUNCTION("if(B219= ""Buy"",CONCAT(GOOGLEFINANCE(A219,""NAME""),"" share currently trading at Rs""&amp;C219&amp;"", Which is ""&amp;H219&amp;"" below the Target price of Rs""&amp;D219&amp;"".""))"),FALSE)</f>
        <v>0</v>
      </c>
    </row>
    <row r="220">
      <c r="A220" s="349" t="str">
        <f>Dashboard!B316</f>
        <v/>
      </c>
      <c r="B220" s="349" t="str">
        <f>Dashboard!H316</f>
        <v/>
      </c>
      <c r="C220" s="356" t="str">
        <f>Dashboard!G316</f>
        <v/>
      </c>
      <c r="D220" s="489" t="str">
        <f>Dashboard!M316</f>
        <v/>
      </c>
      <c r="E220" s="490" t="s">
        <v>314</v>
      </c>
      <c r="F220" s="491" t="str">
        <f t="shared" si="1"/>
        <v/>
      </c>
      <c r="G220" s="492" t="s">
        <v>314</v>
      </c>
      <c r="H220" s="349" t="str">
        <f t="shared" si="2"/>
        <v/>
      </c>
      <c r="I220" s="349" t="str">
        <f t="shared" si="3"/>
        <v/>
      </c>
      <c r="J220" s="493"/>
      <c r="K220" s="349" t="str">
        <f>IFERROR(__xludf.DUMMYFUNCTION("if(ISBLANK(A220),"""",if(B220=""Buy"",CONCAT(GOOGLEFINANCE(A220,""name""),"" {Symbol: ""&amp;A220&amp;""} High Alert!! Share Has Reached Its Target Buying Price,""),""""))"),"")</f>
        <v/>
      </c>
      <c r="L220" s="349" t="b">
        <f>IFERROR(__xludf.DUMMYFUNCTION("if(B220= ""Buy"",CONCAT(GOOGLEFINANCE(A220,""NAME""),"" share currently trading at Rs""&amp;C220&amp;"", Which is ""&amp;H220&amp;"" below the Target price of Rs""&amp;D220&amp;"".""))"),FALSE)</f>
        <v>0</v>
      </c>
    </row>
    <row r="221">
      <c r="A221" s="349" t="str">
        <f>Dashboard!B317</f>
        <v/>
      </c>
      <c r="B221" s="349" t="str">
        <f>Dashboard!H317</f>
        <v/>
      </c>
      <c r="C221" s="356" t="str">
        <f>Dashboard!G317</f>
        <v/>
      </c>
      <c r="D221" s="489" t="str">
        <f>Dashboard!M317</f>
        <v/>
      </c>
      <c r="E221" s="490" t="s">
        <v>314</v>
      </c>
      <c r="F221" s="491" t="str">
        <f t="shared" si="1"/>
        <v/>
      </c>
      <c r="G221" s="492" t="s">
        <v>314</v>
      </c>
      <c r="H221" s="349" t="str">
        <f t="shared" si="2"/>
        <v/>
      </c>
      <c r="I221" s="349" t="str">
        <f t="shared" si="3"/>
        <v/>
      </c>
      <c r="J221" s="493"/>
      <c r="K221" s="349" t="str">
        <f>IFERROR(__xludf.DUMMYFUNCTION("if(ISBLANK(A221),"""",if(B221=""Buy"",CONCAT(GOOGLEFINANCE(A221,""name""),"" {Symbol: ""&amp;A221&amp;""} High Alert!! Share Has Reached Its Target Buying Price,""),""""))"),"")</f>
        <v/>
      </c>
      <c r="L221" s="349" t="b">
        <f>IFERROR(__xludf.DUMMYFUNCTION("if(B221= ""Buy"",CONCAT(GOOGLEFINANCE(A221,""NAME""),"" share currently trading at Rs""&amp;C221&amp;"", Which is ""&amp;H221&amp;"" below the Target price of Rs""&amp;D221&amp;"".""))"),FALSE)</f>
        <v>0</v>
      </c>
    </row>
    <row r="222">
      <c r="A222" s="349" t="str">
        <f>Dashboard!B318</f>
        <v/>
      </c>
      <c r="B222" s="349" t="str">
        <f>Dashboard!H318</f>
        <v/>
      </c>
      <c r="C222" s="356" t="str">
        <f>Dashboard!G318</f>
        <v/>
      </c>
      <c r="D222" s="489" t="str">
        <f>Dashboard!M318</f>
        <v/>
      </c>
      <c r="E222" s="490" t="s">
        <v>314</v>
      </c>
      <c r="F222" s="491" t="str">
        <f t="shared" si="1"/>
        <v/>
      </c>
      <c r="G222" s="492" t="s">
        <v>314</v>
      </c>
      <c r="H222" s="349" t="str">
        <f t="shared" si="2"/>
        <v/>
      </c>
      <c r="I222" s="349" t="str">
        <f t="shared" si="3"/>
        <v/>
      </c>
      <c r="J222" s="493"/>
      <c r="K222" s="349" t="str">
        <f>IFERROR(__xludf.DUMMYFUNCTION("if(ISBLANK(A222),"""",if(B222=""Buy"",CONCAT(GOOGLEFINANCE(A222,""name""),"" {Symbol: ""&amp;A222&amp;""} High Alert!! Share Has Reached Its Target Buying Price,""),""""))"),"")</f>
        <v/>
      </c>
      <c r="L222" s="349" t="b">
        <f>IFERROR(__xludf.DUMMYFUNCTION("if(B222= ""Buy"",CONCAT(GOOGLEFINANCE(A222,""NAME""),"" share currently trading at Rs""&amp;C222&amp;"", Which is ""&amp;H222&amp;"" below the Target price of Rs""&amp;D222&amp;"".""))"),FALSE)</f>
        <v>0</v>
      </c>
    </row>
    <row r="223">
      <c r="A223" s="349" t="str">
        <f>Dashboard!B319</f>
        <v/>
      </c>
      <c r="B223" s="349" t="str">
        <f>Dashboard!H319</f>
        <v/>
      </c>
      <c r="C223" s="356" t="str">
        <f>Dashboard!G319</f>
        <v/>
      </c>
      <c r="D223" s="489" t="str">
        <f>Dashboard!M319</f>
        <v/>
      </c>
      <c r="E223" s="490" t="s">
        <v>314</v>
      </c>
      <c r="F223" s="491" t="str">
        <f t="shared" si="1"/>
        <v/>
      </c>
      <c r="G223" s="492" t="s">
        <v>314</v>
      </c>
      <c r="H223" s="349" t="str">
        <f t="shared" si="2"/>
        <v/>
      </c>
      <c r="I223" s="349" t="str">
        <f t="shared" si="3"/>
        <v/>
      </c>
      <c r="J223" s="493"/>
      <c r="K223" s="349" t="str">
        <f>IFERROR(__xludf.DUMMYFUNCTION("if(ISBLANK(A223),"""",if(B223=""Buy"",CONCAT(GOOGLEFINANCE(A223,""name""),"" {Symbol: ""&amp;A223&amp;""} High Alert!! Share Has Reached Its Target Buying Price,""),""""))"),"")</f>
        <v/>
      </c>
      <c r="L223" s="349" t="b">
        <f>IFERROR(__xludf.DUMMYFUNCTION("if(B223= ""Buy"",CONCAT(GOOGLEFINANCE(A223,""NAME""),"" share currently trading at Rs""&amp;C223&amp;"", Which is ""&amp;H223&amp;"" below the Target price of Rs""&amp;D223&amp;"".""))"),FALSE)</f>
        <v>0</v>
      </c>
    </row>
    <row r="224">
      <c r="A224" s="349" t="str">
        <f>Dashboard!B320</f>
        <v/>
      </c>
      <c r="B224" s="349" t="str">
        <f>Dashboard!H320</f>
        <v/>
      </c>
      <c r="C224" s="356" t="str">
        <f>Dashboard!G320</f>
        <v/>
      </c>
      <c r="D224" s="489" t="str">
        <f>Dashboard!M320</f>
        <v/>
      </c>
      <c r="E224" s="490" t="s">
        <v>314</v>
      </c>
      <c r="F224" s="491" t="str">
        <f t="shared" si="1"/>
        <v/>
      </c>
      <c r="G224" s="492" t="s">
        <v>314</v>
      </c>
      <c r="H224" s="349" t="str">
        <f t="shared" si="2"/>
        <v/>
      </c>
      <c r="I224" s="349" t="str">
        <f t="shared" si="3"/>
        <v/>
      </c>
      <c r="J224" s="493"/>
      <c r="K224" s="349" t="str">
        <f>IFERROR(__xludf.DUMMYFUNCTION("if(ISBLANK(A224),"""",if(B224=""Buy"",CONCAT(GOOGLEFINANCE(A224,""name""),"" {Symbol: ""&amp;A224&amp;""} High Alert!! Share Has Reached Its Target Buying Price,""),""""))"),"")</f>
        <v/>
      </c>
      <c r="L224" s="349" t="b">
        <f>IFERROR(__xludf.DUMMYFUNCTION("if(B224= ""Buy"",CONCAT(GOOGLEFINANCE(A224,""NAME""),"" share currently trading at Rs""&amp;C224&amp;"", Which is ""&amp;H224&amp;"" below the Target price of Rs""&amp;D224&amp;"".""))"),FALSE)</f>
        <v>0</v>
      </c>
    </row>
    <row r="225">
      <c r="A225" s="349" t="str">
        <f>Dashboard!B321</f>
        <v/>
      </c>
      <c r="B225" s="349" t="str">
        <f>Dashboard!H321</f>
        <v/>
      </c>
      <c r="C225" s="356" t="str">
        <f>Dashboard!G321</f>
        <v/>
      </c>
      <c r="D225" s="489" t="str">
        <f>Dashboard!M321</f>
        <v/>
      </c>
      <c r="E225" s="490" t="s">
        <v>314</v>
      </c>
      <c r="F225" s="491" t="str">
        <f t="shared" si="1"/>
        <v/>
      </c>
      <c r="G225" s="492" t="s">
        <v>314</v>
      </c>
      <c r="H225" s="349" t="str">
        <f t="shared" si="2"/>
        <v/>
      </c>
      <c r="I225" s="349" t="str">
        <f t="shared" si="3"/>
        <v/>
      </c>
      <c r="J225" s="493"/>
      <c r="K225" s="349" t="str">
        <f>IFERROR(__xludf.DUMMYFUNCTION("if(ISBLANK(A225),"""",if(B225=""Buy"",CONCAT(GOOGLEFINANCE(A225,""name""),"" {Symbol: ""&amp;A225&amp;""} High Alert!! Share Has Reached Its Target Buying Price,""),""""))"),"")</f>
        <v/>
      </c>
      <c r="L225" s="349" t="b">
        <f>IFERROR(__xludf.DUMMYFUNCTION("if(B225= ""Buy"",CONCAT(GOOGLEFINANCE(A225,""NAME""),"" share currently trading at Rs""&amp;C225&amp;"", Which is ""&amp;H225&amp;"" below the Target price of Rs""&amp;D225&amp;"".""))"),FALSE)</f>
        <v>0</v>
      </c>
    </row>
    <row r="226">
      <c r="A226" s="349" t="str">
        <f>Dashboard!B322</f>
        <v/>
      </c>
      <c r="B226" s="349" t="str">
        <f>Dashboard!H322</f>
        <v/>
      </c>
      <c r="C226" s="356" t="str">
        <f>Dashboard!G322</f>
        <v/>
      </c>
      <c r="D226" s="489" t="str">
        <f>Dashboard!M322</f>
        <v/>
      </c>
      <c r="E226" s="490" t="s">
        <v>314</v>
      </c>
      <c r="F226" s="491" t="str">
        <f t="shared" si="1"/>
        <v/>
      </c>
      <c r="G226" s="492" t="s">
        <v>314</v>
      </c>
      <c r="H226" s="349" t="str">
        <f t="shared" si="2"/>
        <v/>
      </c>
      <c r="I226" s="349" t="str">
        <f t="shared" si="3"/>
        <v/>
      </c>
      <c r="J226" s="493"/>
      <c r="K226" s="349" t="str">
        <f>IFERROR(__xludf.DUMMYFUNCTION("if(ISBLANK(A226),"""",if(B226=""Buy"",CONCAT(GOOGLEFINANCE(A226,""name""),"" {Symbol: ""&amp;A226&amp;""} High Alert!! Share Has Reached Its Target Buying Price,""),""""))"),"")</f>
        <v/>
      </c>
      <c r="L226" s="349" t="b">
        <f>IFERROR(__xludf.DUMMYFUNCTION("if(B226= ""Buy"",CONCAT(GOOGLEFINANCE(A226,""NAME""),"" share currently trading at Rs""&amp;C226&amp;"", Which is ""&amp;H226&amp;"" below the Target price of Rs""&amp;D226&amp;"".""))"),FALSE)</f>
        <v>0</v>
      </c>
    </row>
    <row r="227">
      <c r="A227" s="349" t="str">
        <f>Dashboard!B323</f>
        <v/>
      </c>
      <c r="B227" s="349" t="str">
        <f>Dashboard!H323</f>
        <v/>
      </c>
      <c r="C227" s="356" t="str">
        <f>Dashboard!G323</f>
        <v/>
      </c>
      <c r="D227" s="489" t="str">
        <f>Dashboard!M323</f>
        <v/>
      </c>
      <c r="E227" s="490" t="s">
        <v>314</v>
      </c>
      <c r="F227" s="491" t="str">
        <f t="shared" si="1"/>
        <v/>
      </c>
      <c r="G227" s="492" t="s">
        <v>314</v>
      </c>
      <c r="H227" s="349" t="str">
        <f t="shared" si="2"/>
        <v/>
      </c>
      <c r="I227" s="349" t="str">
        <f t="shared" si="3"/>
        <v/>
      </c>
      <c r="J227" s="493"/>
      <c r="K227" s="349" t="str">
        <f>IFERROR(__xludf.DUMMYFUNCTION("if(ISBLANK(A227),"""",if(B227=""Buy"",CONCAT(GOOGLEFINANCE(A227,""name""),"" {Symbol: ""&amp;A227&amp;""} High Alert!! Share Has Reached Its Target Buying Price,""),""""))"),"")</f>
        <v/>
      </c>
      <c r="L227" s="349" t="b">
        <f>IFERROR(__xludf.DUMMYFUNCTION("if(B227= ""Buy"",CONCAT(GOOGLEFINANCE(A227,""NAME""),"" share currently trading at Rs""&amp;C227&amp;"", Which is ""&amp;H227&amp;"" below the Target price of Rs""&amp;D227&amp;"".""))"),FALSE)</f>
        <v>0</v>
      </c>
    </row>
    <row r="228">
      <c r="A228" s="349" t="str">
        <f>Dashboard!B324</f>
        <v/>
      </c>
      <c r="B228" s="349" t="str">
        <f>Dashboard!H324</f>
        <v/>
      </c>
      <c r="C228" s="356" t="str">
        <f>Dashboard!G324</f>
        <v/>
      </c>
      <c r="D228" s="489" t="str">
        <f>Dashboard!M324</f>
        <v/>
      </c>
      <c r="E228" s="490" t="s">
        <v>314</v>
      </c>
      <c r="F228" s="491" t="str">
        <f t="shared" si="1"/>
        <v/>
      </c>
      <c r="G228" s="492" t="s">
        <v>314</v>
      </c>
      <c r="H228" s="349" t="str">
        <f t="shared" si="2"/>
        <v/>
      </c>
      <c r="I228" s="349" t="str">
        <f t="shared" si="3"/>
        <v/>
      </c>
      <c r="J228" s="493"/>
      <c r="K228" s="349" t="str">
        <f>IFERROR(__xludf.DUMMYFUNCTION("if(ISBLANK(A228),"""",if(B228=""Buy"",CONCAT(GOOGLEFINANCE(A228,""name""),"" {Symbol: ""&amp;A228&amp;""} High Alert!! Share Has Reached Its Target Buying Price,""),""""))"),"")</f>
        <v/>
      </c>
      <c r="L228" s="349" t="b">
        <f>IFERROR(__xludf.DUMMYFUNCTION("if(B228= ""Buy"",CONCAT(GOOGLEFINANCE(A228,""NAME""),"" share currently trading at Rs""&amp;C228&amp;"", Which is ""&amp;H228&amp;"" below the Target price of Rs""&amp;D228&amp;"".""))"),FALSE)</f>
        <v>0</v>
      </c>
    </row>
    <row r="229">
      <c r="A229" s="349" t="str">
        <f>Dashboard!B325</f>
        <v/>
      </c>
      <c r="B229" s="349" t="str">
        <f>Dashboard!H325</f>
        <v/>
      </c>
      <c r="C229" s="356" t="str">
        <f>Dashboard!G325</f>
        <v/>
      </c>
      <c r="D229" s="489" t="str">
        <f>Dashboard!M325</f>
        <v/>
      </c>
      <c r="E229" s="490" t="s">
        <v>314</v>
      </c>
      <c r="F229" s="491" t="str">
        <f t="shared" si="1"/>
        <v/>
      </c>
      <c r="G229" s="492" t="s">
        <v>314</v>
      </c>
      <c r="H229" s="349" t="str">
        <f t="shared" si="2"/>
        <v/>
      </c>
      <c r="I229" s="349" t="str">
        <f t="shared" si="3"/>
        <v/>
      </c>
      <c r="J229" s="493"/>
      <c r="K229" s="349" t="str">
        <f>IFERROR(__xludf.DUMMYFUNCTION("if(ISBLANK(A229),"""",if(B229=""Buy"",CONCAT(GOOGLEFINANCE(A229,""name""),"" {Symbol: ""&amp;A229&amp;""} High Alert!! Share Has Reached Its Target Buying Price,""),""""))"),"")</f>
        <v/>
      </c>
      <c r="L229" s="349" t="b">
        <f>IFERROR(__xludf.DUMMYFUNCTION("if(B229= ""Buy"",CONCAT(GOOGLEFINANCE(A229,""NAME""),"" share currently trading at Rs""&amp;C229&amp;"", Which is ""&amp;H229&amp;"" below the Target price of Rs""&amp;D229&amp;"".""))"),FALSE)</f>
        <v>0</v>
      </c>
    </row>
    <row r="230">
      <c r="A230" s="349" t="str">
        <f>Dashboard!B326</f>
        <v/>
      </c>
      <c r="B230" s="349" t="str">
        <f>Dashboard!H326</f>
        <v/>
      </c>
      <c r="C230" s="356" t="str">
        <f>Dashboard!G326</f>
        <v/>
      </c>
      <c r="D230" s="489" t="str">
        <f>Dashboard!M326</f>
        <v/>
      </c>
      <c r="E230" s="490" t="s">
        <v>314</v>
      </c>
      <c r="F230" s="491" t="str">
        <f t="shared" si="1"/>
        <v/>
      </c>
      <c r="G230" s="492" t="s">
        <v>314</v>
      </c>
      <c r="H230" s="349" t="str">
        <f t="shared" si="2"/>
        <v/>
      </c>
      <c r="I230" s="349" t="str">
        <f t="shared" si="3"/>
        <v/>
      </c>
      <c r="J230" s="493"/>
      <c r="K230" s="349" t="str">
        <f>IFERROR(__xludf.DUMMYFUNCTION("if(ISBLANK(A230),"""",if(B230=""Buy"",CONCAT(GOOGLEFINANCE(A230,""name""),"" {Symbol: ""&amp;A230&amp;""} High Alert!! Share Has Reached Its Target Buying Price,""),""""))"),"")</f>
        <v/>
      </c>
      <c r="L230" s="349" t="b">
        <f>IFERROR(__xludf.DUMMYFUNCTION("if(B230= ""Buy"",CONCAT(GOOGLEFINANCE(A230,""NAME""),"" share currently trading at Rs""&amp;C230&amp;"", Which is ""&amp;H230&amp;"" below the Target price of Rs""&amp;D230&amp;"".""))"),FALSE)</f>
        <v>0</v>
      </c>
    </row>
    <row r="231">
      <c r="A231" s="349" t="str">
        <f>Dashboard!B327</f>
        <v/>
      </c>
      <c r="B231" s="349" t="str">
        <f>Dashboard!H327</f>
        <v/>
      </c>
      <c r="C231" s="356" t="str">
        <f>Dashboard!G327</f>
        <v/>
      </c>
      <c r="D231" s="489" t="str">
        <f>Dashboard!M327</f>
        <v/>
      </c>
      <c r="E231" s="490" t="s">
        <v>314</v>
      </c>
      <c r="F231" s="491" t="str">
        <f t="shared" si="1"/>
        <v/>
      </c>
      <c r="G231" s="492" t="s">
        <v>314</v>
      </c>
      <c r="H231" s="349" t="str">
        <f t="shared" si="2"/>
        <v/>
      </c>
      <c r="I231" s="349" t="str">
        <f t="shared" si="3"/>
        <v/>
      </c>
      <c r="J231" s="493"/>
      <c r="K231" s="349" t="str">
        <f>IFERROR(__xludf.DUMMYFUNCTION("if(ISBLANK(A231),"""",if(B231=""Buy"",CONCAT(GOOGLEFINANCE(A231,""name""),"" {Symbol: ""&amp;A231&amp;""} High Alert!! Share Has Reached Its Target Buying Price,""),""""))"),"")</f>
        <v/>
      </c>
      <c r="L231" s="349" t="b">
        <f>IFERROR(__xludf.DUMMYFUNCTION("if(B231= ""Buy"",CONCAT(GOOGLEFINANCE(A231,""NAME""),"" share currently trading at Rs""&amp;C231&amp;"", Which is ""&amp;H231&amp;"" below the Target price of Rs""&amp;D231&amp;"".""))"),FALSE)</f>
        <v>0</v>
      </c>
    </row>
    <row r="232">
      <c r="A232" s="349" t="str">
        <f>Dashboard!B328</f>
        <v/>
      </c>
      <c r="B232" s="349" t="str">
        <f>Dashboard!H328</f>
        <v/>
      </c>
      <c r="C232" s="356" t="str">
        <f>Dashboard!G328</f>
        <v/>
      </c>
      <c r="D232" s="489" t="str">
        <f>Dashboard!M328</f>
        <v/>
      </c>
      <c r="E232" s="490" t="s">
        <v>314</v>
      </c>
      <c r="F232" s="491" t="str">
        <f t="shared" si="1"/>
        <v/>
      </c>
      <c r="G232" s="492" t="s">
        <v>314</v>
      </c>
      <c r="H232" s="349" t="str">
        <f t="shared" si="2"/>
        <v/>
      </c>
      <c r="I232" s="349" t="str">
        <f t="shared" si="3"/>
        <v/>
      </c>
      <c r="J232" s="493"/>
      <c r="K232" s="349" t="str">
        <f>IFERROR(__xludf.DUMMYFUNCTION("if(ISBLANK(A232),"""",if(B232=""Buy"",CONCAT(GOOGLEFINANCE(A232,""name""),"" {Symbol: ""&amp;A232&amp;""} High Alert!! Share Has Reached Its Target Buying Price,""),""""))"),"")</f>
        <v/>
      </c>
      <c r="L232" s="349" t="b">
        <f>IFERROR(__xludf.DUMMYFUNCTION("if(B232= ""Buy"",CONCAT(GOOGLEFINANCE(A232,""NAME""),"" share currently trading at Rs""&amp;C232&amp;"", Which is ""&amp;H232&amp;"" below the Target price of Rs""&amp;D232&amp;"".""))"),FALSE)</f>
        <v>0</v>
      </c>
    </row>
    <row r="233">
      <c r="A233" s="349" t="str">
        <f>Dashboard!B329</f>
        <v/>
      </c>
      <c r="B233" s="349" t="str">
        <f>Dashboard!H329</f>
        <v/>
      </c>
      <c r="C233" s="356" t="str">
        <f>Dashboard!G329</f>
        <v/>
      </c>
      <c r="D233" s="489" t="str">
        <f>Dashboard!M329</f>
        <v/>
      </c>
      <c r="E233" s="490" t="s">
        <v>314</v>
      </c>
      <c r="F233" s="491" t="str">
        <f t="shared" si="1"/>
        <v/>
      </c>
      <c r="G233" s="492" t="s">
        <v>314</v>
      </c>
      <c r="H233" s="349" t="str">
        <f t="shared" si="2"/>
        <v/>
      </c>
      <c r="I233" s="349" t="str">
        <f t="shared" si="3"/>
        <v/>
      </c>
      <c r="J233" s="493"/>
      <c r="K233" s="349" t="str">
        <f>IFERROR(__xludf.DUMMYFUNCTION("if(ISBLANK(A233),"""",if(B233=""Buy"",CONCAT(GOOGLEFINANCE(A233,""name""),"" {Symbol: ""&amp;A233&amp;""} High Alert!! Share Has Reached Its Target Buying Price,""),""""))"),"")</f>
        <v/>
      </c>
      <c r="L233" s="349" t="b">
        <f>IFERROR(__xludf.DUMMYFUNCTION("if(B233= ""Buy"",CONCAT(GOOGLEFINANCE(A233,""NAME""),"" share currently trading at Rs""&amp;C233&amp;"", Which is ""&amp;H233&amp;"" below the Target price of Rs""&amp;D233&amp;"".""))"),FALSE)</f>
        <v>0</v>
      </c>
    </row>
    <row r="234">
      <c r="A234" s="349" t="str">
        <f>Dashboard!B330</f>
        <v/>
      </c>
      <c r="B234" s="349" t="str">
        <f>Dashboard!H330</f>
        <v/>
      </c>
      <c r="C234" s="356" t="str">
        <f>Dashboard!G330</f>
        <v/>
      </c>
      <c r="D234" s="489" t="str">
        <f>Dashboard!M330</f>
        <v/>
      </c>
      <c r="E234" s="490" t="s">
        <v>314</v>
      </c>
      <c r="F234" s="491" t="str">
        <f t="shared" si="1"/>
        <v/>
      </c>
      <c r="G234" s="492" t="s">
        <v>314</v>
      </c>
      <c r="H234" s="349" t="str">
        <f t="shared" si="2"/>
        <v/>
      </c>
      <c r="I234" s="349" t="str">
        <f t="shared" si="3"/>
        <v/>
      </c>
      <c r="J234" s="493"/>
      <c r="K234" s="349" t="str">
        <f>IFERROR(__xludf.DUMMYFUNCTION("if(ISBLANK(A234),"""",if(B234=""Buy"",CONCAT(GOOGLEFINANCE(A234,""name""),"" {Symbol: ""&amp;A234&amp;""} High Alert!! Share Has Reached Its Target Buying Price,""),""""))"),"")</f>
        <v/>
      </c>
      <c r="L234" s="349" t="b">
        <f>IFERROR(__xludf.DUMMYFUNCTION("if(B234= ""Buy"",CONCAT(GOOGLEFINANCE(A234,""NAME""),"" share currently trading at Rs""&amp;C234&amp;"", Which is ""&amp;H234&amp;"" below the Target price of Rs""&amp;D234&amp;"".""))"),FALSE)</f>
        <v>0</v>
      </c>
    </row>
    <row r="235">
      <c r="A235" s="349" t="str">
        <f>Dashboard!B331</f>
        <v/>
      </c>
      <c r="B235" s="349" t="str">
        <f>Dashboard!H331</f>
        <v/>
      </c>
      <c r="C235" s="356" t="str">
        <f>Dashboard!G331</f>
        <v/>
      </c>
      <c r="D235" s="489" t="str">
        <f>Dashboard!M331</f>
        <v/>
      </c>
      <c r="E235" s="490" t="s">
        <v>314</v>
      </c>
      <c r="F235" s="491" t="str">
        <f t="shared" si="1"/>
        <v/>
      </c>
      <c r="G235" s="492" t="s">
        <v>314</v>
      </c>
      <c r="H235" s="349" t="str">
        <f t="shared" si="2"/>
        <v/>
      </c>
      <c r="I235" s="349" t="str">
        <f t="shared" si="3"/>
        <v/>
      </c>
      <c r="J235" s="493"/>
      <c r="K235" s="349" t="str">
        <f>IFERROR(__xludf.DUMMYFUNCTION("if(ISBLANK(A235),"""",if(B235=""Buy"",CONCAT(GOOGLEFINANCE(A235,""name""),"" {Symbol: ""&amp;A235&amp;""} High Alert!! Share Has Reached Its Target Buying Price,""),""""))"),"")</f>
        <v/>
      </c>
      <c r="L235" s="349" t="b">
        <f>IFERROR(__xludf.DUMMYFUNCTION("if(B235= ""Buy"",CONCAT(GOOGLEFINANCE(A235,""NAME""),"" share currently trading at Rs""&amp;C235&amp;"", Which is ""&amp;H235&amp;"" below the Target price of Rs""&amp;D235&amp;"".""))"),FALSE)</f>
        <v>0</v>
      </c>
    </row>
    <row r="236">
      <c r="A236" s="349" t="str">
        <f>Dashboard!B332</f>
        <v/>
      </c>
      <c r="B236" s="349" t="str">
        <f>Dashboard!H332</f>
        <v/>
      </c>
      <c r="C236" s="356" t="str">
        <f>Dashboard!G332</f>
        <v/>
      </c>
      <c r="D236" s="489" t="str">
        <f>Dashboard!M332</f>
        <v/>
      </c>
      <c r="E236" s="490" t="s">
        <v>314</v>
      </c>
      <c r="F236" s="491" t="str">
        <f t="shared" si="1"/>
        <v/>
      </c>
      <c r="G236" s="492" t="s">
        <v>314</v>
      </c>
      <c r="H236" s="349" t="str">
        <f t="shared" si="2"/>
        <v/>
      </c>
      <c r="I236" s="349" t="str">
        <f t="shared" si="3"/>
        <v/>
      </c>
      <c r="J236" s="493"/>
      <c r="K236" s="349" t="str">
        <f>IFERROR(__xludf.DUMMYFUNCTION("if(ISBLANK(A236),"""",if(B236=""Buy"",CONCAT(GOOGLEFINANCE(A236,""name""),"" {Symbol: ""&amp;A236&amp;""} High Alert!! Share Has Reached Its Target Buying Price,""),""""))"),"")</f>
        <v/>
      </c>
      <c r="L236" s="349" t="b">
        <f>IFERROR(__xludf.DUMMYFUNCTION("if(B236= ""Buy"",CONCAT(GOOGLEFINANCE(A236,""NAME""),"" share currently trading at Rs""&amp;C236&amp;"", Which is ""&amp;H236&amp;"" below the Target price of Rs""&amp;D236&amp;"".""))"),FALSE)</f>
        <v>0</v>
      </c>
    </row>
    <row r="237">
      <c r="A237" s="349" t="str">
        <f>Dashboard!B333</f>
        <v/>
      </c>
      <c r="B237" s="349" t="str">
        <f>Dashboard!H333</f>
        <v/>
      </c>
      <c r="C237" s="356" t="str">
        <f>Dashboard!G333</f>
        <v/>
      </c>
      <c r="D237" s="489" t="str">
        <f>Dashboard!M333</f>
        <v/>
      </c>
      <c r="E237" s="490" t="s">
        <v>314</v>
      </c>
      <c r="F237" s="491" t="str">
        <f t="shared" si="1"/>
        <v/>
      </c>
      <c r="G237" s="492" t="s">
        <v>314</v>
      </c>
      <c r="H237" s="349" t="str">
        <f t="shared" si="2"/>
        <v/>
      </c>
      <c r="I237" s="349" t="str">
        <f t="shared" si="3"/>
        <v/>
      </c>
      <c r="J237" s="493"/>
      <c r="K237" s="349" t="str">
        <f>IFERROR(__xludf.DUMMYFUNCTION("if(ISBLANK(A237),"""",if(B237=""Buy"",CONCAT(GOOGLEFINANCE(A237,""name""),"" {Symbol: ""&amp;A237&amp;""} High Alert!! Share Has Reached Its Target Buying Price,""),""""))"),"")</f>
        <v/>
      </c>
      <c r="L237" s="349" t="b">
        <f>IFERROR(__xludf.DUMMYFUNCTION("if(B237= ""Buy"",CONCAT(GOOGLEFINANCE(A237,""NAME""),"" share currently trading at Rs""&amp;C237&amp;"", Which is ""&amp;H237&amp;"" below the Target price of Rs""&amp;D237&amp;"".""))"),FALSE)</f>
        <v>0</v>
      </c>
    </row>
    <row r="238">
      <c r="A238" s="349" t="str">
        <f>Dashboard!B334</f>
        <v/>
      </c>
      <c r="B238" s="349" t="str">
        <f>Dashboard!H334</f>
        <v/>
      </c>
      <c r="C238" s="356" t="str">
        <f>Dashboard!G334</f>
        <v/>
      </c>
      <c r="D238" s="489" t="str">
        <f>Dashboard!M334</f>
        <v/>
      </c>
      <c r="E238" s="490" t="s">
        <v>314</v>
      </c>
      <c r="F238" s="491" t="str">
        <f t="shared" si="1"/>
        <v/>
      </c>
      <c r="G238" s="492" t="s">
        <v>314</v>
      </c>
      <c r="H238" s="349" t="str">
        <f t="shared" si="2"/>
        <v/>
      </c>
      <c r="I238" s="349" t="str">
        <f t="shared" si="3"/>
        <v/>
      </c>
      <c r="J238" s="493"/>
      <c r="K238" s="349" t="str">
        <f>IFERROR(__xludf.DUMMYFUNCTION("if(ISBLANK(A238),"""",if(B238=""Buy"",CONCAT(GOOGLEFINANCE(A238,""name""),"" {Symbol: ""&amp;A238&amp;""} High Alert!! Share Has Reached Its Target Buying Price,""),""""))"),"")</f>
        <v/>
      </c>
      <c r="L238" s="349" t="b">
        <f>IFERROR(__xludf.DUMMYFUNCTION("if(B238= ""Buy"",CONCAT(GOOGLEFINANCE(A238,""NAME""),"" share currently trading at Rs""&amp;C238&amp;"", Which is ""&amp;H238&amp;"" below the Target price of Rs""&amp;D238&amp;"".""))"),FALSE)</f>
        <v>0</v>
      </c>
    </row>
    <row r="239">
      <c r="A239" s="349" t="str">
        <f>Dashboard!B335</f>
        <v/>
      </c>
      <c r="B239" s="349" t="str">
        <f>Dashboard!H335</f>
        <v/>
      </c>
      <c r="C239" s="356" t="str">
        <f>Dashboard!G335</f>
        <v/>
      </c>
      <c r="D239" s="489" t="str">
        <f>Dashboard!M335</f>
        <v/>
      </c>
      <c r="E239" s="490" t="s">
        <v>314</v>
      </c>
      <c r="F239" s="491" t="str">
        <f t="shared" si="1"/>
        <v/>
      </c>
      <c r="G239" s="492" t="s">
        <v>314</v>
      </c>
      <c r="H239" s="349" t="str">
        <f t="shared" si="2"/>
        <v/>
      </c>
      <c r="I239" s="349" t="str">
        <f t="shared" si="3"/>
        <v/>
      </c>
      <c r="J239" s="493"/>
      <c r="K239" s="349" t="str">
        <f>IFERROR(__xludf.DUMMYFUNCTION("if(ISBLANK(A239),"""",if(B239=""Buy"",CONCAT(GOOGLEFINANCE(A239,""name""),"" {Symbol: ""&amp;A239&amp;""} High Alert!! Share Has Reached Its Target Buying Price,""),""""))"),"")</f>
        <v/>
      </c>
      <c r="L239" s="349" t="b">
        <f>IFERROR(__xludf.DUMMYFUNCTION("if(B239= ""Buy"",CONCAT(GOOGLEFINANCE(A239,""NAME""),"" share currently trading at Rs""&amp;C239&amp;"", Which is ""&amp;H239&amp;"" below the Target price of Rs""&amp;D239&amp;"".""))"),FALSE)</f>
        <v>0</v>
      </c>
    </row>
    <row r="240">
      <c r="A240" s="349" t="str">
        <f>Dashboard!B336</f>
        <v/>
      </c>
      <c r="B240" s="349" t="str">
        <f>Dashboard!H336</f>
        <v/>
      </c>
      <c r="C240" s="356" t="str">
        <f>Dashboard!G336</f>
        <v/>
      </c>
      <c r="D240" s="489" t="str">
        <f>Dashboard!M336</f>
        <v/>
      </c>
      <c r="E240" s="490" t="s">
        <v>314</v>
      </c>
      <c r="F240" s="491" t="str">
        <f t="shared" si="1"/>
        <v/>
      </c>
      <c r="G240" s="492" t="s">
        <v>314</v>
      </c>
      <c r="H240" s="349" t="str">
        <f t="shared" si="2"/>
        <v/>
      </c>
      <c r="I240" s="349" t="str">
        <f t="shared" si="3"/>
        <v/>
      </c>
      <c r="J240" s="493"/>
      <c r="K240" s="349" t="str">
        <f>IFERROR(__xludf.DUMMYFUNCTION("if(ISBLANK(A240),"""",if(B240=""Buy"",CONCAT(GOOGLEFINANCE(A240,""name""),"" {Symbol: ""&amp;A240&amp;""} High Alert!! Share Has Reached Its Target Buying Price,""),""""))"),"")</f>
        <v/>
      </c>
      <c r="L240" s="349" t="b">
        <f>IFERROR(__xludf.DUMMYFUNCTION("if(B240= ""Buy"",CONCAT(GOOGLEFINANCE(A240,""NAME""),"" share currently trading at Rs""&amp;C240&amp;"", Which is ""&amp;H240&amp;"" below the Target price of Rs""&amp;D240&amp;"".""))"),FALSE)</f>
        <v>0</v>
      </c>
    </row>
    <row r="241">
      <c r="A241" s="349" t="str">
        <f>Dashboard!B337</f>
        <v/>
      </c>
      <c r="B241" s="349" t="str">
        <f>Dashboard!H337</f>
        <v/>
      </c>
      <c r="C241" s="356" t="str">
        <f>Dashboard!G337</f>
        <v/>
      </c>
      <c r="D241" s="489" t="str">
        <f>Dashboard!M337</f>
        <v/>
      </c>
      <c r="E241" s="490" t="s">
        <v>314</v>
      </c>
      <c r="F241" s="491" t="str">
        <f t="shared" si="1"/>
        <v/>
      </c>
      <c r="G241" s="492" t="s">
        <v>314</v>
      </c>
      <c r="H241" s="349" t="str">
        <f t="shared" si="2"/>
        <v/>
      </c>
      <c r="I241" s="349" t="str">
        <f t="shared" si="3"/>
        <v/>
      </c>
      <c r="J241" s="493"/>
      <c r="K241" s="349" t="str">
        <f>IFERROR(__xludf.DUMMYFUNCTION("if(ISBLANK(A241),"""",if(B241=""Buy"",CONCAT(GOOGLEFINANCE(A241,""name""),"" {Symbol: ""&amp;A241&amp;""} High Alert!! Share Has Reached Its Target Buying Price,""),""""))"),"")</f>
        <v/>
      </c>
      <c r="L241" s="349" t="b">
        <f>IFERROR(__xludf.DUMMYFUNCTION("if(B241= ""Buy"",CONCAT(GOOGLEFINANCE(A241,""NAME""),"" share currently trading at Rs""&amp;C241&amp;"", Which is ""&amp;H241&amp;"" below the Target price of Rs""&amp;D241&amp;"".""))"),FALSE)</f>
        <v>0</v>
      </c>
    </row>
    <row r="242">
      <c r="A242" s="349" t="str">
        <f>Dashboard!B338</f>
        <v/>
      </c>
      <c r="B242" s="349" t="str">
        <f>Dashboard!H338</f>
        <v/>
      </c>
      <c r="C242" s="356" t="str">
        <f>Dashboard!G338</f>
        <v/>
      </c>
      <c r="D242" s="489" t="str">
        <f>Dashboard!M338</f>
        <v/>
      </c>
      <c r="E242" s="490" t="s">
        <v>314</v>
      </c>
      <c r="F242" s="491" t="str">
        <f t="shared" si="1"/>
        <v/>
      </c>
      <c r="G242" s="492" t="s">
        <v>314</v>
      </c>
      <c r="H242" s="349" t="str">
        <f t="shared" si="2"/>
        <v/>
      </c>
      <c r="I242" s="349" t="str">
        <f t="shared" si="3"/>
        <v/>
      </c>
      <c r="J242" s="493"/>
      <c r="K242" s="349" t="str">
        <f>IFERROR(__xludf.DUMMYFUNCTION("if(ISBLANK(A242),"""",if(B242=""Buy"",CONCAT(GOOGLEFINANCE(A242,""name""),"" {Symbol: ""&amp;A242&amp;""} High Alert!! Share Has Reached Its Target Buying Price,""),""""))"),"")</f>
        <v/>
      </c>
      <c r="L242" s="349" t="b">
        <f>IFERROR(__xludf.DUMMYFUNCTION("if(B242= ""Buy"",CONCAT(GOOGLEFINANCE(A242,""NAME""),"" share currently trading at Rs""&amp;C242&amp;"", Which is ""&amp;H242&amp;"" below the Target price of Rs""&amp;D242&amp;"".""))"),FALSE)</f>
        <v>0</v>
      </c>
    </row>
    <row r="243">
      <c r="A243" s="349" t="str">
        <f>Dashboard!B339</f>
        <v/>
      </c>
      <c r="B243" s="349" t="str">
        <f>Dashboard!H339</f>
        <v/>
      </c>
      <c r="C243" s="356" t="str">
        <f>Dashboard!G339</f>
        <v/>
      </c>
      <c r="D243" s="489" t="str">
        <f>Dashboard!M339</f>
        <v/>
      </c>
      <c r="E243" s="490" t="s">
        <v>314</v>
      </c>
      <c r="F243" s="491" t="str">
        <f t="shared" si="1"/>
        <v/>
      </c>
      <c r="G243" s="492" t="s">
        <v>314</v>
      </c>
      <c r="H243" s="349" t="str">
        <f t="shared" si="2"/>
        <v/>
      </c>
      <c r="I243" s="349" t="str">
        <f t="shared" si="3"/>
        <v/>
      </c>
      <c r="J243" s="493"/>
      <c r="K243" s="349" t="str">
        <f>IFERROR(__xludf.DUMMYFUNCTION("if(ISBLANK(A243),"""",if(B243=""Buy"",CONCAT(GOOGLEFINANCE(A243,""name""),"" {Symbol: ""&amp;A243&amp;""} High Alert!! Share Has Reached Its Target Buying Price,""),""""))"),"")</f>
        <v/>
      </c>
      <c r="L243" s="349" t="b">
        <f>IFERROR(__xludf.DUMMYFUNCTION("if(B243= ""Buy"",CONCAT(GOOGLEFINANCE(A243,""NAME""),"" share currently trading at Rs""&amp;C243&amp;"", Which is ""&amp;H243&amp;"" below the Target price of Rs""&amp;D243&amp;"".""))"),FALSE)</f>
        <v>0</v>
      </c>
    </row>
    <row r="244">
      <c r="A244" s="349" t="str">
        <f>Dashboard!B340</f>
        <v/>
      </c>
      <c r="B244" s="349" t="str">
        <f>Dashboard!H340</f>
        <v/>
      </c>
      <c r="C244" s="356" t="str">
        <f>Dashboard!G340</f>
        <v/>
      </c>
      <c r="D244" s="489" t="str">
        <f>Dashboard!M340</f>
        <v/>
      </c>
      <c r="E244" s="490" t="s">
        <v>314</v>
      </c>
      <c r="F244" s="491" t="str">
        <f t="shared" si="1"/>
        <v/>
      </c>
      <c r="G244" s="492" t="s">
        <v>314</v>
      </c>
      <c r="H244" s="349" t="str">
        <f t="shared" si="2"/>
        <v/>
      </c>
      <c r="I244" s="349" t="str">
        <f t="shared" si="3"/>
        <v/>
      </c>
      <c r="J244" s="493"/>
      <c r="K244" s="349" t="str">
        <f>IFERROR(__xludf.DUMMYFUNCTION("if(ISBLANK(A244),"""",if(B244=""Buy"",CONCAT(GOOGLEFINANCE(A244,""name""),"" {Symbol: ""&amp;A244&amp;""} High Alert!! Share Has Reached Its Target Buying Price,""),""""))"),"")</f>
        <v/>
      </c>
      <c r="L244" s="349" t="b">
        <f>IFERROR(__xludf.DUMMYFUNCTION("if(B244= ""Buy"",CONCAT(GOOGLEFINANCE(A244,""NAME""),"" share currently trading at Rs""&amp;C244&amp;"", Which is ""&amp;H244&amp;"" below the Target price of Rs""&amp;D244&amp;"".""))"),FALSE)</f>
        <v>0</v>
      </c>
    </row>
    <row r="245">
      <c r="A245" s="349" t="str">
        <f>Dashboard!B341</f>
        <v/>
      </c>
      <c r="B245" s="349" t="str">
        <f>Dashboard!H341</f>
        <v/>
      </c>
      <c r="C245" s="356" t="str">
        <f>Dashboard!G341</f>
        <v/>
      </c>
      <c r="D245" s="489" t="str">
        <f>Dashboard!M341</f>
        <v/>
      </c>
      <c r="E245" s="490" t="s">
        <v>314</v>
      </c>
      <c r="F245" s="491" t="str">
        <f t="shared" si="1"/>
        <v/>
      </c>
      <c r="G245" s="492" t="s">
        <v>314</v>
      </c>
      <c r="H245" s="349" t="str">
        <f t="shared" si="2"/>
        <v/>
      </c>
      <c r="I245" s="349" t="str">
        <f t="shared" si="3"/>
        <v/>
      </c>
      <c r="J245" s="493"/>
      <c r="K245" s="349" t="str">
        <f>IFERROR(__xludf.DUMMYFUNCTION("if(ISBLANK(A245),"""",if(B245=""Buy"",CONCAT(GOOGLEFINANCE(A245,""name""),"" {Symbol: ""&amp;A245&amp;""} High Alert!! Share Has Reached Its Target Buying Price,""),""""))"),"")</f>
        <v/>
      </c>
      <c r="L245" s="349" t="b">
        <f>IFERROR(__xludf.DUMMYFUNCTION("if(B245= ""Buy"",CONCAT(GOOGLEFINANCE(A245,""NAME""),"" share currently trading at Rs""&amp;C245&amp;"", Which is ""&amp;H245&amp;"" below the Target price of Rs""&amp;D245&amp;"".""))"),FALSE)</f>
        <v>0</v>
      </c>
    </row>
    <row r="246">
      <c r="A246" s="349" t="str">
        <f>Dashboard!B342</f>
        <v/>
      </c>
      <c r="B246" s="349" t="str">
        <f>Dashboard!H342</f>
        <v/>
      </c>
      <c r="C246" s="356" t="str">
        <f>Dashboard!G342</f>
        <v/>
      </c>
      <c r="D246" s="489" t="str">
        <f>Dashboard!M342</f>
        <v/>
      </c>
      <c r="E246" s="490" t="s">
        <v>314</v>
      </c>
      <c r="F246" s="491" t="str">
        <f t="shared" si="1"/>
        <v/>
      </c>
      <c r="G246" s="492" t="s">
        <v>314</v>
      </c>
      <c r="H246" s="349" t="str">
        <f t="shared" si="2"/>
        <v/>
      </c>
      <c r="I246" s="349" t="str">
        <f t="shared" si="3"/>
        <v/>
      </c>
      <c r="J246" s="493"/>
      <c r="K246" s="349" t="str">
        <f>IFERROR(__xludf.DUMMYFUNCTION("if(ISBLANK(A246),"""",if(B246=""Buy"",CONCAT(GOOGLEFINANCE(A246,""name""),"" {Symbol: ""&amp;A246&amp;""} High Alert!! Share Has Reached Its Target Buying Price,""),""""))"),"")</f>
        <v/>
      </c>
      <c r="L246" s="349" t="b">
        <f>IFERROR(__xludf.DUMMYFUNCTION("if(B246= ""Buy"",CONCAT(GOOGLEFINANCE(A246,""NAME""),"" share currently trading at Rs""&amp;C246&amp;"", Which is ""&amp;H246&amp;"" below the Target price of Rs""&amp;D246&amp;"".""))"),FALSE)</f>
        <v>0</v>
      </c>
    </row>
    <row r="247">
      <c r="A247" s="349" t="str">
        <f>Dashboard!B343</f>
        <v/>
      </c>
      <c r="B247" s="349" t="str">
        <f>Dashboard!H343</f>
        <v/>
      </c>
      <c r="C247" s="356" t="str">
        <f>Dashboard!G343</f>
        <v/>
      </c>
      <c r="D247" s="489" t="str">
        <f>Dashboard!M343</f>
        <v/>
      </c>
      <c r="E247" s="490" t="s">
        <v>314</v>
      </c>
      <c r="F247" s="491" t="str">
        <f t="shared" si="1"/>
        <v/>
      </c>
      <c r="G247" s="492" t="s">
        <v>314</v>
      </c>
      <c r="H247" s="349" t="str">
        <f t="shared" si="2"/>
        <v/>
      </c>
      <c r="I247" s="349" t="str">
        <f t="shared" si="3"/>
        <v/>
      </c>
      <c r="J247" s="493"/>
      <c r="K247" s="349" t="str">
        <f>IFERROR(__xludf.DUMMYFUNCTION("if(ISBLANK(A247),"""",if(B247=""Buy"",CONCAT(GOOGLEFINANCE(A247,""name""),"" {Symbol: ""&amp;A247&amp;""} High Alert!! Share Has Reached Its Target Buying Price,""),""""))"),"")</f>
        <v/>
      </c>
      <c r="L247" s="349" t="b">
        <f>IFERROR(__xludf.DUMMYFUNCTION("if(B247= ""Buy"",CONCAT(GOOGLEFINANCE(A247,""NAME""),"" share currently trading at Rs""&amp;C247&amp;"", Which is ""&amp;H247&amp;"" below the Target price of Rs""&amp;D247&amp;"".""))"),FALSE)</f>
        <v>0</v>
      </c>
    </row>
    <row r="248">
      <c r="A248" s="349" t="str">
        <f>Dashboard!B344</f>
        <v/>
      </c>
      <c r="B248" s="349" t="str">
        <f>Dashboard!H344</f>
        <v/>
      </c>
      <c r="C248" s="356" t="str">
        <f>Dashboard!G344</f>
        <v/>
      </c>
      <c r="D248" s="489" t="str">
        <f>Dashboard!M344</f>
        <v/>
      </c>
      <c r="E248" s="490" t="s">
        <v>314</v>
      </c>
      <c r="F248" s="491" t="str">
        <f t="shared" si="1"/>
        <v/>
      </c>
      <c r="G248" s="492" t="s">
        <v>314</v>
      </c>
      <c r="H248" s="349" t="str">
        <f t="shared" si="2"/>
        <v/>
      </c>
      <c r="I248" s="349" t="str">
        <f t="shared" si="3"/>
        <v/>
      </c>
      <c r="J248" s="493"/>
      <c r="K248" s="349" t="str">
        <f>IFERROR(__xludf.DUMMYFUNCTION("if(ISBLANK(A248),"""",if(B248=""Buy"",CONCAT(GOOGLEFINANCE(A248,""name""),"" {Symbol: ""&amp;A248&amp;""} High Alert!! Share Has Reached Its Target Buying Price,""),""""))"),"")</f>
        <v/>
      </c>
      <c r="L248" s="349" t="b">
        <f>IFERROR(__xludf.DUMMYFUNCTION("if(B248= ""Buy"",CONCAT(GOOGLEFINANCE(A248,""NAME""),"" share currently trading at Rs""&amp;C248&amp;"", Which is ""&amp;H248&amp;"" below the Target price of Rs""&amp;D248&amp;"".""))"),FALSE)</f>
        <v>0</v>
      </c>
    </row>
    <row r="249">
      <c r="A249" s="349" t="str">
        <f>Dashboard!B345</f>
        <v/>
      </c>
      <c r="B249" s="349" t="str">
        <f>Dashboard!H345</f>
        <v/>
      </c>
      <c r="C249" s="356" t="str">
        <f>Dashboard!G345</f>
        <v/>
      </c>
      <c r="D249" s="489" t="str">
        <f>Dashboard!M345</f>
        <v/>
      </c>
      <c r="E249" s="490" t="s">
        <v>314</v>
      </c>
      <c r="F249" s="491" t="str">
        <f t="shared" si="1"/>
        <v/>
      </c>
      <c r="G249" s="492" t="s">
        <v>314</v>
      </c>
      <c r="H249" s="349" t="str">
        <f t="shared" si="2"/>
        <v/>
      </c>
      <c r="I249" s="349" t="str">
        <f t="shared" si="3"/>
        <v/>
      </c>
      <c r="J249" s="493"/>
      <c r="K249" s="349" t="str">
        <f>IFERROR(__xludf.DUMMYFUNCTION("if(ISBLANK(A249),"""",if(B249=""Buy"",CONCAT(GOOGLEFINANCE(A249,""name""),"" {Symbol: ""&amp;A249&amp;""} High Alert!! Share Has Reached Its Target Buying Price,""),""""))"),"")</f>
        <v/>
      </c>
      <c r="L249" s="349" t="b">
        <f>IFERROR(__xludf.DUMMYFUNCTION("if(B249= ""Buy"",CONCAT(GOOGLEFINANCE(A249,""NAME""),"" share currently trading at Rs""&amp;C249&amp;"", Which is ""&amp;H249&amp;"" below the Target price of Rs""&amp;D249&amp;"".""))"),FALSE)</f>
        <v>0</v>
      </c>
    </row>
    <row r="250">
      <c r="A250" s="349" t="str">
        <f>Dashboard!B346</f>
        <v/>
      </c>
      <c r="B250" s="349" t="str">
        <f>Dashboard!H346</f>
        <v/>
      </c>
      <c r="C250" s="356" t="str">
        <f>Dashboard!G346</f>
        <v/>
      </c>
      <c r="D250" s="489" t="str">
        <f>Dashboard!M346</f>
        <v/>
      </c>
      <c r="E250" s="490" t="s">
        <v>314</v>
      </c>
      <c r="F250" s="491" t="str">
        <f t="shared" si="1"/>
        <v/>
      </c>
      <c r="G250" s="492" t="s">
        <v>314</v>
      </c>
      <c r="H250" s="349" t="str">
        <f t="shared" si="2"/>
        <v/>
      </c>
      <c r="I250" s="349" t="str">
        <f t="shared" si="3"/>
        <v/>
      </c>
      <c r="J250" s="493"/>
      <c r="K250" s="349" t="str">
        <f>IFERROR(__xludf.DUMMYFUNCTION("if(ISBLANK(A250),"""",if(B250=""Buy"",CONCAT(GOOGLEFINANCE(A250,""name""),"" {Symbol: ""&amp;A250&amp;""} High Alert!! Share Has Reached Its Target Buying Price,""),""""))"),"")</f>
        <v/>
      </c>
      <c r="L250" s="349" t="b">
        <f>IFERROR(__xludf.DUMMYFUNCTION("if(B250= ""Buy"",CONCAT(GOOGLEFINANCE(A250,""NAME""),"" share currently trading at Rs""&amp;C250&amp;"", Which is ""&amp;H250&amp;"" below the Target price of Rs""&amp;D250&amp;"".""))"),FALSE)</f>
        <v>0</v>
      </c>
    </row>
    <row r="251">
      <c r="A251" s="349" t="str">
        <f>Dashboard!B347</f>
        <v/>
      </c>
      <c r="B251" s="349" t="str">
        <f>Dashboard!H347</f>
        <v/>
      </c>
      <c r="C251" s="356" t="str">
        <f>Dashboard!G347</f>
        <v/>
      </c>
      <c r="D251" s="489" t="str">
        <f>Dashboard!M347</f>
        <v/>
      </c>
      <c r="E251" s="490" t="s">
        <v>314</v>
      </c>
      <c r="F251" s="491" t="str">
        <f t="shared" si="1"/>
        <v/>
      </c>
      <c r="G251" s="492" t="s">
        <v>314</v>
      </c>
      <c r="H251" s="349" t="str">
        <f t="shared" si="2"/>
        <v/>
      </c>
      <c r="I251" s="349" t="str">
        <f t="shared" si="3"/>
        <v/>
      </c>
      <c r="J251" s="493"/>
      <c r="K251" s="349" t="str">
        <f>IFERROR(__xludf.DUMMYFUNCTION("if(ISBLANK(A251),"""",if(B251=""Buy"",CONCAT(GOOGLEFINANCE(A251,""name""),"" {Symbol: ""&amp;A251&amp;""} High Alert!! Share Has Reached Its Target Buying Price,""),""""))"),"")</f>
        <v/>
      </c>
      <c r="L251" s="349" t="b">
        <f>IFERROR(__xludf.DUMMYFUNCTION("if(B251= ""Buy"",CONCAT(GOOGLEFINANCE(A251,""NAME""),"" share currently trading at Rs""&amp;C251&amp;"", Which is ""&amp;H251&amp;"" below the Target price of Rs""&amp;D251&amp;"".""))"),FALSE)</f>
        <v>0</v>
      </c>
    </row>
    <row r="252">
      <c r="A252" s="349" t="str">
        <f>Dashboard!B348</f>
        <v/>
      </c>
      <c r="B252" s="349" t="str">
        <f>Dashboard!H348</f>
        <v/>
      </c>
      <c r="C252" s="356" t="str">
        <f>Dashboard!G348</f>
        <v/>
      </c>
      <c r="D252" s="489" t="str">
        <f>Dashboard!M348</f>
        <v/>
      </c>
      <c r="E252" s="490" t="s">
        <v>314</v>
      </c>
      <c r="F252" s="491" t="str">
        <f t="shared" si="1"/>
        <v/>
      </c>
      <c r="G252" s="492" t="s">
        <v>314</v>
      </c>
      <c r="H252" s="349" t="str">
        <f t="shared" si="2"/>
        <v/>
      </c>
      <c r="I252" s="349" t="str">
        <f t="shared" si="3"/>
        <v/>
      </c>
      <c r="J252" s="493"/>
      <c r="K252" s="349" t="str">
        <f>IFERROR(__xludf.DUMMYFUNCTION("if(ISBLANK(A252),"""",if(B252=""Buy"",CONCAT(GOOGLEFINANCE(A252,""name""),"" {Symbol: ""&amp;A252&amp;""} High Alert!! Share Has Reached Its Target Buying Price,""),""""))"),"")</f>
        <v/>
      </c>
      <c r="L252" s="349" t="b">
        <f>IFERROR(__xludf.DUMMYFUNCTION("if(B252= ""Buy"",CONCAT(GOOGLEFINANCE(A252,""NAME""),"" share currently trading at Rs""&amp;C252&amp;"", Which is ""&amp;H252&amp;"" below the Target price of Rs""&amp;D252&amp;"".""))"),FALSE)</f>
        <v>0</v>
      </c>
    </row>
    <row r="253">
      <c r="A253" s="349" t="str">
        <f>Dashboard!B349</f>
        <v/>
      </c>
      <c r="B253" s="349" t="str">
        <f>Dashboard!H349</f>
        <v/>
      </c>
      <c r="C253" s="356" t="str">
        <f>Dashboard!G349</f>
        <v/>
      </c>
      <c r="D253" s="489" t="str">
        <f>Dashboard!M349</f>
        <v/>
      </c>
      <c r="E253" s="490" t="s">
        <v>314</v>
      </c>
      <c r="F253" s="491" t="str">
        <f t="shared" si="1"/>
        <v/>
      </c>
      <c r="G253" s="492" t="s">
        <v>314</v>
      </c>
      <c r="H253" s="349" t="str">
        <f t="shared" si="2"/>
        <v/>
      </c>
      <c r="I253" s="349" t="str">
        <f t="shared" si="3"/>
        <v/>
      </c>
      <c r="J253" s="493"/>
      <c r="K253" s="349" t="str">
        <f>IFERROR(__xludf.DUMMYFUNCTION("if(ISBLANK(A253),"""",if(B253=""Buy"",CONCAT(GOOGLEFINANCE(A253,""name""),"" {Symbol: ""&amp;A253&amp;""} High Alert!! Share Has Reached Its Target Buying Price,""),""""))"),"")</f>
        <v/>
      </c>
      <c r="L253" s="349" t="b">
        <f>IFERROR(__xludf.DUMMYFUNCTION("if(B253= ""Buy"",CONCAT(GOOGLEFINANCE(A253,""NAME""),"" share currently trading at Rs""&amp;C253&amp;"", Which is ""&amp;H253&amp;"" below the Target price of Rs""&amp;D253&amp;"".""))"),FALSE)</f>
        <v>0</v>
      </c>
    </row>
    <row r="254">
      <c r="A254" s="349" t="str">
        <f>Dashboard!B350</f>
        <v/>
      </c>
      <c r="B254" s="349" t="str">
        <f>Dashboard!H350</f>
        <v/>
      </c>
      <c r="C254" s="356" t="str">
        <f>Dashboard!G350</f>
        <v/>
      </c>
      <c r="D254" s="489" t="str">
        <f>Dashboard!M350</f>
        <v/>
      </c>
      <c r="E254" s="490" t="s">
        <v>314</v>
      </c>
      <c r="F254" s="491" t="str">
        <f t="shared" si="1"/>
        <v/>
      </c>
      <c r="G254" s="492" t="s">
        <v>314</v>
      </c>
      <c r="H254" s="349" t="str">
        <f t="shared" si="2"/>
        <v/>
      </c>
      <c r="I254" s="349" t="str">
        <f t="shared" si="3"/>
        <v/>
      </c>
      <c r="J254" s="493"/>
      <c r="K254" s="349" t="str">
        <f>IFERROR(__xludf.DUMMYFUNCTION("if(ISBLANK(A254),"""",if(B254=""Buy"",CONCAT(GOOGLEFINANCE(A254,""name""),"" {Symbol: ""&amp;A254&amp;""} High Alert!! Share Has Reached Its Target Buying Price,""),""""))"),"")</f>
        <v/>
      </c>
      <c r="L254" s="349" t="b">
        <f>IFERROR(__xludf.DUMMYFUNCTION("if(B254= ""Buy"",CONCAT(GOOGLEFINANCE(A254,""NAME""),"" share currently trading at Rs""&amp;C254&amp;"", Which is ""&amp;H254&amp;"" below the Target price of Rs""&amp;D254&amp;"".""))"),FALSE)</f>
        <v>0</v>
      </c>
    </row>
    <row r="255">
      <c r="A255" s="349" t="str">
        <f>Dashboard!B351</f>
        <v/>
      </c>
      <c r="B255" s="349" t="str">
        <f>Dashboard!H351</f>
        <v/>
      </c>
      <c r="C255" s="356" t="str">
        <f>Dashboard!G351</f>
        <v/>
      </c>
      <c r="D255" s="489" t="str">
        <f>Dashboard!M351</f>
        <v/>
      </c>
      <c r="E255" s="490" t="s">
        <v>314</v>
      </c>
      <c r="F255" s="491" t="str">
        <f t="shared" si="1"/>
        <v/>
      </c>
      <c r="G255" s="492" t="s">
        <v>314</v>
      </c>
      <c r="H255" s="349" t="str">
        <f t="shared" si="2"/>
        <v/>
      </c>
      <c r="I255" s="349" t="str">
        <f t="shared" si="3"/>
        <v/>
      </c>
      <c r="J255" s="493"/>
      <c r="K255" s="349" t="str">
        <f>IFERROR(__xludf.DUMMYFUNCTION("if(ISBLANK(A255),"""",if(B255=""Buy"",CONCAT(GOOGLEFINANCE(A255,""name""),"" {Symbol: ""&amp;A255&amp;""} High Alert!! Share Has Reached Its Target Buying Price,""),""""))"),"")</f>
        <v/>
      </c>
      <c r="L255" s="349" t="b">
        <f>IFERROR(__xludf.DUMMYFUNCTION("if(B255= ""Buy"",CONCAT(GOOGLEFINANCE(A255,""NAME""),"" share currently trading at Rs""&amp;C255&amp;"", Which is ""&amp;H255&amp;"" below the Target price of Rs""&amp;D255&amp;"".""))"),FALSE)</f>
        <v>0</v>
      </c>
    </row>
    <row r="256">
      <c r="A256" s="349" t="str">
        <f>Dashboard!B352</f>
        <v/>
      </c>
      <c r="B256" s="349" t="str">
        <f>Dashboard!H352</f>
        <v/>
      </c>
      <c r="C256" s="356" t="str">
        <f>Dashboard!G352</f>
        <v/>
      </c>
      <c r="D256" s="489" t="str">
        <f>Dashboard!M352</f>
        <v/>
      </c>
      <c r="E256" s="490" t="s">
        <v>314</v>
      </c>
      <c r="F256" s="491" t="str">
        <f t="shared" si="1"/>
        <v/>
      </c>
      <c r="G256" s="492" t="s">
        <v>314</v>
      </c>
      <c r="H256" s="349" t="str">
        <f t="shared" si="2"/>
        <v/>
      </c>
      <c r="I256" s="349" t="str">
        <f t="shared" si="3"/>
        <v/>
      </c>
      <c r="J256" s="493"/>
      <c r="K256" s="349" t="str">
        <f>IFERROR(__xludf.DUMMYFUNCTION("if(ISBLANK(A256),"""",if(B256=""Buy"",CONCAT(GOOGLEFINANCE(A256,""name""),"" {Symbol: ""&amp;A256&amp;""} High Alert!! Share Has Reached Its Target Buying Price,""),""""))"),"")</f>
        <v/>
      </c>
      <c r="L256" s="349" t="b">
        <f>IFERROR(__xludf.DUMMYFUNCTION("if(B256= ""Buy"",CONCAT(GOOGLEFINANCE(A256,""NAME""),"" share currently trading at Rs""&amp;C256&amp;"", Which is ""&amp;H256&amp;"" below the Target price of Rs""&amp;D256&amp;"".""))"),FALSE)</f>
        <v>0</v>
      </c>
    </row>
    <row r="257">
      <c r="A257" s="349" t="str">
        <f>Dashboard!B353</f>
        <v/>
      </c>
      <c r="B257" s="349" t="str">
        <f>Dashboard!H353</f>
        <v/>
      </c>
      <c r="C257" s="356" t="str">
        <f>Dashboard!G353</f>
        <v/>
      </c>
      <c r="D257" s="489" t="str">
        <f>Dashboard!M353</f>
        <v/>
      </c>
      <c r="E257" s="490" t="s">
        <v>314</v>
      </c>
      <c r="F257" s="491" t="str">
        <f t="shared" si="1"/>
        <v/>
      </c>
      <c r="G257" s="492" t="s">
        <v>314</v>
      </c>
      <c r="H257" s="349" t="str">
        <f t="shared" si="2"/>
        <v/>
      </c>
      <c r="I257" s="349" t="str">
        <f t="shared" si="3"/>
        <v/>
      </c>
      <c r="J257" s="493"/>
      <c r="K257" s="349" t="str">
        <f>IFERROR(__xludf.DUMMYFUNCTION("if(ISBLANK(A257),"""",if(B257=""Buy"",CONCAT(GOOGLEFINANCE(A257,""name""),"" {Symbol: ""&amp;A257&amp;""} High Alert!! Share Has Reached Its Target Buying Price,""),""""))"),"")</f>
        <v/>
      </c>
      <c r="L257" s="349" t="b">
        <f>IFERROR(__xludf.DUMMYFUNCTION("if(B257= ""Buy"",CONCAT(GOOGLEFINANCE(A257,""NAME""),"" share currently trading at Rs""&amp;C257&amp;"", Which is ""&amp;H257&amp;"" below the Target price of Rs""&amp;D257&amp;"".""))"),FALSE)</f>
        <v>0</v>
      </c>
    </row>
    <row r="258">
      <c r="A258" s="349" t="str">
        <f>Dashboard!B354</f>
        <v/>
      </c>
      <c r="B258" s="349" t="str">
        <f>Dashboard!H354</f>
        <v/>
      </c>
      <c r="C258" s="356" t="str">
        <f>Dashboard!G354</f>
        <v/>
      </c>
      <c r="D258" s="489" t="str">
        <f>Dashboard!M354</f>
        <v/>
      </c>
      <c r="E258" s="490" t="s">
        <v>314</v>
      </c>
      <c r="F258" s="491" t="str">
        <f t="shared" si="1"/>
        <v/>
      </c>
      <c r="G258" s="492" t="s">
        <v>314</v>
      </c>
      <c r="H258" s="349" t="str">
        <f t="shared" si="2"/>
        <v/>
      </c>
      <c r="I258" s="349" t="str">
        <f t="shared" si="3"/>
        <v/>
      </c>
      <c r="J258" s="493"/>
      <c r="K258" s="349" t="str">
        <f>IFERROR(__xludf.DUMMYFUNCTION("if(ISBLANK(A258),"""",if(B258=""Buy"",CONCAT(GOOGLEFINANCE(A258,""name""),"" {Symbol: ""&amp;A258&amp;""} High Alert!! Share Has Reached Its Target Buying Price,""),""""))"),"")</f>
        <v/>
      </c>
      <c r="L258" s="349" t="b">
        <f>IFERROR(__xludf.DUMMYFUNCTION("if(B258= ""Buy"",CONCAT(GOOGLEFINANCE(A258,""NAME""),"" share currently trading at Rs""&amp;C258&amp;"", Which is ""&amp;H258&amp;"" below the Target price of Rs""&amp;D258&amp;"".""))"),FALSE)</f>
        <v>0</v>
      </c>
    </row>
    <row r="259">
      <c r="A259" s="349" t="str">
        <f>Dashboard!B355</f>
        <v/>
      </c>
      <c r="B259" s="349" t="str">
        <f>Dashboard!H355</f>
        <v/>
      </c>
      <c r="C259" s="356" t="str">
        <f>Dashboard!G355</f>
        <v/>
      </c>
      <c r="D259" s="489" t="str">
        <f>Dashboard!M355</f>
        <v/>
      </c>
      <c r="E259" s="490" t="s">
        <v>314</v>
      </c>
      <c r="F259" s="491" t="str">
        <f t="shared" si="1"/>
        <v/>
      </c>
      <c r="G259" s="492" t="s">
        <v>314</v>
      </c>
      <c r="H259" s="349" t="str">
        <f t="shared" si="2"/>
        <v/>
      </c>
      <c r="I259" s="349" t="str">
        <f t="shared" si="3"/>
        <v/>
      </c>
      <c r="J259" s="493"/>
      <c r="K259" s="349" t="str">
        <f>IFERROR(__xludf.DUMMYFUNCTION("if(ISBLANK(A259),"""",if(B259=""Buy"",CONCAT(GOOGLEFINANCE(A259,""name""),"" {Symbol: ""&amp;A259&amp;""} High Alert!! Share Has Reached Its Target Buying Price,""),""""))"),"")</f>
        <v/>
      </c>
      <c r="L259" s="349" t="b">
        <f>IFERROR(__xludf.DUMMYFUNCTION("if(B259= ""Buy"",CONCAT(GOOGLEFINANCE(A259,""NAME""),"" share currently trading at Rs""&amp;C259&amp;"", Which is ""&amp;H259&amp;"" below the Target price of Rs""&amp;D259&amp;"".""))"),FALSE)</f>
        <v>0</v>
      </c>
    </row>
    <row r="260">
      <c r="A260" s="349" t="str">
        <f>Dashboard!B356</f>
        <v/>
      </c>
      <c r="B260" s="349" t="str">
        <f>Dashboard!H356</f>
        <v/>
      </c>
      <c r="C260" s="356" t="str">
        <f>Dashboard!G356</f>
        <v/>
      </c>
      <c r="D260" s="489" t="str">
        <f>Dashboard!M356</f>
        <v/>
      </c>
      <c r="E260" s="490" t="s">
        <v>314</v>
      </c>
      <c r="F260" s="491" t="str">
        <f t="shared" si="1"/>
        <v/>
      </c>
      <c r="G260" s="492" t="s">
        <v>314</v>
      </c>
      <c r="H260" s="349" t="str">
        <f t="shared" si="2"/>
        <v/>
      </c>
      <c r="I260" s="349" t="str">
        <f t="shared" si="3"/>
        <v/>
      </c>
      <c r="J260" s="493"/>
      <c r="K260" s="349" t="str">
        <f>IFERROR(__xludf.DUMMYFUNCTION("if(ISBLANK(A260),"""",if(B260=""Buy"",CONCAT(GOOGLEFINANCE(A260,""name""),"" {Symbol: ""&amp;A260&amp;""} High Alert!! Share Has Reached Its Target Buying Price,""),""""))"),"")</f>
        <v/>
      </c>
      <c r="L260" s="349" t="b">
        <f>IFERROR(__xludf.DUMMYFUNCTION("if(B260= ""Buy"",CONCAT(GOOGLEFINANCE(A260,""NAME""),"" share currently trading at Rs""&amp;C260&amp;"", Which is ""&amp;H260&amp;"" below the Target price of Rs""&amp;D260&amp;"".""))"),FALSE)</f>
        <v>0</v>
      </c>
    </row>
    <row r="261">
      <c r="A261" s="349" t="str">
        <f>Dashboard!B357</f>
        <v/>
      </c>
      <c r="B261" s="349" t="str">
        <f>Dashboard!H357</f>
        <v/>
      </c>
      <c r="C261" s="356" t="str">
        <f>Dashboard!G357</f>
        <v/>
      </c>
      <c r="D261" s="489" t="str">
        <f>Dashboard!M357</f>
        <v/>
      </c>
      <c r="E261" s="490" t="s">
        <v>314</v>
      </c>
      <c r="F261" s="491" t="str">
        <f t="shared" si="1"/>
        <v/>
      </c>
      <c r="G261" s="492" t="s">
        <v>314</v>
      </c>
      <c r="H261" s="349" t="str">
        <f t="shared" si="2"/>
        <v/>
      </c>
      <c r="I261" s="349" t="str">
        <f t="shared" si="3"/>
        <v/>
      </c>
      <c r="J261" s="493"/>
      <c r="K261" s="349" t="str">
        <f>IFERROR(__xludf.DUMMYFUNCTION("if(ISBLANK(A261),"""",if(B261=""Buy"",CONCAT(GOOGLEFINANCE(A261,""name""),"" {Symbol: ""&amp;A261&amp;""} High Alert!! Share Has Reached Its Target Buying Price,""),""""))"),"")</f>
        <v/>
      </c>
      <c r="L261" s="349" t="b">
        <f>IFERROR(__xludf.DUMMYFUNCTION("if(B261= ""Buy"",CONCAT(GOOGLEFINANCE(A261,""NAME""),"" share currently trading at Rs""&amp;C261&amp;"", Which is ""&amp;H261&amp;"" below the Target price of Rs""&amp;D261&amp;"".""))"),FALSE)</f>
        <v>0</v>
      </c>
    </row>
    <row r="262">
      <c r="A262" s="349" t="str">
        <f>Dashboard!B358</f>
        <v/>
      </c>
      <c r="B262" s="349" t="str">
        <f>Dashboard!H358</f>
        <v/>
      </c>
      <c r="C262" s="356" t="str">
        <f>Dashboard!G358</f>
        <v/>
      </c>
      <c r="D262" s="489" t="str">
        <f>Dashboard!M358</f>
        <v/>
      </c>
      <c r="E262" s="490" t="s">
        <v>314</v>
      </c>
      <c r="F262" s="491" t="str">
        <f t="shared" si="1"/>
        <v/>
      </c>
      <c r="G262" s="492" t="s">
        <v>314</v>
      </c>
      <c r="H262" s="349" t="str">
        <f t="shared" si="2"/>
        <v/>
      </c>
      <c r="I262" s="349" t="str">
        <f t="shared" si="3"/>
        <v/>
      </c>
      <c r="J262" s="493"/>
      <c r="K262" s="349" t="str">
        <f>IFERROR(__xludf.DUMMYFUNCTION("if(ISBLANK(A262),"""",if(B262=""Buy"",CONCAT(GOOGLEFINANCE(A262,""name""),"" {Symbol: ""&amp;A262&amp;""} High Alert!! Share Has Reached Its Target Buying Price,""),""""))"),"")</f>
        <v/>
      </c>
      <c r="L262" s="349" t="b">
        <f>IFERROR(__xludf.DUMMYFUNCTION("if(B262= ""Buy"",CONCAT(GOOGLEFINANCE(A262,""NAME""),"" share currently trading at Rs""&amp;C262&amp;"", Which is ""&amp;H262&amp;"" below the Target price of Rs""&amp;D262&amp;"".""))"),FALSE)</f>
        <v>0</v>
      </c>
    </row>
    <row r="263">
      <c r="A263" s="349" t="str">
        <f>Dashboard!B359</f>
        <v/>
      </c>
      <c r="B263" s="349" t="str">
        <f>Dashboard!H359</f>
        <v/>
      </c>
      <c r="C263" s="356" t="str">
        <f>Dashboard!G359</f>
        <v/>
      </c>
      <c r="D263" s="489" t="str">
        <f>Dashboard!M359</f>
        <v/>
      </c>
      <c r="E263" s="490" t="s">
        <v>314</v>
      </c>
      <c r="F263" s="491" t="str">
        <f t="shared" si="1"/>
        <v/>
      </c>
      <c r="G263" s="492" t="s">
        <v>314</v>
      </c>
      <c r="H263" s="349" t="str">
        <f t="shared" si="2"/>
        <v/>
      </c>
      <c r="I263" s="349" t="str">
        <f t="shared" si="3"/>
        <v/>
      </c>
      <c r="J263" s="493"/>
      <c r="K263" s="349" t="str">
        <f>IFERROR(__xludf.DUMMYFUNCTION("if(ISBLANK(A263),"""",if(B263=""Buy"",CONCAT(GOOGLEFINANCE(A263,""name""),"" {Symbol: ""&amp;A263&amp;""} High Alert!! Share Has Reached Its Target Buying Price,""),""""))"),"")</f>
        <v/>
      </c>
      <c r="L263" s="349" t="b">
        <f>IFERROR(__xludf.DUMMYFUNCTION("if(B263= ""Buy"",CONCAT(GOOGLEFINANCE(A263,""NAME""),"" share currently trading at Rs""&amp;C263&amp;"", Which is ""&amp;H263&amp;"" below the Target price of Rs""&amp;D263&amp;"".""))"),FALSE)</f>
        <v>0</v>
      </c>
    </row>
    <row r="264">
      <c r="A264" s="349" t="str">
        <f>Dashboard!B360</f>
        <v/>
      </c>
      <c r="B264" s="349" t="str">
        <f>Dashboard!H360</f>
        <v/>
      </c>
      <c r="C264" s="356" t="str">
        <f>Dashboard!G360</f>
        <v/>
      </c>
      <c r="D264" s="489" t="str">
        <f>Dashboard!M360</f>
        <v/>
      </c>
      <c r="E264" s="490" t="s">
        <v>314</v>
      </c>
      <c r="F264" s="491" t="str">
        <f t="shared" si="1"/>
        <v/>
      </c>
      <c r="G264" s="492" t="s">
        <v>314</v>
      </c>
      <c r="H264" s="349" t="str">
        <f t="shared" si="2"/>
        <v/>
      </c>
      <c r="I264" s="349" t="str">
        <f t="shared" si="3"/>
        <v/>
      </c>
      <c r="J264" s="493"/>
      <c r="K264" s="349" t="str">
        <f>IFERROR(__xludf.DUMMYFUNCTION("if(ISBLANK(A264),"""",if(B264=""Buy"",CONCAT(GOOGLEFINANCE(A264,""name""),"" {Symbol: ""&amp;A264&amp;""} High Alert!! Share Has Reached Its Target Buying Price,""),""""))"),"")</f>
        <v/>
      </c>
      <c r="L264" s="349" t="b">
        <f>IFERROR(__xludf.DUMMYFUNCTION("if(B264= ""Buy"",CONCAT(GOOGLEFINANCE(A264,""NAME""),"" share currently trading at Rs""&amp;C264&amp;"", Which is ""&amp;H264&amp;"" below the Target price of Rs""&amp;D264&amp;"".""))"),FALSE)</f>
        <v>0</v>
      </c>
    </row>
    <row r="265">
      <c r="A265" s="349" t="str">
        <f>Dashboard!B361</f>
        <v/>
      </c>
      <c r="B265" s="349" t="str">
        <f>Dashboard!H361</f>
        <v/>
      </c>
      <c r="C265" s="356" t="str">
        <f>Dashboard!G361</f>
        <v/>
      </c>
      <c r="D265" s="489" t="str">
        <f>Dashboard!M361</f>
        <v/>
      </c>
      <c r="E265" s="490" t="s">
        <v>314</v>
      </c>
      <c r="F265" s="491" t="str">
        <f t="shared" si="1"/>
        <v/>
      </c>
      <c r="G265" s="492" t="s">
        <v>314</v>
      </c>
      <c r="H265" s="349" t="str">
        <f t="shared" si="2"/>
        <v/>
      </c>
      <c r="I265" s="349" t="str">
        <f t="shared" si="3"/>
        <v/>
      </c>
      <c r="J265" s="493"/>
      <c r="K265" s="349" t="str">
        <f>IFERROR(__xludf.DUMMYFUNCTION("if(ISBLANK(A265),"""",if(B265=""Buy"",CONCAT(GOOGLEFINANCE(A265,""name""),"" {Symbol: ""&amp;A265&amp;""} High Alert!! Share Has Reached Its Target Buying Price,""),""""))"),"")</f>
        <v/>
      </c>
      <c r="L265" s="349" t="b">
        <f>IFERROR(__xludf.DUMMYFUNCTION("if(B265= ""Buy"",CONCAT(GOOGLEFINANCE(A265,""NAME""),"" share currently trading at Rs""&amp;C265&amp;"", Which is ""&amp;H265&amp;"" below the Target price of Rs""&amp;D265&amp;"".""))"),FALSE)</f>
        <v>0</v>
      </c>
    </row>
    <row r="266">
      <c r="A266" s="349" t="str">
        <f>Dashboard!B362</f>
        <v/>
      </c>
      <c r="B266" s="349" t="str">
        <f>Dashboard!H362</f>
        <v/>
      </c>
      <c r="C266" s="356" t="str">
        <f>Dashboard!G362</f>
        <v/>
      </c>
      <c r="D266" s="489" t="str">
        <f>Dashboard!M362</f>
        <v/>
      </c>
      <c r="E266" s="490" t="s">
        <v>314</v>
      </c>
      <c r="F266" s="491" t="str">
        <f t="shared" si="1"/>
        <v/>
      </c>
      <c r="G266" s="492" t="s">
        <v>314</v>
      </c>
      <c r="H266" s="349" t="str">
        <f t="shared" si="2"/>
        <v/>
      </c>
      <c r="I266" s="349" t="str">
        <f t="shared" si="3"/>
        <v/>
      </c>
      <c r="J266" s="493"/>
      <c r="K266" s="349" t="str">
        <f>IFERROR(__xludf.DUMMYFUNCTION("if(ISBLANK(A266),"""",if(B266=""Buy"",CONCAT(GOOGLEFINANCE(A266,""name""),"" {Symbol: ""&amp;A266&amp;""} High Alert!! Share Has Reached Its Target Buying Price,""),""""))"),"")</f>
        <v/>
      </c>
      <c r="L266" s="349" t="b">
        <f>IFERROR(__xludf.DUMMYFUNCTION("if(B266= ""Buy"",CONCAT(GOOGLEFINANCE(A266,""NAME""),"" share currently trading at Rs""&amp;C266&amp;"", Which is ""&amp;H266&amp;"" below the Target price of Rs""&amp;D266&amp;"".""))"),FALSE)</f>
        <v>0</v>
      </c>
    </row>
    <row r="267">
      <c r="A267" s="349" t="str">
        <f>Dashboard!B363</f>
        <v/>
      </c>
      <c r="B267" s="349" t="str">
        <f>Dashboard!H363</f>
        <v/>
      </c>
      <c r="C267" s="356" t="str">
        <f>Dashboard!G363</f>
        <v/>
      </c>
      <c r="D267" s="489" t="str">
        <f>Dashboard!M363</f>
        <v/>
      </c>
      <c r="E267" s="490" t="s">
        <v>314</v>
      </c>
      <c r="F267" s="491" t="str">
        <f t="shared" si="1"/>
        <v/>
      </c>
      <c r="G267" s="492" t="s">
        <v>314</v>
      </c>
      <c r="H267" s="349" t="str">
        <f t="shared" si="2"/>
        <v/>
      </c>
      <c r="I267" s="349" t="str">
        <f t="shared" si="3"/>
        <v/>
      </c>
      <c r="J267" s="493"/>
      <c r="K267" s="349" t="str">
        <f>IFERROR(__xludf.DUMMYFUNCTION("if(ISBLANK(A267),"""",if(B267=""Buy"",CONCAT(GOOGLEFINANCE(A267,""name""),"" {Symbol: ""&amp;A267&amp;""} High Alert!! Share Has Reached Its Target Buying Price,""),""""))"),"")</f>
        <v/>
      </c>
      <c r="L267" s="349" t="b">
        <f>IFERROR(__xludf.DUMMYFUNCTION("if(B267= ""Buy"",CONCAT(GOOGLEFINANCE(A267,""NAME""),"" share currently trading at Rs""&amp;C267&amp;"", Which is ""&amp;H267&amp;"" below the Target price of Rs""&amp;D267&amp;"".""))"),FALSE)</f>
        <v>0</v>
      </c>
    </row>
    <row r="268">
      <c r="A268" s="349" t="str">
        <f>Dashboard!B364</f>
        <v/>
      </c>
      <c r="B268" s="349" t="str">
        <f>Dashboard!H364</f>
        <v/>
      </c>
      <c r="C268" s="356" t="str">
        <f>Dashboard!G364</f>
        <v/>
      </c>
      <c r="D268" s="489" t="str">
        <f>Dashboard!M364</f>
        <v/>
      </c>
      <c r="E268" s="490" t="s">
        <v>314</v>
      </c>
      <c r="F268" s="491" t="str">
        <f t="shared" si="1"/>
        <v/>
      </c>
      <c r="G268" s="492" t="s">
        <v>314</v>
      </c>
      <c r="H268" s="349" t="str">
        <f t="shared" si="2"/>
        <v/>
      </c>
      <c r="I268" s="349" t="str">
        <f t="shared" si="3"/>
        <v/>
      </c>
      <c r="J268" s="493"/>
      <c r="K268" s="349" t="str">
        <f>IFERROR(__xludf.DUMMYFUNCTION("if(ISBLANK(A268),"""",if(B268=""Buy"",CONCAT(GOOGLEFINANCE(A268,""name""),"" {Symbol: ""&amp;A268&amp;""} High Alert!! Share Has Reached Its Target Buying Price,""),""""))"),"")</f>
        <v/>
      </c>
      <c r="L268" s="349" t="b">
        <f>IFERROR(__xludf.DUMMYFUNCTION("if(B268= ""Buy"",CONCAT(GOOGLEFINANCE(A268,""NAME""),"" share currently trading at Rs""&amp;C268&amp;"", Which is ""&amp;H268&amp;"" below the Target price of Rs""&amp;D268&amp;"".""))"),FALSE)</f>
        <v>0</v>
      </c>
    </row>
    <row r="269">
      <c r="A269" s="349" t="str">
        <f>Dashboard!B365</f>
        <v/>
      </c>
      <c r="B269" s="349" t="str">
        <f>Dashboard!H365</f>
        <v/>
      </c>
      <c r="C269" s="356" t="str">
        <f>Dashboard!G365</f>
        <v/>
      </c>
      <c r="D269" s="489" t="str">
        <f>Dashboard!M365</f>
        <v/>
      </c>
      <c r="E269" s="490" t="s">
        <v>314</v>
      </c>
      <c r="F269" s="491" t="str">
        <f t="shared" si="1"/>
        <v/>
      </c>
      <c r="G269" s="492" t="s">
        <v>314</v>
      </c>
      <c r="H269" s="349" t="str">
        <f t="shared" si="2"/>
        <v/>
      </c>
      <c r="I269" s="349" t="str">
        <f t="shared" si="3"/>
        <v/>
      </c>
      <c r="J269" s="493"/>
      <c r="K269" s="349" t="str">
        <f>IFERROR(__xludf.DUMMYFUNCTION("if(ISBLANK(A269),"""",if(B269=""Buy"",CONCAT(GOOGLEFINANCE(A269,""name""),"" {Symbol: ""&amp;A269&amp;""} High Alert!! Share Has Reached Its Target Buying Price,""),""""))"),"")</f>
        <v/>
      </c>
      <c r="L269" s="349" t="b">
        <f>IFERROR(__xludf.DUMMYFUNCTION("if(B269= ""Buy"",CONCAT(GOOGLEFINANCE(A269,""NAME""),"" share currently trading at Rs""&amp;C269&amp;"", Which is ""&amp;H269&amp;"" below the Target price of Rs""&amp;D269&amp;"".""))"),FALSE)</f>
        <v>0</v>
      </c>
    </row>
    <row r="270">
      <c r="A270" s="349" t="str">
        <f>Dashboard!B366</f>
        <v/>
      </c>
      <c r="B270" s="349" t="str">
        <f>Dashboard!H366</f>
        <v/>
      </c>
      <c r="C270" s="356" t="str">
        <f>Dashboard!G366</f>
        <v/>
      </c>
      <c r="D270" s="489" t="str">
        <f>Dashboard!M366</f>
        <v/>
      </c>
      <c r="E270" s="490" t="s">
        <v>314</v>
      </c>
      <c r="F270" s="491" t="str">
        <f t="shared" si="1"/>
        <v/>
      </c>
      <c r="G270" s="492" t="s">
        <v>314</v>
      </c>
      <c r="H270" s="349" t="str">
        <f t="shared" si="2"/>
        <v/>
      </c>
      <c r="I270" s="349" t="str">
        <f t="shared" si="3"/>
        <v/>
      </c>
      <c r="J270" s="493"/>
      <c r="K270" s="349" t="str">
        <f>IFERROR(__xludf.DUMMYFUNCTION("if(ISBLANK(A270),"""",if(B270=""Buy"",CONCAT(GOOGLEFINANCE(A270,""name""),"" {Symbol: ""&amp;A270&amp;""} High Alert!! Share Has Reached Its Target Buying Price,""),""""))"),"")</f>
        <v/>
      </c>
      <c r="L270" s="349" t="b">
        <f>IFERROR(__xludf.DUMMYFUNCTION("if(B270= ""Buy"",CONCAT(GOOGLEFINANCE(A270,""NAME""),"" share currently trading at Rs""&amp;C270&amp;"", Which is ""&amp;H270&amp;"" below the Target price of Rs""&amp;D270&amp;"".""))"),FALSE)</f>
        <v>0</v>
      </c>
    </row>
    <row r="271">
      <c r="A271" s="349" t="str">
        <f>Dashboard!B367</f>
        <v/>
      </c>
      <c r="B271" s="349" t="str">
        <f>Dashboard!H367</f>
        <v/>
      </c>
      <c r="C271" s="356" t="str">
        <f>Dashboard!G367</f>
        <v/>
      </c>
      <c r="D271" s="489" t="str">
        <f>Dashboard!M367</f>
        <v/>
      </c>
      <c r="E271" s="490" t="s">
        <v>314</v>
      </c>
      <c r="F271" s="491" t="str">
        <f t="shared" si="1"/>
        <v/>
      </c>
      <c r="G271" s="492" t="s">
        <v>314</v>
      </c>
      <c r="H271" s="349" t="str">
        <f t="shared" si="2"/>
        <v/>
      </c>
      <c r="I271" s="349" t="str">
        <f t="shared" si="3"/>
        <v/>
      </c>
      <c r="J271" s="493"/>
      <c r="K271" s="349" t="str">
        <f>IFERROR(__xludf.DUMMYFUNCTION("if(ISBLANK(A271),"""",if(B271=""Buy"",CONCAT(GOOGLEFINANCE(A271,""name""),"" {Symbol: ""&amp;A271&amp;""} High Alert!! Share Has Reached Its Target Buying Price,""),""""))"),"")</f>
        <v/>
      </c>
      <c r="L271" s="349" t="b">
        <f>IFERROR(__xludf.DUMMYFUNCTION("if(B271= ""Buy"",CONCAT(GOOGLEFINANCE(A271,""NAME""),"" share currently trading at Rs""&amp;C271&amp;"", Which is ""&amp;H271&amp;"" below the Target price of Rs""&amp;D271&amp;"".""))"),FALSE)</f>
        <v>0</v>
      </c>
    </row>
    <row r="272">
      <c r="A272" s="349" t="str">
        <f>Dashboard!B368</f>
        <v/>
      </c>
      <c r="B272" s="349" t="str">
        <f>Dashboard!H368</f>
        <v/>
      </c>
      <c r="C272" s="356" t="str">
        <f>Dashboard!G368</f>
        <v/>
      </c>
      <c r="D272" s="489" t="str">
        <f>Dashboard!M368</f>
        <v/>
      </c>
      <c r="E272" s="490" t="s">
        <v>314</v>
      </c>
      <c r="F272" s="491" t="str">
        <f t="shared" si="1"/>
        <v/>
      </c>
      <c r="G272" s="492" t="s">
        <v>314</v>
      </c>
      <c r="H272" s="349" t="str">
        <f t="shared" si="2"/>
        <v/>
      </c>
      <c r="I272" s="349" t="str">
        <f t="shared" si="3"/>
        <v/>
      </c>
      <c r="J272" s="493"/>
      <c r="K272" s="349" t="str">
        <f>IFERROR(__xludf.DUMMYFUNCTION("if(ISBLANK(A272),"""",if(B272=""Buy"",CONCAT(GOOGLEFINANCE(A272,""name""),"" {Symbol: ""&amp;A272&amp;""} High Alert!! Share Has Reached Its Target Buying Price,""),""""))"),"")</f>
        <v/>
      </c>
      <c r="L272" s="349" t="b">
        <f>IFERROR(__xludf.DUMMYFUNCTION("if(B272= ""Buy"",CONCAT(GOOGLEFINANCE(A272,""NAME""),"" share currently trading at Rs""&amp;C272&amp;"", Which is ""&amp;H272&amp;"" below the Target price of Rs""&amp;D272&amp;"".""))"),FALSE)</f>
        <v>0</v>
      </c>
    </row>
    <row r="273">
      <c r="A273" s="349" t="str">
        <f>Dashboard!B369</f>
        <v/>
      </c>
      <c r="B273" s="349" t="str">
        <f>Dashboard!H369</f>
        <v/>
      </c>
      <c r="C273" s="356" t="str">
        <f>Dashboard!G369</f>
        <v/>
      </c>
      <c r="D273" s="489" t="str">
        <f>Dashboard!M369</f>
        <v/>
      </c>
      <c r="E273" s="490" t="s">
        <v>314</v>
      </c>
      <c r="F273" s="491" t="str">
        <f t="shared" si="1"/>
        <v/>
      </c>
      <c r="G273" s="492" t="s">
        <v>314</v>
      </c>
      <c r="H273" s="349" t="str">
        <f t="shared" si="2"/>
        <v/>
      </c>
      <c r="I273" s="349" t="str">
        <f t="shared" si="3"/>
        <v/>
      </c>
      <c r="J273" s="493"/>
      <c r="K273" s="349" t="str">
        <f>IFERROR(__xludf.DUMMYFUNCTION("if(ISBLANK(A273),"""",if(B273=""Buy"",CONCAT(GOOGLEFINANCE(A273,""name""),"" {Symbol: ""&amp;A273&amp;""} High Alert!! Share Has Reached Its Target Buying Price,""),""""))"),"")</f>
        <v/>
      </c>
      <c r="L273" s="349" t="b">
        <f>IFERROR(__xludf.DUMMYFUNCTION("if(B273= ""Buy"",CONCAT(GOOGLEFINANCE(A273,""NAME""),"" share currently trading at Rs""&amp;C273&amp;"", Which is ""&amp;H273&amp;"" below the Target price of Rs""&amp;D273&amp;"".""))"),FALSE)</f>
        <v>0</v>
      </c>
    </row>
    <row r="274">
      <c r="A274" s="349" t="str">
        <f>Dashboard!B370</f>
        <v/>
      </c>
      <c r="B274" s="349" t="str">
        <f>Dashboard!H370</f>
        <v/>
      </c>
      <c r="C274" s="356" t="str">
        <f>Dashboard!G370</f>
        <v/>
      </c>
      <c r="D274" s="489" t="str">
        <f>Dashboard!M370</f>
        <v/>
      </c>
      <c r="E274" s="490" t="s">
        <v>314</v>
      </c>
      <c r="F274" s="491" t="str">
        <f t="shared" si="1"/>
        <v/>
      </c>
      <c r="G274" s="492" t="s">
        <v>314</v>
      </c>
      <c r="H274" s="349" t="str">
        <f t="shared" si="2"/>
        <v/>
      </c>
      <c r="I274" s="349" t="str">
        <f t="shared" si="3"/>
        <v/>
      </c>
      <c r="J274" s="493"/>
      <c r="K274" s="349" t="str">
        <f>IFERROR(__xludf.DUMMYFUNCTION("if(ISBLANK(A274),"""",if(B274=""Buy"",CONCAT(GOOGLEFINANCE(A274,""name""),"" {Symbol: ""&amp;A274&amp;""} High Alert!! Share Has Reached Its Target Buying Price,""),""""))"),"")</f>
        <v/>
      </c>
      <c r="L274" s="349" t="b">
        <f>IFERROR(__xludf.DUMMYFUNCTION("if(B274= ""Buy"",CONCAT(GOOGLEFINANCE(A274,""NAME""),"" share currently trading at Rs""&amp;C274&amp;"", Which is ""&amp;H274&amp;"" below the Target price of Rs""&amp;D274&amp;"".""))"),FALSE)</f>
        <v>0</v>
      </c>
    </row>
    <row r="275">
      <c r="A275" s="349" t="str">
        <f>Dashboard!B371</f>
        <v/>
      </c>
      <c r="B275" s="349" t="str">
        <f>Dashboard!H371</f>
        <v/>
      </c>
      <c r="C275" s="356" t="str">
        <f>Dashboard!G371</f>
        <v/>
      </c>
      <c r="D275" s="489" t="str">
        <f>Dashboard!M371</f>
        <v/>
      </c>
      <c r="E275" s="490" t="s">
        <v>314</v>
      </c>
      <c r="F275" s="491" t="str">
        <f t="shared" si="1"/>
        <v/>
      </c>
      <c r="G275" s="492" t="s">
        <v>314</v>
      </c>
      <c r="H275" s="349" t="str">
        <f t="shared" si="2"/>
        <v/>
      </c>
      <c r="I275" s="349" t="str">
        <f t="shared" si="3"/>
        <v/>
      </c>
      <c r="J275" s="493"/>
      <c r="K275" s="349" t="str">
        <f>IFERROR(__xludf.DUMMYFUNCTION("if(ISBLANK(A275),"""",if(B275=""Buy"",CONCAT(GOOGLEFINANCE(A275,""name""),"" {Symbol: ""&amp;A275&amp;""} High Alert!! Share Has Reached Its Target Buying Price,""),""""))"),"")</f>
        <v/>
      </c>
      <c r="L275" s="349" t="b">
        <f>IFERROR(__xludf.DUMMYFUNCTION("if(B275= ""Buy"",CONCAT(GOOGLEFINANCE(A275,""NAME""),"" share currently trading at Rs""&amp;C275&amp;"", Which is ""&amp;H275&amp;"" below the Target price of Rs""&amp;D275&amp;"".""))"),FALSE)</f>
        <v>0</v>
      </c>
    </row>
    <row r="276">
      <c r="A276" s="349" t="str">
        <f>Dashboard!B372</f>
        <v/>
      </c>
      <c r="B276" s="349" t="str">
        <f>Dashboard!H372</f>
        <v/>
      </c>
      <c r="C276" s="356" t="str">
        <f>Dashboard!G372</f>
        <v/>
      </c>
      <c r="D276" s="489" t="str">
        <f>Dashboard!M372</f>
        <v/>
      </c>
      <c r="E276" s="490" t="s">
        <v>314</v>
      </c>
      <c r="F276" s="491" t="str">
        <f t="shared" si="1"/>
        <v/>
      </c>
      <c r="G276" s="492" t="s">
        <v>314</v>
      </c>
      <c r="H276" s="349" t="str">
        <f t="shared" si="2"/>
        <v/>
      </c>
      <c r="I276" s="349" t="str">
        <f t="shared" si="3"/>
        <v/>
      </c>
      <c r="J276" s="493"/>
      <c r="K276" s="349" t="str">
        <f>IFERROR(__xludf.DUMMYFUNCTION("if(ISBLANK(A276),"""",if(B276=""Buy"",CONCAT(GOOGLEFINANCE(A276,""name""),"" {Symbol: ""&amp;A276&amp;""} High Alert!! Share Has Reached Its Target Buying Price,""),""""))"),"")</f>
        <v/>
      </c>
      <c r="L276" s="349" t="b">
        <f>IFERROR(__xludf.DUMMYFUNCTION("if(B276= ""Buy"",CONCAT(GOOGLEFINANCE(A276,""NAME""),"" share currently trading at Rs""&amp;C276&amp;"", Which is ""&amp;H276&amp;"" below the Target price of Rs""&amp;D276&amp;"".""))"),FALSE)</f>
        <v>0</v>
      </c>
    </row>
    <row r="277">
      <c r="A277" s="349" t="str">
        <f>Dashboard!B373</f>
        <v/>
      </c>
      <c r="B277" s="349" t="str">
        <f>Dashboard!H373</f>
        <v/>
      </c>
      <c r="C277" s="356" t="str">
        <f>Dashboard!G373</f>
        <v/>
      </c>
      <c r="D277" s="489" t="str">
        <f>Dashboard!M373</f>
        <v/>
      </c>
      <c r="E277" s="490" t="s">
        <v>314</v>
      </c>
      <c r="F277" s="491" t="str">
        <f t="shared" si="1"/>
        <v/>
      </c>
      <c r="G277" s="492" t="s">
        <v>314</v>
      </c>
      <c r="H277" s="349" t="str">
        <f t="shared" si="2"/>
        <v/>
      </c>
      <c r="I277" s="349" t="str">
        <f t="shared" si="3"/>
        <v/>
      </c>
      <c r="J277" s="493"/>
      <c r="K277" s="349" t="str">
        <f>IFERROR(__xludf.DUMMYFUNCTION("if(ISBLANK(A277),"""",if(B277=""Buy"",CONCAT(GOOGLEFINANCE(A277,""name""),"" {Symbol: ""&amp;A277&amp;""} High Alert!! Share Has Reached Its Target Buying Price,""),""""))"),"")</f>
        <v/>
      </c>
      <c r="L277" s="349" t="b">
        <f>IFERROR(__xludf.DUMMYFUNCTION("if(B277= ""Buy"",CONCAT(GOOGLEFINANCE(A277,""NAME""),"" share currently trading at Rs""&amp;C277&amp;"", Which is ""&amp;H277&amp;"" below the Target price of Rs""&amp;D277&amp;"".""))"),FALSE)</f>
        <v>0</v>
      </c>
    </row>
    <row r="278">
      <c r="A278" s="349" t="str">
        <f>Dashboard!B374</f>
        <v/>
      </c>
      <c r="B278" s="349" t="str">
        <f>Dashboard!H374</f>
        <v/>
      </c>
      <c r="C278" s="356" t="str">
        <f>Dashboard!G374</f>
        <v/>
      </c>
      <c r="D278" s="489" t="str">
        <f>Dashboard!M374</f>
        <v/>
      </c>
      <c r="E278" s="490" t="s">
        <v>314</v>
      </c>
      <c r="F278" s="491" t="str">
        <f t="shared" si="1"/>
        <v/>
      </c>
      <c r="G278" s="492" t="s">
        <v>314</v>
      </c>
      <c r="H278" s="349" t="str">
        <f t="shared" si="2"/>
        <v/>
      </c>
      <c r="I278" s="349" t="str">
        <f t="shared" si="3"/>
        <v/>
      </c>
      <c r="J278" s="493"/>
      <c r="K278" s="349" t="str">
        <f>IFERROR(__xludf.DUMMYFUNCTION("if(ISBLANK(A278),"""",if(B278=""Buy"",CONCAT(GOOGLEFINANCE(A278,""name""),"" {Symbol: ""&amp;A278&amp;""} High Alert!! Share Has Reached Its Target Buying Price,""),""""))"),"")</f>
        <v/>
      </c>
      <c r="L278" s="349" t="b">
        <f>IFERROR(__xludf.DUMMYFUNCTION("if(B278= ""Buy"",CONCAT(GOOGLEFINANCE(A278,""NAME""),"" share currently trading at Rs""&amp;C278&amp;"", Which is ""&amp;H278&amp;"" below the Target price of Rs""&amp;D278&amp;"".""))"),FALSE)</f>
        <v>0</v>
      </c>
    </row>
    <row r="279">
      <c r="A279" s="349" t="str">
        <f>Dashboard!B375</f>
        <v/>
      </c>
      <c r="B279" s="349" t="str">
        <f>Dashboard!H375</f>
        <v/>
      </c>
      <c r="C279" s="356" t="str">
        <f>Dashboard!G375</f>
        <v/>
      </c>
      <c r="D279" s="489" t="str">
        <f>Dashboard!M375</f>
        <v/>
      </c>
      <c r="E279" s="490" t="s">
        <v>314</v>
      </c>
      <c r="F279" s="491" t="str">
        <f t="shared" si="1"/>
        <v/>
      </c>
      <c r="G279" s="492" t="s">
        <v>314</v>
      </c>
      <c r="H279" s="349" t="str">
        <f t="shared" si="2"/>
        <v/>
      </c>
      <c r="I279" s="349" t="str">
        <f t="shared" si="3"/>
        <v/>
      </c>
      <c r="J279" s="493"/>
      <c r="K279" s="349" t="str">
        <f>IFERROR(__xludf.DUMMYFUNCTION("if(ISBLANK(A279),"""",if(B279=""Buy"",CONCAT(GOOGLEFINANCE(A279,""name""),"" {Symbol: ""&amp;A279&amp;""} High Alert!! Share Has Reached Its Target Buying Price,""),""""))"),"")</f>
        <v/>
      </c>
      <c r="L279" s="349" t="b">
        <f>IFERROR(__xludf.DUMMYFUNCTION("if(B279= ""Buy"",CONCAT(GOOGLEFINANCE(A279,""NAME""),"" share currently trading at Rs""&amp;C279&amp;"", Which is ""&amp;H279&amp;"" below the Target price of Rs""&amp;D279&amp;"".""))"),FALSE)</f>
        <v>0</v>
      </c>
    </row>
    <row r="280">
      <c r="A280" s="349" t="str">
        <f>Dashboard!B376</f>
        <v/>
      </c>
      <c r="B280" s="349" t="str">
        <f>Dashboard!H376</f>
        <v/>
      </c>
      <c r="C280" s="356" t="str">
        <f>Dashboard!G376</f>
        <v/>
      </c>
      <c r="D280" s="489" t="str">
        <f>Dashboard!M376</f>
        <v/>
      </c>
      <c r="E280" s="490" t="s">
        <v>314</v>
      </c>
      <c r="F280" s="491" t="str">
        <f t="shared" si="1"/>
        <v/>
      </c>
      <c r="G280" s="492" t="s">
        <v>314</v>
      </c>
      <c r="H280" s="349" t="str">
        <f t="shared" si="2"/>
        <v/>
      </c>
      <c r="I280" s="349" t="str">
        <f t="shared" si="3"/>
        <v/>
      </c>
      <c r="J280" s="493"/>
      <c r="K280" s="349" t="str">
        <f>IFERROR(__xludf.DUMMYFUNCTION("if(ISBLANK(A280),"""",if(B280=""Buy"",CONCAT(GOOGLEFINANCE(A280,""name""),"" {Symbol: ""&amp;A280&amp;""} High Alert!! Share Has Reached Its Target Buying Price,""),""""))"),"")</f>
        <v/>
      </c>
      <c r="L280" s="349" t="b">
        <f>IFERROR(__xludf.DUMMYFUNCTION("if(B280= ""Buy"",CONCAT(GOOGLEFINANCE(A280,""NAME""),"" share currently trading at Rs""&amp;C280&amp;"", Which is ""&amp;H280&amp;"" below the Target price of Rs""&amp;D280&amp;"".""))"),FALSE)</f>
        <v>0</v>
      </c>
    </row>
    <row r="281">
      <c r="A281" s="349" t="str">
        <f>Dashboard!B377</f>
        <v/>
      </c>
      <c r="B281" s="349" t="str">
        <f>Dashboard!H377</f>
        <v/>
      </c>
      <c r="C281" s="356" t="str">
        <f>Dashboard!G377</f>
        <v/>
      </c>
      <c r="D281" s="489" t="str">
        <f>Dashboard!M377</f>
        <v/>
      </c>
      <c r="E281" s="490" t="s">
        <v>314</v>
      </c>
      <c r="F281" s="491" t="str">
        <f t="shared" si="1"/>
        <v/>
      </c>
      <c r="G281" s="492" t="s">
        <v>314</v>
      </c>
      <c r="H281" s="349" t="str">
        <f t="shared" si="2"/>
        <v/>
      </c>
      <c r="I281" s="349" t="str">
        <f t="shared" si="3"/>
        <v/>
      </c>
      <c r="J281" s="493"/>
      <c r="K281" s="349" t="str">
        <f>IFERROR(__xludf.DUMMYFUNCTION("if(ISBLANK(A281),"""",if(B281=""Buy"",CONCAT(GOOGLEFINANCE(A281,""name""),"" {Symbol: ""&amp;A281&amp;""} High Alert!! Share Has Reached Its Target Buying Price,""),""""))"),"")</f>
        <v/>
      </c>
      <c r="L281" s="349" t="b">
        <f>IFERROR(__xludf.DUMMYFUNCTION("if(B281= ""Buy"",CONCAT(GOOGLEFINANCE(A281,""NAME""),"" share currently trading at Rs""&amp;C281&amp;"", Which is ""&amp;H281&amp;"" below the Target price of Rs""&amp;D281&amp;"".""))"),FALSE)</f>
        <v>0</v>
      </c>
    </row>
    <row r="282">
      <c r="A282" s="349" t="str">
        <f>Dashboard!B378</f>
        <v/>
      </c>
      <c r="B282" s="349" t="str">
        <f>Dashboard!H378</f>
        <v/>
      </c>
      <c r="C282" s="356" t="str">
        <f>Dashboard!G378</f>
        <v/>
      </c>
      <c r="D282" s="489" t="str">
        <f>Dashboard!M378</f>
        <v/>
      </c>
      <c r="E282" s="490" t="s">
        <v>314</v>
      </c>
      <c r="F282" s="491" t="str">
        <f t="shared" si="1"/>
        <v/>
      </c>
      <c r="G282" s="492" t="s">
        <v>314</v>
      </c>
      <c r="H282" s="349" t="str">
        <f t="shared" si="2"/>
        <v/>
      </c>
      <c r="I282" s="349" t="str">
        <f t="shared" si="3"/>
        <v/>
      </c>
      <c r="J282" s="493"/>
      <c r="K282" s="349" t="str">
        <f>IFERROR(__xludf.DUMMYFUNCTION("if(ISBLANK(A282),"""",if(B282=""Buy"",CONCAT(GOOGLEFINANCE(A282,""name""),"" {Symbol: ""&amp;A282&amp;""} High Alert!! Share Has Reached Its Target Buying Price,""),""""))"),"")</f>
        <v/>
      </c>
      <c r="L282" s="349" t="b">
        <f>IFERROR(__xludf.DUMMYFUNCTION("if(B282= ""Buy"",CONCAT(GOOGLEFINANCE(A282,""NAME""),"" share currently trading at Rs""&amp;C282&amp;"", Which is ""&amp;H282&amp;"" below the Target price of Rs""&amp;D282&amp;"".""))"),FALSE)</f>
        <v>0</v>
      </c>
    </row>
    <row r="283">
      <c r="A283" s="349" t="str">
        <f>Dashboard!B379</f>
        <v/>
      </c>
      <c r="B283" s="349" t="str">
        <f>Dashboard!H379</f>
        <v/>
      </c>
      <c r="C283" s="356" t="str">
        <f>Dashboard!G379</f>
        <v/>
      </c>
      <c r="D283" s="489" t="str">
        <f>Dashboard!M379</f>
        <v/>
      </c>
      <c r="E283" s="490" t="s">
        <v>314</v>
      </c>
      <c r="F283" s="491" t="str">
        <f t="shared" si="1"/>
        <v/>
      </c>
      <c r="G283" s="492" t="s">
        <v>314</v>
      </c>
      <c r="H283" s="349" t="str">
        <f t="shared" si="2"/>
        <v/>
      </c>
      <c r="I283" s="349" t="str">
        <f t="shared" si="3"/>
        <v/>
      </c>
      <c r="J283" s="493"/>
      <c r="K283" s="349" t="str">
        <f>IFERROR(__xludf.DUMMYFUNCTION("if(ISBLANK(A283),"""",if(B283=""Buy"",CONCAT(GOOGLEFINANCE(A283,""name""),"" {Symbol: ""&amp;A283&amp;""} High Alert!! Share Has Reached Its Target Buying Price,""),""""))"),"")</f>
        <v/>
      </c>
      <c r="L283" s="349" t="b">
        <f>IFERROR(__xludf.DUMMYFUNCTION("if(B283= ""Buy"",CONCAT(GOOGLEFINANCE(A283,""NAME""),"" share currently trading at Rs""&amp;C283&amp;"", Which is ""&amp;H283&amp;"" below the Target price of Rs""&amp;D283&amp;"".""))"),FALSE)</f>
        <v>0</v>
      </c>
    </row>
    <row r="284">
      <c r="A284" s="349" t="str">
        <f>Dashboard!B380</f>
        <v/>
      </c>
      <c r="B284" s="349" t="str">
        <f>Dashboard!H380</f>
        <v/>
      </c>
      <c r="C284" s="356" t="str">
        <f>Dashboard!G380</f>
        <v/>
      </c>
      <c r="D284" s="489" t="str">
        <f>Dashboard!M380</f>
        <v/>
      </c>
      <c r="E284" s="490" t="s">
        <v>314</v>
      </c>
      <c r="F284" s="491" t="str">
        <f t="shared" si="1"/>
        <v/>
      </c>
      <c r="G284" s="492" t="s">
        <v>314</v>
      </c>
      <c r="H284" s="349" t="str">
        <f t="shared" si="2"/>
        <v/>
      </c>
      <c r="I284" s="349" t="str">
        <f t="shared" si="3"/>
        <v/>
      </c>
      <c r="J284" s="493"/>
      <c r="K284" s="349" t="str">
        <f>IFERROR(__xludf.DUMMYFUNCTION("if(ISBLANK(A284),"""",if(B284=""Buy"",CONCAT(GOOGLEFINANCE(A284,""name""),"" {Symbol: ""&amp;A284&amp;""} High Alert!! Share Has Reached Its Target Buying Price,""),""""))"),"")</f>
        <v/>
      </c>
      <c r="L284" s="349" t="b">
        <f>IFERROR(__xludf.DUMMYFUNCTION("if(B284= ""Buy"",CONCAT(GOOGLEFINANCE(A284,""NAME""),"" share currently trading at Rs""&amp;C284&amp;"", Which is ""&amp;H284&amp;"" below the Target price of Rs""&amp;D284&amp;"".""))"),FALSE)</f>
        <v>0</v>
      </c>
    </row>
    <row r="285">
      <c r="A285" s="349" t="str">
        <f>Dashboard!B381</f>
        <v/>
      </c>
      <c r="B285" s="349" t="str">
        <f>Dashboard!H381</f>
        <v/>
      </c>
      <c r="C285" s="356" t="str">
        <f>Dashboard!G381</f>
        <v/>
      </c>
      <c r="D285" s="489" t="str">
        <f>Dashboard!M381</f>
        <v/>
      </c>
      <c r="E285" s="490" t="s">
        <v>314</v>
      </c>
      <c r="F285" s="491" t="str">
        <f t="shared" si="1"/>
        <v/>
      </c>
      <c r="G285" s="492" t="s">
        <v>314</v>
      </c>
      <c r="H285" s="349" t="str">
        <f t="shared" si="2"/>
        <v/>
      </c>
      <c r="I285" s="349" t="str">
        <f t="shared" si="3"/>
        <v/>
      </c>
      <c r="J285" s="493"/>
      <c r="K285" s="349" t="str">
        <f>IFERROR(__xludf.DUMMYFUNCTION("if(ISBLANK(A285),"""",if(B285=""Buy"",CONCAT(GOOGLEFINANCE(A285,""name""),"" {Symbol: ""&amp;A285&amp;""} High Alert!! Share Has Reached Its Target Buying Price,""),""""))"),"")</f>
        <v/>
      </c>
      <c r="L285" s="349" t="b">
        <f>IFERROR(__xludf.DUMMYFUNCTION("if(B285= ""Buy"",CONCAT(GOOGLEFINANCE(A285,""NAME""),"" share currently trading at Rs""&amp;C285&amp;"", Which is ""&amp;H285&amp;"" below the Target price of Rs""&amp;D285&amp;"".""))"),FALSE)</f>
        <v>0</v>
      </c>
    </row>
    <row r="286">
      <c r="A286" s="349" t="str">
        <f>Dashboard!B382</f>
        <v/>
      </c>
      <c r="B286" s="349" t="str">
        <f>Dashboard!H382</f>
        <v/>
      </c>
      <c r="C286" s="356" t="str">
        <f>Dashboard!G382</f>
        <v/>
      </c>
      <c r="D286" s="489" t="str">
        <f>Dashboard!M382</f>
        <v/>
      </c>
      <c r="E286" s="490" t="s">
        <v>314</v>
      </c>
      <c r="F286" s="491" t="str">
        <f t="shared" si="1"/>
        <v/>
      </c>
      <c r="G286" s="492" t="s">
        <v>314</v>
      </c>
      <c r="H286" s="349" t="str">
        <f t="shared" si="2"/>
        <v/>
      </c>
      <c r="I286" s="349" t="str">
        <f t="shared" si="3"/>
        <v/>
      </c>
      <c r="J286" s="493"/>
      <c r="K286" s="349" t="str">
        <f>IFERROR(__xludf.DUMMYFUNCTION("if(ISBLANK(A286),"""",if(B286=""Buy"",CONCAT(GOOGLEFINANCE(A286,""name""),"" {Symbol: ""&amp;A286&amp;""} High Alert!! Share Has Reached Its Target Buying Price,""),""""))"),"")</f>
        <v/>
      </c>
      <c r="L286" s="349" t="b">
        <f>IFERROR(__xludf.DUMMYFUNCTION("if(B286= ""Buy"",CONCAT(GOOGLEFINANCE(A286,""NAME""),"" share currently trading at Rs""&amp;C286&amp;"", Which is ""&amp;H286&amp;"" below the Target price of Rs""&amp;D286&amp;"".""))"),FALSE)</f>
        <v>0</v>
      </c>
    </row>
    <row r="287">
      <c r="A287" s="349" t="str">
        <f>Dashboard!B383</f>
        <v/>
      </c>
      <c r="B287" s="349" t="str">
        <f>Dashboard!H383</f>
        <v/>
      </c>
      <c r="C287" s="356" t="str">
        <f>Dashboard!G383</f>
        <v/>
      </c>
      <c r="D287" s="489" t="str">
        <f>Dashboard!M383</f>
        <v/>
      </c>
      <c r="E287" s="490" t="s">
        <v>314</v>
      </c>
      <c r="F287" s="491" t="str">
        <f t="shared" si="1"/>
        <v/>
      </c>
      <c r="G287" s="492" t="s">
        <v>314</v>
      </c>
      <c r="H287" s="349" t="str">
        <f t="shared" si="2"/>
        <v/>
      </c>
      <c r="I287" s="349" t="str">
        <f t="shared" si="3"/>
        <v/>
      </c>
      <c r="J287" s="493"/>
      <c r="K287" s="349" t="str">
        <f>IFERROR(__xludf.DUMMYFUNCTION("if(ISBLANK(A287),"""",if(B287=""Buy"",CONCAT(GOOGLEFINANCE(A287,""name""),"" {Symbol: ""&amp;A287&amp;""} High Alert!! Share Has Reached Its Target Buying Price,""),""""))"),"")</f>
        <v/>
      </c>
      <c r="L287" s="349" t="b">
        <f>IFERROR(__xludf.DUMMYFUNCTION("if(B287= ""Buy"",CONCAT(GOOGLEFINANCE(A287,""NAME""),"" share currently trading at Rs""&amp;C287&amp;"", Which is ""&amp;H287&amp;"" below the Target price of Rs""&amp;D287&amp;"".""))"),FALSE)</f>
        <v>0</v>
      </c>
    </row>
    <row r="288">
      <c r="A288" s="349" t="str">
        <f>Dashboard!B384</f>
        <v/>
      </c>
      <c r="B288" s="349" t="str">
        <f>Dashboard!H384</f>
        <v/>
      </c>
      <c r="C288" s="356" t="str">
        <f>Dashboard!G384</f>
        <v/>
      </c>
      <c r="D288" s="489" t="str">
        <f>Dashboard!M384</f>
        <v/>
      </c>
      <c r="E288" s="490" t="s">
        <v>314</v>
      </c>
      <c r="F288" s="491" t="str">
        <f t="shared" si="1"/>
        <v/>
      </c>
      <c r="G288" s="492" t="s">
        <v>314</v>
      </c>
      <c r="H288" s="349" t="str">
        <f t="shared" si="2"/>
        <v/>
      </c>
      <c r="I288" s="349" t="str">
        <f t="shared" si="3"/>
        <v/>
      </c>
      <c r="J288" s="493"/>
      <c r="K288" s="349" t="str">
        <f>IFERROR(__xludf.DUMMYFUNCTION("if(ISBLANK(A288),"""",if(B288=""Buy"",CONCAT(GOOGLEFINANCE(A288,""name""),"" {Symbol: ""&amp;A288&amp;""} High Alert!! Share Has Reached Its Target Buying Price,""),""""))"),"")</f>
        <v/>
      </c>
      <c r="L288" s="349" t="b">
        <f>IFERROR(__xludf.DUMMYFUNCTION("if(B288= ""Buy"",CONCAT(GOOGLEFINANCE(A288,""NAME""),"" share currently trading at Rs""&amp;C288&amp;"", Which is ""&amp;H288&amp;"" below the Target price of Rs""&amp;D288&amp;"".""))"),FALSE)</f>
        <v>0</v>
      </c>
    </row>
    <row r="289">
      <c r="A289" s="349" t="str">
        <f>Dashboard!B385</f>
        <v/>
      </c>
      <c r="B289" s="349" t="str">
        <f>Dashboard!H385</f>
        <v/>
      </c>
      <c r="C289" s="356" t="str">
        <f>Dashboard!G385</f>
        <v/>
      </c>
      <c r="D289" s="489" t="str">
        <f>Dashboard!M385</f>
        <v/>
      </c>
      <c r="E289" s="490" t="s">
        <v>314</v>
      </c>
      <c r="F289" s="491" t="str">
        <f t="shared" si="1"/>
        <v/>
      </c>
      <c r="G289" s="492" t="s">
        <v>314</v>
      </c>
      <c r="H289" s="349" t="str">
        <f t="shared" si="2"/>
        <v/>
      </c>
      <c r="I289" s="349" t="str">
        <f t="shared" si="3"/>
        <v/>
      </c>
      <c r="J289" s="493"/>
      <c r="K289" s="349" t="str">
        <f>IFERROR(__xludf.DUMMYFUNCTION("if(ISBLANK(A289),"""",if(B289=""Buy"",CONCAT(GOOGLEFINANCE(A289,""name""),"" {Symbol: ""&amp;A289&amp;""} High Alert!! Share Has Reached Its Target Buying Price,""),""""))"),"")</f>
        <v/>
      </c>
      <c r="L289" s="349" t="b">
        <f>IFERROR(__xludf.DUMMYFUNCTION("if(B289= ""Buy"",CONCAT(GOOGLEFINANCE(A289,""NAME""),"" share currently trading at Rs""&amp;C289&amp;"", Which is ""&amp;H289&amp;"" below the Target price of Rs""&amp;D289&amp;"".""))"),FALSE)</f>
        <v>0</v>
      </c>
    </row>
    <row r="290">
      <c r="A290" s="349" t="str">
        <f>Dashboard!B386</f>
        <v/>
      </c>
      <c r="B290" s="349" t="str">
        <f>Dashboard!H386</f>
        <v/>
      </c>
      <c r="C290" s="356" t="str">
        <f>Dashboard!G386</f>
        <v/>
      </c>
      <c r="D290" s="489" t="str">
        <f>Dashboard!M386</f>
        <v/>
      </c>
      <c r="E290" s="490" t="s">
        <v>314</v>
      </c>
      <c r="F290" s="491" t="str">
        <f t="shared" si="1"/>
        <v/>
      </c>
      <c r="G290" s="492" t="s">
        <v>314</v>
      </c>
      <c r="H290" s="349" t="str">
        <f t="shared" si="2"/>
        <v/>
      </c>
      <c r="I290" s="349" t="str">
        <f t="shared" si="3"/>
        <v/>
      </c>
      <c r="J290" s="493"/>
      <c r="K290" s="349" t="str">
        <f>IFERROR(__xludf.DUMMYFUNCTION("if(ISBLANK(A290),"""",if(B290=""Buy"",CONCAT(GOOGLEFINANCE(A290,""name""),"" {Symbol: ""&amp;A290&amp;""} High Alert!! Share Has Reached Its Target Buying Price,""),""""))"),"")</f>
        <v/>
      </c>
      <c r="L290" s="349" t="b">
        <f>IFERROR(__xludf.DUMMYFUNCTION("if(B290= ""Buy"",CONCAT(GOOGLEFINANCE(A290,""NAME""),"" share currently trading at Rs""&amp;C290&amp;"", Which is ""&amp;H290&amp;"" below the Target price of Rs""&amp;D290&amp;"".""))"),FALSE)</f>
        <v>0</v>
      </c>
    </row>
    <row r="291">
      <c r="A291" s="349" t="str">
        <f>Dashboard!B387</f>
        <v/>
      </c>
      <c r="B291" s="349" t="str">
        <f>Dashboard!H387</f>
        <v/>
      </c>
      <c r="C291" s="356" t="str">
        <f>Dashboard!G387</f>
        <v/>
      </c>
      <c r="D291" s="489" t="str">
        <f>Dashboard!M387</f>
        <v/>
      </c>
      <c r="E291" s="490" t="s">
        <v>314</v>
      </c>
      <c r="F291" s="491" t="str">
        <f t="shared" si="1"/>
        <v/>
      </c>
      <c r="G291" s="492" t="s">
        <v>314</v>
      </c>
      <c r="H291" s="349" t="str">
        <f t="shared" si="2"/>
        <v/>
      </c>
      <c r="I291" s="349" t="str">
        <f t="shared" si="3"/>
        <v/>
      </c>
      <c r="J291" s="493"/>
      <c r="K291" s="349" t="str">
        <f>IFERROR(__xludf.DUMMYFUNCTION("if(ISBLANK(A291),"""",if(B291=""Buy"",CONCAT(GOOGLEFINANCE(A291,""name""),"" {Symbol: ""&amp;A291&amp;""} High Alert!! Share Has Reached Its Target Buying Price,""),""""))"),"")</f>
        <v/>
      </c>
      <c r="L291" s="349" t="b">
        <f>IFERROR(__xludf.DUMMYFUNCTION("if(B291= ""Buy"",CONCAT(GOOGLEFINANCE(A291,""NAME""),"" share currently trading at Rs""&amp;C291&amp;"", Which is ""&amp;H291&amp;"" below the Target price of Rs""&amp;D291&amp;"".""))"),FALSE)</f>
        <v>0</v>
      </c>
    </row>
    <row r="292">
      <c r="A292" s="349" t="str">
        <f>Dashboard!B388</f>
        <v/>
      </c>
      <c r="B292" s="349" t="str">
        <f>Dashboard!H388</f>
        <v/>
      </c>
      <c r="C292" s="356" t="str">
        <f>Dashboard!G388</f>
        <v/>
      </c>
      <c r="D292" s="489" t="str">
        <f>Dashboard!M388</f>
        <v/>
      </c>
      <c r="E292" s="490" t="s">
        <v>314</v>
      </c>
      <c r="F292" s="491" t="str">
        <f t="shared" si="1"/>
        <v/>
      </c>
      <c r="G292" s="492" t="s">
        <v>314</v>
      </c>
      <c r="H292" s="349" t="str">
        <f t="shared" si="2"/>
        <v/>
      </c>
      <c r="I292" s="349" t="str">
        <f t="shared" si="3"/>
        <v/>
      </c>
      <c r="J292" s="493"/>
      <c r="K292" s="349" t="str">
        <f>IFERROR(__xludf.DUMMYFUNCTION("if(ISBLANK(A292),"""",if(B292=""Buy"",CONCAT(GOOGLEFINANCE(A292,""name""),"" {Symbol: ""&amp;A292&amp;""} High Alert!! Share Has Reached Its Target Buying Price,""),""""))"),"")</f>
        <v/>
      </c>
      <c r="L292" s="349" t="b">
        <f>IFERROR(__xludf.DUMMYFUNCTION("if(B292= ""Buy"",CONCAT(GOOGLEFINANCE(A292,""NAME""),"" share currently trading at Rs""&amp;C292&amp;"", Which is ""&amp;H292&amp;"" below the Target price of Rs""&amp;D292&amp;"".""))"),FALSE)</f>
        <v>0</v>
      </c>
    </row>
    <row r="293">
      <c r="A293" s="349" t="str">
        <f>Dashboard!B389</f>
        <v/>
      </c>
      <c r="B293" s="349" t="str">
        <f>Dashboard!H389</f>
        <v/>
      </c>
      <c r="C293" s="356" t="str">
        <f>Dashboard!G389</f>
        <v/>
      </c>
      <c r="D293" s="489" t="str">
        <f>Dashboard!M389</f>
        <v/>
      </c>
      <c r="E293" s="490" t="s">
        <v>314</v>
      </c>
      <c r="F293" s="491" t="str">
        <f t="shared" si="1"/>
        <v/>
      </c>
      <c r="G293" s="492" t="s">
        <v>314</v>
      </c>
      <c r="H293" s="349" t="str">
        <f t="shared" si="2"/>
        <v/>
      </c>
      <c r="I293" s="349" t="str">
        <f t="shared" si="3"/>
        <v/>
      </c>
      <c r="J293" s="493"/>
      <c r="K293" s="349" t="str">
        <f>IFERROR(__xludf.DUMMYFUNCTION("if(ISBLANK(A293),"""",if(B293=""Buy"",CONCAT(GOOGLEFINANCE(A293,""name""),"" {Symbol: ""&amp;A293&amp;""} High Alert!! Share Has Reached Its Target Buying Price,""),""""))"),"")</f>
        <v/>
      </c>
      <c r="L293" s="349" t="b">
        <f>IFERROR(__xludf.DUMMYFUNCTION("if(B293= ""Buy"",CONCAT(GOOGLEFINANCE(A293,""NAME""),"" share currently trading at Rs""&amp;C293&amp;"", Which is ""&amp;H293&amp;"" below the Target price of Rs""&amp;D293&amp;"".""))"),FALSE)</f>
        <v>0</v>
      </c>
    </row>
    <row r="294">
      <c r="A294" s="349" t="str">
        <f>Dashboard!B390</f>
        <v/>
      </c>
      <c r="B294" s="349" t="str">
        <f>Dashboard!H390</f>
        <v/>
      </c>
      <c r="C294" s="356" t="str">
        <f>Dashboard!G390</f>
        <v/>
      </c>
      <c r="D294" s="489" t="str">
        <f>Dashboard!M390</f>
        <v/>
      </c>
      <c r="E294" s="490" t="s">
        <v>314</v>
      </c>
      <c r="F294" s="491" t="str">
        <f t="shared" si="1"/>
        <v/>
      </c>
      <c r="G294" s="492" t="s">
        <v>314</v>
      </c>
      <c r="H294" s="349" t="str">
        <f t="shared" si="2"/>
        <v/>
      </c>
      <c r="I294" s="349" t="str">
        <f t="shared" si="3"/>
        <v/>
      </c>
      <c r="J294" s="493"/>
      <c r="K294" s="349" t="str">
        <f>IFERROR(__xludf.DUMMYFUNCTION("if(ISBLANK(A294),"""",if(B294=""Buy"",CONCAT(GOOGLEFINANCE(A294,""name""),"" {Symbol: ""&amp;A294&amp;""} High Alert!! Share Has Reached Its Target Buying Price,""),""""))"),"")</f>
        <v/>
      </c>
      <c r="L294" s="349" t="b">
        <f>IFERROR(__xludf.DUMMYFUNCTION("if(B294= ""Buy"",CONCAT(GOOGLEFINANCE(A294,""NAME""),"" share currently trading at Rs""&amp;C294&amp;"", Which is ""&amp;H294&amp;"" below the Target price of Rs""&amp;D294&amp;"".""))"),FALSE)</f>
        <v>0</v>
      </c>
    </row>
    <row r="295">
      <c r="A295" s="349" t="str">
        <f>Dashboard!B391</f>
        <v/>
      </c>
      <c r="B295" s="349" t="str">
        <f>Dashboard!H391</f>
        <v/>
      </c>
      <c r="C295" s="356" t="str">
        <f>Dashboard!G391</f>
        <v/>
      </c>
      <c r="D295" s="489" t="str">
        <f>Dashboard!M391</f>
        <v/>
      </c>
      <c r="E295" s="490" t="s">
        <v>314</v>
      </c>
      <c r="F295" s="491" t="str">
        <f t="shared" si="1"/>
        <v/>
      </c>
      <c r="G295" s="492" t="s">
        <v>314</v>
      </c>
      <c r="H295" s="349" t="str">
        <f t="shared" si="2"/>
        <v/>
      </c>
      <c r="I295" s="349" t="str">
        <f t="shared" si="3"/>
        <v/>
      </c>
      <c r="J295" s="493"/>
      <c r="K295" s="349" t="str">
        <f>IFERROR(__xludf.DUMMYFUNCTION("if(ISBLANK(A295),"""",if(B295=""Buy"",CONCAT(GOOGLEFINANCE(A295,""name""),"" {Symbol: ""&amp;A295&amp;""} High Alert!! Share Has Reached Its Target Buying Price,""),""""))"),"")</f>
        <v/>
      </c>
      <c r="L295" s="349" t="b">
        <f>IFERROR(__xludf.DUMMYFUNCTION("if(B295= ""Buy"",CONCAT(GOOGLEFINANCE(A295,""NAME""),"" share currently trading at Rs""&amp;C295&amp;"", Which is ""&amp;H295&amp;"" below the Target price of Rs""&amp;D295&amp;"".""))"),FALSE)</f>
        <v>0</v>
      </c>
    </row>
    <row r="296">
      <c r="A296" s="349" t="str">
        <f>Dashboard!B392</f>
        <v/>
      </c>
      <c r="B296" s="349" t="str">
        <f>Dashboard!H392</f>
        <v/>
      </c>
      <c r="C296" s="356" t="str">
        <f>Dashboard!G392</f>
        <v/>
      </c>
      <c r="D296" s="489" t="str">
        <f>Dashboard!M392</f>
        <v/>
      </c>
      <c r="E296" s="490" t="s">
        <v>314</v>
      </c>
      <c r="F296" s="491" t="str">
        <f t="shared" si="1"/>
        <v/>
      </c>
      <c r="G296" s="492" t="s">
        <v>314</v>
      </c>
      <c r="H296" s="349" t="str">
        <f t="shared" si="2"/>
        <v/>
      </c>
      <c r="I296" s="349" t="str">
        <f t="shared" si="3"/>
        <v/>
      </c>
      <c r="J296" s="493"/>
      <c r="K296" s="349" t="str">
        <f>IFERROR(__xludf.DUMMYFUNCTION("if(ISBLANK(A296),"""",if(B296=""Buy"",CONCAT(GOOGLEFINANCE(A296,""name""),"" {Symbol: ""&amp;A296&amp;""} High Alert!! Share Has Reached Its Target Buying Price,""),""""))"),"")</f>
        <v/>
      </c>
      <c r="L296" s="349" t="b">
        <f>IFERROR(__xludf.DUMMYFUNCTION("if(B296= ""Buy"",CONCAT(GOOGLEFINANCE(A296,""NAME""),"" share currently trading at Rs""&amp;C296&amp;"", Which is ""&amp;H296&amp;"" below the Target price of Rs""&amp;D296&amp;"".""))"),FALSE)</f>
        <v>0</v>
      </c>
    </row>
    <row r="297">
      <c r="A297" s="349" t="str">
        <f>Dashboard!B393</f>
        <v/>
      </c>
      <c r="B297" s="349" t="str">
        <f>Dashboard!H393</f>
        <v/>
      </c>
      <c r="C297" s="356" t="str">
        <f>Dashboard!G393</f>
        <v/>
      </c>
      <c r="D297" s="489" t="str">
        <f>Dashboard!M393</f>
        <v/>
      </c>
      <c r="E297" s="490" t="s">
        <v>314</v>
      </c>
      <c r="F297" s="491" t="str">
        <f t="shared" si="1"/>
        <v/>
      </c>
      <c r="G297" s="492" t="s">
        <v>314</v>
      </c>
      <c r="H297" s="349" t="str">
        <f t="shared" si="2"/>
        <v/>
      </c>
      <c r="I297" s="349" t="str">
        <f t="shared" si="3"/>
        <v/>
      </c>
      <c r="J297" s="493"/>
      <c r="K297" s="349" t="str">
        <f>IFERROR(__xludf.DUMMYFUNCTION("if(ISBLANK(A297),"""",if(B297=""Buy"",CONCAT(GOOGLEFINANCE(A297,""name""),"" {Symbol: ""&amp;A297&amp;""} High Alert!! Share Has Reached Its Target Buying Price,""),""""))"),"")</f>
        <v/>
      </c>
      <c r="L297" s="349" t="b">
        <f>IFERROR(__xludf.DUMMYFUNCTION("if(B297= ""Buy"",CONCAT(GOOGLEFINANCE(A297,""NAME""),"" share currently trading at Rs""&amp;C297&amp;"", Which is ""&amp;H297&amp;"" below the Target price of Rs""&amp;D297&amp;"".""))"),FALSE)</f>
        <v>0</v>
      </c>
    </row>
    <row r="298">
      <c r="A298" s="349" t="str">
        <f>Dashboard!B394</f>
        <v/>
      </c>
      <c r="B298" s="349" t="str">
        <f>Dashboard!H394</f>
        <v/>
      </c>
      <c r="C298" s="356" t="str">
        <f>Dashboard!G394</f>
        <v/>
      </c>
      <c r="D298" s="489" t="str">
        <f>Dashboard!M394</f>
        <v/>
      </c>
      <c r="E298" s="490" t="s">
        <v>314</v>
      </c>
      <c r="F298" s="491" t="str">
        <f t="shared" si="1"/>
        <v/>
      </c>
      <c r="G298" s="492" t="s">
        <v>314</v>
      </c>
      <c r="H298" s="349" t="str">
        <f t="shared" si="2"/>
        <v/>
      </c>
      <c r="I298" s="349" t="str">
        <f t="shared" si="3"/>
        <v/>
      </c>
      <c r="J298" s="493"/>
      <c r="K298" s="349" t="str">
        <f>IFERROR(__xludf.DUMMYFUNCTION("if(ISBLANK(A298),"""",if(B298=""Buy"",CONCAT(GOOGLEFINANCE(A298,""name""),"" {Symbol: ""&amp;A298&amp;""} High Alert!! Share Has Reached Its Target Buying Price,""),""""))"),"")</f>
        <v/>
      </c>
      <c r="L298" s="349" t="b">
        <f>IFERROR(__xludf.DUMMYFUNCTION("if(B298= ""Buy"",CONCAT(GOOGLEFINANCE(A298,""NAME""),"" share currently trading at Rs""&amp;C298&amp;"", Which is ""&amp;H298&amp;"" below the Target price of Rs""&amp;D298&amp;"".""))"),FALSE)</f>
        <v>0</v>
      </c>
    </row>
    <row r="299">
      <c r="A299" s="349" t="str">
        <f>Dashboard!B395</f>
        <v/>
      </c>
      <c r="B299" s="349" t="str">
        <f>Dashboard!H395</f>
        <v/>
      </c>
      <c r="C299" s="356" t="str">
        <f>Dashboard!G395</f>
        <v/>
      </c>
      <c r="D299" s="489" t="str">
        <f>Dashboard!M395</f>
        <v/>
      </c>
      <c r="E299" s="490" t="s">
        <v>314</v>
      </c>
      <c r="F299" s="491" t="str">
        <f t="shared" si="1"/>
        <v/>
      </c>
      <c r="G299" s="492" t="s">
        <v>314</v>
      </c>
      <c r="H299" s="349" t="str">
        <f t="shared" si="2"/>
        <v/>
      </c>
      <c r="I299" s="349" t="str">
        <f t="shared" si="3"/>
        <v/>
      </c>
      <c r="J299" s="493"/>
      <c r="K299" s="349" t="str">
        <f>IFERROR(__xludf.DUMMYFUNCTION("if(ISBLANK(A299),"""",if(B299=""Buy"",CONCAT(GOOGLEFINANCE(A299,""name""),"" {Symbol: ""&amp;A299&amp;""} High Alert!! Share Has Reached Its Target Buying Price,""),""""))"),"")</f>
        <v/>
      </c>
      <c r="L299" s="349" t="b">
        <f>IFERROR(__xludf.DUMMYFUNCTION("if(B299= ""Buy"",CONCAT(GOOGLEFINANCE(A299,""NAME""),"" share currently trading at Rs""&amp;C299&amp;"", Which is ""&amp;H299&amp;"" below the Target price of Rs""&amp;D299&amp;"".""))"),FALSE)</f>
        <v>0</v>
      </c>
    </row>
    <row r="300">
      <c r="A300" s="349" t="str">
        <f>Dashboard!B396</f>
        <v/>
      </c>
      <c r="B300" s="349" t="str">
        <f>Dashboard!H396</f>
        <v/>
      </c>
      <c r="C300" s="356" t="str">
        <f>Dashboard!G396</f>
        <v/>
      </c>
      <c r="D300" s="489" t="str">
        <f>Dashboard!M396</f>
        <v/>
      </c>
      <c r="E300" s="490" t="s">
        <v>314</v>
      </c>
      <c r="F300" s="491" t="str">
        <f t="shared" si="1"/>
        <v/>
      </c>
      <c r="G300" s="492" t="s">
        <v>314</v>
      </c>
      <c r="H300" s="349" t="str">
        <f t="shared" si="2"/>
        <v/>
      </c>
      <c r="I300" s="349" t="str">
        <f t="shared" si="3"/>
        <v/>
      </c>
      <c r="J300" s="493"/>
      <c r="K300" s="349" t="str">
        <f>IFERROR(__xludf.DUMMYFUNCTION("if(ISBLANK(A300),"""",if(B300=""Buy"",CONCAT(GOOGLEFINANCE(A300,""name""),"" {Symbol: ""&amp;A300&amp;""} High Alert!! Share Has Reached Its Target Buying Price,""),""""))"),"")</f>
        <v/>
      </c>
      <c r="L300" s="349" t="b">
        <f>IFERROR(__xludf.DUMMYFUNCTION("if(B300= ""Buy"",CONCAT(GOOGLEFINANCE(A300,""NAME""),"" share currently trading at Rs""&amp;C300&amp;"", Which is ""&amp;H300&amp;"" below the Target price of Rs""&amp;D300&amp;"".""))"),FALSE)</f>
        <v>0</v>
      </c>
    </row>
    <row r="301">
      <c r="A301" s="349" t="str">
        <f>Dashboard!B397</f>
        <v/>
      </c>
      <c r="B301" s="349" t="str">
        <f>Dashboard!H397</f>
        <v/>
      </c>
      <c r="C301" s="356" t="str">
        <f>Dashboard!G397</f>
        <v/>
      </c>
      <c r="D301" s="489" t="str">
        <f>Dashboard!M397</f>
        <v/>
      </c>
      <c r="E301" s="490" t="s">
        <v>314</v>
      </c>
      <c r="F301" s="491" t="str">
        <f t="shared" si="1"/>
        <v/>
      </c>
      <c r="G301" s="492" t="s">
        <v>314</v>
      </c>
      <c r="H301" s="349" t="str">
        <f t="shared" si="2"/>
        <v/>
      </c>
      <c r="I301" s="349" t="str">
        <f t="shared" si="3"/>
        <v/>
      </c>
      <c r="J301" s="493"/>
      <c r="K301" s="349" t="str">
        <f>IFERROR(__xludf.DUMMYFUNCTION("if(ISBLANK(A301),"""",if(B301=""Buy"",CONCAT(GOOGLEFINANCE(A301,""name""),"" {Symbol: ""&amp;A301&amp;""} High Alert!! Share Has Reached Its Target Buying Price,""),""""))"),"")</f>
        <v/>
      </c>
      <c r="L301" s="349" t="b">
        <f>IFERROR(__xludf.DUMMYFUNCTION("if(B301= ""Buy"",CONCAT(GOOGLEFINANCE(A301,""NAME""),"" share currently trading at Rs""&amp;C301&amp;"", Which is ""&amp;H301&amp;"" below the Target price of Rs""&amp;D301&amp;"".""))"),FALSE)</f>
        <v>0</v>
      </c>
    </row>
    <row r="302">
      <c r="A302" s="349" t="str">
        <f>Dashboard!B398</f>
        <v/>
      </c>
      <c r="B302" s="349" t="str">
        <f>Dashboard!H398</f>
        <v/>
      </c>
      <c r="C302" s="356" t="str">
        <f>Dashboard!G398</f>
        <v/>
      </c>
      <c r="D302" s="489" t="str">
        <f>Dashboard!M398</f>
        <v/>
      </c>
      <c r="E302" s="490" t="s">
        <v>314</v>
      </c>
      <c r="F302" s="491" t="str">
        <f t="shared" si="1"/>
        <v/>
      </c>
      <c r="G302" s="492" t="s">
        <v>314</v>
      </c>
      <c r="H302" s="349" t="str">
        <f t="shared" si="2"/>
        <v/>
      </c>
      <c r="I302" s="349" t="str">
        <f t="shared" si="3"/>
        <v/>
      </c>
      <c r="J302" s="493"/>
      <c r="K302" s="349" t="str">
        <f>IFERROR(__xludf.DUMMYFUNCTION("if(ISBLANK(A302),"""",if(B302=""Buy"",CONCAT(GOOGLEFINANCE(A302,""name""),"" {Symbol: ""&amp;A302&amp;""} High Alert!! Share Has Reached Its Target Buying Price,""),""""))"),"")</f>
        <v/>
      </c>
      <c r="L302" s="349" t="b">
        <f>IFERROR(__xludf.DUMMYFUNCTION("if(B302= ""Buy"",CONCAT(GOOGLEFINANCE(A302,""NAME""),"" share currently trading at Rs""&amp;C302&amp;"", Which is ""&amp;H302&amp;"" below the Target price of Rs""&amp;D302&amp;"".""))"),FALSE)</f>
        <v>0</v>
      </c>
    </row>
    <row r="303">
      <c r="A303" s="349" t="str">
        <f>Dashboard!B399</f>
        <v/>
      </c>
      <c r="B303" s="349" t="str">
        <f>Dashboard!H399</f>
        <v/>
      </c>
      <c r="C303" s="356" t="str">
        <f>Dashboard!G399</f>
        <v/>
      </c>
      <c r="D303" s="489" t="str">
        <f>Dashboard!M399</f>
        <v/>
      </c>
      <c r="E303" s="490" t="s">
        <v>314</v>
      </c>
      <c r="F303" s="491" t="str">
        <f t="shared" si="1"/>
        <v/>
      </c>
      <c r="G303" s="492" t="s">
        <v>314</v>
      </c>
      <c r="H303" s="349" t="str">
        <f t="shared" si="2"/>
        <v/>
      </c>
      <c r="I303" s="349" t="str">
        <f t="shared" si="3"/>
        <v/>
      </c>
      <c r="J303" s="493"/>
      <c r="K303" s="349" t="str">
        <f>IFERROR(__xludf.DUMMYFUNCTION("if(ISBLANK(A303),"""",if(B303=""Buy"",CONCAT(GOOGLEFINANCE(A303,""name""),"" {Symbol: ""&amp;A303&amp;""} High Alert!! Share Has Reached Its Target Buying Price,""),""""))"),"")</f>
        <v/>
      </c>
      <c r="L303" s="349" t="b">
        <f>IFERROR(__xludf.DUMMYFUNCTION("if(B303= ""Buy"",CONCAT(GOOGLEFINANCE(A303,""NAME""),"" share currently trading at Rs""&amp;C303&amp;"", Which is ""&amp;H303&amp;"" below the Target price of Rs""&amp;D303&amp;"".""))"),FALSE)</f>
        <v>0</v>
      </c>
    </row>
    <row r="304">
      <c r="A304" s="349" t="str">
        <f>Dashboard!B400</f>
        <v/>
      </c>
      <c r="B304" s="349" t="str">
        <f>Dashboard!H400</f>
        <v/>
      </c>
      <c r="C304" s="356" t="str">
        <f>Dashboard!G400</f>
        <v/>
      </c>
      <c r="D304" s="489" t="str">
        <f>Dashboard!M400</f>
        <v/>
      </c>
      <c r="E304" s="490" t="s">
        <v>314</v>
      </c>
      <c r="F304" s="491" t="str">
        <f t="shared" si="1"/>
        <v/>
      </c>
      <c r="G304" s="492" t="s">
        <v>314</v>
      </c>
      <c r="H304" s="349" t="str">
        <f t="shared" si="2"/>
        <v/>
      </c>
      <c r="I304" s="349" t="str">
        <f t="shared" si="3"/>
        <v/>
      </c>
      <c r="J304" s="493"/>
      <c r="K304" s="349" t="str">
        <f>IFERROR(__xludf.DUMMYFUNCTION("if(ISBLANK(A304),"""",if(B304=""Buy"",CONCAT(GOOGLEFINANCE(A304,""name""),"" {Symbol: ""&amp;A304&amp;""} High Alert!! Share Has Reached Its Target Buying Price,""),""""))"),"")</f>
        <v/>
      </c>
      <c r="L304" s="349" t="b">
        <f>IFERROR(__xludf.DUMMYFUNCTION("if(B304= ""Buy"",CONCAT(GOOGLEFINANCE(A304,""NAME""),"" share currently trading at Rs""&amp;C304&amp;"", Which is ""&amp;H304&amp;"" below the Target price of Rs""&amp;D304&amp;"".""))"),FALSE)</f>
        <v>0</v>
      </c>
    </row>
    <row r="305">
      <c r="A305" s="349" t="str">
        <f>Dashboard!B401</f>
        <v/>
      </c>
      <c r="B305" s="349" t="str">
        <f>Dashboard!H401</f>
        <v/>
      </c>
      <c r="C305" s="356" t="str">
        <f>Dashboard!G401</f>
        <v/>
      </c>
      <c r="D305" s="489" t="str">
        <f>Dashboard!M401</f>
        <v/>
      </c>
      <c r="E305" s="490" t="s">
        <v>314</v>
      </c>
      <c r="F305" s="491" t="str">
        <f t="shared" si="1"/>
        <v/>
      </c>
      <c r="G305" s="492" t="s">
        <v>314</v>
      </c>
      <c r="H305" s="349" t="str">
        <f t="shared" si="2"/>
        <v/>
      </c>
      <c r="I305" s="349" t="str">
        <f t="shared" si="3"/>
        <v/>
      </c>
      <c r="J305" s="493"/>
      <c r="K305" s="349" t="str">
        <f>IFERROR(__xludf.DUMMYFUNCTION("if(ISBLANK(A305),"""",if(B305=""Buy"",CONCAT(GOOGLEFINANCE(A305,""name""),"" {Symbol: ""&amp;A305&amp;""} High Alert!! Share Has Reached Its Target Buying Price,""),""""))"),"")</f>
        <v/>
      </c>
      <c r="L305" s="349" t="b">
        <f>IFERROR(__xludf.DUMMYFUNCTION("if(B305= ""Buy"",CONCAT(GOOGLEFINANCE(A305,""NAME""),"" share currently trading at Rs""&amp;C305&amp;"", Which is ""&amp;H305&amp;"" below the Target price of Rs""&amp;D305&amp;"".""))"),FALSE)</f>
        <v>0</v>
      </c>
    </row>
    <row r="306">
      <c r="A306" s="349" t="str">
        <f>Dashboard!B402</f>
        <v/>
      </c>
      <c r="B306" s="349" t="str">
        <f>Dashboard!H402</f>
        <v/>
      </c>
      <c r="C306" s="356" t="str">
        <f>Dashboard!G402</f>
        <v/>
      </c>
      <c r="D306" s="489" t="str">
        <f>Dashboard!M402</f>
        <v/>
      </c>
      <c r="E306" s="490" t="s">
        <v>314</v>
      </c>
      <c r="F306" s="491" t="str">
        <f t="shared" si="1"/>
        <v/>
      </c>
      <c r="G306" s="492" t="s">
        <v>314</v>
      </c>
      <c r="H306" s="349" t="str">
        <f t="shared" si="2"/>
        <v/>
      </c>
      <c r="I306" s="349" t="str">
        <f t="shared" si="3"/>
        <v/>
      </c>
      <c r="J306" s="493"/>
      <c r="K306" s="349" t="str">
        <f>IFERROR(__xludf.DUMMYFUNCTION("if(ISBLANK(A306),"""",if(B306=""Buy"",CONCAT(GOOGLEFINANCE(A306,""name""),"" {Symbol: ""&amp;A306&amp;""} High Alert!! Share Has Reached Its Target Buying Price,""),""""))"),"")</f>
        <v/>
      </c>
      <c r="L306" s="349" t="b">
        <f>IFERROR(__xludf.DUMMYFUNCTION("if(B306= ""Buy"",CONCAT(GOOGLEFINANCE(A306,""NAME""),"" share currently trading at Rs""&amp;C306&amp;"", Which is ""&amp;H306&amp;"" below the Target price of Rs""&amp;D306&amp;"".""))"),FALSE)</f>
        <v>0</v>
      </c>
    </row>
    <row r="307">
      <c r="A307" s="349" t="str">
        <f>Dashboard!B403</f>
        <v/>
      </c>
      <c r="B307" s="349" t="str">
        <f>Dashboard!H403</f>
        <v/>
      </c>
      <c r="C307" s="356" t="str">
        <f>Dashboard!G403</f>
        <v/>
      </c>
      <c r="D307" s="489" t="str">
        <f>Dashboard!M403</f>
        <v/>
      </c>
      <c r="E307" s="490" t="s">
        <v>314</v>
      </c>
      <c r="F307" s="491" t="str">
        <f t="shared" si="1"/>
        <v/>
      </c>
      <c r="G307" s="492" t="s">
        <v>314</v>
      </c>
      <c r="H307" s="349" t="str">
        <f t="shared" si="2"/>
        <v/>
      </c>
      <c r="I307" s="349" t="str">
        <f t="shared" si="3"/>
        <v/>
      </c>
      <c r="J307" s="493"/>
      <c r="K307" s="349" t="str">
        <f>IFERROR(__xludf.DUMMYFUNCTION("if(ISBLANK(A307),"""",if(B307=""Buy"",CONCAT(GOOGLEFINANCE(A307,""name""),"" {Symbol: ""&amp;A307&amp;""} High Alert!! Share Has Reached Its Target Buying Price,""),""""))"),"")</f>
        <v/>
      </c>
      <c r="L307" s="349" t="b">
        <f>IFERROR(__xludf.DUMMYFUNCTION("if(B307= ""Buy"",CONCAT(GOOGLEFINANCE(A307,""NAME""),"" share currently trading at Rs""&amp;C307&amp;"", Which is ""&amp;H307&amp;"" below the Target price of Rs""&amp;D307&amp;"".""))"),FALSE)</f>
        <v>0</v>
      </c>
    </row>
    <row r="308">
      <c r="A308" s="349" t="str">
        <f>Dashboard!B404</f>
        <v/>
      </c>
      <c r="B308" s="349" t="str">
        <f>Dashboard!H404</f>
        <v/>
      </c>
      <c r="C308" s="356" t="str">
        <f>Dashboard!G404</f>
        <v/>
      </c>
      <c r="D308" s="489" t="str">
        <f>Dashboard!M404</f>
        <v/>
      </c>
      <c r="E308" s="490" t="s">
        <v>314</v>
      </c>
      <c r="F308" s="491" t="str">
        <f t="shared" si="1"/>
        <v/>
      </c>
      <c r="G308" s="492" t="s">
        <v>314</v>
      </c>
      <c r="H308" s="349" t="str">
        <f t="shared" si="2"/>
        <v/>
      </c>
      <c r="I308" s="349" t="str">
        <f t="shared" si="3"/>
        <v/>
      </c>
      <c r="J308" s="493"/>
      <c r="K308" s="349" t="str">
        <f>IFERROR(__xludf.DUMMYFUNCTION("if(ISBLANK(A308),"""",if(B308=""Buy"",CONCAT(GOOGLEFINANCE(A308,""name""),"" {Symbol: ""&amp;A308&amp;""} High Alert!! Share Has Reached Its Target Buying Price,""),""""))"),"")</f>
        <v/>
      </c>
      <c r="L308" s="349" t="b">
        <f>IFERROR(__xludf.DUMMYFUNCTION("if(B308= ""Buy"",CONCAT(GOOGLEFINANCE(A308,""NAME""),"" share currently trading at Rs""&amp;C308&amp;"", Which is ""&amp;H308&amp;"" below the Target price of Rs""&amp;D308&amp;"".""))"),FALSE)</f>
        <v>0</v>
      </c>
    </row>
    <row r="309">
      <c r="A309" s="349" t="str">
        <f>Dashboard!B405</f>
        <v/>
      </c>
      <c r="B309" s="349" t="str">
        <f>Dashboard!H405</f>
        <v/>
      </c>
      <c r="C309" s="356" t="str">
        <f>Dashboard!G405</f>
        <v/>
      </c>
      <c r="D309" s="489" t="str">
        <f>Dashboard!M405</f>
        <v/>
      </c>
      <c r="E309" s="490" t="s">
        <v>314</v>
      </c>
      <c r="F309" s="491" t="str">
        <f t="shared" si="1"/>
        <v/>
      </c>
      <c r="G309" s="492" t="s">
        <v>314</v>
      </c>
      <c r="H309" s="349" t="str">
        <f t="shared" si="2"/>
        <v/>
      </c>
      <c r="I309" s="349" t="str">
        <f t="shared" si="3"/>
        <v/>
      </c>
      <c r="J309" s="493"/>
      <c r="K309" s="349" t="str">
        <f>IFERROR(__xludf.DUMMYFUNCTION("if(ISBLANK(A309),"""",if(B309=""Buy"",CONCAT(GOOGLEFINANCE(A309,""name""),"" {Symbol: ""&amp;A309&amp;""} High Alert!! Share Has Reached Its Target Buying Price,""),""""))"),"")</f>
        <v/>
      </c>
      <c r="L309" s="349" t="b">
        <f>IFERROR(__xludf.DUMMYFUNCTION("if(B309= ""Buy"",CONCAT(GOOGLEFINANCE(A309,""NAME""),"" share currently trading at Rs""&amp;C309&amp;"", Which is ""&amp;H309&amp;"" below the Target price of Rs""&amp;D309&amp;"".""))"),FALSE)</f>
        <v>0</v>
      </c>
    </row>
    <row r="310">
      <c r="A310" s="349" t="str">
        <f>Dashboard!B406</f>
        <v/>
      </c>
      <c r="B310" s="349" t="str">
        <f>Dashboard!H406</f>
        <v/>
      </c>
      <c r="C310" s="356" t="str">
        <f>Dashboard!G406</f>
        <v/>
      </c>
      <c r="D310" s="489" t="str">
        <f>Dashboard!M406</f>
        <v/>
      </c>
      <c r="E310" s="490" t="s">
        <v>314</v>
      </c>
      <c r="F310" s="491" t="str">
        <f t="shared" si="1"/>
        <v/>
      </c>
      <c r="G310" s="492" t="s">
        <v>314</v>
      </c>
      <c r="H310" s="349" t="str">
        <f t="shared" si="2"/>
        <v/>
      </c>
      <c r="I310" s="349" t="str">
        <f t="shared" si="3"/>
        <v/>
      </c>
      <c r="J310" s="493"/>
      <c r="K310" s="349" t="str">
        <f>IFERROR(__xludf.DUMMYFUNCTION("if(ISBLANK(A310),"""",if(B310=""Buy"",CONCAT(GOOGLEFINANCE(A310,""name""),"" {Symbol: ""&amp;A310&amp;""} High Alert!! Share Has Reached Its Target Buying Price,""),""""))"),"")</f>
        <v/>
      </c>
      <c r="L310" s="349" t="b">
        <f>IFERROR(__xludf.DUMMYFUNCTION("if(B310= ""Buy"",CONCAT(GOOGLEFINANCE(A310,""NAME""),"" share currently trading at Rs""&amp;C310&amp;"", Which is ""&amp;H310&amp;"" below the Target price of Rs""&amp;D310&amp;"".""))"),FALSE)</f>
        <v>0</v>
      </c>
    </row>
    <row r="311">
      <c r="A311" s="349" t="str">
        <f>Dashboard!B407</f>
        <v/>
      </c>
      <c r="B311" s="349" t="str">
        <f>Dashboard!H407</f>
        <v/>
      </c>
      <c r="C311" s="356" t="str">
        <f>Dashboard!G407</f>
        <v/>
      </c>
      <c r="D311" s="489" t="str">
        <f>Dashboard!M407</f>
        <v/>
      </c>
      <c r="E311" s="490" t="s">
        <v>314</v>
      </c>
      <c r="F311" s="491" t="str">
        <f t="shared" si="1"/>
        <v/>
      </c>
      <c r="G311" s="492" t="s">
        <v>314</v>
      </c>
      <c r="H311" s="349" t="str">
        <f t="shared" si="2"/>
        <v/>
      </c>
      <c r="I311" s="349" t="str">
        <f t="shared" si="3"/>
        <v/>
      </c>
      <c r="J311" s="493"/>
      <c r="K311" s="349" t="str">
        <f>IFERROR(__xludf.DUMMYFUNCTION("if(ISBLANK(A311),"""",if(B311=""Buy"",CONCAT(GOOGLEFINANCE(A311,""name""),"" {Symbol: ""&amp;A311&amp;""} High Alert!! Share Has Reached Its Target Buying Price,""),""""))"),"")</f>
        <v/>
      </c>
      <c r="L311" s="349" t="b">
        <f>IFERROR(__xludf.DUMMYFUNCTION("if(B311= ""Buy"",CONCAT(GOOGLEFINANCE(A311,""NAME""),"" share currently trading at Rs""&amp;C311&amp;"", Which is ""&amp;H311&amp;"" below the Target price of Rs""&amp;D311&amp;"".""))"),FALSE)</f>
        <v>0</v>
      </c>
    </row>
    <row r="312">
      <c r="A312" s="349" t="str">
        <f>Dashboard!B408</f>
        <v/>
      </c>
      <c r="B312" s="349" t="str">
        <f>Dashboard!H408</f>
        <v/>
      </c>
      <c r="C312" s="356" t="str">
        <f>Dashboard!G408</f>
        <v/>
      </c>
      <c r="D312" s="489" t="str">
        <f>Dashboard!M408</f>
        <v/>
      </c>
      <c r="E312" s="490" t="s">
        <v>314</v>
      </c>
      <c r="F312" s="491" t="str">
        <f t="shared" si="1"/>
        <v/>
      </c>
      <c r="G312" s="492" t="s">
        <v>314</v>
      </c>
      <c r="H312" s="349" t="str">
        <f t="shared" si="2"/>
        <v/>
      </c>
      <c r="I312" s="349" t="str">
        <f t="shared" si="3"/>
        <v/>
      </c>
      <c r="J312" s="493"/>
      <c r="K312" s="349" t="str">
        <f>IFERROR(__xludf.DUMMYFUNCTION("if(ISBLANK(A312),"""",if(B312=""Buy"",CONCAT(GOOGLEFINANCE(A312,""name""),"" {Symbol: ""&amp;A312&amp;""} High Alert!! Share Has Reached Its Target Buying Price,""),""""))"),"")</f>
        <v/>
      </c>
      <c r="L312" s="349" t="b">
        <f>IFERROR(__xludf.DUMMYFUNCTION("if(B312= ""Buy"",CONCAT(GOOGLEFINANCE(A312,""NAME""),"" share currently trading at Rs""&amp;C312&amp;"", Which is ""&amp;H312&amp;"" below the Target price of Rs""&amp;D312&amp;"".""))"),FALSE)</f>
        <v>0</v>
      </c>
    </row>
    <row r="313">
      <c r="A313" s="349" t="str">
        <f>Dashboard!B409</f>
        <v/>
      </c>
      <c r="B313" s="349" t="str">
        <f>Dashboard!H409</f>
        <v/>
      </c>
      <c r="C313" s="356" t="str">
        <f>Dashboard!G409</f>
        <v/>
      </c>
      <c r="D313" s="489" t="str">
        <f>Dashboard!M409</f>
        <v/>
      </c>
      <c r="E313" s="490" t="s">
        <v>314</v>
      </c>
      <c r="F313" s="491" t="str">
        <f t="shared" si="1"/>
        <v/>
      </c>
      <c r="G313" s="492" t="s">
        <v>314</v>
      </c>
      <c r="H313" s="349" t="str">
        <f t="shared" si="2"/>
        <v/>
      </c>
      <c r="I313" s="349" t="str">
        <f t="shared" si="3"/>
        <v/>
      </c>
      <c r="J313" s="493"/>
      <c r="K313" s="349" t="str">
        <f>IFERROR(__xludf.DUMMYFUNCTION("if(ISBLANK(A313),"""",if(B313=""Buy"",CONCAT(GOOGLEFINANCE(A313,""name""),"" {Symbol: ""&amp;A313&amp;""} High Alert!! Share Has Reached Its Target Buying Price,""),""""))"),"")</f>
        <v/>
      </c>
      <c r="L313" s="349" t="b">
        <f>IFERROR(__xludf.DUMMYFUNCTION("if(B313= ""Buy"",CONCAT(GOOGLEFINANCE(A313,""NAME""),"" share currently trading at Rs""&amp;C313&amp;"", Which is ""&amp;H313&amp;"" below the Target price of Rs""&amp;D313&amp;"".""))"),FALSE)</f>
        <v>0</v>
      </c>
    </row>
    <row r="314">
      <c r="A314" s="349" t="str">
        <f>Dashboard!B410</f>
        <v/>
      </c>
      <c r="B314" s="349" t="str">
        <f>Dashboard!H410</f>
        <v/>
      </c>
      <c r="C314" s="356" t="str">
        <f>Dashboard!G410</f>
        <v/>
      </c>
      <c r="D314" s="489" t="str">
        <f>Dashboard!M410</f>
        <v/>
      </c>
      <c r="E314" s="490" t="s">
        <v>314</v>
      </c>
      <c r="F314" s="491" t="str">
        <f t="shared" si="1"/>
        <v/>
      </c>
      <c r="G314" s="492" t="s">
        <v>314</v>
      </c>
      <c r="H314" s="349" t="str">
        <f t="shared" si="2"/>
        <v/>
      </c>
      <c r="I314" s="349" t="str">
        <f t="shared" si="3"/>
        <v/>
      </c>
      <c r="J314" s="493"/>
      <c r="K314" s="349" t="str">
        <f>IFERROR(__xludf.DUMMYFUNCTION("if(ISBLANK(A314),"""",if(B314=""Buy"",CONCAT(GOOGLEFINANCE(A314,""name""),"" {Symbol: ""&amp;A314&amp;""} High Alert!! Share Has Reached Its Target Buying Price,""),""""))"),"")</f>
        <v/>
      </c>
      <c r="L314" s="349" t="b">
        <f>IFERROR(__xludf.DUMMYFUNCTION("if(B314= ""Buy"",CONCAT(GOOGLEFINANCE(A314,""NAME""),"" share currently trading at Rs""&amp;C314&amp;"", Which is ""&amp;H314&amp;"" below the Target price of Rs""&amp;D314&amp;"".""))"),FALSE)</f>
        <v>0</v>
      </c>
    </row>
    <row r="315">
      <c r="A315" s="349" t="str">
        <f>Dashboard!B411</f>
        <v/>
      </c>
      <c r="B315" s="349" t="str">
        <f>Dashboard!H411</f>
        <v/>
      </c>
      <c r="C315" s="356" t="str">
        <f>Dashboard!G411</f>
        <v/>
      </c>
      <c r="D315" s="489" t="str">
        <f>Dashboard!M411</f>
        <v/>
      </c>
      <c r="E315" s="490" t="s">
        <v>314</v>
      </c>
      <c r="F315" s="491" t="str">
        <f t="shared" si="1"/>
        <v/>
      </c>
      <c r="G315" s="492" t="s">
        <v>314</v>
      </c>
      <c r="H315" s="349" t="str">
        <f t="shared" si="2"/>
        <v/>
      </c>
      <c r="I315" s="349" t="str">
        <f t="shared" si="3"/>
        <v/>
      </c>
      <c r="J315" s="493"/>
      <c r="K315" s="349" t="str">
        <f>IFERROR(__xludf.DUMMYFUNCTION("if(ISBLANK(A315),"""",if(B315=""Buy"",CONCAT(GOOGLEFINANCE(A315,""name""),"" {Symbol: ""&amp;A315&amp;""} High Alert!! Share Has Reached Its Target Buying Price,""),""""))"),"")</f>
        <v/>
      </c>
      <c r="L315" s="349" t="b">
        <f>IFERROR(__xludf.DUMMYFUNCTION("if(B315= ""Buy"",CONCAT(GOOGLEFINANCE(A315,""NAME""),"" share currently trading at Rs""&amp;C315&amp;"", Which is ""&amp;H315&amp;"" below the Target price of Rs""&amp;D315&amp;"".""))"),FALSE)</f>
        <v>0</v>
      </c>
    </row>
    <row r="316">
      <c r="A316" s="349" t="str">
        <f>Dashboard!B412</f>
        <v/>
      </c>
      <c r="B316" s="349" t="str">
        <f>Dashboard!H412</f>
        <v/>
      </c>
      <c r="C316" s="356" t="str">
        <f>Dashboard!G412</f>
        <v/>
      </c>
      <c r="D316" s="489" t="str">
        <f>Dashboard!M412</f>
        <v/>
      </c>
      <c r="E316" s="490" t="s">
        <v>314</v>
      </c>
      <c r="F316" s="491" t="str">
        <f t="shared" si="1"/>
        <v/>
      </c>
      <c r="G316" s="492" t="s">
        <v>314</v>
      </c>
      <c r="H316" s="349" t="str">
        <f t="shared" si="2"/>
        <v/>
      </c>
      <c r="I316" s="349" t="str">
        <f t="shared" si="3"/>
        <v/>
      </c>
      <c r="J316" s="493"/>
      <c r="K316" s="349" t="str">
        <f>IFERROR(__xludf.DUMMYFUNCTION("if(ISBLANK(A316),"""",if(B316=""Buy"",CONCAT(GOOGLEFINANCE(A316,""name""),"" {Symbol: ""&amp;A316&amp;""} High Alert!! Share Has Reached Its Target Buying Price,""),""""))"),"")</f>
        <v/>
      </c>
      <c r="L316" s="349" t="b">
        <f>IFERROR(__xludf.DUMMYFUNCTION("if(B316= ""Buy"",CONCAT(GOOGLEFINANCE(A316,""NAME""),"" share currently trading at Rs""&amp;C316&amp;"", Which is ""&amp;H316&amp;"" below the Target price of Rs""&amp;D316&amp;"".""))"),FALSE)</f>
        <v>0</v>
      </c>
    </row>
    <row r="317">
      <c r="A317" s="349" t="str">
        <f>Dashboard!B413</f>
        <v/>
      </c>
      <c r="B317" s="349" t="str">
        <f>Dashboard!H413</f>
        <v/>
      </c>
      <c r="C317" s="356" t="str">
        <f>Dashboard!G413</f>
        <v/>
      </c>
      <c r="D317" s="489" t="str">
        <f>Dashboard!M413</f>
        <v/>
      </c>
      <c r="E317" s="490" t="s">
        <v>314</v>
      </c>
      <c r="F317" s="491" t="str">
        <f t="shared" si="1"/>
        <v/>
      </c>
      <c r="G317" s="492" t="s">
        <v>314</v>
      </c>
      <c r="H317" s="349" t="str">
        <f t="shared" si="2"/>
        <v/>
      </c>
      <c r="I317" s="349" t="str">
        <f t="shared" si="3"/>
        <v/>
      </c>
      <c r="J317" s="493"/>
      <c r="K317" s="349" t="str">
        <f>IFERROR(__xludf.DUMMYFUNCTION("if(ISBLANK(A317),"""",if(B317=""Buy"",CONCAT(GOOGLEFINANCE(A317,""name""),"" {Symbol: ""&amp;A317&amp;""} High Alert!! Share Has Reached Its Target Buying Price,""),""""))"),"")</f>
        <v/>
      </c>
      <c r="L317" s="349" t="b">
        <f>IFERROR(__xludf.DUMMYFUNCTION("if(B317= ""Buy"",CONCAT(GOOGLEFINANCE(A317,""NAME""),"" share currently trading at Rs""&amp;C317&amp;"", Which is ""&amp;H317&amp;"" below the Target price of Rs""&amp;D317&amp;"".""))"),FALSE)</f>
        <v>0</v>
      </c>
    </row>
    <row r="318">
      <c r="A318" s="349" t="str">
        <f>Dashboard!B414</f>
        <v/>
      </c>
      <c r="B318" s="349" t="str">
        <f>Dashboard!H414</f>
        <v/>
      </c>
      <c r="C318" s="356" t="str">
        <f>Dashboard!G414</f>
        <v/>
      </c>
      <c r="D318" s="489" t="str">
        <f>Dashboard!M414</f>
        <v/>
      </c>
      <c r="E318" s="490" t="s">
        <v>314</v>
      </c>
      <c r="F318" s="491" t="str">
        <f t="shared" si="1"/>
        <v/>
      </c>
      <c r="G318" s="492" t="s">
        <v>314</v>
      </c>
      <c r="H318" s="349" t="str">
        <f t="shared" si="2"/>
        <v/>
      </c>
      <c r="I318" s="349" t="str">
        <f t="shared" si="3"/>
        <v/>
      </c>
      <c r="J318" s="493"/>
      <c r="K318" s="349" t="str">
        <f>IFERROR(__xludf.DUMMYFUNCTION("if(ISBLANK(A318),"""",if(B318=""Buy"",CONCAT(GOOGLEFINANCE(A318,""name""),"" {Symbol: ""&amp;A318&amp;""} High Alert!! Share Has Reached Its Target Buying Price,""),""""))"),"")</f>
        <v/>
      </c>
      <c r="L318" s="349" t="b">
        <f>IFERROR(__xludf.DUMMYFUNCTION("if(B318= ""Buy"",CONCAT(GOOGLEFINANCE(A318,""NAME""),"" share currently trading at Rs""&amp;C318&amp;"", Which is ""&amp;H318&amp;"" below the Target price of Rs""&amp;D318&amp;"".""))"),FALSE)</f>
        <v>0</v>
      </c>
    </row>
    <row r="319">
      <c r="A319" s="349" t="str">
        <f>Dashboard!B415</f>
        <v/>
      </c>
      <c r="B319" s="349" t="str">
        <f>Dashboard!H415</f>
        <v/>
      </c>
      <c r="C319" s="356" t="str">
        <f>Dashboard!G415</f>
        <v/>
      </c>
      <c r="D319" s="489" t="str">
        <f>Dashboard!M415</f>
        <v/>
      </c>
      <c r="E319" s="490" t="s">
        <v>314</v>
      </c>
      <c r="F319" s="491" t="str">
        <f t="shared" si="1"/>
        <v/>
      </c>
      <c r="G319" s="492" t="s">
        <v>314</v>
      </c>
      <c r="H319" s="349" t="str">
        <f t="shared" si="2"/>
        <v/>
      </c>
      <c r="I319" s="349" t="str">
        <f t="shared" si="3"/>
        <v/>
      </c>
      <c r="J319" s="493"/>
      <c r="K319" s="349" t="str">
        <f>IFERROR(__xludf.DUMMYFUNCTION("if(ISBLANK(A319),"""",if(B319=""Buy"",CONCAT(GOOGLEFINANCE(A319,""name""),"" {Symbol: ""&amp;A319&amp;""} High Alert!! Share Has Reached Its Target Buying Price,""),""""))"),"")</f>
        <v/>
      </c>
      <c r="L319" s="349" t="b">
        <f>IFERROR(__xludf.DUMMYFUNCTION("if(B319= ""Buy"",CONCAT(GOOGLEFINANCE(A319,""NAME""),"" share currently trading at Rs""&amp;C319&amp;"", Which is ""&amp;H319&amp;"" below the Target price of Rs""&amp;D319&amp;"".""))"),FALSE)</f>
        <v>0</v>
      </c>
    </row>
    <row r="320">
      <c r="A320" s="349" t="str">
        <f>Dashboard!B416</f>
        <v/>
      </c>
      <c r="B320" s="349" t="str">
        <f>Dashboard!H416</f>
        <v/>
      </c>
      <c r="C320" s="356" t="str">
        <f>Dashboard!G416</f>
        <v/>
      </c>
      <c r="D320" s="489" t="str">
        <f>Dashboard!M416</f>
        <v/>
      </c>
      <c r="E320" s="490" t="s">
        <v>314</v>
      </c>
      <c r="F320" s="491" t="str">
        <f t="shared" si="1"/>
        <v/>
      </c>
      <c r="G320" s="492" t="s">
        <v>314</v>
      </c>
      <c r="H320" s="349" t="str">
        <f t="shared" si="2"/>
        <v/>
      </c>
      <c r="I320" s="349" t="str">
        <f t="shared" si="3"/>
        <v/>
      </c>
      <c r="J320" s="493"/>
      <c r="K320" s="349" t="str">
        <f>IFERROR(__xludf.DUMMYFUNCTION("if(ISBLANK(A320),"""",if(B320=""Buy"",CONCAT(GOOGLEFINANCE(A320,""name""),"" {Symbol: ""&amp;A320&amp;""} High Alert!! Share Has Reached Its Target Buying Price,""),""""))"),"")</f>
        <v/>
      </c>
      <c r="L320" s="349" t="b">
        <f>IFERROR(__xludf.DUMMYFUNCTION("if(B320= ""Buy"",CONCAT(GOOGLEFINANCE(A320,""NAME""),"" share currently trading at Rs""&amp;C320&amp;"", Which is ""&amp;H320&amp;"" below the Target price of Rs""&amp;D320&amp;"".""))"),FALSE)</f>
        <v>0</v>
      </c>
    </row>
    <row r="321">
      <c r="A321" s="349" t="str">
        <f>Dashboard!B417</f>
        <v/>
      </c>
      <c r="B321" s="349" t="str">
        <f>Dashboard!H417</f>
        <v/>
      </c>
      <c r="C321" s="356" t="str">
        <f>Dashboard!G417</f>
        <v/>
      </c>
      <c r="D321" s="489" t="str">
        <f>Dashboard!M417</f>
        <v/>
      </c>
      <c r="E321" s="490" t="s">
        <v>314</v>
      </c>
      <c r="F321" s="491" t="str">
        <f t="shared" si="1"/>
        <v/>
      </c>
      <c r="G321" s="492" t="s">
        <v>314</v>
      </c>
      <c r="H321" s="349" t="str">
        <f t="shared" si="2"/>
        <v/>
      </c>
      <c r="I321" s="349" t="str">
        <f t="shared" si="3"/>
        <v/>
      </c>
      <c r="J321" s="493"/>
      <c r="K321" s="349" t="str">
        <f>IFERROR(__xludf.DUMMYFUNCTION("if(ISBLANK(A321),"""",if(B321=""Buy"",CONCAT(GOOGLEFINANCE(A321,""name""),"" {Symbol: ""&amp;A321&amp;""} High Alert!! Share Has Reached Its Target Buying Price,""),""""))"),"")</f>
        <v/>
      </c>
      <c r="L321" s="349" t="b">
        <f>IFERROR(__xludf.DUMMYFUNCTION("if(B321= ""Buy"",CONCAT(GOOGLEFINANCE(A321,""NAME""),"" share currently trading at Rs""&amp;C321&amp;"", Which is ""&amp;H321&amp;"" below the Target price of Rs""&amp;D321&amp;"".""))"),FALSE)</f>
        <v>0</v>
      </c>
    </row>
    <row r="322">
      <c r="A322" s="349" t="str">
        <f>Dashboard!B418</f>
        <v/>
      </c>
      <c r="B322" s="349" t="str">
        <f>Dashboard!H418</f>
        <v/>
      </c>
      <c r="C322" s="356" t="str">
        <f>Dashboard!G418</f>
        <v/>
      </c>
      <c r="D322" s="489" t="str">
        <f>Dashboard!M418</f>
        <v/>
      </c>
      <c r="E322" s="490" t="s">
        <v>314</v>
      </c>
      <c r="F322" s="491" t="str">
        <f t="shared" si="1"/>
        <v/>
      </c>
      <c r="G322" s="492" t="s">
        <v>314</v>
      </c>
      <c r="H322" s="349" t="str">
        <f t="shared" si="2"/>
        <v/>
      </c>
      <c r="I322" s="349" t="str">
        <f t="shared" si="3"/>
        <v/>
      </c>
      <c r="J322" s="493"/>
      <c r="K322" s="349" t="str">
        <f>IFERROR(__xludf.DUMMYFUNCTION("if(ISBLANK(A322),"""",if(B322=""Buy"",CONCAT(GOOGLEFINANCE(A322,""name""),"" {Symbol: ""&amp;A322&amp;""} High Alert!! Share Has Reached Its Target Buying Price,""),""""))"),"")</f>
        <v/>
      </c>
      <c r="L322" s="349" t="b">
        <f>IFERROR(__xludf.DUMMYFUNCTION("if(B322= ""Buy"",CONCAT(GOOGLEFINANCE(A322,""NAME""),"" share currently trading at Rs""&amp;C322&amp;"", Which is ""&amp;H322&amp;"" below the Target price of Rs""&amp;D322&amp;"".""))"),FALSE)</f>
        <v>0</v>
      </c>
    </row>
    <row r="323">
      <c r="A323" s="349" t="str">
        <f>Dashboard!B419</f>
        <v/>
      </c>
      <c r="B323" s="349" t="str">
        <f>Dashboard!H419</f>
        <v/>
      </c>
      <c r="C323" s="356" t="str">
        <f>Dashboard!G419</f>
        <v/>
      </c>
      <c r="D323" s="489" t="str">
        <f>Dashboard!M419</f>
        <v/>
      </c>
      <c r="E323" s="490" t="s">
        <v>314</v>
      </c>
      <c r="F323" s="491" t="str">
        <f t="shared" si="1"/>
        <v/>
      </c>
      <c r="G323" s="492" t="s">
        <v>314</v>
      </c>
      <c r="H323" s="349" t="str">
        <f t="shared" si="2"/>
        <v/>
      </c>
      <c r="I323" s="349" t="str">
        <f t="shared" si="3"/>
        <v/>
      </c>
      <c r="J323" s="493"/>
      <c r="K323" s="349" t="str">
        <f>IFERROR(__xludf.DUMMYFUNCTION("if(ISBLANK(A323),"""",if(B323=""Buy"",CONCAT(GOOGLEFINANCE(A323,""name""),"" {Symbol: ""&amp;A323&amp;""} High Alert!! Share Has Reached Its Target Buying Price,""),""""))"),"")</f>
        <v/>
      </c>
      <c r="L323" s="349" t="b">
        <f>IFERROR(__xludf.DUMMYFUNCTION("if(B323= ""Buy"",CONCAT(GOOGLEFINANCE(A323,""NAME""),"" share currently trading at Rs""&amp;C323&amp;"", Which is ""&amp;H323&amp;"" below the Target price of Rs""&amp;D323&amp;"".""))"),FALSE)</f>
        <v>0</v>
      </c>
    </row>
    <row r="324">
      <c r="A324" s="349" t="str">
        <f>Dashboard!B420</f>
        <v/>
      </c>
      <c r="B324" s="349" t="str">
        <f>Dashboard!H420</f>
        <v/>
      </c>
      <c r="C324" s="356" t="str">
        <f>Dashboard!G420</f>
        <v/>
      </c>
      <c r="D324" s="489" t="str">
        <f>Dashboard!M420</f>
        <v/>
      </c>
      <c r="E324" s="490" t="s">
        <v>314</v>
      </c>
      <c r="F324" s="491" t="str">
        <f t="shared" si="1"/>
        <v/>
      </c>
      <c r="G324" s="492" t="s">
        <v>314</v>
      </c>
      <c r="H324" s="349" t="str">
        <f t="shared" si="2"/>
        <v/>
      </c>
      <c r="I324" s="349" t="str">
        <f t="shared" si="3"/>
        <v/>
      </c>
      <c r="J324" s="493"/>
      <c r="K324" s="349" t="str">
        <f>IFERROR(__xludf.DUMMYFUNCTION("if(ISBLANK(A324),"""",if(B324=""Buy"",CONCAT(GOOGLEFINANCE(A324,""name""),"" {Symbol: ""&amp;A324&amp;""} High Alert!! Share Has Reached Its Target Buying Price,""),""""))"),"")</f>
        <v/>
      </c>
      <c r="L324" s="349" t="b">
        <f>IFERROR(__xludf.DUMMYFUNCTION("if(B324= ""Buy"",CONCAT(GOOGLEFINANCE(A324,""NAME""),"" share currently trading at Rs""&amp;C324&amp;"", Which is ""&amp;H324&amp;"" below the Target price of Rs""&amp;D324&amp;"".""))"),FALSE)</f>
        <v>0</v>
      </c>
    </row>
    <row r="325">
      <c r="A325" s="349" t="str">
        <f>Dashboard!B421</f>
        <v/>
      </c>
      <c r="B325" s="349" t="str">
        <f>Dashboard!H421</f>
        <v/>
      </c>
      <c r="C325" s="356" t="str">
        <f>Dashboard!G421</f>
        <v/>
      </c>
      <c r="D325" s="489" t="str">
        <f>Dashboard!M421</f>
        <v/>
      </c>
      <c r="E325" s="490" t="s">
        <v>314</v>
      </c>
      <c r="F325" s="491" t="str">
        <f t="shared" si="1"/>
        <v/>
      </c>
      <c r="G325" s="492" t="s">
        <v>314</v>
      </c>
      <c r="H325" s="349" t="str">
        <f t="shared" si="2"/>
        <v/>
      </c>
      <c r="I325" s="349" t="str">
        <f t="shared" si="3"/>
        <v/>
      </c>
      <c r="J325" s="493"/>
      <c r="K325" s="349" t="str">
        <f>IFERROR(__xludf.DUMMYFUNCTION("if(ISBLANK(A325),"""",if(B325=""Buy"",CONCAT(GOOGLEFINANCE(A325,""name""),"" {Symbol: ""&amp;A325&amp;""} High Alert!! Share Has Reached Its Target Buying Price,""),""""))"),"")</f>
        <v/>
      </c>
      <c r="L325" s="349" t="b">
        <f>IFERROR(__xludf.DUMMYFUNCTION("if(B325= ""Buy"",CONCAT(GOOGLEFINANCE(A325,""NAME""),"" share currently trading at Rs""&amp;C325&amp;"", Which is ""&amp;H325&amp;"" below the Target price of Rs""&amp;D325&amp;"".""))"),FALSE)</f>
        <v>0</v>
      </c>
    </row>
    <row r="326">
      <c r="A326" s="349" t="str">
        <f>Dashboard!B422</f>
        <v/>
      </c>
      <c r="B326" s="349" t="str">
        <f>Dashboard!H422</f>
        <v/>
      </c>
      <c r="C326" s="356" t="str">
        <f>Dashboard!G422</f>
        <v/>
      </c>
      <c r="D326" s="489" t="str">
        <f>Dashboard!M422</f>
        <v/>
      </c>
      <c r="E326" s="490" t="s">
        <v>314</v>
      </c>
      <c r="F326" s="491" t="str">
        <f t="shared" si="1"/>
        <v/>
      </c>
      <c r="G326" s="492" t="s">
        <v>314</v>
      </c>
      <c r="H326" s="349" t="str">
        <f t="shared" si="2"/>
        <v/>
      </c>
      <c r="I326" s="349" t="str">
        <f t="shared" si="3"/>
        <v/>
      </c>
      <c r="J326" s="493"/>
      <c r="K326" s="349" t="str">
        <f>IFERROR(__xludf.DUMMYFUNCTION("if(ISBLANK(A326),"""",if(B326=""Buy"",CONCAT(GOOGLEFINANCE(A326,""name""),"" {Symbol: ""&amp;A326&amp;""} High Alert!! Share Has Reached Its Target Buying Price,""),""""))"),"")</f>
        <v/>
      </c>
      <c r="L326" s="349" t="b">
        <f>IFERROR(__xludf.DUMMYFUNCTION("if(B326= ""Buy"",CONCAT(GOOGLEFINANCE(A326,""NAME""),"" share currently trading at Rs""&amp;C326&amp;"", Which is ""&amp;H326&amp;"" below the Target price of Rs""&amp;D326&amp;"".""))"),FALSE)</f>
        <v>0</v>
      </c>
    </row>
    <row r="327">
      <c r="A327" s="349" t="str">
        <f>Dashboard!B423</f>
        <v/>
      </c>
      <c r="B327" s="349" t="str">
        <f>Dashboard!H423</f>
        <v/>
      </c>
      <c r="C327" s="356" t="str">
        <f>Dashboard!G423</f>
        <v/>
      </c>
      <c r="D327" s="489" t="str">
        <f>Dashboard!M423</f>
        <v/>
      </c>
      <c r="E327" s="490" t="s">
        <v>314</v>
      </c>
      <c r="F327" s="491" t="str">
        <f t="shared" si="1"/>
        <v/>
      </c>
      <c r="G327" s="492" t="s">
        <v>314</v>
      </c>
      <c r="H327" s="349" t="str">
        <f t="shared" si="2"/>
        <v/>
      </c>
      <c r="I327" s="349" t="str">
        <f t="shared" si="3"/>
        <v/>
      </c>
      <c r="J327" s="493"/>
      <c r="K327" s="349" t="str">
        <f>IFERROR(__xludf.DUMMYFUNCTION("if(ISBLANK(A327),"""",if(B327=""Buy"",CONCAT(GOOGLEFINANCE(A327,""name""),"" {Symbol: ""&amp;A327&amp;""} High Alert!! Share Has Reached Its Target Buying Price,""),""""))"),"")</f>
        <v/>
      </c>
      <c r="L327" s="349" t="b">
        <f>IFERROR(__xludf.DUMMYFUNCTION("if(B327= ""Buy"",CONCAT(GOOGLEFINANCE(A327,""NAME""),"" share currently trading at Rs""&amp;C327&amp;"", Which is ""&amp;H327&amp;"" below the Target price of Rs""&amp;D327&amp;"".""))"),FALSE)</f>
        <v>0</v>
      </c>
    </row>
    <row r="328">
      <c r="A328" s="349" t="str">
        <f>Dashboard!B424</f>
        <v/>
      </c>
      <c r="B328" s="349" t="str">
        <f>Dashboard!H424</f>
        <v/>
      </c>
      <c r="C328" s="356" t="str">
        <f>Dashboard!G424</f>
        <v/>
      </c>
      <c r="D328" s="489" t="str">
        <f>Dashboard!M424</f>
        <v/>
      </c>
      <c r="E328" s="490" t="s">
        <v>314</v>
      </c>
      <c r="F328" s="491" t="str">
        <f t="shared" si="1"/>
        <v/>
      </c>
      <c r="G328" s="492" t="s">
        <v>314</v>
      </c>
      <c r="H328" s="349" t="str">
        <f t="shared" si="2"/>
        <v/>
      </c>
      <c r="I328" s="349" t="str">
        <f t="shared" si="3"/>
        <v/>
      </c>
      <c r="J328" s="493"/>
      <c r="K328" s="349" t="str">
        <f>IFERROR(__xludf.DUMMYFUNCTION("if(ISBLANK(A328),"""",if(B328=""Buy"",CONCAT(GOOGLEFINANCE(A328,""name""),"" {Symbol: ""&amp;A328&amp;""} High Alert!! Share Has Reached Its Target Buying Price,""),""""))"),"")</f>
        <v/>
      </c>
      <c r="L328" s="349" t="b">
        <f>IFERROR(__xludf.DUMMYFUNCTION("if(B328= ""Buy"",CONCAT(GOOGLEFINANCE(A328,""NAME""),"" share currently trading at Rs""&amp;C328&amp;"", Which is ""&amp;H328&amp;"" below the Target price of Rs""&amp;D328&amp;"".""))"),FALSE)</f>
        <v>0</v>
      </c>
    </row>
    <row r="329">
      <c r="A329" s="349" t="str">
        <f>Dashboard!B425</f>
        <v/>
      </c>
      <c r="B329" s="349" t="str">
        <f>Dashboard!H425</f>
        <v/>
      </c>
      <c r="C329" s="356" t="str">
        <f>Dashboard!G425</f>
        <v/>
      </c>
      <c r="D329" s="489" t="str">
        <f>Dashboard!M425</f>
        <v/>
      </c>
      <c r="E329" s="490" t="s">
        <v>314</v>
      </c>
      <c r="F329" s="491" t="str">
        <f t="shared" si="1"/>
        <v/>
      </c>
      <c r="G329" s="492" t="s">
        <v>314</v>
      </c>
      <c r="H329" s="349" t="str">
        <f t="shared" si="2"/>
        <v/>
      </c>
      <c r="I329" s="349" t="str">
        <f t="shared" si="3"/>
        <v/>
      </c>
      <c r="J329" s="493"/>
      <c r="K329" s="349" t="str">
        <f>IFERROR(__xludf.DUMMYFUNCTION("if(ISBLANK(A329),"""",if(B329=""Buy"",CONCAT(GOOGLEFINANCE(A329,""name""),"" {Symbol: ""&amp;A329&amp;""} High Alert!! Share Has Reached Its Target Buying Price,""),""""))"),"")</f>
        <v/>
      </c>
      <c r="L329" s="349" t="b">
        <f>IFERROR(__xludf.DUMMYFUNCTION("if(B329= ""Buy"",CONCAT(GOOGLEFINANCE(A329,""NAME""),"" share currently trading at Rs""&amp;C329&amp;"", Which is ""&amp;H329&amp;"" below the Target price of Rs""&amp;D329&amp;"".""))"),FALSE)</f>
        <v>0</v>
      </c>
    </row>
    <row r="330">
      <c r="A330" s="349" t="str">
        <f>Dashboard!B426</f>
        <v/>
      </c>
      <c r="B330" s="349" t="str">
        <f>Dashboard!H426</f>
        <v/>
      </c>
      <c r="C330" s="356" t="str">
        <f>Dashboard!G426</f>
        <v/>
      </c>
      <c r="D330" s="489" t="str">
        <f>Dashboard!M426</f>
        <v/>
      </c>
      <c r="E330" s="490" t="s">
        <v>314</v>
      </c>
      <c r="F330" s="491" t="str">
        <f t="shared" si="1"/>
        <v/>
      </c>
      <c r="G330" s="492" t="s">
        <v>314</v>
      </c>
      <c r="H330" s="349" t="str">
        <f t="shared" si="2"/>
        <v/>
      </c>
      <c r="I330" s="349" t="str">
        <f t="shared" si="3"/>
        <v/>
      </c>
      <c r="J330" s="493"/>
      <c r="K330" s="349" t="str">
        <f>IFERROR(__xludf.DUMMYFUNCTION("if(ISBLANK(A330),"""",if(B330=""Buy"",CONCAT(GOOGLEFINANCE(A330,""name""),"" {Symbol: ""&amp;A330&amp;""} High Alert!! Share Has Reached Its Target Buying Price,""),""""))"),"")</f>
        <v/>
      </c>
      <c r="L330" s="349" t="b">
        <f>IFERROR(__xludf.DUMMYFUNCTION("if(B330= ""Buy"",CONCAT(GOOGLEFINANCE(A330,""NAME""),"" share currently trading at Rs""&amp;C330&amp;"", Which is ""&amp;H330&amp;"" below the Target price of Rs""&amp;D330&amp;"".""))"),FALSE)</f>
        <v>0</v>
      </c>
    </row>
    <row r="331">
      <c r="A331" s="349" t="str">
        <f>Dashboard!B427</f>
        <v/>
      </c>
      <c r="B331" s="349" t="str">
        <f>Dashboard!H427</f>
        <v/>
      </c>
      <c r="C331" s="356" t="str">
        <f>Dashboard!G427</f>
        <v/>
      </c>
      <c r="D331" s="489" t="str">
        <f>Dashboard!M427</f>
        <v/>
      </c>
      <c r="E331" s="490" t="s">
        <v>314</v>
      </c>
      <c r="F331" s="491" t="str">
        <f t="shared" si="1"/>
        <v/>
      </c>
      <c r="G331" s="492" t="s">
        <v>314</v>
      </c>
      <c r="H331" s="349" t="str">
        <f t="shared" si="2"/>
        <v/>
      </c>
      <c r="I331" s="349" t="str">
        <f t="shared" si="3"/>
        <v/>
      </c>
      <c r="J331" s="493"/>
      <c r="K331" s="349" t="str">
        <f>IFERROR(__xludf.DUMMYFUNCTION("if(ISBLANK(A331),"""",if(B331=""Buy"",CONCAT(GOOGLEFINANCE(A331,""name""),"" {Symbol: ""&amp;A331&amp;""} High Alert!! Share Has Reached Its Target Buying Price,""),""""))"),"")</f>
        <v/>
      </c>
      <c r="L331" s="349" t="b">
        <f>IFERROR(__xludf.DUMMYFUNCTION("if(B331= ""Buy"",CONCAT(GOOGLEFINANCE(A331,""NAME""),"" share currently trading at Rs""&amp;C331&amp;"", Which is ""&amp;H331&amp;"" below the Target price of Rs""&amp;D331&amp;"".""))"),FALSE)</f>
        <v>0</v>
      </c>
    </row>
    <row r="332">
      <c r="A332" s="349" t="str">
        <f>Dashboard!B428</f>
        <v/>
      </c>
      <c r="B332" s="349" t="str">
        <f>Dashboard!H428</f>
        <v/>
      </c>
      <c r="C332" s="356" t="str">
        <f>Dashboard!G428</f>
        <v/>
      </c>
      <c r="D332" s="489" t="str">
        <f>Dashboard!M428</f>
        <v/>
      </c>
      <c r="E332" s="490" t="s">
        <v>314</v>
      </c>
      <c r="F332" s="491" t="str">
        <f t="shared" si="1"/>
        <v/>
      </c>
      <c r="G332" s="492" t="s">
        <v>314</v>
      </c>
      <c r="H332" s="349" t="str">
        <f t="shared" si="2"/>
        <v/>
      </c>
      <c r="I332" s="349" t="str">
        <f t="shared" si="3"/>
        <v/>
      </c>
      <c r="J332" s="493"/>
      <c r="K332" s="349" t="str">
        <f>IFERROR(__xludf.DUMMYFUNCTION("if(ISBLANK(A332),"""",if(B332=""Buy"",CONCAT(GOOGLEFINANCE(A332,""name""),"" {Symbol: ""&amp;A332&amp;""} High Alert!! Share Has Reached Its Target Buying Price,""),""""))"),"")</f>
        <v/>
      </c>
      <c r="L332" s="349" t="b">
        <f>IFERROR(__xludf.DUMMYFUNCTION("if(B332= ""Buy"",CONCAT(GOOGLEFINANCE(A332,""NAME""),"" share currently trading at Rs""&amp;C332&amp;"", Which is ""&amp;H332&amp;"" below the Target price of Rs""&amp;D332&amp;"".""))"),FALSE)</f>
        <v>0</v>
      </c>
    </row>
    <row r="333">
      <c r="A333" s="349" t="str">
        <f>Dashboard!B429</f>
        <v/>
      </c>
      <c r="B333" s="349" t="str">
        <f>Dashboard!H429</f>
        <v/>
      </c>
      <c r="C333" s="356" t="str">
        <f>Dashboard!G429</f>
        <v/>
      </c>
      <c r="D333" s="489" t="str">
        <f>Dashboard!M429</f>
        <v/>
      </c>
      <c r="E333" s="490" t="s">
        <v>314</v>
      </c>
      <c r="F333" s="491" t="str">
        <f t="shared" si="1"/>
        <v/>
      </c>
      <c r="G333" s="492" t="s">
        <v>314</v>
      </c>
      <c r="H333" s="349" t="str">
        <f t="shared" si="2"/>
        <v/>
      </c>
      <c r="I333" s="349" t="str">
        <f t="shared" si="3"/>
        <v/>
      </c>
      <c r="J333" s="493"/>
      <c r="K333" s="349" t="str">
        <f>IFERROR(__xludf.DUMMYFUNCTION("if(ISBLANK(A333),"""",if(B333=""Buy"",CONCAT(GOOGLEFINANCE(A333,""name""),"" {Symbol: ""&amp;A333&amp;""} High Alert!! Share Has Reached Its Target Buying Price,""),""""))"),"")</f>
        <v/>
      </c>
      <c r="L333" s="349" t="b">
        <f>IFERROR(__xludf.DUMMYFUNCTION("if(B333= ""Buy"",CONCAT(GOOGLEFINANCE(A333,""NAME""),"" share currently trading at Rs""&amp;C333&amp;"", Which is ""&amp;H333&amp;"" below the Target price of Rs""&amp;D333&amp;"".""))"),FALSE)</f>
        <v>0</v>
      </c>
    </row>
    <row r="334">
      <c r="A334" s="349" t="str">
        <f>Dashboard!B430</f>
        <v/>
      </c>
      <c r="B334" s="349" t="str">
        <f>Dashboard!H430</f>
        <v/>
      </c>
      <c r="C334" s="356" t="str">
        <f>Dashboard!G430</f>
        <v/>
      </c>
      <c r="D334" s="489" t="str">
        <f>Dashboard!M430</f>
        <v/>
      </c>
      <c r="E334" s="490" t="s">
        <v>314</v>
      </c>
      <c r="F334" s="491" t="str">
        <f t="shared" si="1"/>
        <v/>
      </c>
      <c r="G334" s="492" t="s">
        <v>314</v>
      </c>
      <c r="H334" s="349" t="str">
        <f t="shared" si="2"/>
        <v/>
      </c>
      <c r="I334" s="349" t="str">
        <f t="shared" si="3"/>
        <v/>
      </c>
      <c r="J334" s="493"/>
      <c r="K334" s="349" t="str">
        <f>IFERROR(__xludf.DUMMYFUNCTION("if(ISBLANK(A334),"""",if(B334=""Buy"",CONCAT(GOOGLEFINANCE(A334,""name""),"" {Symbol: ""&amp;A334&amp;""} High Alert!! Share Has Reached Its Target Buying Price,""),""""))"),"")</f>
        <v/>
      </c>
      <c r="L334" s="349" t="b">
        <f>IFERROR(__xludf.DUMMYFUNCTION("if(B334= ""Buy"",CONCAT(GOOGLEFINANCE(A334,""NAME""),"" share currently trading at Rs""&amp;C334&amp;"", Which is ""&amp;H334&amp;"" below the Target price of Rs""&amp;D334&amp;"".""))"),FALSE)</f>
        <v>0</v>
      </c>
    </row>
    <row r="335">
      <c r="A335" s="349" t="str">
        <f>Dashboard!B431</f>
        <v/>
      </c>
      <c r="B335" s="349" t="str">
        <f>Dashboard!H431</f>
        <v/>
      </c>
      <c r="C335" s="356" t="str">
        <f>Dashboard!G431</f>
        <v/>
      </c>
      <c r="D335" s="489" t="str">
        <f>Dashboard!M431</f>
        <v/>
      </c>
      <c r="E335" s="490" t="s">
        <v>314</v>
      </c>
      <c r="F335" s="491" t="str">
        <f t="shared" si="1"/>
        <v/>
      </c>
      <c r="G335" s="492" t="s">
        <v>314</v>
      </c>
      <c r="H335" s="349" t="str">
        <f t="shared" si="2"/>
        <v/>
      </c>
      <c r="I335" s="349" t="str">
        <f t="shared" si="3"/>
        <v/>
      </c>
      <c r="J335" s="493"/>
      <c r="K335" s="349" t="str">
        <f>IFERROR(__xludf.DUMMYFUNCTION("if(ISBLANK(A335),"""",if(B335=""Buy"",CONCAT(GOOGLEFINANCE(A335,""name""),"" {Symbol: ""&amp;A335&amp;""} High Alert!! Share Has Reached Its Target Buying Price,""),""""))"),"")</f>
        <v/>
      </c>
      <c r="L335" s="349" t="b">
        <f>IFERROR(__xludf.DUMMYFUNCTION("if(B335= ""Buy"",CONCAT(GOOGLEFINANCE(A335,""NAME""),"" share currently trading at Rs""&amp;C335&amp;"", Which is ""&amp;H335&amp;"" below the Target price of Rs""&amp;D335&amp;"".""))"),FALSE)</f>
        <v>0</v>
      </c>
    </row>
    <row r="336">
      <c r="A336" s="349" t="str">
        <f>Dashboard!B432</f>
        <v/>
      </c>
      <c r="B336" s="349" t="str">
        <f>Dashboard!H432</f>
        <v/>
      </c>
      <c r="C336" s="356" t="str">
        <f>Dashboard!G432</f>
        <v/>
      </c>
      <c r="D336" s="489" t="str">
        <f>Dashboard!M432</f>
        <v/>
      </c>
      <c r="E336" s="490" t="s">
        <v>314</v>
      </c>
      <c r="F336" s="491" t="str">
        <f t="shared" si="1"/>
        <v/>
      </c>
      <c r="G336" s="492" t="s">
        <v>314</v>
      </c>
      <c r="H336" s="349" t="str">
        <f t="shared" si="2"/>
        <v/>
      </c>
      <c r="I336" s="349" t="str">
        <f t="shared" si="3"/>
        <v/>
      </c>
      <c r="J336" s="493"/>
      <c r="K336" s="349" t="str">
        <f>IFERROR(__xludf.DUMMYFUNCTION("if(ISBLANK(A336),"""",if(B336=""Buy"",CONCAT(GOOGLEFINANCE(A336,""name""),"" {Symbol: ""&amp;A336&amp;""} High Alert!! Share Has Reached Its Target Buying Price,""),""""))"),"")</f>
        <v/>
      </c>
      <c r="L336" s="349" t="b">
        <f>IFERROR(__xludf.DUMMYFUNCTION("if(B336= ""Buy"",CONCAT(GOOGLEFINANCE(A336,""NAME""),"" share currently trading at Rs""&amp;C336&amp;"", Which is ""&amp;H336&amp;"" below the Target price of Rs""&amp;D336&amp;"".""))"),FALSE)</f>
        <v>0</v>
      </c>
    </row>
    <row r="337">
      <c r="A337" s="349" t="str">
        <f>Dashboard!B433</f>
        <v/>
      </c>
      <c r="B337" s="349" t="str">
        <f>Dashboard!H433</f>
        <v/>
      </c>
      <c r="C337" s="356" t="str">
        <f>Dashboard!G433</f>
        <v/>
      </c>
      <c r="D337" s="489" t="str">
        <f>Dashboard!M433</f>
        <v/>
      </c>
      <c r="E337" s="490" t="s">
        <v>314</v>
      </c>
      <c r="F337" s="491" t="str">
        <f t="shared" si="1"/>
        <v/>
      </c>
      <c r="G337" s="492" t="s">
        <v>314</v>
      </c>
      <c r="H337" s="349" t="str">
        <f t="shared" si="2"/>
        <v/>
      </c>
      <c r="I337" s="349" t="str">
        <f t="shared" si="3"/>
        <v/>
      </c>
      <c r="J337" s="493"/>
      <c r="K337" s="349" t="str">
        <f>IFERROR(__xludf.DUMMYFUNCTION("if(ISBLANK(A337),"""",if(B337=""Buy"",CONCAT(GOOGLEFINANCE(A337,""name""),"" {Symbol: ""&amp;A337&amp;""} High Alert!! Share Has Reached Its Target Buying Price,""),""""))"),"")</f>
        <v/>
      </c>
      <c r="L337" s="349" t="b">
        <f>IFERROR(__xludf.DUMMYFUNCTION("if(B337= ""Buy"",CONCAT(GOOGLEFINANCE(A337,""NAME""),"" share currently trading at Rs""&amp;C337&amp;"", Which is ""&amp;H337&amp;"" below the Target price of Rs""&amp;D337&amp;"".""))"),FALSE)</f>
        <v>0</v>
      </c>
    </row>
    <row r="338">
      <c r="A338" s="349" t="str">
        <f>Dashboard!B434</f>
        <v/>
      </c>
      <c r="B338" s="349" t="str">
        <f>Dashboard!H434</f>
        <v/>
      </c>
      <c r="C338" s="356" t="str">
        <f>Dashboard!G434</f>
        <v/>
      </c>
      <c r="D338" s="489" t="str">
        <f>Dashboard!M434</f>
        <v/>
      </c>
      <c r="E338" s="490" t="s">
        <v>314</v>
      </c>
      <c r="F338" s="491" t="str">
        <f t="shared" si="1"/>
        <v/>
      </c>
      <c r="G338" s="492" t="s">
        <v>314</v>
      </c>
      <c r="H338" s="349" t="str">
        <f t="shared" si="2"/>
        <v/>
      </c>
      <c r="I338" s="349" t="str">
        <f t="shared" si="3"/>
        <v/>
      </c>
      <c r="J338" s="493"/>
      <c r="K338" s="349" t="str">
        <f>IFERROR(__xludf.DUMMYFUNCTION("if(ISBLANK(A338),"""",if(B338=""Buy"",CONCAT(GOOGLEFINANCE(A338,""name""),"" {Symbol: ""&amp;A338&amp;""} High Alert!! Share Has Reached Its Target Buying Price,""),""""))"),"")</f>
        <v/>
      </c>
      <c r="L338" s="349" t="b">
        <f>IFERROR(__xludf.DUMMYFUNCTION("if(B338= ""Buy"",CONCAT(GOOGLEFINANCE(A338,""NAME""),"" share currently trading at Rs""&amp;C338&amp;"", Which is ""&amp;H338&amp;"" below the Target price of Rs""&amp;D338&amp;"".""))"),FALSE)</f>
        <v>0</v>
      </c>
    </row>
    <row r="339">
      <c r="A339" s="349" t="str">
        <f>Dashboard!B435</f>
        <v/>
      </c>
      <c r="B339" s="349" t="str">
        <f>Dashboard!H435</f>
        <v/>
      </c>
      <c r="C339" s="356" t="str">
        <f>Dashboard!G435</f>
        <v/>
      </c>
      <c r="D339" s="489" t="str">
        <f>Dashboard!M435</f>
        <v/>
      </c>
      <c r="E339" s="490" t="s">
        <v>314</v>
      </c>
      <c r="F339" s="491" t="str">
        <f t="shared" si="1"/>
        <v/>
      </c>
      <c r="G339" s="492" t="s">
        <v>314</v>
      </c>
      <c r="H339" s="349" t="str">
        <f t="shared" si="2"/>
        <v/>
      </c>
      <c r="I339" s="349" t="str">
        <f t="shared" si="3"/>
        <v/>
      </c>
      <c r="J339" s="493"/>
      <c r="K339" s="349" t="str">
        <f>IFERROR(__xludf.DUMMYFUNCTION("if(ISBLANK(A339),"""",if(B339=""Buy"",CONCAT(GOOGLEFINANCE(A339,""name""),"" {Symbol: ""&amp;A339&amp;""} High Alert!! Share Has Reached Its Target Buying Price,""),""""))"),"")</f>
        <v/>
      </c>
      <c r="L339" s="349" t="b">
        <f>IFERROR(__xludf.DUMMYFUNCTION("if(B339= ""Buy"",CONCAT(GOOGLEFINANCE(A339,""NAME""),"" share currently trading at Rs""&amp;C339&amp;"", Which is ""&amp;H339&amp;"" below the Target price of Rs""&amp;D339&amp;"".""))"),FALSE)</f>
        <v>0</v>
      </c>
    </row>
    <row r="340">
      <c r="A340" s="349" t="str">
        <f>Dashboard!B436</f>
        <v/>
      </c>
      <c r="B340" s="349" t="str">
        <f>Dashboard!H436</f>
        <v/>
      </c>
      <c r="C340" s="356" t="str">
        <f>Dashboard!G436</f>
        <v/>
      </c>
      <c r="D340" s="489" t="str">
        <f>Dashboard!M436</f>
        <v/>
      </c>
      <c r="E340" s="490" t="s">
        <v>314</v>
      </c>
      <c r="F340" s="491" t="str">
        <f t="shared" si="1"/>
        <v/>
      </c>
      <c r="G340" s="492" t="s">
        <v>314</v>
      </c>
      <c r="H340" s="349" t="str">
        <f t="shared" si="2"/>
        <v/>
      </c>
      <c r="I340" s="349" t="str">
        <f t="shared" si="3"/>
        <v/>
      </c>
      <c r="J340" s="493"/>
      <c r="K340" s="349" t="str">
        <f>IFERROR(__xludf.DUMMYFUNCTION("if(ISBLANK(A340),"""",if(B340=""Buy"",CONCAT(GOOGLEFINANCE(A340,""name""),"" {Symbol: ""&amp;A340&amp;""} High Alert!! Share Has Reached Its Target Buying Price,""),""""))"),"")</f>
        <v/>
      </c>
      <c r="L340" s="349" t="b">
        <f>IFERROR(__xludf.DUMMYFUNCTION("if(B340= ""Buy"",CONCAT(GOOGLEFINANCE(A340,""NAME""),"" share currently trading at Rs""&amp;C340&amp;"", Which is ""&amp;H340&amp;"" below the Target price of Rs""&amp;D340&amp;"".""))"),FALSE)</f>
        <v>0</v>
      </c>
    </row>
    <row r="341">
      <c r="A341" s="349" t="str">
        <f>Dashboard!B437</f>
        <v/>
      </c>
      <c r="B341" s="349" t="str">
        <f>Dashboard!H437</f>
        <v/>
      </c>
      <c r="C341" s="356" t="str">
        <f>Dashboard!G437</f>
        <v/>
      </c>
      <c r="D341" s="489" t="str">
        <f>Dashboard!M437</f>
        <v/>
      </c>
      <c r="E341" s="490" t="s">
        <v>314</v>
      </c>
      <c r="F341" s="491" t="str">
        <f t="shared" si="1"/>
        <v/>
      </c>
      <c r="G341" s="492" t="s">
        <v>314</v>
      </c>
      <c r="H341" s="349" t="str">
        <f t="shared" si="2"/>
        <v/>
      </c>
      <c r="I341" s="349" t="str">
        <f t="shared" si="3"/>
        <v/>
      </c>
      <c r="J341" s="493"/>
      <c r="K341" s="349" t="str">
        <f>IFERROR(__xludf.DUMMYFUNCTION("if(ISBLANK(A341),"""",if(B341=""Buy"",CONCAT(GOOGLEFINANCE(A341,""name""),"" {Symbol: ""&amp;A341&amp;""} High Alert!! Share Has Reached Its Target Buying Price,""),""""))"),"")</f>
        <v/>
      </c>
      <c r="L341" s="349" t="b">
        <f>IFERROR(__xludf.DUMMYFUNCTION("if(B341= ""Buy"",CONCAT(GOOGLEFINANCE(A341,""NAME""),"" share currently trading at Rs""&amp;C341&amp;"", Which is ""&amp;H341&amp;"" below the Target price of Rs""&amp;D341&amp;"".""))"),FALSE)</f>
        <v>0</v>
      </c>
    </row>
    <row r="342">
      <c r="A342" s="349" t="str">
        <f>Dashboard!B438</f>
        <v/>
      </c>
      <c r="B342" s="349" t="str">
        <f>Dashboard!H438</f>
        <v/>
      </c>
      <c r="C342" s="356" t="str">
        <f>Dashboard!G438</f>
        <v/>
      </c>
      <c r="D342" s="489" t="str">
        <f>Dashboard!M438</f>
        <v/>
      </c>
      <c r="E342" s="490" t="s">
        <v>314</v>
      </c>
      <c r="F342" s="491" t="str">
        <f t="shared" si="1"/>
        <v/>
      </c>
      <c r="G342" s="492" t="s">
        <v>314</v>
      </c>
      <c r="H342" s="349" t="str">
        <f t="shared" si="2"/>
        <v/>
      </c>
      <c r="I342" s="349" t="str">
        <f t="shared" si="3"/>
        <v/>
      </c>
      <c r="J342" s="493"/>
      <c r="K342" s="349" t="str">
        <f>IFERROR(__xludf.DUMMYFUNCTION("if(ISBLANK(A342),"""",if(B342=""Buy"",CONCAT(GOOGLEFINANCE(A342,""name""),"" {Symbol: ""&amp;A342&amp;""} High Alert!! Share Has Reached Its Target Buying Price,""),""""))"),"")</f>
        <v/>
      </c>
      <c r="L342" s="349" t="b">
        <f>IFERROR(__xludf.DUMMYFUNCTION("if(B342= ""Buy"",CONCAT(GOOGLEFINANCE(A342,""NAME""),"" share currently trading at Rs""&amp;C342&amp;"", Which is ""&amp;H342&amp;"" below the Target price of Rs""&amp;D342&amp;"".""))"),FALSE)</f>
        <v>0</v>
      </c>
    </row>
    <row r="343">
      <c r="A343" s="349" t="str">
        <f>Dashboard!B439</f>
        <v/>
      </c>
      <c r="B343" s="349" t="str">
        <f>Dashboard!H439</f>
        <v/>
      </c>
      <c r="C343" s="356" t="str">
        <f>Dashboard!G439</f>
        <v/>
      </c>
      <c r="D343" s="489" t="str">
        <f>Dashboard!M439</f>
        <v/>
      </c>
      <c r="E343" s="490" t="s">
        <v>314</v>
      </c>
      <c r="F343" s="491" t="str">
        <f t="shared" si="1"/>
        <v/>
      </c>
      <c r="G343" s="492" t="s">
        <v>314</v>
      </c>
      <c r="H343" s="349" t="str">
        <f t="shared" si="2"/>
        <v/>
      </c>
      <c r="I343" s="349" t="str">
        <f t="shared" si="3"/>
        <v/>
      </c>
      <c r="J343" s="493"/>
      <c r="K343" s="349" t="str">
        <f>IFERROR(__xludf.DUMMYFUNCTION("if(ISBLANK(A343),"""",if(B343=""Buy"",CONCAT(GOOGLEFINANCE(A343,""name""),"" {Symbol: ""&amp;A343&amp;""} High Alert!! Share Has Reached Its Target Buying Price,""),""""))"),"")</f>
        <v/>
      </c>
      <c r="L343" s="349" t="b">
        <f>IFERROR(__xludf.DUMMYFUNCTION("if(B343= ""Buy"",CONCAT(GOOGLEFINANCE(A343,""NAME""),"" share currently trading at Rs""&amp;C343&amp;"", Which is ""&amp;H343&amp;"" below the Target price of Rs""&amp;D343&amp;"".""))"),FALSE)</f>
        <v>0</v>
      </c>
    </row>
    <row r="344">
      <c r="A344" s="349" t="str">
        <f>Dashboard!B440</f>
        <v/>
      </c>
      <c r="B344" s="349" t="str">
        <f>Dashboard!H440</f>
        <v/>
      </c>
      <c r="C344" s="356" t="str">
        <f>Dashboard!G440</f>
        <v/>
      </c>
      <c r="D344" s="489" t="str">
        <f>Dashboard!M440</f>
        <v/>
      </c>
      <c r="E344" s="490" t="s">
        <v>314</v>
      </c>
      <c r="F344" s="491" t="str">
        <f t="shared" si="1"/>
        <v/>
      </c>
      <c r="G344" s="492" t="s">
        <v>314</v>
      </c>
      <c r="H344" s="349" t="str">
        <f t="shared" si="2"/>
        <v/>
      </c>
      <c r="I344" s="349" t="str">
        <f t="shared" si="3"/>
        <v/>
      </c>
      <c r="J344" s="493"/>
      <c r="K344" s="349" t="str">
        <f>IFERROR(__xludf.DUMMYFUNCTION("if(ISBLANK(A344),"""",if(B344=""Buy"",CONCAT(GOOGLEFINANCE(A344,""name""),"" {Symbol: ""&amp;A344&amp;""} High Alert!! Share Has Reached Its Target Buying Price,""),""""))"),"")</f>
        <v/>
      </c>
      <c r="L344" s="349" t="b">
        <f>IFERROR(__xludf.DUMMYFUNCTION("if(B344= ""Buy"",CONCAT(GOOGLEFINANCE(A344,""NAME""),"" share currently trading at Rs""&amp;C344&amp;"", Which is ""&amp;H344&amp;"" below the Target price of Rs""&amp;D344&amp;"".""))"),FALSE)</f>
        <v>0</v>
      </c>
    </row>
    <row r="345">
      <c r="A345" s="349" t="str">
        <f>Dashboard!B441</f>
        <v/>
      </c>
      <c r="B345" s="349" t="str">
        <f>Dashboard!H441</f>
        <v/>
      </c>
      <c r="C345" s="356" t="str">
        <f>Dashboard!G441</f>
        <v/>
      </c>
      <c r="D345" s="489" t="str">
        <f>Dashboard!M441</f>
        <v/>
      </c>
      <c r="E345" s="490" t="s">
        <v>314</v>
      </c>
      <c r="F345" s="491" t="str">
        <f t="shared" si="1"/>
        <v/>
      </c>
      <c r="G345" s="492" t="s">
        <v>314</v>
      </c>
      <c r="H345" s="349" t="str">
        <f t="shared" si="2"/>
        <v/>
      </c>
      <c r="I345" s="349" t="str">
        <f t="shared" si="3"/>
        <v/>
      </c>
      <c r="J345" s="493"/>
      <c r="K345" s="349" t="str">
        <f>IFERROR(__xludf.DUMMYFUNCTION("if(ISBLANK(A345),"""",if(B345=""Buy"",CONCAT(GOOGLEFINANCE(A345,""name""),"" {Symbol: ""&amp;A345&amp;""} High Alert!! Share Has Reached Its Target Buying Price,""),""""))"),"")</f>
        <v/>
      </c>
      <c r="L345" s="349" t="b">
        <f>IFERROR(__xludf.DUMMYFUNCTION("if(B345= ""Buy"",CONCAT(GOOGLEFINANCE(A345,""NAME""),"" share currently trading at Rs""&amp;C345&amp;"", Which is ""&amp;H345&amp;"" below the Target price of Rs""&amp;D345&amp;"".""))"),FALSE)</f>
        <v>0</v>
      </c>
    </row>
    <row r="346">
      <c r="A346" s="349" t="str">
        <f>Dashboard!B442</f>
        <v/>
      </c>
      <c r="B346" s="349" t="str">
        <f>Dashboard!H442</f>
        <v/>
      </c>
      <c r="C346" s="356" t="str">
        <f>Dashboard!G442</f>
        <v/>
      </c>
      <c r="D346" s="489" t="str">
        <f>Dashboard!M442</f>
        <v/>
      </c>
      <c r="E346" s="490" t="s">
        <v>314</v>
      </c>
      <c r="F346" s="491" t="str">
        <f t="shared" si="1"/>
        <v/>
      </c>
      <c r="G346" s="492" t="s">
        <v>314</v>
      </c>
      <c r="H346" s="349" t="str">
        <f t="shared" si="2"/>
        <v/>
      </c>
      <c r="I346" s="349" t="str">
        <f t="shared" si="3"/>
        <v/>
      </c>
      <c r="J346" s="493"/>
      <c r="K346" s="349" t="str">
        <f>IFERROR(__xludf.DUMMYFUNCTION("if(ISBLANK(A346),"""",if(B346=""Buy"",CONCAT(GOOGLEFINANCE(A346,""name""),"" {Symbol: ""&amp;A346&amp;""} High Alert!! Share Has Reached Its Target Buying Price,""),""""))"),"")</f>
        <v/>
      </c>
      <c r="L346" s="349" t="b">
        <f>IFERROR(__xludf.DUMMYFUNCTION("if(B346= ""Buy"",CONCAT(GOOGLEFINANCE(A346,""NAME""),"" share currently trading at Rs""&amp;C346&amp;"", Which is ""&amp;H346&amp;"" below the Target price of Rs""&amp;D346&amp;"".""))"),FALSE)</f>
        <v>0</v>
      </c>
    </row>
    <row r="347">
      <c r="A347" s="349" t="str">
        <f>Dashboard!B443</f>
        <v/>
      </c>
      <c r="B347" s="349" t="str">
        <f>Dashboard!H443</f>
        <v/>
      </c>
      <c r="C347" s="356" t="str">
        <f>Dashboard!G443</f>
        <v/>
      </c>
      <c r="D347" s="489" t="str">
        <f>Dashboard!M443</f>
        <v/>
      </c>
      <c r="E347" s="490" t="s">
        <v>314</v>
      </c>
      <c r="F347" s="491" t="str">
        <f t="shared" si="1"/>
        <v/>
      </c>
      <c r="G347" s="492" t="s">
        <v>314</v>
      </c>
      <c r="H347" s="349" t="str">
        <f t="shared" si="2"/>
        <v/>
      </c>
      <c r="I347" s="349" t="str">
        <f t="shared" si="3"/>
        <v/>
      </c>
      <c r="J347" s="493"/>
      <c r="K347" s="349" t="str">
        <f>IFERROR(__xludf.DUMMYFUNCTION("if(ISBLANK(A347),"""",if(B347=""Buy"",CONCAT(GOOGLEFINANCE(A347,""name""),"" {Symbol: ""&amp;A347&amp;""} High Alert!! Share Has Reached Its Target Buying Price,""),""""))"),"")</f>
        <v/>
      </c>
      <c r="L347" s="349" t="b">
        <f>IFERROR(__xludf.DUMMYFUNCTION("if(B347= ""Buy"",CONCAT(GOOGLEFINANCE(A347,""NAME""),"" share currently trading at Rs""&amp;C347&amp;"", Which is ""&amp;H347&amp;"" below the Target price of Rs""&amp;D347&amp;"".""))"),FALSE)</f>
        <v>0</v>
      </c>
    </row>
    <row r="348">
      <c r="A348" s="349" t="str">
        <f>Dashboard!B444</f>
        <v/>
      </c>
      <c r="B348" s="349" t="str">
        <f>Dashboard!H444</f>
        <v/>
      </c>
      <c r="C348" s="356" t="str">
        <f>Dashboard!G444</f>
        <v/>
      </c>
      <c r="D348" s="489" t="str">
        <f>Dashboard!M444</f>
        <v/>
      </c>
      <c r="E348" s="490" t="s">
        <v>314</v>
      </c>
      <c r="F348" s="491" t="str">
        <f t="shared" si="1"/>
        <v/>
      </c>
      <c r="G348" s="492" t="s">
        <v>314</v>
      </c>
      <c r="H348" s="349" t="str">
        <f t="shared" si="2"/>
        <v/>
      </c>
      <c r="I348" s="349" t="str">
        <f t="shared" si="3"/>
        <v/>
      </c>
      <c r="J348" s="493"/>
      <c r="K348" s="349" t="str">
        <f>IFERROR(__xludf.DUMMYFUNCTION("if(ISBLANK(A348),"""",if(B348=""Buy"",CONCAT(GOOGLEFINANCE(A348,""name""),"" {Symbol: ""&amp;A348&amp;""} High Alert!! Share Has Reached Its Target Buying Price,""),""""))"),"")</f>
        <v/>
      </c>
      <c r="L348" s="349" t="b">
        <f>IFERROR(__xludf.DUMMYFUNCTION("if(B348= ""Buy"",CONCAT(GOOGLEFINANCE(A348,""NAME""),"" share currently trading at Rs""&amp;C348&amp;"", Which is ""&amp;H348&amp;"" below the Target price of Rs""&amp;D348&amp;"".""))"),FALSE)</f>
        <v>0</v>
      </c>
    </row>
    <row r="349">
      <c r="A349" s="349" t="str">
        <f>Dashboard!B445</f>
        <v/>
      </c>
      <c r="B349" s="349" t="str">
        <f>Dashboard!H445</f>
        <v/>
      </c>
      <c r="C349" s="356" t="str">
        <f>Dashboard!G445</f>
        <v/>
      </c>
      <c r="D349" s="489" t="str">
        <f>Dashboard!M445</f>
        <v/>
      </c>
      <c r="E349" s="490" t="s">
        <v>314</v>
      </c>
      <c r="F349" s="491" t="str">
        <f t="shared" si="1"/>
        <v/>
      </c>
      <c r="G349" s="492" t="s">
        <v>314</v>
      </c>
      <c r="H349" s="349" t="str">
        <f t="shared" si="2"/>
        <v/>
      </c>
      <c r="I349" s="349" t="str">
        <f t="shared" si="3"/>
        <v/>
      </c>
      <c r="J349" s="493"/>
      <c r="K349" s="349" t="str">
        <f>IFERROR(__xludf.DUMMYFUNCTION("if(ISBLANK(A349),"""",if(B349=""Buy"",CONCAT(GOOGLEFINANCE(A349,""name""),"" {Symbol: ""&amp;A349&amp;""} High Alert!! Share Has Reached Its Target Buying Price,""),""""))"),"")</f>
        <v/>
      </c>
      <c r="L349" s="349" t="b">
        <f>IFERROR(__xludf.DUMMYFUNCTION("if(B349= ""Buy"",CONCAT(GOOGLEFINANCE(A349,""NAME""),"" share currently trading at Rs""&amp;C349&amp;"", Which is ""&amp;H349&amp;"" below the Target price of Rs""&amp;D349&amp;"".""))"),FALSE)</f>
        <v>0</v>
      </c>
    </row>
    <row r="350">
      <c r="A350" s="349" t="str">
        <f>Dashboard!B446</f>
        <v/>
      </c>
      <c r="B350" s="349" t="str">
        <f>Dashboard!H446</f>
        <v/>
      </c>
      <c r="C350" s="356" t="str">
        <f>Dashboard!G446</f>
        <v/>
      </c>
      <c r="D350" s="489" t="str">
        <f>Dashboard!M446</f>
        <v/>
      </c>
      <c r="E350" s="490" t="s">
        <v>314</v>
      </c>
      <c r="F350" s="491" t="str">
        <f t="shared" si="1"/>
        <v/>
      </c>
      <c r="G350" s="492" t="s">
        <v>314</v>
      </c>
      <c r="H350" s="349" t="str">
        <f t="shared" si="2"/>
        <v/>
      </c>
      <c r="I350" s="349" t="str">
        <f t="shared" si="3"/>
        <v/>
      </c>
      <c r="J350" s="493"/>
      <c r="K350" s="349" t="str">
        <f>IFERROR(__xludf.DUMMYFUNCTION("if(ISBLANK(A350),"""",if(B350=""Buy"",CONCAT(GOOGLEFINANCE(A350,""name""),"" {Symbol: ""&amp;A350&amp;""} High Alert!! Share Has Reached Its Target Buying Price,""),""""))"),"")</f>
        <v/>
      </c>
      <c r="L350" s="349" t="b">
        <f>IFERROR(__xludf.DUMMYFUNCTION("if(B350= ""Buy"",CONCAT(GOOGLEFINANCE(A350,""NAME""),"" share currently trading at Rs""&amp;C350&amp;"", Which is ""&amp;H350&amp;"" below the Target price of Rs""&amp;D350&amp;"".""))"),FALSE)</f>
        <v>0</v>
      </c>
    </row>
    <row r="351">
      <c r="A351" s="349" t="str">
        <f>Dashboard!B447</f>
        <v/>
      </c>
      <c r="B351" s="349" t="str">
        <f>Dashboard!H447</f>
        <v/>
      </c>
      <c r="C351" s="356" t="str">
        <f>Dashboard!G447</f>
        <v/>
      </c>
      <c r="D351" s="489" t="str">
        <f>Dashboard!M447</f>
        <v/>
      </c>
      <c r="E351" s="490" t="s">
        <v>314</v>
      </c>
      <c r="F351" s="491" t="str">
        <f t="shared" si="1"/>
        <v/>
      </c>
      <c r="G351" s="492" t="s">
        <v>314</v>
      </c>
      <c r="H351" s="349" t="str">
        <f t="shared" si="2"/>
        <v/>
      </c>
      <c r="I351" s="349" t="str">
        <f t="shared" si="3"/>
        <v/>
      </c>
      <c r="J351" s="493"/>
      <c r="K351" s="349" t="str">
        <f>IFERROR(__xludf.DUMMYFUNCTION("if(ISBLANK(A351),"""",if(B351=""Buy"",CONCAT(GOOGLEFINANCE(A351,""name""),"" {Symbol: ""&amp;A351&amp;""} High Alert!! Share Has Reached Its Target Buying Price,""),""""))"),"")</f>
        <v/>
      </c>
      <c r="L351" s="349" t="b">
        <f>IFERROR(__xludf.DUMMYFUNCTION("if(B351= ""Buy"",CONCAT(GOOGLEFINANCE(A351,""NAME""),"" share currently trading at Rs""&amp;C351&amp;"", Which is ""&amp;H351&amp;"" below the Target price of Rs""&amp;D351&amp;"".""))"),FALSE)</f>
        <v>0</v>
      </c>
    </row>
    <row r="352">
      <c r="A352" s="349" t="str">
        <f>Dashboard!B448</f>
        <v/>
      </c>
      <c r="B352" s="349" t="str">
        <f>Dashboard!H448</f>
        <v/>
      </c>
      <c r="C352" s="356" t="str">
        <f>Dashboard!G448</f>
        <v/>
      </c>
      <c r="D352" s="489" t="str">
        <f>Dashboard!M448</f>
        <v/>
      </c>
      <c r="E352" s="490" t="s">
        <v>314</v>
      </c>
      <c r="F352" s="491" t="str">
        <f t="shared" si="1"/>
        <v/>
      </c>
      <c r="G352" s="492" t="s">
        <v>314</v>
      </c>
      <c r="H352" s="349" t="str">
        <f t="shared" si="2"/>
        <v/>
      </c>
      <c r="I352" s="349" t="str">
        <f t="shared" si="3"/>
        <v/>
      </c>
      <c r="J352" s="493"/>
      <c r="K352" s="349" t="str">
        <f>IFERROR(__xludf.DUMMYFUNCTION("if(ISBLANK(A352),"""",if(B352=""Buy"",CONCAT(GOOGLEFINANCE(A352,""name""),"" {Symbol: ""&amp;A352&amp;""} High Alert!! Share Has Reached Its Target Buying Price,""),""""))"),"")</f>
        <v/>
      </c>
      <c r="L352" s="349" t="b">
        <f>IFERROR(__xludf.DUMMYFUNCTION("if(B352= ""Buy"",CONCAT(GOOGLEFINANCE(A352,""NAME""),"" share currently trading at Rs""&amp;C352&amp;"", Which is ""&amp;H352&amp;"" below the Target price of Rs""&amp;D352&amp;"".""))"),FALSE)</f>
        <v>0</v>
      </c>
    </row>
    <row r="353">
      <c r="A353" s="349" t="str">
        <f>Dashboard!B449</f>
        <v/>
      </c>
      <c r="B353" s="349" t="str">
        <f>Dashboard!H449</f>
        <v/>
      </c>
      <c r="C353" s="356" t="str">
        <f>Dashboard!G449</f>
        <v/>
      </c>
      <c r="D353" s="489" t="str">
        <f>Dashboard!M449</f>
        <v/>
      </c>
      <c r="E353" s="490" t="s">
        <v>314</v>
      </c>
      <c r="F353" s="491" t="str">
        <f t="shared" si="1"/>
        <v/>
      </c>
      <c r="G353" s="492" t="s">
        <v>314</v>
      </c>
      <c r="H353" s="349" t="str">
        <f t="shared" si="2"/>
        <v/>
      </c>
      <c r="I353" s="349" t="str">
        <f t="shared" si="3"/>
        <v/>
      </c>
      <c r="J353" s="493"/>
      <c r="K353" s="349" t="str">
        <f>IFERROR(__xludf.DUMMYFUNCTION("if(ISBLANK(A353),"""",if(B353=""Buy"",CONCAT(GOOGLEFINANCE(A353,""name""),"" {Symbol: ""&amp;A353&amp;""} High Alert!! Share Has Reached Its Target Buying Price,""),""""))"),"")</f>
        <v/>
      </c>
      <c r="L353" s="349" t="b">
        <f>IFERROR(__xludf.DUMMYFUNCTION("if(B353= ""Buy"",CONCAT(GOOGLEFINANCE(A353,""NAME""),"" share currently trading at Rs""&amp;C353&amp;"", Which is ""&amp;H353&amp;"" below the Target price of Rs""&amp;D353&amp;"".""))"),FALSE)</f>
        <v>0</v>
      </c>
    </row>
    <row r="354">
      <c r="A354" s="349" t="str">
        <f>Dashboard!B450</f>
        <v/>
      </c>
      <c r="B354" s="349" t="str">
        <f>Dashboard!H450</f>
        <v/>
      </c>
      <c r="C354" s="356" t="str">
        <f>Dashboard!G450</f>
        <v/>
      </c>
      <c r="D354" s="489" t="str">
        <f>Dashboard!M450</f>
        <v/>
      </c>
      <c r="E354" s="490" t="s">
        <v>314</v>
      </c>
      <c r="F354" s="491" t="str">
        <f t="shared" si="1"/>
        <v/>
      </c>
      <c r="G354" s="492" t="s">
        <v>314</v>
      </c>
      <c r="H354" s="349" t="str">
        <f t="shared" si="2"/>
        <v/>
      </c>
      <c r="I354" s="349" t="str">
        <f t="shared" si="3"/>
        <v/>
      </c>
      <c r="J354" s="493"/>
      <c r="K354" s="349" t="str">
        <f>IFERROR(__xludf.DUMMYFUNCTION("if(ISBLANK(A354),"""",if(B354=""Buy"",CONCAT(GOOGLEFINANCE(A354,""name""),"" {Symbol: ""&amp;A354&amp;""} High Alert!! Share Has Reached Its Target Buying Price,""),""""))"),"")</f>
        <v/>
      </c>
      <c r="L354" s="349" t="b">
        <f>IFERROR(__xludf.DUMMYFUNCTION("if(B354= ""Buy"",CONCAT(GOOGLEFINANCE(A354,""NAME""),"" share currently trading at Rs""&amp;C354&amp;"", Which is ""&amp;H354&amp;"" below the Target price of Rs""&amp;D354&amp;"".""))"),FALSE)</f>
        <v>0</v>
      </c>
    </row>
    <row r="355">
      <c r="A355" s="349" t="str">
        <f>Dashboard!B451</f>
        <v/>
      </c>
      <c r="B355" s="349" t="str">
        <f>Dashboard!H451</f>
        <v/>
      </c>
      <c r="C355" s="356" t="str">
        <f>Dashboard!G451</f>
        <v/>
      </c>
      <c r="D355" s="489" t="str">
        <f>Dashboard!M451</f>
        <v/>
      </c>
      <c r="E355" s="490" t="s">
        <v>314</v>
      </c>
      <c r="F355" s="491" t="str">
        <f t="shared" si="1"/>
        <v/>
      </c>
      <c r="G355" s="492" t="s">
        <v>314</v>
      </c>
      <c r="H355" s="349" t="str">
        <f t="shared" si="2"/>
        <v/>
      </c>
      <c r="I355" s="349" t="str">
        <f t="shared" si="3"/>
        <v/>
      </c>
      <c r="J355" s="493"/>
      <c r="K355" s="349" t="str">
        <f>IFERROR(__xludf.DUMMYFUNCTION("if(ISBLANK(A355),"""",if(B355=""Buy"",CONCAT(GOOGLEFINANCE(A355,""name""),"" {Symbol: ""&amp;A355&amp;""} High Alert!! Share Has Reached Its Target Buying Price,""),""""))"),"")</f>
        <v/>
      </c>
      <c r="L355" s="349" t="b">
        <f>IFERROR(__xludf.DUMMYFUNCTION("if(B355= ""Buy"",CONCAT(GOOGLEFINANCE(A355,""NAME""),"" share currently trading at Rs""&amp;C355&amp;"", Which is ""&amp;H355&amp;"" below the Target price of Rs""&amp;D355&amp;"".""))"),FALSE)</f>
        <v>0</v>
      </c>
    </row>
    <row r="356">
      <c r="A356" s="349" t="str">
        <f>Dashboard!B452</f>
        <v/>
      </c>
      <c r="B356" s="349" t="str">
        <f>Dashboard!H452</f>
        <v/>
      </c>
      <c r="C356" s="356" t="str">
        <f>Dashboard!G452</f>
        <v/>
      </c>
      <c r="D356" s="489" t="str">
        <f>Dashboard!M452</f>
        <v/>
      </c>
      <c r="E356" s="490" t="s">
        <v>314</v>
      </c>
      <c r="F356" s="491" t="str">
        <f t="shared" si="1"/>
        <v/>
      </c>
      <c r="G356" s="492" t="s">
        <v>314</v>
      </c>
      <c r="H356" s="349" t="str">
        <f t="shared" si="2"/>
        <v/>
      </c>
      <c r="I356" s="349" t="str">
        <f t="shared" si="3"/>
        <v/>
      </c>
      <c r="J356" s="493"/>
      <c r="K356" s="349" t="str">
        <f>IFERROR(__xludf.DUMMYFUNCTION("if(ISBLANK(A356),"""",if(B356=""Buy"",CONCAT(GOOGLEFINANCE(A356,""name""),"" {Symbol: ""&amp;A356&amp;""} High Alert!! Share Has Reached Its Target Buying Price,""),""""))"),"")</f>
        <v/>
      </c>
      <c r="L356" s="349" t="b">
        <f>IFERROR(__xludf.DUMMYFUNCTION("if(B356= ""Buy"",CONCAT(GOOGLEFINANCE(A356,""NAME""),"" share currently trading at Rs""&amp;C356&amp;"", Which is ""&amp;H356&amp;"" below the Target price of Rs""&amp;D356&amp;"".""))"),FALSE)</f>
        <v>0</v>
      </c>
    </row>
    <row r="357">
      <c r="A357" s="349" t="str">
        <f>Dashboard!B453</f>
        <v/>
      </c>
      <c r="B357" s="349" t="str">
        <f>Dashboard!H453</f>
        <v/>
      </c>
      <c r="C357" s="356" t="str">
        <f>Dashboard!G453</f>
        <v/>
      </c>
      <c r="D357" s="489" t="str">
        <f>Dashboard!M453</f>
        <v/>
      </c>
      <c r="E357" s="490" t="s">
        <v>314</v>
      </c>
      <c r="F357" s="491" t="str">
        <f t="shared" si="1"/>
        <v/>
      </c>
      <c r="G357" s="492" t="s">
        <v>314</v>
      </c>
      <c r="H357" s="349" t="str">
        <f t="shared" si="2"/>
        <v/>
      </c>
      <c r="I357" s="349" t="str">
        <f t="shared" si="3"/>
        <v/>
      </c>
      <c r="J357" s="493"/>
      <c r="K357" s="349" t="str">
        <f>IFERROR(__xludf.DUMMYFUNCTION("if(ISBLANK(A357),"""",if(B357=""Buy"",CONCAT(GOOGLEFINANCE(A357,""name""),"" {Symbol: ""&amp;A357&amp;""} High Alert!! Share Has Reached Its Target Buying Price,""),""""))"),"")</f>
        <v/>
      </c>
      <c r="L357" s="349" t="b">
        <f>IFERROR(__xludf.DUMMYFUNCTION("if(B357= ""Buy"",CONCAT(GOOGLEFINANCE(A357,""NAME""),"" share currently trading at Rs""&amp;C357&amp;"", Which is ""&amp;H357&amp;"" below the Target price of Rs""&amp;D357&amp;"".""))"),FALSE)</f>
        <v>0</v>
      </c>
    </row>
    <row r="358">
      <c r="A358" s="349" t="str">
        <f>Dashboard!B454</f>
        <v/>
      </c>
      <c r="B358" s="349" t="str">
        <f>Dashboard!H454</f>
        <v/>
      </c>
      <c r="C358" s="356" t="str">
        <f>Dashboard!G454</f>
        <v/>
      </c>
      <c r="D358" s="489" t="str">
        <f>Dashboard!M454</f>
        <v/>
      </c>
      <c r="E358" s="490" t="s">
        <v>314</v>
      </c>
      <c r="F358" s="491" t="str">
        <f t="shared" si="1"/>
        <v/>
      </c>
      <c r="G358" s="492" t="s">
        <v>314</v>
      </c>
      <c r="H358" s="349" t="str">
        <f t="shared" si="2"/>
        <v/>
      </c>
      <c r="I358" s="349" t="str">
        <f t="shared" si="3"/>
        <v/>
      </c>
      <c r="J358" s="493"/>
      <c r="K358" s="349" t="str">
        <f>IFERROR(__xludf.DUMMYFUNCTION("if(ISBLANK(A358),"""",if(B358=""Buy"",CONCAT(GOOGLEFINANCE(A358,""name""),"" {Symbol: ""&amp;A358&amp;""} High Alert!! Share Has Reached Its Target Buying Price,""),""""))"),"")</f>
        <v/>
      </c>
      <c r="L358" s="349" t="b">
        <f>IFERROR(__xludf.DUMMYFUNCTION("if(B358= ""Buy"",CONCAT(GOOGLEFINANCE(A358,""NAME""),"" share currently trading at Rs""&amp;C358&amp;"", Which is ""&amp;H358&amp;"" below the Target price of Rs""&amp;D358&amp;"".""))"),FALSE)</f>
        <v>0</v>
      </c>
    </row>
    <row r="359">
      <c r="A359" s="349" t="str">
        <f>Dashboard!B455</f>
        <v/>
      </c>
      <c r="B359" s="349" t="str">
        <f>Dashboard!H455</f>
        <v/>
      </c>
      <c r="C359" s="356" t="str">
        <f>Dashboard!G455</f>
        <v/>
      </c>
      <c r="D359" s="489" t="str">
        <f>Dashboard!M455</f>
        <v/>
      </c>
      <c r="E359" s="490" t="s">
        <v>314</v>
      </c>
      <c r="F359" s="491" t="str">
        <f t="shared" si="1"/>
        <v/>
      </c>
      <c r="G359" s="492" t="s">
        <v>314</v>
      </c>
      <c r="H359" s="349" t="str">
        <f t="shared" si="2"/>
        <v/>
      </c>
      <c r="I359" s="349" t="str">
        <f t="shared" si="3"/>
        <v/>
      </c>
      <c r="J359" s="493"/>
      <c r="K359" s="349" t="str">
        <f>IFERROR(__xludf.DUMMYFUNCTION("if(ISBLANK(A359),"""",if(B359=""Buy"",CONCAT(GOOGLEFINANCE(A359,""name""),"" {Symbol: ""&amp;A359&amp;""} High Alert!! Share Has Reached Its Target Buying Price,""),""""))"),"")</f>
        <v/>
      </c>
      <c r="L359" s="349" t="b">
        <f>IFERROR(__xludf.DUMMYFUNCTION("if(B359= ""Buy"",CONCAT(GOOGLEFINANCE(A359,""NAME""),"" share currently trading at Rs""&amp;C359&amp;"", Which is ""&amp;H359&amp;"" below the Target price of Rs""&amp;D359&amp;"".""))"),FALSE)</f>
        <v>0</v>
      </c>
    </row>
    <row r="360">
      <c r="A360" s="349" t="str">
        <f>Dashboard!B456</f>
        <v/>
      </c>
      <c r="B360" s="349" t="str">
        <f>Dashboard!H456</f>
        <v/>
      </c>
      <c r="C360" s="356" t="str">
        <f>Dashboard!G456</f>
        <v/>
      </c>
      <c r="D360" s="489" t="str">
        <f>Dashboard!M456</f>
        <v/>
      </c>
      <c r="E360" s="490" t="s">
        <v>314</v>
      </c>
      <c r="F360" s="491" t="str">
        <f t="shared" si="1"/>
        <v/>
      </c>
      <c r="G360" s="492" t="s">
        <v>314</v>
      </c>
      <c r="H360" s="349" t="str">
        <f t="shared" si="2"/>
        <v/>
      </c>
      <c r="I360" s="349" t="str">
        <f t="shared" si="3"/>
        <v/>
      </c>
      <c r="J360" s="493"/>
      <c r="K360" s="349" t="str">
        <f>IFERROR(__xludf.DUMMYFUNCTION("if(ISBLANK(A360),"""",if(B360=""Buy"",CONCAT(GOOGLEFINANCE(A360,""name""),"" {Symbol: ""&amp;A360&amp;""} High Alert!! Share Has Reached Its Target Buying Price,""),""""))"),"")</f>
        <v/>
      </c>
      <c r="L360" s="349" t="b">
        <f>IFERROR(__xludf.DUMMYFUNCTION("if(B360= ""Buy"",CONCAT(GOOGLEFINANCE(A360,""NAME""),"" share currently trading at Rs""&amp;C360&amp;"", Which is ""&amp;H360&amp;"" below the Target price of Rs""&amp;D360&amp;"".""))"),FALSE)</f>
        <v>0</v>
      </c>
    </row>
    <row r="361">
      <c r="A361" s="349" t="str">
        <f>Dashboard!B457</f>
        <v/>
      </c>
      <c r="B361" s="349" t="str">
        <f>Dashboard!H457</f>
        <v/>
      </c>
      <c r="C361" s="356" t="str">
        <f>Dashboard!G457</f>
        <v/>
      </c>
      <c r="D361" s="489" t="str">
        <f>Dashboard!M457</f>
        <v/>
      </c>
      <c r="E361" s="490" t="s">
        <v>314</v>
      </c>
      <c r="F361" s="491" t="str">
        <f t="shared" si="1"/>
        <v/>
      </c>
      <c r="G361" s="492" t="s">
        <v>314</v>
      </c>
      <c r="H361" s="349" t="str">
        <f t="shared" si="2"/>
        <v/>
      </c>
      <c r="I361" s="349" t="str">
        <f t="shared" si="3"/>
        <v/>
      </c>
      <c r="J361" s="493"/>
      <c r="K361" s="349" t="str">
        <f>IFERROR(__xludf.DUMMYFUNCTION("if(ISBLANK(A361),"""",if(B361=""Buy"",CONCAT(GOOGLEFINANCE(A361,""name""),"" {Symbol: ""&amp;A361&amp;""} High Alert!! Share Has Reached Its Target Buying Price,""),""""))"),"")</f>
        <v/>
      </c>
      <c r="L361" s="349" t="b">
        <f>IFERROR(__xludf.DUMMYFUNCTION("if(B361= ""Buy"",CONCAT(GOOGLEFINANCE(A361,""NAME""),"" share currently trading at Rs""&amp;C361&amp;"", Which is ""&amp;H361&amp;"" below the Target price of Rs""&amp;D361&amp;"".""))"),FALSE)</f>
        <v>0</v>
      </c>
    </row>
    <row r="362">
      <c r="A362" s="349" t="str">
        <f>Dashboard!B458</f>
        <v/>
      </c>
      <c r="B362" s="349" t="str">
        <f>Dashboard!H458</f>
        <v/>
      </c>
      <c r="C362" s="356" t="str">
        <f>Dashboard!G458</f>
        <v/>
      </c>
      <c r="D362" s="489" t="str">
        <f>Dashboard!M458</f>
        <v/>
      </c>
      <c r="E362" s="490" t="s">
        <v>314</v>
      </c>
      <c r="F362" s="491" t="str">
        <f t="shared" si="1"/>
        <v/>
      </c>
      <c r="G362" s="492" t="s">
        <v>314</v>
      </c>
      <c r="H362" s="349" t="str">
        <f t="shared" si="2"/>
        <v/>
      </c>
      <c r="I362" s="349" t="str">
        <f t="shared" si="3"/>
        <v/>
      </c>
      <c r="J362" s="493"/>
      <c r="K362" s="349" t="str">
        <f>IFERROR(__xludf.DUMMYFUNCTION("if(ISBLANK(A362),"""",if(B362=""Buy"",CONCAT(GOOGLEFINANCE(A362,""name""),"" {Symbol: ""&amp;A362&amp;""} High Alert!! Share Has Reached Its Target Buying Price,""),""""))"),"")</f>
        <v/>
      </c>
      <c r="L362" s="349" t="b">
        <f>IFERROR(__xludf.DUMMYFUNCTION("if(B362= ""Buy"",CONCAT(GOOGLEFINANCE(A362,""NAME""),"" share currently trading at Rs""&amp;C362&amp;"", Which is ""&amp;H362&amp;"" below the Target price of Rs""&amp;D362&amp;"".""))"),FALSE)</f>
        <v>0</v>
      </c>
    </row>
    <row r="363">
      <c r="A363" s="349" t="str">
        <f>Dashboard!B459</f>
        <v/>
      </c>
      <c r="B363" s="349" t="str">
        <f>Dashboard!H459</f>
        <v/>
      </c>
      <c r="C363" s="356" t="str">
        <f>Dashboard!G459</f>
        <v/>
      </c>
      <c r="D363" s="489" t="str">
        <f>Dashboard!M459</f>
        <v/>
      </c>
      <c r="E363" s="490" t="s">
        <v>314</v>
      </c>
      <c r="F363" s="491" t="str">
        <f t="shared" si="1"/>
        <v/>
      </c>
      <c r="G363" s="492" t="s">
        <v>314</v>
      </c>
      <c r="H363" s="349" t="str">
        <f t="shared" si="2"/>
        <v/>
      </c>
      <c r="I363" s="349" t="str">
        <f t="shared" si="3"/>
        <v/>
      </c>
      <c r="J363" s="493"/>
      <c r="K363" s="349" t="str">
        <f>IFERROR(__xludf.DUMMYFUNCTION("if(ISBLANK(A363),"""",if(B363=""Buy"",CONCAT(GOOGLEFINANCE(A363,""name""),"" {Symbol: ""&amp;A363&amp;""} High Alert!! Share Has Reached Its Target Buying Price,""),""""))"),"")</f>
        <v/>
      </c>
      <c r="L363" s="349" t="b">
        <f>IFERROR(__xludf.DUMMYFUNCTION("if(B363= ""Buy"",CONCAT(GOOGLEFINANCE(A363,""NAME""),"" share currently trading at Rs""&amp;C363&amp;"", Which is ""&amp;H363&amp;"" below the Target price of Rs""&amp;D363&amp;"".""))"),FALSE)</f>
        <v>0</v>
      </c>
    </row>
    <row r="364">
      <c r="A364" s="349" t="str">
        <f>Dashboard!B460</f>
        <v/>
      </c>
      <c r="B364" s="349" t="str">
        <f>Dashboard!H460</f>
        <v/>
      </c>
      <c r="C364" s="356" t="str">
        <f>Dashboard!G460</f>
        <v/>
      </c>
      <c r="D364" s="489" t="str">
        <f>Dashboard!M460</f>
        <v/>
      </c>
      <c r="E364" s="490" t="s">
        <v>314</v>
      </c>
      <c r="F364" s="491" t="str">
        <f t="shared" si="1"/>
        <v/>
      </c>
      <c r="G364" s="492" t="s">
        <v>314</v>
      </c>
      <c r="H364" s="349" t="str">
        <f t="shared" si="2"/>
        <v/>
      </c>
      <c r="I364" s="349" t="str">
        <f t="shared" si="3"/>
        <v/>
      </c>
      <c r="J364" s="493"/>
      <c r="K364" s="349" t="str">
        <f>IFERROR(__xludf.DUMMYFUNCTION("if(ISBLANK(A364),"""",if(B364=""Buy"",CONCAT(GOOGLEFINANCE(A364,""name""),"" {Symbol: ""&amp;A364&amp;""} High Alert!! Share Has Reached Its Target Buying Price,""),""""))"),"")</f>
        <v/>
      </c>
      <c r="L364" s="349" t="b">
        <f>IFERROR(__xludf.DUMMYFUNCTION("if(B364= ""Buy"",CONCAT(GOOGLEFINANCE(A364,""NAME""),"" share currently trading at Rs""&amp;C364&amp;"", Which is ""&amp;H364&amp;"" below the Target price of Rs""&amp;D364&amp;"".""))"),FALSE)</f>
        <v>0</v>
      </c>
    </row>
    <row r="365">
      <c r="A365" s="349" t="str">
        <f>Dashboard!B461</f>
        <v/>
      </c>
      <c r="B365" s="349" t="str">
        <f>Dashboard!H461</f>
        <v/>
      </c>
      <c r="C365" s="356" t="str">
        <f>Dashboard!G461</f>
        <v/>
      </c>
      <c r="D365" s="489" t="str">
        <f>Dashboard!M461</f>
        <v/>
      </c>
      <c r="E365" s="490" t="s">
        <v>314</v>
      </c>
      <c r="F365" s="491" t="str">
        <f t="shared" si="1"/>
        <v/>
      </c>
      <c r="G365" s="492" t="s">
        <v>314</v>
      </c>
      <c r="H365" s="349" t="str">
        <f t="shared" si="2"/>
        <v/>
      </c>
      <c r="I365" s="349" t="str">
        <f t="shared" si="3"/>
        <v/>
      </c>
      <c r="J365" s="493"/>
      <c r="K365" s="349" t="str">
        <f>IFERROR(__xludf.DUMMYFUNCTION("if(ISBLANK(A365),"""",if(B365=""Buy"",CONCAT(GOOGLEFINANCE(A365,""name""),"" {Symbol: ""&amp;A365&amp;""} High Alert!! Share Has Reached Its Target Buying Price,""),""""))"),"")</f>
        <v/>
      </c>
      <c r="L365" s="349" t="b">
        <f>IFERROR(__xludf.DUMMYFUNCTION("if(B365= ""Buy"",CONCAT(GOOGLEFINANCE(A365,""NAME""),"" share currently trading at Rs""&amp;C365&amp;"", Which is ""&amp;H365&amp;"" below the Target price of Rs""&amp;D365&amp;"".""))"),FALSE)</f>
        <v>0</v>
      </c>
    </row>
    <row r="366">
      <c r="A366" s="349" t="str">
        <f>Dashboard!B462</f>
        <v/>
      </c>
      <c r="B366" s="349" t="str">
        <f>Dashboard!H462</f>
        <v/>
      </c>
      <c r="C366" s="356" t="str">
        <f>Dashboard!G462</f>
        <v/>
      </c>
      <c r="D366" s="489" t="str">
        <f>Dashboard!M462</f>
        <v/>
      </c>
      <c r="E366" s="490" t="s">
        <v>314</v>
      </c>
      <c r="F366" s="491" t="str">
        <f t="shared" si="1"/>
        <v/>
      </c>
      <c r="G366" s="492" t="s">
        <v>314</v>
      </c>
      <c r="H366" s="349" t="str">
        <f t="shared" si="2"/>
        <v/>
      </c>
      <c r="I366" s="349" t="str">
        <f t="shared" si="3"/>
        <v/>
      </c>
      <c r="J366" s="493"/>
      <c r="K366" s="349" t="str">
        <f>IFERROR(__xludf.DUMMYFUNCTION("if(ISBLANK(A366),"""",if(B366=""Buy"",CONCAT(GOOGLEFINANCE(A366,""name""),"" {Symbol: ""&amp;A366&amp;""} High Alert!! Share Has Reached Its Target Buying Price,""),""""))"),"")</f>
        <v/>
      </c>
      <c r="L366" s="349" t="b">
        <f>IFERROR(__xludf.DUMMYFUNCTION("if(B366= ""Buy"",CONCAT(GOOGLEFINANCE(A366,""NAME""),"" share currently trading at Rs""&amp;C366&amp;"", Which is ""&amp;H366&amp;"" below the Target price of Rs""&amp;D366&amp;"".""))"),FALSE)</f>
        <v>0</v>
      </c>
    </row>
    <row r="367">
      <c r="A367" s="349" t="str">
        <f>Dashboard!B463</f>
        <v/>
      </c>
      <c r="B367" s="349" t="str">
        <f>Dashboard!H463</f>
        <v/>
      </c>
      <c r="C367" s="356" t="str">
        <f>Dashboard!G463</f>
        <v/>
      </c>
      <c r="D367" s="489" t="str">
        <f>Dashboard!M463</f>
        <v/>
      </c>
      <c r="E367" s="490" t="s">
        <v>314</v>
      </c>
      <c r="F367" s="491" t="str">
        <f t="shared" si="1"/>
        <v/>
      </c>
      <c r="G367" s="492" t="s">
        <v>314</v>
      </c>
      <c r="H367" s="349" t="str">
        <f t="shared" si="2"/>
        <v/>
      </c>
      <c r="I367" s="349" t="str">
        <f t="shared" si="3"/>
        <v/>
      </c>
      <c r="J367" s="493"/>
      <c r="K367" s="349" t="str">
        <f>IFERROR(__xludf.DUMMYFUNCTION("if(ISBLANK(A367),"""",if(B367=""Buy"",CONCAT(GOOGLEFINANCE(A367,""name""),"" {Symbol: ""&amp;A367&amp;""} High Alert!! Share Has Reached Its Target Buying Price,""),""""))"),"")</f>
        <v/>
      </c>
      <c r="L367" s="349" t="b">
        <f>IFERROR(__xludf.DUMMYFUNCTION("if(B367= ""Buy"",CONCAT(GOOGLEFINANCE(A367,""NAME""),"" share currently trading at Rs""&amp;C367&amp;"", Which is ""&amp;H367&amp;"" below the Target price of Rs""&amp;D367&amp;"".""))"),FALSE)</f>
        <v>0</v>
      </c>
    </row>
    <row r="368">
      <c r="A368" s="349" t="str">
        <f>Dashboard!B464</f>
        <v/>
      </c>
      <c r="B368" s="349" t="str">
        <f>Dashboard!H464</f>
        <v/>
      </c>
      <c r="C368" s="356" t="str">
        <f>Dashboard!G464</f>
        <v/>
      </c>
      <c r="D368" s="489" t="str">
        <f>Dashboard!M464</f>
        <v/>
      </c>
      <c r="E368" s="490" t="s">
        <v>314</v>
      </c>
      <c r="F368" s="491" t="str">
        <f t="shared" si="1"/>
        <v/>
      </c>
      <c r="G368" s="492" t="s">
        <v>314</v>
      </c>
      <c r="H368" s="349" t="str">
        <f t="shared" si="2"/>
        <v/>
      </c>
      <c r="I368" s="349" t="str">
        <f t="shared" si="3"/>
        <v/>
      </c>
      <c r="J368" s="493"/>
      <c r="K368" s="349" t="str">
        <f>IFERROR(__xludf.DUMMYFUNCTION("if(ISBLANK(A368),"""",if(B368=""Buy"",CONCAT(GOOGLEFINANCE(A368,""name""),"" {Symbol: ""&amp;A368&amp;""} High Alert!! Share Has Reached Its Target Buying Price,""),""""))"),"")</f>
        <v/>
      </c>
      <c r="L368" s="349" t="b">
        <f>IFERROR(__xludf.DUMMYFUNCTION("if(B368= ""Buy"",CONCAT(GOOGLEFINANCE(A368,""NAME""),"" share currently trading at Rs""&amp;C368&amp;"", Which is ""&amp;H368&amp;"" below the Target price of Rs""&amp;D368&amp;"".""))"),FALSE)</f>
        <v>0</v>
      </c>
    </row>
    <row r="369">
      <c r="A369" s="349" t="str">
        <f>Dashboard!B465</f>
        <v/>
      </c>
      <c r="B369" s="349" t="str">
        <f>Dashboard!H465</f>
        <v/>
      </c>
      <c r="C369" s="356" t="str">
        <f>Dashboard!G465</f>
        <v/>
      </c>
      <c r="D369" s="489" t="str">
        <f>Dashboard!M465</f>
        <v/>
      </c>
      <c r="E369" s="490" t="s">
        <v>314</v>
      </c>
      <c r="F369" s="491" t="str">
        <f t="shared" si="1"/>
        <v/>
      </c>
      <c r="G369" s="492" t="s">
        <v>314</v>
      </c>
      <c r="H369" s="349" t="str">
        <f t="shared" si="2"/>
        <v/>
      </c>
      <c r="I369" s="349" t="str">
        <f t="shared" si="3"/>
        <v/>
      </c>
      <c r="J369" s="493"/>
      <c r="K369" s="349" t="str">
        <f>IFERROR(__xludf.DUMMYFUNCTION("if(ISBLANK(A369),"""",if(B369=""Buy"",CONCAT(GOOGLEFINANCE(A369,""name""),"" {Symbol: ""&amp;A369&amp;""} High Alert!! Share Has Reached Its Target Buying Price,""),""""))"),"")</f>
        <v/>
      </c>
      <c r="L369" s="349" t="b">
        <f>IFERROR(__xludf.DUMMYFUNCTION("if(B369= ""Buy"",CONCAT(GOOGLEFINANCE(A369,""NAME""),"" share currently trading at Rs""&amp;C369&amp;"", Which is ""&amp;H369&amp;"" below the Target price of Rs""&amp;D369&amp;"".""))"),FALSE)</f>
        <v>0</v>
      </c>
    </row>
    <row r="370">
      <c r="A370" s="349" t="str">
        <f>Dashboard!B466</f>
        <v/>
      </c>
      <c r="B370" s="349" t="str">
        <f>Dashboard!H466</f>
        <v/>
      </c>
      <c r="C370" s="356" t="str">
        <f>Dashboard!G466</f>
        <v/>
      </c>
      <c r="D370" s="489" t="str">
        <f>Dashboard!M466</f>
        <v/>
      </c>
      <c r="E370" s="490" t="s">
        <v>314</v>
      </c>
      <c r="F370" s="491" t="str">
        <f t="shared" si="1"/>
        <v/>
      </c>
      <c r="G370" s="492" t="s">
        <v>314</v>
      </c>
      <c r="H370" s="349" t="str">
        <f t="shared" si="2"/>
        <v/>
      </c>
      <c r="I370" s="349" t="str">
        <f t="shared" si="3"/>
        <v/>
      </c>
      <c r="J370" s="493"/>
      <c r="K370" s="349" t="str">
        <f>IFERROR(__xludf.DUMMYFUNCTION("if(ISBLANK(A370),"""",if(B370=""Buy"",CONCAT(GOOGLEFINANCE(A370,""name""),"" {Symbol: ""&amp;A370&amp;""} High Alert!! Share Has Reached Its Target Buying Price,""),""""))"),"")</f>
        <v/>
      </c>
      <c r="L370" s="349" t="b">
        <f>IFERROR(__xludf.DUMMYFUNCTION("if(B370= ""Buy"",CONCAT(GOOGLEFINANCE(A370,""NAME""),"" share currently trading at Rs""&amp;C370&amp;"", Which is ""&amp;H370&amp;"" below the Target price of Rs""&amp;D370&amp;"".""))"),FALSE)</f>
        <v>0</v>
      </c>
    </row>
    <row r="371">
      <c r="A371" s="349" t="str">
        <f>Dashboard!B467</f>
        <v/>
      </c>
      <c r="B371" s="349" t="str">
        <f>Dashboard!H467</f>
        <v/>
      </c>
      <c r="C371" s="356" t="str">
        <f>Dashboard!G467</f>
        <v/>
      </c>
      <c r="D371" s="489" t="str">
        <f>Dashboard!M467</f>
        <v/>
      </c>
      <c r="E371" s="490" t="s">
        <v>314</v>
      </c>
      <c r="F371" s="491" t="str">
        <f t="shared" si="1"/>
        <v/>
      </c>
      <c r="G371" s="492" t="s">
        <v>314</v>
      </c>
      <c r="H371" s="349" t="str">
        <f t="shared" si="2"/>
        <v/>
      </c>
      <c r="I371" s="349" t="str">
        <f t="shared" si="3"/>
        <v/>
      </c>
      <c r="J371" s="493"/>
      <c r="K371" s="349" t="str">
        <f>IFERROR(__xludf.DUMMYFUNCTION("if(ISBLANK(A371),"""",if(B371=""Buy"",CONCAT(GOOGLEFINANCE(A371,""name""),"" {Symbol: ""&amp;A371&amp;""} High Alert!! Share Has Reached Its Target Buying Price,""),""""))"),"")</f>
        <v/>
      </c>
      <c r="L371" s="349" t="b">
        <f>IFERROR(__xludf.DUMMYFUNCTION("if(B371= ""Buy"",CONCAT(GOOGLEFINANCE(A371,""NAME""),"" share currently trading at Rs""&amp;C371&amp;"", Which is ""&amp;H371&amp;"" below the Target price of Rs""&amp;D371&amp;"".""))"),FALSE)</f>
        <v>0</v>
      </c>
    </row>
    <row r="372">
      <c r="A372" s="349" t="str">
        <f>Dashboard!B468</f>
        <v/>
      </c>
      <c r="B372" s="349" t="str">
        <f>Dashboard!H468</f>
        <v/>
      </c>
      <c r="C372" s="356" t="str">
        <f>Dashboard!G468</f>
        <v/>
      </c>
      <c r="D372" s="489" t="str">
        <f>Dashboard!M468</f>
        <v/>
      </c>
      <c r="E372" s="490" t="s">
        <v>314</v>
      </c>
      <c r="F372" s="491" t="str">
        <f t="shared" si="1"/>
        <v/>
      </c>
      <c r="G372" s="492" t="s">
        <v>314</v>
      </c>
      <c r="H372" s="349" t="str">
        <f t="shared" si="2"/>
        <v/>
      </c>
      <c r="I372" s="349" t="str">
        <f t="shared" si="3"/>
        <v/>
      </c>
      <c r="J372" s="493"/>
      <c r="K372" s="349" t="str">
        <f>IFERROR(__xludf.DUMMYFUNCTION("if(ISBLANK(A372),"""",if(B372=""Buy"",CONCAT(GOOGLEFINANCE(A372,""name""),"" {Symbol: ""&amp;A372&amp;""} High Alert!! Share Has Reached Its Target Buying Price,""),""""))"),"")</f>
        <v/>
      </c>
      <c r="L372" s="349" t="b">
        <f>IFERROR(__xludf.DUMMYFUNCTION("if(B372= ""Buy"",CONCAT(GOOGLEFINANCE(A372,""NAME""),"" share currently trading at Rs""&amp;C372&amp;"", Which is ""&amp;H372&amp;"" below the Target price of Rs""&amp;D372&amp;"".""))"),FALSE)</f>
        <v>0</v>
      </c>
    </row>
    <row r="373">
      <c r="A373" s="349" t="str">
        <f>Dashboard!B469</f>
        <v/>
      </c>
      <c r="B373" s="349" t="str">
        <f>Dashboard!H469</f>
        <v/>
      </c>
      <c r="C373" s="356" t="str">
        <f>Dashboard!G469</f>
        <v/>
      </c>
      <c r="D373" s="489" t="str">
        <f>Dashboard!M469</f>
        <v/>
      </c>
      <c r="E373" s="490" t="s">
        <v>314</v>
      </c>
      <c r="F373" s="491" t="str">
        <f t="shared" si="1"/>
        <v/>
      </c>
      <c r="G373" s="492" t="s">
        <v>314</v>
      </c>
      <c r="H373" s="349" t="str">
        <f t="shared" si="2"/>
        <v/>
      </c>
      <c r="I373" s="349" t="str">
        <f t="shared" si="3"/>
        <v/>
      </c>
      <c r="J373" s="493"/>
      <c r="K373" s="349" t="str">
        <f>IFERROR(__xludf.DUMMYFUNCTION("if(ISBLANK(A373),"""",if(B373=""Buy"",CONCAT(GOOGLEFINANCE(A373,""name""),"" {Symbol: ""&amp;A373&amp;""} High Alert!! Share Has Reached Its Target Buying Price,""),""""))"),"")</f>
        <v/>
      </c>
      <c r="L373" s="349" t="b">
        <f>IFERROR(__xludf.DUMMYFUNCTION("if(B373= ""Buy"",CONCAT(GOOGLEFINANCE(A373,""NAME""),"" share currently trading at Rs""&amp;C373&amp;"", Which is ""&amp;H373&amp;"" below the Target price of Rs""&amp;D373&amp;"".""))"),FALSE)</f>
        <v>0</v>
      </c>
    </row>
    <row r="374">
      <c r="A374" s="349" t="str">
        <f>Dashboard!B470</f>
        <v/>
      </c>
      <c r="B374" s="349" t="str">
        <f>Dashboard!H470</f>
        <v/>
      </c>
      <c r="C374" s="356" t="str">
        <f>Dashboard!G470</f>
        <v/>
      </c>
      <c r="D374" s="489" t="str">
        <f>Dashboard!M470</f>
        <v/>
      </c>
      <c r="E374" s="490" t="s">
        <v>314</v>
      </c>
      <c r="F374" s="491" t="str">
        <f t="shared" si="1"/>
        <v/>
      </c>
      <c r="G374" s="492" t="s">
        <v>314</v>
      </c>
      <c r="H374" s="349" t="str">
        <f t="shared" si="2"/>
        <v/>
      </c>
      <c r="I374" s="349" t="str">
        <f t="shared" si="3"/>
        <v/>
      </c>
      <c r="J374" s="493"/>
      <c r="K374" s="349" t="str">
        <f>IFERROR(__xludf.DUMMYFUNCTION("if(ISBLANK(A374),"""",if(B374=""Buy"",CONCAT(GOOGLEFINANCE(A374,""name""),"" {Symbol: ""&amp;A374&amp;""} High Alert!! Share Has Reached Its Target Buying Price,""),""""))"),"")</f>
        <v/>
      </c>
      <c r="L374" s="349" t="b">
        <f>IFERROR(__xludf.DUMMYFUNCTION("if(B374= ""Buy"",CONCAT(GOOGLEFINANCE(A374,""NAME""),"" share currently trading at Rs""&amp;C374&amp;"", Which is ""&amp;H374&amp;"" below the Target price of Rs""&amp;D374&amp;"".""))"),FALSE)</f>
        <v>0</v>
      </c>
    </row>
    <row r="375">
      <c r="A375" s="349" t="str">
        <f>Dashboard!B471</f>
        <v/>
      </c>
      <c r="B375" s="349" t="str">
        <f>Dashboard!H471</f>
        <v/>
      </c>
      <c r="C375" s="356" t="str">
        <f>Dashboard!G471</f>
        <v/>
      </c>
      <c r="D375" s="489" t="str">
        <f>Dashboard!M471</f>
        <v/>
      </c>
      <c r="E375" s="490" t="s">
        <v>314</v>
      </c>
      <c r="F375" s="491" t="str">
        <f t="shared" si="1"/>
        <v/>
      </c>
      <c r="G375" s="492" t="s">
        <v>314</v>
      </c>
      <c r="H375" s="349" t="str">
        <f t="shared" si="2"/>
        <v/>
      </c>
      <c r="I375" s="349" t="str">
        <f t="shared" si="3"/>
        <v/>
      </c>
      <c r="J375" s="493"/>
      <c r="K375" s="349" t="str">
        <f>IFERROR(__xludf.DUMMYFUNCTION("if(ISBLANK(A375),"""",if(B375=""Buy"",CONCAT(GOOGLEFINANCE(A375,""name""),"" {Symbol: ""&amp;A375&amp;""} High Alert!! Share Has Reached Its Target Buying Price,""),""""))"),"")</f>
        <v/>
      </c>
      <c r="L375" s="349" t="b">
        <f>IFERROR(__xludf.DUMMYFUNCTION("if(B375= ""Buy"",CONCAT(GOOGLEFINANCE(A375,""NAME""),"" share currently trading at Rs""&amp;C375&amp;"", Which is ""&amp;H375&amp;"" below the Target price of Rs""&amp;D375&amp;"".""))"),FALSE)</f>
        <v>0</v>
      </c>
    </row>
    <row r="376">
      <c r="A376" s="349" t="str">
        <f>Dashboard!B472</f>
        <v/>
      </c>
      <c r="B376" s="349" t="str">
        <f>Dashboard!H472</f>
        <v/>
      </c>
      <c r="C376" s="356" t="str">
        <f>Dashboard!G472</f>
        <v/>
      </c>
      <c r="D376" s="489" t="str">
        <f>Dashboard!M472</f>
        <v/>
      </c>
      <c r="E376" s="490" t="s">
        <v>314</v>
      </c>
      <c r="F376" s="491" t="str">
        <f t="shared" si="1"/>
        <v/>
      </c>
      <c r="G376" s="492" t="s">
        <v>314</v>
      </c>
      <c r="H376" s="349" t="str">
        <f t="shared" si="2"/>
        <v/>
      </c>
      <c r="I376" s="349" t="str">
        <f t="shared" si="3"/>
        <v/>
      </c>
      <c r="J376" s="493"/>
      <c r="K376" s="349" t="str">
        <f>IFERROR(__xludf.DUMMYFUNCTION("if(ISBLANK(A376),"""",if(B376=""Buy"",CONCAT(GOOGLEFINANCE(A376,""name""),"" {Symbol: ""&amp;A376&amp;""} High Alert!! Share Has Reached Its Target Buying Price,""),""""))"),"")</f>
        <v/>
      </c>
      <c r="L376" s="349" t="b">
        <f>IFERROR(__xludf.DUMMYFUNCTION("if(B376= ""Buy"",CONCAT(GOOGLEFINANCE(A376,""NAME""),"" share currently trading at Rs""&amp;C376&amp;"", Which is ""&amp;H376&amp;"" below the Target price of Rs""&amp;D376&amp;"".""))"),FALSE)</f>
        <v>0</v>
      </c>
    </row>
    <row r="377">
      <c r="A377" s="349" t="str">
        <f>Dashboard!B473</f>
        <v/>
      </c>
      <c r="B377" s="349" t="str">
        <f>Dashboard!H473</f>
        <v/>
      </c>
      <c r="C377" s="356" t="str">
        <f>Dashboard!G473</f>
        <v/>
      </c>
      <c r="D377" s="489" t="str">
        <f>Dashboard!M473</f>
        <v/>
      </c>
      <c r="E377" s="490" t="s">
        <v>314</v>
      </c>
      <c r="F377" s="491" t="str">
        <f t="shared" si="1"/>
        <v/>
      </c>
      <c r="G377" s="492" t="s">
        <v>314</v>
      </c>
      <c r="H377" s="349" t="str">
        <f t="shared" si="2"/>
        <v/>
      </c>
      <c r="I377" s="349" t="str">
        <f t="shared" si="3"/>
        <v/>
      </c>
      <c r="J377" s="493"/>
      <c r="K377" s="349" t="str">
        <f>IFERROR(__xludf.DUMMYFUNCTION("if(ISBLANK(A377),"""",if(B377=""Buy"",CONCAT(GOOGLEFINANCE(A377,""name""),"" {Symbol: ""&amp;A377&amp;""} High Alert!! Share Has Reached Its Target Buying Price,""),""""))"),"")</f>
        <v/>
      </c>
      <c r="L377" s="349" t="b">
        <f>IFERROR(__xludf.DUMMYFUNCTION("if(B377= ""Buy"",CONCAT(GOOGLEFINANCE(A377,""NAME""),"" share currently trading at Rs""&amp;C377&amp;"", Which is ""&amp;H377&amp;"" below the Target price of Rs""&amp;D377&amp;"".""))"),FALSE)</f>
        <v>0</v>
      </c>
    </row>
    <row r="378">
      <c r="A378" s="349" t="str">
        <f>Dashboard!B474</f>
        <v/>
      </c>
      <c r="B378" s="349" t="str">
        <f>Dashboard!H474</f>
        <v/>
      </c>
      <c r="C378" s="356" t="str">
        <f>Dashboard!G474</f>
        <v/>
      </c>
      <c r="D378" s="489" t="str">
        <f>Dashboard!M474</f>
        <v/>
      </c>
      <c r="E378" s="490" t="s">
        <v>314</v>
      </c>
      <c r="F378" s="491" t="str">
        <f t="shared" si="1"/>
        <v/>
      </c>
      <c r="G378" s="492" t="s">
        <v>314</v>
      </c>
      <c r="H378" s="349" t="str">
        <f t="shared" si="2"/>
        <v/>
      </c>
      <c r="I378" s="349" t="str">
        <f t="shared" si="3"/>
        <v/>
      </c>
      <c r="J378" s="493"/>
      <c r="K378" s="349" t="str">
        <f>IFERROR(__xludf.DUMMYFUNCTION("if(ISBLANK(A378),"""",if(B378=""Buy"",CONCAT(GOOGLEFINANCE(A378,""name""),"" {Symbol: ""&amp;A378&amp;""} High Alert!! Share Has Reached Its Target Buying Price,""),""""))"),"")</f>
        <v/>
      </c>
      <c r="L378" s="349" t="b">
        <f>IFERROR(__xludf.DUMMYFUNCTION("if(B378= ""Buy"",CONCAT(GOOGLEFINANCE(A378,""NAME""),"" share currently trading at Rs""&amp;C378&amp;"", Which is ""&amp;H378&amp;"" below the Target price of Rs""&amp;D378&amp;"".""))"),FALSE)</f>
        <v>0</v>
      </c>
    </row>
    <row r="379">
      <c r="A379" s="349" t="str">
        <f>Dashboard!B475</f>
        <v/>
      </c>
      <c r="B379" s="349" t="str">
        <f>Dashboard!H475</f>
        <v/>
      </c>
      <c r="C379" s="356" t="str">
        <f>Dashboard!G475</f>
        <v/>
      </c>
      <c r="D379" s="489" t="str">
        <f>Dashboard!M475</f>
        <v/>
      </c>
      <c r="E379" s="490" t="s">
        <v>314</v>
      </c>
      <c r="F379" s="491" t="str">
        <f t="shared" si="1"/>
        <v/>
      </c>
      <c r="G379" s="492" t="s">
        <v>314</v>
      </c>
      <c r="H379" s="349" t="str">
        <f t="shared" si="2"/>
        <v/>
      </c>
      <c r="I379" s="349" t="str">
        <f t="shared" si="3"/>
        <v/>
      </c>
      <c r="J379" s="493"/>
      <c r="K379" s="349" t="str">
        <f>IFERROR(__xludf.DUMMYFUNCTION("if(ISBLANK(A379),"""",if(B379=""Buy"",CONCAT(GOOGLEFINANCE(A379,""name""),"" {Symbol: ""&amp;A379&amp;""} High Alert!! Share Has Reached Its Target Buying Price,""),""""))"),"")</f>
        <v/>
      </c>
      <c r="L379" s="349" t="b">
        <f>IFERROR(__xludf.DUMMYFUNCTION("if(B379= ""Buy"",CONCAT(GOOGLEFINANCE(A379,""NAME""),"" share currently trading at Rs""&amp;C379&amp;"", Which is ""&amp;H379&amp;"" below the Target price of Rs""&amp;D379&amp;"".""))"),FALSE)</f>
        <v>0</v>
      </c>
    </row>
    <row r="380">
      <c r="A380" s="349" t="str">
        <f>Dashboard!B476</f>
        <v/>
      </c>
      <c r="B380" s="349" t="str">
        <f>Dashboard!H476</f>
        <v/>
      </c>
      <c r="C380" s="356" t="str">
        <f>Dashboard!G476</f>
        <v/>
      </c>
      <c r="D380" s="489" t="str">
        <f>Dashboard!M476</f>
        <v/>
      </c>
      <c r="E380" s="490" t="s">
        <v>314</v>
      </c>
      <c r="F380" s="491" t="str">
        <f t="shared" si="1"/>
        <v/>
      </c>
      <c r="G380" s="492" t="s">
        <v>314</v>
      </c>
      <c r="H380" s="349" t="str">
        <f t="shared" si="2"/>
        <v/>
      </c>
      <c r="I380" s="349" t="str">
        <f t="shared" si="3"/>
        <v/>
      </c>
      <c r="J380" s="493"/>
      <c r="K380" s="349" t="str">
        <f>IFERROR(__xludf.DUMMYFUNCTION("if(ISBLANK(A380),"""",if(B380=""Buy"",CONCAT(GOOGLEFINANCE(A380,""name""),"" {Symbol: ""&amp;A380&amp;""} High Alert!! Share Has Reached Its Target Buying Price,""),""""))"),"")</f>
        <v/>
      </c>
      <c r="L380" s="349" t="b">
        <f>IFERROR(__xludf.DUMMYFUNCTION("if(B380= ""Buy"",CONCAT(GOOGLEFINANCE(A380,""NAME""),"" share currently trading at Rs""&amp;C380&amp;"", Which is ""&amp;H380&amp;"" below the Target price of Rs""&amp;D380&amp;"".""))"),FALSE)</f>
        <v>0</v>
      </c>
    </row>
    <row r="381">
      <c r="A381" s="349" t="str">
        <f>Dashboard!B477</f>
        <v/>
      </c>
      <c r="B381" s="349" t="str">
        <f>Dashboard!H477</f>
        <v/>
      </c>
      <c r="C381" s="356" t="str">
        <f>Dashboard!G477</f>
        <v/>
      </c>
      <c r="D381" s="489" t="str">
        <f>Dashboard!M477</f>
        <v/>
      </c>
      <c r="E381" s="490" t="s">
        <v>314</v>
      </c>
      <c r="F381" s="491" t="str">
        <f t="shared" si="1"/>
        <v/>
      </c>
      <c r="G381" s="492" t="s">
        <v>314</v>
      </c>
      <c r="H381" s="349" t="str">
        <f t="shared" si="2"/>
        <v/>
      </c>
      <c r="I381" s="349" t="str">
        <f t="shared" si="3"/>
        <v/>
      </c>
      <c r="J381" s="493"/>
      <c r="K381" s="349" t="str">
        <f>IFERROR(__xludf.DUMMYFUNCTION("if(ISBLANK(A381),"""",if(B381=""Buy"",CONCAT(GOOGLEFINANCE(A381,""name""),"" {Symbol: ""&amp;A381&amp;""} High Alert!! Share Has Reached Its Target Buying Price,""),""""))"),"")</f>
        <v/>
      </c>
      <c r="L381" s="349" t="b">
        <f>IFERROR(__xludf.DUMMYFUNCTION("if(B381= ""Buy"",CONCAT(GOOGLEFINANCE(A381,""NAME""),"" share currently trading at Rs""&amp;C381&amp;"", Which is ""&amp;H381&amp;"" below the Target price of Rs""&amp;D381&amp;"".""))"),FALSE)</f>
        <v>0</v>
      </c>
    </row>
    <row r="382">
      <c r="A382" s="349" t="str">
        <f>Dashboard!B478</f>
        <v/>
      </c>
      <c r="B382" s="349" t="str">
        <f>Dashboard!H478</f>
        <v/>
      </c>
      <c r="C382" s="356" t="str">
        <f>Dashboard!G478</f>
        <v/>
      </c>
      <c r="D382" s="489" t="str">
        <f>Dashboard!M478</f>
        <v/>
      </c>
      <c r="E382" s="490" t="s">
        <v>314</v>
      </c>
      <c r="F382" s="491" t="str">
        <f t="shared" si="1"/>
        <v/>
      </c>
      <c r="G382" s="492" t="s">
        <v>314</v>
      </c>
      <c r="H382" s="349" t="str">
        <f t="shared" si="2"/>
        <v/>
      </c>
      <c r="I382" s="349" t="str">
        <f t="shared" si="3"/>
        <v/>
      </c>
      <c r="J382" s="493"/>
      <c r="K382" s="349" t="str">
        <f>IFERROR(__xludf.DUMMYFUNCTION("if(ISBLANK(A382),"""",if(B382=""Buy"",CONCAT(GOOGLEFINANCE(A382,""name""),"" {Symbol: ""&amp;A382&amp;""} High Alert!! Share Has Reached Its Target Buying Price,""),""""))"),"")</f>
        <v/>
      </c>
      <c r="L382" s="349" t="b">
        <f>IFERROR(__xludf.DUMMYFUNCTION("if(B382= ""Buy"",CONCAT(GOOGLEFINANCE(A382,""NAME""),"" share currently trading at Rs""&amp;C382&amp;"", Which is ""&amp;H382&amp;"" below the Target price of Rs""&amp;D382&amp;"".""))"),FALSE)</f>
        <v>0</v>
      </c>
    </row>
    <row r="383">
      <c r="A383" s="349" t="str">
        <f>Dashboard!B479</f>
        <v/>
      </c>
      <c r="B383" s="349" t="str">
        <f>Dashboard!H479</f>
        <v/>
      </c>
      <c r="C383" s="356" t="str">
        <f>Dashboard!G479</f>
        <v/>
      </c>
      <c r="D383" s="489" t="str">
        <f>Dashboard!M479</f>
        <v/>
      </c>
      <c r="E383" s="490" t="s">
        <v>314</v>
      </c>
      <c r="F383" s="491" t="str">
        <f t="shared" si="1"/>
        <v/>
      </c>
      <c r="G383" s="492" t="s">
        <v>314</v>
      </c>
      <c r="H383" s="349" t="str">
        <f t="shared" si="2"/>
        <v/>
      </c>
      <c r="I383" s="349" t="str">
        <f t="shared" si="3"/>
        <v/>
      </c>
      <c r="J383" s="493"/>
      <c r="K383" s="349" t="str">
        <f>IFERROR(__xludf.DUMMYFUNCTION("if(ISBLANK(A383),"""",if(B383=""Buy"",CONCAT(GOOGLEFINANCE(A383,""name""),"" {Symbol: ""&amp;A383&amp;""} High Alert!! Share Has Reached Its Target Buying Price,""),""""))"),"")</f>
        <v/>
      </c>
      <c r="L383" s="349" t="b">
        <f>IFERROR(__xludf.DUMMYFUNCTION("if(B383= ""Buy"",CONCAT(GOOGLEFINANCE(A383,""NAME""),"" share currently trading at Rs""&amp;C383&amp;"", Which is ""&amp;H383&amp;"" below the Target price of Rs""&amp;D383&amp;"".""))"),FALSE)</f>
        <v>0</v>
      </c>
    </row>
    <row r="384">
      <c r="A384" s="349" t="str">
        <f>Dashboard!B480</f>
        <v/>
      </c>
      <c r="B384" s="349" t="str">
        <f>Dashboard!H480</f>
        <v/>
      </c>
      <c r="C384" s="356" t="str">
        <f>Dashboard!G480</f>
        <v/>
      </c>
      <c r="D384" s="489" t="str">
        <f>Dashboard!M480</f>
        <v/>
      </c>
      <c r="E384" s="490" t="s">
        <v>314</v>
      </c>
      <c r="F384" s="491" t="str">
        <f t="shared" si="1"/>
        <v/>
      </c>
      <c r="G384" s="492" t="s">
        <v>314</v>
      </c>
      <c r="H384" s="349" t="str">
        <f t="shared" si="2"/>
        <v/>
      </c>
      <c r="I384" s="349" t="str">
        <f t="shared" si="3"/>
        <v/>
      </c>
      <c r="J384" s="493"/>
      <c r="K384" s="349" t="str">
        <f>IFERROR(__xludf.DUMMYFUNCTION("if(ISBLANK(A384),"""",if(B384=""Buy"",CONCAT(GOOGLEFINANCE(A384,""name""),"" {Symbol: ""&amp;A384&amp;""} High Alert!! Share Has Reached Its Target Buying Price,""),""""))"),"")</f>
        <v/>
      </c>
      <c r="L384" s="349" t="b">
        <f>IFERROR(__xludf.DUMMYFUNCTION("if(B384= ""Buy"",CONCAT(GOOGLEFINANCE(A384,""NAME""),"" share currently trading at Rs""&amp;C384&amp;"", Which is ""&amp;H384&amp;"" below the Target price of Rs""&amp;D384&amp;"".""))"),FALSE)</f>
        <v>0</v>
      </c>
    </row>
    <row r="385">
      <c r="A385" s="349" t="str">
        <f>Dashboard!B481</f>
        <v/>
      </c>
      <c r="B385" s="349" t="str">
        <f>Dashboard!H481</f>
        <v/>
      </c>
      <c r="C385" s="356" t="str">
        <f>Dashboard!G481</f>
        <v/>
      </c>
      <c r="D385" s="489" t="str">
        <f>Dashboard!M481</f>
        <v/>
      </c>
      <c r="E385" s="490" t="s">
        <v>314</v>
      </c>
      <c r="F385" s="491" t="str">
        <f t="shared" si="1"/>
        <v/>
      </c>
      <c r="G385" s="492" t="s">
        <v>314</v>
      </c>
      <c r="H385" s="349" t="str">
        <f t="shared" si="2"/>
        <v/>
      </c>
      <c r="I385" s="349" t="str">
        <f t="shared" si="3"/>
        <v/>
      </c>
      <c r="J385" s="493"/>
      <c r="K385" s="349" t="str">
        <f>IFERROR(__xludf.DUMMYFUNCTION("if(ISBLANK(A385),"""",if(B385=""Buy"",CONCAT(GOOGLEFINANCE(A385,""name""),"" {Symbol: ""&amp;A385&amp;""} High Alert!! Share Has Reached Its Target Buying Price,""),""""))"),"")</f>
        <v/>
      </c>
      <c r="L385" s="349" t="b">
        <f>IFERROR(__xludf.DUMMYFUNCTION("if(B385= ""Buy"",CONCAT(GOOGLEFINANCE(A385,""NAME""),"" share currently trading at Rs""&amp;C385&amp;"", Which is ""&amp;H385&amp;"" below the Target price of Rs""&amp;D385&amp;"".""))"),FALSE)</f>
        <v>0</v>
      </c>
    </row>
    <row r="386">
      <c r="A386" s="349" t="str">
        <f>Dashboard!B482</f>
        <v/>
      </c>
      <c r="B386" s="349" t="str">
        <f>Dashboard!H482</f>
        <v/>
      </c>
      <c r="C386" s="356" t="str">
        <f>Dashboard!G482</f>
        <v/>
      </c>
      <c r="D386" s="489" t="str">
        <f>Dashboard!M482</f>
        <v/>
      </c>
      <c r="E386" s="490" t="s">
        <v>314</v>
      </c>
      <c r="F386" s="491" t="str">
        <f t="shared" si="1"/>
        <v/>
      </c>
      <c r="G386" s="492" t="s">
        <v>314</v>
      </c>
      <c r="H386" s="349" t="str">
        <f t="shared" si="2"/>
        <v/>
      </c>
      <c r="I386" s="349" t="str">
        <f t="shared" si="3"/>
        <v/>
      </c>
      <c r="J386" s="493"/>
      <c r="K386" s="349" t="str">
        <f>IFERROR(__xludf.DUMMYFUNCTION("if(ISBLANK(A386),"""",if(B386=""Buy"",CONCAT(GOOGLEFINANCE(A386,""name""),"" {Symbol: ""&amp;A386&amp;""} High Alert!! Share Has Reached Its Target Buying Price,""),""""))"),"")</f>
        <v/>
      </c>
      <c r="L386" s="349" t="b">
        <f>IFERROR(__xludf.DUMMYFUNCTION("if(B386= ""Buy"",CONCAT(GOOGLEFINANCE(A386,""NAME""),"" share currently trading at Rs""&amp;C386&amp;"", Which is ""&amp;H386&amp;"" below the Target price of Rs""&amp;D386&amp;"".""))"),FALSE)</f>
        <v>0</v>
      </c>
    </row>
    <row r="387">
      <c r="A387" s="349" t="str">
        <f>Dashboard!B483</f>
        <v/>
      </c>
      <c r="B387" s="349" t="str">
        <f>Dashboard!H483</f>
        <v/>
      </c>
      <c r="C387" s="356" t="str">
        <f>Dashboard!G483</f>
        <v/>
      </c>
      <c r="D387" s="489" t="str">
        <f>Dashboard!M483</f>
        <v/>
      </c>
      <c r="E387" s="490" t="s">
        <v>314</v>
      </c>
      <c r="F387" s="491" t="str">
        <f t="shared" si="1"/>
        <v/>
      </c>
      <c r="G387" s="492" t="s">
        <v>314</v>
      </c>
      <c r="H387" s="349" t="str">
        <f t="shared" si="2"/>
        <v/>
      </c>
      <c r="I387" s="349" t="str">
        <f t="shared" si="3"/>
        <v/>
      </c>
      <c r="J387" s="493"/>
      <c r="K387" s="349" t="str">
        <f>IFERROR(__xludf.DUMMYFUNCTION("if(ISBLANK(A387),"""",if(B387=""Buy"",CONCAT(GOOGLEFINANCE(A387,""name""),"" {Symbol: ""&amp;A387&amp;""} High Alert!! Share Has Reached Its Target Buying Price,""),""""))"),"")</f>
        <v/>
      </c>
      <c r="L387" s="349" t="b">
        <f>IFERROR(__xludf.DUMMYFUNCTION("if(B387= ""Buy"",CONCAT(GOOGLEFINANCE(A387,""NAME""),"" share currently trading at Rs""&amp;C387&amp;"", Which is ""&amp;H387&amp;"" below the Target price of Rs""&amp;D387&amp;"".""))"),FALSE)</f>
        <v>0</v>
      </c>
    </row>
    <row r="388">
      <c r="A388" s="349" t="str">
        <f>Dashboard!B484</f>
        <v/>
      </c>
      <c r="B388" s="349" t="str">
        <f>Dashboard!H484</f>
        <v/>
      </c>
      <c r="C388" s="356" t="str">
        <f>Dashboard!G484</f>
        <v/>
      </c>
      <c r="D388" s="489" t="str">
        <f>Dashboard!M484</f>
        <v/>
      </c>
      <c r="E388" s="490" t="s">
        <v>314</v>
      </c>
      <c r="F388" s="491" t="str">
        <f t="shared" si="1"/>
        <v/>
      </c>
      <c r="G388" s="492" t="s">
        <v>314</v>
      </c>
      <c r="H388" s="349" t="str">
        <f t="shared" si="2"/>
        <v/>
      </c>
      <c r="I388" s="349" t="str">
        <f t="shared" si="3"/>
        <v/>
      </c>
      <c r="J388" s="493"/>
      <c r="K388" s="349" t="str">
        <f>IFERROR(__xludf.DUMMYFUNCTION("if(ISBLANK(A388),"""",if(B388=""Buy"",CONCAT(GOOGLEFINANCE(A388,""name""),"" {Symbol: ""&amp;A388&amp;""} High Alert!! Share Has Reached Its Target Buying Price,""),""""))"),"")</f>
        <v/>
      </c>
      <c r="L388" s="349" t="b">
        <f>IFERROR(__xludf.DUMMYFUNCTION("if(B388= ""Buy"",CONCAT(GOOGLEFINANCE(A388,""NAME""),"" share currently trading at Rs""&amp;C388&amp;"", Which is ""&amp;H388&amp;"" below the Target price of Rs""&amp;D388&amp;"".""))"),FALSE)</f>
        <v>0</v>
      </c>
    </row>
    <row r="389">
      <c r="A389" s="349" t="str">
        <f>Dashboard!B485</f>
        <v/>
      </c>
      <c r="B389" s="349" t="str">
        <f>Dashboard!H485</f>
        <v/>
      </c>
      <c r="C389" s="356" t="str">
        <f>Dashboard!G485</f>
        <v/>
      </c>
      <c r="D389" s="489" t="str">
        <f>Dashboard!M485</f>
        <v/>
      </c>
      <c r="E389" s="490" t="s">
        <v>314</v>
      </c>
      <c r="F389" s="491" t="str">
        <f t="shared" si="1"/>
        <v/>
      </c>
      <c r="G389" s="492" t="s">
        <v>314</v>
      </c>
      <c r="H389" s="349" t="str">
        <f t="shared" si="2"/>
        <v/>
      </c>
      <c r="I389" s="349" t="str">
        <f t="shared" si="3"/>
        <v/>
      </c>
      <c r="J389" s="493"/>
      <c r="K389" s="349" t="str">
        <f>IFERROR(__xludf.DUMMYFUNCTION("if(ISBLANK(A389),"""",if(B389=""Buy"",CONCAT(GOOGLEFINANCE(A389,""name""),"" {Symbol: ""&amp;A389&amp;""} High Alert!! Share Has Reached Its Target Buying Price,""),""""))"),"")</f>
        <v/>
      </c>
      <c r="L389" s="349" t="b">
        <f>IFERROR(__xludf.DUMMYFUNCTION("if(B389= ""Buy"",CONCAT(GOOGLEFINANCE(A389,""NAME""),"" share currently trading at Rs""&amp;C389&amp;"", Which is ""&amp;H389&amp;"" below the Target price of Rs""&amp;D389&amp;"".""))"),FALSE)</f>
        <v>0</v>
      </c>
    </row>
    <row r="390">
      <c r="A390" s="349" t="str">
        <f>Dashboard!B486</f>
        <v/>
      </c>
      <c r="B390" s="349" t="str">
        <f>Dashboard!H486</f>
        <v/>
      </c>
      <c r="C390" s="356" t="str">
        <f>Dashboard!G486</f>
        <v/>
      </c>
      <c r="D390" s="489" t="str">
        <f>Dashboard!M486</f>
        <v/>
      </c>
      <c r="E390" s="490" t="s">
        <v>314</v>
      </c>
      <c r="F390" s="491" t="str">
        <f t="shared" si="1"/>
        <v/>
      </c>
      <c r="G390" s="492" t="s">
        <v>314</v>
      </c>
      <c r="H390" s="349" t="str">
        <f t="shared" si="2"/>
        <v/>
      </c>
      <c r="I390" s="349" t="str">
        <f t="shared" si="3"/>
        <v/>
      </c>
      <c r="J390" s="493"/>
      <c r="K390" s="349" t="str">
        <f>IFERROR(__xludf.DUMMYFUNCTION("if(ISBLANK(A390),"""",if(B390=""Buy"",CONCAT(GOOGLEFINANCE(A390,""name""),"" {Symbol: ""&amp;A390&amp;""} High Alert!! Share Has Reached Its Target Buying Price,""),""""))"),"")</f>
        <v/>
      </c>
      <c r="L390" s="349" t="b">
        <f>IFERROR(__xludf.DUMMYFUNCTION("if(B390= ""Buy"",CONCAT(GOOGLEFINANCE(A390,""NAME""),"" share currently trading at Rs""&amp;C390&amp;"", Which is ""&amp;H390&amp;"" below the Target price of Rs""&amp;D390&amp;"".""))"),FALSE)</f>
        <v>0</v>
      </c>
    </row>
    <row r="391">
      <c r="A391" s="349" t="str">
        <f>Dashboard!B487</f>
        <v/>
      </c>
      <c r="B391" s="349" t="str">
        <f>Dashboard!H487</f>
        <v/>
      </c>
      <c r="C391" s="356" t="str">
        <f>Dashboard!G487</f>
        <v/>
      </c>
      <c r="D391" s="489" t="str">
        <f>Dashboard!M487</f>
        <v/>
      </c>
      <c r="E391" s="490" t="s">
        <v>314</v>
      </c>
      <c r="F391" s="491" t="str">
        <f t="shared" si="1"/>
        <v/>
      </c>
      <c r="G391" s="492" t="s">
        <v>314</v>
      </c>
      <c r="H391" s="349" t="str">
        <f t="shared" si="2"/>
        <v/>
      </c>
      <c r="I391" s="349" t="str">
        <f t="shared" si="3"/>
        <v/>
      </c>
      <c r="J391" s="493"/>
      <c r="K391" s="349" t="str">
        <f>IFERROR(__xludf.DUMMYFUNCTION("if(ISBLANK(A391),"""",if(B391=""Buy"",CONCAT(GOOGLEFINANCE(A391,""name""),"" {Symbol: ""&amp;A391&amp;""} High Alert!! Share Has Reached Its Target Buying Price,""),""""))"),"")</f>
        <v/>
      </c>
      <c r="L391" s="349" t="b">
        <f>IFERROR(__xludf.DUMMYFUNCTION("if(B391= ""Buy"",CONCAT(GOOGLEFINANCE(A391,""NAME""),"" share currently trading at Rs""&amp;C391&amp;"", Which is ""&amp;H391&amp;"" below the Target price of Rs""&amp;D391&amp;"".""))"),FALSE)</f>
        <v>0</v>
      </c>
    </row>
    <row r="392">
      <c r="A392" s="349" t="str">
        <f>Dashboard!B488</f>
        <v/>
      </c>
      <c r="B392" s="349" t="str">
        <f>Dashboard!H488</f>
        <v/>
      </c>
      <c r="C392" s="356" t="str">
        <f>Dashboard!G488</f>
        <v/>
      </c>
      <c r="D392" s="489" t="str">
        <f>Dashboard!M488</f>
        <v/>
      </c>
      <c r="E392" s="490" t="s">
        <v>314</v>
      </c>
      <c r="F392" s="491" t="str">
        <f t="shared" si="1"/>
        <v/>
      </c>
      <c r="G392" s="492" t="s">
        <v>314</v>
      </c>
      <c r="H392" s="349" t="str">
        <f t="shared" si="2"/>
        <v/>
      </c>
      <c r="I392" s="349" t="str">
        <f t="shared" si="3"/>
        <v/>
      </c>
      <c r="J392" s="493"/>
      <c r="K392" s="349" t="str">
        <f>IFERROR(__xludf.DUMMYFUNCTION("if(ISBLANK(A392),"""",if(B392=""Buy"",CONCAT(GOOGLEFINANCE(A392,""name""),"" {Symbol: ""&amp;A392&amp;""} High Alert!! Share Has Reached Its Target Buying Price,""),""""))"),"")</f>
        <v/>
      </c>
      <c r="L392" s="349" t="b">
        <f>IFERROR(__xludf.DUMMYFUNCTION("if(B392= ""Buy"",CONCAT(GOOGLEFINANCE(A392,""NAME""),"" share currently trading at Rs""&amp;C392&amp;"", Which is ""&amp;H392&amp;"" below the Target price of Rs""&amp;D392&amp;"".""))"),FALSE)</f>
        <v>0</v>
      </c>
    </row>
    <row r="393">
      <c r="A393" s="349" t="str">
        <f>Dashboard!B489</f>
        <v/>
      </c>
      <c r="B393" s="349" t="str">
        <f>Dashboard!H489</f>
        <v/>
      </c>
      <c r="C393" s="356" t="str">
        <f>Dashboard!G489</f>
        <v/>
      </c>
      <c r="D393" s="489" t="str">
        <f>Dashboard!M489</f>
        <v/>
      </c>
      <c r="E393" s="490" t="s">
        <v>314</v>
      </c>
      <c r="F393" s="491" t="str">
        <f t="shared" si="1"/>
        <v/>
      </c>
      <c r="G393" s="492" t="s">
        <v>314</v>
      </c>
      <c r="H393" s="349" t="str">
        <f t="shared" si="2"/>
        <v/>
      </c>
      <c r="I393" s="349" t="str">
        <f t="shared" si="3"/>
        <v/>
      </c>
      <c r="J393" s="493"/>
      <c r="K393" s="349" t="str">
        <f>IFERROR(__xludf.DUMMYFUNCTION("if(ISBLANK(A393),"""",if(B393=""Buy"",CONCAT(GOOGLEFINANCE(A393,""name""),"" {Symbol: ""&amp;A393&amp;""} High Alert!! Share Has Reached Its Target Buying Price,""),""""))"),"")</f>
        <v/>
      </c>
      <c r="L393" s="349" t="b">
        <f>IFERROR(__xludf.DUMMYFUNCTION("if(B393= ""Buy"",CONCAT(GOOGLEFINANCE(A393,""NAME""),"" share currently trading at Rs""&amp;C393&amp;"", Which is ""&amp;H393&amp;"" below the Target price of Rs""&amp;D393&amp;"".""))"),FALSE)</f>
        <v>0</v>
      </c>
    </row>
    <row r="394">
      <c r="A394" s="349" t="str">
        <f>Dashboard!B490</f>
        <v/>
      </c>
      <c r="B394" s="349" t="str">
        <f>Dashboard!H490</f>
        <v/>
      </c>
      <c r="C394" s="356" t="str">
        <f>Dashboard!G490</f>
        <v/>
      </c>
      <c r="D394" s="489" t="str">
        <f>Dashboard!M490</f>
        <v/>
      </c>
      <c r="E394" s="490" t="s">
        <v>314</v>
      </c>
      <c r="F394" s="491" t="str">
        <f t="shared" si="1"/>
        <v/>
      </c>
      <c r="G394" s="492" t="s">
        <v>314</v>
      </c>
      <c r="H394" s="349" t="str">
        <f t="shared" si="2"/>
        <v/>
      </c>
      <c r="I394" s="349" t="str">
        <f t="shared" si="3"/>
        <v/>
      </c>
      <c r="J394" s="493"/>
      <c r="K394" s="349" t="str">
        <f>IFERROR(__xludf.DUMMYFUNCTION("if(ISBLANK(A394),"""",if(B394=""Buy"",CONCAT(GOOGLEFINANCE(A394,""name""),"" {Symbol: ""&amp;A394&amp;""} High Alert!! Share Has Reached Its Target Buying Price,""),""""))"),"")</f>
        <v/>
      </c>
      <c r="L394" s="349" t="b">
        <f>IFERROR(__xludf.DUMMYFUNCTION("if(B394= ""Buy"",CONCAT(GOOGLEFINANCE(A394,""NAME""),"" share currently trading at Rs""&amp;C394&amp;"", Which is ""&amp;H394&amp;"" below the Target price of Rs""&amp;D394&amp;"".""))"),FALSE)</f>
        <v>0</v>
      </c>
    </row>
    <row r="395">
      <c r="A395" s="349" t="str">
        <f>Dashboard!B491</f>
        <v/>
      </c>
      <c r="B395" s="349" t="str">
        <f>Dashboard!H491</f>
        <v/>
      </c>
      <c r="C395" s="356" t="str">
        <f>Dashboard!G491</f>
        <v/>
      </c>
      <c r="D395" s="489" t="str">
        <f>Dashboard!M491</f>
        <v/>
      </c>
      <c r="E395" s="490" t="s">
        <v>314</v>
      </c>
      <c r="F395" s="491" t="str">
        <f t="shared" si="1"/>
        <v/>
      </c>
      <c r="G395" s="492" t="s">
        <v>314</v>
      </c>
      <c r="H395" s="349" t="str">
        <f t="shared" si="2"/>
        <v/>
      </c>
      <c r="I395" s="349" t="str">
        <f t="shared" si="3"/>
        <v/>
      </c>
      <c r="J395" s="493"/>
      <c r="K395" s="349" t="str">
        <f>IFERROR(__xludf.DUMMYFUNCTION("if(ISBLANK(A395),"""",if(B395=""Buy"",CONCAT(GOOGLEFINANCE(A395,""name""),"" {Symbol: ""&amp;A395&amp;""} High Alert!! Share Has Reached Its Target Buying Price,""),""""))"),"")</f>
        <v/>
      </c>
      <c r="L395" s="349" t="b">
        <f>IFERROR(__xludf.DUMMYFUNCTION("if(B395= ""Buy"",CONCAT(GOOGLEFINANCE(A395,""NAME""),"" share currently trading at Rs""&amp;C395&amp;"", Which is ""&amp;H395&amp;"" below the Target price of Rs""&amp;D395&amp;"".""))"),FALSE)</f>
        <v>0</v>
      </c>
    </row>
    <row r="396">
      <c r="A396" s="349" t="str">
        <f>Dashboard!B492</f>
        <v/>
      </c>
      <c r="B396" s="349" t="str">
        <f>Dashboard!H492</f>
        <v/>
      </c>
      <c r="C396" s="356" t="str">
        <f>Dashboard!G492</f>
        <v/>
      </c>
      <c r="D396" s="489" t="str">
        <f>Dashboard!M492</f>
        <v/>
      </c>
      <c r="E396" s="490" t="s">
        <v>314</v>
      </c>
      <c r="F396" s="491" t="str">
        <f t="shared" si="1"/>
        <v/>
      </c>
      <c r="G396" s="492" t="s">
        <v>314</v>
      </c>
      <c r="H396" s="349" t="str">
        <f t="shared" si="2"/>
        <v/>
      </c>
      <c r="I396" s="349" t="str">
        <f t="shared" si="3"/>
        <v/>
      </c>
      <c r="J396" s="493"/>
      <c r="K396" s="349" t="str">
        <f>IFERROR(__xludf.DUMMYFUNCTION("if(ISBLANK(A396),"""",if(B396=""Buy"",CONCAT(GOOGLEFINANCE(A396,""name""),"" {Symbol: ""&amp;A396&amp;""} High Alert!! Share Has Reached Its Target Buying Price,""),""""))"),"")</f>
        <v/>
      </c>
      <c r="L396" s="349" t="b">
        <f>IFERROR(__xludf.DUMMYFUNCTION("if(B396= ""Buy"",CONCAT(GOOGLEFINANCE(A396,""NAME""),"" share currently trading at Rs""&amp;C396&amp;"", Which is ""&amp;H396&amp;"" below the Target price of Rs""&amp;D396&amp;"".""))"),FALSE)</f>
        <v>0</v>
      </c>
    </row>
    <row r="397">
      <c r="A397" s="349" t="str">
        <f>Dashboard!B493</f>
        <v/>
      </c>
      <c r="B397" s="349" t="str">
        <f>Dashboard!H493</f>
        <v/>
      </c>
      <c r="C397" s="356" t="str">
        <f>Dashboard!G493</f>
        <v/>
      </c>
      <c r="D397" s="489" t="str">
        <f>Dashboard!M493</f>
        <v/>
      </c>
      <c r="E397" s="490" t="s">
        <v>314</v>
      </c>
      <c r="F397" s="491" t="str">
        <f t="shared" si="1"/>
        <v/>
      </c>
      <c r="G397" s="492" t="s">
        <v>314</v>
      </c>
      <c r="H397" s="349" t="str">
        <f t="shared" si="2"/>
        <v/>
      </c>
      <c r="I397" s="349" t="str">
        <f t="shared" si="3"/>
        <v/>
      </c>
      <c r="J397" s="493"/>
      <c r="K397" s="349" t="str">
        <f>IFERROR(__xludf.DUMMYFUNCTION("if(ISBLANK(A397),"""",if(B397=""Buy"",CONCAT(GOOGLEFINANCE(A397,""name""),"" {Symbol: ""&amp;A397&amp;""} High Alert!! Share Has Reached Its Target Buying Price,""),""""))"),"")</f>
        <v/>
      </c>
      <c r="L397" s="349" t="b">
        <f>IFERROR(__xludf.DUMMYFUNCTION("if(B397= ""Buy"",CONCAT(GOOGLEFINANCE(A397,""NAME""),"" share currently trading at Rs""&amp;C397&amp;"", Which is ""&amp;H397&amp;"" below the Target price of Rs""&amp;D397&amp;"".""))"),FALSE)</f>
        <v>0</v>
      </c>
    </row>
    <row r="398">
      <c r="A398" s="349" t="str">
        <f>Dashboard!B494</f>
        <v/>
      </c>
      <c r="B398" s="349" t="str">
        <f>Dashboard!H494</f>
        <v/>
      </c>
      <c r="C398" s="356" t="str">
        <f>Dashboard!G494</f>
        <v/>
      </c>
      <c r="D398" s="489" t="str">
        <f>Dashboard!M494</f>
        <v/>
      </c>
      <c r="E398" s="490" t="s">
        <v>314</v>
      </c>
      <c r="F398" s="491" t="str">
        <f t="shared" si="1"/>
        <v/>
      </c>
      <c r="G398" s="492" t="s">
        <v>314</v>
      </c>
      <c r="H398" s="349" t="str">
        <f t="shared" si="2"/>
        <v/>
      </c>
      <c r="I398" s="349" t="str">
        <f t="shared" si="3"/>
        <v/>
      </c>
      <c r="J398" s="493"/>
      <c r="K398" s="349" t="str">
        <f>IFERROR(__xludf.DUMMYFUNCTION("if(ISBLANK(A398),"""",if(B398=""Buy"",CONCAT(GOOGLEFINANCE(A398,""name""),"" {Symbol: ""&amp;A398&amp;""} High Alert!! Share Has Reached Its Target Buying Price,""),""""))"),"")</f>
        <v/>
      </c>
      <c r="L398" s="349" t="b">
        <f>IFERROR(__xludf.DUMMYFUNCTION("if(B398= ""Buy"",CONCAT(GOOGLEFINANCE(A398,""NAME""),"" share currently trading at Rs""&amp;C398&amp;"", Which is ""&amp;H398&amp;"" below the Target price of Rs""&amp;D398&amp;"".""))"),FALSE)</f>
        <v>0</v>
      </c>
    </row>
    <row r="399">
      <c r="A399" s="349" t="str">
        <f>Dashboard!B495</f>
        <v/>
      </c>
      <c r="B399" s="349" t="str">
        <f>Dashboard!H495</f>
        <v/>
      </c>
      <c r="C399" s="356" t="str">
        <f>Dashboard!G495</f>
        <v/>
      </c>
      <c r="D399" s="489" t="str">
        <f>Dashboard!M495</f>
        <v/>
      </c>
      <c r="E399" s="490" t="s">
        <v>314</v>
      </c>
      <c r="F399" s="491" t="str">
        <f t="shared" si="1"/>
        <v/>
      </c>
      <c r="G399" s="492" t="s">
        <v>314</v>
      </c>
      <c r="H399" s="349" t="str">
        <f t="shared" si="2"/>
        <v/>
      </c>
      <c r="I399" s="349" t="str">
        <f t="shared" si="3"/>
        <v/>
      </c>
      <c r="J399" s="493"/>
      <c r="K399" s="349" t="str">
        <f>IFERROR(__xludf.DUMMYFUNCTION("if(ISBLANK(A399),"""",if(B399=""Buy"",CONCAT(GOOGLEFINANCE(A399,""name""),"" {Symbol: ""&amp;A399&amp;""} High Alert!! Share Has Reached Its Target Buying Price,""),""""))"),"")</f>
        <v/>
      </c>
      <c r="L399" s="349" t="b">
        <f>IFERROR(__xludf.DUMMYFUNCTION("if(B399= ""Buy"",CONCAT(GOOGLEFINANCE(A399,""NAME""),"" share currently trading at Rs""&amp;C399&amp;"", Which is ""&amp;H399&amp;"" below the Target price of Rs""&amp;D399&amp;"".""))"),FALSE)</f>
        <v>0</v>
      </c>
    </row>
    <row r="400">
      <c r="A400" s="349" t="str">
        <f>Dashboard!B496</f>
        <v/>
      </c>
      <c r="B400" s="349" t="str">
        <f>Dashboard!H496</f>
        <v/>
      </c>
      <c r="C400" s="356" t="str">
        <f>Dashboard!G496</f>
        <v/>
      </c>
      <c r="D400" s="489" t="str">
        <f>Dashboard!M496</f>
        <v/>
      </c>
      <c r="E400" s="490" t="s">
        <v>314</v>
      </c>
      <c r="F400" s="491" t="str">
        <f t="shared" si="1"/>
        <v/>
      </c>
      <c r="G400" s="492" t="s">
        <v>314</v>
      </c>
      <c r="H400" s="349" t="str">
        <f t="shared" si="2"/>
        <v/>
      </c>
      <c r="I400" s="349" t="str">
        <f t="shared" si="3"/>
        <v/>
      </c>
      <c r="J400" s="493"/>
      <c r="K400" s="349" t="str">
        <f>IFERROR(__xludf.DUMMYFUNCTION("if(ISBLANK(A400),"""",if(B400=""Buy"",CONCAT(GOOGLEFINANCE(A400,""name""),"" {Symbol: ""&amp;A400&amp;""} High Alert!! Share Has Reached Its Target Buying Price,""),""""))"),"")</f>
        <v/>
      </c>
      <c r="L400" s="349" t="b">
        <f>IFERROR(__xludf.DUMMYFUNCTION("if(B400= ""Buy"",CONCAT(GOOGLEFINANCE(A400,""NAME""),"" share currently trading at Rs""&amp;C400&amp;"", Which is ""&amp;H400&amp;"" below the Target price of Rs""&amp;D400&amp;"".""))"),FALSE)</f>
        <v>0</v>
      </c>
    </row>
    <row r="401">
      <c r="A401" s="349" t="str">
        <f>Dashboard!B497</f>
        <v/>
      </c>
      <c r="B401" s="349" t="str">
        <f>Dashboard!H497</f>
        <v/>
      </c>
      <c r="C401" s="356" t="str">
        <f>Dashboard!G497</f>
        <v/>
      </c>
      <c r="D401" s="489" t="str">
        <f>Dashboard!M497</f>
        <v/>
      </c>
      <c r="E401" s="490" t="s">
        <v>314</v>
      </c>
      <c r="F401" s="491" t="str">
        <f t="shared" si="1"/>
        <v/>
      </c>
      <c r="G401" s="492" t="s">
        <v>314</v>
      </c>
      <c r="H401" s="349" t="str">
        <f t="shared" si="2"/>
        <v/>
      </c>
      <c r="I401" s="349" t="str">
        <f t="shared" si="3"/>
        <v/>
      </c>
      <c r="J401" s="493"/>
      <c r="K401" s="349" t="str">
        <f>IFERROR(__xludf.DUMMYFUNCTION("if(ISBLANK(A401),"""",if(B401=""Buy"",CONCAT(GOOGLEFINANCE(A401,""name""),"" {Symbol: ""&amp;A401&amp;""} High Alert!! Share Has Reached Its Target Buying Price,""),""""))"),"")</f>
        <v/>
      </c>
      <c r="L401" s="349" t="b">
        <f>IFERROR(__xludf.DUMMYFUNCTION("if(B401= ""Buy"",CONCAT(GOOGLEFINANCE(A401,""NAME""),"" share currently trading at Rs""&amp;C401&amp;"", Which is ""&amp;H401&amp;"" below the Target price of Rs""&amp;D401&amp;"".""))"),FALSE)</f>
        <v>0</v>
      </c>
    </row>
    <row r="402">
      <c r="A402" s="349" t="str">
        <f>Dashboard!B498</f>
        <v/>
      </c>
      <c r="B402" s="349" t="str">
        <f>Dashboard!H498</f>
        <v/>
      </c>
      <c r="C402" s="356" t="str">
        <f>Dashboard!G498</f>
        <v/>
      </c>
      <c r="D402" s="489" t="str">
        <f>Dashboard!M498</f>
        <v/>
      </c>
      <c r="E402" s="490" t="s">
        <v>314</v>
      </c>
      <c r="F402" s="491" t="str">
        <f t="shared" si="1"/>
        <v/>
      </c>
      <c r="G402" s="492" t="s">
        <v>314</v>
      </c>
      <c r="H402" s="349" t="str">
        <f t="shared" si="2"/>
        <v/>
      </c>
      <c r="I402" s="349" t="str">
        <f t="shared" si="3"/>
        <v/>
      </c>
      <c r="J402" s="493"/>
      <c r="K402" s="349" t="str">
        <f>IFERROR(__xludf.DUMMYFUNCTION("if(ISBLANK(A402),"""",if(B402=""Buy"",CONCAT(GOOGLEFINANCE(A402,""name""),"" {Symbol: ""&amp;A402&amp;""} High Alert!! Share Has Reached Its Target Buying Price,""),""""))"),"")</f>
        <v/>
      </c>
      <c r="L402" s="349" t="b">
        <f>IFERROR(__xludf.DUMMYFUNCTION("if(B402= ""Buy"",CONCAT(GOOGLEFINANCE(A402,""NAME""),"" share currently trading at Rs""&amp;C402&amp;"", Which is ""&amp;H402&amp;"" below the Target price of Rs""&amp;D402&amp;"".""))"),FALSE)</f>
        <v>0</v>
      </c>
    </row>
    <row r="403">
      <c r="A403" s="349" t="str">
        <f>Dashboard!B499</f>
        <v/>
      </c>
      <c r="B403" s="349" t="str">
        <f>Dashboard!H499</f>
        <v/>
      </c>
      <c r="C403" s="356" t="str">
        <f>Dashboard!G499</f>
        <v/>
      </c>
      <c r="D403" s="489" t="str">
        <f>Dashboard!M499</f>
        <v/>
      </c>
      <c r="E403" s="490" t="s">
        <v>314</v>
      </c>
      <c r="F403" s="491" t="str">
        <f t="shared" si="1"/>
        <v/>
      </c>
      <c r="G403" s="492" t="s">
        <v>314</v>
      </c>
      <c r="H403" s="349" t="str">
        <f t="shared" si="2"/>
        <v/>
      </c>
      <c r="I403" s="349" t="str">
        <f t="shared" si="3"/>
        <v/>
      </c>
      <c r="J403" s="493"/>
      <c r="K403" s="349" t="str">
        <f>IFERROR(__xludf.DUMMYFUNCTION("if(ISBLANK(A403),"""",if(B403=""Buy"",CONCAT(GOOGLEFINANCE(A403,""name""),"" {Symbol: ""&amp;A403&amp;""} High Alert!! Share Has Reached Its Target Buying Price,""),""""))"),"")</f>
        <v/>
      </c>
      <c r="L403" s="349" t="b">
        <f>IFERROR(__xludf.DUMMYFUNCTION("if(B403= ""Buy"",CONCAT(GOOGLEFINANCE(A403,""NAME""),"" share currently trading at Rs""&amp;C403&amp;"", Which is ""&amp;H403&amp;"" below the Target price of Rs""&amp;D403&amp;"".""))"),FALSE)</f>
        <v>0</v>
      </c>
    </row>
    <row r="404">
      <c r="A404" s="349" t="str">
        <f>Dashboard!B500</f>
        <v/>
      </c>
      <c r="B404" s="349" t="str">
        <f>Dashboard!H500</f>
        <v/>
      </c>
      <c r="C404" s="356" t="str">
        <f>Dashboard!G500</f>
        <v/>
      </c>
      <c r="D404" s="489" t="str">
        <f>Dashboard!M500</f>
        <v/>
      </c>
      <c r="E404" s="490" t="s">
        <v>314</v>
      </c>
      <c r="F404" s="491" t="str">
        <f t="shared" si="1"/>
        <v/>
      </c>
      <c r="G404" s="492" t="s">
        <v>314</v>
      </c>
      <c r="H404" s="349" t="str">
        <f t="shared" si="2"/>
        <v/>
      </c>
      <c r="I404" s="349" t="str">
        <f t="shared" si="3"/>
        <v/>
      </c>
      <c r="J404" s="493"/>
      <c r="K404" s="349" t="str">
        <f>IFERROR(__xludf.DUMMYFUNCTION("if(ISBLANK(A404),"""",if(B404=""Buy"",CONCAT(GOOGLEFINANCE(A404,""name""),"" {Symbol: ""&amp;A404&amp;""} High Alert!! Share Has Reached Its Target Buying Price,""),""""))"),"")</f>
        <v/>
      </c>
      <c r="L404" s="349" t="b">
        <f>IFERROR(__xludf.DUMMYFUNCTION("if(B404= ""Buy"",CONCAT(GOOGLEFINANCE(A404,""NAME""),"" share currently trading at Rs""&amp;C404&amp;"", Which is ""&amp;H404&amp;"" below the Target price of Rs""&amp;D404&amp;"".""))"),FALSE)</f>
        <v>0</v>
      </c>
    </row>
    <row r="405">
      <c r="A405" s="349" t="str">
        <f>Dashboard!B501</f>
        <v/>
      </c>
      <c r="B405" s="349" t="str">
        <f>Dashboard!H501</f>
        <v/>
      </c>
      <c r="C405" s="356" t="str">
        <f>Dashboard!G501</f>
        <v/>
      </c>
      <c r="D405" s="489" t="str">
        <f>Dashboard!M501</f>
        <v/>
      </c>
      <c r="E405" s="490" t="s">
        <v>314</v>
      </c>
      <c r="F405" s="491" t="str">
        <f t="shared" si="1"/>
        <v/>
      </c>
      <c r="G405" s="492" t="s">
        <v>314</v>
      </c>
      <c r="H405" s="349" t="str">
        <f t="shared" si="2"/>
        <v/>
      </c>
      <c r="I405" s="349" t="str">
        <f t="shared" si="3"/>
        <v/>
      </c>
      <c r="J405" s="493"/>
      <c r="K405" s="349" t="str">
        <f>IFERROR(__xludf.DUMMYFUNCTION("if(ISBLANK(A405),"""",if(B405=""Buy"",CONCAT(GOOGLEFINANCE(A405,""name""),"" {Symbol: ""&amp;A405&amp;""} High Alert!! Share Has Reached Its Target Buying Price,""),""""))"),"")</f>
        <v/>
      </c>
      <c r="L405" s="349" t="b">
        <f>IFERROR(__xludf.DUMMYFUNCTION("if(B405= ""Buy"",CONCAT(GOOGLEFINANCE(A405,""NAME""),"" share currently trading at Rs""&amp;C405&amp;"", Which is ""&amp;H405&amp;"" below the Target price of Rs""&amp;D405&amp;"".""))"),FALSE)</f>
        <v>0</v>
      </c>
    </row>
    <row r="406">
      <c r="A406" s="349" t="str">
        <f>Dashboard!B502</f>
        <v/>
      </c>
      <c r="B406" s="349" t="str">
        <f>Dashboard!H502</f>
        <v/>
      </c>
      <c r="C406" s="356" t="str">
        <f>Dashboard!G502</f>
        <v/>
      </c>
      <c r="D406" s="489" t="str">
        <f>Dashboard!M502</f>
        <v/>
      </c>
      <c r="E406" s="490" t="s">
        <v>314</v>
      </c>
      <c r="F406" s="491" t="str">
        <f t="shared" si="1"/>
        <v/>
      </c>
      <c r="G406" s="492" t="s">
        <v>314</v>
      </c>
      <c r="H406" s="349" t="str">
        <f t="shared" si="2"/>
        <v/>
      </c>
      <c r="I406" s="349" t="str">
        <f t="shared" si="3"/>
        <v/>
      </c>
      <c r="J406" s="493"/>
      <c r="K406" s="349" t="str">
        <f>IFERROR(__xludf.DUMMYFUNCTION("if(ISBLANK(A406),"""",if(B406=""Buy"",CONCAT(GOOGLEFINANCE(A406,""name""),"" {Symbol: ""&amp;A406&amp;""} High Alert!! Share Has Reached Its Target Buying Price,""),""""))"),"")</f>
        <v/>
      </c>
      <c r="L406" s="349" t="b">
        <f>IFERROR(__xludf.DUMMYFUNCTION("if(B406= ""Buy"",CONCAT(GOOGLEFINANCE(A406,""NAME""),"" share currently trading at Rs""&amp;C406&amp;"", Which is ""&amp;H406&amp;"" below the Target price of Rs""&amp;D406&amp;"".""))"),FALSE)</f>
        <v>0</v>
      </c>
    </row>
    <row r="407">
      <c r="A407" s="349" t="str">
        <f>Dashboard!B503</f>
        <v/>
      </c>
      <c r="B407" s="349" t="str">
        <f>Dashboard!H503</f>
        <v/>
      </c>
      <c r="C407" s="356" t="str">
        <f>Dashboard!G503</f>
        <v/>
      </c>
      <c r="D407" s="489" t="str">
        <f>Dashboard!M503</f>
        <v/>
      </c>
      <c r="E407" s="490" t="s">
        <v>314</v>
      </c>
      <c r="F407" s="491" t="str">
        <f t="shared" si="1"/>
        <v/>
      </c>
      <c r="G407" s="492" t="s">
        <v>314</v>
      </c>
      <c r="H407" s="349" t="str">
        <f t="shared" si="2"/>
        <v/>
      </c>
      <c r="I407" s="349" t="str">
        <f t="shared" si="3"/>
        <v/>
      </c>
      <c r="J407" s="493"/>
      <c r="K407" s="349" t="str">
        <f>IFERROR(__xludf.DUMMYFUNCTION("if(ISBLANK(A407),"""",if(B407=""Buy"",CONCAT(GOOGLEFINANCE(A407,""name""),"" {Symbol: ""&amp;A407&amp;""} High Alert!! Share Has Reached Its Target Buying Price,""),""""))"),"")</f>
        <v/>
      </c>
      <c r="L407" s="349" t="b">
        <f>IFERROR(__xludf.DUMMYFUNCTION("if(B407= ""Buy"",CONCAT(GOOGLEFINANCE(A407,""NAME""),"" share currently trading at Rs""&amp;C407&amp;"", Which is ""&amp;H407&amp;"" below the Target price of Rs""&amp;D407&amp;"".""))"),FALSE)</f>
        <v>0</v>
      </c>
    </row>
    <row r="408">
      <c r="A408" s="349" t="str">
        <f>Dashboard!B504</f>
        <v/>
      </c>
      <c r="B408" s="349" t="str">
        <f>Dashboard!H504</f>
        <v/>
      </c>
      <c r="C408" s="356" t="str">
        <f>Dashboard!G504</f>
        <v/>
      </c>
      <c r="D408" s="489" t="str">
        <f>Dashboard!M504</f>
        <v/>
      </c>
      <c r="E408" s="490" t="s">
        <v>314</v>
      </c>
      <c r="F408" s="491" t="str">
        <f t="shared" si="1"/>
        <v/>
      </c>
      <c r="G408" s="492" t="s">
        <v>314</v>
      </c>
      <c r="H408" s="349" t="str">
        <f t="shared" si="2"/>
        <v/>
      </c>
      <c r="I408" s="349" t="str">
        <f t="shared" si="3"/>
        <v/>
      </c>
      <c r="J408" s="493"/>
      <c r="K408" s="349" t="str">
        <f>IFERROR(__xludf.DUMMYFUNCTION("if(ISBLANK(A408),"""",if(B408=""Buy"",CONCAT(GOOGLEFINANCE(A408,""name""),"" {Symbol: ""&amp;A408&amp;""} High Alert!! Share Has Reached Its Target Buying Price,""),""""))"),"")</f>
        <v/>
      </c>
      <c r="L408" s="349" t="b">
        <f>IFERROR(__xludf.DUMMYFUNCTION("if(B408= ""Buy"",CONCAT(GOOGLEFINANCE(A408,""NAME""),"" share currently trading at Rs""&amp;C408&amp;"", Which is ""&amp;H408&amp;"" below the Target price of Rs""&amp;D408&amp;"".""))"),FALSE)</f>
        <v>0</v>
      </c>
    </row>
    <row r="409">
      <c r="A409" s="349" t="str">
        <f>Dashboard!B505</f>
        <v/>
      </c>
      <c r="B409" s="349" t="str">
        <f>Dashboard!H505</f>
        <v/>
      </c>
      <c r="C409" s="356" t="str">
        <f>Dashboard!G505</f>
        <v/>
      </c>
      <c r="D409" s="489" t="str">
        <f>Dashboard!M505</f>
        <v/>
      </c>
      <c r="E409" s="490" t="s">
        <v>314</v>
      </c>
      <c r="F409" s="491" t="str">
        <f t="shared" si="1"/>
        <v/>
      </c>
      <c r="G409" s="492" t="s">
        <v>314</v>
      </c>
      <c r="H409" s="349" t="str">
        <f t="shared" si="2"/>
        <v/>
      </c>
      <c r="I409" s="349" t="str">
        <f t="shared" si="3"/>
        <v/>
      </c>
      <c r="J409" s="493"/>
      <c r="K409" s="349" t="str">
        <f>IFERROR(__xludf.DUMMYFUNCTION("if(ISBLANK(A409),"""",if(B409=""Buy"",CONCAT(GOOGLEFINANCE(A409,""name""),"" {Symbol: ""&amp;A409&amp;""} High Alert!! Share Has Reached Its Target Buying Price,""),""""))"),"")</f>
        <v/>
      </c>
      <c r="L409" s="349" t="b">
        <f>IFERROR(__xludf.DUMMYFUNCTION("if(B409= ""Buy"",CONCAT(GOOGLEFINANCE(A409,""NAME""),"" share currently trading at Rs""&amp;C409&amp;"", Which is ""&amp;H409&amp;"" below the Target price of Rs""&amp;D409&amp;"".""))"),FALSE)</f>
        <v>0</v>
      </c>
    </row>
    <row r="410">
      <c r="A410" s="349" t="str">
        <f>Dashboard!B506</f>
        <v/>
      </c>
      <c r="B410" s="349" t="str">
        <f>Dashboard!H506</f>
        <v/>
      </c>
      <c r="C410" s="356" t="str">
        <f>Dashboard!G506</f>
        <v/>
      </c>
      <c r="D410" s="489" t="str">
        <f>Dashboard!M506</f>
        <v/>
      </c>
      <c r="E410" s="490" t="s">
        <v>314</v>
      </c>
      <c r="F410" s="491" t="str">
        <f t="shared" si="1"/>
        <v/>
      </c>
      <c r="G410" s="492" t="s">
        <v>314</v>
      </c>
      <c r="H410" s="349" t="str">
        <f t="shared" si="2"/>
        <v/>
      </c>
      <c r="I410" s="349" t="str">
        <f t="shared" si="3"/>
        <v/>
      </c>
      <c r="J410" s="493"/>
      <c r="K410" s="349" t="str">
        <f>IFERROR(__xludf.DUMMYFUNCTION("if(ISBLANK(A410),"""",if(B410=""Buy"",CONCAT(GOOGLEFINANCE(A410,""name""),"" {Symbol: ""&amp;A410&amp;""} High Alert!! Share Has Reached Its Target Buying Price,""),""""))"),"")</f>
        <v/>
      </c>
      <c r="L410" s="349" t="b">
        <f>IFERROR(__xludf.DUMMYFUNCTION("if(B410= ""Buy"",CONCAT(GOOGLEFINANCE(A410,""NAME""),"" share currently trading at Rs""&amp;C410&amp;"", Which is ""&amp;H410&amp;"" below the Target price of Rs""&amp;D410&amp;"".""))"),FALSE)</f>
        <v>0</v>
      </c>
    </row>
    <row r="411">
      <c r="A411" s="349" t="str">
        <f>Dashboard!B507</f>
        <v/>
      </c>
      <c r="B411" s="349" t="str">
        <f>Dashboard!H507</f>
        <v/>
      </c>
      <c r="C411" s="356" t="str">
        <f>Dashboard!G507</f>
        <v/>
      </c>
      <c r="D411" s="489" t="str">
        <f>Dashboard!M507</f>
        <v/>
      </c>
      <c r="E411" s="490" t="s">
        <v>314</v>
      </c>
      <c r="F411" s="491" t="str">
        <f t="shared" si="1"/>
        <v/>
      </c>
      <c r="G411" s="492" t="s">
        <v>314</v>
      </c>
      <c r="H411" s="349" t="str">
        <f t="shared" si="2"/>
        <v/>
      </c>
      <c r="I411" s="349" t="str">
        <f t="shared" si="3"/>
        <v/>
      </c>
      <c r="J411" s="493"/>
      <c r="K411" s="349" t="str">
        <f>IFERROR(__xludf.DUMMYFUNCTION("if(ISBLANK(A411),"""",if(B411=""Buy"",CONCAT(GOOGLEFINANCE(A411,""name""),"" {Symbol: ""&amp;A411&amp;""} High Alert!! Share Has Reached Its Target Buying Price,""),""""))"),"")</f>
        <v/>
      </c>
      <c r="L411" s="349" t="b">
        <f>IFERROR(__xludf.DUMMYFUNCTION("if(B411= ""Buy"",CONCAT(GOOGLEFINANCE(A411,""NAME""),"" share currently trading at Rs""&amp;C411&amp;"", Which is ""&amp;H411&amp;"" below the Target price of Rs""&amp;D411&amp;"".""))"),FALSE)</f>
        <v>0</v>
      </c>
    </row>
    <row r="412">
      <c r="A412" s="349" t="str">
        <f>Dashboard!B508</f>
        <v/>
      </c>
      <c r="B412" s="349" t="str">
        <f>Dashboard!H508</f>
        <v/>
      </c>
      <c r="C412" s="356" t="str">
        <f>Dashboard!G508</f>
        <v/>
      </c>
      <c r="D412" s="489" t="str">
        <f>Dashboard!M508</f>
        <v/>
      </c>
      <c r="E412" s="490" t="s">
        <v>314</v>
      </c>
      <c r="F412" s="491" t="str">
        <f t="shared" si="1"/>
        <v/>
      </c>
      <c r="G412" s="492" t="s">
        <v>314</v>
      </c>
      <c r="H412" s="349" t="str">
        <f t="shared" si="2"/>
        <v/>
      </c>
      <c r="I412" s="349" t="str">
        <f t="shared" si="3"/>
        <v/>
      </c>
      <c r="J412" s="493"/>
      <c r="K412" s="349" t="str">
        <f>IFERROR(__xludf.DUMMYFUNCTION("if(ISBLANK(A412),"""",if(B412=""Buy"",CONCAT(GOOGLEFINANCE(A412,""name""),"" {Symbol: ""&amp;A412&amp;""} High Alert!! Share Has Reached Its Target Buying Price,""),""""))"),"")</f>
        <v/>
      </c>
      <c r="L412" s="349" t="b">
        <f>IFERROR(__xludf.DUMMYFUNCTION("if(B412= ""Buy"",CONCAT(GOOGLEFINANCE(A412,""NAME""),"" share currently trading at Rs""&amp;C412&amp;"", Which is ""&amp;H412&amp;"" below the Target price of Rs""&amp;D412&amp;"".""))"),FALSE)</f>
        <v>0</v>
      </c>
    </row>
    <row r="413">
      <c r="A413" s="349" t="str">
        <f>Dashboard!B509</f>
        <v/>
      </c>
      <c r="B413" s="349" t="str">
        <f>Dashboard!H509</f>
        <v/>
      </c>
      <c r="C413" s="356" t="str">
        <f>Dashboard!G509</f>
        <v/>
      </c>
      <c r="D413" s="489" t="str">
        <f>Dashboard!M509</f>
        <v/>
      </c>
      <c r="E413" s="490" t="s">
        <v>314</v>
      </c>
      <c r="F413" s="491" t="str">
        <f t="shared" si="1"/>
        <v/>
      </c>
      <c r="G413" s="492" t="s">
        <v>314</v>
      </c>
      <c r="H413" s="349" t="str">
        <f t="shared" si="2"/>
        <v/>
      </c>
      <c r="I413" s="349" t="str">
        <f t="shared" si="3"/>
        <v/>
      </c>
      <c r="J413" s="493"/>
      <c r="K413" s="349" t="str">
        <f>IFERROR(__xludf.DUMMYFUNCTION("if(ISBLANK(A413),"""",if(B413=""Buy"",CONCAT(GOOGLEFINANCE(A413,""name""),"" {Symbol: ""&amp;A413&amp;""} High Alert!! Share Has Reached Its Target Buying Price,""),""""))"),"")</f>
        <v/>
      </c>
      <c r="L413" s="349" t="b">
        <f>IFERROR(__xludf.DUMMYFUNCTION("if(B413= ""Buy"",CONCAT(GOOGLEFINANCE(A413,""NAME""),"" share currently trading at Rs""&amp;C413&amp;"", Which is ""&amp;H413&amp;"" below the Target price of Rs""&amp;D413&amp;"".""))"),FALSE)</f>
        <v>0</v>
      </c>
    </row>
    <row r="414">
      <c r="A414" s="349" t="str">
        <f>Dashboard!B510</f>
        <v/>
      </c>
      <c r="B414" s="349" t="str">
        <f>Dashboard!H510</f>
        <v/>
      </c>
      <c r="C414" s="356" t="str">
        <f>Dashboard!G510</f>
        <v/>
      </c>
      <c r="D414" s="489" t="str">
        <f>Dashboard!M510</f>
        <v/>
      </c>
      <c r="E414" s="490" t="s">
        <v>314</v>
      </c>
      <c r="F414" s="491" t="str">
        <f t="shared" si="1"/>
        <v/>
      </c>
      <c r="G414" s="492" t="s">
        <v>314</v>
      </c>
      <c r="H414" s="349" t="str">
        <f t="shared" si="2"/>
        <v/>
      </c>
      <c r="I414" s="349" t="str">
        <f t="shared" si="3"/>
        <v/>
      </c>
      <c r="J414" s="493"/>
      <c r="K414" s="349" t="str">
        <f>IFERROR(__xludf.DUMMYFUNCTION("if(ISBLANK(A414),"""",if(B414=""Buy"",CONCAT(GOOGLEFINANCE(A414,""name""),"" {Symbol: ""&amp;A414&amp;""} High Alert!! Share Has Reached Its Target Buying Price,""),""""))"),"")</f>
        <v/>
      </c>
      <c r="L414" s="349" t="b">
        <f>IFERROR(__xludf.DUMMYFUNCTION("if(B414= ""Buy"",CONCAT(GOOGLEFINANCE(A414,""NAME""),"" share currently trading at Rs""&amp;C414&amp;"", Which is ""&amp;H414&amp;"" below the Target price of Rs""&amp;D414&amp;"".""))"),FALSE)</f>
        <v>0</v>
      </c>
    </row>
    <row r="415">
      <c r="A415" s="349" t="str">
        <f>Dashboard!B511</f>
        <v/>
      </c>
      <c r="B415" s="349" t="str">
        <f>Dashboard!H511</f>
        <v/>
      </c>
      <c r="C415" s="356" t="str">
        <f>Dashboard!G511</f>
        <v/>
      </c>
      <c r="D415" s="489" t="str">
        <f>Dashboard!M511</f>
        <v/>
      </c>
      <c r="E415" s="490" t="s">
        <v>314</v>
      </c>
      <c r="F415" s="491" t="str">
        <f t="shared" si="1"/>
        <v/>
      </c>
      <c r="G415" s="492" t="s">
        <v>314</v>
      </c>
      <c r="H415" s="349" t="str">
        <f t="shared" si="2"/>
        <v/>
      </c>
      <c r="I415" s="349" t="str">
        <f t="shared" si="3"/>
        <v/>
      </c>
      <c r="J415" s="493"/>
      <c r="K415" s="349" t="str">
        <f>IFERROR(__xludf.DUMMYFUNCTION("if(ISBLANK(A415),"""",if(B415=""Buy"",CONCAT(GOOGLEFINANCE(A415,""name""),"" {Symbol: ""&amp;A415&amp;""} High Alert!! Share Has Reached Its Target Buying Price,""),""""))"),"")</f>
        <v/>
      </c>
      <c r="L415" s="349" t="b">
        <f>IFERROR(__xludf.DUMMYFUNCTION("if(B415= ""Buy"",CONCAT(GOOGLEFINANCE(A415,""NAME""),"" share currently trading at Rs""&amp;C415&amp;"", Which is ""&amp;H415&amp;"" below the Target price of Rs""&amp;D415&amp;"".""))"),FALSE)</f>
        <v>0</v>
      </c>
    </row>
    <row r="416">
      <c r="A416" s="349" t="str">
        <f>Dashboard!B512</f>
        <v/>
      </c>
      <c r="B416" s="349" t="str">
        <f>Dashboard!H512</f>
        <v/>
      </c>
      <c r="C416" s="356" t="str">
        <f>Dashboard!G512</f>
        <v/>
      </c>
      <c r="D416" s="489" t="str">
        <f>Dashboard!M512</f>
        <v/>
      </c>
      <c r="E416" s="490" t="s">
        <v>314</v>
      </c>
      <c r="F416" s="491" t="str">
        <f t="shared" si="1"/>
        <v/>
      </c>
      <c r="G416" s="492" t="s">
        <v>314</v>
      </c>
      <c r="H416" s="349" t="str">
        <f t="shared" si="2"/>
        <v/>
      </c>
      <c r="I416" s="349" t="str">
        <f t="shared" si="3"/>
        <v/>
      </c>
      <c r="J416" s="493"/>
      <c r="K416" s="349" t="str">
        <f>IFERROR(__xludf.DUMMYFUNCTION("if(ISBLANK(A416),"""",if(B416=""Buy"",CONCAT(GOOGLEFINANCE(A416,""name""),"" {Symbol: ""&amp;A416&amp;""} High Alert!! Share Has Reached Its Target Buying Price,""),""""))"),"")</f>
        <v/>
      </c>
      <c r="L416" s="349" t="b">
        <f>IFERROR(__xludf.DUMMYFUNCTION("if(B416= ""Buy"",CONCAT(GOOGLEFINANCE(A416,""NAME""),"" share currently trading at Rs""&amp;C416&amp;"", Which is ""&amp;H416&amp;"" below the Target price of Rs""&amp;D416&amp;"".""))"),FALSE)</f>
        <v>0</v>
      </c>
    </row>
    <row r="417">
      <c r="A417" s="349" t="str">
        <f>Dashboard!B513</f>
        <v/>
      </c>
      <c r="B417" s="349" t="str">
        <f>Dashboard!H513</f>
        <v/>
      </c>
      <c r="C417" s="356" t="str">
        <f>Dashboard!G513</f>
        <v/>
      </c>
      <c r="D417" s="489" t="str">
        <f>Dashboard!M513</f>
        <v/>
      </c>
      <c r="E417" s="490" t="s">
        <v>314</v>
      </c>
      <c r="F417" s="491" t="str">
        <f t="shared" si="1"/>
        <v/>
      </c>
      <c r="G417" s="492" t="s">
        <v>314</v>
      </c>
      <c r="H417" s="349" t="str">
        <f t="shared" si="2"/>
        <v/>
      </c>
      <c r="I417" s="349" t="str">
        <f t="shared" si="3"/>
        <v/>
      </c>
      <c r="J417" s="493"/>
      <c r="K417" s="349" t="str">
        <f>IFERROR(__xludf.DUMMYFUNCTION("if(ISBLANK(A417),"""",if(B417=""Buy"",CONCAT(GOOGLEFINANCE(A417,""name""),"" {Symbol: ""&amp;A417&amp;""} High Alert!! Share Has Reached Its Target Buying Price,""),""""))"),"")</f>
        <v/>
      </c>
      <c r="L417" s="349" t="b">
        <f>IFERROR(__xludf.DUMMYFUNCTION("if(B417= ""Buy"",CONCAT(GOOGLEFINANCE(A417,""NAME""),"" share currently trading at Rs""&amp;C417&amp;"", Which is ""&amp;H417&amp;"" below the Target price of Rs""&amp;D417&amp;"".""))"),FALSE)</f>
        <v>0</v>
      </c>
    </row>
    <row r="418">
      <c r="A418" s="349" t="str">
        <f>Dashboard!B514</f>
        <v/>
      </c>
      <c r="B418" s="349" t="str">
        <f>Dashboard!H514</f>
        <v/>
      </c>
      <c r="C418" s="356" t="str">
        <f>Dashboard!G514</f>
        <v/>
      </c>
      <c r="D418" s="489" t="str">
        <f>Dashboard!M514</f>
        <v/>
      </c>
      <c r="E418" s="490" t="s">
        <v>314</v>
      </c>
      <c r="F418" s="491" t="str">
        <f t="shared" si="1"/>
        <v/>
      </c>
      <c r="G418" s="492" t="s">
        <v>314</v>
      </c>
      <c r="H418" s="349" t="str">
        <f t="shared" si="2"/>
        <v/>
      </c>
      <c r="I418" s="349" t="str">
        <f t="shared" si="3"/>
        <v/>
      </c>
      <c r="J418" s="493"/>
      <c r="K418" s="349" t="str">
        <f>IFERROR(__xludf.DUMMYFUNCTION("if(ISBLANK(A418),"""",if(B418=""Buy"",CONCAT(GOOGLEFINANCE(A418,""name""),"" {Symbol: ""&amp;A418&amp;""} High Alert!! Share Has Reached Its Target Buying Price,""),""""))"),"")</f>
        <v/>
      </c>
      <c r="L418" s="349" t="b">
        <f>IFERROR(__xludf.DUMMYFUNCTION("if(B418= ""Buy"",CONCAT(GOOGLEFINANCE(A418,""NAME""),"" share currently trading at Rs""&amp;C418&amp;"", Which is ""&amp;H418&amp;"" below the Target price of Rs""&amp;D418&amp;"".""))"),FALSE)</f>
        <v>0</v>
      </c>
    </row>
    <row r="419">
      <c r="A419" s="349" t="str">
        <f>Dashboard!B515</f>
        <v/>
      </c>
      <c r="B419" s="349" t="str">
        <f>Dashboard!H515</f>
        <v/>
      </c>
      <c r="C419" s="356" t="str">
        <f>Dashboard!G515</f>
        <v/>
      </c>
      <c r="D419" s="489" t="str">
        <f>Dashboard!M515</f>
        <v/>
      </c>
      <c r="E419" s="490" t="s">
        <v>314</v>
      </c>
      <c r="F419" s="491" t="str">
        <f t="shared" si="1"/>
        <v/>
      </c>
      <c r="G419" s="492" t="s">
        <v>314</v>
      </c>
      <c r="H419" s="349" t="str">
        <f t="shared" si="2"/>
        <v/>
      </c>
      <c r="I419" s="349" t="str">
        <f t="shared" si="3"/>
        <v/>
      </c>
      <c r="J419" s="493"/>
      <c r="K419" s="349" t="str">
        <f>IFERROR(__xludf.DUMMYFUNCTION("if(ISBLANK(A419),"""",if(B419=""Buy"",CONCAT(GOOGLEFINANCE(A419,""name""),"" {Symbol: ""&amp;A419&amp;""} High Alert!! Share Has Reached Its Target Buying Price,""),""""))"),"")</f>
        <v/>
      </c>
      <c r="L419" s="349" t="b">
        <f>IFERROR(__xludf.DUMMYFUNCTION("if(B419= ""Buy"",CONCAT(GOOGLEFINANCE(A419,""NAME""),"" share currently trading at Rs""&amp;C419&amp;"", Which is ""&amp;H419&amp;"" below the Target price of Rs""&amp;D419&amp;"".""))"),FALSE)</f>
        <v>0</v>
      </c>
    </row>
    <row r="420">
      <c r="A420" s="349" t="str">
        <f>Dashboard!B516</f>
        <v/>
      </c>
      <c r="B420" s="349" t="str">
        <f>Dashboard!H516</f>
        <v/>
      </c>
      <c r="C420" s="356" t="str">
        <f>Dashboard!G516</f>
        <v/>
      </c>
      <c r="D420" s="489" t="str">
        <f>Dashboard!M516</f>
        <v/>
      </c>
      <c r="E420" s="490" t="s">
        <v>314</v>
      </c>
      <c r="F420" s="491" t="str">
        <f t="shared" si="1"/>
        <v/>
      </c>
      <c r="G420" s="492" t="s">
        <v>314</v>
      </c>
      <c r="H420" s="349" t="str">
        <f t="shared" si="2"/>
        <v/>
      </c>
      <c r="I420" s="349" t="str">
        <f t="shared" si="3"/>
        <v/>
      </c>
      <c r="J420" s="493"/>
      <c r="K420" s="349" t="str">
        <f>IFERROR(__xludf.DUMMYFUNCTION("if(ISBLANK(A420),"""",if(B420=""Buy"",CONCAT(GOOGLEFINANCE(A420,""name""),"" {Symbol: ""&amp;A420&amp;""} High Alert!! Share Has Reached Its Target Buying Price,""),""""))"),"")</f>
        <v/>
      </c>
      <c r="L420" s="349" t="b">
        <f>IFERROR(__xludf.DUMMYFUNCTION("if(B420= ""Buy"",CONCAT(GOOGLEFINANCE(A420,""NAME""),"" share currently trading at Rs""&amp;C420&amp;"", Which is ""&amp;H420&amp;"" below the Target price of Rs""&amp;D420&amp;"".""))"),FALSE)</f>
        <v>0</v>
      </c>
    </row>
    <row r="421">
      <c r="A421" s="349" t="str">
        <f>Dashboard!B517</f>
        <v/>
      </c>
      <c r="B421" s="349" t="str">
        <f>Dashboard!H517</f>
        <v/>
      </c>
      <c r="C421" s="356" t="str">
        <f>Dashboard!G517</f>
        <v/>
      </c>
      <c r="D421" s="489" t="str">
        <f>Dashboard!M517</f>
        <v/>
      </c>
      <c r="E421" s="490" t="s">
        <v>314</v>
      </c>
      <c r="F421" s="491" t="str">
        <f t="shared" si="1"/>
        <v/>
      </c>
      <c r="G421" s="492" t="s">
        <v>314</v>
      </c>
      <c r="H421" s="349" t="str">
        <f t="shared" si="2"/>
        <v/>
      </c>
      <c r="I421" s="349" t="str">
        <f t="shared" si="3"/>
        <v/>
      </c>
      <c r="J421" s="493"/>
      <c r="K421" s="349" t="str">
        <f>IFERROR(__xludf.DUMMYFUNCTION("if(ISBLANK(A421),"""",if(B421=""Buy"",CONCAT(GOOGLEFINANCE(A421,""name""),"" {Symbol: ""&amp;A421&amp;""} High Alert!! Share Has Reached Its Target Buying Price,""),""""))"),"")</f>
        <v/>
      </c>
      <c r="L421" s="349" t="b">
        <f>IFERROR(__xludf.DUMMYFUNCTION("if(B421= ""Buy"",CONCAT(GOOGLEFINANCE(A421,""NAME""),"" share currently trading at Rs""&amp;C421&amp;"", Which is ""&amp;H421&amp;"" below the Target price of Rs""&amp;D421&amp;"".""))"),FALSE)</f>
        <v>0</v>
      </c>
    </row>
    <row r="422">
      <c r="A422" s="349" t="str">
        <f>Dashboard!B518</f>
        <v/>
      </c>
      <c r="B422" s="349" t="str">
        <f>Dashboard!H518</f>
        <v/>
      </c>
      <c r="C422" s="356" t="str">
        <f>Dashboard!G518</f>
        <v/>
      </c>
      <c r="D422" s="489" t="str">
        <f>Dashboard!M518</f>
        <v/>
      </c>
      <c r="E422" s="490" t="s">
        <v>314</v>
      </c>
      <c r="F422" s="491" t="str">
        <f t="shared" si="1"/>
        <v/>
      </c>
      <c r="G422" s="492" t="s">
        <v>314</v>
      </c>
      <c r="H422" s="349" t="str">
        <f t="shared" si="2"/>
        <v/>
      </c>
      <c r="I422" s="349" t="str">
        <f t="shared" si="3"/>
        <v/>
      </c>
      <c r="J422" s="493"/>
      <c r="K422" s="349" t="str">
        <f>IFERROR(__xludf.DUMMYFUNCTION("if(ISBLANK(A422),"""",if(B422=""Buy"",CONCAT(GOOGLEFINANCE(A422,""name""),"" {Symbol: ""&amp;A422&amp;""} High Alert!! Share Has Reached Its Target Buying Price,""),""""))"),"")</f>
        <v/>
      </c>
      <c r="L422" s="349" t="b">
        <f>IFERROR(__xludf.DUMMYFUNCTION("if(B422= ""Buy"",CONCAT(GOOGLEFINANCE(A422,""NAME""),"" share currently trading at Rs""&amp;C422&amp;"", Which is ""&amp;H422&amp;"" below the Target price of Rs""&amp;D422&amp;"".""))"),FALSE)</f>
        <v>0</v>
      </c>
    </row>
    <row r="423">
      <c r="A423" s="349" t="str">
        <f>Dashboard!B519</f>
        <v/>
      </c>
      <c r="B423" s="349" t="str">
        <f>Dashboard!H519</f>
        <v/>
      </c>
      <c r="C423" s="356" t="str">
        <f>Dashboard!G519</f>
        <v/>
      </c>
      <c r="D423" s="489" t="str">
        <f>Dashboard!M519</f>
        <v/>
      </c>
      <c r="E423" s="490" t="s">
        <v>314</v>
      </c>
      <c r="F423" s="491" t="str">
        <f t="shared" si="1"/>
        <v/>
      </c>
      <c r="G423" s="492" t="s">
        <v>314</v>
      </c>
      <c r="H423" s="349" t="str">
        <f t="shared" si="2"/>
        <v/>
      </c>
      <c r="I423" s="349" t="str">
        <f t="shared" si="3"/>
        <v/>
      </c>
      <c r="J423" s="493"/>
      <c r="K423" s="349" t="str">
        <f>IFERROR(__xludf.DUMMYFUNCTION("if(ISBLANK(A423),"""",if(B423=""Buy"",CONCAT(GOOGLEFINANCE(A423,""name""),"" {Symbol: ""&amp;A423&amp;""} High Alert!! Share Has Reached Its Target Buying Price,""),""""))"),"")</f>
        <v/>
      </c>
      <c r="L423" s="349" t="b">
        <f>IFERROR(__xludf.DUMMYFUNCTION("if(B423= ""Buy"",CONCAT(GOOGLEFINANCE(A423,""NAME""),"" share currently trading at Rs""&amp;C423&amp;"", Which is ""&amp;H423&amp;"" below the Target price of Rs""&amp;D423&amp;"".""))"),FALSE)</f>
        <v>0</v>
      </c>
    </row>
    <row r="424">
      <c r="A424" s="349" t="str">
        <f>Dashboard!B520</f>
        <v/>
      </c>
      <c r="B424" s="349" t="str">
        <f>Dashboard!H520</f>
        <v/>
      </c>
      <c r="C424" s="356" t="str">
        <f>Dashboard!G520</f>
        <v/>
      </c>
      <c r="D424" s="489" t="str">
        <f>Dashboard!M520</f>
        <v/>
      </c>
      <c r="E424" s="490" t="s">
        <v>314</v>
      </c>
      <c r="F424" s="491" t="str">
        <f t="shared" si="1"/>
        <v/>
      </c>
      <c r="G424" s="492" t="s">
        <v>314</v>
      </c>
      <c r="H424" s="349" t="str">
        <f t="shared" si="2"/>
        <v/>
      </c>
      <c r="I424" s="349" t="str">
        <f t="shared" si="3"/>
        <v/>
      </c>
      <c r="J424" s="493"/>
      <c r="K424" s="349" t="str">
        <f>IFERROR(__xludf.DUMMYFUNCTION("if(ISBLANK(A424),"""",if(B424=""Buy"",CONCAT(GOOGLEFINANCE(A424,""name""),"" {Symbol: ""&amp;A424&amp;""} High Alert!! Share Has Reached Its Target Buying Price,""),""""))"),"")</f>
        <v/>
      </c>
      <c r="L424" s="349" t="b">
        <f>IFERROR(__xludf.DUMMYFUNCTION("if(B424= ""Buy"",CONCAT(GOOGLEFINANCE(A424,""NAME""),"" share currently trading at Rs""&amp;C424&amp;"", Which is ""&amp;H424&amp;"" below the Target price of Rs""&amp;D424&amp;"".""))"),FALSE)</f>
        <v>0</v>
      </c>
    </row>
    <row r="425">
      <c r="A425" s="349" t="str">
        <f>Dashboard!B521</f>
        <v/>
      </c>
      <c r="B425" s="349" t="str">
        <f>Dashboard!H521</f>
        <v/>
      </c>
      <c r="C425" s="356" t="str">
        <f>Dashboard!G521</f>
        <v/>
      </c>
      <c r="D425" s="489" t="str">
        <f>Dashboard!M521</f>
        <v/>
      </c>
      <c r="E425" s="490" t="s">
        <v>314</v>
      </c>
      <c r="F425" s="491" t="str">
        <f t="shared" si="1"/>
        <v/>
      </c>
      <c r="G425" s="492" t="s">
        <v>314</v>
      </c>
      <c r="H425" s="349" t="str">
        <f t="shared" si="2"/>
        <v/>
      </c>
      <c r="I425" s="349" t="str">
        <f t="shared" si="3"/>
        <v/>
      </c>
      <c r="J425" s="493"/>
      <c r="K425" s="349" t="str">
        <f>IFERROR(__xludf.DUMMYFUNCTION("if(ISBLANK(A425),"""",if(B425=""Buy"",CONCAT(GOOGLEFINANCE(A425,""name""),"" {Symbol: ""&amp;A425&amp;""} High Alert!! Share Has Reached Its Target Buying Price,""),""""))"),"")</f>
        <v/>
      </c>
      <c r="L425" s="349" t="b">
        <f>IFERROR(__xludf.DUMMYFUNCTION("if(B425= ""Buy"",CONCAT(GOOGLEFINANCE(A425,""NAME""),"" share currently trading at Rs""&amp;C425&amp;"", Which is ""&amp;H425&amp;"" below the Target price of Rs""&amp;D425&amp;"".""))"),FALSE)</f>
        <v>0</v>
      </c>
    </row>
    <row r="426">
      <c r="A426" s="349" t="str">
        <f>Dashboard!B522</f>
        <v/>
      </c>
      <c r="B426" s="349" t="str">
        <f>Dashboard!H522</f>
        <v/>
      </c>
      <c r="C426" s="356" t="str">
        <f>Dashboard!G522</f>
        <v/>
      </c>
      <c r="D426" s="489" t="str">
        <f>Dashboard!M522</f>
        <v/>
      </c>
      <c r="E426" s="490" t="s">
        <v>314</v>
      </c>
      <c r="F426" s="491" t="str">
        <f t="shared" si="1"/>
        <v/>
      </c>
      <c r="G426" s="492" t="s">
        <v>314</v>
      </c>
      <c r="H426" s="349" t="str">
        <f t="shared" si="2"/>
        <v/>
      </c>
      <c r="I426" s="349" t="str">
        <f t="shared" si="3"/>
        <v/>
      </c>
      <c r="J426" s="493"/>
      <c r="K426" s="349" t="str">
        <f>IFERROR(__xludf.DUMMYFUNCTION("if(ISBLANK(A426),"""",if(B426=""Buy"",CONCAT(GOOGLEFINANCE(A426,""name""),"" {Symbol: ""&amp;A426&amp;""} High Alert!! Share Has Reached Its Target Buying Price,""),""""))"),"")</f>
        <v/>
      </c>
      <c r="L426" s="349" t="b">
        <f>IFERROR(__xludf.DUMMYFUNCTION("if(B426= ""Buy"",CONCAT(GOOGLEFINANCE(A426,""NAME""),"" share currently trading at Rs""&amp;C426&amp;"", Which is ""&amp;H426&amp;"" below the Target price of Rs""&amp;D426&amp;"".""))"),FALSE)</f>
        <v>0</v>
      </c>
    </row>
    <row r="427">
      <c r="A427" s="349" t="str">
        <f>Dashboard!B523</f>
        <v/>
      </c>
      <c r="B427" s="349" t="str">
        <f>Dashboard!H523</f>
        <v/>
      </c>
      <c r="C427" s="356" t="str">
        <f>Dashboard!G523</f>
        <v/>
      </c>
      <c r="D427" s="489" t="str">
        <f>Dashboard!M523</f>
        <v/>
      </c>
      <c r="E427" s="490" t="s">
        <v>314</v>
      </c>
      <c r="F427" s="491" t="str">
        <f t="shared" si="1"/>
        <v/>
      </c>
      <c r="G427" s="492" t="s">
        <v>314</v>
      </c>
      <c r="H427" s="349" t="str">
        <f t="shared" si="2"/>
        <v/>
      </c>
      <c r="I427" s="349" t="str">
        <f t="shared" si="3"/>
        <v/>
      </c>
      <c r="J427" s="493"/>
      <c r="K427" s="349" t="str">
        <f>IFERROR(__xludf.DUMMYFUNCTION("if(ISBLANK(A427),"""",if(B427=""Buy"",CONCAT(GOOGLEFINANCE(A427,""name""),"" {Symbol: ""&amp;A427&amp;""} High Alert!! Share Has Reached Its Target Buying Price,""),""""))"),"")</f>
        <v/>
      </c>
      <c r="L427" s="349" t="b">
        <f>IFERROR(__xludf.DUMMYFUNCTION("if(B427= ""Buy"",CONCAT(GOOGLEFINANCE(A427,""NAME""),"" share currently trading at Rs""&amp;C427&amp;"", Which is ""&amp;H427&amp;"" below the Target price of Rs""&amp;D427&amp;"".""))"),FALSE)</f>
        <v>0</v>
      </c>
    </row>
    <row r="428">
      <c r="A428" s="349" t="str">
        <f>Dashboard!B524</f>
        <v/>
      </c>
      <c r="B428" s="349" t="str">
        <f>Dashboard!H524</f>
        <v/>
      </c>
      <c r="C428" s="356" t="str">
        <f>Dashboard!G524</f>
        <v/>
      </c>
      <c r="D428" s="489" t="str">
        <f>Dashboard!M524</f>
        <v/>
      </c>
      <c r="E428" s="490" t="s">
        <v>314</v>
      </c>
      <c r="F428" s="491" t="str">
        <f t="shared" si="1"/>
        <v/>
      </c>
      <c r="G428" s="492" t="s">
        <v>314</v>
      </c>
      <c r="H428" s="349" t="str">
        <f t="shared" si="2"/>
        <v/>
      </c>
      <c r="I428" s="349" t="str">
        <f t="shared" si="3"/>
        <v/>
      </c>
      <c r="J428" s="493"/>
      <c r="K428" s="349" t="str">
        <f>IFERROR(__xludf.DUMMYFUNCTION("if(ISBLANK(A428),"""",if(B428=""Buy"",CONCAT(GOOGLEFINANCE(A428,""name""),"" {Symbol: ""&amp;A428&amp;""} High Alert!! Share Has Reached Its Target Buying Price,""),""""))"),"")</f>
        <v/>
      </c>
      <c r="L428" s="349" t="b">
        <f>IFERROR(__xludf.DUMMYFUNCTION("if(B428= ""Buy"",CONCAT(GOOGLEFINANCE(A428,""NAME""),"" share currently trading at Rs""&amp;C428&amp;"", Which is ""&amp;H428&amp;"" below the Target price of Rs""&amp;D428&amp;"".""))"),FALSE)</f>
        <v>0</v>
      </c>
    </row>
    <row r="429">
      <c r="A429" s="349" t="str">
        <f>Dashboard!B525</f>
        <v/>
      </c>
      <c r="B429" s="349" t="str">
        <f>Dashboard!H525</f>
        <v/>
      </c>
      <c r="C429" s="356" t="str">
        <f>Dashboard!G525</f>
        <v/>
      </c>
      <c r="D429" s="489" t="str">
        <f>Dashboard!M525</f>
        <v/>
      </c>
      <c r="E429" s="490" t="s">
        <v>314</v>
      </c>
      <c r="F429" s="491" t="str">
        <f t="shared" si="1"/>
        <v/>
      </c>
      <c r="G429" s="492" t="s">
        <v>314</v>
      </c>
      <c r="H429" s="349" t="str">
        <f t="shared" si="2"/>
        <v/>
      </c>
      <c r="I429" s="349" t="str">
        <f t="shared" si="3"/>
        <v/>
      </c>
      <c r="J429" s="493"/>
      <c r="K429" s="349" t="str">
        <f>IFERROR(__xludf.DUMMYFUNCTION("if(ISBLANK(A429),"""",if(B429=""Buy"",CONCAT(GOOGLEFINANCE(A429,""name""),"" {Symbol: ""&amp;A429&amp;""} High Alert!! Share Has Reached Its Target Buying Price,""),""""))"),"")</f>
        <v/>
      </c>
      <c r="L429" s="349" t="b">
        <f>IFERROR(__xludf.DUMMYFUNCTION("if(B429= ""Buy"",CONCAT(GOOGLEFINANCE(A429,""NAME""),"" share currently trading at Rs""&amp;C429&amp;"", Which is ""&amp;H429&amp;"" below the Target price of Rs""&amp;D429&amp;"".""))"),FALSE)</f>
        <v>0</v>
      </c>
    </row>
    <row r="430">
      <c r="A430" s="349" t="str">
        <f>Dashboard!B526</f>
        <v/>
      </c>
      <c r="B430" s="349" t="str">
        <f>Dashboard!H526</f>
        <v/>
      </c>
      <c r="C430" s="356" t="str">
        <f>Dashboard!G526</f>
        <v/>
      </c>
      <c r="D430" s="489" t="str">
        <f>Dashboard!M526</f>
        <v/>
      </c>
      <c r="E430" s="490" t="s">
        <v>314</v>
      </c>
      <c r="F430" s="491" t="str">
        <f t="shared" si="1"/>
        <v/>
      </c>
      <c r="G430" s="492" t="s">
        <v>314</v>
      </c>
      <c r="H430" s="349" t="str">
        <f t="shared" si="2"/>
        <v/>
      </c>
      <c r="I430" s="349" t="str">
        <f t="shared" si="3"/>
        <v/>
      </c>
      <c r="J430" s="493"/>
      <c r="K430" s="349" t="str">
        <f>IFERROR(__xludf.DUMMYFUNCTION("if(ISBLANK(A430),"""",if(B430=""Buy"",CONCAT(GOOGLEFINANCE(A430,""name""),"" {Symbol: ""&amp;A430&amp;""} High Alert!! Share Has Reached Its Target Buying Price,""),""""))"),"")</f>
        <v/>
      </c>
      <c r="L430" s="349" t="b">
        <f>IFERROR(__xludf.DUMMYFUNCTION("if(B430= ""Buy"",CONCAT(GOOGLEFINANCE(A430,""NAME""),"" share currently trading at Rs""&amp;C430&amp;"", Which is ""&amp;H430&amp;"" below the Target price of Rs""&amp;D430&amp;"".""))"),FALSE)</f>
        <v>0</v>
      </c>
    </row>
    <row r="431">
      <c r="A431" s="349" t="str">
        <f>Dashboard!B527</f>
        <v/>
      </c>
      <c r="B431" s="349" t="str">
        <f>Dashboard!H527</f>
        <v/>
      </c>
      <c r="C431" s="356" t="str">
        <f>Dashboard!G527</f>
        <v/>
      </c>
      <c r="D431" s="489" t="str">
        <f>Dashboard!M527</f>
        <v/>
      </c>
      <c r="E431" s="490" t="s">
        <v>314</v>
      </c>
      <c r="F431" s="491" t="str">
        <f t="shared" si="1"/>
        <v/>
      </c>
      <c r="G431" s="492" t="s">
        <v>314</v>
      </c>
      <c r="H431" s="349" t="str">
        <f t="shared" si="2"/>
        <v/>
      </c>
      <c r="I431" s="349" t="str">
        <f t="shared" si="3"/>
        <v/>
      </c>
      <c r="J431" s="493"/>
      <c r="K431" s="349" t="str">
        <f>IFERROR(__xludf.DUMMYFUNCTION("if(ISBLANK(A431),"""",if(B431=""Buy"",CONCAT(GOOGLEFINANCE(A431,""name""),"" {Symbol: ""&amp;A431&amp;""} High Alert!! Share Has Reached Its Target Buying Price,""),""""))"),"")</f>
        <v/>
      </c>
      <c r="L431" s="349" t="b">
        <f>IFERROR(__xludf.DUMMYFUNCTION("if(B431= ""Buy"",CONCAT(GOOGLEFINANCE(A431,""NAME""),"" share currently trading at Rs""&amp;C431&amp;"", Which is ""&amp;H431&amp;"" below the Target price of Rs""&amp;D431&amp;"".""))"),FALSE)</f>
        <v>0</v>
      </c>
    </row>
    <row r="432">
      <c r="A432" s="349" t="str">
        <f>Dashboard!B528</f>
        <v/>
      </c>
      <c r="B432" s="349" t="str">
        <f>Dashboard!H528</f>
        <v/>
      </c>
      <c r="C432" s="356" t="str">
        <f>Dashboard!G528</f>
        <v/>
      </c>
      <c r="D432" s="489" t="str">
        <f>Dashboard!M528</f>
        <v/>
      </c>
      <c r="E432" s="490" t="s">
        <v>314</v>
      </c>
      <c r="F432" s="491" t="str">
        <f t="shared" si="1"/>
        <v/>
      </c>
      <c r="G432" s="492" t="s">
        <v>314</v>
      </c>
      <c r="H432" s="349" t="str">
        <f t="shared" si="2"/>
        <v/>
      </c>
      <c r="I432" s="349" t="str">
        <f t="shared" si="3"/>
        <v/>
      </c>
      <c r="J432" s="493"/>
      <c r="K432" s="349" t="str">
        <f>IFERROR(__xludf.DUMMYFUNCTION("if(ISBLANK(A432),"""",if(B432=""Buy"",CONCAT(GOOGLEFINANCE(A432,""name""),"" {Symbol: ""&amp;A432&amp;""} High Alert!! Share Has Reached Its Target Buying Price,""),""""))"),"")</f>
        <v/>
      </c>
      <c r="L432" s="349" t="b">
        <f>IFERROR(__xludf.DUMMYFUNCTION("if(B432= ""Buy"",CONCAT(GOOGLEFINANCE(A432,""NAME""),"" share currently trading at Rs""&amp;C432&amp;"", Which is ""&amp;H432&amp;"" below the Target price of Rs""&amp;D432&amp;"".""))"),FALSE)</f>
        <v>0</v>
      </c>
    </row>
    <row r="433">
      <c r="A433" s="349" t="str">
        <f>Dashboard!B529</f>
        <v/>
      </c>
      <c r="B433" s="349" t="str">
        <f>Dashboard!H529</f>
        <v/>
      </c>
      <c r="C433" s="356" t="str">
        <f>Dashboard!G529</f>
        <v/>
      </c>
      <c r="D433" s="489" t="str">
        <f>Dashboard!M529</f>
        <v/>
      </c>
      <c r="E433" s="490" t="s">
        <v>314</v>
      </c>
      <c r="F433" s="491" t="str">
        <f t="shared" si="1"/>
        <v/>
      </c>
      <c r="G433" s="492" t="s">
        <v>314</v>
      </c>
      <c r="H433" s="349" t="str">
        <f t="shared" si="2"/>
        <v/>
      </c>
      <c r="I433" s="349" t="str">
        <f t="shared" si="3"/>
        <v/>
      </c>
      <c r="J433" s="493"/>
      <c r="K433" s="349" t="str">
        <f>IFERROR(__xludf.DUMMYFUNCTION("if(ISBLANK(A433),"""",if(B433=""Buy"",CONCAT(GOOGLEFINANCE(A433,""name""),"" {Symbol: ""&amp;A433&amp;""} High Alert!! Share Has Reached Its Target Buying Price,""),""""))"),"")</f>
        <v/>
      </c>
      <c r="L433" s="349" t="b">
        <f>IFERROR(__xludf.DUMMYFUNCTION("if(B433= ""Buy"",CONCAT(GOOGLEFINANCE(A433,""NAME""),"" share currently trading at Rs""&amp;C433&amp;"", Which is ""&amp;H433&amp;"" below the Target price of Rs""&amp;D433&amp;"".""))"),FALSE)</f>
        <v>0</v>
      </c>
    </row>
    <row r="434">
      <c r="A434" s="349" t="str">
        <f>Dashboard!B530</f>
        <v/>
      </c>
      <c r="B434" s="349" t="str">
        <f>Dashboard!H530</f>
        <v/>
      </c>
      <c r="C434" s="356" t="str">
        <f>Dashboard!G530</f>
        <v/>
      </c>
      <c r="D434" s="489" t="str">
        <f>Dashboard!M530</f>
        <v/>
      </c>
      <c r="E434" s="490" t="s">
        <v>314</v>
      </c>
      <c r="F434" s="491" t="str">
        <f t="shared" si="1"/>
        <v/>
      </c>
      <c r="G434" s="492" t="s">
        <v>314</v>
      </c>
      <c r="H434" s="349" t="str">
        <f t="shared" si="2"/>
        <v/>
      </c>
      <c r="I434" s="349" t="str">
        <f t="shared" si="3"/>
        <v/>
      </c>
      <c r="J434" s="493"/>
      <c r="K434" s="349" t="str">
        <f>IFERROR(__xludf.DUMMYFUNCTION("if(ISBLANK(A434),"""",if(B434=""Buy"",CONCAT(GOOGLEFINANCE(A434,""name""),"" {Symbol: ""&amp;A434&amp;""} High Alert!! Share Has Reached Its Target Buying Price,""),""""))"),"")</f>
        <v/>
      </c>
      <c r="L434" s="349" t="b">
        <f>IFERROR(__xludf.DUMMYFUNCTION("if(B434= ""Buy"",CONCAT(GOOGLEFINANCE(A434,""NAME""),"" share currently trading at Rs""&amp;C434&amp;"", Which is ""&amp;H434&amp;"" below the Target price of Rs""&amp;D434&amp;"".""))"),FALSE)</f>
        <v>0</v>
      </c>
    </row>
    <row r="435">
      <c r="A435" s="349" t="str">
        <f>Dashboard!B531</f>
        <v/>
      </c>
      <c r="B435" s="349" t="str">
        <f>Dashboard!H531</f>
        <v/>
      </c>
      <c r="C435" s="356" t="str">
        <f>Dashboard!G531</f>
        <v/>
      </c>
      <c r="D435" s="489" t="str">
        <f>Dashboard!M531</f>
        <v/>
      </c>
      <c r="E435" s="490" t="s">
        <v>314</v>
      </c>
      <c r="F435" s="491" t="str">
        <f t="shared" si="1"/>
        <v/>
      </c>
      <c r="G435" s="492" t="s">
        <v>314</v>
      </c>
      <c r="H435" s="349" t="str">
        <f t="shared" si="2"/>
        <v/>
      </c>
      <c r="I435" s="349" t="str">
        <f t="shared" si="3"/>
        <v/>
      </c>
      <c r="J435" s="493"/>
      <c r="K435" s="349" t="str">
        <f>IFERROR(__xludf.DUMMYFUNCTION("if(ISBLANK(A435),"""",if(B435=""Buy"",CONCAT(GOOGLEFINANCE(A435,""name""),"" {Symbol: ""&amp;A435&amp;""} High Alert!! Share Has Reached Its Target Buying Price,""),""""))"),"")</f>
        <v/>
      </c>
      <c r="L435" s="349" t="b">
        <f>IFERROR(__xludf.DUMMYFUNCTION("if(B435= ""Buy"",CONCAT(GOOGLEFINANCE(A435,""NAME""),"" share currently trading at Rs""&amp;C435&amp;"", Which is ""&amp;H435&amp;"" below the Target price of Rs""&amp;D435&amp;"".""))"),FALSE)</f>
        <v>0</v>
      </c>
    </row>
    <row r="436">
      <c r="A436" s="349" t="str">
        <f>Dashboard!B532</f>
        <v/>
      </c>
      <c r="B436" s="349" t="str">
        <f>Dashboard!H532</f>
        <v/>
      </c>
      <c r="C436" s="356" t="str">
        <f>Dashboard!G532</f>
        <v/>
      </c>
      <c r="D436" s="489" t="str">
        <f>Dashboard!M532</f>
        <v/>
      </c>
      <c r="E436" s="490" t="s">
        <v>314</v>
      </c>
      <c r="F436" s="491" t="str">
        <f t="shared" si="1"/>
        <v/>
      </c>
      <c r="G436" s="492" t="s">
        <v>314</v>
      </c>
      <c r="H436" s="349" t="str">
        <f t="shared" si="2"/>
        <v/>
      </c>
      <c r="I436" s="349" t="str">
        <f t="shared" si="3"/>
        <v/>
      </c>
      <c r="J436" s="493"/>
      <c r="K436" s="349" t="str">
        <f>IFERROR(__xludf.DUMMYFUNCTION("if(ISBLANK(A436),"""",if(B436=""Buy"",CONCAT(GOOGLEFINANCE(A436,""name""),"" {Symbol: ""&amp;A436&amp;""} High Alert!! Share Has Reached Its Target Buying Price,""),""""))"),"")</f>
        <v/>
      </c>
      <c r="L436" s="349" t="b">
        <f>IFERROR(__xludf.DUMMYFUNCTION("if(B436= ""Buy"",CONCAT(GOOGLEFINANCE(A436,""NAME""),"" share currently trading at Rs""&amp;C436&amp;"", Which is ""&amp;H436&amp;"" below the Target price of Rs""&amp;D436&amp;"".""))"),FALSE)</f>
        <v>0</v>
      </c>
    </row>
    <row r="437">
      <c r="A437" s="349" t="str">
        <f>Dashboard!B533</f>
        <v/>
      </c>
      <c r="B437" s="349" t="str">
        <f>Dashboard!H533</f>
        <v/>
      </c>
      <c r="C437" s="356" t="str">
        <f>Dashboard!G533</f>
        <v/>
      </c>
      <c r="D437" s="489" t="str">
        <f>Dashboard!M533</f>
        <v/>
      </c>
      <c r="E437" s="490" t="s">
        <v>314</v>
      </c>
      <c r="F437" s="491" t="str">
        <f t="shared" si="1"/>
        <v/>
      </c>
      <c r="G437" s="492" t="s">
        <v>314</v>
      </c>
      <c r="H437" s="349" t="str">
        <f t="shared" si="2"/>
        <v/>
      </c>
      <c r="I437" s="349" t="str">
        <f t="shared" si="3"/>
        <v/>
      </c>
      <c r="J437" s="493"/>
      <c r="K437" s="349" t="str">
        <f>IFERROR(__xludf.DUMMYFUNCTION("if(ISBLANK(A437),"""",if(B437=""Buy"",CONCAT(GOOGLEFINANCE(A437,""name""),"" {Symbol: ""&amp;A437&amp;""} High Alert!! Share Has Reached Its Target Buying Price,""),""""))"),"")</f>
        <v/>
      </c>
      <c r="L437" s="349" t="b">
        <f>IFERROR(__xludf.DUMMYFUNCTION("if(B437= ""Buy"",CONCAT(GOOGLEFINANCE(A437,""NAME""),"" share currently trading at Rs""&amp;C437&amp;"", Which is ""&amp;H437&amp;"" below the Target price of Rs""&amp;D437&amp;"".""))"),FALSE)</f>
        <v>0</v>
      </c>
    </row>
    <row r="438">
      <c r="A438" s="349" t="str">
        <f>Dashboard!B534</f>
        <v/>
      </c>
      <c r="B438" s="349" t="str">
        <f>Dashboard!H534</f>
        <v/>
      </c>
      <c r="C438" s="356" t="str">
        <f>Dashboard!G534</f>
        <v/>
      </c>
      <c r="D438" s="489" t="str">
        <f>Dashboard!M534</f>
        <v/>
      </c>
      <c r="E438" s="490" t="s">
        <v>314</v>
      </c>
      <c r="F438" s="491" t="str">
        <f t="shared" si="1"/>
        <v/>
      </c>
      <c r="G438" s="492" t="s">
        <v>314</v>
      </c>
      <c r="H438" s="349" t="str">
        <f t="shared" si="2"/>
        <v/>
      </c>
      <c r="I438" s="349" t="str">
        <f t="shared" si="3"/>
        <v/>
      </c>
      <c r="J438" s="493"/>
      <c r="K438" s="349" t="str">
        <f>IFERROR(__xludf.DUMMYFUNCTION("if(ISBLANK(A438),"""",if(B438=""Buy"",CONCAT(GOOGLEFINANCE(A438,""name""),"" {Symbol: ""&amp;A438&amp;""} High Alert!! Share Has Reached Its Target Buying Price,""),""""))"),"")</f>
        <v/>
      </c>
      <c r="L438" s="349" t="b">
        <f>IFERROR(__xludf.DUMMYFUNCTION("if(B438= ""Buy"",CONCAT(GOOGLEFINANCE(A438,""NAME""),"" share currently trading at Rs""&amp;C438&amp;"", Which is ""&amp;H438&amp;"" below the Target price of Rs""&amp;D438&amp;"".""))"),FALSE)</f>
        <v>0</v>
      </c>
    </row>
    <row r="439">
      <c r="A439" s="349" t="str">
        <f>Dashboard!B535</f>
        <v/>
      </c>
      <c r="B439" s="349" t="str">
        <f>Dashboard!H535</f>
        <v/>
      </c>
      <c r="C439" s="356" t="str">
        <f>Dashboard!G535</f>
        <v/>
      </c>
      <c r="D439" s="489" t="str">
        <f>Dashboard!M535</f>
        <v/>
      </c>
      <c r="E439" s="490" t="s">
        <v>314</v>
      </c>
      <c r="F439" s="491" t="str">
        <f t="shared" si="1"/>
        <v/>
      </c>
      <c r="G439" s="492" t="s">
        <v>314</v>
      </c>
      <c r="H439" s="349" t="str">
        <f t="shared" si="2"/>
        <v/>
      </c>
      <c r="I439" s="349" t="str">
        <f t="shared" si="3"/>
        <v/>
      </c>
      <c r="J439" s="493"/>
      <c r="K439" s="349" t="str">
        <f>IFERROR(__xludf.DUMMYFUNCTION("if(ISBLANK(A439),"""",if(B439=""Buy"",CONCAT(GOOGLEFINANCE(A439,""name""),"" {Symbol: ""&amp;A439&amp;""} High Alert!! Share Has Reached Its Target Buying Price,""),""""))"),"")</f>
        <v/>
      </c>
      <c r="L439" s="349" t="b">
        <f>IFERROR(__xludf.DUMMYFUNCTION("if(B439= ""Buy"",CONCAT(GOOGLEFINANCE(A439,""NAME""),"" share currently trading at Rs""&amp;C439&amp;"", Which is ""&amp;H439&amp;"" below the Target price of Rs""&amp;D439&amp;"".""))"),FALSE)</f>
        <v>0</v>
      </c>
    </row>
    <row r="440">
      <c r="A440" s="349" t="str">
        <f>Dashboard!B536</f>
        <v/>
      </c>
      <c r="B440" s="349" t="str">
        <f>Dashboard!H536</f>
        <v/>
      </c>
      <c r="C440" s="356" t="str">
        <f>Dashboard!G536</f>
        <v/>
      </c>
      <c r="D440" s="489" t="str">
        <f>Dashboard!M536</f>
        <v/>
      </c>
      <c r="E440" s="490" t="s">
        <v>314</v>
      </c>
      <c r="F440" s="491" t="str">
        <f t="shared" si="1"/>
        <v/>
      </c>
      <c r="G440" s="492" t="s">
        <v>314</v>
      </c>
      <c r="H440" s="349" t="str">
        <f t="shared" si="2"/>
        <v/>
      </c>
      <c r="I440" s="349" t="str">
        <f t="shared" si="3"/>
        <v/>
      </c>
      <c r="J440" s="493"/>
      <c r="K440" s="349" t="str">
        <f>IFERROR(__xludf.DUMMYFUNCTION("if(ISBLANK(A440),"""",if(B440=""Buy"",CONCAT(GOOGLEFINANCE(A440,""name""),"" {Symbol: ""&amp;A440&amp;""} High Alert!! Share Has Reached Its Target Buying Price,""),""""))"),"")</f>
        <v/>
      </c>
      <c r="L440" s="349" t="b">
        <f>IFERROR(__xludf.DUMMYFUNCTION("if(B440= ""Buy"",CONCAT(GOOGLEFINANCE(A440,""NAME""),"" share currently trading at Rs""&amp;C440&amp;"", Which is ""&amp;H440&amp;"" below the Target price of Rs""&amp;D440&amp;"".""))"),FALSE)</f>
        <v>0</v>
      </c>
    </row>
    <row r="441">
      <c r="A441" s="349" t="str">
        <f>Dashboard!B537</f>
        <v/>
      </c>
      <c r="B441" s="349" t="str">
        <f>Dashboard!H537</f>
        <v/>
      </c>
      <c r="C441" s="356" t="str">
        <f>Dashboard!G537</f>
        <v/>
      </c>
      <c r="D441" s="489" t="str">
        <f>Dashboard!M537</f>
        <v/>
      </c>
      <c r="E441" s="490" t="s">
        <v>314</v>
      </c>
      <c r="F441" s="491" t="str">
        <f t="shared" si="1"/>
        <v/>
      </c>
      <c r="G441" s="492" t="s">
        <v>314</v>
      </c>
      <c r="H441" s="349" t="str">
        <f t="shared" si="2"/>
        <v/>
      </c>
      <c r="I441" s="349" t="str">
        <f t="shared" si="3"/>
        <v/>
      </c>
      <c r="J441" s="493"/>
      <c r="K441" s="349" t="str">
        <f>IFERROR(__xludf.DUMMYFUNCTION("if(ISBLANK(A441),"""",if(B441=""Buy"",CONCAT(GOOGLEFINANCE(A441,""name""),"" {Symbol: ""&amp;A441&amp;""} High Alert!! Share Has Reached Its Target Buying Price,""),""""))"),"")</f>
        <v/>
      </c>
      <c r="L441" s="349" t="b">
        <f>IFERROR(__xludf.DUMMYFUNCTION("if(B441= ""Buy"",CONCAT(GOOGLEFINANCE(A441,""NAME""),"" share currently trading at Rs""&amp;C441&amp;"", Which is ""&amp;H441&amp;"" below the Target price of Rs""&amp;D441&amp;"".""))"),FALSE)</f>
        <v>0</v>
      </c>
    </row>
    <row r="442">
      <c r="A442" s="349" t="str">
        <f>Dashboard!B538</f>
        <v/>
      </c>
      <c r="B442" s="349" t="str">
        <f>Dashboard!H538</f>
        <v/>
      </c>
      <c r="C442" s="356" t="str">
        <f>Dashboard!G538</f>
        <v/>
      </c>
      <c r="D442" s="489" t="str">
        <f>Dashboard!M538</f>
        <v/>
      </c>
      <c r="E442" s="490" t="s">
        <v>314</v>
      </c>
      <c r="F442" s="491" t="str">
        <f t="shared" si="1"/>
        <v/>
      </c>
      <c r="G442" s="492" t="s">
        <v>314</v>
      </c>
      <c r="H442" s="349" t="str">
        <f t="shared" si="2"/>
        <v/>
      </c>
      <c r="I442" s="349" t="str">
        <f t="shared" si="3"/>
        <v/>
      </c>
      <c r="J442" s="493"/>
      <c r="K442" s="349" t="str">
        <f>IFERROR(__xludf.DUMMYFUNCTION("if(ISBLANK(A442),"""",if(B442=""Buy"",CONCAT(GOOGLEFINANCE(A442,""name""),"" {Symbol: ""&amp;A442&amp;""} High Alert!! Share Has Reached Its Target Buying Price,""),""""))"),"")</f>
        <v/>
      </c>
      <c r="L442" s="349" t="b">
        <f>IFERROR(__xludf.DUMMYFUNCTION("if(B442= ""Buy"",CONCAT(GOOGLEFINANCE(A442,""NAME""),"" share currently trading at Rs""&amp;C442&amp;"", Which is ""&amp;H442&amp;"" below the Target price of Rs""&amp;D442&amp;"".""))"),FALSE)</f>
        <v>0</v>
      </c>
    </row>
    <row r="443">
      <c r="A443" s="349" t="str">
        <f>Dashboard!B539</f>
        <v/>
      </c>
      <c r="B443" s="349" t="str">
        <f>Dashboard!H539</f>
        <v/>
      </c>
      <c r="C443" s="356" t="str">
        <f>Dashboard!G539</f>
        <v/>
      </c>
      <c r="D443" s="489" t="str">
        <f>Dashboard!M539</f>
        <v/>
      </c>
      <c r="E443" s="490" t="s">
        <v>314</v>
      </c>
      <c r="F443" s="491" t="str">
        <f t="shared" si="1"/>
        <v/>
      </c>
      <c r="G443" s="492" t="s">
        <v>314</v>
      </c>
      <c r="H443" s="349" t="str">
        <f t="shared" si="2"/>
        <v/>
      </c>
      <c r="I443" s="349" t="str">
        <f t="shared" si="3"/>
        <v/>
      </c>
      <c r="J443" s="493"/>
      <c r="K443" s="349" t="str">
        <f>IFERROR(__xludf.DUMMYFUNCTION("if(ISBLANK(A443),"""",if(B443=""Buy"",CONCAT(GOOGLEFINANCE(A443,""name""),"" {Symbol: ""&amp;A443&amp;""} High Alert!! Share Has Reached Its Target Buying Price,""),""""))"),"")</f>
        <v/>
      </c>
      <c r="L443" s="349" t="b">
        <f>IFERROR(__xludf.DUMMYFUNCTION("if(B443= ""Buy"",CONCAT(GOOGLEFINANCE(A443,""NAME""),"" share currently trading at Rs""&amp;C443&amp;"", Which is ""&amp;H443&amp;"" below the Target price of Rs""&amp;D443&amp;"".""))"),FALSE)</f>
        <v>0</v>
      </c>
    </row>
    <row r="444">
      <c r="A444" s="349" t="str">
        <f>Dashboard!B540</f>
        <v/>
      </c>
      <c r="B444" s="349" t="str">
        <f>Dashboard!H540</f>
        <v/>
      </c>
      <c r="C444" s="356" t="str">
        <f>Dashboard!G540</f>
        <v/>
      </c>
      <c r="D444" s="489" t="str">
        <f>Dashboard!M540</f>
        <v/>
      </c>
      <c r="E444" s="490" t="s">
        <v>314</v>
      </c>
      <c r="F444" s="491" t="str">
        <f t="shared" si="1"/>
        <v/>
      </c>
      <c r="G444" s="492" t="s">
        <v>314</v>
      </c>
      <c r="H444" s="349" t="str">
        <f t="shared" si="2"/>
        <v/>
      </c>
      <c r="I444" s="349" t="str">
        <f t="shared" si="3"/>
        <v/>
      </c>
      <c r="J444" s="493"/>
      <c r="K444" s="349" t="str">
        <f>IFERROR(__xludf.DUMMYFUNCTION("if(ISBLANK(A444),"""",if(B444=""Buy"",CONCAT(GOOGLEFINANCE(A444,""name""),"" {Symbol: ""&amp;A444&amp;""} High Alert!! Share Has Reached Its Target Buying Price,""),""""))"),"")</f>
        <v/>
      </c>
      <c r="L444" s="349" t="b">
        <f>IFERROR(__xludf.DUMMYFUNCTION("if(B444= ""Buy"",CONCAT(GOOGLEFINANCE(A444,""NAME""),"" share currently trading at Rs""&amp;C444&amp;"", Which is ""&amp;H444&amp;"" below the Target price of Rs""&amp;D444&amp;"".""))"),FALSE)</f>
        <v>0</v>
      </c>
    </row>
    <row r="445">
      <c r="A445" s="349" t="str">
        <f>Dashboard!B541</f>
        <v/>
      </c>
      <c r="B445" s="349" t="str">
        <f>Dashboard!H541</f>
        <v/>
      </c>
      <c r="C445" s="356" t="str">
        <f>Dashboard!G541</f>
        <v/>
      </c>
      <c r="D445" s="489" t="str">
        <f>Dashboard!M541</f>
        <v/>
      </c>
      <c r="E445" s="490" t="s">
        <v>314</v>
      </c>
      <c r="F445" s="491" t="str">
        <f t="shared" si="1"/>
        <v/>
      </c>
      <c r="G445" s="492" t="s">
        <v>314</v>
      </c>
      <c r="H445" s="349" t="str">
        <f t="shared" si="2"/>
        <v/>
      </c>
      <c r="I445" s="349" t="str">
        <f t="shared" si="3"/>
        <v/>
      </c>
      <c r="J445" s="493"/>
      <c r="K445" s="349" t="str">
        <f>IFERROR(__xludf.DUMMYFUNCTION("if(ISBLANK(A445),"""",if(B445=""Buy"",CONCAT(GOOGLEFINANCE(A445,""name""),"" {Symbol: ""&amp;A445&amp;""} High Alert!! Share Has Reached Its Target Buying Price,""),""""))"),"")</f>
        <v/>
      </c>
      <c r="L445" s="349" t="b">
        <f>IFERROR(__xludf.DUMMYFUNCTION("if(B445= ""Buy"",CONCAT(GOOGLEFINANCE(A445,""NAME""),"" share currently trading at Rs""&amp;C445&amp;"", Which is ""&amp;H445&amp;"" below the Target price of Rs""&amp;D445&amp;"".""))"),FALSE)</f>
        <v>0</v>
      </c>
    </row>
    <row r="446">
      <c r="A446" s="349" t="str">
        <f>Dashboard!B542</f>
        <v/>
      </c>
      <c r="B446" s="349" t="str">
        <f>Dashboard!H542</f>
        <v/>
      </c>
      <c r="C446" s="356" t="str">
        <f>Dashboard!G542</f>
        <v/>
      </c>
      <c r="D446" s="489" t="str">
        <f>Dashboard!M542</f>
        <v/>
      </c>
      <c r="E446" s="490" t="s">
        <v>314</v>
      </c>
      <c r="F446" s="491" t="str">
        <f t="shared" si="1"/>
        <v/>
      </c>
      <c r="G446" s="492" t="s">
        <v>314</v>
      </c>
      <c r="H446" s="349" t="str">
        <f t="shared" si="2"/>
        <v/>
      </c>
      <c r="I446" s="349" t="str">
        <f t="shared" si="3"/>
        <v/>
      </c>
      <c r="J446" s="493"/>
      <c r="K446" s="349" t="str">
        <f>IFERROR(__xludf.DUMMYFUNCTION("if(ISBLANK(A446),"""",if(B446=""Buy"",CONCAT(GOOGLEFINANCE(A446,""name""),"" {Symbol: ""&amp;A446&amp;""} High Alert!! Share Has Reached Its Target Buying Price,""),""""))"),"")</f>
        <v/>
      </c>
      <c r="L446" s="349" t="b">
        <f>IFERROR(__xludf.DUMMYFUNCTION("if(B446= ""Buy"",CONCAT(GOOGLEFINANCE(A446,""NAME""),"" share currently trading at Rs""&amp;C446&amp;"", Which is ""&amp;H446&amp;"" below the Target price of Rs""&amp;D446&amp;"".""))"),FALSE)</f>
        <v>0</v>
      </c>
    </row>
    <row r="447">
      <c r="A447" s="349" t="str">
        <f>Dashboard!B543</f>
        <v/>
      </c>
      <c r="B447" s="349" t="str">
        <f>Dashboard!H543</f>
        <v/>
      </c>
      <c r="C447" s="356" t="str">
        <f>Dashboard!G543</f>
        <v/>
      </c>
      <c r="D447" s="489" t="str">
        <f>Dashboard!M543</f>
        <v/>
      </c>
      <c r="E447" s="490" t="s">
        <v>314</v>
      </c>
      <c r="F447" s="491" t="str">
        <f t="shared" si="1"/>
        <v/>
      </c>
      <c r="G447" s="492" t="s">
        <v>314</v>
      </c>
      <c r="H447" s="349" t="str">
        <f t="shared" si="2"/>
        <v/>
      </c>
      <c r="I447" s="349" t="str">
        <f t="shared" si="3"/>
        <v/>
      </c>
      <c r="J447" s="493"/>
      <c r="K447" s="349" t="str">
        <f>IFERROR(__xludf.DUMMYFUNCTION("if(ISBLANK(A447),"""",if(B447=""Buy"",CONCAT(GOOGLEFINANCE(A447,""name""),"" {Symbol: ""&amp;A447&amp;""} High Alert!! Share Has Reached Its Target Buying Price,""),""""))"),"")</f>
        <v/>
      </c>
      <c r="L447" s="349" t="b">
        <f>IFERROR(__xludf.DUMMYFUNCTION("if(B447= ""Buy"",CONCAT(GOOGLEFINANCE(A447,""NAME""),"" share currently trading at Rs""&amp;C447&amp;"", Which is ""&amp;H447&amp;"" below the Target price of Rs""&amp;D447&amp;"".""))"),FALSE)</f>
        <v>0</v>
      </c>
    </row>
    <row r="448">
      <c r="A448" s="349" t="str">
        <f>Dashboard!B544</f>
        <v/>
      </c>
      <c r="B448" s="349" t="str">
        <f>Dashboard!H544</f>
        <v/>
      </c>
      <c r="C448" s="356" t="str">
        <f>Dashboard!G544</f>
        <v/>
      </c>
      <c r="D448" s="489" t="str">
        <f>Dashboard!M544</f>
        <v/>
      </c>
      <c r="E448" s="490" t="s">
        <v>314</v>
      </c>
      <c r="F448" s="491" t="str">
        <f t="shared" si="1"/>
        <v/>
      </c>
      <c r="G448" s="492" t="s">
        <v>314</v>
      </c>
      <c r="H448" s="349" t="str">
        <f t="shared" si="2"/>
        <v/>
      </c>
      <c r="I448" s="349" t="str">
        <f t="shared" si="3"/>
        <v/>
      </c>
      <c r="J448" s="493"/>
      <c r="K448" s="349" t="str">
        <f>IFERROR(__xludf.DUMMYFUNCTION("if(ISBLANK(A448),"""",if(B448=""Buy"",CONCAT(GOOGLEFINANCE(A448,""name""),"" {Symbol: ""&amp;A448&amp;""} High Alert!! Share Has Reached Its Target Buying Price,""),""""))"),"")</f>
        <v/>
      </c>
      <c r="L448" s="349" t="b">
        <f>IFERROR(__xludf.DUMMYFUNCTION("if(B448= ""Buy"",CONCAT(GOOGLEFINANCE(A448,""NAME""),"" share currently trading at Rs""&amp;C448&amp;"", Which is ""&amp;H448&amp;"" below the Target price of Rs""&amp;D448&amp;"".""))"),FALSE)</f>
        <v>0</v>
      </c>
    </row>
    <row r="449">
      <c r="A449" s="349" t="str">
        <f>Dashboard!B545</f>
        <v/>
      </c>
      <c r="B449" s="349" t="str">
        <f>Dashboard!H545</f>
        <v/>
      </c>
      <c r="C449" s="356" t="str">
        <f>Dashboard!G545</f>
        <v/>
      </c>
      <c r="D449" s="489" t="str">
        <f>Dashboard!M545</f>
        <v/>
      </c>
      <c r="E449" s="490" t="s">
        <v>314</v>
      </c>
      <c r="F449" s="491" t="str">
        <f t="shared" si="1"/>
        <v/>
      </c>
      <c r="G449" s="492" t="s">
        <v>314</v>
      </c>
      <c r="H449" s="349" t="str">
        <f t="shared" si="2"/>
        <v/>
      </c>
      <c r="I449" s="349" t="str">
        <f t="shared" si="3"/>
        <v/>
      </c>
      <c r="J449" s="493"/>
      <c r="K449" s="349" t="str">
        <f>IFERROR(__xludf.DUMMYFUNCTION("if(ISBLANK(A449),"""",if(B449=""Buy"",CONCAT(GOOGLEFINANCE(A449,""name""),"" {Symbol: ""&amp;A449&amp;""} High Alert!! Share Has Reached Its Target Buying Price,""),""""))"),"")</f>
        <v/>
      </c>
      <c r="L449" s="349" t="b">
        <f>IFERROR(__xludf.DUMMYFUNCTION("if(B449= ""Buy"",CONCAT(GOOGLEFINANCE(A449,""NAME""),"" share currently trading at Rs""&amp;C449&amp;"", Which is ""&amp;H449&amp;"" below the Target price of Rs""&amp;D449&amp;"".""))"),FALSE)</f>
        <v>0</v>
      </c>
    </row>
    <row r="450">
      <c r="A450" s="349" t="str">
        <f>Dashboard!B546</f>
        <v/>
      </c>
      <c r="B450" s="349" t="str">
        <f>Dashboard!H546</f>
        <v/>
      </c>
      <c r="C450" s="356" t="str">
        <f>Dashboard!G546</f>
        <v/>
      </c>
      <c r="D450" s="489" t="str">
        <f>Dashboard!M546</f>
        <v/>
      </c>
      <c r="E450" s="490" t="s">
        <v>314</v>
      </c>
      <c r="F450" s="491" t="str">
        <f t="shared" si="1"/>
        <v/>
      </c>
      <c r="G450" s="492" t="s">
        <v>314</v>
      </c>
      <c r="H450" s="349" t="str">
        <f t="shared" si="2"/>
        <v/>
      </c>
      <c r="I450" s="349" t="str">
        <f t="shared" si="3"/>
        <v/>
      </c>
      <c r="J450" s="493"/>
      <c r="K450" s="349" t="str">
        <f>IFERROR(__xludf.DUMMYFUNCTION("if(ISBLANK(A450),"""",if(B450=""Buy"",CONCAT(GOOGLEFINANCE(A450,""name""),"" {Symbol: ""&amp;A450&amp;""} High Alert!! Share Has Reached Its Target Buying Price,""),""""))"),"")</f>
        <v/>
      </c>
      <c r="L450" s="349" t="b">
        <f>IFERROR(__xludf.DUMMYFUNCTION("if(B450= ""Buy"",CONCAT(GOOGLEFINANCE(A450,""NAME""),"" share currently trading at Rs""&amp;C450&amp;"", Which is ""&amp;H450&amp;"" below the Target price of Rs""&amp;D450&amp;"".""))"),FALSE)</f>
        <v>0</v>
      </c>
    </row>
    <row r="451">
      <c r="A451" s="349" t="str">
        <f>Dashboard!B547</f>
        <v/>
      </c>
      <c r="B451" s="349" t="str">
        <f>Dashboard!H547</f>
        <v/>
      </c>
      <c r="C451" s="356" t="str">
        <f>Dashboard!G547</f>
        <v/>
      </c>
      <c r="D451" s="489" t="str">
        <f>Dashboard!M547</f>
        <v/>
      </c>
      <c r="E451" s="490" t="s">
        <v>314</v>
      </c>
      <c r="F451" s="491" t="str">
        <f t="shared" si="1"/>
        <v/>
      </c>
      <c r="G451" s="492" t="s">
        <v>314</v>
      </c>
      <c r="H451" s="349" t="str">
        <f t="shared" si="2"/>
        <v/>
      </c>
      <c r="I451" s="349" t="str">
        <f t="shared" si="3"/>
        <v/>
      </c>
      <c r="J451" s="493"/>
      <c r="K451" s="349" t="str">
        <f>IFERROR(__xludf.DUMMYFUNCTION("if(ISBLANK(A451),"""",if(B451=""Buy"",CONCAT(GOOGLEFINANCE(A451,""name""),"" {Symbol: ""&amp;A451&amp;""} High Alert!! Share Has Reached Its Target Buying Price,""),""""))"),"")</f>
        <v/>
      </c>
      <c r="L451" s="349" t="b">
        <f>IFERROR(__xludf.DUMMYFUNCTION("if(B451= ""Buy"",CONCAT(GOOGLEFINANCE(A451,""NAME""),"" share currently trading at Rs""&amp;C451&amp;"", Which is ""&amp;H451&amp;"" below the Target price of Rs""&amp;D451&amp;"".""))"),FALSE)</f>
        <v>0</v>
      </c>
    </row>
    <row r="452">
      <c r="A452" s="349" t="str">
        <f>Dashboard!B548</f>
        <v/>
      </c>
      <c r="B452" s="349" t="str">
        <f>Dashboard!H548</f>
        <v/>
      </c>
      <c r="C452" s="356" t="str">
        <f>Dashboard!G548</f>
        <v/>
      </c>
      <c r="D452" s="489" t="str">
        <f>Dashboard!M548</f>
        <v/>
      </c>
      <c r="E452" s="490" t="s">
        <v>314</v>
      </c>
      <c r="F452" s="491" t="str">
        <f t="shared" si="1"/>
        <v/>
      </c>
      <c r="G452" s="492" t="s">
        <v>314</v>
      </c>
      <c r="H452" s="349" t="str">
        <f t="shared" si="2"/>
        <v/>
      </c>
      <c r="I452" s="349" t="str">
        <f t="shared" si="3"/>
        <v/>
      </c>
      <c r="J452" s="493"/>
      <c r="K452" s="349" t="str">
        <f>IFERROR(__xludf.DUMMYFUNCTION("if(ISBLANK(A452),"""",if(B452=""Buy"",CONCAT(GOOGLEFINANCE(A452,""name""),"" {Symbol: ""&amp;A452&amp;""} High Alert!! Share Has Reached Its Target Buying Price,""),""""))"),"")</f>
        <v/>
      </c>
      <c r="L452" s="349" t="b">
        <f>IFERROR(__xludf.DUMMYFUNCTION("if(B452= ""Buy"",CONCAT(GOOGLEFINANCE(A452,""NAME""),"" share currently trading at Rs""&amp;C452&amp;"", Which is ""&amp;H452&amp;"" below the Target price of Rs""&amp;D452&amp;"".""))"),FALSE)</f>
        <v>0</v>
      </c>
    </row>
    <row r="453">
      <c r="A453" s="349" t="str">
        <f>Dashboard!B549</f>
        <v/>
      </c>
      <c r="B453" s="349" t="str">
        <f>Dashboard!H549</f>
        <v/>
      </c>
      <c r="C453" s="356" t="str">
        <f>Dashboard!G549</f>
        <v/>
      </c>
      <c r="D453" s="489" t="str">
        <f>Dashboard!M549</f>
        <v/>
      </c>
      <c r="E453" s="490" t="s">
        <v>314</v>
      </c>
      <c r="F453" s="491" t="str">
        <f t="shared" si="1"/>
        <v/>
      </c>
      <c r="G453" s="492" t="s">
        <v>314</v>
      </c>
      <c r="H453" s="349" t="str">
        <f t="shared" si="2"/>
        <v/>
      </c>
      <c r="I453" s="349" t="str">
        <f t="shared" si="3"/>
        <v/>
      </c>
      <c r="J453" s="493"/>
      <c r="K453" s="349" t="str">
        <f>IFERROR(__xludf.DUMMYFUNCTION("if(ISBLANK(A453),"""",if(B453=""Buy"",CONCAT(GOOGLEFINANCE(A453,""name""),"" {Symbol: ""&amp;A453&amp;""} High Alert!! Share Has Reached Its Target Buying Price,""),""""))"),"")</f>
        <v/>
      </c>
      <c r="L453" s="349" t="b">
        <f>IFERROR(__xludf.DUMMYFUNCTION("if(B453= ""Buy"",CONCAT(GOOGLEFINANCE(A453,""NAME""),"" share currently trading at Rs""&amp;C453&amp;"", Which is ""&amp;H453&amp;"" below the Target price of Rs""&amp;D453&amp;"".""))"),FALSE)</f>
        <v>0</v>
      </c>
    </row>
    <row r="454">
      <c r="A454" s="349" t="str">
        <f>Dashboard!B550</f>
        <v/>
      </c>
      <c r="B454" s="349" t="str">
        <f>Dashboard!H550</f>
        <v/>
      </c>
      <c r="C454" s="356" t="str">
        <f>Dashboard!G550</f>
        <v/>
      </c>
      <c r="D454" s="489" t="str">
        <f>Dashboard!M550</f>
        <v/>
      </c>
      <c r="E454" s="490" t="s">
        <v>314</v>
      </c>
      <c r="F454" s="491" t="str">
        <f t="shared" si="1"/>
        <v/>
      </c>
      <c r="G454" s="492" t="s">
        <v>314</v>
      </c>
      <c r="H454" s="349" t="str">
        <f t="shared" si="2"/>
        <v/>
      </c>
      <c r="I454" s="349" t="str">
        <f t="shared" si="3"/>
        <v/>
      </c>
      <c r="J454" s="493"/>
      <c r="K454" s="349" t="str">
        <f>IFERROR(__xludf.DUMMYFUNCTION("if(ISBLANK(A454),"""",if(B454=""Buy"",CONCAT(GOOGLEFINANCE(A454,""name""),"" {Symbol: ""&amp;A454&amp;""} High Alert!! Share Has Reached Its Target Buying Price,""),""""))"),"")</f>
        <v/>
      </c>
      <c r="L454" s="349" t="b">
        <f>IFERROR(__xludf.DUMMYFUNCTION("if(B454= ""Buy"",CONCAT(GOOGLEFINANCE(A454,""NAME""),"" share currently trading at Rs""&amp;C454&amp;"", Which is ""&amp;H454&amp;"" below the Target price of Rs""&amp;D454&amp;"".""))"),FALSE)</f>
        <v>0</v>
      </c>
    </row>
    <row r="455">
      <c r="A455" s="349" t="str">
        <f>Dashboard!B551</f>
        <v/>
      </c>
      <c r="B455" s="349" t="str">
        <f>Dashboard!H551</f>
        <v/>
      </c>
      <c r="C455" s="356" t="str">
        <f>Dashboard!G551</f>
        <v/>
      </c>
      <c r="D455" s="489" t="str">
        <f>Dashboard!M551</f>
        <v/>
      </c>
      <c r="E455" s="490" t="s">
        <v>314</v>
      </c>
      <c r="F455" s="491" t="str">
        <f t="shared" si="1"/>
        <v/>
      </c>
      <c r="G455" s="492" t="s">
        <v>314</v>
      </c>
      <c r="H455" s="349" t="str">
        <f t="shared" si="2"/>
        <v/>
      </c>
      <c r="I455" s="349" t="str">
        <f t="shared" si="3"/>
        <v/>
      </c>
      <c r="J455" s="493"/>
      <c r="K455" s="349" t="str">
        <f>IFERROR(__xludf.DUMMYFUNCTION("if(ISBLANK(A455),"""",if(B455=""Buy"",CONCAT(GOOGLEFINANCE(A455,""name""),"" {Symbol: ""&amp;A455&amp;""} High Alert!! Share Has Reached Its Target Buying Price,""),""""))"),"")</f>
        <v/>
      </c>
      <c r="L455" s="349" t="b">
        <f>IFERROR(__xludf.DUMMYFUNCTION("if(B455= ""Buy"",CONCAT(GOOGLEFINANCE(A455,""NAME""),"" share currently trading at Rs""&amp;C455&amp;"", Which is ""&amp;H455&amp;"" below the Target price of Rs""&amp;D455&amp;"".""))"),FALSE)</f>
        <v>0</v>
      </c>
    </row>
    <row r="456">
      <c r="A456" s="349" t="str">
        <f>Dashboard!B552</f>
        <v/>
      </c>
      <c r="B456" s="349" t="str">
        <f>Dashboard!H552</f>
        <v/>
      </c>
      <c r="C456" s="356" t="str">
        <f>Dashboard!G552</f>
        <v/>
      </c>
      <c r="D456" s="489" t="str">
        <f>Dashboard!M552</f>
        <v/>
      </c>
      <c r="E456" s="490" t="s">
        <v>314</v>
      </c>
      <c r="F456" s="491" t="str">
        <f t="shared" si="1"/>
        <v/>
      </c>
      <c r="G456" s="492" t="s">
        <v>314</v>
      </c>
      <c r="H456" s="349" t="str">
        <f t="shared" si="2"/>
        <v/>
      </c>
      <c r="I456" s="349" t="str">
        <f t="shared" si="3"/>
        <v/>
      </c>
      <c r="J456" s="493"/>
      <c r="K456" s="349" t="str">
        <f>IFERROR(__xludf.DUMMYFUNCTION("if(ISBLANK(A456),"""",if(B456=""Buy"",CONCAT(GOOGLEFINANCE(A456,""name""),"" {Symbol: ""&amp;A456&amp;""} High Alert!! Share Has Reached Its Target Buying Price,""),""""))"),"")</f>
        <v/>
      </c>
      <c r="L456" s="349" t="b">
        <f>IFERROR(__xludf.DUMMYFUNCTION("if(B456= ""Buy"",CONCAT(GOOGLEFINANCE(A456,""NAME""),"" share currently trading at Rs""&amp;C456&amp;"", Which is ""&amp;H456&amp;"" below the Target price of Rs""&amp;D456&amp;"".""))"),FALSE)</f>
        <v>0</v>
      </c>
    </row>
    <row r="457">
      <c r="A457" s="349" t="str">
        <f>Dashboard!B553</f>
        <v/>
      </c>
      <c r="B457" s="349" t="str">
        <f>Dashboard!H553</f>
        <v/>
      </c>
      <c r="C457" s="356" t="str">
        <f>Dashboard!G553</f>
        <v/>
      </c>
      <c r="D457" s="489" t="str">
        <f>Dashboard!M553</f>
        <v/>
      </c>
      <c r="E457" s="490" t="s">
        <v>314</v>
      </c>
      <c r="F457" s="491" t="str">
        <f t="shared" si="1"/>
        <v/>
      </c>
      <c r="G457" s="492" t="s">
        <v>314</v>
      </c>
      <c r="H457" s="349" t="str">
        <f t="shared" si="2"/>
        <v/>
      </c>
      <c r="I457" s="349" t="str">
        <f t="shared" si="3"/>
        <v/>
      </c>
      <c r="J457" s="493"/>
      <c r="K457" s="349" t="str">
        <f>IFERROR(__xludf.DUMMYFUNCTION("if(ISBLANK(A457),"""",if(B457=""Buy"",CONCAT(GOOGLEFINANCE(A457,""name""),"" {Symbol: ""&amp;A457&amp;""} High Alert!! Share Has Reached Its Target Buying Price,""),""""))"),"")</f>
        <v/>
      </c>
      <c r="L457" s="349" t="b">
        <f>IFERROR(__xludf.DUMMYFUNCTION("if(B457= ""Buy"",CONCAT(GOOGLEFINANCE(A457,""NAME""),"" share currently trading at Rs""&amp;C457&amp;"", Which is ""&amp;H457&amp;"" below the Target price of Rs""&amp;D457&amp;"".""))"),FALSE)</f>
        <v>0</v>
      </c>
    </row>
    <row r="458">
      <c r="A458" s="349" t="str">
        <f>Dashboard!B554</f>
        <v/>
      </c>
      <c r="B458" s="349" t="str">
        <f>Dashboard!H554</f>
        <v/>
      </c>
      <c r="C458" s="356" t="str">
        <f>Dashboard!G554</f>
        <v/>
      </c>
      <c r="D458" s="489" t="str">
        <f>Dashboard!M554</f>
        <v/>
      </c>
      <c r="E458" s="490" t="s">
        <v>314</v>
      </c>
      <c r="F458" s="491" t="str">
        <f t="shared" si="1"/>
        <v/>
      </c>
      <c r="G458" s="492" t="s">
        <v>314</v>
      </c>
      <c r="H458" s="349" t="str">
        <f t="shared" si="2"/>
        <v/>
      </c>
      <c r="I458" s="349" t="str">
        <f t="shared" si="3"/>
        <v/>
      </c>
      <c r="J458" s="493"/>
      <c r="K458" s="349" t="str">
        <f>IFERROR(__xludf.DUMMYFUNCTION("if(ISBLANK(A458),"""",if(B458=""Buy"",CONCAT(GOOGLEFINANCE(A458,""name""),"" {Symbol: ""&amp;A458&amp;""} High Alert!! Share Has Reached Its Target Buying Price,""),""""))"),"")</f>
        <v/>
      </c>
      <c r="L458" s="349" t="b">
        <f>IFERROR(__xludf.DUMMYFUNCTION("if(B458= ""Buy"",CONCAT(GOOGLEFINANCE(A458,""NAME""),"" share currently trading at Rs""&amp;C458&amp;"", Which is ""&amp;H458&amp;"" below the Target price of Rs""&amp;D458&amp;"".""))"),FALSE)</f>
        <v>0</v>
      </c>
    </row>
    <row r="459">
      <c r="A459" s="349" t="str">
        <f>Dashboard!B555</f>
        <v/>
      </c>
      <c r="B459" s="349" t="str">
        <f>Dashboard!H555</f>
        <v/>
      </c>
      <c r="C459" s="356" t="str">
        <f>Dashboard!G555</f>
        <v/>
      </c>
      <c r="D459" s="489" t="str">
        <f>Dashboard!M555</f>
        <v/>
      </c>
      <c r="E459" s="490" t="s">
        <v>314</v>
      </c>
      <c r="F459" s="491" t="str">
        <f t="shared" si="1"/>
        <v/>
      </c>
      <c r="G459" s="492" t="s">
        <v>314</v>
      </c>
      <c r="H459" s="349" t="str">
        <f t="shared" si="2"/>
        <v/>
      </c>
      <c r="I459" s="349" t="str">
        <f t="shared" si="3"/>
        <v/>
      </c>
      <c r="J459" s="493"/>
      <c r="K459" s="349" t="str">
        <f>IFERROR(__xludf.DUMMYFUNCTION("if(ISBLANK(A459),"""",if(B459=""Buy"",CONCAT(GOOGLEFINANCE(A459,""name""),"" {Symbol: ""&amp;A459&amp;""} High Alert!! Share Has Reached Its Target Buying Price,""),""""))"),"")</f>
        <v/>
      </c>
      <c r="L459" s="349" t="b">
        <f>IFERROR(__xludf.DUMMYFUNCTION("if(B459= ""Buy"",CONCAT(GOOGLEFINANCE(A459,""NAME""),"" share currently trading at Rs""&amp;C459&amp;"", Which is ""&amp;H459&amp;"" below the Target price of Rs""&amp;D459&amp;"".""))"),FALSE)</f>
        <v>0</v>
      </c>
    </row>
    <row r="460">
      <c r="A460" s="349" t="str">
        <f>Dashboard!B556</f>
        <v/>
      </c>
      <c r="B460" s="349" t="str">
        <f>Dashboard!H556</f>
        <v/>
      </c>
      <c r="C460" s="356" t="str">
        <f>Dashboard!G556</f>
        <v/>
      </c>
      <c r="D460" s="489" t="str">
        <f>Dashboard!M556</f>
        <v/>
      </c>
      <c r="E460" s="490" t="s">
        <v>314</v>
      </c>
      <c r="F460" s="491" t="str">
        <f t="shared" si="1"/>
        <v/>
      </c>
      <c r="G460" s="492" t="s">
        <v>314</v>
      </c>
      <c r="H460" s="349" t="str">
        <f t="shared" si="2"/>
        <v/>
      </c>
      <c r="I460" s="349" t="str">
        <f t="shared" si="3"/>
        <v/>
      </c>
      <c r="J460" s="493"/>
      <c r="K460" s="349" t="str">
        <f>IFERROR(__xludf.DUMMYFUNCTION("if(ISBLANK(A460),"""",if(B460=""Buy"",CONCAT(GOOGLEFINANCE(A460,""name""),"" {Symbol: ""&amp;A460&amp;""} High Alert!! Share Has Reached Its Target Buying Price,""),""""))"),"")</f>
        <v/>
      </c>
      <c r="L460" s="349" t="b">
        <f>IFERROR(__xludf.DUMMYFUNCTION("if(B460= ""Buy"",CONCAT(GOOGLEFINANCE(A460,""NAME""),"" share currently trading at Rs""&amp;C460&amp;"", Which is ""&amp;H460&amp;"" below the Target price of Rs""&amp;D460&amp;"".""))"),FALSE)</f>
        <v>0</v>
      </c>
    </row>
    <row r="461">
      <c r="A461" s="349" t="str">
        <f>Dashboard!B557</f>
        <v/>
      </c>
      <c r="B461" s="349" t="str">
        <f>Dashboard!H557</f>
        <v/>
      </c>
      <c r="C461" s="356" t="str">
        <f>Dashboard!G557</f>
        <v/>
      </c>
      <c r="D461" s="489" t="str">
        <f>Dashboard!M557</f>
        <v/>
      </c>
      <c r="E461" s="490" t="s">
        <v>314</v>
      </c>
      <c r="F461" s="491" t="str">
        <f t="shared" si="1"/>
        <v/>
      </c>
      <c r="G461" s="492" t="s">
        <v>314</v>
      </c>
      <c r="H461" s="349" t="str">
        <f t="shared" si="2"/>
        <v/>
      </c>
      <c r="I461" s="349" t="str">
        <f t="shared" si="3"/>
        <v/>
      </c>
      <c r="J461" s="493"/>
      <c r="K461" s="349" t="str">
        <f>IFERROR(__xludf.DUMMYFUNCTION("if(ISBLANK(A461),"""",if(B461=""Buy"",CONCAT(GOOGLEFINANCE(A461,""name""),"" {Symbol: ""&amp;A461&amp;""} High Alert!! Share Has Reached Its Target Buying Price,""),""""))"),"")</f>
        <v/>
      </c>
      <c r="L461" s="349" t="b">
        <f>IFERROR(__xludf.DUMMYFUNCTION("if(B461= ""Buy"",CONCAT(GOOGLEFINANCE(A461,""NAME""),"" share currently trading at Rs""&amp;C461&amp;"", Which is ""&amp;H461&amp;"" below the Target price of Rs""&amp;D461&amp;"".""))"),FALSE)</f>
        <v>0</v>
      </c>
    </row>
    <row r="462">
      <c r="A462" s="349" t="str">
        <f>Dashboard!B558</f>
        <v/>
      </c>
      <c r="B462" s="349" t="str">
        <f>Dashboard!H558</f>
        <v/>
      </c>
      <c r="C462" s="356" t="str">
        <f>Dashboard!G558</f>
        <v/>
      </c>
      <c r="D462" s="489" t="str">
        <f>Dashboard!M558</f>
        <v/>
      </c>
      <c r="E462" s="490" t="s">
        <v>314</v>
      </c>
      <c r="F462" s="491" t="str">
        <f t="shared" si="1"/>
        <v/>
      </c>
      <c r="G462" s="492" t="s">
        <v>314</v>
      </c>
      <c r="H462" s="349" t="str">
        <f t="shared" si="2"/>
        <v/>
      </c>
      <c r="I462" s="349" t="str">
        <f t="shared" si="3"/>
        <v/>
      </c>
      <c r="J462" s="493"/>
      <c r="K462" s="349" t="str">
        <f>IFERROR(__xludf.DUMMYFUNCTION("if(ISBLANK(A462),"""",if(B462=""Buy"",CONCAT(GOOGLEFINANCE(A462,""name""),"" {Symbol: ""&amp;A462&amp;""} High Alert!! Share Has Reached Its Target Buying Price,""),""""))"),"")</f>
        <v/>
      </c>
      <c r="L462" s="349" t="b">
        <f>IFERROR(__xludf.DUMMYFUNCTION("if(B462= ""Buy"",CONCAT(GOOGLEFINANCE(A462,""NAME""),"" share currently trading at Rs""&amp;C462&amp;"", Which is ""&amp;H462&amp;"" below the Target price of Rs""&amp;D462&amp;"".""))"),FALSE)</f>
        <v>0</v>
      </c>
    </row>
    <row r="463">
      <c r="A463" s="349" t="str">
        <f>Dashboard!B559</f>
        <v/>
      </c>
      <c r="B463" s="349" t="str">
        <f>Dashboard!H559</f>
        <v/>
      </c>
      <c r="C463" s="356" t="str">
        <f>Dashboard!G559</f>
        <v/>
      </c>
      <c r="D463" s="489" t="str">
        <f>Dashboard!M559</f>
        <v/>
      </c>
      <c r="E463" s="490" t="s">
        <v>314</v>
      </c>
      <c r="F463" s="491" t="str">
        <f t="shared" si="1"/>
        <v/>
      </c>
      <c r="G463" s="492" t="s">
        <v>314</v>
      </c>
      <c r="H463" s="349" t="str">
        <f t="shared" si="2"/>
        <v/>
      </c>
      <c r="I463" s="349" t="str">
        <f t="shared" si="3"/>
        <v/>
      </c>
      <c r="J463" s="493"/>
      <c r="K463" s="349" t="str">
        <f>IFERROR(__xludf.DUMMYFUNCTION("if(ISBLANK(A463),"""",if(B463=""Buy"",CONCAT(GOOGLEFINANCE(A463,""name""),"" {Symbol: ""&amp;A463&amp;""} High Alert!! Share Has Reached Its Target Buying Price,""),""""))"),"")</f>
        <v/>
      </c>
      <c r="L463" s="349" t="b">
        <f>IFERROR(__xludf.DUMMYFUNCTION("if(B463= ""Buy"",CONCAT(GOOGLEFINANCE(A463,""NAME""),"" share currently trading at Rs""&amp;C463&amp;"", Which is ""&amp;H463&amp;"" below the Target price of Rs""&amp;D463&amp;"".""))"),FALSE)</f>
        <v>0</v>
      </c>
    </row>
    <row r="464">
      <c r="A464" s="349" t="str">
        <f>Dashboard!B560</f>
        <v/>
      </c>
      <c r="B464" s="349" t="str">
        <f>Dashboard!H560</f>
        <v/>
      </c>
      <c r="C464" s="356" t="str">
        <f>Dashboard!G560</f>
        <v/>
      </c>
      <c r="D464" s="489" t="str">
        <f>Dashboard!M560</f>
        <v/>
      </c>
      <c r="E464" s="490" t="s">
        <v>314</v>
      </c>
      <c r="F464" s="491" t="str">
        <f t="shared" si="1"/>
        <v/>
      </c>
      <c r="G464" s="492" t="s">
        <v>314</v>
      </c>
      <c r="H464" s="349" t="str">
        <f t="shared" si="2"/>
        <v/>
      </c>
      <c r="I464" s="349" t="str">
        <f t="shared" si="3"/>
        <v/>
      </c>
      <c r="J464" s="493"/>
      <c r="K464" s="349" t="str">
        <f>IFERROR(__xludf.DUMMYFUNCTION("if(ISBLANK(A464),"""",if(B464=""Buy"",CONCAT(GOOGLEFINANCE(A464,""name""),"" {Symbol: ""&amp;A464&amp;""} High Alert!! Share Has Reached Its Target Buying Price,""),""""))"),"")</f>
        <v/>
      </c>
      <c r="L464" s="349" t="b">
        <f>IFERROR(__xludf.DUMMYFUNCTION("if(B464= ""Buy"",CONCAT(GOOGLEFINANCE(A464,""NAME""),"" share currently trading at Rs""&amp;C464&amp;"", Which is ""&amp;H464&amp;"" below the Target price of Rs""&amp;D464&amp;"".""))"),FALSE)</f>
        <v>0</v>
      </c>
    </row>
    <row r="465">
      <c r="A465" s="349" t="str">
        <f>Dashboard!B561</f>
        <v/>
      </c>
      <c r="B465" s="349" t="str">
        <f>Dashboard!H561</f>
        <v/>
      </c>
      <c r="C465" s="356" t="str">
        <f>Dashboard!G561</f>
        <v/>
      </c>
      <c r="D465" s="489" t="str">
        <f>Dashboard!M561</f>
        <v/>
      </c>
      <c r="E465" s="490" t="s">
        <v>314</v>
      </c>
      <c r="F465" s="491" t="str">
        <f t="shared" si="1"/>
        <v/>
      </c>
      <c r="G465" s="492" t="s">
        <v>314</v>
      </c>
      <c r="H465" s="349" t="str">
        <f t="shared" si="2"/>
        <v/>
      </c>
      <c r="I465" s="349" t="str">
        <f t="shared" si="3"/>
        <v/>
      </c>
      <c r="J465" s="493"/>
      <c r="K465" s="349" t="str">
        <f>IFERROR(__xludf.DUMMYFUNCTION("if(ISBLANK(A465),"""",if(B465=""Buy"",CONCAT(GOOGLEFINANCE(A465,""name""),"" {Symbol: ""&amp;A465&amp;""} High Alert!! Share Has Reached Its Target Buying Price,""),""""))"),"")</f>
        <v/>
      </c>
      <c r="L465" s="349" t="b">
        <f>IFERROR(__xludf.DUMMYFUNCTION("if(B465= ""Buy"",CONCAT(GOOGLEFINANCE(A465,""NAME""),"" share currently trading at Rs""&amp;C465&amp;"", Which is ""&amp;H465&amp;"" below the Target price of Rs""&amp;D465&amp;"".""))"),FALSE)</f>
        <v>0</v>
      </c>
    </row>
    <row r="466">
      <c r="A466" s="349" t="str">
        <f>Dashboard!B562</f>
        <v/>
      </c>
      <c r="B466" s="349" t="str">
        <f>Dashboard!H562</f>
        <v/>
      </c>
      <c r="C466" s="356" t="str">
        <f>Dashboard!G562</f>
        <v/>
      </c>
      <c r="D466" s="489" t="str">
        <f>Dashboard!M562</f>
        <v/>
      </c>
      <c r="E466" s="490" t="s">
        <v>314</v>
      </c>
      <c r="F466" s="491" t="str">
        <f t="shared" si="1"/>
        <v/>
      </c>
      <c r="G466" s="492" t="s">
        <v>314</v>
      </c>
      <c r="H466" s="349" t="str">
        <f t="shared" si="2"/>
        <v/>
      </c>
      <c r="I466" s="349" t="str">
        <f t="shared" si="3"/>
        <v/>
      </c>
      <c r="J466" s="493"/>
      <c r="K466" s="349" t="str">
        <f>IFERROR(__xludf.DUMMYFUNCTION("if(ISBLANK(A466),"""",if(B466=""Buy"",CONCAT(GOOGLEFINANCE(A466,""name""),"" {Symbol: ""&amp;A466&amp;""} High Alert!! Share Has Reached Its Target Buying Price,""),""""))"),"")</f>
        <v/>
      </c>
      <c r="L466" s="349" t="b">
        <f>IFERROR(__xludf.DUMMYFUNCTION("if(B466= ""Buy"",CONCAT(GOOGLEFINANCE(A466,""NAME""),"" share currently trading at Rs""&amp;C466&amp;"", Which is ""&amp;H466&amp;"" below the Target price of Rs""&amp;D466&amp;"".""))"),FALSE)</f>
        <v>0</v>
      </c>
    </row>
    <row r="467">
      <c r="A467" s="349" t="str">
        <f>Dashboard!B563</f>
        <v/>
      </c>
      <c r="B467" s="349" t="str">
        <f>Dashboard!H563</f>
        <v/>
      </c>
      <c r="C467" s="356" t="str">
        <f>Dashboard!G563</f>
        <v/>
      </c>
      <c r="D467" s="489" t="str">
        <f>Dashboard!M563</f>
        <v/>
      </c>
      <c r="E467" s="490" t="s">
        <v>314</v>
      </c>
      <c r="F467" s="491" t="str">
        <f t="shared" si="1"/>
        <v/>
      </c>
      <c r="G467" s="492" t="s">
        <v>314</v>
      </c>
      <c r="H467" s="349" t="str">
        <f t="shared" si="2"/>
        <v/>
      </c>
      <c r="I467" s="349" t="str">
        <f t="shared" si="3"/>
        <v/>
      </c>
      <c r="J467" s="493"/>
      <c r="K467" s="349" t="str">
        <f>IFERROR(__xludf.DUMMYFUNCTION("if(ISBLANK(A467),"""",if(B467=""Buy"",CONCAT(GOOGLEFINANCE(A467,""name""),"" {Symbol: ""&amp;A467&amp;""} High Alert!! Share Has Reached Its Target Buying Price,""),""""))"),"")</f>
        <v/>
      </c>
      <c r="L467" s="349" t="b">
        <f>IFERROR(__xludf.DUMMYFUNCTION("if(B467= ""Buy"",CONCAT(GOOGLEFINANCE(A467,""NAME""),"" share currently trading at Rs""&amp;C467&amp;"", Which is ""&amp;H467&amp;"" below the Target price of Rs""&amp;D467&amp;"".""))"),FALSE)</f>
        <v>0</v>
      </c>
    </row>
    <row r="468">
      <c r="A468" s="349" t="str">
        <f>Dashboard!B564</f>
        <v/>
      </c>
      <c r="B468" s="349" t="str">
        <f>Dashboard!H564</f>
        <v/>
      </c>
      <c r="C468" s="356" t="str">
        <f>Dashboard!G564</f>
        <v/>
      </c>
      <c r="D468" s="489" t="str">
        <f>Dashboard!M564</f>
        <v/>
      </c>
      <c r="E468" s="490" t="s">
        <v>314</v>
      </c>
      <c r="F468" s="491" t="str">
        <f t="shared" si="1"/>
        <v/>
      </c>
      <c r="G468" s="492" t="s">
        <v>314</v>
      </c>
      <c r="H468" s="349" t="str">
        <f t="shared" si="2"/>
        <v/>
      </c>
      <c r="I468" s="349" t="str">
        <f t="shared" si="3"/>
        <v/>
      </c>
      <c r="J468" s="493"/>
      <c r="K468" s="349" t="str">
        <f>IFERROR(__xludf.DUMMYFUNCTION("if(ISBLANK(A468),"""",if(B468=""Buy"",CONCAT(GOOGLEFINANCE(A468,""name""),"" {Symbol: ""&amp;A468&amp;""} High Alert!! Share Has Reached Its Target Buying Price,""),""""))"),"")</f>
        <v/>
      </c>
      <c r="L468" s="349" t="b">
        <f>IFERROR(__xludf.DUMMYFUNCTION("if(B468= ""Buy"",CONCAT(GOOGLEFINANCE(A468,""NAME""),"" share currently trading at Rs""&amp;C468&amp;"", Which is ""&amp;H468&amp;"" below the Target price of Rs""&amp;D468&amp;"".""))"),FALSE)</f>
        <v>0</v>
      </c>
    </row>
    <row r="469">
      <c r="A469" s="349" t="str">
        <f>Dashboard!B565</f>
        <v/>
      </c>
      <c r="B469" s="349" t="str">
        <f>Dashboard!H565</f>
        <v/>
      </c>
      <c r="C469" s="356" t="str">
        <f>Dashboard!G565</f>
        <v/>
      </c>
      <c r="D469" s="489" t="str">
        <f>Dashboard!M565</f>
        <v/>
      </c>
      <c r="E469" s="490" t="s">
        <v>314</v>
      </c>
      <c r="F469" s="491" t="str">
        <f t="shared" si="1"/>
        <v/>
      </c>
      <c r="G469" s="492" t="s">
        <v>314</v>
      </c>
      <c r="H469" s="349" t="str">
        <f t="shared" si="2"/>
        <v/>
      </c>
      <c r="I469" s="349" t="str">
        <f t="shared" si="3"/>
        <v/>
      </c>
      <c r="J469" s="493"/>
      <c r="K469" s="349" t="str">
        <f>IFERROR(__xludf.DUMMYFUNCTION("if(ISBLANK(A469),"""",if(B469=""Buy"",CONCAT(GOOGLEFINANCE(A469,""name""),"" {Symbol: ""&amp;A469&amp;""} High Alert!! Share Has Reached Its Target Buying Price,""),""""))"),"")</f>
        <v/>
      </c>
      <c r="L469" s="349" t="b">
        <f>IFERROR(__xludf.DUMMYFUNCTION("if(B469= ""Buy"",CONCAT(GOOGLEFINANCE(A469,""NAME""),"" share currently trading at Rs""&amp;C469&amp;"", Which is ""&amp;H469&amp;"" below the Target price of Rs""&amp;D469&amp;"".""))"),FALSE)</f>
        <v>0</v>
      </c>
    </row>
    <row r="470">
      <c r="A470" s="349" t="str">
        <f>Dashboard!B566</f>
        <v/>
      </c>
      <c r="B470" s="349" t="str">
        <f>Dashboard!H566</f>
        <v/>
      </c>
      <c r="C470" s="356" t="str">
        <f>Dashboard!G566</f>
        <v/>
      </c>
      <c r="D470" s="489" t="str">
        <f>Dashboard!M566</f>
        <v/>
      </c>
      <c r="E470" s="490" t="s">
        <v>314</v>
      </c>
      <c r="F470" s="491" t="str">
        <f t="shared" si="1"/>
        <v/>
      </c>
      <c r="G470" s="492" t="s">
        <v>314</v>
      </c>
      <c r="H470" s="349" t="str">
        <f t="shared" si="2"/>
        <v/>
      </c>
      <c r="I470" s="349" t="str">
        <f t="shared" si="3"/>
        <v/>
      </c>
      <c r="J470" s="493"/>
      <c r="K470" s="349" t="str">
        <f>IFERROR(__xludf.DUMMYFUNCTION("if(ISBLANK(A470),"""",if(B470=""Buy"",CONCAT(GOOGLEFINANCE(A470,""name""),"" {Symbol: ""&amp;A470&amp;""} High Alert!! Share Has Reached Its Target Buying Price,""),""""))"),"")</f>
        <v/>
      </c>
      <c r="L470" s="349" t="b">
        <f>IFERROR(__xludf.DUMMYFUNCTION("if(B470= ""Buy"",CONCAT(GOOGLEFINANCE(A470,""NAME""),"" share currently trading at Rs""&amp;C470&amp;"", Which is ""&amp;H470&amp;"" below the Target price of Rs""&amp;D470&amp;"".""))"),FALSE)</f>
        <v>0</v>
      </c>
    </row>
    <row r="471">
      <c r="A471" s="349" t="str">
        <f>Dashboard!B567</f>
        <v/>
      </c>
      <c r="B471" s="349" t="str">
        <f>Dashboard!H567</f>
        <v/>
      </c>
      <c r="C471" s="356" t="str">
        <f>Dashboard!G567</f>
        <v/>
      </c>
      <c r="D471" s="489" t="str">
        <f>Dashboard!M567</f>
        <v/>
      </c>
      <c r="E471" s="490" t="s">
        <v>314</v>
      </c>
      <c r="F471" s="491" t="str">
        <f t="shared" si="1"/>
        <v/>
      </c>
      <c r="G471" s="492" t="s">
        <v>314</v>
      </c>
      <c r="H471" s="349" t="str">
        <f t="shared" si="2"/>
        <v/>
      </c>
      <c r="I471" s="349" t="str">
        <f t="shared" si="3"/>
        <v/>
      </c>
      <c r="J471" s="493"/>
      <c r="K471" s="349" t="str">
        <f>IFERROR(__xludf.DUMMYFUNCTION("if(ISBLANK(A471),"""",if(B471=""Buy"",CONCAT(GOOGLEFINANCE(A471,""name""),"" {Symbol: ""&amp;A471&amp;""} High Alert!! Share Has Reached Its Target Buying Price,""),""""))"),"")</f>
        <v/>
      </c>
      <c r="L471" s="349" t="b">
        <f>IFERROR(__xludf.DUMMYFUNCTION("if(B471= ""Buy"",CONCAT(GOOGLEFINANCE(A471,""NAME""),"" share currently trading at Rs""&amp;C471&amp;"", Which is ""&amp;H471&amp;"" below the Target price of Rs""&amp;D471&amp;"".""))"),FALSE)</f>
        <v>0</v>
      </c>
    </row>
    <row r="472">
      <c r="A472" s="349" t="str">
        <f>Dashboard!B568</f>
        <v/>
      </c>
      <c r="B472" s="349" t="str">
        <f>Dashboard!H568</f>
        <v/>
      </c>
      <c r="C472" s="356" t="str">
        <f>Dashboard!G568</f>
        <v/>
      </c>
      <c r="D472" s="489" t="str">
        <f>Dashboard!M568</f>
        <v/>
      </c>
      <c r="E472" s="490" t="s">
        <v>314</v>
      </c>
      <c r="F472" s="491" t="str">
        <f t="shared" si="1"/>
        <v/>
      </c>
      <c r="G472" s="492" t="s">
        <v>314</v>
      </c>
      <c r="H472" s="349" t="str">
        <f t="shared" si="2"/>
        <v/>
      </c>
      <c r="I472" s="349" t="str">
        <f t="shared" si="3"/>
        <v/>
      </c>
      <c r="J472" s="493"/>
      <c r="K472" s="349" t="str">
        <f>IFERROR(__xludf.DUMMYFUNCTION("if(ISBLANK(A472),"""",if(B472=""Buy"",CONCAT(GOOGLEFINANCE(A472,""name""),"" {Symbol: ""&amp;A472&amp;""} High Alert!! Share Has Reached Its Target Buying Price,""),""""))"),"")</f>
        <v/>
      </c>
      <c r="L472" s="349" t="b">
        <f>IFERROR(__xludf.DUMMYFUNCTION("if(B472= ""Buy"",CONCAT(GOOGLEFINANCE(A472,""NAME""),"" share currently trading at Rs""&amp;C472&amp;"", Which is ""&amp;H472&amp;"" below the Target price of Rs""&amp;D472&amp;"".""))"),FALSE)</f>
        <v>0</v>
      </c>
    </row>
    <row r="473">
      <c r="A473" s="349" t="str">
        <f>Dashboard!B569</f>
        <v/>
      </c>
      <c r="B473" s="349" t="str">
        <f>Dashboard!H569</f>
        <v/>
      </c>
      <c r="C473" s="356" t="str">
        <f>Dashboard!G569</f>
        <v/>
      </c>
      <c r="D473" s="489" t="str">
        <f>Dashboard!M569</f>
        <v/>
      </c>
      <c r="E473" s="490" t="s">
        <v>314</v>
      </c>
      <c r="F473" s="491" t="str">
        <f t="shared" si="1"/>
        <v/>
      </c>
      <c r="G473" s="492" t="s">
        <v>314</v>
      </c>
      <c r="H473" s="349" t="str">
        <f t="shared" si="2"/>
        <v/>
      </c>
      <c r="I473" s="349" t="str">
        <f t="shared" si="3"/>
        <v/>
      </c>
      <c r="J473" s="493"/>
      <c r="K473" s="349" t="str">
        <f>IFERROR(__xludf.DUMMYFUNCTION("if(ISBLANK(A473),"""",if(B473=""Buy"",CONCAT(GOOGLEFINANCE(A473,""name""),"" {Symbol: ""&amp;A473&amp;""} High Alert!! Share Has Reached Its Target Buying Price,""),""""))"),"")</f>
        <v/>
      </c>
      <c r="L473" s="349" t="b">
        <f>IFERROR(__xludf.DUMMYFUNCTION("if(B473= ""Buy"",CONCAT(GOOGLEFINANCE(A473,""NAME""),"" share currently trading at Rs""&amp;C473&amp;"", Which is ""&amp;H473&amp;"" below the Target price of Rs""&amp;D473&amp;"".""))"),FALSE)</f>
        <v>0</v>
      </c>
    </row>
    <row r="474">
      <c r="A474" s="349" t="str">
        <f>Dashboard!B570</f>
        <v/>
      </c>
      <c r="B474" s="349" t="str">
        <f>Dashboard!H570</f>
        <v/>
      </c>
      <c r="C474" s="356" t="str">
        <f>Dashboard!G570</f>
        <v/>
      </c>
      <c r="D474" s="489" t="str">
        <f>Dashboard!M570</f>
        <v/>
      </c>
      <c r="E474" s="490" t="s">
        <v>314</v>
      </c>
      <c r="F474" s="491" t="str">
        <f t="shared" si="1"/>
        <v/>
      </c>
      <c r="G474" s="492" t="s">
        <v>314</v>
      </c>
      <c r="H474" s="349" t="str">
        <f t="shared" si="2"/>
        <v/>
      </c>
      <c r="I474" s="349" t="str">
        <f t="shared" si="3"/>
        <v/>
      </c>
      <c r="J474" s="493"/>
      <c r="K474" s="349" t="str">
        <f>IFERROR(__xludf.DUMMYFUNCTION("if(ISBLANK(A474),"""",if(B474=""Buy"",CONCAT(GOOGLEFINANCE(A474,""name""),"" {Symbol: ""&amp;A474&amp;""} High Alert!! Share Has Reached Its Target Buying Price,""),""""))"),"")</f>
        <v/>
      </c>
      <c r="L474" s="349" t="b">
        <f>IFERROR(__xludf.DUMMYFUNCTION("if(B474= ""Buy"",CONCAT(GOOGLEFINANCE(A474,""NAME""),"" share currently trading at Rs""&amp;C474&amp;"", Which is ""&amp;H474&amp;"" below the Target price of Rs""&amp;D474&amp;"".""))"),FALSE)</f>
        <v>0</v>
      </c>
    </row>
    <row r="475">
      <c r="A475" s="349" t="str">
        <f>Dashboard!B571</f>
        <v/>
      </c>
      <c r="B475" s="349" t="str">
        <f>Dashboard!H571</f>
        <v/>
      </c>
      <c r="C475" s="356" t="str">
        <f>Dashboard!G571</f>
        <v/>
      </c>
      <c r="D475" s="489" t="str">
        <f>Dashboard!M571</f>
        <v/>
      </c>
      <c r="E475" s="490" t="s">
        <v>314</v>
      </c>
      <c r="F475" s="491" t="str">
        <f t="shared" si="1"/>
        <v/>
      </c>
      <c r="G475" s="492" t="s">
        <v>314</v>
      </c>
      <c r="H475" s="349" t="str">
        <f t="shared" si="2"/>
        <v/>
      </c>
      <c r="I475" s="349" t="str">
        <f t="shared" si="3"/>
        <v/>
      </c>
      <c r="J475" s="493"/>
      <c r="K475" s="349" t="str">
        <f>IFERROR(__xludf.DUMMYFUNCTION("if(ISBLANK(A475),"""",if(B475=""Buy"",CONCAT(GOOGLEFINANCE(A475,""name""),"" {Symbol: ""&amp;A475&amp;""} High Alert!! Share Has Reached Its Target Buying Price,""),""""))"),"")</f>
        <v/>
      </c>
      <c r="L475" s="349" t="b">
        <f>IFERROR(__xludf.DUMMYFUNCTION("if(B475= ""Buy"",CONCAT(GOOGLEFINANCE(A475,""NAME""),"" share currently trading at Rs""&amp;C475&amp;"", Which is ""&amp;H475&amp;"" below the Target price of Rs""&amp;D475&amp;"".""))"),FALSE)</f>
        <v>0</v>
      </c>
    </row>
    <row r="476">
      <c r="A476" s="349" t="str">
        <f>Dashboard!B572</f>
        <v/>
      </c>
      <c r="B476" s="349" t="str">
        <f>Dashboard!H572</f>
        <v/>
      </c>
      <c r="C476" s="356" t="str">
        <f>Dashboard!G572</f>
        <v/>
      </c>
      <c r="D476" s="489" t="str">
        <f>Dashboard!M572</f>
        <v/>
      </c>
      <c r="E476" s="490" t="s">
        <v>314</v>
      </c>
      <c r="F476" s="491" t="str">
        <f t="shared" si="1"/>
        <v/>
      </c>
      <c r="G476" s="492" t="s">
        <v>314</v>
      </c>
      <c r="H476" s="349" t="str">
        <f t="shared" si="2"/>
        <v/>
      </c>
      <c r="I476" s="349" t="str">
        <f t="shared" si="3"/>
        <v/>
      </c>
      <c r="J476" s="493"/>
      <c r="K476" s="349" t="str">
        <f>IFERROR(__xludf.DUMMYFUNCTION("if(ISBLANK(A476),"""",if(B476=""Buy"",CONCAT(GOOGLEFINANCE(A476,""name""),"" {Symbol: ""&amp;A476&amp;""} High Alert!! Share Has Reached Its Target Buying Price,""),""""))"),"")</f>
        <v/>
      </c>
      <c r="L476" s="349" t="b">
        <f>IFERROR(__xludf.DUMMYFUNCTION("if(B476= ""Buy"",CONCAT(GOOGLEFINANCE(A476,""NAME""),"" share currently trading at Rs""&amp;C476&amp;"", Which is ""&amp;H476&amp;"" below the Target price of Rs""&amp;D476&amp;"".""))"),FALSE)</f>
        <v>0</v>
      </c>
    </row>
    <row r="477">
      <c r="A477" s="349" t="str">
        <f>Dashboard!B573</f>
        <v/>
      </c>
      <c r="B477" s="349" t="str">
        <f>Dashboard!H573</f>
        <v/>
      </c>
      <c r="C477" s="356" t="str">
        <f>Dashboard!G573</f>
        <v/>
      </c>
      <c r="D477" s="489" t="str">
        <f>Dashboard!M573</f>
        <v/>
      </c>
      <c r="E477" s="490" t="s">
        <v>314</v>
      </c>
      <c r="F477" s="491" t="str">
        <f t="shared" si="1"/>
        <v/>
      </c>
      <c r="G477" s="492" t="s">
        <v>314</v>
      </c>
      <c r="H477" s="349" t="str">
        <f t="shared" si="2"/>
        <v/>
      </c>
      <c r="I477" s="349" t="str">
        <f t="shared" si="3"/>
        <v/>
      </c>
      <c r="J477" s="493"/>
      <c r="K477" s="349" t="str">
        <f>IFERROR(__xludf.DUMMYFUNCTION("if(ISBLANK(A477),"""",if(B477=""Buy"",CONCAT(GOOGLEFINANCE(A477,""name""),"" {Symbol: ""&amp;A477&amp;""} High Alert!! Share Has Reached Its Target Buying Price,""),""""))"),"")</f>
        <v/>
      </c>
      <c r="L477" s="349" t="b">
        <f>IFERROR(__xludf.DUMMYFUNCTION("if(B477= ""Buy"",CONCAT(GOOGLEFINANCE(A477,""NAME""),"" share currently trading at Rs""&amp;C477&amp;"", Which is ""&amp;H477&amp;"" below the Target price of Rs""&amp;D477&amp;"".""))"),FALSE)</f>
        <v>0</v>
      </c>
    </row>
    <row r="478">
      <c r="A478" s="349" t="str">
        <f>Dashboard!B574</f>
        <v/>
      </c>
      <c r="B478" s="349" t="str">
        <f>Dashboard!H574</f>
        <v/>
      </c>
      <c r="C478" s="356" t="str">
        <f>Dashboard!G574</f>
        <v/>
      </c>
      <c r="D478" s="489" t="str">
        <f>Dashboard!M574</f>
        <v/>
      </c>
      <c r="E478" s="490" t="s">
        <v>314</v>
      </c>
      <c r="F478" s="491" t="str">
        <f t="shared" si="1"/>
        <v/>
      </c>
      <c r="G478" s="492" t="s">
        <v>314</v>
      </c>
      <c r="H478" s="349" t="str">
        <f t="shared" si="2"/>
        <v/>
      </c>
      <c r="I478" s="349" t="str">
        <f t="shared" si="3"/>
        <v/>
      </c>
      <c r="J478" s="493"/>
      <c r="K478" s="349" t="str">
        <f>IFERROR(__xludf.DUMMYFUNCTION("if(ISBLANK(A478),"""",if(B478=""Buy"",CONCAT(GOOGLEFINANCE(A478,""name""),"" {Symbol: ""&amp;A478&amp;""} High Alert!! Share Has Reached Its Target Buying Price,""),""""))"),"")</f>
        <v/>
      </c>
      <c r="L478" s="349" t="b">
        <f>IFERROR(__xludf.DUMMYFUNCTION("if(B478= ""Buy"",CONCAT(GOOGLEFINANCE(A478,""NAME""),"" share currently trading at Rs""&amp;C478&amp;"", Which is ""&amp;H478&amp;"" below the Target price of Rs""&amp;D478&amp;"".""))"),FALSE)</f>
        <v>0</v>
      </c>
    </row>
    <row r="479">
      <c r="A479" s="349" t="str">
        <f>Dashboard!B575</f>
        <v/>
      </c>
      <c r="B479" s="349" t="str">
        <f>Dashboard!H575</f>
        <v/>
      </c>
      <c r="C479" s="356" t="str">
        <f>Dashboard!G575</f>
        <v/>
      </c>
      <c r="D479" s="489" t="str">
        <f>Dashboard!M575</f>
        <v/>
      </c>
      <c r="E479" s="490" t="s">
        <v>314</v>
      </c>
      <c r="F479" s="491" t="str">
        <f t="shared" si="1"/>
        <v/>
      </c>
      <c r="G479" s="492" t="s">
        <v>314</v>
      </c>
      <c r="H479" s="349" t="str">
        <f t="shared" si="2"/>
        <v/>
      </c>
      <c r="I479" s="349" t="str">
        <f t="shared" si="3"/>
        <v/>
      </c>
      <c r="J479" s="493"/>
      <c r="K479" s="349" t="str">
        <f>IFERROR(__xludf.DUMMYFUNCTION("if(ISBLANK(A479),"""",if(B479=""Buy"",CONCAT(GOOGLEFINANCE(A479,""name""),"" {Symbol: ""&amp;A479&amp;""} High Alert!! Share Has Reached Its Target Buying Price,""),""""))"),"")</f>
        <v/>
      </c>
      <c r="L479" s="349" t="b">
        <f>IFERROR(__xludf.DUMMYFUNCTION("if(B479= ""Buy"",CONCAT(GOOGLEFINANCE(A479,""NAME""),"" share currently trading at Rs""&amp;C479&amp;"", Which is ""&amp;H479&amp;"" below the Target price of Rs""&amp;D479&amp;"".""))"),FALSE)</f>
        <v>0</v>
      </c>
    </row>
    <row r="480">
      <c r="A480" s="349" t="str">
        <f>Dashboard!B576</f>
        <v/>
      </c>
      <c r="B480" s="349" t="str">
        <f>Dashboard!H576</f>
        <v/>
      </c>
      <c r="C480" s="356" t="str">
        <f>Dashboard!G576</f>
        <v/>
      </c>
      <c r="D480" s="489" t="str">
        <f>Dashboard!M576</f>
        <v/>
      </c>
      <c r="E480" s="490" t="s">
        <v>314</v>
      </c>
      <c r="F480" s="491" t="str">
        <f t="shared" si="1"/>
        <v/>
      </c>
      <c r="G480" s="492" t="s">
        <v>314</v>
      </c>
      <c r="H480" s="349" t="str">
        <f t="shared" si="2"/>
        <v/>
      </c>
      <c r="I480" s="349" t="str">
        <f t="shared" si="3"/>
        <v/>
      </c>
      <c r="J480" s="493"/>
      <c r="K480" s="349" t="str">
        <f>IFERROR(__xludf.DUMMYFUNCTION("if(ISBLANK(A480),"""",if(B480=""Buy"",CONCAT(GOOGLEFINANCE(A480,""name""),"" {Symbol: ""&amp;A480&amp;""} High Alert!! Share Has Reached Its Target Buying Price,""),""""))"),"")</f>
        <v/>
      </c>
      <c r="L480" s="349" t="b">
        <f>IFERROR(__xludf.DUMMYFUNCTION("if(B480= ""Buy"",CONCAT(GOOGLEFINANCE(A480,""NAME""),"" share currently trading at Rs""&amp;C480&amp;"", Which is ""&amp;H480&amp;"" below the Target price of Rs""&amp;D480&amp;"".""))"),FALSE)</f>
        <v>0</v>
      </c>
    </row>
    <row r="481">
      <c r="A481" s="349" t="str">
        <f>Dashboard!B577</f>
        <v/>
      </c>
      <c r="B481" s="349" t="str">
        <f>Dashboard!H577</f>
        <v/>
      </c>
      <c r="C481" s="356" t="str">
        <f>Dashboard!G577</f>
        <v/>
      </c>
      <c r="D481" s="489" t="str">
        <f>Dashboard!M577</f>
        <v/>
      </c>
      <c r="E481" s="490" t="s">
        <v>314</v>
      </c>
      <c r="F481" s="491" t="str">
        <f t="shared" si="1"/>
        <v/>
      </c>
      <c r="G481" s="492" t="s">
        <v>314</v>
      </c>
      <c r="H481" s="349" t="str">
        <f t="shared" si="2"/>
        <v/>
      </c>
      <c r="I481" s="349" t="str">
        <f t="shared" si="3"/>
        <v/>
      </c>
      <c r="J481" s="493"/>
      <c r="K481" s="349" t="str">
        <f>IFERROR(__xludf.DUMMYFUNCTION("if(ISBLANK(A481),"""",if(B481=""Buy"",CONCAT(GOOGLEFINANCE(A481,""name""),"" {Symbol: ""&amp;A481&amp;""} High Alert!! Share Has Reached Its Target Buying Price,""),""""))"),"")</f>
        <v/>
      </c>
      <c r="L481" s="349" t="b">
        <f>IFERROR(__xludf.DUMMYFUNCTION("if(B481= ""Buy"",CONCAT(GOOGLEFINANCE(A481,""NAME""),"" share currently trading at Rs""&amp;C481&amp;"", Which is ""&amp;H481&amp;"" below the Target price of Rs""&amp;D481&amp;"".""))"),FALSE)</f>
        <v>0</v>
      </c>
    </row>
    <row r="482">
      <c r="A482" s="349" t="str">
        <f>Dashboard!B578</f>
        <v/>
      </c>
      <c r="B482" s="349" t="str">
        <f>Dashboard!H578</f>
        <v/>
      </c>
      <c r="C482" s="356" t="str">
        <f>Dashboard!G578</f>
        <v/>
      </c>
      <c r="D482" s="489" t="str">
        <f>Dashboard!M578</f>
        <v/>
      </c>
      <c r="E482" s="490" t="s">
        <v>314</v>
      </c>
      <c r="F482" s="491" t="str">
        <f t="shared" si="1"/>
        <v/>
      </c>
      <c r="G482" s="492" t="s">
        <v>314</v>
      </c>
      <c r="H482" s="349" t="str">
        <f t="shared" si="2"/>
        <v/>
      </c>
      <c r="I482" s="349" t="str">
        <f t="shared" si="3"/>
        <v/>
      </c>
      <c r="J482" s="493"/>
      <c r="K482" s="349" t="str">
        <f>IFERROR(__xludf.DUMMYFUNCTION("if(ISBLANK(A482),"""",if(B482=""Buy"",CONCAT(GOOGLEFINANCE(A482,""name""),"" {Symbol: ""&amp;A482&amp;""} High Alert!! Share Has Reached Its Target Buying Price,""),""""))"),"")</f>
        <v/>
      </c>
      <c r="L482" s="349" t="b">
        <f>IFERROR(__xludf.DUMMYFUNCTION("if(B482= ""Buy"",CONCAT(GOOGLEFINANCE(A482,""NAME""),"" share currently trading at Rs""&amp;C482&amp;"", Which is ""&amp;H482&amp;"" below the Target price of Rs""&amp;D482&amp;"".""))"),FALSE)</f>
        <v>0</v>
      </c>
    </row>
    <row r="483">
      <c r="A483" s="349" t="str">
        <f>Dashboard!B579</f>
        <v/>
      </c>
      <c r="B483" s="349" t="str">
        <f>Dashboard!H579</f>
        <v/>
      </c>
      <c r="C483" s="356" t="str">
        <f>Dashboard!G579</f>
        <v/>
      </c>
      <c r="D483" s="489" t="str">
        <f>Dashboard!M579</f>
        <v/>
      </c>
      <c r="E483" s="490" t="s">
        <v>314</v>
      </c>
      <c r="F483" s="491" t="str">
        <f t="shared" si="1"/>
        <v/>
      </c>
      <c r="G483" s="492" t="s">
        <v>314</v>
      </c>
      <c r="H483" s="349" t="str">
        <f t="shared" si="2"/>
        <v/>
      </c>
      <c r="I483" s="349" t="str">
        <f t="shared" si="3"/>
        <v/>
      </c>
      <c r="J483" s="493"/>
      <c r="K483" s="349" t="str">
        <f>IFERROR(__xludf.DUMMYFUNCTION("if(ISBLANK(A483),"""",if(B483=""Buy"",CONCAT(GOOGLEFINANCE(A483,""name""),"" {Symbol: ""&amp;A483&amp;""} High Alert!! Share Has Reached Its Target Buying Price,""),""""))"),"")</f>
        <v/>
      </c>
      <c r="L483" s="349" t="b">
        <f>IFERROR(__xludf.DUMMYFUNCTION("if(B483= ""Buy"",CONCAT(GOOGLEFINANCE(A483,""NAME""),"" share currently trading at Rs""&amp;C483&amp;"", Which is ""&amp;H483&amp;"" below the Target price of Rs""&amp;D483&amp;"".""))"),FALSE)</f>
        <v>0</v>
      </c>
    </row>
    <row r="484">
      <c r="A484" s="349" t="str">
        <f>Dashboard!B580</f>
        <v/>
      </c>
      <c r="B484" s="349" t="str">
        <f>Dashboard!H580</f>
        <v/>
      </c>
      <c r="C484" s="356" t="str">
        <f>Dashboard!G580</f>
        <v/>
      </c>
      <c r="D484" s="489" t="str">
        <f>Dashboard!M580</f>
        <v/>
      </c>
      <c r="E484" s="490" t="s">
        <v>314</v>
      </c>
      <c r="F484" s="491" t="str">
        <f t="shared" si="1"/>
        <v/>
      </c>
      <c r="G484" s="492" t="s">
        <v>314</v>
      </c>
      <c r="H484" s="349" t="str">
        <f t="shared" si="2"/>
        <v/>
      </c>
      <c r="I484" s="349" t="str">
        <f t="shared" si="3"/>
        <v/>
      </c>
      <c r="J484" s="493"/>
      <c r="K484" s="349" t="str">
        <f>IFERROR(__xludf.DUMMYFUNCTION("if(ISBLANK(A484),"""",if(B484=""Buy"",CONCAT(GOOGLEFINANCE(A484,""name""),"" {Symbol: ""&amp;A484&amp;""} High Alert!! Share Has Reached Its Target Buying Price,""),""""))"),"")</f>
        <v/>
      </c>
      <c r="L484" s="349" t="b">
        <f>IFERROR(__xludf.DUMMYFUNCTION("if(B484= ""Buy"",CONCAT(GOOGLEFINANCE(A484,""NAME""),"" share currently trading at Rs""&amp;C484&amp;"", Which is ""&amp;H484&amp;"" below the Target price of Rs""&amp;D484&amp;"".""))"),FALSE)</f>
        <v>0</v>
      </c>
    </row>
    <row r="485">
      <c r="A485" s="349" t="str">
        <f>Dashboard!B581</f>
        <v/>
      </c>
      <c r="B485" s="349" t="str">
        <f>Dashboard!H581</f>
        <v/>
      </c>
      <c r="C485" s="356" t="str">
        <f>Dashboard!G581</f>
        <v/>
      </c>
      <c r="D485" s="489" t="str">
        <f>Dashboard!M581</f>
        <v/>
      </c>
      <c r="E485" s="490" t="s">
        <v>314</v>
      </c>
      <c r="F485" s="491" t="str">
        <f t="shared" si="1"/>
        <v/>
      </c>
      <c r="G485" s="492" t="s">
        <v>314</v>
      </c>
      <c r="H485" s="349" t="str">
        <f t="shared" si="2"/>
        <v/>
      </c>
      <c r="I485" s="349" t="str">
        <f t="shared" si="3"/>
        <v/>
      </c>
      <c r="J485" s="493"/>
      <c r="K485" s="349" t="str">
        <f>IFERROR(__xludf.DUMMYFUNCTION("if(ISBLANK(A485),"""",if(B485=""Buy"",CONCAT(GOOGLEFINANCE(A485,""name""),"" {Symbol: ""&amp;A485&amp;""} High Alert!! Share Has Reached Its Target Buying Price,""),""""))"),"")</f>
        <v/>
      </c>
      <c r="L485" s="349" t="b">
        <f>IFERROR(__xludf.DUMMYFUNCTION("if(B485= ""Buy"",CONCAT(GOOGLEFINANCE(A485,""NAME""),"" share currently trading at Rs""&amp;C485&amp;"", Which is ""&amp;H485&amp;"" below the Target price of Rs""&amp;D485&amp;"".""))"),FALSE)</f>
        <v>0</v>
      </c>
    </row>
    <row r="486">
      <c r="A486" s="349" t="str">
        <f>Dashboard!B582</f>
        <v/>
      </c>
      <c r="B486" s="349" t="str">
        <f>Dashboard!H582</f>
        <v/>
      </c>
      <c r="C486" s="356" t="str">
        <f>Dashboard!G582</f>
        <v/>
      </c>
      <c r="D486" s="489" t="str">
        <f>Dashboard!M582</f>
        <v/>
      </c>
      <c r="E486" s="490" t="s">
        <v>314</v>
      </c>
      <c r="F486" s="491" t="str">
        <f t="shared" si="1"/>
        <v/>
      </c>
      <c r="G486" s="492" t="s">
        <v>314</v>
      </c>
      <c r="H486" s="349" t="str">
        <f t="shared" si="2"/>
        <v/>
      </c>
      <c r="I486" s="349" t="str">
        <f t="shared" si="3"/>
        <v/>
      </c>
      <c r="J486" s="493"/>
      <c r="K486" s="349" t="str">
        <f>IFERROR(__xludf.DUMMYFUNCTION("if(ISBLANK(A486),"""",if(B486=""Buy"",CONCAT(GOOGLEFINANCE(A486,""name""),"" {Symbol: ""&amp;A486&amp;""} High Alert!! Share Has Reached Its Target Buying Price,""),""""))"),"")</f>
        <v/>
      </c>
      <c r="L486" s="349" t="b">
        <f>IFERROR(__xludf.DUMMYFUNCTION("if(B486= ""Buy"",CONCAT(GOOGLEFINANCE(A486,""NAME""),"" share currently trading at Rs""&amp;C486&amp;"", Which is ""&amp;H486&amp;"" below the Target price of Rs""&amp;D486&amp;"".""))"),FALSE)</f>
        <v>0</v>
      </c>
    </row>
    <row r="487">
      <c r="A487" s="349" t="str">
        <f>Dashboard!B583</f>
        <v/>
      </c>
      <c r="B487" s="349" t="str">
        <f>Dashboard!H583</f>
        <v/>
      </c>
      <c r="C487" s="356" t="str">
        <f>Dashboard!G583</f>
        <v/>
      </c>
      <c r="D487" s="489" t="str">
        <f>Dashboard!M583</f>
        <v/>
      </c>
      <c r="E487" s="490" t="s">
        <v>314</v>
      </c>
      <c r="F487" s="491" t="str">
        <f t="shared" si="1"/>
        <v/>
      </c>
      <c r="G487" s="492" t="s">
        <v>314</v>
      </c>
      <c r="H487" s="349" t="str">
        <f t="shared" si="2"/>
        <v/>
      </c>
      <c r="I487" s="349" t="str">
        <f t="shared" si="3"/>
        <v/>
      </c>
      <c r="J487" s="493"/>
      <c r="K487" s="349" t="str">
        <f>IFERROR(__xludf.DUMMYFUNCTION("if(ISBLANK(A487),"""",if(B487=""Buy"",CONCAT(GOOGLEFINANCE(A487,""name""),"" {Symbol: ""&amp;A487&amp;""} High Alert!! Share Has Reached Its Target Buying Price,""),""""))"),"")</f>
        <v/>
      </c>
      <c r="L487" s="349" t="b">
        <f>IFERROR(__xludf.DUMMYFUNCTION("if(B487= ""Buy"",CONCAT(GOOGLEFINANCE(A487,""NAME""),"" share currently trading at Rs""&amp;C487&amp;"", Which is ""&amp;H487&amp;"" below the Target price of Rs""&amp;D487&amp;"".""))"),FALSE)</f>
        <v>0</v>
      </c>
    </row>
    <row r="488">
      <c r="A488" s="349" t="str">
        <f>Dashboard!B584</f>
        <v/>
      </c>
      <c r="B488" s="349" t="str">
        <f>Dashboard!H584</f>
        <v/>
      </c>
      <c r="C488" s="356" t="str">
        <f>Dashboard!G584</f>
        <v/>
      </c>
      <c r="D488" s="489" t="str">
        <f>Dashboard!M584</f>
        <v/>
      </c>
      <c r="E488" s="490" t="s">
        <v>314</v>
      </c>
      <c r="F488" s="491" t="str">
        <f t="shared" si="1"/>
        <v/>
      </c>
      <c r="G488" s="492" t="s">
        <v>314</v>
      </c>
      <c r="H488" s="349" t="str">
        <f t="shared" si="2"/>
        <v/>
      </c>
      <c r="I488" s="349" t="str">
        <f t="shared" si="3"/>
        <v/>
      </c>
      <c r="J488" s="493"/>
      <c r="K488" s="349" t="str">
        <f>IFERROR(__xludf.DUMMYFUNCTION("if(ISBLANK(A488),"""",if(B488=""Buy"",CONCAT(GOOGLEFINANCE(A488,""name""),"" {Symbol: ""&amp;A488&amp;""} High Alert!! Share Has Reached Its Target Buying Price,""),""""))"),"")</f>
        <v/>
      </c>
      <c r="L488" s="349" t="b">
        <f>IFERROR(__xludf.DUMMYFUNCTION("if(B488= ""Buy"",CONCAT(GOOGLEFINANCE(A488,""NAME""),"" share currently trading at Rs""&amp;C488&amp;"", Which is ""&amp;H488&amp;"" below the Target price of Rs""&amp;D488&amp;"".""))"),FALSE)</f>
        <v>0</v>
      </c>
    </row>
    <row r="489">
      <c r="A489" s="349" t="str">
        <f>Dashboard!B585</f>
        <v/>
      </c>
      <c r="B489" s="349" t="str">
        <f>Dashboard!H585</f>
        <v/>
      </c>
      <c r="C489" s="356" t="str">
        <f>Dashboard!G585</f>
        <v/>
      </c>
      <c r="D489" s="489" t="str">
        <f>Dashboard!M585</f>
        <v/>
      </c>
      <c r="E489" s="490" t="s">
        <v>314</v>
      </c>
      <c r="F489" s="491" t="str">
        <f t="shared" si="1"/>
        <v/>
      </c>
      <c r="G489" s="492" t="s">
        <v>314</v>
      </c>
      <c r="H489" s="349" t="str">
        <f t="shared" si="2"/>
        <v/>
      </c>
      <c r="I489" s="349" t="str">
        <f t="shared" si="3"/>
        <v/>
      </c>
      <c r="J489" s="493"/>
      <c r="K489" s="349" t="str">
        <f>IFERROR(__xludf.DUMMYFUNCTION("if(ISBLANK(A489),"""",if(B489=""Buy"",CONCAT(GOOGLEFINANCE(A489,""name""),"" {Symbol: ""&amp;A489&amp;""} High Alert!! Share Has Reached Its Target Buying Price,""),""""))"),"")</f>
        <v/>
      </c>
      <c r="L489" s="349" t="b">
        <f>IFERROR(__xludf.DUMMYFUNCTION("if(B489= ""Buy"",CONCAT(GOOGLEFINANCE(A489,""NAME""),"" share currently trading at Rs""&amp;C489&amp;"", Which is ""&amp;H489&amp;"" below the Target price of Rs""&amp;D489&amp;"".""))"),FALSE)</f>
        <v>0</v>
      </c>
    </row>
    <row r="490">
      <c r="A490" s="349" t="str">
        <f>Dashboard!B586</f>
        <v/>
      </c>
      <c r="B490" s="349" t="str">
        <f>Dashboard!H586</f>
        <v/>
      </c>
      <c r="C490" s="356" t="str">
        <f>Dashboard!G586</f>
        <v/>
      </c>
      <c r="D490" s="489" t="str">
        <f>Dashboard!M586</f>
        <v/>
      </c>
      <c r="E490" s="490" t="s">
        <v>314</v>
      </c>
      <c r="F490" s="491" t="str">
        <f t="shared" si="1"/>
        <v/>
      </c>
      <c r="G490" s="492" t="s">
        <v>314</v>
      </c>
      <c r="H490" s="349" t="str">
        <f t="shared" si="2"/>
        <v/>
      </c>
      <c r="I490" s="349" t="str">
        <f t="shared" si="3"/>
        <v/>
      </c>
      <c r="J490" s="493"/>
      <c r="K490" s="349" t="str">
        <f>IFERROR(__xludf.DUMMYFUNCTION("if(ISBLANK(A490),"""",if(B490=""Buy"",CONCAT(GOOGLEFINANCE(A490,""name""),"" {Symbol: ""&amp;A490&amp;""} High Alert!! Share Has Reached Its Target Buying Price,""),""""))"),"")</f>
        <v/>
      </c>
      <c r="L490" s="349" t="b">
        <f>IFERROR(__xludf.DUMMYFUNCTION("if(B490= ""Buy"",CONCAT(GOOGLEFINANCE(A490,""NAME""),"" share currently trading at Rs""&amp;C490&amp;"", Which is ""&amp;H490&amp;"" below the Target price of Rs""&amp;D490&amp;"".""))"),FALSE)</f>
        <v>0</v>
      </c>
    </row>
    <row r="491">
      <c r="A491" s="349" t="str">
        <f>Dashboard!B587</f>
        <v/>
      </c>
      <c r="B491" s="349" t="str">
        <f>Dashboard!H587</f>
        <v/>
      </c>
      <c r="C491" s="356" t="str">
        <f>Dashboard!G587</f>
        <v/>
      </c>
      <c r="D491" s="489" t="str">
        <f>Dashboard!M587</f>
        <v/>
      </c>
      <c r="E491" s="490" t="s">
        <v>314</v>
      </c>
      <c r="F491" s="491" t="str">
        <f t="shared" si="1"/>
        <v/>
      </c>
      <c r="G491" s="492" t="s">
        <v>314</v>
      </c>
      <c r="H491" s="349" t="str">
        <f t="shared" si="2"/>
        <v/>
      </c>
      <c r="I491" s="349" t="str">
        <f t="shared" si="3"/>
        <v/>
      </c>
      <c r="J491" s="493"/>
      <c r="K491" s="349" t="str">
        <f>IFERROR(__xludf.DUMMYFUNCTION("if(ISBLANK(A491),"""",if(B491=""Buy"",CONCAT(GOOGLEFINANCE(A491,""name""),"" {Symbol: ""&amp;A491&amp;""} High Alert!! Share Has Reached Its Target Buying Price,""),""""))"),"")</f>
        <v/>
      </c>
      <c r="L491" s="349" t="b">
        <f>IFERROR(__xludf.DUMMYFUNCTION("if(B491= ""Buy"",CONCAT(GOOGLEFINANCE(A491,""NAME""),"" share currently trading at Rs""&amp;C491&amp;"", Which is ""&amp;H491&amp;"" below the Target price of Rs""&amp;D491&amp;"".""))"),FALSE)</f>
        <v>0</v>
      </c>
    </row>
    <row r="492">
      <c r="A492" s="349" t="str">
        <f>Dashboard!B588</f>
        <v/>
      </c>
      <c r="B492" s="349" t="str">
        <f>Dashboard!H588</f>
        <v/>
      </c>
      <c r="C492" s="356" t="str">
        <f>Dashboard!G588</f>
        <v/>
      </c>
      <c r="D492" s="489" t="str">
        <f>Dashboard!M588</f>
        <v/>
      </c>
      <c r="E492" s="490" t="s">
        <v>314</v>
      </c>
      <c r="F492" s="491" t="str">
        <f t="shared" si="1"/>
        <v/>
      </c>
      <c r="G492" s="492" t="s">
        <v>314</v>
      </c>
      <c r="H492" s="349" t="str">
        <f t="shared" si="2"/>
        <v/>
      </c>
      <c r="I492" s="349" t="str">
        <f t="shared" si="3"/>
        <v/>
      </c>
      <c r="J492" s="493"/>
      <c r="K492" s="349" t="str">
        <f>IFERROR(__xludf.DUMMYFUNCTION("if(ISBLANK(A492),"""",if(B492=""Buy"",CONCAT(GOOGLEFINANCE(A492,""name""),"" {Symbol: ""&amp;A492&amp;""} High Alert!! Share Has Reached Its Target Buying Price,""),""""))"),"")</f>
        <v/>
      </c>
      <c r="L492" s="349" t="b">
        <f>IFERROR(__xludf.DUMMYFUNCTION("if(B492= ""Buy"",CONCAT(GOOGLEFINANCE(A492,""NAME""),"" share currently trading at Rs""&amp;C492&amp;"", Which is ""&amp;H492&amp;"" below the Target price of Rs""&amp;D492&amp;"".""))"),FALSE)</f>
        <v>0</v>
      </c>
    </row>
    <row r="493">
      <c r="A493" s="349" t="str">
        <f>Dashboard!B589</f>
        <v/>
      </c>
      <c r="B493" s="349" t="str">
        <f>Dashboard!H589</f>
        <v/>
      </c>
      <c r="C493" s="356" t="str">
        <f>Dashboard!G589</f>
        <v/>
      </c>
      <c r="D493" s="489" t="str">
        <f>Dashboard!M589</f>
        <v/>
      </c>
      <c r="E493" s="490" t="s">
        <v>314</v>
      </c>
      <c r="F493" s="491" t="str">
        <f t="shared" si="1"/>
        <v/>
      </c>
      <c r="G493" s="492" t="s">
        <v>314</v>
      </c>
      <c r="H493" s="349" t="str">
        <f t="shared" si="2"/>
        <v/>
      </c>
      <c r="I493" s="349" t="str">
        <f t="shared" si="3"/>
        <v/>
      </c>
      <c r="J493" s="493"/>
      <c r="K493" s="349" t="str">
        <f>IFERROR(__xludf.DUMMYFUNCTION("if(ISBLANK(A493),"""",if(B493=""Buy"",CONCAT(GOOGLEFINANCE(A493,""name""),"" {Symbol: ""&amp;A493&amp;""} High Alert!! Share Has Reached Its Target Buying Price,""),""""))"),"")</f>
        <v/>
      </c>
      <c r="L493" s="349" t="b">
        <f>IFERROR(__xludf.DUMMYFUNCTION("if(B493= ""Buy"",CONCAT(GOOGLEFINANCE(A493,""NAME""),"" share currently trading at Rs""&amp;C493&amp;"", Which is ""&amp;H493&amp;"" below the Target price of Rs""&amp;D493&amp;"".""))"),FALSE)</f>
        <v>0</v>
      </c>
    </row>
    <row r="494">
      <c r="A494" s="349" t="str">
        <f>Dashboard!B590</f>
        <v/>
      </c>
      <c r="B494" s="349" t="str">
        <f>Dashboard!H590</f>
        <v/>
      </c>
      <c r="C494" s="356" t="str">
        <f>Dashboard!G590</f>
        <v/>
      </c>
      <c r="D494" s="489" t="str">
        <f>Dashboard!M590</f>
        <v/>
      </c>
      <c r="E494" s="490" t="s">
        <v>314</v>
      </c>
      <c r="F494" s="491" t="str">
        <f t="shared" si="1"/>
        <v/>
      </c>
      <c r="G494" s="492" t="s">
        <v>314</v>
      </c>
      <c r="H494" s="349" t="str">
        <f t="shared" si="2"/>
        <v/>
      </c>
      <c r="I494" s="349" t="str">
        <f t="shared" si="3"/>
        <v/>
      </c>
      <c r="J494" s="493"/>
      <c r="K494" s="349" t="str">
        <f>IFERROR(__xludf.DUMMYFUNCTION("if(ISBLANK(A494),"""",if(B494=""Buy"",CONCAT(GOOGLEFINANCE(A494,""name""),"" {Symbol: ""&amp;A494&amp;""} High Alert!! Share Has Reached Its Target Buying Price,""),""""))"),"")</f>
        <v/>
      </c>
      <c r="L494" s="349" t="b">
        <f>IFERROR(__xludf.DUMMYFUNCTION("if(B494= ""Buy"",CONCAT(GOOGLEFINANCE(A494,""NAME""),"" share currently trading at Rs""&amp;C494&amp;"", Which is ""&amp;H494&amp;"" below the Target price of Rs""&amp;D494&amp;"".""))"),FALSE)</f>
        <v>0</v>
      </c>
    </row>
    <row r="495">
      <c r="A495" s="349" t="str">
        <f>Dashboard!B591</f>
        <v/>
      </c>
      <c r="B495" s="349" t="str">
        <f>Dashboard!H591</f>
        <v/>
      </c>
      <c r="C495" s="356" t="str">
        <f>Dashboard!G591</f>
        <v/>
      </c>
      <c r="D495" s="489" t="str">
        <f>Dashboard!M591</f>
        <v/>
      </c>
      <c r="E495" s="490" t="s">
        <v>314</v>
      </c>
      <c r="F495" s="491" t="str">
        <f t="shared" si="1"/>
        <v/>
      </c>
      <c r="G495" s="492" t="s">
        <v>314</v>
      </c>
      <c r="H495" s="349" t="str">
        <f t="shared" si="2"/>
        <v/>
      </c>
      <c r="I495" s="349" t="str">
        <f t="shared" si="3"/>
        <v/>
      </c>
      <c r="J495" s="493"/>
      <c r="K495" s="349" t="str">
        <f>IFERROR(__xludf.DUMMYFUNCTION("if(ISBLANK(A495),"""",if(B495=""Buy"",CONCAT(GOOGLEFINANCE(A495,""name""),"" {Symbol: ""&amp;A495&amp;""} High Alert!! Share Has Reached Its Target Buying Price,""),""""))"),"")</f>
        <v/>
      </c>
      <c r="L495" s="349" t="b">
        <f>IFERROR(__xludf.DUMMYFUNCTION("if(B495= ""Buy"",CONCAT(GOOGLEFINANCE(A495,""NAME""),"" share currently trading at Rs""&amp;C495&amp;"", Which is ""&amp;H495&amp;"" below the Target price of Rs""&amp;D495&amp;"".""))"),FALSE)</f>
        <v>0</v>
      </c>
    </row>
    <row r="496">
      <c r="A496" s="349" t="str">
        <f>Dashboard!B592</f>
        <v/>
      </c>
      <c r="B496" s="349" t="str">
        <f>Dashboard!H592</f>
        <v/>
      </c>
      <c r="C496" s="356" t="str">
        <f>Dashboard!G592</f>
        <v/>
      </c>
      <c r="D496" s="489" t="str">
        <f>Dashboard!M592</f>
        <v/>
      </c>
      <c r="E496" s="490" t="s">
        <v>314</v>
      </c>
      <c r="F496" s="491" t="str">
        <f t="shared" si="1"/>
        <v/>
      </c>
      <c r="G496" s="492" t="s">
        <v>314</v>
      </c>
      <c r="H496" s="349" t="str">
        <f t="shared" si="2"/>
        <v/>
      </c>
      <c r="I496" s="349" t="str">
        <f t="shared" si="3"/>
        <v/>
      </c>
      <c r="J496" s="493"/>
      <c r="K496" s="349" t="str">
        <f>IFERROR(__xludf.DUMMYFUNCTION("if(ISBLANK(A496),"""",if(B496=""Buy"",CONCAT(GOOGLEFINANCE(A496,""name""),"" {Symbol: ""&amp;A496&amp;""} High Alert!! Share Has Reached Its Target Buying Price,""),""""))"),"")</f>
        <v/>
      </c>
      <c r="L496" s="349" t="b">
        <f>IFERROR(__xludf.DUMMYFUNCTION("if(B496= ""Buy"",CONCAT(GOOGLEFINANCE(A496,""NAME""),"" share currently trading at Rs""&amp;C496&amp;"", Which is ""&amp;H496&amp;"" below the Target price of Rs""&amp;D496&amp;"".""))"),FALSE)</f>
        <v>0</v>
      </c>
    </row>
    <row r="497">
      <c r="A497" s="349" t="str">
        <f>Dashboard!B593</f>
        <v/>
      </c>
      <c r="B497" s="349" t="str">
        <f>Dashboard!H593</f>
        <v/>
      </c>
      <c r="C497" s="356" t="str">
        <f>Dashboard!G593</f>
        <v/>
      </c>
      <c r="D497" s="489" t="str">
        <f>Dashboard!M593</f>
        <v/>
      </c>
      <c r="E497" s="490" t="s">
        <v>314</v>
      </c>
      <c r="F497" s="491" t="str">
        <f t="shared" si="1"/>
        <v/>
      </c>
      <c r="G497" s="492" t="s">
        <v>314</v>
      </c>
      <c r="H497" s="349" t="str">
        <f t="shared" si="2"/>
        <v/>
      </c>
      <c r="I497" s="349" t="str">
        <f t="shared" si="3"/>
        <v/>
      </c>
      <c r="J497" s="493"/>
      <c r="K497" s="349" t="str">
        <f>IFERROR(__xludf.DUMMYFUNCTION("if(ISBLANK(A497),"""",if(B497=""Buy"",CONCAT(GOOGLEFINANCE(A497,""name""),"" {Symbol: ""&amp;A497&amp;""} High Alert!! Share Has Reached Its Target Buying Price,""),""""))"),"")</f>
        <v/>
      </c>
      <c r="L497" s="349" t="b">
        <f>IFERROR(__xludf.DUMMYFUNCTION("if(B497= ""Buy"",CONCAT(GOOGLEFINANCE(A497,""NAME""),"" share currently trading at Rs""&amp;C497&amp;"", Which is ""&amp;H497&amp;"" below the Target price of Rs""&amp;D497&amp;"".""))"),FALSE)</f>
        <v>0</v>
      </c>
    </row>
    <row r="498">
      <c r="A498" s="349" t="str">
        <f>Dashboard!B594</f>
        <v/>
      </c>
      <c r="B498" s="349" t="str">
        <f>Dashboard!H594</f>
        <v/>
      </c>
      <c r="C498" s="356" t="str">
        <f>Dashboard!G594</f>
        <v/>
      </c>
      <c r="D498" s="489" t="str">
        <f>Dashboard!M594</f>
        <v/>
      </c>
      <c r="E498" s="490" t="s">
        <v>314</v>
      </c>
      <c r="F498" s="491" t="str">
        <f t="shared" si="1"/>
        <v/>
      </c>
      <c r="G498" s="492" t="s">
        <v>314</v>
      </c>
      <c r="H498" s="349" t="str">
        <f t="shared" si="2"/>
        <v/>
      </c>
      <c r="I498" s="349" t="str">
        <f t="shared" si="3"/>
        <v/>
      </c>
      <c r="J498" s="493"/>
      <c r="K498" s="349" t="str">
        <f>IFERROR(__xludf.DUMMYFUNCTION("if(ISBLANK(A498),"""",if(B498=""Buy"",CONCAT(GOOGLEFINANCE(A498,""name""),"" {Symbol: ""&amp;A498&amp;""} High Alert!! Share Has Reached Its Target Buying Price,""),""""))"),"")</f>
        <v/>
      </c>
      <c r="L498" s="349" t="b">
        <f>IFERROR(__xludf.DUMMYFUNCTION("if(B498= ""Buy"",CONCAT(GOOGLEFINANCE(A498,""NAME""),"" share currently trading at Rs""&amp;C498&amp;"", Which is ""&amp;H498&amp;"" below the Target price of Rs""&amp;D498&amp;"".""))"),FALSE)</f>
        <v>0</v>
      </c>
    </row>
    <row r="499">
      <c r="A499" s="349" t="str">
        <f>Dashboard!B595</f>
        <v/>
      </c>
      <c r="B499" s="349" t="str">
        <f>Dashboard!H595</f>
        <v/>
      </c>
      <c r="C499" s="356" t="str">
        <f>Dashboard!G595</f>
        <v/>
      </c>
      <c r="D499" s="489" t="str">
        <f>Dashboard!M595</f>
        <v/>
      </c>
      <c r="E499" s="490" t="s">
        <v>314</v>
      </c>
      <c r="F499" s="491" t="str">
        <f t="shared" si="1"/>
        <v/>
      </c>
      <c r="G499" s="492" t="s">
        <v>314</v>
      </c>
      <c r="H499" s="349" t="str">
        <f t="shared" si="2"/>
        <v/>
      </c>
      <c r="I499" s="349" t="str">
        <f t="shared" si="3"/>
        <v/>
      </c>
      <c r="J499" s="493"/>
      <c r="K499" s="349" t="str">
        <f>IFERROR(__xludf.DUMMYFUNCTION("if(ISBLANK(A499),"""",if(B499=""Buy"",CONCAT(GOOGLEFINANCE(A499,""name""),"" {Symbol: ""&amp;A499&amp;""} High Alert!! Share Has Reached Its Target Buying Price,""),""""))"),"")</f>
        <v/>
      </c>
      <c r="L499" s="349" t="b">
        <f>IFERROR(__xludf.DUMMYFUNCTION("if(B499= ""Buy"",CONCAT(GOOGLEFINANCE(A499,""NAME""),"" share currently trading at Rs""&amp;C499&amp;"", Which is ""&amp;H499&amp;"" below the Target price of Rs""&amp;D499&amp;"".""))"),FALSE)</f>
        <v>0</v>
      </c>
    </row>
    <row r="500">
      <c r="A500" s="349" t="str">
        <f>Dashboard!B596</f>
        <v/>
      </c>
      <c r="B500" s="349" t="str">
        <f>Dashboard!H596</f>
        <v/>
      </c>
      <c r="C500" s="356" t="str">
        <f>Dashboard!G596</f>
        <v/>
      </c>
      <c r="D500" s="489" t="str">
        <f>Dashboard!M596</f>
        <v/>
      </c>
      <c r="E500" s="490" t="s">
        <v>314</v>
      </c>
      <c r="F500" s="491" t="str">
        <f t="shared" si="1"/>
        <v/>
      </c>
      <c r="G500" s="492" t="s">
        <v>314</v>
      </c>
      <c r="H500" s="349" t="str">
        <f t="shared" si="2"/>
        <v/>
      </c>
      <c r="I500" s="349" t="str">
        <f t="shared" si="3"/>
        <v/>
      </c>
      <c r="J500" s="493"/>
      <c r="K500" s="349" t="str">
        <f>IFERROR(__xludf.DUMMYFUNCTION("if(ISBLANK(A500),"""",if(B500=""Buy"",CONCAT(GOOGLEFINANCE(A500,""name""),"" {Symbol: ""&amp;A500&amp;""} High Alert!! Share Has Reached Its Target Buying Price,""),""""))"),"")</f>
        <v/>
      </c>
      <c r="L500" s="349" t="b">
        <f>IFERROR(__xludf.DUMMYFUNCTION("if(B500= ""Buy"",CONCAT(GOOGLEFINANCE(A500,""NAME""),"" share currently trading at Rs""&amp;C500&amp;"", Which is ""&amp;H500&amp;"" below the Target price of Rs""&amp;D500&amp;"".""))"),FALSE)</f>
        <v>0</v>
      </c>
    </row>
    <row r="501">
      <c r="A501" s="349" t="str">
        <f>Dashboard!B597</f>
        <v/>
      </c>
      <c r="B501" s="349" t="str">
        <f>Dashboard!H597</f>
        <v/>
      </c>
      <c r="C501" s="356" t="str">
        <f>Dashboard!G597</f>
        <v/>
      </c>
      <c r="D501" s="489" t="str">
        <f>Dashboard!M597</f>
        <v/>
      </c>
      <c r="E501" s="490" t="s">
        <v>314</v>
      </c>
      <c r="F501" s="491" t="str">
        <f t="shared" si="1"/>
        <v/>
      </c>
      <c r="G501" s="492" t="s">
        <v>314</v>
      </c>
      <c r="H501" s="349" t="str">
        <f t="shared" si="2"/>
        <v/>
      </c>
      <c r="I501" s="349" t="str">
        <f t="shared" si="3"/>
        <v/>
      </c>
      <c r="J501" s="493"/>
      <c r="K501" s="349" t="str">
        <f>IFERROR(__xludf.DUMMYFUNCTION("if(ISBLANK(A501),"""",if(B501=""Buy"",CONCAT(GOOGLEFINANCE(A501,""name""),"" {Symbol: ""&amp;A501&amp;""} High Alert!! Share Has Reached Its Target Buying Price,""),""""))"),"")</f>
        <v/>
      </c>
      <c r="L501" s="349" t="b">
        <f>IFERROR(__xludf.DUMMYFUNCTION("if(B501= ""Buy"",CONCAT(GOOGLEFINANCE(A501,""NAME""),"" share currently trading at Rs""&amp;C501&amp;"", Which is ""&amp;H501&amp;"" below the Target price of Rs""&amp;D501&amp;"".""))"),FALSE)</f>
        <v>0</v>
      </c>
    </row>
    <row r="502">
      <c r="A502" s="349" t="str">
        <f>Dashboard!B598</f>
        <v/>
      </c>
      <c r="B502" s="349" t="str">
        <f>Dashboard!H598</f>
        <v/>
      </c>
      <c r="C502" s="356" t="str">
        <f>Dashboard!G598</f>
        <v/>
      </c>
      <c r="D502" s="489" t="str">
        <f>Dashboard!M598</f>
        <v/>
      </c>
      <c r="E502" s="490" t="s">
        <v>314</v>
      </c>
      <c r="F502" s="491" t="str">
        <f t="shared" si="1"/>
        <v/>
      </c>
      <c r="G502" s="492" t="s">
        <v>314</v>
      </c>
      <c r="H502" s="349" t="str">
        <f t="shared" si="2"/>
        <v/>
      </c>
      <c r="I502" s="349" t="str">
        <f t="shared" si="3"/>
        <v/>
      </c>
      <c r="J502" s="493"/>
      <c r="K502" s="349" t="str">
        <f>IFERROR(__xludf.DUMMYFUNCTION("if(ISBLANK(A502),"""",if(B502=""Buy"",CONCAT(GOOGLEFINANCE(A502,""name""),"" {Symbol: ""&amp;A502&amp;""} High Alert!! Share Has Reached Its Target Buying Price,""),""""))"),"")</f>
        <v/>
      </c>
      <c r="L502" s="349" t="b">
        <f>IFERROR(__xludf.DUMMYFUNCTION("if(B502= ""Buy"",CONCAT(GOOGLEFINANCE(A502,""NAME""),"" share currently trading at Rs""&amp;C502&amp;"", Which is ""&amp;H502&amp;"" below the Target price of Rs""&amp;D502&amp;"".""))"),FALSE)</f>
        <v>0</v>
      </c>
    </row>
    <row r="503">
      <c r="A503" s="349" t="str">
        <f>Dashboard!B599</f>
        <v/>
      </c>
      <c r="B503" s="349" t="str">
        <f>Dashboard!H599</f>
        <v/>
      </c>
      <c r="C503" s="356" t="str">
        <f>Dashboard!G599</f>
        <v/>
      </c>
      <c r="D503" s="489" t="str">
        <f>Dashboard!M599</f>
        <v/>
      </c>
      <c r="E503" s="490" t="s">
        <v>314</v>
      </c>
      <c r="F503" s="491" t="str">
        <f t="shared" si="1"/>
        <v/>
      </c>
      <c r="G503" s="492" t="s">
        <v>314</v>
      </c>
      <c r="H503" s="349" t="str">
        <f t="shared" si="2"/>
        <v/>
      </c>
      <c r="I503" s="349" t="str">
        <f t="shared" si="3"/>
        <v/>
      </c>
      <c r="J503" s="493"/>
      <c r="K503" s="349" t="str">
        <f>IFERROR(__xludf.DUMMYFUNCTION("if(ISBLANK(A503),"""",if(B503=""Buy"",CONCAT(GOOGLEFINANCE(A503,""name""),"" {Symbol: ""&amp;A503&amp;""} High Alert!! Share Has Reached Its Target Buying Price,""),""""))"),"")</f>
        <v/>
      </c>
      <c r="L503" s="349" t="b">
        <f>IFERROR(__xludf.DUMMYFUNCTION("if(B503= ""Buy"",CONCAT(GOOGLEFINANCE(A503,""NAME""),"" share currently trading at Rs""&amp;C503&amp;"", Which is ""&amp;H503&amp;"" below the Target price of Rs""&amp;D503&amp;"".""))"),FALSE)</f>
        <v>0</v>
      </c>
    </row>
    <row r="504">
      <c r="A504" s="349" t="str">
        <f>Dashboard!B600</f>
        <v/>
      </c>
      <c r="B504" s="349" t="str">
        <f>Dashboard!H600</f>
        <v/>
      </c>
      <c r="C504" s="356" t="str">
        <f>Dashboard!G600</f>
        <v/>
      </c>
      <c r="D504" s="489" t="str">
        <f>Dashboard!M600</f>
        <v/>
      </c>
      <c r="E504" s="490" t="s">
        <v>314</v>
      </c>
      <c r="F504" s="491" t="str">
        <f t="shared" si="1"/>
        <v/>
      </c>
      <c r="G504" s="492" t="s">
        <v>314</v>
      </c>
      <c r="H504" s="349" t="str">
        <f t="shared" si="2"/>
        <v/>
      </c>
      <c r="I504" s="349" t="str">
        <f t="shared" si="3"/>
        <v/>
      </c>
      <c r="J504" s="493"/>
      <c r="K504" s="349" t="str">
        <f>IFERROR(__xludf.DUMMYFUNCTION("if(ISBLANK(A504),"""",if(B504=""Buy"",CONCAT(GOOGLEFINANCE(A504,""name""),"" {Symbol: ""&amp;A504&amp;""} High Alert!! Share Has Reached Its Target Buying Price,""),""""))"),"")</f>
        <v/>
      </c>
      <c r="L504" s="349" t="b">
        <f>IFERROR(__xludf.DUMMYFUNCTION("if(B504= ""Buy"",CONCAT(GOOGLEFINANCE(A504,""NAME""),"" share currently trading at Rs""&amp;C504&amp;"", Which is ""&amp;H504&amp;"" below the Target price of Rs""&amp;D504&amp;"".""))"),FALSE)</f>
        <v>0</v>
      </c>
    </row>
    <row r="505">
      <c r="A505" s="349" t="str">
        <f>Dashboard!B601</f>
        <v/>
      </c>
      <c r="B505" s="349" t="str">
        <f>Dashboard!H601</f>
        <v/>
      </c>
      <c r="C505" s="356" t="str">
        <f>Dashboard!G601</f>
        <v/>
      </c>
      <c r="D505" s="489" t="str">
        <f>Dashboard!M601</f>
        <v/>
      </c>
      <c r="E505" s="490" t="s">
        <v>314</v>
      </c>
      <c r="F505" s="491" t="str">
        <f t="shared" si="1"/>
        <v/>
      </c>
      <c r="G505" s="492" t="s">
        <v>314</v>
      </c>
      <c r="H505" s="349" t="str">
        <f t="shared" si="2"/>
        <v/>
      </c>
      <c r="I505" s="349" t="str">
        <f t="shared" si="3"/>
        <v/>
      </c>
      <c r="J505" s="493"/>
      <c r="K505" s="349" t="str">
        <f>IFERROR(__xludf.DUMMYFUNCTION("if(ISBLANK(A505),"""",if(B505=""Buy"",CONCAT(GOOGLEFINANCE(A505,""name""),"" {Symbol: ""&amp;A505&amp;""} High Alert!! Share Has Reached Its Target Buying Price,""),""""))"),"")</f>
        <v/>
      </c>
      <c r="L505" s="349" t="b">
        <f>IFERROR(__xludf.DUMMYFUNCTION("if(B505= ""Buy"",CONCAT(GOOGLEFINANCE(A505,""NAME""),"" share currently trading at Rs""&amp;C505&amp;"", Which is ""&amp;H505&amp;"" below the Target price of Rs""&amp;D505&amp;"".""))"),FALSE)</f>
        <v>0</v>
      </c>
    </row>
    <row r="506">
      <c r="A506" s="349" t="str">
        <f>Dashboard!B602</f>
        <v/>
      </c>
      <c r="B506" s="349" t="str">
        <f>Dashboard!H602</f>
        <v/>
      </c>
      <c r="C506" s="356" t="str">
        <f>Dashboard!G602</f>
        <v/>
      </c>
      <c r="D506" s="489" t="str">
        <f>Dashboard!M602</f>
        <v/>
      </c>
      <c r="E506" s="490" t="s">
        <v>314</v>
      </c>
      <c r="F506" s="491" t="str">
        <f t="shared" si="1"/>
        <v/>
      </c>
      <c r="G506" s="492" t="s">
        <v>314</v>
      </c>
      <c r="H506" s="349" t="str">
        <f t="shared" si="2"/>
        <v/>
      </c>
      <c r="I506" s="349" t="str">
        <f t="shared" si="3"/>
        <v/>
      </c>
      <c r="J506" s="493"/>
      <c r="K506" s="349" t="str">
        <f>IFERROR(__xludf.DUMMYFUNCTION("if(ISBLANK(A506),"""",if(B506=""Buy"",CONCAT(GOOGLEFINANCE(A506,""name""),"" {Symbol: ""&amp;A506&amp;""} High Alert!! Share Has Reached Its Target Buying Price,""),""""))"),"")</f>
        <v/>
      </c>
      <c r="L506" s="349" t="b">
        <f>IFERROR(__xludf.DUMMYFUNCTION("if(B506= ""Buy"",CONCAT(GOOGLEFINANCE(A506,""NAME""),"" share currently trading at Rs""&amp;C506&amp;"", Which is ""&amp;H506&amp;"" below the Target price of Rs""&amp;D506&amp;"".""))"),FALSE)</f>
        <v>0</v>
      </c>
    </row>
    <row r="507">
      <c r="A507" s="349" t="str">
        <f>Dashboard!B603</f>
        <v/>
      </c>
      <c r="B507" s="349" t="str">
        <f>Dashboard!H603</f>
        <v/>
      </c>
      <c r="C507" s="356" t="str">
        <f>Dashboard!G603</f>
        <v/>
      </c>
      <c r="D507" s="489" t="str">
        <f>Dashboard!M603</f>
        <v/>
      </c>
      <c r="E507" s="490" t="s">
        <v>314</v>
      </c>
      <c r="F507" s="491" t="str">
        <f t="shared" si="1"/>
        <v/>
      </c>
      <c r="G507" s="492" t="s">
        <v>314</v>
      </c>
      <c r="H507" s="349" t="str">
        <f t="shared" si="2"/>
        <v/>
      </c>
      <c r="I507" s="349" t="str">
        <f t="shared" si="3"/>
        <v/>
      </c>
      <c r="J507" s="493"/>
      <c r="K507" s="349" t="str">
        <f>IFERROR(__xludf.DUMMYFUNCTION("if(ISBLANK(A507),"""",if(B507=""Buy"",CONCAT(GOOGLEFINANCE(A507,""name""),"" {Symbol: ""&amp;A507&amp;""} High Alert!! Share Has Reached Its Target Buying Price,""),""""))"),"")</f>
        <v/>
      </c>
      <c r="L507" s="349" t="b">
        <f>IFERROR(__xludf.DUMMYFUNCTION("if(B507= ""Buy"",CONCAT(GOOGLEFINANCE(A507,""NAME""),"" share currently trading at Rs""&amp;C507&amp;"", Which is ""&amp;H507&amp;"" below the Target price of Rs""&amp;D507&amp;"".""))"),FALSE)</f>
        <v>0</v>
      </c>
    </row>
    <row r="508">
      <c r="A508" s="349" t="str">
        <f>Dashboard!B604</f>
        <v/>
      </c>
      <c r="B508" s="349" t="str">
        <f>Dashboard!H604</f>
        <v/>
      </c>
      <c r="C508" s="356" t="str">
        <f>Dashboard!G604</f>
        <v/>
      </c>
      <c r="D508" s="489" t="str">
        <f>Dashboard!M604</f>
        <v/>
      </c>
      <c r="E508" s="490" t="s">
        <v>314</v>
      </c>
      <c r="F508" s="491" t="str">
        <f t="shared" si="1"/>
        <v/>
      </c>
      <c r="G508" s="492" t="s">
        <v>314</v>
      </c>
      <c r="H508" s="349" t="str">
        <f t="shared" si="2"/>
        <v/>
      </c>
      <c r="I508" s="349" t="str">
        <f t="shared" si="3"/>
        <v/>
      </c>
      <c r="J508" s="493"/>
      <c r="K508" s="349" t="str">
        <f>IFERROR(__xludf.DUMMYFUNCTION("if(ISBLANK(A508),"""",if(B508=""Buy"",CONCAT(GOOGLEFINANCE(A508,""name""),"" {Symbol: ""&amp;A508&amp;""} High Alert!! Share Has Reached Its Target Buying Price,""),""""))"),"")</f>
        <v/>
      </c>
      <c r="L508" s="349" t="b">
        <f>IFERROR(__xludf.DUMMYFUNCTION("if(B508= ""Buy"",CONCAT(GOOGLEFINANCE(A508,""NAME""),"" share currently trading at Rs""&amp;C508&amp;"", Which is ""&amp;H508&amp;"" below the Target price of Rs""&amp;D508&amp;"".""))"),FALSE)</f>
        <v>0</v>
      </c>
    </row>
    <row r="509">
      <c r="A509" s="349" t="str">
        <f>Dashboard!B605</f>
        <v/>
      </c>
      <c r="B509" s="349" t="str">
        <f>Dashboard!H605</f>
        <v/>
      </c>
      <c r="C509" s="356" t="str">
        <f>Dashboard!G605</f>
        <v/>
      </c>
      <c r="D509" s="489" t="str">
        <f>Dashboard!M605</f>
        <v/>
      </c>
      <c r="E509" s="490" t="s">
        <v>314</v>
      </c>
      <c r="F509" s="491" t="str">
        <f t="shared" si="1"/>
        <v/>
      </c>
      <c r="G509" s="492" t="s">
        <v>314</v>
      </c>
      <c r="H509" s="349" t="str">
        <f t="shared" si="2"/>
        <v/>
      </c>
      <c r="I509" s="349" t="str">
        <f t="shared" si="3"/>
        <v/>
      </c>
      <c r="J509" s="493"/>
      <c r="K509" s="349" t="str">
        <f>IFERROR(__xludf.DUMMYFUNCTION("if(ISBLANK(A509),"""",if(B509=""Buy"",CONCAT(GOOGLEFINANCE(A509,""name""),"" {Symbol: ""&amp;A509&amp;""} High Alert!! Share Has Reached Its Target Buying Price,""),""""))"),"")</f>
        <v/>
      </c>
      <c r="L509" s="349" t="b">
        <f>IFERROR(__xludf.DUMMYFUNCTION("if(B509= ""Buy"",CONCAT(GOOGLEFINANCE(A509,""NAME""),"" share currently trading at Rs""&amp;C509&amp;"", Which is ""&amp;H509&amp;"" below the Target price of Rs""&amp;D509&amp;"".""))"),FALSE)</f>
        <v>0</v>
      </c>
    </row>
    <row r="510">
      <c r="A510" s="349" t="str">
        <f>Dashboard!B606</f>
        <v/>
      </c>
      <c r="B510" s="349" t="str">
        <f>Dashboard!H606</f>
        <v/>
      </c>
      <c r="C510" s="356" t="str">
        <f>Dashboard!G606</f>
        <v/>
      </c>
      <c r="D510" s="489" t="str">
        <f>Dashboard!M606</f>
        <v/>
      </c>
      <c r="E510" s="490" t="s">
        <v>314</v>
      </c>
      <c r="F510" s="491" t="str">
        <f t="shared" si="1"/>
        <v/>
      </c>
      <c r="G510" s="492" t="s">
        <v>314</v>
      </c>
      <c r="H510" s="349" t="str">
        <f t="shared" si="2"/>
        <v/>
      </c>
      <c r="I510" s="349" t="str">
        <f t="shared" si="3"/>
        <v/>
      </c>
      <c r="J510" s="493"/>
      <c r="K510" s="349" t="str">
        <f>IFERROR(__xludf.DUMMYFUNCTION("if(ISBLANK(A510),"""",if(B510=""Buy"",CONCAT(GOOGLEFINANCE(A510,""name""),"" {Symbol: ""&amp;A510&amp;""} High Alert!! Share Has Reached Its Target Buying Price,""),""""))"),"")</f>
        <v/>
      </c>
      <c r="L510" s="349" t="b">
        <f>IFERROR(__xludf.DUMMYFUNCTION("if(B510= ""Buy"",CONCAT(GOOGLEFINANCE(A510,""NAME""),"" share currently trading at Rs""&amp;C510&amp;"", Which is ""&amp;H510&amp;"" below the Target price of Rs""&amp;D510&amp;"".""))"),FALSE)</f>
        <v>0</v>
      </c>
    </row>
    <row r="511">
      <c r="A511" s="349" t="str">
        <f>Dashboard!B607</f>
        <v/>
      </c>
      <c r="B511" s="349" t="str">
        <f>Dashboard!H607</f>
        <v/>
      </c>
      <c r="C511" s="356" t="str">
        <f>Dashboard!G607</f>
        <v/>
      </c>
      <c r="D511" s="489" t="str">
        <f>Dashboard!M607</f>
        <v/>
      </c>
      <c r="E511" s="490" t="s">
        <v>314</v>
      </c>
      <c r="F511" s="491" t="str">
        <f t="shared" si="1"/>
        <v/>
      </c>
      <c r="G511" s="492" t="s">
        <v>314</v>
      </c>
      <c r="H511" s="349" t="str">
        <f t="shared" si="2"/>
        <v/>
      </c>
      <c r="I511" s="349" t="str">
        <f t="shared" si="3"/>
        <v/>
      </c>
      <c r="J511" s="493"/>
      <c r="K511" s="349" t="str">
        <f>IFERROR(__xludf.DUMMYFUNCTION("if(ISBLANK(A511),"""",if(B511=""Buy"",CONCAT(GOOGLEFINANCE(A511,""name""),"" {Symbol: ""&amp;A511&amp;""} High Alert!! Share Has Reached Its Target Buying Price,""),""""))"),"")</f>
        <v/>
      </c>
      <c r="L511" s="349" t="b">
        <f>IFERROR(__xludf.DUMMYFUNCTION("if(B511= ""Buy"",CONCAT(GOOGLEFINANCE(A511,""NAME""),"" share currently trading at Rs""&amp;C511&amp;"", Which is ""&amp;H511&amp;"" below the Target price of Rs""&amp;D511&amp;"".""))"),FALSE)</f>
        <v>0</v>
      </c>
    </row>
    <row r="512">
      <c r="A512" s="349" t="str">
        <f>Dashboard!B608</f>
        <v/>
      </c>
      <c r="B512" s="349" t="str">
        <f>Dashboard!H608</f>
        <v/>
      </c>
      <c r="C512" s="356" t="str">
        <f>Dashboard!G608</f>
        <v/>
      </c>
      <c r="D512" s="489" t="str">
        <f>Dashboard!M608</f>
        <v/>
      </c>
      <c r="E512" s="490" t="s">
        <v>314</v>
      </c>
      <c r="F512" s="491" t="str">
        <f t="shared" si="1"/>
        <v/>
      </c>
      <c r="G512" s="492" t="s">
        <v>314</v>
      </c>
      <c r="H512" s="349" t="str">
        <f t="shared" si="2"/>
        <v/>
      </c>
      <c r="I512" s="349" t="str">
        <f t="shared" si="3"/>
        <v/>
      </c>
      <c r="J512" s="493"/>
      <c r="K512" s="349" t="str">
        <f>IFERROR(__xludf.DUMMYFUNCTION("if(ISBLANK(A512),"""",if(B512=""Buy"",CONCAT(GOOGLEFINANCE(A512,""name""),"" {Symbol: ""&amp;A512&amp;""} High Alert!! Share Has Reached Its Target Buying Price,""),""""))"),"")</f>
        <v/>
      </c>
      <c r="L512" s="349" t="b">
        <f>IFERROR(__xludf.DUMMYFUNCTION("if(B512= ""Buy"",CONCAT(GOOGLEFINANCE(A512,""NAME""),"" share currently trading at Rs""&amp;C512&amp;"", Which is ""&amp;H512&amp;"" below the Target price of Rs""&amp;D512&amp;"".""))"),FALSE)</f>
        <v>0</v>
      </c>
    </row>
    <row r="513">
      <c r="A513" s="349" t="str">
        <f>Dashboard!B609</f>
        <v/>
      </c>
      <c r="B513" s="349" t="str">
        <f>Dashboard!H609</f>
        <v/>
      </c>
      <c r="C513" s="356" t="str">
        <f>Dashboard!G609</f>
        <v/>
      </c>
      <c r="D513" s="489" t="str">
        <f>Dashboard!M609</f>
        <v/>
      </c>
      <c r="E513" s="490" t="s">
        <v>314</v>
      </c>
      <c r="F513" s="491" t="str">
        <f t="shared" si="1"/>
        <v/>
      </c>
      <c r="G513" s="492" t="s">
        <v>314</v>
      </c>
      <c r="H513" s="349" t="str">
        <f t="shared" si="2"/>
        <v/>
      </c>
      <c r="I513" s="349" t="str">
        <f t="shared" si="3"/>
        <v/>
      </c>
      <c r="J513" s="493"/>
      <c r="K513" s="349" t="str">
        <f>IFERROR(__xludf.DUMMYFUNCTION("if(ISBLANK(A513),"""",if(B513=""Buy"",CONCAT(GOOGLEFINANCE(A513,""name""),"" {Symbol: ""&amp;A513&amp;""} High Alert!! Share Has Reached Its Target Buying Price,""),""""))"),"")</f>
        <v/>
      </c>
      <c r="L513" s="349" t="b">
        <f>IFERROR(__xludf.DUMMYFUNCTION("if(B513= ""Buy"",CONCAT(GOOGLEFINANCE(A513,""NAME""),"" share currently trading at Rs""&amp;C513&amp;"", Which is ""&amp;H513&amp;"" below the Target price of Rs""&amp;D513&amp;"".""))"),FALSE)</f>
        <v>0</v>
      </c>
    </row>
    <row r="514">
      <c r="A514" s="349" t="str">
        <f>Dashboard!B610</f>
        <v/>
      </c>
      <c r="B514" s="349" t="str">
        <f>Dashboard!H610</f>
        <v/>
      </c>
      <c r="C514" s="356" t="str">
        <f>Dashboard!G610</f>
        <v/>
      </c>
      <c r="D514" s="489" t="str">
        <f>Dashboard!M610</f>
        <v/>
      </c>
      <c r="E514" s="490" t="s">
        <v>314</v>
      </c>
      <c r="F514" s="491" t="str">
        <f t="shared" si="1"/>
        <v/>
      </c>
      <c r="G514" s="492" t="s">
        <v>314</v>
      </c>
      <c r="H514" s="349" t="str">
        <f t="shared" si="2"/>
        <v/>
      </c>
      <c r="I514" s="349" t="str">
        <f t="shared" si="3"/>
        <v/>
      </c>
      <c r="J514" s="493"/>
      <c r="K514" s="349" t="str">
        <f>IFERROR(__xludf.DUMMYFUNCTION("if(ISBLANK(A514),"""",if(B514=""Buy"",CONCAT(GOOGLEFINANCE(A514,""name""),"" {Symbol: ""&amp;A514&amp;""} High Alert!! Share Has Reached Its Target Buying Price,""),""""))"),"")</f>
        <v/>
      </c>
      <c r="L514" s="349" t="b">
        <f>IFERROR(__xludf.DUMMYFUNCTION("if(B514= ""Buy"",CONCAT(GOOGLEFINANCE(A514,""NAME""),"" share currently trading at Rs""&amp;C514&amp;"", Which is ""&amp;H514&amp;"" below the Target price of Rs""&amp;D514&amp;"".""))"),FALSE)</f>
        <v>0</v>
      </c>
    </row>
    <row r="515">
      <c r="A515" s="349" t="str">
        <f>Dashboard!B611</f>
        <v/>
      </c>
      <c r="B515" s="349" t="str">
        <f>Dashboard!H611</f>
        <v/>
      </c>
      <c r="C515" s="356" t="str">
        <f>Dashboard!G611</f>
        <v/>
      </c>
      <c r="D515" s="489" t="str">
        <f>Dashboard!M611</f>
        <v/>
      </c>
      <c r="E515" s="490" t="s">
        <v>314</v>
      </c>
      <c r="F515" s="491" t="str">
        <f t="shared" si="1"/>
        <v/>
      </c>
      <c r="G515" s="492" t="s">
        <v>314</v>
      </c>
      <c r="H515" s="349" t="str">
        <f t="shared" si="2"/>
        <v/>
      </c>
      <c r="I515" s="349" t="str">
        <f t="shared" si="3"/>
        <v/>
      </c>
      <c r="J515" s="493"/>
      <c r="K515" s="349" t="str">
        <f>IFERROR(__xludf.DUMMYFUNCTION("if(ISBLANK(A515),"""",if(B515=""Buy"",CONCAT(GOOGLEFINANCE(A515,""name""),"" {Symbol: ""&amp;A515&amp;""} High Alert!! Share Has Reached Its Target Buying Price,""),""""))"),"")</f>
        <v/>
      </c>
      <c r="L515" s="349" t="b">
        <f>IFERROR(__xludf.DUMMYFUNCTION("if(B515= ""Buy"",CONCAT(GOOGLEFINANCE(A515,""NAME""),"" share currently trading at Rs""&amp;C515&amp;"", Which is ""&amp;H515&amp;"" below the Target price of Rs""&amp;D515&amp;"".""))"),FALSE)</f>
        <v>0</v>
      </c>
    </row>
    <row r="516">
      <c r="A516" s="349" t="str">
        <f>Dashboard!B612</f>
        <v/>
      </c>
      <c r="B516" s="349" t="str">
        <f>Dashboard!H612</f>
        <v/>
      </c>
      <c r="C516" s="356" t="str">
        <f>Dashboard!G612</f>
        <v/>
      </c>
      <c r="D516" s="489" t="str">
        <f>Dashboard!M612</f>
        <v/>
      </c>
      <c r="E516" s="490" t="s">
        <v>314</v>
      </c>
      <c r="F516" s="491" t="str">
        <f t="shared" si="1"/>
        <v/>
      </c>
      <c r="G516" s="492" t="s">
        <v>314</v>
      </c>
      <c r="H516" s="349" t="str">
        <f t="shared" si="2"/>
        <v/>
      </c>
      <c r="I516" s="349" t="str">
        <f t="shared" si="3"/>
        <v/>
      </c>
      <c r="J516" s="493"/>
      <c r="K516" s="349" t="str">
        <f>IFERROR(__xludf.DUMMYFUNCTION("if(ISBLANK(A516),"""",if(B516=""Buy"",CONCAT(GOOGLEFINANCE(A516,""name""),"" {Symbol: ""&amp;A516&amp;""} High Alert!! Share Has Reached Its Target Buying Price,""),""""))"),"")</f>
        <v/>
      </c>
      <c r="L516" s="349" t="b">
        <f>IFERROR(__xludf.DUMMYFUNCTION("if(B516= ""Buy"",CONCAT(GOOGLEFINANCE(A516,""NAME""),"" share currently trading at Rs""&amp;C516&amp;"", Which is ""&amp;H516&amp;"" below the Target price of Rs""&amp;D516&amp;"".""))"),FALSE)</f>
        <v>0</v>
      </c>
    </row>
    <row r="517">
      <c r="A517" s="349" t="str">
        <f>Dashboard!B613</f>
        <v/>
      </c>
      <c r="B517" s="349" t="str">
        <f>Dashboard!H613</f>
        <v/>
      </c>
      <c r="C517" s="356" t="str">
        <f>Dashboard!G613</f>
        <v/>
      </c>
      <c r="D517" s="489" t="str">
        <f>Dashboard!M613</f>
        <v/>
      </c>
      <c r="E517" s="490" t="s">
        <v>314</v>
      </c>
      <c r="F517" s="491" t="str">
        <f t="shared" si="1"/>
        <v/>
      </c>
      <c r="G517" s="492" t="s">
        <v>314</v>
      </c>
      <c r="H517" s="349" t="str">
        <f t="shared" si="2"/>
        <v/>
      </c>
      <c r="I517" s="349" t="str">
        <f t="shared" si="3"/>
        <v/>
      </c>
      <c r="J517" s="493"/>
      <c r="K517" s="349" t="str">
        <f>IFERROR(__xludf.DUMMYFUNCTION("if(ISBLANK(A517),"""",if(B517=""Buy"",CONCAT(GOOGLEFINANCE(A517,""name""),"" {Symbol: ""&amp;A517&amp;""} High Alert!! Share Has Reached Its Target Buying Price,""),""""))"),"")</f>
        <v/>
      </c>
      <c r="L517" s="349" t="b">
        <f>IFERROR(__xludf.DUMMYFUNCTION("if(B517= ""Buy"",CONCAT(GOOGLEFINANCE(A517,""NAME""),"" share currently trading at Rs""&amp;C517&amp;"", Which is ""&amp;H517&amp;"" below the Target price of Rs""&amp;D517&amp;"".""))"),FALSE)</f>
        <v>0</v>
      </c>
    </row>
    <row r="518">
      <c r="A518" s="349" t="str">
        <f>Dashboard!B614</f>
        <v/>
      </c>
      <c r="B518" s="349" t="str">
        <f>Dashboard!H614</f>
        <v/>
      </c>
      <c r="C518" s="356" t="str">
        <f>Dashboard!G614</f>
        <v/>
      </c>
      <c r="D518" s="489" t="str">
        <f>Dashboard!M614</f>
        <v/>
      </c>
      <c r="E518" s="490" t="s">
        <v>314</v>
      </c>
      <c r="F518" s="491" t="str">
        <f t="shared" si="1"/>
        <v/>
      </c>
      <c r="G518" s="492" t="s">
        <v>314</v>
      </c>
      <c r="H518" s="349" t="str">
        <f t="shared" si="2"/>
        <v/>
      </c>
      <c r="I518" s="349" t="str">
        <f t="shared" si="3"/>
        <v/>
      </c>
      <c r="J518" s="493"/>
      <c r="K518" s="349" t="str">
        <f>IFERROR(__xludf.DUMMYFUNCTION("if(ISBLANK(A518),"""",if(B518=""Buy"",CONCAT(GOOGLEFINANCE(A518,""name""),"" {Symbol: ""&amp;A518&amp;""} High Alert!! Share Has Reached Its Target Buying Price,""),""""))"),"")</f>
        <v/>
      </c>
      <c r="L518" s="349" t="b">
        <f>IFERROR(__xludf.DUMMYFUNCTION("if(B518= ""Buy"",CONCAT(GOOGLEFINANCE(A518,""NAME""),"" share currently trading at Rs""&amp;C518&amp;"", Which is ""&amp;H518&amp;"" below the Target price of Rs""&amp;D518&amp;"".""))"),FALSE)</f>
        <v>0</v>
      </c>
    </row>
    <row r="519">
      <c r="A519" s="349" t="str">
        <f>Dashboard!B615</f>
        <v/>
      </c>
      <c r="B519" s="349" t="str">
        <f>Dashboard!H615</f>
        <v/>
      </c>
      <c r="C519" s="356" t="str">
        <f>Dashboard!G615</f>
        <v/>
      </c>
      <c r="D519" s="489" t="str">
        <f>Dashboard!M615</f>
        <v/>
      </c>
      <c r="E519" s="490" t="s">
        <v>314</v>
      </c>
      <c r="F519" s="491" t="str">
        <f t="shared" si="1"/>
        <v/>
      </c>
      <c r="G519" s="492" t="s">
        <v>314</v>
      </c>
      <c r="H519" s="349" t="str">
        <f t="shared" si="2"/>
        <v/>
      </c>
      <c r="I519" s="349" t="str">
        <f t="shared" si="3"/>
        <v/>
      </c>
      <c r="J519" s="493"/>
      <c r="K519" s="349" t="str">
        <f>IFERROR(__xludf.DUMMYFUNCTION("if(ISBLANK(A519),"""",if(B519=""Buy"",CONCAT(GOOGLEFINANCE(A519,""name""),"" {Symbol: ""&amp;A519&amp;""} High Alert!! Share Has Reached Its Target Buying Price,""),""""))"),"")</f>
        <v/>
      </c>
      <c r="L519" s="349" t="b">
        <f>IFERROR(__xludf.DUMMYFUNCTION("if(B519= ""Buy"",CONCAT(GOOGLEFINANCE(A519,""NAME""),"" share currently trading at Rs""&amp;C519&amp;"", Which is ""&amp;H519&amp;"" below the Target price of Rs""&amp;D519&amp;"".""))"),FALSE)</f>
        <v>0</v>
      </c>
    </row>
    <row r="520">
      <c r="A520" s="349" t="str">
        <f>Dashboard!B616</f>
        <v/>
      </c>
      <c r="B520" s="349" t="str">
        <f>Dashboard!H616</f>
        <v/>
      </c>
      <c r="C520" s="356" t="str">
        <f>Dashboard!G616</f>
        <v/>
      </c>
      <c r="D520" s="489" t="str">
        <f>Dashboard!M616</f>
        <v/>
      </c>
      <c r="E520" s="490" t="s">
        <v>314</v>
      </c>
      <c r="F520" s="491" t="str">
        <f t="shared" si="1"/>
        <v/>
      </c>
      <c r="G520" s="492" t="s">
        <v>314</v>
      </c>
      <c r="H520" s="349" t="str">
        <f t="shared" si="2"/>
        <v/>
      </c>
      <c r="I520" s="349" t="str">
        <f t="shared" si="3"/>
        <v/>
      </c>
      <c r="J520" s="493"/>
      <c r="K520" s="349" t="str">
        <f>IFERROR(__xludf.DUMMYFUNCTION("if(ISBLANK(A520),"""",if(B520=""Buy"",CONCAT(GOOGLEFINANCE(A520,""name""),"" {Symbol: ""&amp;A520&amp;""} High Alert!! Share Has Reached Its Target Buying Price,""),""""))"),"")</f>
        <v/>
      </c>
      <c r="L520" s="349" t="b">
        <f>IFERROR(__xludf.DUMMYFUNCTION("if(B520= ""Buy"",CONCAT(GOOGLEFINANCE(A520,""NAME""),"" share currently trading at Rs""&amp;C520&amp;"", Which is ""&amp;H520&amp;"" below the Target price of Rs""&amp;D520&amp;"".""))"),FALSE)</f>
        <v>0</v>
      </c>
    </row>
    <row r="521">
      <c r="A521" s="349" t="str">
        <f>Dashboard!B617</f>
        <v/>
      </c>
      <c r="B521" s="349" t="str">
        <f>Dashboard!H617</f>
        <v/>
      </c>
      <c r="C521" s="356" t="str">
        <f>Dashboard!G617</f>
        <v/>
      </c>
      <c r="D521" s="489" t="str">
        <f>Dashboard!M617</f>
        <v/>
      </c>
      <c r="E521" s="490" t="s">
        <v>314</v>
      </c>
      <c r="F521" s="491" t="str">
        <f t="shared" si="1"/>
        <v/>
      </c>
      <c r="G521" s="492" t="s">
        <v>314</v>
      </c>
      <c r="H521" s="349" t="str">
        <f t="shared" si="2"/>
        <v/>
      </c>
      <c r="I521" s="349" t="str">
        <f t="shared" si="3"/>
        <v/>
      </c>
      <c r="J521" s="493"/>
      <c r="K521" s="349" t="str">
        <f>IFERROR(__xludf.DUMMYFUNCTION("if(ISBLANK(A521),"""",if(B521=""Buy"",CONCAT(GOOGLEFINANCE(A521,""name""),"" {Symbol: ""&amp;A521&amp;""} High Alert!! Share Has Reached Its Target Buying Price,""),""""))"),"")</f>
        <v/>
      </c>
      <c r="L521" s="349" t="b">
        <f>IFERROR(__xludf.DUMMYFUNCTION("if(B521= ""Buy"",CONCAT(GOOGLEFINANCE(A521,""NAME""),"" share currently trading at Rs""&amp;C521&amp;"", Which is ""&amp;H521&amp;"" below the Target price of Rs""&amp;D521&amp;"".""))"),FALSE)</f>
        <v>0</v>
      </c>
    </row>
    <row r="522">
      <c r="A522" s="349" t="str">
        <f>Dashboard!B618</f>
        <v/>
      </c>
      <c r="B522" s="349" t="str">
        <f>Dashboard!H618</f>
        <v/>
      </c>
      <c r="C522" s="356" t="str">
        <f>Dashboard!G618</f>
        <v/>
      </c>
      <c r="D522" s="489" t="str">
        <f>Dashboard!M618</f>
        <v/>
      </c>
      <c r="E522" s="490" t="s">
        <v>314</v>
      </c>
      <c r="F522" s="491" t="str">
        <f t="shared" si="1"/>
        <v/>
      </c>
      <c r="G522" s="492" t="s">
        <v>314</v>
      </c>
      <c r="H522" s="349" t="str">
        <f t="shared" si="2"/>
        <v/>
      </c>
      <c r="I522" s="349" t="str">
        <f t="shared" si="3"/>
        <v/>
      </c>
      <c r="J522" s="493"/>
      <c r="K522" s="349" t="str">
        <f>IFERROR(__xludf.DUMMYFUNCTION("if(ISBLANK(A522),"""",if(B522=""Buy"",CONCAT(GOOGLEFINANCE(A522,""name""),"" {Symbol: ""&amp;A522&amp;""} High Alert!! Share Has Reached Its Target Buying Price,""),""""))"),"")</f>
        <v/>
      </c>
      <c r="L522" s="349" t="b">
        <f>IFERROR(__xludf.DUMMYFUNCTION("if(B522= ""Buy"",CONCAT(GOOGLEFINANCE(A522,""NAME""),"" share currently trading at Rs""&amp;C522&amp;"", Which is ""&amp;H522&amp;"" below the Target price of Rs""&amp;D522&amp;"".""))"),FALSE)</f>
        <v>0</v>
      </c>
    </row>
    <row r="523">
      <c r="A523" s="349" t="str">
        <f>Dashboard!B619</f>
        <v/>
      </c>
      <c r="B523" s="349" t="str">
        <f>Dashboard!H619</f>
        <v/>
      </c>
      <c r="C523" s="356" t="str">
        <f>Dashboard!G619</f>
        <v/>
      </c>
      <c r="D523" s="489" t="str">
        <f>Dashboard!M619</f>
        <v/>
      </c>
      <c r="E523" s="490" t="s">
        <v>314</v>
      </c>
      <c r="F523" s="491" t="str">
        <f t="shared" si="1"/>
        <v/>
      </c>
      <c r="G523" s="492" t="s">
        <v>314</v>
      </c>
      <c r="H523" s="349" t="str">
        <f t="shared" si="2"/>
        <v/>
      </c>
      <c r="I523" s="349" t="str">
        <f t="shared" si="3"/>
        <v/>
      </c>
      <c r="J523" s="493"/>
      <c r="K523" s="349" t="str">
        <f>IFERROR(__xludf.DUMMYFUNCTION("if(ISBLANK(A523),"""",if(B523=""Buy"",CONCAT(GOOGLEFINANCE(A523,""name""),"" {Symbol: ""&amp;A523&amp;""} High Alert!! Share Has Reached Its Target Buying Price,""),""""))"),"")</f>
        <v/>
      </c>
      <c r="L523" s="349" t="b">
        <f>IFERROR(__xludf.DUMMYFUNCTION("if(B523= ""Buy"",CONCAT(GOOGLEFINANCE(A523,""NAME""),"" share currently trading at Rs""&amp;C523&amp;"", Which is ""&amp;H523&amp;"" below the Target price of Rs""&amp;D523&amp;"".""))"),FALSE)</f>
        <v>0</v>
      </c>
    </row>
    <row r="524">
      <c r="A524" s="349" t="str">
        <f>Dashboard!B620</f>
        <v/>
      </c>
      <c r="B524" s="349" t="str">
        <f>Dashboard!H620</f>
        <v/>
      </c>
      <c r="C524" s="356" t="str">
        <f>Dashboard!G620</f>
        <v/>
      </c>
      <c r="D524" s="489" t="str">
        <f>Dashboard!M620</f>
        <v/>
      </c>
      <c r="E524" s="490" t="s">
        <v>314</v>
      </c>
      <c r="F524" s="491" t="str">
        <f t="shared" si="1"/>
        <v/>
      </c>
      <c r="G524" s="492" t="s">
        <v>314</v>
      </c>
      <c r="H524" s="349" t="str">
        <f t="shared" si="2"/>
        <v/>
      </c>
      <c r="I524" s="349" t="str">
        <f t="shared" si="3"/>
        <v/>
      </c>
      <c r="J524" s="493"/>
      <c r="K524" s="349" t="str">
        <f>IFERROR(__xludf.DUMMYFUNCTION("if(ISBLANK(A524),"""",if(B524=""Buy"",CONCAT(GOOGLEFINANCE(A524,""name""),"" {Symbol: ""&amp;A524&amp;""} High Alert!! Share Has Reached Its Target Buying Price,""),""""))"),"")</f>
        <v/>
      </c>
      <c r="L524" s="349" t="b">
        <f>IFERROR(__xludf.DUMMYFUNCTION("if(B524= ""Buy"",CONCAT(GOOGLEFINANCE(A524,""NAME""),"" share currently trading at Rs""&amp;C524&amp;"", Which is ""&amp;H524&amp;"" below the Target price of Rs""&amp;D524&amp;"".""))"),FALSE)</f>
        <v>0</v>
      </c>
    </row>
    <row r="525">
      <c r="A525" s="349" t="str">
        <f>Dashboard!B621</f>
        <v/>
      </c>
      <c r="B525" s="349" t="str">
        <f>Dashboard!H621</f>
        <v/>
      </c>
      <c r="C525" s="356" t="str">
        <f>Dashboard!G621</f>
        <v/>
      </c>
      <c r="D525" s="489" t="str">
        <f>Dashboard!M621</f>
        <v/>
      </c>
      <c r="E525" s="490" t="s">
        <v>314</v>
      </c>
      <c r="F525" s="491" t="str">
        <f t="shared" si="1"/>
        <v/>
      </c>
      <c r="G525" s="492" t="s">
        <v>314</v>
      </c>
      <c r="H525" s="349" t="str">
        <f t="shared" si="2"/>
        <v/>
      </c>
      <c r="I525" s="349" t="str">
        <f t="shared" si="3"/>
        <v/>
      </c>
      <c r="J525" s="493"/>
      <c r="K525" s="349" t="str">
        <f>IFERROR(__xludf.DUMMYFUNCTION("if(ISBLANK(A525),"""",if(B525=""Buy"",CONCAT(GOOGLEFINANCE(A525,""name""),"" {Symbol: ""&amp;A525&amp;""} High Alert!! Share Has Reached Its Target Buying Price,""),""""))"),"")</f>
        <v/>
      </c>
      <c r="L525" s="349" t="b">
        <f>IFERROR(__xludf.DUMMYFUNCTION("if(B525= ""Buy"",CONCAT(GOOGLEFINANCE(A525,""NAME""),"" share currently trading at Rs""&amp;C525&amp;"", Which is ""&amp;H525&amp;"" below the Target price of Rs""&amp;D525&amp;"".""))"),FALSE)</f>
        <v>0</v>
      </c>
    </row>
    <row r="526">
      <c r="A526" s="349" t="str">
        <f>Dashboard!B622</f>
        <v/>
      </c>
      <c r="B526" s="349" t="str">
        <f>Dashboard!H622</f>
        <v/>
      </c>
      <c r="C526" s="356" t="str">
        <f>Dashboard!G622</f>
        <v/>
      </c>
      <c r="D526" s="489" t="str">
        <f>Dashboard!M622</f>
        <v/>
      </c>
      <c r="E526" s="490" t="s">
        <v>314</v>
      </c>
      <c r="F526" s="491" t="str">
        <f t="shared" si="1"/>
        <v/>
      </c>
      <c r="G526" s="492" t="s">
        <v>314</v>
      </c>
      <c r="H526" s="349" t="str">
        <f t="shared" si="2"/>
        <v/>
      </c>
      <c r="I526" s="349" t="str">
        <f t="shared" si="3"/>
        <v/>
      </c>
      <c r="J526" s="493"/>
      <c r="K526" s="349" t="str">
        <f>IFERROR(__xludf.DUMMYFUNCTION("if(ISBLANK(A526),"""",if(B526=""Buy"",CONCAT(GOOGLEFINANCE(A526,""name""),"" {Symbol: ""&amp;A526&amp;""} High Alert!! Share Has Reached Its Target Buying Price,""),""""))"),"")</f>
        <v/>
      </c>
      <c r="L526" s="349" t="b">
        <f>IFERROR(__xludf.DUMMYFUNCTION("if(B526= ""Buy"",CONCAT(GOOGLEFINANCE(A526,""NAME""),"" share currently trading at Rs""&amp;C526&amp;"", Which is ""&amp;H526&amp;"" below the Target price of Rs""&amp;D526&amp;"".""))"),FALSE)</f>
        <v>0</v>
      </c>
    </row>
    <row r="527">
      <c r="A527" s="349" t="str">
        <f>Dashboard!B623</f>
        <v/>
      </c>
      <c r="B527" s="349" t="str">
        <f>Dashboard!H623</f>
        <v/>
      </c>
      <c r="C527" s="356" t="str">
        <f>Dashboard!G623</f>
        <v/>
      </c>
      <c r="D527" s="489" t="str">
        <f>Dashboard!M623</f>
        <v/>
      </c>
      <c r="E527" s="490" t="s">
        <v>314</v>
      </c>
      <c r="F527" s="491" t="str">
        <f t="shared" si="1"/>
        <v/>
      </c>
      <c r="G527" s="492" t="s">
        <v>314</v>
      </c>
      <c r="H527" s="349" t="str">
        <f t="shared" si="2"/>
        <v/>
      </c>
      <c r="I527" s="349" t="str">
        <f t="shared" si="3"/>
        <v/>
      </c>
      <c r="J527" s="493"/>
      <c r="K527" s="349" t="str">
        <f>IFERROR(__xludf.DUMMYFUNCTION("if(ISBLANK(A527),"""",if(B527=""Buy"",CONCAT(GOOGLEFINANCE(A527,""name""),"" {Symbol: ""&amp;A527&amp;""} High Alert!! Share Has Reached Its Target Buying Price,""),""""))"),"")</f>
        <v/>
      </c>
      <c r="L527" s="349" t="b">
        <f>IFERROR(__xludf.DUMMYFUNCTION("if(B527= ""Buy"",CONCAT(GOOGLEFINANCE(A527,""NAME""),"" share currently trading at Rs""&amp;C527&amp;"", Which is ""&amp;H527&amp;"" below the Target price of Rs""&amp;D527&amp;"".""))"),FALSE)</f>
        <v>0</v>
      </c>
    </row>
    <row r="528">
      <c r="A528" s="349" t="str">
        <f>Dashboard!B624</f>
        <v/>
      </c>
      <c r="B528" s="349" t="str">
        <f>Dashboard!H624</f>
        <v/>
      </c>
      <c r="C528" s="356" t="str">
        <f>Dashboard!G624</f>
        <v/>
      </c>
      <c r="D528" s="489" t="str">
        <f>Dashboard!M624</f>
        <v/>
      </c>
      <c r="E528" s="490" t="s">
        <v>314</v>
      </c>
      <c r="F528" s="491" t="str">
        <f t="shared" si="1"/>
        <v/>
      </c>
      <c r="G528" s="492" t="s">
        <v>314</v>
      </c>
      <c r="H528" s="349" t="str">
        <f t="shared" si="2"/>
        <v/>
      </c>
      <c r="I528" s="349" t="str">
        <f t="shared" si="3"/>
        <v/>
      </c>
      <c r="J528" s="493"/>
      <c r="K528" s="349" t="str">
        <f>IFERROR(__xludf.DUMMYFUNCTION("if(ISBLANK(A528),"""",if(B528=""Buy"",CONCAT(GOOGLEFINANCE(A528,""name""),"" {Symbol: ""&amp;A528&amp;""} High Alert!! Share Has Reached Its Target Buying Price,""),""""))"),"")</f>
        <v/>
      </c>
      <c r="L528" s="349" t="b">
        <f>IFERROR(__xludf.DUMMYFUNCTION("if(B528= ""Buy"",CONCAT(GOOGLEFINANCE(A528,""NAME""),"" share currently trading at Rs""&amp;C528&amp;"", Which is ""&amp;H528&amp;"" below the Target price of Rs""&amp;D528&amp;"".""))"),FALSE)</f>
        <v>0</v>
      </c>
    </row>
    <row r="529">
      <c r="A529" s="349" t="str">
        <f>Dashboard!B625</f>
        <v/>
      </c>
      <c r="B529" s="349" t="str">
        <f>Dashboard!H625</f>
        <v/>
      </c>
      <c r="C529" s="356" t="str">
        <f>Dashboard!G625</f>
        <v/>
      </c>
      <c r="D529" s="489" t="str">
        <f>Dashboard!M625</f>
        <v/>
      </c>
      <c r="E529" s="490" t="s">
        <v>314</v>
      </c>
      <c r="F529" s="491" t="str">
        <f t="shared" si="1"/>
        <v/>
      </c>
      <c r="G529" s="492" t="s">
        <v>314</v>
      </c>
      <c r="H529" s="349" t="str">
        <f t="shared" si="2"/>
        <v/>
      </c>
      <c r="I529" s="349" t="str">
        <f t="shared" si="3"/>
        <v/>
      </c>
      <c r="J529" s="493"/>
      <c r="K529" s="349" t="str">
        <f>IFERROR(__xludf.DUMMYFUNCTION("if(ISBLANK(A529),"""",if(B529=""Buy"",CONCAT(GOOGLEFINANCE(A529,""name""),"" {Symbol: ""&amp;A529&amp;""} High Alert!! Share Has Reached Its Target Buying Price,""),""""))"),"")</f>
        <v/>
      </c>
      <c r="L529" s="349" t="b">
        <f>IFERROR(__xludf.DUMMYFUNCTION("if(B529= ""Buy"",CONCAT(GOOGLEFINANCE(A529,""NAME""),"" share currently trading at Rs""&amp;C529&amp;"", Which is ""&amp;H529&amp;"" below the Target price of Rs""&amp;D529&amp;"".""))"),FALSE)</f>
        <v>0</v>
      </c>
    </row>
    <row r="530">
      <c r="A530" s="349" t="str">
        <f>Dashboard!B626</f>
        <v/>
      </c>
      <c r="B530" s="349" t="str">
        <f>Dashboard!H626</f>
        <v/>
      </c>
      <c r="C530" s="356" t="str">
        <f>Dashboard!G626</f>
        <v/>
      </c>
      <c r="D530" s="489" t="str">
        <f>Dashboard!M626</f>
        <v/>
      </c>
      <c r="E530" s="490" t="s">
        <v>314</v>
      </c>
      <c r="F530" s="491" t="str">
        <f t="shared" si="1"/>
        <v/>
      </c>
      <c r="G530" s="492" t="s">
        <v>314</v>
      </c>
      <c r="H530" s="349" t="str">
        <f t="shared" si="2"/>
        <v/>
      </c>
      <c r="I530" s="349" t="str">
        <f t="shared" si="3"/>
        <v/>
      </c>
      <c r="J530" s="493"/>
      <c r="K530" s="349" t="str">
        <f>IFERROR(__xludf.DUMMYFUNCTION("if(ISBLANK(A530),"""",if(B530=""Buy"",CONCAT(GOOGLEFINANCE(A530,""name""),"" {Symbol: ""&amp;A530&amp;""} High Alert!! Share Has Reached Its Target Buying Price,""),""""))"),"")</f>
        <v/>
      </c>
      <c r="L530" s="349" t="b">
        <f>IFERROR(__xludf.DUMMYFUNCTION("if(B530= ""Buy"",CONCAT(GOOGLEFINANCE(A530,""NAME""),"" share currently trading at Rs""&amp;C530&amp;"", Which is ""&amp;H530&amp;"" below the Target price of Rs""&amp;D530&amp;"".""))"),FALSE)</f>
        <v>0</v>
      </c>
    </row>
    <row r="531">
      <c r="A531" s="349" t="str">
        <f>Dashboard!B627</f>
        <v/>
      </c>
      <c r="B531" s="349" t="str">
        <f>Dashboard!H627</f>
        <v/>
      </c>
      <c r="C531" s="356" t="str">
        <f>Dashboard!G627</f>
        <v/>
      </c>
      <c r="D531" s="489" t="str">
        <f>Dashboard!M627</f>
        <v/>
      </c>
      <c r="E531" s="490" t="s">
        <v>314</v>
      </c>
      <c r="F531" s="491" t="str">
        <f t="shared" si="1"/>
        <v/>
      </c>
      <c r="G531" s="492" t="s">
        <v>314</v>
      </c>
      <c r="H531" s="349" t="str">
        <f t="shared" si="2"/>
        <v/>
      </c>
      <c r="I531" s="349" t="str">
        <f t="shared" si="3"/>
        <v/>
      </c>
      <c r="J531" s="493"/>
      <c r="K531" s="349" t="str">
        <f>IFERROR(__xludf.DUMMYFUNCTION("if(ISBLANK(A531),"""",if(B531=""Buy"",CONCAT(GOOGLEFINANCE(A531,""name""),"" {Symbol: ""&amp;A531&amp;""} High Alert!! Share Has Reached Its Target Buying Price,""),""""))"),"")</f>
        <v/>
      </c>
      <c r="L531" s="349" t="b">
        <f>IFERROR(__xludf.DUMMYFUNCTION("if(B531= ""Buy"",CONCAT(GOOGLEFINANCE(A531,""NAME""),"" share currently trading at Rs""&amp;C531&amp;"", Which is ""&amp;H531&amp;"" below the Target price of Rs""&amp;D531&amp;"".""))"),FALSE)</f>
        <v>0</v>
      </c>
    </row>
    <row r="532">
      <c r="A532" s="349" t="str">
        <f>Dashboard!B628</f>
        <v/>
      </c>
      <c r="B532" s="349" t="str">
        <f>Dashboard!H628</f>
        <v/>
      </c>
      <c r="C532" s="356" t="str">
        <f>Dashboard!G628</f>
        <v/>
      </c>
      <c r="D532" s="489" t="str">
        <f>Dashboard!M628</f>
        <v/>
      </c>
      <c r="E532" s="490" t="s">
        <v>314</v>
      </c>
      <c r="F532" s="491" t="str">
        <f t="shared" si="1"/>
        <v/>
      </c>
      <c r="G532" s="492" t="s">
        <v>314</v>
      </c>
      <c r="H532" s="349" t="str">
        <f t="shared" si="2"/>
        <v/>
      </c>
      <c r="I532" s="349" t="str">
        <f t="shared" si="3"/>
        <v/>
      </c>
      <c r="J532" s="493"/>
      <c r="K532" s="349" t="str">
        <f>IFERROR(__xludf.DUMMYFUNCTION("if(ISBLANK(A532),"""",if(B532=""Buy"",CONCAT(GOOGLEFINANCE(A532,""name""),"" {Symbol: ""&amp;A532&amp;""} High Alert!! Share Has Reached Its Target Buying Price,""),""""))"),"")</f>
        <v/>
      </c>
      <c r="L532" s="349" t="b">
        <f>IFERROR(__xludf.DUMMYFUNCTION("if(B532= ""Buy"",CONCAT(GOOGLEFINANCE(A532,""NAME""),"" share currently trading at Rs""&amp;C532&amp;"", Which is ""&amp;H532&amp;"" below the Target price of Rs""&amp;D532&amp;"".""))"),FALSE)</f>
        <v>0</v>
      </c>
    </row>
    <row r="533">
      <c r="A533" s="349" t="str">
        <f>Dashboard!B629</f>
        <v/>
      </c>
      <c r="B533" s="349" t="str">
        <f>Dashboard!H629</f>
        <v/>
      </c>
      <c r="C533" s="356" t="str">
        <f>Dashboard!G629</f>
        <v/>
      </c>
      <c r="D533" s="489" t="str">
        <f>Dashboard!M629</f>
        <v/>
      </c>
      <c r="E533" s="490" t="s">
        <v>314</v>
      </c>
      <c r="F533" s="491" t="str">
        <f t="shared" si="1"/>
        <v/>
      </c>
      <c r="G533" s="492" t="s">
        <v>314</v>
      </c>
      <c r="H533" s="349" t="str">
        <f t="shared" si="2"/>
        <v/>
      </c>
      <c r="I533" s="349" t="str">
        <f t="shared" si="3"/>
        <v/>
      </c>
      <c r="J533" s="493"/>
      <c r="K533" s="349" t="str">
        <f>IFERROR(__xludf.DUMMYFUNCTION("if(ISBLANK(A533),"""",if(B533=""Buy"",CONCAT(GOOGLEFINANCE(A533,""name""),"" {Symbol: ""&amp;A533&amp;""} High Alert!! Share Has Reached Its Target Buying Price,""),""""))"),"")</f>
        <v/>
      </c>
      <c r="L533" s="349" t="b">
        <f>IFERROR(__xludf.DUMMYFUNCTION("if(B533= ""Buy"",CONCAT(GOOGLEFINANCE(A533,""NAME""),"" share currently trading at Rs""&amp;C533&amp;"", Which is ""&amp;H533&amp;"" below the Target price of Rs""&amp;D533&amp;"".""))"),FALSE)</f>
        <v>0</v>
      </c>
    </row>
    <row r="534">
      <c r="A534" s="349" t="str">
        <f>Dashboard!B630</f>
        <v/>
      </c>
      <c r="B534" s="349" t="str">
        <f>Dashboard!H630</f>
        <v/>
      </c>
      <c r="C534" s="356" t="str">
        <f>Dashboard!G630</f>
        <v/>
      </c>
      <c r="D534" s="489" t="str">
        <f>Dashboard!M630</f>
        <v/>
      </c>
      <c r="E534" s="490" t="s">
        <v>314</v>
      </c>
      <c r="F534" s="491" t="str">
        <f t="shared" si="1"/>
        <v/>
      </c>
      <c r="G534" s="492" t="s">
        <v>314</v>
      </c>
      <c r="H534" s="349" t="str">
        <f t="shared" si="2"/>
        <v/>
      </c>
      <c r="I534" s="349" t="str">
        <f t="shared" si="3"/>
        <v/>
      </c>
      <c r="J534" s="493"/>
      <c r="K534" s="349" t="str">
        <f>IFERROR(__xludf.DUMMYFUNCTION("if(ISBLANK(A534),"""",if(B534=""Buy"",CONCAT(GOOGLEFINANCE(A534,""name""),"" {Symbol: ""&amp;A534&amp;""} High Alert!! Share Has Reached Its Target Buying Price,""),""""))"),"")</f>
        <v/>
      </c>
      <c r="L534" s="349" t="b">
        <f>IFERROR(__xludf.DUMMYFUNCTION("if(B534= ""Buy"",CONCAT(GOOGLEFINANCE(A534,""NAME""),"" share currently trading at Rs""&amp;C534&amp;"", Which is ""&amp;H534&amp;"" below the Target price of Rs""&amp;D534&amp;"".""))"),FALSE)</f>
        <v>0</v>
      </c>
    </row>
    <row r="535">
      <c r="A535" s="349" t="str">
        <f>Dashboard!B631</f>
        <v/>
      </c>
      <c r="B535" s="349" t="str">
        <f>Dashboard!H631</f>
        <v/>
      </c>
      <c r="C535" s="356" t="str">
        <f>Dashboard!G631</f>
        <v/>
      </c>
      <c r="D535" s="489" t="str">
        <f>Dashboard!M631</f>
        <v/>
      </c>
      <c r="E535" s="490" t="s">
        <v>314</v>
      </c>
      <c r="F535" s="491" t="str">
        <f t="shared" si="1"/>
        <v/>
      </c>
      <c r="G535" s="492" t="s">
        <v>314</v>
      </c>
      <c r="H535" s="349" t="str">
        <f t="shared" si="2"/>
        <v/>
      </c>
      <c r="I535" s="349" t="str">
        <f t="shared" si="3"/>
        <v/>
      </c>
      <c r="J535" s="493"/>
      <c r="K535" s="349" t="str">
        <f>IFERROR(__xludf.DUMMYFUNCTION("if(ISBLANK(A535),"""",if(B535=""Buy"",CONCAT(GOOGLEFINANCE(A535,""name""),"" {Symbol: ""&amp;A535&amp;""} High Alert!! Share Has Reached Its Target Buying Price,""),""""))"),"")</f>
        <v/>
      </c>
      <c r="L535" s="349" t="b">
        <f>IFERROR(__xludf.DUMMYFUNCTION("if(B535= ""Buy"",CONCAT(GOOGLEFINANCE(A535,""NAME""),"" share currently trading at Rs""&amp;C535&amp;"", Which is ""&amp;H535&amp;"" below the Target price of Rs""&amp;D535&amp;"".""))"),FALSE)</f>
        <v>0</v>
      </c>
    </row>
    <row r="536">
      <c r="A536" s="349" t="str">
        <f>Dashboard!B632</f>
        <v/>
      </c>
      <c r="B536" s="349" t="str">
        <f>Dashboard!H632</f>
        <v/>
      </c>
      <c r="C536" s="356" t="str">
        <f>Dashboard!G632</f>
        <v/>
      </c>
      <c r="D536" s="489" t="str">
        <f>Dashboard!M632</f>
        <v/>
      </c>
      <c r="E536" s="490" t="s">
        <v>314</v>
      </c>
      <c r="F536" s="491" t="str">
        <f t="shared" si="1"/>
        <v/>
      </c>
      <c r="G536" s="492" t="s">
        <v>314</v>
      </c>
      <c r="H536" s="349" t="str">
        <f t="shared" si="2"/>
        <v/>
      </c>
      <c r="I536" s="349" t="str">
        <f t="shared" si="3"/>
        <v/>
      </c>
      <c r="J536" s="493"/>
      <c r="K536" s="349" t="str">
        <f>IFERROR(__xludf.DUMMYFUNCTION("if(ISBLANK(A536),"""",if(B536=""Buy"",CONCAT(GOOGLEFINANCE(A536,""name""),"" {Symbol: ""&amp;A536&amp;""} High Alert!! Share Has Reached Its Target Buying Price,""),""""))"),"")</f>
        <v/>
      </c>
      <c r="L536" s="349" t="b">
        <f>IFERROR(__xludf.DUMMYFUNCTION("if(B536= ""Buy"",CONCAT(GOOGLEFINANCE(A536,""NAME""),"" share currently trading at Rs""&amp;C536&amp;"", Which is ""&amp;H536&amp;"" below the Target price of Rs""&amp;D536&amp;"".""))"),FALSE)</f>
        <v>0</v>
      </c>
    </row>
    <row r="537">
      <c r="A537" s="349" t="str">
        <f>Dashboard!B633</f>
        <v/>
      </c>
      <c r="B537" s="349" t="str">
        <f>Dashboard!H633</f>
        <v/>
      </c>
      <c r="C537" s="356" t="str">
        <f>Dashboard!G633</f>
        <v/>
      </c>
      <c r="D537" s="489" t="str">
        <f>Dashboard!M633</f>
        <v/>
      </c>
      <c r="E537" s="490" t="s">
        <v>314</v>
      </c>
      <c r="F537" s="491" t="str">
        <f t="shared" si="1"/>
        <v/>
      </c>
      <c r="G537" s="492" t="s">
        <v>314</v>
      </c>
      <c r="H537" s="349" t="str">
        <f t="shared" si="2"/>
        <v/>
      </c>
      <c r="I537" s="349" t="str">
        <f t="shared" si="3"/>
        <v/>
      </c>
      <c r="J537" s="493"/>
      <c r="K537" s="349" t="str">
        <f>IFERROR(__xludf.DUMMYFUNCTION("if(ISBLANK(A537),"""",if(B537=""Buy"",CONCAT(GOOGLEFINANCE(A537,""name""),"" {Symbol: ""&amp;A537&amp;""} High Alert!! Share Has Reached Its Target Buying Price,""),""""))"),"")</f>
        <v/>
      </c>
      <c r="L537" s="349" t="b">
        <f>IFERROR(__xludf.DUMMYFUNCTION("if(B537= ""Buy"",CONCAT(GOOGLEFINANCE(A537,""NAME""),"" share currently trading at Rs""&amp;C537&amp;"", Which is ""&amp;H537&amp;"" below the Target price of Rs""&amp;D537&amp;"".""))"),FALSE)</f>
        <v>0</v>
      </c>
    </row>
    <row r="538">
      <c r="A538" s="349" t="str">
        <f>Dashboard!B634</f>
        <v/>
      </c>
      <c r="B538" s="349" t="str">
        <f>Dashboard!H634</f>
        <v/>
      </c>
      <c r="C538" s="356" t="str">
        <f>Dashboard!G634</f>
        <v/>
      </c>
      <c r="D538" s="489" t="str">
        <f>Dashboard!M634</f>
        <v/>
      </c>
      <c r="E538" s="490" t="s">
        <v>314</v>
      </c>
      <c r="F538" s="491" t="str">
        <f t="shared" si="1"/>
        <v/>
      </c>
      <c r="G538" s="492" t="s">
        <v>314</v>
      </c>
      <c r="H538" s="349" t="str">
        <f t="shared" si="2"/>
        <v/>
      </c>
      <c r="I538" s="349" t="str">
        <f t="shared" si="3"/>
        <v/>
      </c>
      <c r="J538" s="493"/>
      <c r="K538" s="349" t="str">
        <f>IFERROR(__xludf.DUMMYFUNCTION("if(ISBLANK(A538),"""",if(B538=""Buy"",CONCAT(GOOGLEFINANCE(A538,""name""),"" {Symbol: ""&amp;A538&amp;""} High Alert!! Share Has Reached Its Target Buying Price,""),""""))"),"")</f>
        <v/>
      </c>
      <c r="L538" s="349" t="b">
        <f>IFERROR(__xludf.DUMMYFUNCTION("if(B538= ""Buy"",CONCAT(GOOGLEFINANCE(A538,""NAME""),"" share currently trading at Rs""&amp;C538&amp;"", Which is ""&amp;H538&amp;"" below the Target price of Rs""&amp;D538&amp;"".""))"),FALSE)</f>
        <v>0</v>
      </c>
    </row>
    <row r="539">
      <c r="A539" s="349" t="str">
        <f>Dashboard!B635</f>
        <v/>
      </c>
      <c r="B539" s="349" t="str">
        <f>Dashboard!H635</f>
        <v/>
      </c>
      <c r="C539" s="356" t="str">
        <f>Dashboard!G635</f>
        <v/>
      </c>
      <c r="D539" s="489" t="str">
        <f>Dashboard!M635</f>
        <v/>
      </c>
      <c r="E539" s="490" t="s">
        <v>314</v>
      </c>
      <c r="F539" s="491" t="str">
        <f t="shared" si="1"/>
        <v/>
      </c>
      <c r="G539" s="492" t="s">
        <v>314</v>
      </c>
      <c r="H539" s="349" t="str">
        <f t="shared" si="2"/>
        <v/>
      </c>
      <c r="I539" s="349" t="str">
        <f t="shared" si="3"/>
        <v/>
      </c>
      <c r="J539" s="493"/>
      <c r="K539" s="349" t="str">
        <f>IFERROR(__xludf.DUMMYFUNCTION("if(ISBLANK(A539),"""",if(B539=""Buy"",CONCAT(GOOGLEFINANCE(A539,""name""),"" {Symbol: ""&amp;A539&amp;""} High Alert!! Share Has Reached Its Target Buying Price,""),""""))"),"")</f>
        <v/>
      </c>
      <c r="L539" s="349" t="b">
        <f>IFERROR(__xludf.DUMMYFUNCTION("if(B539= ""Buy"",CONCAT(GOOGLEFINANCE(A539,""NAME""),"" share currently trading at Rs""&amp;C539&amp;"", Which is ""&amp;H539&amp;"" below the Target price of Rs""&amp;D539&amp;"".""))"),FALSE)</f>
        <v>0</v>
      </c>
    </row>
    <row r="540">
      <c r="A540" s="349" t="str">
        <f>Dashboard!B636</f>
        <v/>
      </c>
      <c r="B540" s="349" t="str">
        <f>Dashboard!H636</f>
        <v/>
      </c>
      <c r="C540" s="356" t="str">
        <f>Dashboard!G636</f>
        <v/>
      </c>
      <c r="D540" s="489" t="str">
        <f>Dashboard!M636</f>
        <v/>
      </c>
      <c r="E540" s="490" t="s">
        <v>314</v>
      </c>
      <c r="F540" s="491" t="str">
        <f t="shared" si="1"/>
        <v/>
      </c>
      <c r="G540" s="492" t="s">
        <v>314</v>
      </c>
      <c r="H540" s="349" t="str">
        <f t="shared" si="2"/>
        <v/>
      </c>
      <c r="I540" s="349" t="str">
        <f t="shared" si="3"/>
        <v/>
      </c>
      <c r="J540" s="493"/>
      <c r="K540" s="349" t="str">
        <f>IFERROR(__xludf.DUMMYFUNCTION("if(ISBLANK(A540),"""",if(B540=""Buy"",CONCAT(GOOGLEFINANCE(A540,""name""),"" {Symbol: ""&amp;A540&amp;""} High Alert!! Share Has Reached Its Target Buying Price,""),""""))"),"")</f>
        <v/>
      </c>
      <c r="L540" s="349" t="b">
        <f>IFERROR(__xludf.DUMMYFUNCTION("if(B540= ""Buy"",CONCAT(GOOGLEFINANCE(A540,""NAME""),"" share currently trading at Rs""&amp;C540&amp;"", Which is ""&amp;H540&amp;"" below the Target price of Rs""&amp;D540&amp;"".""))"),FALSE)</f>
        <v>0</v>
      </c>
    </row>
    <row r="541">
      <c r="A541" s="349" t="str">
        <f>Dashboard!B637</f>
        <v/>
      </c>
      <c r="B541" s="349" t="str">
        <f>Dashboard!H637</f>
        <v/>
      </c>
      <c r="C541" s="356" t="str">
        <f>Dashboard!G637</f>
        <v/>
      </c>
      <c r="D541" s="489" t="str">
        <f>Dashboard!M637</f>
        <v/>
      </c>
      <c r="E541" s="490" t="s">
        <v>314</v>
      </c>
      <c r="F541" s="491" t="str">
        <f t="shared" si="1"/>
        <v/>
      </c>
      <c r="G541" s="492" t="s">
        <v>314</v>
      </c>
      <c r="H541" s="349" t="str">
        <f t="shared" si="2"/>
        <v/>
      </c>
      <c r="I541" s="349" t="str">
        <f t="shared" si="3"/>
        <v/>
      </c>
      <c r="J541" s="493"/>
      <c r="K541" s="349" t="str">
        <f>IFERROR(__xludf.DUMMYFUNCTION("if(ISBLANK(A541),"""",if(B541=""Buy"",CONCAT(GOOGLEFINANCE(A541,""name""),"" {Symbol: ""&amp;A541&amp;""} High Alert!! Share Has Reached Its Target Buying Price,""),""""))"),"")</f>
        <v/>
      </c>
      <c r="L541" s="349" t="b">
        <f>IFERROR(__xludf.DUMMYFUNCTION("if(B541= ""Buy"",CONCAT(GOOGLEFINANCE(A541,""NAME""),"" share currently trading at Rs""&amp;C541&amp;"", Which is ""&amp;H541&amp;"" below the Target price of Rs""&amp;D541&amp;"".""))"),FALSE)</f>
        <v>0</v>
      </c>
    </row>
    <row r="542">
      <c r="A542" s="349" t="str">
        <f>Dashboard!B638</f>
        <v/>
      </c>
      <c r="B542" s="349" t="str">
        <f>Dashboard!H638</f>
        <v/>
      </c>
      <c r="C542" s="356" t="str">
        <f>Dashboard!G638</f>
        <v/>
      </c>
      <c r="D542" s="489" t="str">
        <f>Dashboard!M638</f>
        <v/>
      </c>
      <c r="E542" s="490" t="s">
        <v>314</v>
      </c>
      <c r="F542" s="491" t="str">
        <f t="shared" si="1"/>
        <v/>
      </c>
      <c r="G542" s="492" t="s">
        <v>314</v>
      </c>
      <c r="H542" s="349" t="str">
        <f t="shared" si="2"/>
        <v/>
      </c>
      <c r="I542" s="349" t="str">
        <f t="shared" si="3"/>
        <v/>
      </c>
      <c r="J542" s="493"/>
      <c r="K542" s="349" t="str">
        <f>IFERROR(__xludf.DUMMYFUNCTION("if(ISBLANK(A542),"""",if(B542=""Buy"",CONCAT(GOOGLEFINANCE(A542,""name""),"" {Symbol: ""&amp;A542&amp;""} High Alert!! Share Has Reached Its Target Buying Price,""),""""))"),"")</f>
        <v/>
      </c>
      <c r="L542" s="349" t="b">
        <f>IFERROR(__xludf.DUMMYFUNCTION("if(B542= ""Buy"",CONCAT(GOOGLEFINANCE(A542,""NAME""),"" share currently trading at Rs""&amp;C542&amp;"", Which is ""&amp;H542&amp;"" below the Target price of Rs""&amp;D542&amp;"".""))"),FALSE)</f>
        <v>0</v>
      </c>
    </row>
    <row r="543">
      <c r="A543" s="349" t="str">
        <f>Dashboard!B639</f>
        <v/>
      </c>
      <c r="B543" s="349" t="str">
        <f>Dashboard!H639</f>
        <v/>
      </c>
      <c r="C543" s="356" t="str">
        <f>Dashboard!G639</f>
        <v/>
      </c>
      <c r="D543" s="489" t="str">
        <f>Dashboard!M639</f>
        <v/>
      </c>
      <c r="E543" s="490" t="s">
        <v>314</v>
      </c>
      <c r="F543" s="491" t="str">
        <f t="shared" si="1"/>
        <v/>
      </c>
      <c r="G543" s="492" t="s">
        <v>314</v>
      </c>
      <c r="H543" s="349" t="str">
        <f t="shared" si="2"/>
        <v/>
      </c>
      <c r="I543" s="349" t="str">
        <f t="shared" si="3"/>
        <v/>
      </c>
      <c r="J543" s="493"/>
      <c r="K543" s="349" t="str">
        <f>IFERROR(__xludf.DUMMYFUNCTION("if(ISBLANK(A543),"""",if(B543=""Buy"",CONCAT(GOOGLEFINANCE(A543,""name""),"" {Symbol: ""&amp;A543&amp;""} High Alert!! Share Has Reached Its Target Buying Price,""),""""))"),"")</f>
        <v/>
      </c>
      <c r="L543" s="349" t="b">
        <f>IFERROR(__xludf.DUMMYFUNCTION("if(B543= ""Buy"",CONCAT(GOOGLEFINANCE(A543,""NAME""),"" share currently trading at Rs""&amp;C543&amp;"", Which is ""&amp;H543&amp;"" below the Target price of Rs""&amp;D543&amp;"".""))"),FALSE)</f>
        <v>0</v>
      </c>
    </row>
    <row r="544">
      <c r="A544" s="349" t="str">
        <f>Dashboard!B640</f>
        <v/>
      </c>
      <c r="B544" s="349" t="str">
        <f>Dashboard!H640</f>
        <v/>
      </c>
      <c r="C544" s="356" t="str">
        <f>Dashboard!G640</f>
        <v/>
      </c>
      <c r="D544" s="489" t="str">
        <f>Dashboard!M640</f>
        <v/>
      </c>
      <c r="E544" s="490" t="s">
        <v>314</v>
      </c>
      <c r="F544" s="491" t="str">
        <f t="shared" si="1"/>
        <v/>
      </c>
      <c r="G544" s="492" t="s">
        <v>314</v>
      </c>
      <c r="H544" s="349" t="str">
        <f t="shared" si="2"/>
        <v/>
      </c>
      <c r="I544" s="349" t="str">
        <f t="shared" si="3"/>
        <v/>
      </c>
      <c r="J544" s="493"/>
      <c r="K544" s="349" t="str">
        <f>IFERROR(__xludf.DUMMYFUNCTION("if(ISBLANK(A544),"""",if(B544=""Buy"",CONCAT(GOOGLEFINANCE(A544,""name""),"" {Symbol: ""&amp;A544&amp;""} High Alert!! Share Has Reached Its Target Buying Price,""),""""))"),"")</f>
        <v/>
      </c>
      <c r="L544" s="349" t="b">
        <f>IFERROR(__xludf.DUMMYFUNCTION("if(B544= ""Buy"",CONCAT(GOOGLEFINANCE(A544,""NAME""),"" share currently trading at Rs""&amp;C544&amp;"", Which is ""&amp;H544&amp;"" below the Target price of Rs""&amp;D544&amp;"".""))"),FALSE)</f>
        <v>0</v>
      </c>
    </row>
    <row r="545">
      <c r="A545" s="349" t="str">
        <f>Dashboard!B641</f>
        <v/>
      </c>
      <c r="B545" s="349" t="str">
        <f>Dashboard!H641</f>
        <v/>
      </c>
      <c r="C545" s="356" t="str">
        <f>Dashboard!G641</f>
        <v/>
      </c>
      <c r="D545" s="489" t="str">
        <f>Dashboard!M641</f>
        <v/>
      </c>
      <c r="E545" s="490" t="s">
        <v>314</v>
      </c>
      <c r="F545" s="491" t="str">
        <f t="shared" si="1"/>
        <v/>
      </c>
      <c r="G545" s="492" t="s">
        <v>314</v>
      </c>
      <c r="H545" s="349" t="str">
        <f t="shared" si="2"/>
        <v/>
      </c>
      <c r="I545" s="349" t="str">
        <f t="shared" si="3"/>
        <v/>
      </c>
      <c r="J545" s="493"/>
      <c r="K545" s="349" t="str">
        <f>IFERROR(__xludf.DUMMYFUNCTION("if(ISBLANK(A545),"""",if(B545=""Buy"",CONCAT(GOOGLEFINANCE(A545,""name""),"" {Symbol: ""&amp;A545&amp;""} High Alert!! Share Has Reached Its Target Buying Price,""),""""))"),"")</f>
        <v/>
      </c>
      <c r="L545" s="349" t="b">
        <f>IFERROR(__xludf.DUMMYFUNCTION("if(B545= ""Buy"",CONCAT(GOOGLEFINANCE(A545,""NAME""),"" share currently trading at Rs""&amp;C545&amp;"", Which is ""&amp;H545&amp;"" below the Target price of Rs""&amp;D545&amp;"".""))"),FALSE)</f>
        <v>0</v>
      </c>
    </row>
    <row r="546">
      <c r="A546" s="349" t="str">
        <f>Dashboard!B642</f>
        <v/>
      </c>
      <c r="B546" s="349" t="str">
        <f>Dashboard!H642</f>
        <v/>
      </c>
      <c r="C546" s="356" t="str">
        <f>Dashboard!G642</f>
        <v/>
      </c>
      <c r="D546" s="489" t="str">
        <f>Dashboard!M642</f>
        <v/>
      </c>
      <c r="E546" s="490" t="s">
        <v>314</v>
      </c>
      <c r="F546" s="491" t="str">
        <f t="shared" si="1"/>
        <v/>
      </c>
      <c r="G546" s="492" t="s">
        <v>314</v>
      </c>
      <c r="H546" s="349" t="str">
        <f t="shared" si="2"/>
        <v/>
      </c>
      <c r="I546" s="349" t="str">
        <f t="shared" si="3"/>
        <v/>
      </c>
      <c r="J546" s="493"/>
      <c r="K546" s="349" t="str">
        <f>IFERROR(__xludf.DUMMYFUNCTION("if(ISBLANK(A546),"""",if(B546=""Buy"",CONCAT(GOOGLEFINANCE(A546,""name""),"" {Symbol: ""&amp;A546&amp;""} High Alert!! Share Has Reached Its Target Buying Price,""),""""))"),"")</f>
        <v/>
      </c>
      <c r="L546" s="349" t="b">
        <f>IFERROR(__xludf.DUMMYFUNCTION("if(B546= ""Buy"",CONCAT(GOOGLEFINANCE(A546,""NAME""),"" share currently trading at Rs""&amp;C546&amp;"", Which is ""&amp;H546&amp;"" below the Target price of Rs""&amp;D546&amp;"".""))"),FALSE)</f>
        <v>0</v>
      </c>
    </row>
    <row r="547">
      <c r="A547" s="349" t="str">
        <f>Dashboard!B643</f>
        <v/>
      </c>
      <c r="B547" s="349" t="str">
        <f>Dashboard!H643</f>
        <v/>
      </c>
      <c r="C547" s="356" t="str">
        <f>Dashboard!G643</f>
        <v/>
      </c>
      <c r="D547" s="489" t="str">
        <f>Dashboard!M643</f>
        <v/>
      </c>
      <c r="E547" s="490" t="s">
        <v>314</v>
      </c>
      <c r="F547" s="491" t="str">
        <f t="shared" si="1"/>
        <v/>
      </c>
      <c r="G547" s="492" t="s">
        <v>314</v>
      </c>
      <c r="H547" s="349" t="str">
        <f t="shared" si="2"/>
        <v/>
      </c>
      <c r="I547" s="349" t="str">
        <f t="shared" si="3"/>
        <v/>
      </c>
      <c r="J547" s="493"/>
      <c r="K547" s="349" t="str">
        <f>IFERROR(__xludf.DUMMYFUNCTION("if(ISBLANK(A547),"""",if(B547=""Buy"",CONCAT(GOOGLEFINANCE(A547,""name""),"" {Symbol: ""&amp;A547&amp;""} High Alert!! Share Has Reached Its Target Buying Price,""),""""))"),"")</f>
        <v/>
      </c>
      <c r="L547" s="349" t="b">
        <f>IFERROR(__xludf.DUMMYFUNCTION("if(B547= ""Buy"",CONCAT(GOOGLEFINANCE(A547,""NAME""),"" share currently trading at Rs""&amp;C547&amp;"", Which is ""&amp;H547&amp;"" below the Target price of Rs""&amp;D547&amp;"".""))"),FALSE)</f>
        <v>0</v>
      </c>
    </row>
    <row r="548">
      <c r="A548" s="349" t="str">
        <f>Dashboard!B644</f>
        <v/>
      </c>
      <c r="B548" s="349" t="str">
        <f>Dashboard!H644</f>
        <v/>
      </c>
      <c r="C548" s="356" t="str">
        <f>Dashboard!G644</f>
        <v/>
      </c>
      <c r="D548" s="489" t="str">
        <f>Dashboard!M644</f>
        <v/>
      </c>
      <c r="E548" s="490" t="s">
        <v>314</v>
      </c>
      <c r="F548" s="491" t="str">
        <f t="shared" si="1"/>
        <v/>
      </c>
      <c r="G548" s="492" t="s">
        <v>314</v>
      </c>
      <c r="H548" s="349" t="str">
        <f t="shared" si="2"/>
        <v/>
      </c>
      <c r="I548" s="349" t="str">
        <f t="shared" si="3"/>
        <v/>
      </c>
      <c r="J548" s="493"/>
      <c r="K548" s="349" t="str">
        <f>IFERROR(__xludf.DUMMYFUNCTION("if(ISBLANK(A548),"""",if(B548=""Buy"",CONCAT(GOOGLEFINANCE(A548,""name""),"" {Symbol: ""&amp;A548&amp;""} High Alert!! Share Has Reached Its Target Buying Price,""),""""))"),"")</f>
        <v/>
      </c>
      <c r="L548" s="349" t="b">
        <f>IFERROR(__xludf.DUMMYFUNCTION("if(B548= ""Buy"",CONCAT(GOOGLEFINANCE(A548,""NAME""),"" share currently trading at Rs""&amp;C548&amp;"", Which is ""&amp;H548&amp;"" below the Target price of Rs""&amp;D548&amp;"".""))"),FALSE)</f>
        <v>0</v>
      </c>
    </row>
    <row r="549">
      <c r="A549" s="349" t="str">
        <f>Dashboard!B645</f>
        <v/>
      </c>
      <c r="B549" s="349" t="str">
        <f>Dashboard!H645</f>
        <v/>
      </c>
      <c r="C549" s="356" t="str">
        <f>Dashboard!G645</f>
        <v/>
      </c>
      <c r="D549" s="489" t="str">
        <f>Dashboard!M645</f>
        <v/>
      </c>
      <c r="E549" s="490" t="s">
        <v>314</v>
      </c>
      <c r="F549" s="491" t="str">
        <f t="shared" si="1"/>
        <v/>
      </c>
      <c r="G549" s="492" t="s">
        <v>314</v>
      </c>
      <c r="H549" s="349" t="str">
        <f t="shared" si="2"/>
        <v/>
      </c>
      <c r="I549" s="349" t="str">
        <f t="shared" si="3"/>
        <v/>
      </c>
      <c r="J549" s="493"/>
      <c r="K549" s="349" t="str">
        <f>IFERROR(__xludf.DUMMYFUNCTION("if(ISBLANK(A549),"""",if(B549=""Buy"",CONCAT(GOOGLEFINANCE(A549,""name""),"" {Symbol: ""&amp;A549&amp;""} High Alert!! Share Has Reached Its Target Buying Price,""),""""))"),"")</f>
        <v/>
      </c>
      <c r="L549" s="349" t="b">
        <f>IFERROR(__xludf.DUMMYFUNCTION("if(B549= ""Buy"",CONCAT(GOOGLEFINANCE(A549,""NAME""),"" share currently trading at Rs""&amp;C549&amp;"", Which is ""&amp;H549&amp;"" below the Target price of Rs""&amp;D549&amp;"".""))"),FALSE)</f>
        <v>0</v>
      </c>
    </row>
    <row r="550">
      <c r="A550" s="349" t="str">
        <f>Dashboard!B646</f>
        <v/>
      </c>
      <c r="B550" s="349" t="str">
        <f>Dashboard!H646</f>
        <v/>
      </c>
      <c r="C550" s="356" t="str">
        <f>Dashboard!G646</f>
        <v/>
      </c>
      <c r="D550" s="489" t="str">
        <f>Dashboard!M646</f>
        <v/>
      </c>
      <c r="E550" s="490" t="s">
        <v>314</v>
      </c>
      <c r="F550" s="491" t="str">
        <f t="shared" si="1"/>
        <v/>
      </c>
      <c r="G550" s="492" t="s">
        <v>314</v>
      </c>
      <c r="H550" s="349" t="str">
        <f t="shared" si="2"/>
        <v/>
      </c>
      <c r="I550" s="349" t="str">
        <f t="shared" si="3"/>
        <v/>
      </c>
      <c r="J550" s="493"/>
      <c r="K550" s="349" t="str">
        <f>IFERROR(__xludf.DUMMYFUNCTION("if(ISBLANK(A550),"""",if(B550=""Buy"",CONCAT(GOOGLEFINANCE(A550,""name""),"" {Symbol: ""&amp;A550&amp;""} High Alert!! Share Has Reached Its Target Buying Price,""),""""))"),"")</f>
        <v/>
      </c>
      <c r="L550" s="349" t="b">
        <f>IFERROR(__xludf.DUMMYFUNCTION("if(B550= ""Buy"",CONCAT(GOOGLEFINANCE(A550,""NAME""),"" share currently trading at Rs""&amp;C550&amp;"", Which is ""&amp;H550&amp;"" below the Target price of Rs""&amp;D550&amp;"".""))"),FALSE)</f>
        <v>0</v>
      </c>
    </row>
    <row r="551">
      <c r="A551" s="349" t="str">
        <f>Dashboard!B647</f>
        <v/>
      </c>
      <c r="B551" s="349" t="str">
        <f>Dashboard!H647</f>
        <v/>
      </c>
      <c r="C551" s="356" t="str">
        <f>Dashboard!G647</f>
        <v/>
      </c>
      <c r="D551" s="489" t="str">
        <f>Dashboard!M647</f>
        <v/>
      </c>
      <c r="E551" s="490" t="s">
        <v>314</v>
      </c>
      <c r="F551" s="491" t="str">
        <f t="shared" si="1"/>
        <v/>
      </c>
      <c r="G551" s="492" t="s">
        <v>314</v>
      </c>
      <c r="H551" s="349" t="str">
        <f t="shared" si="2"/>
        <v/>
      </c>
      <c r="I551" s="349" t="str">
        <f t="shared" si="3"/>
        <v/>
      </c>
      <c r="J551" s="493"/>
      <c r="K551" s="349" t="str">
        <f>IFERROR(__xludf.DUMMYFUNCTION("if(ISBLANK(A551),"""",if(B551=""Buy"",CONCAT(GOOGLEFINANCE(A551,""name""),"" {Symbol: ""&amp;A551&amp;""} High Alert!! Share Has Reached Its Target Buying Price,""),""""))"),"")</f>
        <v/>
      </c>
      <c r="L551" s="349" t="b">
        <f>IFERROR(__xludf.DUMMYFUNCTION("if(B551= ""Buy"",CONCAT(GOOGLEFINANCE(A551,""NAME""),"" share currently trading at Rs""&amp;C551&amp;"", Which is ""&amp;H551&amp;"" below the Target price of Rs""&amp;D551&amp;"".""))"),FALSE)</f>
        <v>0</v>
      </c>
    </row>
    <row r="552">
      <c r="A552" s="349" t="str">
        <f>Dashboard!B648</f>
        <v/>
      </c>
      <c r="B552" s="349" t="str">
        <f>Dashboard!H648</f>
        <v/>
      </c>
      <c r="C552" s="356" t="str">
        <f>Dashboard!G648</f>
        <v/>
      </c>
      <c r="D552" s="489" t="str">
        <f>Dashboard!M648</f>
        <v/>
      </c>
      <c r="E552" s="490" t="s">
        <v>314</v>
      </c>
      <c r="F552" s="491" t="str">
        <f t="shared" si="1"/>
        <v/>
      </c>
      <c r="G552" s="492" t="s">
        <v>314</v>
      </c>
      <c r="H552" s="349" t="str">
        <f t="shared" si="2"/>
        <v/>
      </c>
      <c r="I552" s="349" t="str">
        <f t="shared" si="3"/>
        <v/>
      </c>
      <c r="J552" s="493"/>
      <c r="K552" s="349" t="str">
        <f>IFERROR(__xludf.DUMMYFUNCTION("if(ISBLANK(A552),"""",if(B552=""Buy"",CONCAT(GOOGLEFINANCE(A552,""name""),"" {Symbol: ""&amp;A552&amp;""} High Alert!! Share Has Reached Its Target Buying Price,""),""""))"),"")</f>
        <v/>
      </c>
      <c r="L552" s="349" t="b">
        <f>IFERROR(__xludf.DUMMYFUNCTION("if(B552= ""Buy"",CONCAT(GOOGLEFINANCE(A552,""NAME""),"" share currently trading at Rs""&amp;C552&amp;"", Which is ""&amp;H552&amp;"" below the Target price of Rs""&amp;D552&amp;"".""))"),FALSE)</f>
        <v>0</v>
      </c>
    </row>
    <row r="553">
      <c r="A553" s="349" t="str">
        <f>Dashboard!B649</f>
        <v/>
      </c>
      <c r="B553" s="349" t="str">
        <f>Dashboard!H649</f>
        <v/>
      </c>
      <c r="C553" s="356" t="str">
        <f>Dashboard!G649</f>
        <v/>
      </c>
      <c r="D553" s="489" t="str">
        <f>Dashboard!M649</f>
        <v/>
      </c>
      <c r="E553" s="490" t="s">
        <v>314</v>
      </c>
      <c r="F553" s="491" t="str">
        <f t="shared" si="1"/>
        <v/>
      </c>
      <c r="G553" s="492" t="s">
        <v>314</v>
      </c>
      <c r="H553" s="349" t="str">
        <f t="shared" si="2"/>
        <v/>
      </c>
      <c r="I553" s="349" t="str">
        <f t="shared" si="3"/>
        <v/>
      </c>
      <c r="J553" s="493"/>
      <c r="K553" s="349" t="str">
        <f>IFERROR(__xludf.DUMMYFUNCTION("if(ISBLANK(A553),"""",if(B553=""Buy"",CONCAT(GOOGLEFINANCE(A553,""name""),"" {Symbol: ""&amp;A553&amp;""} High Alert!! Share Has Reached Its Target Buying Price,""),""""))"),"")</f>
        <v/>
      </c>
      <c r="L553" s="349" t="b">
        <f>IFERROR(__xludf.DUMMYFUNCTION("if(B553= ""Buy"",CONCAT(GOOGLEFINANCE(A553,""NAME""),"" share currently trading at Rs""&amp;C553&amp;"", Which is ""&amp;H553&amp;"" below the Target price of Rs""&amp;D553&amp;"".""))"),FALSE)</f>
        <v>0</v>
      </c>
    </row>
    <row r="554">
      <c r="A554" s="349" t="str">
        <f>Dashboard!B650</f>
        <v/>
      </c>
      <c r="B554" s="349" t="str">
        <f>Dashboard!H650</f>
        <v/>
      </c>
      <c r="C554" s="356" t="str">
        <f>Dashboard!G650</f>
        <v/>
      </c>
      <c r="D554" s="489" t="str">
        <f>Dashboard!M650</f>
        <v/>
      </c>
      <c r="E554" s="490" t="s">
        <v>314</v>
      </c>
      <c r="F554" s="491" t="str">
        <f t="shared" si="1"/>
        <v/>
      </c>
      <c r="G554" s="492" t="s">
        <v>314</v>
      </c>
      <c r="H554" s="349" t="str">
        <f t="shared" si="2"/>
        <v/>
      </c>
      <c r="I554" s="349" t="str">
        <f t="shared" si="3"/>
        <v/>
      </c>
      <c r="J554" s="493"/>
      <c r="K554" s="349" t="str">
        <f>IFERROR(__xludf.DUMMYFUNCTION("if(ISBLANK(A554),"""",if(B554=""Buy"",CONCAT(GOOGLEFINANCE(A554,""name""),"" {Symbol: ""&amp;A554&amp;""} High Alert!! Share Has Reached Its Target Buying Price,""),""""))"),"")</f>
        <v/>
      </c>
      <c r="L554" s="349" t="b">
        <f>IFERROR(__xludf.DUMMYFUNCTION("if(B554= ""Buy"",CONCAT(GOOGLEFINANCE(A554,""NAME""),"" share currently trading at Rs""&amp;C554&amp;"", Which is ""&amp;H554&amp;"" below the Target price of Rs""&amp;D554&amp;"".""))"),FALSE)</f>
        <v>0</v>
      </c>
    </row>
    <row r="555">
      <c r="A555" s="349" t="str">
        <f>Dashboard!B651</f>
        <v/>
      </c>
      <c r="B555" s="349" t="str">
        <f>Dashboard!H651</f>
        <v/>
      </c>
      <c r="C555" s="356" t="str">
        <f>Dashboard!G651</f>
        <v/>
      </c>
      <c r="D555" s="489" t="str">
        <f>Dashboard!M651</f>
        <v/>
      </c>
      <c r="E555" s="490" t="s">
        <v>314</v>
      </c>
      <c r="F555" s="491" t="str">
        <f t="shared" si="1"/>
        <v/>
      </c>
      <c r="G555" s="492" t="s">
        <v>314</v>
      </c>
      <c r="H555" s="349" t="str">
        <f t="shared" si="2"/>
        <v/>
      </c>
      <c r="I555" s="349" t="str">
        <f t="shared" si="3"/>
        <v/>
      </c>
      <c r="J555" s="493"/>
      <c r="K555" s="349" t="str">
        <f>IFERROR(__xludf.DUMMYFUNCTION("if(ISBLANK(A555),"""",if(B555=""Buy"",CONCAT(GOOGLEFINANCE(A555,""name""),"" {Symbol: ""&amp;A555&amp;""} High Alert!! Share Has Reached Its Target Buying Price,""),""""))"),"")</f>
        <v/>
      </c>
      <c r="L555" s="349" t="b">
        <f>IFERROR(__xludf.DUMMYFUNCTION("if(B555= ""Buy"",CONCAT(GOOGLEFINANCE(A555,""NAME""),"" share currently trading at Rs""&amp;C555&amp;"", Which is ""&amp;H555&amp;"" below the Target price of Rs""&amp;D555&amp;"".""))"),FALSE)</f>
        <v>0</v>
      </c>
    </row>
    <row r="556">
      <c r="A556" s="349" t="str">
        <f>Dashboard!B652</f>
        <v/>
      </c>
      <c r="B556" s="349" t="str">
        <f>Dashboard!H652</f>
        <v/>
      </c>
      <c r="C556" s="356" t="str">
        <f>Dashboard!G652</f>
        <v/>
      </c>
      <c r="D556" s="489" t="str">
        <f>Dashboard!M652</f>
        <v/>
      </c>
      <c r="E556" s="490" t="s">
        <v>314</v>
      </c>
      <c r="F556" s="491" t="str">
        <f t="shared" si="1"/>
        <v/>
      </c>
      <c r="G556" s="492" t="s">
        <v>314</v>
      </c>
      <c r="H556" s="349" t="str">
        <f t="shared" si="2"/>
        <v/>
      </c>
      <c r="I556" s="349" t="str">
        <f t="shared" si="3"/>
        <v/>
      </c>
      <c r="J556" s="493"/>
      <c r="K556" s="349" t="str">
        <f>IFERROR(__xludf.DUMMYFUNCTION("if(ISBLANK(A556),"""",if(B556=""Buy"",CONCAT(GOOGLEFINANCE(A556,""name""),"" {Symbol: ""&amp;A556&amp;""} High Alert!! Share Has Reached Its Target Buying Price,""),""""))"),"")</f>
        <v/>
      </c>
      <c r="L556" s="349" t="b">
        <f>IFERROR(__xludf.DUMMYFUNCTION("if(B556= ""Buy"",CONCAT(GOOGLEFINANCE(A556,""NAME""),"" share currently trading at Rs""&amp;C556&amp;"", Which is ""&amp;H556&amp;"" below the Target price of Rs""&amp;D556&amp;"".""))"),FALSE)</f>
        <v>0</v>
      </c>
    </row>
    <row r="557">
      <c r="A557" s="349" t="str">
        <f>Dashboard!B653</f>
        <v/>
      </c>
      <c r="B557" s="349" t="str">
        <f>Dashboard!H653</f>
        <v/>
      </c>
      <c r="C557" s="356" t="str">
        <f>Dashboard!G653</f>
        <v/>
      </c>
      <c r="D557" s="489" t="str">
        <f>Dashboard!M653</f>
        <v/>
      </c>
      <c r="E557" s="490" t="s">
        <v>314</v>
      </c>
      <c r="F557" s="491" t="str">
        <f t="shared" si="1"/>
        <v/>
      </c>
      <c r="G557" s="492" t="s">
        <v>314</v>
      </c>
      <c r="H557" s="349" t="str">
        <f t="shared" si="2"/>
        <v/>
      </c>
      <c r="I557" s="349" t="str">
        <f t="shared" si="3"/>
        <v/>
      </c>
      <c r="J557" s="493"/>
      <c r="K557" s="349" t="str">
        <f>IFERROR(__xludf.DUMMYFUNCTION("if(ISBLANK(A557),"""",if(B557=""Buy"",CONCAT(GOOGLEFINANCE(A557,""name""),"" {Symbol: ""&amp;A557&amp;""} High Alert!! Share Has Reached Its Target Buying Price,""),""""))"),"")</f>
        <v/>
      </c>
      <c r="L557" s="349" t="b">
        <f>IFERROR(__xludf.DUMMYFUNCTION("if(B557= ""Buy"",CONCAT(GOOGLEFINANCE(A557,""NAME""),"" share currently trading at Rs""&amp;C557&amp;"", Which is ""&amp;H557&amp;"" below the Target price of Rs""&amp;D557&amp;"".""))"),FALSE)</f>
        <v>0</v>
      </c>
    </row>
    <row r="558">
      <c r="A558" s="349" t="str">
        <f>Dashboard!B654</f>
        <v/>
      </c>
      <c r="B558" s="349" t="str">
        <f>Dashboard!H654</f>
        <v/>
      </c>
      <c r="C558" s="356" t="str">
        <f>Dashboard!G654</f>
        <v/>
      </c>
      <c r="D558" s="489" t="str">
        <f>Dashboard!M654</f>
        <v/>
      </c>
      <c r="E558" s="490" t="s">
        <v>314</v>
      </c>
      <c r="F558" s="491" t="str">
        <f t="shared" si="1"/>
        <v/>
      </c>
      <c r="G558" s="492" t="s">
        <v>314</v>
      </c>
      <c r="H558" s="349" t="str">
        <f t="shared" si="2"/>
        <v/>
      </c>
      <c r="I558" s="349" t="str">
        <f t="shared" si="3"/>
        <v/>
      </c>
      <c r="J558" s="493"/>
      <c r="K558" s="349" t="str">
        <f>IFERROR(__xludf.DUMMYFUNCTION("if(ISBLANK(A558),"""",if(B558=""Buy"",CONCAT(GOOGLEFINANCE(A558,""name""),"" {Symbol: ""&amp;A558&amp;""} High Alert!! Share Has Reached Its Target Buying Price,""),""""))"),"")</f>
        <v/>
      </c>
      <c r="L558" s="349" t="b">
        <f>IFERROR(__xludf.DUMMYFUNCTION("if(B558= ""Buy"",CONCAT(GOOGLEFINANCE(A558,""NAME""),"" share currently trading at Rs""&amp;C558&amp;"", Which is ""&amp;H558&amp;"" below the Target price of Rs""&amp;D558&amp;"".""))"),FALSE)</f>
        <v>0</v>
      </c>
    </row>
    <row r="559">
      <c r="A559" s="349" t="str">
        <f>Dashboard!B655</f>
        <v/>
      </c>
      <c r="B559" s="349" t="str">
        <f>Dashboard!H655</f>
        <v/>
      </c>
      <c r="C559" s="356" t="str">
        <f>Dashboard!G655</f>
        <v/>
      </c>
      <c r="D559" s="489" t="str">
        <f>Dashboard!M655</f>
        <v/>
      </c>
      <c r="E559" s="490" t="s">
        <v>314</v>
      </c>
      <c r="F559" s="491" t="str">
        <f t="shared" si="1"/>
        <v/>
      </c>
      <c r="G559" s="492" t="s">
        <v>314</v>
      </c>
      <c r="H559" s="349" t="str">
        <f t="shared" si="2"/>
        <v/>
      </c>
      <c r="I559" s="349" t="str">
        <f t="shared" si="3"/>
        <v/>
      </c>
      <c r="J559" s="493"/>
      <c r="K559" s="349" t="str">
        <f>IFERROR(__xludf.DUMMYFUNCTION("if(ISBLANK(A559),"""",if(B559=""Buy"",CONCAT(GOOGLEFINANCE(A559,""name""),"" {Symbol: ""&amp;A559&amp;""} High Alert!! Share Has Reached Its Target Buying Price,""),""""))"),"")</f>
        <v/>
      </c>
      <c r="L559" s="349" t="b">
        <f>IFERROR(__xludf.DUMMYFUNCTION("if(B559= ""Buy"",CONCAT(GOOGLEFINANCE(A559,""NAME""),"" share currently trading at Rs""&amp;C559&amp;"", Which is ""&amp;H559&amp;"" below the Target price of Rs""&amp;D559&amp;"".""))"),FALSE)</f>
        <v>0</v>
      </c>
    </row>
    <row r="560">
      <c r="A560" s="349" t="str">
        <f>Dashboard!B656</f>
        <v/>
      </c>
      <c r="B560" s="349" t="str">
        <f>Dashboard!H656</f>
        <v/>
      </c>
      <c r="C560" s="356" t="str">
        <f>Dashboard!G656</f>
        <v/>
      </c>
      <c r="D560" s="489" t="str">
        <f>Dashboard!M656</f>
        <v/>
      </c>
      <c r="E560" s="490" t="s">
        <v>314</v>
      </c>
      <c r="F560" s="491" t="str">
        <f t="shared" si="1"/>
        <v/>
      </c>
      <c r="G560" s="492" t="s">
        <v>314</v>
      </c>
      <c r="H560" s="349" t="str">
        <f t="shared" si="2"/>
        <v/>
      </c>
      <c r="I560" s="349" t="str">
        <f t="shared" si="3"/>
        <v/>
      </c>
      <c r="J560" s="493"/>
      <c r="K560" s="349" t="str">
        <f>IFERROR(__xludf.DUMMYFUNCTION("if(ISBLANK(A560),"""",if(B560=""Buy"",CONCAT(GOOGLEFINANCE(A560,""name""),"" {Symbol: ""&amp;A560&amp;""} High Alert!! Share Has Reached Its Target Buying Price,""),""""))"),"")</f>
        <v/>
      </c>
      <c r="L560" s="349" t="b">
        <f>IFERROR(__xludf.DUMMYFUNCTION("if(B560= ""Buy"",CONCAT(GOOGLEFINANCE(A560,""NAME""),"" share currently trading at Rs""&amp;C560&amp;"", Which is ""&amp;H560&amp;"" below the Target price of Rs""&amp;D560&amp;"".""))"),FALSE)</f>
        <v>0</v>
      </c>
    </row>
    <row r="561">
      <c r="A561" s="349" t="str">
        <f>Dashboard!B657</f>
        <v/>
      </c>
      <c r="B561" s="349" t="str">
        <f>Dashboard!H657</f>
        <v/>
      </c>
      <c r="C561" s="356" t="str">
        <f>Dashboard!G657</f>
        <v/>
      </c>
      <c r="D561" s="489" t="str">
        <f>Dashboard!M657</f>
        <v/>
      </c>
      <c r="E561" s="490" t="s">
        <v>314</v>
      </c>
      <c r="F561" s="491" t="str">
        <f t="shared" si="1"/>
        <v/>
      </c>
      <c r="G561" s="492" t="s">
        <v>314</v>
      </c>
      <c r="H561" s="349" t="str">
        <f t="shared" si="2"/>
        <v/>
      </c>
      <c r="I561" s="349" t="str">
        <f t="shared" si="3"/>
        <v/>
      </c>
      <c r="J561" s="493"/>
      <c r="K561" s="349" t="str">
        <f>IFERROR(__xludf.DUMMYFUNCTION("if(ISBLANK(A561),"""",if(B561=""Buy"",CONCAT(GOOGLEFINANCE(A561,""name""),"" {Symbol: ""&amp;A561&amp;""} High Alert!! Share Has Reached Its Target Buying Price,""),""""))"),"")</f>
        <v/>
      </c>
      <c r="L561" s="349" t="b">
        <f>IFERROR(__xludf.DUMMYFUNCTION("if(B561= ""Buy"",CONCAT(GOOGLEFINANCE(A561,""NAME""),"" share currently trading at Rs""&amp;C561&amp;"", Which is ""&amp;H561&amp;"" below the Target price of Rs""&amp;D561&amp;"".""))"),FALSE)</f>
        <v>0</v>
      </c>
    </row>
    <row r="562">
      <c r="A562" s="349" t="str">
        <f>Dashboard!B658</f>
        <v/>
      </c>
      <c r="B562" s="349" t="str">
        <f>Dashboard!H658</f>
        <v/>
      </c>
      <c r="C562" s="356" t="str">
        <f>Dashboard!G658</f>
        <v/>
      </c>
      <c r="D562" s="489" t="str">
        <f>Dashboard!M658</f>
        <v/>
      </c>
      <c r="E562" s="490" t="s">
        <v>314</v>
      </c>
      <c r="F562" s="491" t="str">
        <f t="shared" si="1"/>
        <v/>
      </c>
      <c r="G562" s="492" t="s">
        <v>314</v>
      </c>
      <c r="H562" s="349" t="str">
        <f t="shared" si="2"/>
        <v/>
      </c>
      <c r="I562" s="349" t="str">
        <f t="shared" si="3"/>
        <v/>
      </c>
      <c r="J562" s="493"/>
      <c r="K562" s="349" t="str">
        <f>IFERROR(__xludf.DUMMYFUNCTION("if(ISBLANK(A562),"""",if(B562=""Buy"",CONCAT(GOOGLEFINANCE(A562,""name""),"" {Symbol: ""&amp;A562&amp;""} High Alert!! Share Has Reached Its Target Buying Price,""),""""))"),"")</f>
        <v/>
      </c>
      <c r="L562" s="349" t="b">
        <f>IFERROR(__xludf.DUMMYFUNCTION("if(B562= ""Buy"",CONCAT(GOOGLEFINANCE(A562,""NAME""),"" share currently trading at Rs""&amp;C562&amp;"", Which is ""&amp;H562&amp;"" below the Target price of Rs""&amp;D562&amp;"".""))"),FALSE)</f>
        <v>0</v>
      </c>
    </row>
    <row r="563">
      <c r="A563" s="349" t="str">
        <f>Dashboard!B659</f>
        <v/>
      </c>
      <c r="B563" s="349" t="str">
        <f>Dashboard!H659</f>
        <v/>
      </c>
      <c r="C563" s="356" t="str">
        <f>Dashboard!G659</f>
        <v/>
      </c>
      <c r="D563" s="489" t="str">
        <f>Dashboard!M659</f>
        <v/>
      </c>
      <c r="E563" s="490" t="s">
        <v>314</v>
      </c>
      <c r="F563" s="491" t="str">
        <f t="shared" si="1"/>
        <v/>
      </c>
      <c r="G563" s="492" t="s">
        <v>314</v>
      </c>
      <c r="H563" s="349" t="str">
        <f t="shared" si="2"/>
        <v/>
      </c>
      <c r="I563" s="349" t="str">
        <f t="shared" si="3"/>
        <v/>
      </c>
      <c r="J563" s="493"/>
      <c r="K563" s="349" t="str">
        <f>IFERROR(__xludf.DUMMYFUNCTION("if(ISBLANK(A563),"""",if(B563=""Buy"",CONCAT(GOOGLEFINANCE(A563,""name""),"" {Symbol: ""&amp;A563&amp;""} High Alert!! Share Has Reached Its Target Buying Price,""),""""))"),"")</f>
        <v/>
      </c>
      <c r="L563" s="349" t="b">
        <f>IFERROR(__xludf.DUMMYFUNCTION("if(B563= ""Buy"",CONCAT(GOOGLEFINANCE(A563,""NAME""),"" share currently trading at Rs""&amp;C563&amp;"", Which is ""&amp;H563&amp;"" below the Target price of Rs""&amp;D563&amp;"".""))"),FALSE)</f>
        <v>0</v>
      </c>
    </row>
    <row r="564">
      <c r="A564" s="349" t="str">
        <f>Dashboard!B660</f>
        <v/>
      </c>
      <c r="B564" s="349" t="str">
        <f>Dashboard!H660</f>
        <v/>
      </c>
      <c r="C564" s="356" t="str">
        <f>Dashboard!G660</f>
        <v/>
      </c>
      <c r="D564" s="489" t="str">
        <f>Dashboard!M660</f>
        <v/>
      </c>
      <c r="E564" s="490" t="s">
        <v>314</v>
      </c>
      <c r="F564" s="491" t="str">
        <f t="shared" si="1"/>
        <v/>
      </c>
      <c r="G564" s="492" t="s">
        <v>314</v>
      </c>
      <c r="H564" s="349" t="str">
        <f t="shared" si="2"/>
        <v/>
      </c>
      <c r="I564" s="349" t="str">
        <f t="shared" si="3"/>
        <v/>
      </c>
      <c r="J564" s="493"/>
      <c r="K564" s="349" t="str">
        <f>IFERROR(__xludf.DUMMYFUNCTION("if(ISBLANK(A564),"""",if(B564=""Buy"",CONCAT(GOOGLEFINANCE(A564,""name""),"" {Symbol: ""&amp;A564&amp;""} High Alert!! Share Has Reached Its Target Buying Price,""),""""))"),"")</f>
        <v/>
      </c>
      <c r="L564" s="349" t="b">
        <f>IFERROR(__xludf.DUMMYFUNCTION("if(B564= ""Buy"",CONCAT(GOOGLEFINANCE(A564,""NAME""),"" share currently trading at Rs""&amp;C564&amp;"", Which is ""&amp;H564&amp;"" below the Target price of Rs""&amp;D564&amp;"".""))"),FALSE)</f>
        <v>0</v>
      </c>
    </row>
    <row r="565">
      <c r="A565" s="349" t="str">
        <f>Dashboard!B661</f>
        <v/>
      </c>
      <c r="B565" s="349" t="str">
        <f>Dashboard!H661</f>
        <v/>
      </c>
      <c r="C565" s="356" t="str">
        <f>Dashboard!G661</f>
        <v/>
      </c>
      <c r="D565" s="489" t="str">
        <f>Dashboard!M661</f>
        <v/>
      </c>
      <c r="E565" s="490" t="s">
        <v>314</v>
      </c>
      <c r="F565" s="491" t="str">
        <f t="shared" si="1"/>
        <v/>
      </c>
      <c r="G565" s="492" t="s">
        <v>314</v>
      </c>
      <c r="H565" s="349" t="str">
        <f t="shared" si="2"/>
        <v/>
      </c>
      <c r="I565" s="349" t="str">
        <f t="shared" si="3"/>
        <v/>
      </c>
      <c r="J565" s="493"/>
      <c r="K565" s="349" t="str">
        <f>IFERROR(__xludf.DUMMYFUNCTION("if(ISBLANK(A565),"""",if(B565=""Buy"",CONCAT(GOOGLEFINANCE(A565,""name""),"" {Symbol: ""&amp;A565&amp;""} High Alert!! Share Has Reached Its Target Buying Price,""),""""))"),"")</f>
        <v/>
      </c>
      <c r="L565" s="349" t="b">
        <f>IFERROR(__xludf.DUMMYFUNCTION("if(B565= ""Buy"",CONCAT(GOOGLEFINANCE(A565,""NAME""),"" share currently trading at Rs""&amp;C565&amp;"", Which is ""&amp;H565&amp;"" below the Target price of Rs""&amp;D565&amp;"".""))"),FALSE)</f>
        <v>0</v>
      </c>
    </row>
    <row r="566">
      <c r="A566" s="349" t="str">
        <f>Dashboard!B662</f>
        <v/>
      </c>
      <c r="B566" s="349" t="str">
        <f>Dashboard!H662</f>
        <v/>
      </c>
      <c r="C566" s="356" t="str">
        <f>Dashboard!G662</f>
        <v/>
      </c>
      <c r="D566" s="489" t="str">
        <f>Dashboard!M662</f>
        <v/>
      </c>
      <c r="E566" s="490" t="s">
        <v>314</v>
      </c>
      <c r="F566" s="491" t="str">
        <f t="shared" si="1"/>
        <v/>
      </c>
      <c r="G566" s="492" t="s">
        <v>314</v>
      </c>
      <c r="H566" s="349" t="str">
        <f t="shared" si="2"/>
        <v/>
      </c>
      <c r="I566" s="349" t="str">
        <f t="shared" si="3"/>
        <v/>
      </c>
      <c r="J566" s="493"/>
      <c r="K566" s="349" t="str">
        <f>IFERROR(__xludf.DUMMYFUNCTION("if(ISBLANK(A566),"""",if(B566=""Buy"",CONCAT(GOOGLEFINANCE(A566,""name""),"" {Symbol: ""&amp;A566&amp;""} High Alert!! Share Has Reached Its Target Buying Price,""),""""))"),"")</f>
        <v/>
      </c>
      <c r="L566" s="349" t="b">
        <f>IFERROR(__xludf.DUMMYFUNCTION("if(B566= ""Buy"",CONCAT(GOOGLEFINANCE(A566,""NAME""),"" share currently trading at Rs""&amp;C566&amp;"", Which is ""&amp;H566&amp;"" below the Target price of Rs""&amp;D566&amp;"".""))"),FALSE)</f>
        <v>0</v>
      </c>
    </row>
    <row r="567">
      <c r="A567" s="349" t="str">
        <f>Dashboard!B663</f>
        <v/>
      </c>
      <c r="B567" s="349" t="str">
        <f>Dashboard!H663</f>
        <v/>
      </c>
      <c r="C567" s="356" t="str">
        <f>Dashboard!G663</f>
        <v/>
      </c>
      <c r="D567" s="489" t="str">
        <f>Dashboard!M663</f>
        <v/>
      </c>
      <c r="E567" s="490" t="s">
        <v>314</v>
      </c>
      <c r="F567" s="491" t="str">
        <f t="shared" si="1"/>
        <v/>
      </c>
      <c r="G567" s="492" t="s">
        <v>314</v>
      </c>
      <c r="H567" s="349" t="str">
        <f t="shared" si="2"/>
        <v/>
      </c>
      <c r="I567" s="349" t="str">
        <f t="shared" si="3"/>
        <v/>
      </c>
      <c r="J567" s="493"/>
      <c r="K567" s="349" t="str">
        <f>IFERROR(__xludf.DUMMYFUNCTION("if(ISBLANK(A567),"""",if(B567=""Buy"",CONCAT(GOOGLEFINANCE(A567,""name""),"" {Symbol: ""&amp;A567&amp;""} High Alert!! Share Has Reached Its Target Buying Price,""),""""))"),"")</f>
        <v/>
      </c>
      <c r="L567" s="349" t="b">
        <f>IFERROR(__xludf.DUMMYFUNCTION("if(B567= ""Buy"",CONCAT(GOOGLEFINANCE(A567,""NAME""),"" share currently trading at Rs""&amp;C567&amp;"", Which is ""&amp;H567&amp;"" below the Target price of Rs""&amp;D567&amp;"".""))"),FALSE)</f>
        <v>0</v>
      </c>
    </row>
    <row r="568">
      <c r="A568" s="349" t="str">
        <f>Dashboard!B664</f>
        <v/>
      </c>
      <c r="B568" s="349" t="str">
        <f>Dashboard!H664</f>
        <v/>
      </c>
      <c r="C568" s="356" t="str">
        <f>Dashboard!G664</f>
        <v/>
      </c>
      <c r="D568" s="489" t="str">
        <f>Dashboard!M664</f>
        <v/>
      </c>
      <c r="E568" s="490" t="s">
        <v>314</v>
      </c>
      <c r="F568" s="491" t="str">
        <f t="shared" si="1"/>
        <v/>
      </c>
      <c r="G568" s="492" t="s">
        <v>314</v>
      </c>
      <c r="H568" s="349" t="str">
        <f t="shared" si="2"/>
        <v/>
      </c>
      <c r="I568" s="349" t="str">
        <f t="shared" si="3"/>
        <v/>
      </c>
      <c r="J568" s="493"/>
      <c r="K568" s="349" t="str">
        <f>IFERROR(__xludf.DUMMYFUNCTION("if(ISBLANK(A568),"""",if(B568=""Buy"",CONCAT(GOOGLEFINANCE(A568,""name""),"" {Symbol: ""&amp;A568&amp;""} High Alert!! Share Has Reached Its Target Buying Price,""),""""))"),"")</f>
        <v/>
      </c>
      <c r="L568" s="349" t="b">
        <f>IFERROR(__xludf.DUMMYFUNCTION("if(B568= ""Buy"",CONCAT(GOOGLEFINANCE(A568,""NAME""),"" share currently trading at Rs""&amp;C568&amp;"", Which is ""&amp;H568&amp;"" below the Target price of Rs""&amp;D568&amp;"".""))"),FALSE)</f>
        <v>0</v>
      </c>
    </row>
    <row r="569">
      <c r="A569" s="349" t="str">
        <f>Dashboard!B665</f>
        <v/>
      </c>
      <c r="B569" s="349" t="str">
        <f>Dashboard!H665</f>
        <v/>
      </c>
      <c r="C569" s="356" t="str">
        <f>Dashboard!G665</f>
        <v/>
      </c>
      <c r="D569" s="489" t="str">
        <f>Dashboard!M665</f>
        <v/>
      </c>
      <c r="E569" s="490" t="s">
        <v>314</v>
      </c>
      <c r="F569" s="491" t="str">
        <f t="shared" si="1"/>
        <v/>
      </c>
      <c r="G569" s="492" t="s">
        <v>314</v>
      </c>
      <c r="H569" s="349" t="str">
        <f t="shared" si="2"/>
        <v/>
      </c>
      <c r="I569" s="349" t="str">
        <f t="shared" si="3"/>
        <v/>
      </c>
      <c r="J569" s="493"/>
      <c r="K569" s="349" t="str">
        <f>IFERROR(__xludf.DUMMYFUNCTION("if(ISBLANK(A569),"""",if(B569=""Buy"",CONCAT(GOOGLEFINANCE(A569,""name""),"" {Symbol: ""&amp;A569&amp;""} High Alert!! Share Has Reached Its Target Buying Price,""),""""))"),"")</f>
        <v/>
      </c>
      <c r="L569" s="349" t="b">
        <f>IFERROR(__xludf.DUMMYFUNCTION("if(B569= ""Buy"",CONCAT(GOOGLEFINANCE(A569,""NAME""),"" share currently trading at Rs""&amp;C569&amp;"", Which is ""&amp;H569&amp;"" below the Target price of Rs""&amp;D569&amp;"".""))"),FALSE)</f>
        <v>0</v>
      </c>
    </row>
    <row r="570">
      <c r="A570" s="349" t="str">
        <f>Dashboard!B666</f>
        <v/>
      </c>
      <c r="B570" s="349" t="str">
        <f>Dashboard!H666</f>
        <v/>
      </c>
      <c r="C570" s="356" t="str">
        <f>Dashboard!G666</f>
        <v/>
      </c>
      <c r="D570" s="489" t="str">
        <f>Dashboard!M666</f>
        <v/>
      </c>
      <c r="E570" s="490" t="s">
        <v>314</v>
      </c>
      <c r="F570" s="491" t="str">
        <f t="shared" si="1"/>
        <v/>
      </c>
      <c r="G570" s="492" t="s">
        <v>314</v>
      </c>
      <c r="H570" s="349" t="str">
        <f t="shared" si="2"/>
        <v/>
      </c>
      <c r="I570" s="349" t="str">
        <f t="shared" si="3"/>
        <v/>
      </c>
      <c r="J570" s="493"/>
      <c r="K570" s="349" t="str">
        <f>IFERROR(__xludf.DUMMYFUNCTION("if(ISBLANK(A570),"""",if(B570=""Buy"",CONCAT(GOOGLEFINANCE(A570,""name""),"" {Symbol: ""&amp;A570&amp;""} High Alert!! Share Has Reached Its Target Buying Price,""),""""))"),"")</f>
        <v/>
      </c>
      <c r="L570" s="349" t="b">
        <f>IFERROR(__xludf.DUMMYFUNCTION("if(B570= ""Buy"",CONCAT(GOOGLEFINANCE(A570,""NAME""),"" share currently trading at Rs""&amp;C570&amp;"", Which is ""&amp;H570&amp;"" below the Target price of Rs""&amp;D570&amp;"".""))"),FALSE)</f>
        <v>0</v>
      </c>
    </row>
    <row r="571">
      <c r="A571" s="349" t="str">
        <f>Dashboard!B667</f>
        <v/>
      </c>
      <c r="B571" s="349" t="str">
        <f>Dashboard!H667</f>
        <v/>
      </c>
      <c r="C571" s="356" t="str">
        <f>Dashboard!G667</f>
        <v/>
      </c>
      <c r="D571" s="489" t="str">
        <f>Dashboard!M667</f>
        <v/>
      </c>
      <c r="E571" s="490" t="s">
        <v>314</v>
      </c>
      <c r="F571" s="491" t="str">
        <f t="shared" si="1"/>
        <v/>
      </c>
      <c r="G571" s="492" t="s">
        <v>314</v>
      </c>
      <c r="H571" s="349" t="str">
        <f t="shared" si="2"/>
        <v/>
      </c>
      <c r="I571" s="349" t="str">
        <f t="shared" si="3"/>
        <v/>
      </c>
      <c r="J571" s="493"/>
      <c r="K571" s="349" t="str">
        <f>IFERROR(__xludf.DUMMYFUNCTION("if(ISBLANK(A571),"""",if(B571=""Buy"",CONCAT(GOOGLEFINANCE(A571,""name""),"" {Symbol: ""&amp;A571&amp;""} High Alert!! Share Has Reached Its Target Buying Price,""),""""))"),"")</f>
        <v/>
      </c>
      <c r="L571" s="349" t="b">
        <f>IFERROR(__xludf.DUMMYFUNCTION("if(B571= ""Buy"",CONCAT(GOOGLEFINANCE(A571,""NAME""),"" share currently trading at Rs""&amp;C571&amp;"", Which is ""&amp;H571&amp;"" below the Target price of Rs""&amp;D571&amp;"".""))"),FALSE)</f>
        <v>0</v>
      </c>
    </row>
    <row r="572">
      <c r="A572" s="349" t="str">
        <f>Dashboard!B668</f>
        <v/>
      </c>
      <c r="B572" s="349" t="str">
        <f>Dashboard!H668</f>
        <v/>
      </c>
      <c r="C572" s="356" t="str">
        <f>Dashboard!G668</f>
        <v/>
      </c>
      <c r="D572" s="489" t="str">
        <f>Dashboard!M668</f>
        <v/>
      </c>
      <c r="E572" s="490" t="s">
        <v>314</v>
      </c>
      <c r="F572" s="491" t="str">
        <f t="shared" si="1"/>
        <v/>
      </c>
      <c r="G572" s="492" t="s">
        <v>314</v>
      </c>
      <c r="H572" s="349" t="str">
        <f t="shared" si="2"/>
        <v/>
      </c>
      <c r="I572" s="349" t="str">
        <f t="shared" si="3"/>
        <v/>
      </c>
      <c r="J572" s="493"/>
      <c r="K572" s="349" t="str">
        <f>IFERROR(__xludf.DUMMYFUNCTION("if(ISBLANK(A572),"""",if(B572=""Buy"",CONCAT(GOOGLEFINANCE(A572,""name""),"" {Symbol: ""&amp;A572&amp;""} High Alert!! Share Has Reached Its Target Buying Price,""),""""))"),"")</f>
        <v/>
      </c>
      <c r="L572" s="349" t="b">
        <f>IFERROR(__xludf.DUMMYFUNCTION("if(B572= ""Buy"",CONCAT(GOOGLEFINANCE(A572,""NAME""),"" share currently trading at Rs""&amp;C572&amp;"", Which is ""&amp;H572&amp;"" below the Target price of Rs""&amp;D572&amp;"".""))"),FALSE)</f>
        <v>0</v>
      </c>
    </row>
    <row r="573">
      <c r="A573" s="349" t="str">
        <f>Dashboard!B669</f>
        <v/>
      </c>
      <c r="B573" s="349" t="str">
        <f>Dashboard!H669</f>
        <v/>
      </c>
      <c r="C573" s="356" t="str">
        <f>Dashboard!G669</f>
        <v/>
      </c>
      <c r="D573" s="489" t="str">
        <f>Dashboard!M669</f>
        <v/>
      </c>
      <c r="E573" s="490" t="s">
        <v>314</v>
      </c>
      <c r="F573" s="491" t="str">
        <f t="shared" si="1"/>
        <v/>
      </c>
      <c r="G573" s="492" t="s">
        <v>314</v>
      </c>
      <c r="H573" s="349" t="str">
        <f t="shared" si="2"/>
        <v/>
      </c>
      <c r="I573" s="349" t="str">
        <f t="shared" si="3"/>
        <v/>
      </c>
      <c r="J573" s="493"/>
      <c r="K573" s="349" t="str">
        <f>IFERROR(__xludf.DUMMYFUNCTION("if(ISBLANK(A573),"""",if(B573=""Buy"",CONCAT(GOOGLEFINANCE(A573,""name""),"" {Symbol: ""&amp;A573&amp;""} High Alert!! Share Has Reached Its Target Buying Price,""),""""))"),"")</f>
        <v/>
      </c>
      <c r="L573" s="349" t="b">
        <f>IFERROR(__xludf.DUMMYFUNCTION("if(B573= ""Buy"",CONCAT(GOOGLEFINANCE(A573,""NAME""),"" share currently trading at Rs""&amp;C573&amp;"", Which is ""&amp;H573&amp;"" below the Target price of Rs""&amp;D573&amp;"".""))"),FALSE)</f>
        <v>0</v>
      </c>
    </row>
    <row r="574">
      <c r="A574" s="349" t="str">
        <f>Dashboard!B670</f>
        <v/>
      </c>
      <c r="B574" s="349" t="str">
        <f>Dashboard!H670</f>
        <v/>
      </c>
      <c r="C574" s="356" t="str">
        <f>Dashboard!G670</f>
        <v/>
      </c>
      <c r="D574" s="489" t="str">
        <f>Dashboard!M670</f>
        <v/>
      </c>
      <c r="E574" s="490" t="s">
        <v>314</v>
      </c>
      <c r="F574" s="491" t="str">
        <f t="shared" si="1"/>
        <v/>
      </c>
      <c r="G574" s="492" t="s">
        <v>314</v>
      </c>
      <c r="H574" s="349" t="str">
        <f t="shared" si="2"/>
        <v/>
      </c>
      <c r="I574" s="349" t="str">
        <f t="shared" si="3"/>
        <v/>
      </c>
      <c r="J574" s="493"/>
      <c r="K574" s="349" t="str">
        <f>IFERROR(__xludf.DUMMYFUNCTION("if(ISBLANK(A574),"""",if(B574=""Buy"",CONCAT(GOOGLEFINANCE(A574,""name""),"" {Symbol: ""&amp;A574&amp;""} High Alert!! Share Has Reached Its Target Buying Price,""),""""))"),"")</f>
        <v/>
      </c>
      <c r="L574" s="349" t="b">
        <f>IFERROR(__xludf.DUMMYFUNCTION("if(B574= ""Buy"",CONCAT(GOOGLEFINANCE(A574,""NAME""),"" share currently trading at Rs""&amp;C574&amp;"", Which is ""&amp;H574&amp;"" below the Target price of Rs""&amp;D574&amp;"".""))"),FALSE)</f>
        <v>0</v>
      </c>
    </row>
    <row r="575">
      <c r="A575" s="349" t="str">
        <f>Dashboard!B671</f>
        <v/>
      </c>
      <c r="B575" s="349" t="str">
        <f>Dashboard!H671</f>
        <v/>
      </c>
      <c r="C575" s="356" t="str">
        <f>Dashboard!G671</f>
        <v/>
      </c>
      <c r="D575" s="489" t="str">
        <f>Dashboard!M671</f>
        <v/>
      </c>
      <c r="E575" s="490" t="s">
        <v>314</v>
      </c>
      <c r="F575" s="491" t="str">
        <f t="shared" si="1"/>
        <v/>
      </c>
      <c r="G575" s="492" t="s">
        <v>314</v>
      </c>
      <c r="H575" s="349" t="str">
        <f t="shared" si="2"/>
        <v/>
      </c>
      <c r="I575" s="349" t="str">
        <f t="shared" si="3"/>
        <v/>
      </c>
      <c r="J575" s="493"/>
      <c r="K575" s="349" t="str">
        <f>IFERROR(__xludf.DUMMYFUNCTION("if(ISBLANK(A575),"""",if(B575=""Buy"",CONCAT(GOOGLEFINANCE(A575,""name""),"" {Symbol: ""&amp;A575&amp;""} High Alert!! Share Has Reached Its Target Buying Price,""),""""))"),"")</f>
        <v/>
      </c>
      <c r="L575" s="349" t="b">
        <f>IFERROR(__xludf.DUMMYFUNCTION("if(B575= ""Buy"",CONCAT(GOOGLEFINANCE(A575,""NAME""),"" share currently trading at Rs""&amp;C575&amp;"", Which is ""&amp;H575&amp;"" below the Target price of Rs""&amp;D575&amp;"".""))"),FALSE)</f>
        <v>0</v>
      </c>
    </row>
    <row r="576">
      <c r="A576" s="349" t="str">
        <f>Dashboard!B672</f>
        <v/>
      </c>
      <c r="B576" s="349" t="str">
        <f>Dashboard!H672</f>
        <v/>
      </c>
      <c r="C576" s="356" t="str">
        <f>Dashboard!G672</f>
        <v/>
      </c>
      <c r="D576" s="489" t="str">
        <f>Dashboard!M672</f>
        <v/>
      </c>
      <c r="E576" s="490" t="s">
        <v>314</v>
      </c>
      <c r="F576" s="491" t="str">
        <f t="shared" si="1"/>
        <v/>
      </c>
      <c r="G576" s="492" t="s">
        <v>314</v>
      </c>
      <c r="H576" s="349" t="str">
        <f t="shared" si="2"/>
        <v/>
      </c>
      <c r="I576" s="349" t="str">
        <f t="shared" si="3"/>
        <v/>
      </c>
      <c r="J576" s="493"/>
      <c r="K576" s="349" t="str">
        <f>IFERROR(__xludf.DUMMYFUNCTION("if(ISBLANK(A576),"""",if(B576=""Buy"",CONCAT(GOOGLEFINANCE(A576,""name""),"" {Symbol: ""&amp;A576&amp;""} High Alert!! Share Has Reached Its Target Buying Price,""),""""))"),"")</f>
        <v/>
      </c>
      <c r="L576" s="349" t="b">
        <f>IFERROR(__xludf.DUMMYFUNCTION("if(B576= ""Buy"",CONCAT(GOOGLEFINANCE(A576,""NAME""),"" share currently trading at Rs""&amp;C576&amp;"", Which is ""&amp;H576&amp;"" below the Target price of Rs""&amp;D576&amp;"".""))"),FALSE)</f>
        <v>0</v>
      </c>
    </row>
    <row r="577">
      <c r="A577" s="349" t="str">
        <f>Dashboard!B673</f>
        <v/>
      </c>
      <c r="B577" s="349" t="str">
        <f>Dashboard!H673</f>
        <v/>
      </c>
      <c r="C577" s="356" t="str">
        <f>Dashboard!G673</f>
        <v/>
      </c>
      <c r="D577" s="489" t="str">
        <f>Dashboard!M673</f>
        <v/>
      </c>
      <c r="E577" s="490" t="s">
        <v>314</v>
      </c>
      <c r="F577" s="491" t="str">
        <f t="shared" si="1"/>
        <v/>
      </c>
      <c r="G577" s="492" t="s">
        <v>314</v>
      </c>
      <c r="H577" s="349" t="str">
        <f t="shared" si="2"/>
        <v/>
      </c>
      <c r="I577" s="349" t="str">
        <f t="shared" si="3"/>
        <v/>
      </c>
      <c r="J577" s="493"/>
      <c r="K577" s="349" t="str">
        <f>IFERROR(__xludf.DUMMYFUNCTION("if(ISBLANK(A577),"""",if(B577=""Buy"",CONCAT(GOOGLEFINANCE(A577,""name""),"" {Symbol: ""&amp;A577&amp;""} High Alert!! Share Has Reached Its Target Buying Price,""),""""))"),"")</f>
        <v/>
      </c>
      <c r="L577" s="349" t="b">
        <f>IFERROR(__xludf.DUMMYFUNCTION("if(B577= ""Buy"",CONCAT(GOOGLEFINANCE(A577,""NAME""),"" share currently trading at Rs""&amp;C577&amp;"", Which is ""&amp;H577&amp;"" below the Target price of Rs""&amp;D577&amp;"".""))"),FALSE)</f>
        <v>0</v>
      </c>
    </row>
    <row r="578">
      <c r="A578" s="349" t="str">
        <f>Dashboard!B674</f>
        <v/>
      </c>
      <c r="B578" s="349" t="str">
        <f>Dashboard!H674</f>
        <v/>
      </c>
      <c r="C578" s="356" t="str">
        <f>Dashboard!G674</f>
        <v/>
      </c>
      <c r="D578" s="489" t="str">
        <f>Dashboard!M674</f>
        <v/>
      </c>
      <c r="E578" s="490" t="s">
        <v>314</v>
      </c>
      <c r="F578" s="491" t="str">
        <f t="shared" si="1"/>
        <v/>
      </c>
      <c r="G578" s="492" t="s">
        <v>314</v>
      </c>
      <c r="H578" s="349" t="str">
        <f t="shared" si="2"/>
        <v/>
      </c>
      <c r="I578" s="349" t="str">
        <f t="shared" si="3"/>
        <v/>
      </c>
      <c r="J578" s="493"/>
      <c r="K578" s="349" t="str">
        <f>IFERROR(__xludf.DUMMYFUNCTION("if(ISBLANK(A578),"""",if(B578=""Buy"",CONCAT(GOOGLEFINANCE(A578,""name""),"" {Symbol: ""&amp;A578&amp;""} High Alert!! Share Has Reached Its Target Buying Price,""),""""))"),"")</f>
        <v/>
      </c>
      <c r="L578" s="349" t="b">
        <f>IFERROR(__xludf.DUMMYFUNCTION("if(B578= ""Buy"",CONCAT(GOOGLEFINANCE(A578,""NAME""),"" share currently trading at Rs""&amp;C578&amp;"", Which is ""&amp;H578&amp;"" below the Target price of Rs""&amp;D578&amp;"".""))"),FALSE)</f>
        <v>0</v>
      </c>
    </row>
    <row r="579">
      <c r="A579" s="349" t="str">
        <f>Dashboard!B675</f>
        <v/>
      </c>
      <c r="B579" s="349" t="str">
        <f>Dashboard!H675</f>
        <v/>
      </c>
      <c r="C579" s="356" t="str">
        <f>Dashboard!G675</f>
        <v/>
      </c>
      <c r="D579" s="489" t="str">
        <f>Dashboard!M675</f>
        <v/>
      </c>
      <c r="E579" s="490" t="s">
        <v>314</v>
      </c>
      <c r="F579" s="491" t="str">
        <f t="shared" si="1"/>
        <v/>
      </c>
      <c r="G579" s="492" t="s">
        <v>314</v>
      </c>
      <c r="H579" s="349" t="str">
        <f t="shared" si="2"/>
        <v/>
      </c>
      <c r="I579" s="349" t="str">
        <f t="shared" si="3"/>
        <v/>
      </c>
      <c r="J579" s="493"/>
      <c r="K579" s="349" t="str">
        <f>IFERROR(__xludf.DUMMYFUNCTION("if(ISBLANK(A579),"""",if(B579=""Buy"",CONCAT(GOOGLEFINANCE(A579,""name""),"" {Symbol: ""&amp;A579&amp;""} High Alert!! Share Has Reached Its Target Buying Price,""),""""))"),"")</f>
        <v/>
      </c>
      <c r="L579" s="349" t="b">
        <f>IFERROR(__xludf.DUMMYFUNCTION("if(B579= ""Buy"",CONCAT(GOOGLEFINANCE(A579,""NAME""),"" share currently trading at Rs""&amp;C579&amp;"", Which is ""&amp;H579&amp;"" below the Target price of Rs""&amp;D579&amp;"".""))"),FALSE)</f>
        <v>0</v>
      </c>
    </row>
    <row r="580">
      <c r="A580" s="349" t="str">
        <f>Dashboard!B676</f>
        <v/>
      </c>
      <c r="B580" s="349" t="str">
        <f>Dashboard!H676</f>
        <v/>
      </c>
      <c r="C580" s="356" t="str">
        <f>Dashboard!G676</f>
        <v/>
      </c>
      <c r="D580" s="489" t="str">
        <f>Dashboard!M676</f>
        <v/>
      </c>
      <c r="E580" s="490" t="s">
        <v>314</v>
      </c>
      <c r="F580" s="491" t="str">
        <f t="shared" si="1"/>
        <v/>
      </c>
      <c r="G580" s="492" t="s">
        <v>314</v>
      </c>
      <c r="H580" s="349" t="str">
        <f t="shared" si="2"/>
        <v/>
      </c>
      <c r="I580" s="349" t="str">
        <f t="shared" si="3"/>
        <v/>
      </c>
      <c r="J580" s="493"/>
      <c r="K580" s="349" t="str">
        <f>IFERROR(__xludf.DUMMYFUNCTION("if(ISBLANK(A580),"""",if(B580=""Buy"",CONCAT(GOOGLEFINANCE(A580,""name""),"" {Symbol: ""&amp;A580&amp;""} High Alert!! Share Has Reached Its Target Buying Price,""),""""))"),"")</f>
        <v/>
      </c>
      <c r="L580" s="349" t="b">
        <f>IFERROR(__xludf.DUMMYFUNCTION("if(B580= ""Buy"",CONCAT(GOOGLEFINANCE(A580,""NAME""),"" share currently trading at Rs""&amp;C580&amp;"", Which is ""&amp;H580&amp;"" below the Target price of Rs""&amp;D580&amp;"".""))"),FALSE)</f>
        <v>0</v>
      </c>
    </row>
    <row r="581">
      <c r="A581" s="349" t="str">
        <f>Dashboard!B677</f>
        <v/>
      </c>
      <c r="B581" s="349" t="str">
        <f>Dashboard!H677</f>
        <v/>
      </c>
      <c r="C581" s="356" t="str">
        <f>Dashboard!G677</f>
        <v/>
      </c>
      <c r="D581" s="489" t="str">
        <f>Dashboard!M677</f>
        <v/>
      </c>
      <c r="E581" s="490" t="s">
        <v>314</v>
      </c>
      <c r="F581" s="491" t="str">
        <f t="shared" si="1"/>
        <v/>
      </c>
      <c r="G581" s="492" t="s">
        <v>314</v>
      </c>
      <c r="H581" s="349" t="str">
        <f t="shared" si="2"/>
        <v/>
      </c>
      <c r="I581" s="349" t="str">
        <f t="shared" si="3"/>
        <v/>
      </c>
      <c r="J581" s="493"/>
      <c r="K581" s="349" t="str">
        <f>IFERROR(__xludf.DUMMYFUNCTION("if(ISBLANK(A581),"""",if(B581=""Buy"",CONCAT(GOOGLEFINANCE(A581,""name""),"" {Symbol: ""&amp;A581&amp;""} High Alert!! Share Has Reached Its Target Buying Price,""),""""))"),"")</f>
        <v/>
      </c>
      <c r="L581" s="349" t="b">
        <f>IFERROR(__xludf.DUMMYFUNCTION("if(B581= ""Buy"",CONCAT(GOOGLEFINANCE(A581,""NAME""),"" share currently trading at Rs""&amp;C581&amp;"", Which is ""&amp;H581&amp;"" below the Target price of Rs""&amp;D581&amp;"".""))"),FALSE)</f>
        <v>0</v>
      </c>
    </row>
    <row r="582">
      <c r="A582" s="349" t="str">
        <f>Dashboard!B678</f>
        <v/>
      </c>
      <c r="B582" s="349" t="str">
        <f>Dashboard!H678</f>
        <v/>
      </c>
      <c r="C582" s="356" t="str">
        <f>Dashboard!G678</f>
        <v/>
      </c>
      <c r="D582" s="489" t="str">
        <f>Dashboard!M678</f>
        <v/>
      </c>
      <c r="E582" s="490" t="s">
        <v>314</v>
      </c>
      <c r="F582" s="491" t="str">
        <f t="shared" si="1"/>
        <v/>
      </c>
      <c r="G582" s="492" t="s">
        <v>314</v>
      </c>
      <c r="H582" s="349" t="str">
        <f t="shared" si="2"/>
        <v/>
      </c>
      <c r="I582" s="349" t="str">
        <f t="shared" si="3"/>
        <v/>
      </c>
      <c r="J582" s="493"/>
      <c r="K582" s="349" t="str">
        <f>IFERROR(__xludf.DUMMYFUNCTION("if(ISBLANK(A582),"""",if(B582=""Buy"",CONCAT(GOOGLEFINANCE(A582,""name""),"" {Symbol: ""&amp;A582&amp;""} High Alert!! Share Has Reached Its Target Buying Price,""),""""))"),"")</f>
        <v/>
      </c>
      <c r="L582" s="349" t="b">
        <f>IFERROR(__xludf.DUMMYFUNCTION("if(B582= ""Buy"",CONCAT(GOOGLEFINANCE(A582,""NAME""),"" share currently trading at Rs""&amp;C582&amp;"", Which is ""&amp;H582&amp;"" below the Target price of Rs""&amp;D582&amp;"".""))"),FALSE)</f>
        <v>0</v>
      </c>
    </row>
    <row r="583">
      <c r="A583" s="349" t="str">
        <f>Dashboard!B679</f>
        <v/>
      </c>
      <c r="B583" s="349" t="str">
        <f>Dashboard!H679</f>
        <v/>
      </c>
      <c r="C583" s="356" t="str">
        <f>Dashboard!G679</f>
        <v/>
      </c>
      <c r="D583" s="489" t="str">
        <f>Dashboard!M679</f>
        <v/>
      </c>
      <c r="E583" s="490" t="s">
        <v>314</v>
      </c>
      <c r="F583" s="491" t="str">
        <f t="shared" si="1"/>
        <v/>
      </c>
      <c r="G583" s="492" t="s">
        <v>314</v>
      </c>
      <c r="H583" s="349" t="str">
        <f t="shared" si="2"/>
        <v/>
      </c>
      <c r="I583" s="349" t="str">
        <f t="shared" si="3"/>
        <v/>
      </c>
      <c r="J583" s="493"/>
      <c r="K583" s="349" t="str">
        <f>IFERROR(__xludf.DUMMYFUNCTION("if(ISBLANK(A583),"""",if(B583=""Buy"",CONCAT(GOOGLEFINANCE(A583,""name""),"" {Symbol: ""&amp;A583&amp;""} High Alert!! Share Has Reached Its Target Buying Price,""),""""))"),"")</f>
        <v/>
      </c>
      <c r="L583" s="349" t="b">
        <f>IFERROR(__xludf.DUMMYFUNCTION("if(B583= ""Buy"",CONCAT(GOOGLEFINANCE(A583,""NAME""),"" share currently trading at Rs""&amp;C583&amp;"", Which is ""&amp;H583&amp;"" below the Target price of Rs""&amp;D583&amp;"".""))"),FALSE)</f>
        <v>0</v>
      </c>
    </row>
    <row r="584">
      <c r="A584" s="349" t="str">
        <f>Dashboard!B680</f>
        <v/>
      </c>
      <c r="B584" s="349" t="str">
        <f>Dashboard!H680</f>
        <v/>
      </c>
      <c r="C584" s="356" t="str">
        <f>Dashboard!G680</f>
        <v/>
      </c>
      <c r="D584" s="489" t="str">
        <f>Dashboard!M680</f>
        <v/>
      </c>
      <c r="E584" s="490" t="s">
        <v>314</v>
      </c>
      <c r="F584" s="491" t="str">
        <f t="shared" si="1"/>
        <v/>
      </c>
      <c r="G584" s="492" t="s">
        <v>314</v>
      </c>
      <c r="H584" s="349" t="str">
        <f t="shared" si="2"/>
        <v/>
      </c>
      <c r="I584" s="349" t="str">
        <f t="shared" si="3"/>
        <v/>
      </c>
      <c r="J584" s="493"/>
      <c r="K584" s="349" t="str">
        <f>IFERROR(__xludf.DUMMYFUNCTION("if(ISBLANK(A584),"""",if(B584=""Buy"",CONCAT(GOOGLEFINANCE(A584,""name""),"" {Symbol: ""&amp;A584&amp;""} High Alert!! Share Has Reached Its Target Buying Price,""),""""))"),"")</f>
        <v/>
      </c>
      <c r="L584" s="349" t="b">
        <f>IFERROR(__xludf.DUMMYFUNCTION("if(B584= ""Buy"",CONCAT(GOOGLEFINANCE(A584,""NAME""),"" share currently trading at Rs""&amp;C584&amp;"", Which is ""&amp;H584&amp;"" below the Target price of Rs""&amp;D584&amp;"".""))"),FALSE)</f>
        <v>0</v>
      </c>
    </row>
    <row r="585">
      <c r="A585" s="349" t="str">
        <f>Dashboard!B681</f>
        <v/>
      </c>
      <c r="B585" s="349" t="str">
        <f>Dashboard!H681</f>
        <v/>
      </c>
      <c r="C585" s="356" t="str">
        <f>Dashboard!G681</f>
        <v/>
      </c>
      <c r="D585" s="489" t="str">
        <f>Dashboard!M681</f>
        <v/>
      </c>
      <c r="E585" s="490" t="s">
        <v>314</v>
      </c>
      <c r="F585" s="491" t="str">
        <f t="shared" si="1"/>
        <v/>
      </c>
      <c r="G585" s="492" t="s">
        <v>314</v>
      </c>
      <c r="H585" s="349" t="str">
        <f t="shared" si="2"/>
        <v/>
      </c>
      <c r="I585" s="349" t="str">
        <f t="shared" si="3"/>
        <v/>
      </c>
      <c r="J585" s="493"/>
      <c r="K585" s="349" t="str">
        <f>IFERROR(__xludf.DUMMYFUNCTION("if(ISBLANK(A585),"""",if(B585=""Buy"",CONCAT(GOOGLEFINANCE(A585,""name""),"" {Symbol: ""&amp;A585&amp;""} High Alert!! Share Has Reached Its Target Buying Price,""),""""))"),"")</f>
        <v/>
      </c>
      <c r="L585" s="349" t="b">
        <f>IFERROR(__xludf.DUMMYFUNCTION("if(B585= ""Buy"",CONCAT(GOOGLEFINANCE(A585,""NAME""),"" share currently trading at Rs""&amp;C585&amp;"", Which is ""&amp;H585&amp;"" below the Target price of Rs""&amp;D585&amp;"".""))"),FALSE)</f>
        <v>0</v>
      </c>
    </row>
    <row r="586">
      <c r="A586" s="349" t="str">
        <f>Dashboard!B682</f>
        <v/>
      </c>
      <c r="B586" s="349" t="str">
        <f>Dashboard!H682</f>
        <v/>
      </c>
      <c r="C586" s="356" t="str">
        <f>Dashboard!G682</f>
        <v/>
      </c>
      <c r="D586" s="489" t="str">
        <f>Dashboard!M682</f>
        <v/>
      </c>
      <c r="E586" s="490" t="s">
        <v>314</v>
      </c>
      <c r="F586" s="491" t="str">
        <f t="shared" si="1"/>
        <v/>
      </c>
      <c r="G586" s="492" t="s">
        <v>314</v>
      </c>
      <c r="H586" s="349" t="str">
        <f t="shared" si="2"/>
        <v/>
      </c>
      <c r="I586" s="349" t="str">
        <f t="shared" si="3"/>
        <v/>
      </c>
      <c r="J586" s="493"/>
      <c r="K586" s="349" t="str">
        <f>IFERROR(__xludf.DUMMYFUNCTION("if(ISBLANK(A586),"""",if(B586=""Buy"",CONCAT(GOOGLEFINANCE(A586,""name""),"" {Symbol: ""&amp;A586&amp;""} High Alert!! Share Has Reached Its Target Buying Price,""),""""))"),"")</f>
        <v/>
      </c>
      <c r="L586" s="349" t="b">
        <f>IFERROR(__xludf.DUMMYFUNCTION("if(B586= ""Buy"",CONCAT(GOOGLEFINANCE(A586,""NAME""),"" share currently trading at Rs""&amp;C586&amp;"", Which is ""&amp;H586&amp;"" below the Target price of Rs""&amp;D586&amp;"".""))"),FALSE)</f>
        <v>0</v>
      </c>
    </row>
    <row r="587">
      <c r="A587" s="349" t="str">
        <f>Dashboard!B683</f>
        <v/>
      </c>
      <c r="B587" s="349" t="str">
        <f>Dashboard!H683</f>
        <v/>
      </c>
      <c r="C587" s="356" t="str">
        <f>Dashboard!G683</f>
        <v/>
      </c>
      <c r="D587" s="489" t="str">
        <f>Dashboard!M683</f>
        <v/>
      </c>
      <c r="E587" s="490" t="s">
        <v>314</v>
      </c>
      <c r="F587" s="491" t="str">
        <f t="shared" si="1"/>
        <v/>
      </c>
      <c r="G587" s="492" t="s">
        <v>314</v>
      </c>
      <c r="H587" s="349" t="str">
        <f t="shared" si="2"/>
        <v/>
      </c>
      <c r="I587" s="349" t="str">
        <f t="shared" si="3"/>
        <v/>
      </c>
      <c r="J587" s="493"/>
      <c r="K587" s="349" t="str">
        <f>IFERROR(__xludf.DUMMYFUNCTION("if(ISBLANK(A587),"""",if(B587=""Buy"",CONCAT(GOOGLEFINANCE(A587,""name""),"" {Symbol: ""&amp;A587&amp;""} High Alert!! Share Has Reached Its Target Buying Price,""),""""))"),"")</f>
        <v/>
      </c>
      <c r="L587" s="349" t="b">
        <f>IFERROR(__xludf.DUMMYFUNCTION("if(B587= ""Buy"",CONCAT(GOOGLEFINANCE(A587,""NAME""),"" share currently trading at Rs""&amp;C587&amp;"", Which is ""&amp;H587&amp;"" below the Target price of Rs""&amp;D587&amp;"".""))"),FALSE)</f>
        <v>0</v>
      </c>
    </row>
    <row r="588">
      <c r="A588" s="349" t="str">
        <f>Dashboard!B684</f>
        <v/>
      </c>
      <c r="B588" s="349" t="str">
        <f>Dashboard!H684</f>
        <v/>
      </c>
      <c r="C588" s="356" t="str">
        <f>Dashboard!G684</f>
        <v/>
      </c>
      <c r="D588" s="489" t="str">
        <f>Dashboard!M684</f>
        <v/>
      </c>
      <c r="E588" s="490" t="s">
        <v>314</v>
      </c>
      <c r="F588" s="491" t="str">
        <f t="shared" si="1"/>
        <v/>
      </c>
      <c r="G588" s="492" t="s">
        <v>314</v>
      </c>
      <c r="H588" s="349" t="str">
        <f t="shared" si="2"/>
        <v/>
      </c>
      <c r="I588" s="349" t="str">
        <f t="shared" si="3"/>
        <v/>
      </c>
      <c r="J588" s="493"/>
      <c r="K588" s="349" t="str">
        <f>IFERROR(__xludf.DUMMYFUNCTION("if(ISBLANK(A588),"""",if(B588=""Buy"",CONCAT(GOOGLEFINANCE(A588,""name""),"" {Symbol: ""&amp;A588&amp;""} High Alert!! Share Has Reached Its Target Buying Price,""),""""))"),"")</f>
        <v/>
      </c>
      <c r="L588" s="349" t="b">
        <f>IFERROR(__xludf.DUMMYFUNCTION("if(B588= ""Buy"",CONCAT(GOOGLEFINANCE(A588,""NAME""),"" share currently trading at Rs""&amp;C588&amp;"", Which is ""&amp;H588&amp;"" below the Target price of Rs""&amp;D588&amp;"".""))"),FALSE)</f>
        <v>0</v>
      </c>
    </row>
    <row r="589">
      <c r="A589" s="349" t="str">
        <f>Dashboard!B685</f>
        <v/>
      </c>
      <c r="B589" s="349" t="str">
        <f>Dashboard!H685</f>
        <v/>
      </c>
      <c r="C589" s="356" t="str">
        <f>Dashboard!G685</f>
        <v/>
      </c>
      <c r="D589" s="489" t="str">
        <f>Dashboard!M685</f>
        <v/>
      </c>
      <c r="E589" s="490" t="s">
        <v>314</v>
      </c>
      <c r="F589" s="491" t="str">
        <f t="shared" si="1"/>
        <v/>
      </c>
      <c r="G589" s="492" t="s">
        <v>314</v>
      </c>
      <c r="H589" s="349" t="str">
        <f t="shared" si="2"/>
        <v/>
      </c>
      <c r="I589" s="349" t="str">
        <f t="shared" si="3"/>
        <v/>
      </c>
      <c r="J589" s="493"/>
      <c r="K589" s="349" t="str">
        <f>IFERROR(__xludf.DUMMYFUNCTION("if(ISBLANK(A589),"""",if(B589=""Buy"",CONCAT(GOOGLEFINANCE(A589,""name""),"" {Symbol: ""&amp;A589&amp;""} High Alert!! Share Has Reached Its Target Buying Price,""),""""))"),"")</f>
        <v/>
      </c>
      <c r="L589" s="349" t="b">
        <f>IFERROR(__xludf.DUMMYFUNCTION("if(B589= ""Buy"",CONCAT(GOOGLEFINANCE(A589,""NAME""),"" share currently trading at Rs""&amp;C589&amp;"", Which is ""&amp;H589&amp;"" below the Target price of Rs""&amp;D589&amp;"".""))"),FALSE)</f>
        <v>0</v>
      </c>
    </row>
    <row r="590">
      <c r="A590" s="349" t="str">
        <f>Dashboard!B686</f>
        <v/>
      </c>
      <c r="B590" s="349" t="str">
        <f>Dashboard!H686</f>
        <v/>
      </c>
      <c r="C590" s="356" t="str">
        <f>Dashboard!G686</f>
        <v/>
      </c>
      <c r="D590" s="489" t="str">
        <f>Dashboard!M686</f>
        <v/>
      </c>
      <c r="E590" s="490" t="s">
        <v>314</v>
      </c>
      <c r="F590" s="491" t="str">
        <f t="shared" si="1"/>
        <v/>
      </c>
      <c r="G590" s="492" t="s">
        <v>314</v>
      </c>
      <c r="H590" s="349" t="str">
        <f t="shared" si="2"/>
        <v/>
      </c>
      <c r="I590" s="349" t="str">
        <f t="shared" si="3"/>
        <v/>
      </c>
      <c r="J590" s="493"/>
      <c r="K590" s="349" t="str">
        <f>IFERROR(__xludf.DUMMYFUNCTION("if(ISBLANK(A590),"""",if(B590=""Buy"",CONCAT(GOOGLEFINANCE(A590,""name""),"" {Symbol: ""&amp;A590&amp;""} High Alert!! Share Has Reached Its Target Buying Price,""),""""))"),"")</f>
        <v/>
      </c>
      <c r="L590" s="349" t="b">
        <f>IFERROR(__xludf.DUMMYFUNCTION("if(B590= ""Buy"",CONCAT(GOOGLEFINANCE(A590,""NAME""),"" share currently trading at Rs""&amp;C590&amp;"", Which is ""&amp;H590&amp;"" below the Target price of Rs""&amp;D590&amp;"".""))"),FALSE)</f>
        <v>0</v>
      </c>
    </row>
    <row r="591">
      <c r="A591" s="349" t="str">
        <f>Dashboard!B687</f>
        <v/>
      </c>
      <c r="B591" s="349" t="str">
        <f>Dashboard!H687</f>
        <v/>
      </c>
      <c r="C591" s="356" t="str">
        <f>Dashboard!G687</f>
        <v/>
      </c>
      <c r="D591" s="489" t="str">
        <f>Dashboard!M687</f>
        <v/>
      </c>
      <c r="E591" s="490" t="s">
        <v>314</v>
      </c>
      <c r="F591" s="491" t="str">
        <f t="shared" si="1"/>
        <v/>
      </c>
      <c r="G591" s="492" t="s">
        <v>314</v>
      </c>
      <c r="H591" s="349" t="str">
        <f t="shared" si="2"/>
        <v/>
      </c>
      <c r="I591" s="349" t="str">
        <f t="shared" si="3"/>
        <v/>
      </c>
      <c r="J591" s="493"/>
      <c r="K591" s="349" t="str">
        <f>IFERROR(__xludf.DUMMYFUNCTION("if(ISBLANK(A591),"""",if(B591=""Buy"",CONCAT(GOOGLEFINANCE(A591,""name""),"" {Symbol: ""&amp;A591&amp;""} High Alert!! Share Has Reached Its Target Buying Price,""),""""))"),"")</f>
        <v/>
      </c>
      <c r="L591" s="349" t="b">
        <f>IFERROR(__xludf.DUMMYFUNCTION("if(B591= ""Buy"",CONCAT(GOOGLEFINANCE(A591,""NAME""),"" share currently trading at Rs""&amp;C591&amp;"", Which is ""&amp;H591&amp;"" below the Target price of Rs""&amp;D591&amp;"".""))"),FALSE)</f>
        <v>0</v>
      </c>
    </row>
    <row r="592">
      <c r="A592" s="349" t="str">
        <f>Dashboard!B688</f>
        <v/>
      </c>
      <c r="B592" s="349" t="str">
        <f>Dashboard!H688</f>
        <v/>
      </c>
      <c r="C592" s="356" t="str">
        <f>Dashboard!G688</f>
        <v/>
      </c>
      <c r="D592" s="489" t="str">
        <f>Dashboard!M688</f>
        <v/>
      </c>
      <c r="E592" s="490" t="s">
        <v>314</v>
      </c>
      <c r="F592" s="491" t="str">
        <f t="shared" si="1"/>
        <v/>
      </c>
      <c r="G592" s="492" t="s">
        <v>314</v>
      </c>
      <c r="H592" s="349" t="str">
        <f t="shared" si="2"/>
        <v/>
      </c>
      <c r="I592" s="349" t="str">
        <f t="shared" si="3"/>
        <v/>
      </c>
      <c r="J592" s="493"/>
      <c r="K592" s="349" t="str">
        <f>IFERROR(__xludf.DUMMYFUNCTION("if(ISBLANK(A592),"""",if(B592=""Buy"",CONCAT(GOOGLEFINANCE(A592,""name""),"" {Symbol: ""&amp;A592&amp;""} High Alert!! Share Has Reached Its Target Buying Price,""),""""))"),"")</f>
        <v/>
      </c>
      <c r="L592" s="349" t="b">
        <f>IFERROR(__xludf.DUMMYFUNCTION("if(B592= ""Buy"",CONCAT(GOOGLEFINANCE(A592,""NAME""),"" share currently trading at Rs""&amp;C592&amp;"", Which is ""&amp;H592&amp;"" below the Target price of Rs""&amp;D592&amp;"".""))"),FALSE)</f>
        <v>0</v>
      </c>
    </row>
    <row r="593">
      <c r="A593" s="349" t="str">
        <f>Dashboard!B689</f>
        <v/>
      </c>
      <c r="B593" s="349" t="str">
        <f>Dashboard!H689</f>
        <v/>
      </c>
      <c r="C593" s="356" t="str">
        <f>Dashboard!G689</f>
        <v/>
      </c>
      <c r="D593" s="489" t="str">
        <f>Dashboard!M689</f>
        <v/>
      </c>
      <c r="E593" s="490" t="s">
        <v>314</v>
      </c>
      <c r="F593" s="491" t="str">
        <f t="shared" si="1"/>
        <v/>
      </c>
      <c r="G593" s="492" t="s">
        <v>314</v>
      </c>
      <c r="H593" s="349" t="str">
        <f t="shared" si="2"/>
        <v/>
      </c>
      <c r="I593" s="349" t="str">
        <f t="shared" si="3"/>
        <v/>
      </c>
      <c r="J593" s="493"/>
      <c r="K593" s="349" t="str">
        <f>IFERROR(__xludf.DUMMYFUNCTION("if(ISBLANK(A593),"""",if(B593=""Buy"",CONCAT(GOOGLEFINANCE(A593,""name""),"" {Symbol: ""&amp;A593&amp;""} High Alert!! Share Has Reached Its Target Buying Price,""),""""))"),"")</f>
        <v/>
      </c>
      <c r="L593" s="349" t="b">
        <f>IFERROR(__xludf.DUMMYFUNCTION("if(B593= ""Buy"",CONCAT(GOOGLEFINANCE(A593,""NAME""),"" share currently trading at Rs""&amp;C593&amp;"", Which is ""&amp;H593&amp;"" below the Target price of Rs""&amp;D593&amp;"".""))"),FALSE)</f>
        <v>0</v>
      </c>
    </row>
    <row r="594">
      <c r="A594" s="349" t="str">
        <f>Dashboard!B690</f>
        <v/>
      </c>
      <c r="B594" s="349" t="str">
        <f>Dashboard!H690</f>
        <v/>
      </c>
      <c r="C594" s="356" t="str">
        <f>Dashboard!G690</f>
        <v/>
      </c>
      <c r="D594" s="489" t="str">
        <f>Dashboard!M690</f>
        <v/>
      </c>
      <c r="E594" s="490" t="s">
        <v>314</v>
      </c>
      <c r="F594" s="491" t="str">
        <f t="shared" si="1"/>
        <v/>
      </c>
      <c r="G594" s="492" t="s">
        <v>314</v>
      </c>
      <c r="H594" s="349" t="str">
        <f t="shared" si="2"/>
        <v/>
      </c>
      <c r="I594" s="349" t="str">
        <f t="shared" si="3"/>
        <v/>
      </c>
      <c r="J594" s="493"/>
      <c r="K594" s="349" t="str">
        <f>IFERROR(__xludf.DUMMYFUNCTION("if(ISBLANK(A594),"""",if(B594=""Buy"",CONCAT(GOOGLEFINANCE(A594,""name""),"" {Symbol: ""&amp;A594&amp;""} High Alert!! Share Has Reached Its Target Buying Price,""),""""))"),"")</f>
        <v/>
      </c>
      <c r="L594" s="349" t="b">
        <f>IFERROR(__xludf.DUMMYFUNCTION("if(B594= ""Buy"",CONCAT(GOOGLEFINANCE(A594,""NAME""),"" share currently trading at Rs""&amp;C594&amp;"", Which is ""&amp;H594&amp;"" below the Target price of Rs""&amp;D594&amp;"".""))"),FALSE)</f>
        <v>0</v>
      </c>
    </row>
    <row r="595">
      <c r="A595" s="349" t="str">
        <f>Dashboard!B691</f>
        <v/>
      </c>
      <c r="B595" s="349" t="str">
        <f>Dashboard!H691</f>
        <v/>
      </c>
      <c r="C595" s="356" t="str">
        <f>Dashboard!G691</f>
        <v/>
      </c>
      <c r="D595" s="489" t="str">
        <f>Dashboard!M691</f>
        <v/>
      </c>
      <c r="E595" s="490" t="s">
        <v>314</v>
      </c>
      <c r="F595" s="491" t="str">
        <f t="shared" si="1"/>
        <v/>
      </c>
      <c r="G595" s="492" t="s">
        <v>314</v>
      </c>
      <c r="H595" s="349" t="str">
        <f t="shared" si="2"/>
        <v/>
      </c>
      <c r="I595" s="349" t="str">
        <f t="shared" si="3"/>
        <v/>
      </c>
      <c r="J595" s="493"/>
      <c r="K595" s="349" t="str">
        <f>IFERROR(__xludf.DUMMYFUNCTION("if(ISBLANK(A595),"""",if(B595=""Buy"",CONCAT(GOOGLEFINANCE(A595,""name""),"" {Symbol: ""&amp;A595&amp;""} High Alert!! Share Has Reached Its Target Buying Price,""),""""))"),"")</f>
        <v/>
      </c>
      <c r="L595" s="349" t="b">
        <f>IFERROR(__xludf.DUMMYFUNCTION("if(B595= ""Buy"",CONCAT(GOOGLEFINANCE(A595,""NAME""),"" share currently trading at Rs""&amp;C595&amp;"", Which is ""&amp;H595&amp;"" below the Target price of Rs""&amp;D595&amp;"".""))"),FALSE)</f>
        <v>0</v>
      </c>
    </row>
    <row r="596">
      <c r="A596" s="349" t="str">
        <f>Dashboard!B692</f>
        <v/>
      </c>
      <c r="B596" s="349" t="str">
        <f>Dashboard!H692</f>
        <v/>
      </c>
      <c r="C596" s="356" t="str">
        <f>Dashboard!G692</f>
        <v/>
      </c>
      <c r="D596" s="489" t="str">
        <f>Dashboard!M692</f>
        <v/>
      </c>
      <c r="E596" s="490" t="s">
        <v>314</v>
      </c>
      <c r="F596" s="491" t="str">
        <f t="shared" si="1"/>
        <v/>
      </c>
      <c r="G596" s="492" t="s">
        <v>314</v>
      </c>
      <c r="H596" s="349" t="str">
        <f t="shared" si="2"/>
        <v/>
      </c>
      <c r="I596" s="349" t="str">
        <f t="shared" si="3"/>
        <v/>
      </c>
      <c r="J596" s="493"/>
      <c r="K596" s="349" t="str">
        <f>IFERROR(__xludf.DUMMYFUNCTION("if(ISBLANK(A596),"""",if(B596=""Buy"",CONCAT(GOOGLEFINANCE(A596,""name""),"" {Symbol: ""&amp;A596&amp;""} High Alert!! Share Has Reached Its Target Buying Price,""),""""))"),"")</f>
        <v/>
      </c>
      <c r="L596" s="349" t="b">
        <f>IFERROR(__xludf.DUMMYFUNCTION("if(B596= ""Buy"",CONCAT(GOOGLEFINANCE(A596,""NAME""),"" share currently trading at Rs""&amp;C596&amp;"", Which is ""&amp;H596&amp;"" below the Target price of Rs""&amp;D596&amp;"".""))"),FALSE)</f>
        <v>0</v>
      </c>
    </row>
    <row r="597">
      <c r="A597" s="349" t="str">
        <f>Dashboard!B693</f>
        <v/>
      </c>
      <c r="B597" s="349" t="str">
        <f>Dashboard!H693</f>
        <v/>
      </c>
      <c r="C597" s="356" t="str">
        <f>Dashboard!G693</f>
        <v/>
      </c>
      <c r="D597" s="489" t="str">
        <f>Dashboard!M693</f>
        <v/>
      </c>
      <c r="E597" s="490" t="s">
        <v>314</v>
      </c>
      <c r="F597" s="491" t="str">
        <f t="shared" si="1"/>
        <v/>
      </c>
      <c r="G597" s="492" t="s">
        <v>314</v>
      </c>
      <c r="H597" s="349" t="str">
        <f t="shared" si="2"/>
        <v/>
      </c>
      <c r="I597" s="349" t="str">
        <f t="shared" si="3"/>
        <v/>
      </c>
      <c r="J597" s="493"/>
      <c r="K597" s="349" t="str">
        <f>IFERROR(__xludf.DUMMYFUNCTION("if(ISBLANK(A597),"""",if(B597=""Buy"",CONCAT(GOOGLEFINANCE(A597,""name""),"" {Symbol: ""&amp;A597&amp;""} High Alert!! Share Has Reached Its Target Buying Price,""),""""))"),"")</f>
        <v/>
      </c>
      <c r="L597" s="349" t="b">
        <f>IFERROR(__xludf.DUMMYFUNCTION("if(B597= ""Buy"",CONCAT(GOOGLEFINANCE(A597,""NAME""),"" share currently trading at Rs""&amp;C597&amp;"", Which is ""&amp;H597&amp;"" below the Target price of Rs""&amp;D597&amp;"".""))"),FALSE)</f>
        <v>0</v>
      </c>
    </row>
    <row r="598">
      <c r="A598" s="349" t="str">
        <f>Dashboard!B694</f>
        <v/>
      </c>
      <c r="B598" s="349" t="str">
        <f>Dashboard!H694</f>
        <v/>
      </c>
      <c r="C598" s="356" t="str">
        <f>Dashboard!G694</f>
        <v/>
      </c>
      <c r="D598" s="489" t="str">
        <f>Dashboard!M694</f>
        <v/>
      </c>
      <c r="E598" s="490" t="s">
        <v>314</v>
      </c>
      <c r="F598" s="491" t="str">
        <f t="shared" si="1"/>
        <v/>
      </c>
      <c r="G598" s="492" t="s">
        <v>314</v>
      </c>
      <c r="H598" s="349" t="str">
        <f t="shared" si="2"/>
        <v/>
      </c>
      <c r="I598" s="349" t="str">
        <f t="shared" si="3"/>
        <v/>
      </c>
      <c r="J598" s="493"/>
      <c r="K598" s="349" t="str">
        <f>IFERROR(__xludf.DUMMYFUNCTION("if(ISBLANK(A598),"""",if(B598=""Buy"",CONCAT(GOOGLEFINANCE(A598,""name""),"" {Symbol: ""&amp;A598&amp;""} High Alert!! Share Has Reached Its Target Buying Price,""),""""))"),"")</f>
        <v/>
      </c>
      <c r="L598" s="349" t="b">
        <f>IFERROR(__xludf.DUMMYFUNCTION("if(B598= ""Buy"",CONCAT(GOOGLEFINANCE(A598,""NAME""),"" share currently trading at Rs""&amp;C598&amp;"", Which is ""&amp;H598&amp;"" below the Target price of Rs""&amp;D598&amp;"".""))"),FALSE)</f>
        <v>0</v>
      </c>
    </row>
    <row r="599">
      <c r="A599" s="349" t="str">
        <f>Dashboard!B695</f>
        <v/>
      </c>
      <c r="B599" s="349" t="str">
        <f>Dashboard!H695</f>
        <v/>
      </c>
      <c r="C599" s="356" t="str">
        <f>Dashboard!G695</f>
        <v/>
      </c>
      <c r="D599" s="489" t="str">
        <f>Dashboard!M695</f>
        <v/>
      </c>
      <c r="E599" s="490" t="s">
        <v>314</v>
      </c>
      <c r="F599" s="491" t="str">
        <f t="shared" si="1"/>
        <v/>
      </c>
      <c r="G599" s="492" t="s">
        <v>314</v>
      </c>
      <c r="H599" s="349" t="str">
        <f t="shared" si="2"/>
        <v/>
      </c>
      <c r="I599" s="349" t="str">
        <f t="shared" si="3"/>
        <v/>
      </c>
      <c r="J599" s="493"/>
      <c r="K599" s="349" t="str">
        <f>IFERROR(__xludf.DUMMYFUNCTION("if(ISBLANK(A599),"""",if(B599=""Buy"",CONCAT(GOOGLEFINANCE(A599,""name""),"" {Symbol: ""&amp;A599&amp;""} High Alert!! Share Has Reached Its Target Buying Price,""),""""))"),"")</f>
        <v/>
      </c>
      <c r="L599" s="349" t="b">
        <f>IFERROR(__xludf.DUMMYFUNCTION("if(B599= ""Buy"",CONCAT(GOOGLEFINANCE(A599,""NAME""),"" share currently trading at Rs""&amp;C599&amp;"", Which is ""&amp;H599&amp;"" below the Target price of Rs""&amp;D599&amp;"".""))"),FALSE)</f>
        <v>0</v>
      </c>
    </row>
    <row r="600">
      <c r="A600" s="349" t="str">
        <f>Dashboard!B696</f>
        <v/>
      </c>
      <c r="B600" s="349" t="str">
        <f>Dashboard!H696</f>
        <v/>
      </c>
      <c r="C600" s="356" t="str">
        <f>Dashboard!G696</f>
        <v/>
      </c>
      <c r="D600" s="489" t="str">
        <f>Dashboard!M696</f>
        <v/>
      </c>
      <c r="E600" s="490" t="s">
        <v>314</v>
      </c>
      <c r="F600" s="491" t="str">
        <f t="shared" si="1"/>
        <v/>
      </c>
      <c r="G600" s="492" t="s">
        <v>314</v>
      </c>
      <c r="H600" s="349" t="str">
        <f t="shared" si="2"/>
        <v/>
      </c>
      <c r="I600" s="349" t="str">
        <f t="shared" si="3"/>
        <v/>
      </c>
      <c r="J600" s="493"/>
      <c r="K600" s="349" t="str">
        <f>IFERROR(__xludf.DUMMYFUNCTION("if(ISBLANK(A600),"""",if(B600=""Buy"",CONCAT(GOOGLEFINANCE(A600,""name""),"" {Symbol: ""&amp;A600&amp;""} High Alert!! Share Has Reached Its Target Buying Price,""),""""))"),"")</f>
        <v/>
      </c>
      <c r="L600" s="349" t="b">
        <f>IFERROR(__xludf.DUMMYFUNCTION("if(B600= ""Buy"",CONCAT(GOOGLEFINANCE(A600,""NAME""),"" share currently trading at Rs""&amp;C600&amp;"", Which is ""&amp;H600&amp;"" below the Target price of Rs""&amp;D600&amp;"".""))"),FALSE)</f>
        <v>0</v>
      </c>
    </row>
    <row r="601">
      <c r="A601" s="349" t="str">
        <f>Dashboard!B697</f>
        <v/>
      </c>
      <c r="B601" s="349" t="str">
        <f>Dashboard!H697</f>
        <v/>
      </c>
      <c r="C601" s="356" t="str">
        <f>Dashboard!G697</f>
        <v/>
      </c>
      <c r="D601" s="489" t="str">
        <f>Dashboard!M697</f>
        <v/>
      </c>
      <c r="E601" s="490" t="s">
        <v>314</v>
      </c>
      <c r="F601" s="491" t="str">
        <f t="shared" si="1"/>
        <v/>
      </c>
      <c r="G601" s="492" t="s">
        <v>314</v>
      </c>
      <c r="H601" s="349" t="str">
        <f t="shared" si="2"/>
        <v/>
      </c>
      <c r="I601" s="349" t="str">
        <f t="shared" si="3"/>
        <v/>
      </c>
      <c r="J601" s="493"/>
      <c r="K601" s="349" t="str">
        <f>IFERROR(__xludf.DUMMYFUNCTION("if(ISBLANK(A601),"""",if(B601=""Buy"",CONCAT(GOOGLEFINANCE(A601,""name""),"" {Symbol: ""&amp;A601&amp;""} High Alert!! Share Has Reached Its Target Buying Price,""),""""))"),"")</f>
        <v/>
      </c>
      <c r="L601" s="349" t="b">
        <f>IFERROR(__xludf.DUMMYFUNCTION("if(B601= ""Buy"",CONCAT(GOOGLEFINANCE(A601,""NAME""),"" share currently trading at Rs""&amp;C601&amp;"", Which is ""&amp;H601&amp;"" below the Target price of Rs""&amp;D601&amp;"".""))"),FALSE)</f>
        <v>0</v>
      </c>
    </row>
    <row r="602">
      <c r="A602" s="349" t="str">
        <f>Dashboard!B698</f>
        <v/>
      </c>
      <c r="B602" s="349" t="str">
        <f>Dashboard!H698</f>
        <v/>
      </c>
      <c r="C602" s="356" t="str">
        <f>Dashboard!G698</f>
        <v/>
      </c>
      <c r="D602" s="489" t="str">
        <f>Dashboard!M698</f>
        <v/>
      </c>
      <c r="E602" s="490" t="s">
        <v>314</v>
      </c>
      <c r="F602" s="491" t="str">
        <f t="shared" si="1"/>
        <v/>
      </c>
      <c r="G602" s="492" t="s">
        <v>314</v>
      </c>
      <c r="H602" s="349" t="str">
        <f t="shared" si="2"/>
        <v/>
      </c>
      <c r="I602" s="349" t="str">
        <f t="shared" si="3"/>
        <v/>
      </c>
      <c r="J602" s="493"/>
      <c r="K602" s="349" t="str">
        <f>IFERROR(__xludf.DUMMYFUNCTION("if(ISBLANK(A602),"""",if(B602=""Buy"",CONCAT(GOOGLEFINANCE(A602,""name""),"" {Symbol: ""&amp;A602&amp;""} High Alert!! Share Has Reached Its Target Buying Price,""),""""))"),"")</f>
        <v/>
      </c>
      <c r="L602" s="349" t="b">
        <f>IFERROR(__xludf.DUMMYFUNCTION("if(B602= ""Buy"",CONCAT(GOOGLEFINANCE(A602,""NAME""),"" share currently trading at Rs""&amp;C602&amp;"", Which is ""&amp;H602&amp;"" below the Target price of Rs""&amp;D602&amp;"".""))"),FALSE)</f>
        <v>0</v>
      </c>
    </row>
    <row r="603">
      <c r="A603" s="349" t="str">
        <f>Dashboard!B699</f>
        <v/>
      </c>
      <c r="B603" s="349" t="str">
        <f>Dashboard!H699</f>
        <v/>
      </c>
      <c r="C603" s="356" t="str">
        <f>Dashboard!G699</f>
        <v/>
      </c>
      <c r="D603" s="489" t="str">
        <f>Dashboard!M699</f>
        <v/>
      </c>
      <c r="E603" s="490" t="s">
        <v>314</v>
      </c>
      <c r="F603" s="491" t="str">
        <f t="shared" si="1"/>
        <v/>
      </c>
      <c r="G603" s="492" t="s">
        <v>314</v>
      </c>
      <c r="H603" s="349" t="str">
        <f t="shared" si="2"/>
        <v/>
      </c>
      <c r="I603" s="349" t="str">
        <f t="shared" si="3"/>
        <v/>
      </c>
      <c r="J603" s="493"/>
      <c r="K603" s="349" t="str">
        <f>IFERROR(__xludf.DUMMYFUNCTION("if(ISBLANK(A603),"""",if(B603=""Buy"",CONCAT(GOOGLEFINANCE(A603,""name""),"" {Symbol: ""&amp;A603&amp;""} High Alert!! Share Has Reached Its Target Buying Price,""),""""))"),"")</f>
        <v/>
      </c>
      <c r="L603" s="349" t="b">
        <f>IFERROR(__xludf.DUMMYFUNCTION("if(B603= ""Buy"",CONCAT(GOOGLEFINANCE(A603,""NAME""),"" share currently trading at Rs""&amp;C603&amp;"", Which is ""&amp;H603&amp;"" below the Target price of Rs""&amp;D603&amp;"".""))"),FALSE)</f>
        <v>0</v>
      </c>
    </row>
    <row r="604">
      <c r="A604" s="349" t="str">
        <f>Dashboard!B700</f>
        <v/>
      </c>
      <c r="B604" s="349" t="str">
        <f>Dashboard!H700</f>
        <v/>
      </c>
      <c r="C604" s="356" t="str">
        <f>Dashboard!G700</f>
        <v/>
      </c>
      <c r="D604" s="489" t="str">
        <f>Dashboard!M700</f>
        <v/>
      </c>
      <c r="E604" s="490" t="s">
        <v>314</v>
      </c>
      <c r="F604" s="491" t="str">
        <f t="shared" si="1"/>
        <v/>
      </c>
      <c r="G604" s="492" t="s">
        <v>314</v>
      </c>
      <c r="H604" s="349" t="str">
        <f t="shared" si="2"/>
        <v/>
      </c>
      <c r="I604" s="349" t="str">
        <f t="shared" si="3"/>
        <v/>
      </c>
      <c r="J604" s="493"/>
      <c r="K604" s="349" t="str">
        <f>IFERROR(__xludf.DUMMYFUNCTION("if(ISBLANK(A604),"""",if(B604=""Buy"",CONCAT(GOOGLEFINANCE(A604,""name""),"" {Symbol: ""&amp;A604&amp;""} High Alert!! Share Has Reached Its Target Buying Price,""),""""))"),"")</f>
        <v/>
      </c>
      <c r="L604" s="349" t="b">
        <f>IFERROR(__xludf.DUMMYFUNCTION("if(B604= ""Buy"",CONCAT(GOOGLEFINANCE(A604,""NAME""),"" share currently trading at Rs""&amp;C604&amp;"", Which is ""&amp;H604&amp;"" below the Target price of Rs""&amp;D604&amp;"".""))"),FALSE)</f>
        <v>0</v>
      </c>
    </row>
    <row r="605">
      <c r="A605" s="349" t="str">
        <f>Dashboard!B701</f>
        <v/>
      </c>
      <c r="B605" s="349" t="str">
        <f>Dashboard!H701</f>
        <v/>
      </c>
      <c r="C605" s="356" t="str">
        <f>Dashboard!G701</f>
        <v/>
      </c>
      <c r="D605" s="489" t="str">
        <f>Dashboard!M701</f>
        <v/>
      </c>
      <c r="E605" s="490" t="s">
        <v>314</v>
      </c>
      <c r="F605" s="491" t="str">
        <f t="shared" si="1"/>
        <v/>
      </c>
      <c r="G605" s="492" t="s">
        <v>314</v>
      </c>
      <c r="H605" s="349" t="str">
        <f t="shared" si="2"/>
        <v/>
      </c>
      <c r="I605" s="349" t="str">
        <f t="shared" si="3"/>
        <v/>
      </c>
      <c r="J605" s="493"/>
      <c r="K605" s="349" t="str">
        <f>IFERROR(__xludf.DUMMYFUNCTION("if(ISBLANK(A605),"""",if(B605=""Buy"",CONCAT(GOOGLEFINANCE(A605,""name""),"" {Symbol: ""&amp;A605&amp;""} High Alert!! Share Has Reached Its Target Buying Price,""),""""))"),"")</f>
        <v/>
      </c>
      <c r="L605" s="349" t="b">
        <f>IFERROR(__xludf.DUMMYFUNCTION("if(B605= ""Buy"",CONCAT(GOOGLEFINANCE(A605,""NAME""),"" share currently trading at Rs""&amp;C605&amp;"", Which is ""&amp;H605&amp;"" below the Target price of Rs""&amp;D605&amp;"".""))"),FALSE)</f>
        <v>0</v>
      </c>
    </row>
    <row r="606">
      <c r="A606" s="349" t="str">
        <f>Dashboard!B702</f>
        <v/>
      </c>
      <c r="B606" s="349" t="str">
        <f>Dashboard!H702</f>
        <v/>
      </c>
      <c r="C606" s="356" t="str">
        <f>Dashboard!G702</f>
        <v/>
      </c>
      <c r="D606" s="489" t="str">
        <f>Dashboard!M702</f>
        <v/>
      </c>
      <c r="E606" s="490" t="s">
        <v>314</v>
      </c>
      <c r="F606" s="491" t="str">
        <f t="shared" si="1"/>
        <v/>
      </c>
      <c r="G606" s="492" t="s">
        <v>314</v>
      </c>
      <c r="H606" s="349" t="str">
        <f t="shared" si="2"/>
        <v/>
      </c>
      <c r="I606" s="349" t="str">
        <f t="shared" si="3"/>
        <v/>
      </c>
      <c r="J606" s="493"/>
      <c r="K606" s="349" t="str">
        <f>IFERROR(__xludf.DUMMYFUNCTION("if(ISBLANK(A606),"""",if(B606=""Buy"",CONCAT(GOOGLEFINANCE(A606,""name""),"" {Symbol: ""&amp;A606&amp;""} High Alert!! Share Has Reached Its Target Buying Price,""),""""))"),"")</f>
        <v/>
      </c>
      <c r="L606" s="349" t="b">
        <f>IFERROR(__xludf.DUMMYFUNCTION("if(B606= ""Buy"",CONCAT(GOOGLEFINANCE(A606,""NAME""),"" share currently trading at Rs""&amp;C606&amp;"", Which is ""&amp;H606&amp;"" below the Target price of Rs""&amp;D606&amp;"".""))"),FALSE)</f>
        <v>0</v>
      </c>
    </row>
    <row r="607">
      <c r="A607" s="349" t="str">
        <f>Dashboard!B703</f>
        <v/>
      </c>
      <c r="B607" s="349" t="str">
        <f>Dashboard!H703</f>
        <v/>
      </c>
      <c r="C607" s="356" t="str">
        <f>Dashboard!G703</f>
        <v/>
      </c>
      <c r="D607" s="489" t="str">
        <f>Dashboard!M703</f>
        <v/>
      </c>
      <c r="E607" s="490" t="s">
        <v>314</v>
      </c>
      <c r="F607" s="491" t="str">
        <f t="shared" si="1"/>
        <v/>
      </c>
      <c r="G607" s="492" t="s">
        <v>314</v>
      </c>
      <c r="H607" s="349" t="str">
        <f t="shared" si="2"/>
        <v/>
      </c>
      <c r="I607" s="349" t="str">
        <f t="shared" si="3"/>
        <v/>
      </c>
      <c r="J607" s="493"/>
      <c r="K607" s="349" t="str">
        <f>IFERROR(__xludf.DUMMYFUNCTION("if(ISBLANK(A607),"""",if(B607=""Buy"",CONCAT(GOOGLEFINANCE(A607,""name""),"" {Symbol: ""&amp;A607&amp;""} High Alert!! Share Has Reached Its Target Buying Price,""),""""))"),"")</f>
        <v/>
      </c>
      <c r="L607" s="349" t="b">
        <f>IFERROR(__xludf.DUMMYFUNCTION("if(B607= ""Buy"",CONCAT(GOOGLEFINANCE(A607,""NAME""),"" share currently trading at Rs""&amp;C607&amp;"", Which is ""&amp;H607&amp;"" below the Target price of Rs""&amp;D607&amp;"".""))"),FALSE)</f>
        <v>0</v>
      </c>
    </row>
    <row r="608">
      <c r="A608" s="349" t="str">
        <f>Dashboard!B704</f>
        <v/>
      </c>
      <c r="B608" s="349" t="str">
        <f>Dashboard!H704</f>
        <v/>
      </c>
      <c r="C608" s="356" t="str">
        <f>Dashboard!G704</f>
        <v/>
      </c>
      <c r="D608" s="489" t="str">
        <f>Dashboard!M704</f>
        <v/>
      </c>
      <c r="E608" s="490" t="s">
        <v>314</v>
      </c>
      <c r="F608" s="491" t="str">
        <f t="shared" si="1"/>
        <v/>
      </c>
      <c r="G608" s="492" t="s">
        <v>314</v>
      </c>
      <c r="H608" s="349" t="str">
        <f t="shared" si="2"/>
        <v/>
      </c>
      <c r="I608" s="349" t="str">
        <f t="shared" si="3"/>
        <v/>
      </c>
      <c r="J608" s="493"/>
      <c r="K608" s="349" t="str">
        <f>IFERROR(__xludf.DUMMYFUNCTION("if(ISBLANK(A608),"""",if(B608=""Buy"",CONCAT(GOOGLEFINANCE(A608,""name""),"" {Symbol: ""&amp;A608&amp;""} High Alert!! Share Has Reached Its Target Buying Price,""),""""))"),"")</f>
        <v/>
      </c>
      <c r="L608" s="349" t="b">
        <f>IFERROR(__xludf.DUMMYFUNCTION("if(B608= ""Buy"",CONCAT(GOOGLEFINANCE(A608,""NAME""),"" share currently trading at Rs""&amp;C608&amp;"", Which is ""&amp;H608&amp;"" below the Target price of Rs""&amp;D608&amp;"".""))"),FALSE)</f>
        <v>0</v>
      </c>
    </row>
    <row r="609">
      <c r="A609" s="349" t="str">
        <f>Dashboard!B705</f>
        <v/>
      </c>
      <c r="B609" s="349" t="str">
        <f>Dashboard!H705</f>
        <v/>
      </c>
      <c r="C609" s="356" t="str">
        <f>Dashboard!G705</f>
        <v/>
      </c>
      <c r="D609" s="489" t="str">
        <f>Dashboard!M705</f>
        <v/>
      </c>
      <c r="E609" s="490" t="s">
        <v>314</v>
      </c>
      <c r="F609" s="491" t="str">
        <f t="shared" si="1"/>
        <v/>
      </c>
      <c r="G609" s="492" t="s">
        <v>314</v>
      </c>
      <c r="H609" s="349" t="str">
        <f t="shared" si="2"/>
        <v/>
      </c>
      <c r="I609" s="349" t="str">
        <f t="shared" si="3"/>
        <v/>
      </c>
      <c r="J609" s="493"/>
      <c r="K609" s="349" t="str">
        <f>IFERROR(__xludf.DUMMYFUNCTION("if(ISBLANK(A609),"""",if(B609=""Buy"",CONCAT(GOOGLEFINANCE(A609,""name""),"" {Symbol: ""&amp;A609&amp;""} High Alert!! Share Has Reached Its Target Buying Price,""),""""))"),"")</f>
        <v/>
      </c>
      <c r="L609" s="349" t="b">
        <f>IFERROR(__xludf.DUMMYFUNCTION("if(B609= ""Buy"",CONCAT(GOOGLEFINANCE(A609,""NAME""),"" share currently trading at Rs""&amp;C609&amp;"", Which is ""&amp;H609&amp;"" below the Target price of Rs""&amp;D609&amp;"".""))"),FALSE)</f>
        <v>0</v>
      </c>
    </row>
    <row r="610">
      <c r="A610" s="349" t="str">
        <f>Dashboard!B706</f>
        <v/>
      </c>
      <c r="B610" s="349" t="str">
        <f>Dashboard!H706</f>
        <v/>
      </c>
      <c r="C610" s="356" t="str">
        <f>Dashboard!G706</f>
        <v/>
      </c>
      <c r="D610" s="489" t="str">
        <f>Dashboard!M706</f>
        <v/>
      </c>
      <c r="E610" s="490" t="s">
        <v>314</v>
      </c>
      <c r="F610" s="491" t="str">
        <f t="shared" si="1"/>
        <v/>
      </c>
      <c r="G610" s="492" t="s">
        <v>314</v>
      </c>
      <c r="H610" s="349" t="str">
        <f t="shared" si="2"/>
        <v/>
      </c>
      <c r="I610" s="349" t="str">
        <f t="shared" si="3"/>
        <v/>
      </c>
      <c r="J610" s="493"/>
      <c r="K610" s="349" t="str">
        <f>IFERROR(__xludf.DUMMYFUNCTION("if(ISBLANK(A610),"""",if(B610=""Buy"",CONCAT(GOOGLEFINANCE(A610,""name""),"" {Symbol: ""&amp;A610&amp;""} High Alert!! Share Has Reached Its Target Buying Price,""),""""))"),"")</f>
        <v/>
      </c>
      <c r="L610" s="349" t="b">
        <f>IFERROR(__xludf.DUMMYFUNCTION("if(B610= ""Buy"",CONCAT(GOOGLEFINANCE(A610,""NAME""),"" share currently trading at Rs""&amp;C610&amp;"", Which is ""&amp;H610&amp;"" below the Target price of Rs""&amp;D610&amp;"".""))"),FALSE)</f>
        <v>0</v>
      </c>
    </row>
    <row r="611">
      <c r="A611" s="349" t="str">
        <f>Dashboard!B707</f>
        <v/>
      </c>
      <c r="B611" s="349" t="str">
        <f>Dashboard!H707</f>
        <v/>
      </c>
      <c r="C611" s="356" t="str">
        <f>Dashboard!G707</f>
        <v/>
      </c>
      <c r="D611" s="489" t="str">
        <f>Dashboard!M707</f>
        <v/>
      </c>
      <c r="E611" s="490" t="s">
        <v>314</v>
      </c>
      <c r="F611" s="491" t="str">
        <f t="shared" si="1"/>
        <v/>
      </c>
      <c r="G611" s="492" t="s">
        <v>314</v>
      </c>
      <c r="H611" s="349" t="str">
        <f t="shared" si="2"/>
        <v/>
      </c>
      <c r="I611" s="349" t="str">
        <f t="shared" si="3"/>
        <v/>
      </c>
      <c r="J611" s="493"/>
      <c r="K611" s="349" t="str">
        <f>IFERROR(__xludf.DUMMYFUNCTION("if(ISBLANK(A611),"""",if(B611=""Buy"",CONCAT(GOOGLEFINANCE(A611,""name""),"" {Symbol: ""&amp;A611&amp;""} High Alert!! Share Has Reached Its Target Buying Price,""),""""))"),"")</f>
        <v/>
      </c>
      <c r="L611" s="349" t="b">
        <f>IFERROR(__xludf.DUMMYFUNCTION("if(B611= ""Buy"",CONCAT(GOOGLEFINANCE(A611,""NAME""),"" share currently trading at Rs""&amp;C611&amp;"", Which is ""&amp;H611&amp;"" below the Target price of Rs""&amp;D611&amp;"".""))"),FALSE)</f>
        <v>0</v>
      </c>
    </row>
    <row r="612">
      <c r="A612" s="349" t="str">
        <f>Dashboard!B708</f>
        <v/>
      </c>
      <c r="B612" s="349" t="str">
        <f>Dashboard!H708</f>
        <v/>
      </c>
      <c r="C612" s="356" t="str">
        <f>Dashboard!G708</f>
        <v/>
      </c>
      <c r="D612" s="489" t="str">
        <f>Dashboard!M708</f>
        <v/>
      </c>
      <c r="E612" s="490" t="s">
        <v>314</v>
      </c>
      <c r="F612" s="491" t="str">
        <f t="shared" si="1"/>
        <v/>
      </c>
      <c r="G612" s="492" t="s">
        <v>314</v>
      </c>
      <c r="H612" s="349" t="str">
        <f t="shared" si="2"/>
        <v/>
      </c>
      <c r="I612" s="349" t="str">
        <f t="shared" si="3"/>
        <v/>
      </c>
      <c r="J612" s="493"/>
      <c r="K612" s="349" t="str">
        <f>IFERROR(__xludf.DUMMYFUNCTION("if(ISBLANK(A612),"""",if(B612=""Buy"",CONCAT(GOOGLEFINANCE(A612,""name""),"" {Symbol: ""&amp;A612&amp;""} High Alert!! Share Has Reached Its Target Buying Price,""),""""))"),"")</f>
        <v/>
      </c>
      <c r="L612" s="349" t="b">
        <f>IFERROR(__xludf.DUMMYFUNCTION("if(B612= ""Buy"",CONCAT(GOOGLEFINANCE(A612,""NAME""),"" share currently trading at Rs""&amp;C612&amp;"", Which is ""&amp;H612&amp;"" below the Target price of Rs""&amp;D612&amp;"".""))"),FALSE)</f>
        <v>0</v>
      </c>
    </row>
    <row r="613">
      <c r="A613" s="349" t="str">
        <f>Dashboard!B709</f>
        <v/>
      </c>
      <c r="B613" s="349" t="str">
        <f>Dashboard!H709</f>
        <v/>
      </c>
      <c r="C613" s="356" t="str">
        <f>Dashboard!G709</f>
        <v/>
      </c>
      <c r="D613" s="489" t="str">
        <f>Dashboard!M709</f>
        <v/>
      </c>
      <c r="E613" s="490" t="s">
        <v>314</v>
      </c>
      <c r="F613" s="491" t="str">
        <f t="shared" si="1"/>
        <v/>
      </c>
      <c r="G613" s="492" t="s">
        <v>314</v>
      </c>
      <c r="H613" s="349" t="str">
        <f t="shared" si="2"/>
        <v/>
      </c>
      <c r="I613" s="349" t="str">
        <f t="shared" si="3"/>
        <v/>
      </c>
      <c r="J613" s="493"/>
      <c r="K613" s="349" t="str">
        <f>IFERROR(__xludf.DUMMYFUNCTION("if(ISBLANK(A613),"""",if(B613=""Buy"",CONCAT(GOOGLEFINANCE(A613,""name""),"" {Symbol: ""&amp;A613&amp;""} High Alert!! Share Has Reached Its Target Buying Price,""),""""))"),"")</f>
        <v/>
      </c>
      <c r="L613" s="349" t="b">
        <f>IFERROR(__xludf.DUMMYFUNCTION("if(B613= ""Buy"",CONCAT(GOOGLEFINANCE(A613,""NAME""),"" share currently trading at Rs""&amp;C613&amp;"", Which is ""&amp;H613&amp;"" below the Target price of Rs""&amp;D613&amp;"".""))"),FALSE)</f>
        <v>0</v>
      </c>
    </row>
    <row r="614">
      <c r="A614" s="349" t="str">
        <f>Dashboard!B710</f>
        <v/>
      </c>
      <c r="B614" s="349" t="str">
        <f>Dashboard!H710</f>
        <v/>
      </c>
      <c r="C614" s="356" t="str">
        <f>Dashboard!G710</f>
        <v/>
      </c>
      <c r="D614" s="489" t="str">
        <f>Dashboard!M710</f>
        <v/>
      </c>
      <c r="E614" s="490" t="s">
        <v>314</v>
      </c>
      <c r="F614" s="491" t="str">
        <f t="shared" si="1"/>
        <v/>
      </c>
      <c r="G614" s="492" t="s">
        <v>314</v>
      </c>
      <c r="H614" s="349" t="str">
        <f t="shared" si="2"/>
        <v/>
      </c>
      <c r="I614" s="349" t="str">
        <f t="shared" si="3"/>
        <v/>
      </c>
      <c r="J614" s="493"/>
      <c r="K614" s="349" t="str">
        <f>IFERROR(__xludf.DUMMYFUNCTION("if(ISBLANK(A614),"""",if(B614=""Buy"",CONCAT(GOOGLEFINANCE(A614,""name""),"" {Symbol: ""&amp;A614&amp;""} High Alert!! Share Has Reached Its Target Buying Price,""),""""))"),"")</f>
        <v/>
      </c>
      <c r="L614" s="349" t="b">
        <f>IFERROR(__xludf.DUMMYFUNCTION("if(B614= ""Buy"",CONCAT(GOOGLEFINANCE(A614,""NAME""),"" share currently trading at Rs""&amp;C614&amp;"", Which is ""&amp;H614&amp;"" below the Target price of Rs""&amp;D614&amp;"".""))"),FALSE)</f>
        <v>0</v>
      </c>
    </row>
    <row r="615">
      <c r="A615" s="349" t="str">
        <f>Dashboard!B711</f>
        <v/>
      </c>
      <c r="B615" s="349" t="str">
        <f>Dashboard!H711</f>
        <v/>
      </c>
      <c r="C615" s="356" t="str">
        <f>Dashboard!G711</f>
        <v/>
      </c>
      <c r="D615" s="489" t="str">
        <f>Dashboard!M711</f>
        <v/>
      </c>
      <c r="E615" s="490" t="s">
        <v>314</v>
      </c>
      <c r="F615" s="491" t="str">
        <f t="shared" si="1"/>
        <v/>
      </c>
      <c r="G615" s="492" t="s">
        <v>314</v>
      </c>
      <c r="H615" s="349" t="str">
        <f t="shared" si="2"/>
        <v/>
      </c>
      <c r="I615" s="349" t="str">
        <f t="shared" si="3"/>
        <v/>
      </c>
      <c r="J615" s="493"/>
      <c r="K615" s="349" t="str">
        <f>IFERROR(__xludf.DUMMYFUNCTION("if(ISBLANK(A615),"""",if(B615=""Buy"",CONCAT(GOOGLEFINANCE(A615,""name""),"" {Symbol: ""&amp;A615&amp;""} High Alert!! Share Has Reached Its Target Buying Price,""),""""))"),"")</f>
        <v/>
      </c>
      <c r="L615" s="349" t="b">
        <f>IFERROR(__xludf.DUMMYFUNCTION("if(B615= ""Buy"",CONCAT(GOOGLEFINANCE(A615,""NAME""),"" share currently trading at Rs""&amp;C615&amp;"", Which is ""&amp;H615&amp;"" below the Target price of Rs""&amp;D615&amp;"".""))"),FALSE)</f>
        <v>0</v>
      </c>
    </row>
    <row r="616">
      <c r="A616" s="349" t="str">
        <f>Dashboard!B712</f>
        <v/>
      </c>
      <c r="B616" s="349" t="str">
        <f>Dashboard!H712</f>
        <v/>
      </c>
      <c r="C616" s="356" t="str">
        <f>Dashboard!G712</f>
        <v/>
      </c>
      <c r="D616" s="489" t="str">
        <f>Dashboard!M712</f>
        <v/>
      </c>
      <c r="E616" s="490" t="s">
        <v>314</v>
      </c>
      <c r="F616" s="491" t="str">
        <f t="shared" si="1"/>
        <v/>
      </c>
      <c r="G616" s="492" t="s">
        <v>314</v>
      </c>
      <c r="H616" s="349" t="str">
        <f t="shared" si="2"/>
        <v/>
      </c>
      <c r="I616" s="349" t="str">
        <f t="shared" si="3"/>
        <v/>
      </c>
      <c r="J616" s="493"/>
      <c r="K616" s="349" t="str">
        <f>IFERROR(__xludf.DUMMYFUNCTION("if(ISBLANK(A616),"""",if(B616=""Buy"",CONCAT(GOOGLEFINANCE(A616,""name""),"" {Symbol: ""&amp;A616&amp;""} High Alert!! Share Has Reached Its Target Buying Price,""),""""))"),"")</f>
        <v/>
      </c>
      <c r="L616" s="349" t="b">
        <f>IFERROR(__xludf.DUMMYFUNCTION("if(B616= ""Buy"",CONCAT(GOOGLEFINANCE(A616,""NAME""),"" share currently trading at Rs""&amp;C616&amp;"", Which is ""&amp;H616&amp;"" below the Target price of Rs""&amp;D616&amp;"".""))"),FALSE)</f>
        <v>0</v>
      </c>
    </row>
    <row r="617">
      <c r="A617" s="349" t="str">
        <f>Dashboard!B713</f>
        <v/>
      </c>
      <c r="B617" s="349" t="str">
        <f>Dashboard!H713</f>
        <v/>
      </c>
      <c r="C617" s="356" t="str">
        <f>Dashboard!G713</f>
        <v/>
      </c>
      <c r="D617" s="489" t="str">
        <f>Dashboard!M713</f>
        <v/>
      </c>
      <c r="E617" s="490" t="s">
        <v>314</v>
      </c>
      <c r="F617" s="491" t="str">
        <f t="shared" si="1"/>
        <v/>
      </c>
      <c r="G617" s="492" t="s">
        <v>314</v>
      </c>
      <c r="H617" s="349" t="str">
        <f t="shared" si="2"/>
        <v/>
      </c>
      <c r="I617" s="349" t="str">
        <f t="shared" si="3"/>
        <v/>
      </c>
      <c r="J617" s="493"/>
      <c r="K617" s="349" t="str">
        <f>IFERROR(__xludf.DUMMYFUNCTION("if(ISBLANK(A617),"""",if(B617=""Buy"",CONCAT(GOOGLEFINANCE(A617,""name""),"" {Symbol: ""&amp;A617&amp;""} High Alert!! Share Has Reached Its Target Buying Price,""),""""))"),"")</f>
        <v/>
      </c>
      <c r="L617" s="349" t="b">
        <f>IFERROR(__xludf.DUMMYFUNCTION("if(B617= ""Buy"",CONCAT(GOOGLEFINANCE(A617,""NAME""),"" share currently trading at Rs""&amp;C617&amp;"", Which is ""&amp;H617&amp;"" below the Target price of Rs""&amp;D617&amp;"".""))"),FALSE)</f>
        <v>0</v>
      </c>
    </row>
    <row r="618">
      <c r="A618" s="349" t="str">
        <f>Dashboard!B714</f>
        <v/>
      </c>
      <c r="B618" s="349" t="str">
        <f>Dashboard!H714</f>
        <v/>
      </c>
      <c r="C618" s="356" t="str">
        <f>Dashboard!G714</f>
        <v/>
      </c>
      <c r="D618" s="489" t="str">
        <f>Dashboard!M714</f>
        <v/>
      </c>
      <c r="E618" s="490" t="s">
        <v>314</v>
      </c>
      <c r="F618" s="491" t="str">
        <f t="shared" si="1"/>
        <v/>
      </c>
      <c r="G618" s="492" t="s">
        <v>314</v>
      </c>
      <c r="H618" s="349" t="str">
        <f t="shared" si="2"/>
        <v/>
      </c>
      <c r="I618" s="349" t="str">
        <f t="shared" si="3"/>
        <v/>
      </c>
      <c r="J618" s="493"/>
      <c r="K618" s="349" t="str">
        <f>IFERROR(__xludf.DUMMYFUNCTION("if(ISBLANK(A618),"""",if(B618=""Buy"",CONCAT(GOOGLEFINANCE(A618,""name""),"" {Symbol: ""&amp;A618&amp;""} High Alert!! Share Has Reached Its Target Buying Price,""),""""))"),"")</f>
        <v/>
      </c>
      <c r="L618" s="349" t="b">
        <f>IFERROR(__xludf.DUMMYFUNCTION("if(B618= ""Buy"",CONCAT(GOOGLEFINANCE(A618,""NAME""),"" share currently trading at Rs""&amp;C618&amp;"", Which is ""&amp;H618&amp;"" below the Target price of Rs""&amp;D618&amp;"".""))"),FALSE)</f>
        <v>0</v>
      </c>
    </row>
    <row r="619">
      <c r="A619" s="349" t="str">
        <f>Dashboard!B715</f>
        <v/>
      </c>
      <c r="B619" s="349" t="str">
        <f>Dashboard!H715</f>
        <v/>
      </c>
      <c r="C619" s="356" t="str">
        <f>Dashboard!G715</f>
        <v/>
      </c>
      <c r="D619" s="489" t="str">
        <f>Dashboard!M715</f>
        <v/>
      </c>
      <c r="E619" s="490" t="s">
        <v>314</v>
      </c>
      <c r="F619" s="491" t="str">
        <f t="shared" si="1"/>
        <v/>
      </c>
      <c r="G619" s="492" t="s">
        <v>314</v>
      </c>
      <c r="H619" s="349" t="str">
        <f t="shared" si="2"/>
        <v/>
      </c>
      <c r="I619" s="349" t="str">
        <f t="shared" si="3"/>
        <v/>
      </c>
      <c r="J619" s="493"/>
      <c r="K619" s="349" t="str">
        <f>IFERROR(__xludf.DUMMYFUNCTION("if(ISBLANK(A619),"""",if(B619=""Buy"",CONCAT(GOOGLEFINANCE(A619,""name""),"" {Symbol: ""&amp;A619&amp;""} High Alert!! Share Has Reached Its Target Buying Price,""),""""))"),"")</f>
        <v/>
      </c>
      <c r="L619" s="349" t="b">
        <f>IFERROR(__xludf.DUMMYFUNCTION("if(B619= ""Buy"",CONCAT(GOOGLEFINANCE(A619,""NAME""),"" share currently trading at Rs""&amp;C619&amp;"", Which is ""&amp;H619&amp;"" below the Target price of Rs""&amp;D619&amp;"".""))"),FALSE)</f>
        <v>0</v>
      </c>
    </row>
    <row r="620">
      <c r="A620" s="349" t="str">
        <f>Dashboard!B716</f>
        <v/>
      </c>
      <c r="B620" s="349" t="str">
        <f>Dashboard!H716</f>
        <v/>
      </c>
      <c r="C620" s="356" t="str">
        <f>Dashboard!G716</f>
        <v/>
      </c>
      <c r="D620" s="489" t="str">
        <f>Dashboard!M716</f>
        <v/>
      </c>
      <c r="E620" s="490" t="s">
        <v>314</v>
      </c>
      <c r="F620" s="491" t="str">
        <f t="shared" si="1"/>
        <v/>
      </c>
      <c r="G620" s="492" t="s">
        <v>314</v>
      </c>
      <c r="H620" s="349" t="str">
        <f t="shared" si="2"/>
        <v/>
      </c>
      <c r="I620" s="349" t="str">
        <f t="shared" si="3"/>
        <v/>
      </c>
      <c r="J620" s="493"/>
      <c r="K620" s="349" t="str">
        <f>IFERROR(__xludf.DUMMYFUNCTION("if(ISBLANK(A620),"""",if(B620=""Buy"",CONCAT(GOOGLEFINANCE(A620,""name""),"" {Symbol: ""&amp;A620&amp;""} High Alert!! Share Has Reached Its Target Buying Price,""),""""))"),"")</f>
        <v/>
      </c>
      <c r="L620" s="349" t="b">
        <f>IFERROR(__xludf.DUMMYFUNCTION("if(B620= ""Buy"",CONCAT(GOOGLEFINANCE(A620,""NAME""),"" share currently trading at Rs""&amp;C620&amp;"", Which is ""&amp;H620&amp;"" below the Target price of Rs""&amp;D620&amp;"".""))"),FALSE)</f>
        <v>0</v>
      </c>
    </row>
    <row r="621">
      <c r="A621" s="349" t="str">
        <f>Dashboard!B717</f>
        <v/>
      </c>
      <c r="B621" s="349" t="str">
        <f>Dashboard!H717</f>
        <v/>
      </c>
      <c r="C621" s="356" t="str">
        <f>Dashboard!G717</f>
        <v/>
      </c>
      <c r="D621" s="489" t="str">
        <f>Dashboard!M717</f>
        <v/>
      </c>
      <c r="E621" s="490" t="s">
        <v>314</v>
      </c>
      <c r="F621" s="491" t="str">
        <f t="shared" si="1"/>
        <v/>
      </c>
      <c r="G621" s="492" t="s">
        <v>314</v>
      </c>
      <c r="H621" s="349" t="str">
        <f t="shared" si="2"/>
        <v/>
      </c>
      <c r="I621" s="349" t="str">
        <f t="shared" si="3"/>
        <v/>
      </c>
      <c r="J621" s="493"/>
      <c r="K621" s="349" t="str">
        <f>IFERROR(__xludf.DUMMYFUNCTION("if(ISBLANK(A621),"""",if(B621=""Buy"",CONCAT(GOOGLEFINANCE(A621,""name""),"" {Symbol: ""&amp;A621&amp;""} High Alert!! Share Has Reached Its Target Buying Price,""),""""))"),"")</f>
        <v/>
      </c>
      <c r="L621" s="349" t="b">
        <f>IFERROR(__xludf.DUMMYFUNCTION("if(B621= ""Buy"",CONCAT(GOOGLEFINANCE(A621,""NAME""),"" share currently trading at Rs""&amp;C621&amp;"", Which is ""&amp;H621&amp;"" below the Target price of Rs""&amp;D621&amp;"".""))"),FALSE)</f>
        <v>0</v>
      </c>
    </row>
    <row r="622">
      <c r="A622" s="349" t="str">
        <f>Dashboard!B718</f>
        <v/>
      </c>
      <c r="B622" s="349" t="str">
        <f>Dashboard!H718</f>
        <v/>
      </c>
      <c r="C622" s="356" t="str">
        <f>Dashboard!G718</f>
        <v/>
      </c>
      <c r="D622" s="489" t="str">
        <f>Dashboard!M718</f>
        <v/>
      </c>
      <c r="E622" s="490" t="s">
        <v>314</v>
      </c>
      <c r="F622" s="491" t="str">
        <f t="shared" si="1"/>
        <v/>
      </c>
      <c r="G622" s="492" t="s">
        <v>314</v>
      </c>
      <c r="H622" s="349" t="str">
        <f t="shared" si="2"/>
        <v/>
      </c>
      <c r="I622" s="349" t="str">
        <f t="shared" si="3"/>
        <v/>
      </c>
      <c r="J622" s="493"/>
      <c r="K622" s="349" t="str">
        <f>IFERROR(__xludf.DUMMYFUNCTION("if(ISBLANK(A622),"""",if(B622=""Buy"",CONCAT(GOOGLEFINANCE(A622,""name""),"" {Symbol: ""&amp;A622&amp;""} High Alert!! Share Has Reached Its Target Buying Price,""),""""))"),"")</f>
        <v/>
      </c>
      <c r="L622" s="349" t="b">
        <f>IFERROR(__xludf.DUMMYFUNCTION("if(B622= ""Buy"",CONCAT(GOOGLEFINANCE(A622,""NAME""),"" share currently trading at Rs""&amp;C622&amp;"", Which is ""&amp;H622&amp;"" below the Target price of Rs""&amp;D622&amp;"".""))"),FALSE)</f>
        <v>0</v>
      </c>
    </row>
    <row r="623">
      <c r="A623" s="349" t="str">
        <f>Dashboard!B719</f>
        <v/>
      </c>
      <c r="B623" s="349" t="str">
        <f>Dashboard!H719</f>
        <v/>
      </c>
      <c r="C623" s="356" t="str">
        <f>Dashboard!G719</f>
        <v/>
      </c>
      <c r="D623" s="489" t="str">
        <f>Dashboard!M719</f>
        <v/>
      </c>
      <c r="E623" s="490" t="s">
        <v>314</v>
      </c>
      <c r="F623" s="491" t="str">
        <f t="shared" si="1"/>
        <v/>
      </c>
      <c r="G623" s="492" t="s">
        <v>314</v>
      </c>
      <c r="H623" s="349" t="str">
        <f t="shared" si="2"/>
        <v/>
      </c>
      <c r="I623" s="349" t="str">
        <f t="shared" si="3"/>
        <v/>
      </c>
      <c r="J623" s="493"/>
      <c r="K623" s="349" t="str">
        <f>IFERROR(__xludf.DUMMYFUNCTION("if(ISBLANK(A623),"""",if(B623=""Buy"",CONCAT(GOOGLEFINANCE(A623,""name""),"" {Symbol: ""&amp;A623&amp;""} High Alert!! Share Has Reached Its Target Buying Price,""),""""))"),"")</f>
        <v/>
      </c>
      <c r="L623" s="349" t="b">
        <f>IFERROR(__xludf.DUMMYFUNCTION("if(B623= ""Buy"",CONCAT(GOOGLEFINANCE(A623,""NAME""),"" share currently trading at Rs""&amp;C623&amp;"", Which is ""&amp;H623&amp;"" below the Target price of Rs""&amp;D623&amp;"".""))"),FALSE)</f>
        <v>0</v>
      </c>
    </row>
    <row r="624">
      <c r="A624" s="349" t="str">
        <f>Dashboard!B720</f>
        <v/>
      </c>
      <c r="B624" s="349" t="str">
        <f>Dashboard!H720</f>
        <v/>
      </c>
      <c r="C624" s="356" t="str">
        <f>Dashboard!G720</f>
        <v/>
      </c>
      <c r="D624" s="489" t="str">
        <f>Dashboard!M720</f>
        <v/>
      </c>
      <c r="E624" s="490" t="s">
        <v>314</v>
      </c>
      <c r="F624" s="491" t="str">
        <f t="shared" si="1"/>
        <v/>
      </c>
      <c r="G624" s="492" t="s">
        <v>314</v>
      </c>
      <c r="H624" s="349" t="str">
        <f t="shared" si="2"/>
        <v/>
      </c>
      <c r="I624" s="349" t="str">
        <f t="shared" si="3"/>
        <v/>
      </c>
      <c r="J624" s="493"/>
      <c r="K624" s="349" t="str">
        <f>IFERROR(__xludf.DUMMYFUNCTION("if(ISBLANK(A624),"""",if(B624=""Buy"",CONCAT(GOOGLEFINANCE(A624,""name""),"" {Symbol: ""&amp;A624&amp;""} High Alert!! Share Has Reached Its Target Buying Price,""),""""))"),"")</f>
        <v/>
      </c>
      <c r="L624" s="349" t="b">
        <f>IFERROR(__xludf.DUMMYFUNCTION("if(B624= ""Buy"",CONCAT(GOOGLEFINANCE(A624,""NAME""),"" share currently trading at Rs""&amp;C624&amp;"", Which is ""&amp;H624&amp;"" below the Target price of Rs""&amp;D624&amp;"".""))"),FALSE)</f>
        <v>0</v>
      </c>
    </row>
    <row r="625">
      <c r="A625" s="349" t="str">
        <f>Dashboard!B721</f>
        <v/>
      </c>
      <c r="B625" s="349" t="str">
        <f>Dashboard!H721</f>
        <v/>
      </c>
      <c r="C625" s="356" t="str">
        <f>Dashboard!G721</f>
        <v/>
      </c>
      <c r="D625" s="489" t="str">
        <f>Dashboard!M721</f>
        <v/>
      </c>
      <c r="E625" s="490" t="s">
        <v>314</v>
      </c>
      <c r="F625" s="491" t="str">
        <f t="shared" si="1"/>
        <v/>
      </c>
      <c r="G625" s="492" t="s">
        <v>314</v>
      </c>
      <c r="H625" s="349" t="str">
        <f t="shared" si="2"/>
        <v/>
      </c>
      <c r="I625" s="349" t="str">
        <f t="shared" si="3"/>
        <v/>
      </c>
      <c r="J625" s="493"/>
      <c r="K625" s="349" t="str">
        <f>IFERROR(__xludf.DUMMYFUNCTION("if(ISBLANK(A625),"""",if(B625=""Buy"",CONCAT(GOOGLEFINANCE(A625,""name""),"" {Symbol: ""&amp;A625&amp;""} High Alert!! Share Has Reached Its Target Buying Price,""),""""))"),"")</f>
        <v/>
      </c>
      <c r="L625" s="349" t="b">
        <f>IFERROR(__xludf.DUMMYFUNCTION("if(B625= ""Buy"",CONCAT(GOOGLEFINANCE(A625,""NAME""),"" share currently trading at Rs""&amp;C625&amp;"", Which is ""&amp;H625&amp;"" below the Target price of Rs""&amp;D625&amp;"".""))"),FALSE)</f>
        <v>0</v>
      </c>
    </row>
    <row r="626">
      <c r="A626" s="349" t="str">
        <f>Dashboard!B722</f>
        <v/>
      </c>
      <c r="B626" s="349" t="str">
        <f>Dashboard!H722</f>
        <v/>
      </c>
      <c r="C626" s="356" t="str">
        <f>Dashboard!G722</f>
        <v/>
      </c>
      <c r="D626" s="489" t="str">
        <f>Dashboard!M722</f>
        <v/>
      </c>
      <c r="E626" s="490" t="s">
        <v>314</v>
      </c>
      <c r="F626" s="491" t="str">
        <f t="shared" si="1"/>
        <v/>
      </c>
      <c r="G626" s="492" t="s">
        <v>314</v>
      </c>
      <c r="H626" s="349" t="str">
        <f t="shared" si="2"/>
        <v/>
      </c>
      <c r="I626" s="349" t="str">
        <f t="shared" si="3"/>
        <v/>
      </c>
      <c r="J626" s="493"/>
      <c r="K626" s="349" t="str">
        <f>IFERROR(__xludf.DUMMYFUNCTION("if(ISBLANK(A626),"""",if(B626=""Buy"",CONCAT(GOOGLEFINANCE(A626,""name""),"" {Symbol: ""&amp;A626&amp;""} High Alert!! Share Has Reached Its Target Buying Price,""),""""))"),"")</f>
        <v/>
      </c>
      <c r="L626" s="349" t="b">
        <f>IFERROR(__xludf.DUMMYFUNCTION("if(B626= ""Buy"",CONCAT(GOOGLEFINANCE(A626,""NAME""),"" share currently trading at Rs""&amp;C626&amp;"", Which is ""&amp;H626&amp;"" below the Target price of Rs""&amp;D626&amp;"".""))"),FALSE)</f>
        <v>0</v>
      </c>
    </row>
    <row r="627">
      <c r="A627" s="349" t="str">
        <f>Dashboard!B723</f>
        <v/>
      </c>
      <c r="B627" s="349" t="str">
        <f>Dashboard!H723</f>
        <v/>
      </c>
      <c r="C627" s="356" t="str">
        <f>Dashboard!G723</f>
        <v/>
      </c>
      <c r="D627" s="489" t="str">
        <f>Dashboard!M723</f>
        <v/>
      </c>
      <c r="E627" s="490" t="s">
        <v>314</v>
      </c>
      <c r="F627" s="491" t="str">
        <f t="shared" si="1"/>
        <v/>
      </c>
      <c r="G627" s="492" t="s">
        <v>314</v>
      </c>
      <c r="H627" s="349" t="str">
        <f t="shared" si="2"/>
        <v/>
      </c>
      <c r="I627" s="349" t="str">
        <f t="shared" si="3"/>
        <v/>
      </c>
      <c r="J627" s="493"/>
      <c r="K627" s="349" t="str">
        <f>IFERROR(__xludf.DUMMYFUNCTION("if(ISBLANK(A627),"""",if(B627=""Buy"",CONCAT(GOOGLEFINANCE(A627,""name""),"" {Symbol: ""&amp;A627&amp;""} High Alert!! Share Has Reached Its Target Buying Price,""),""""))"),"")</f>
        <v/>
      </c>
      <c r="L627" s="349" t="b">
        <f>IFERROR(__xludf.DUMMYFUNCTION("if(B627= ""Buy"",CONCAT(GOOGLEFINANCE(A627,""NAME""),"" share currently trading at Rs""&amp;C627&amp;"", Which is ""&amp;H627&amp;"" below the Target price of Rs""&amp;D627&amp;"".""))"),FALSE)</f>
        <v>0</v>
      </c>
    </row>
    <row r="628">
      <c r="A628" s="349" t="str">
        <f>Dashboard!B724</f>
        <v/>
      </c>
      <c r="B628" s="349" t="str">
        <f>Dashboard!H724</f>
        <v/>
      </c>
      <c r="C628" s="356" t="str">
        <f>Dashboard!G724</f>
        <v/>
      </c>
      <c r="D628" s="489" t="str">
        <f>Dashboard!M724</f>
        <v/>
      </c>
      <c r="E628" s="490" t="s">
        <v>314</v>
      </c>
      <c r="F628" s="491" t="str">
        <f t="shared" si="1"/>
        <v/>
      </c>
      <c r="G628" s="492" t="s">
        <v>314</v>
      </c>
      <c r="H628" s="349" t="str">
        <f t="shared" si="2"/>
        <v/>
      </c>
      <c r="I628" s="349" t="str">
        <f t="shared" si="3"/>
        <v/>
      </c>
      <c r="J628" s="493"/>
      <c r="K628" s="349" t="str">
        <f>IFERROR(__xludf.DUMMYFUNCTION("if(ISBLANK(A628),"""",if(B628=""Buy"",CONCAT(GOOGLEFINANCE(A628,""name""),"" {Symbol: ""&amp;A628&amp;""} High Alert!! Share Has Reached Its Target Buying Price,""),""""))"),"")</f>
        <v/>
      </c>
      <c r="L628" s="349" t="b">
        <f>IFERROR(__xludf.DUMMYFUNCTION("if(B628= ""Buy"",CONCAT(GOOGLEFINANCE(A628,""NAME""),"" share currently trading at Rs""&amp;C628&amp;"", Which is ""&amp;H628&amp;"" below the Target price of Rs""&amp;D628&amp;"".""))"),FALSE)</f>
        <v>0</v>
      </c>
    </row>
    <row r="629">
      <c r="A629" s="349" t="str">
        <f>Dashboard!B725</f>
        <v/>
      </c>
      <c r="B629" s="349" t="str">
        <f>Dashboard!H725</f>
        <v/>
      </c>
      <c r="C629" s="356" t="str">
        <f>Dashboard!G725</f>
        <v/>
      </c>
      <c r="D629" s="489" t="str">
        <f>Dashboard!M725</f>
        <v/>
      </c>
      <c r="E629" s="490" t="s">
        <v>314</v>
      </c>
      <c r="F629" s="491" t="str">
        <f t="shared" si="1"/>
        <v/>
      </c>
      <c r="G629" s="492" t="s">
        <v>314</v>
      </c>
      <c r="H629" s="349" t="str">
        <f t="shared" si="2"/>
        <v/>
      </c>
      <c r="I629" s="349" t="str">
        <f t="shared" si="3"/>
        <v/>
      </c>
      <c r="J629" s="493"/>
      <c r="K629" s="349" t="str">
        <f>IFERROR(__xludf.DUMMYFUNCTION("if(ISBLANK(A629),"""",if(B629=""Buy"",CONCAT(GOOGLEFINANCE(A629,""name""),"" {Symbol: ""&amp;A629&amp;""} High Alert!! Share Has Reached Its Target Buying Price,""),""""))"),"")</f>
        <v/>
      </c>
      <c r="L629" s="349" t="b">
        <f>IFERROR(__xludf.DUMMYFUNCTION("if(B629= ""Buy"",CONCAT(GOOGLEFINANCE(A629,""NAME""),"" share currently trading at Rs""&amp;C629&amp;"", Which is ""&amp;H629&amp;"" below the Target price of Rs""&amp;D629&amp;"".""))"),FALSE)</f>
        <v>0</v>
      </c>
    </row>
    <row r="630">
      <c r="A630" s="349" t="str">
        <f>Dashboard!B726</f>
        <v/>
      </c>
      <c r="B630" s="349" t="str">
        <f>Dashboard!H726</f>
        <v/>
      </c>
      <c r="C630" s="356" t="str">
        <f>Dashboard!G726</f>
        <v/>
      </c>
      <c r="D630" s="489" t="str">
        <f>Dashboard!M726</f>
        <v/>
      </c>
      <c r="E630" s="490" t="s">
        <v>314</v>
      </c>
      <c r="F630" s="491" t="str">
        <f t="shared" si="1"/>
        <v/>
      </c>
      <c r="G630" s="492" t="s">
        <v>314</v>
      </c>
      <c r="H630" s="349" t="str">
        <f t="shared" si="2"/>
        <v/>
      </c>
      <c r="I630" s="349" t="str">
        <f t="shared" si="3"/>
        <v/>
      </c>
      <c r="J630" s="493"/>
      <c r="K630" s="349" t="str">
        <f>IFERROR(__xludf.DUMMYFUNCTION("if(ISBLANK(A630),"""",if(B630=""Buy"",CONCAT(GOOGLEFINANCE(A630,""name""),"" {Symbol: ""&amp;A630&amp;""} High Alert!! Share Has Reached Its Target Buying Price,""),""""))"),"")</f>
        <v/>
      </c>
      <c r="L630" s="349" t="b">
        <f>IFERROR(__xludf.DUMMYFUNCTION("if(B630= ""Buy"",CONCAT(GOOGLEFINANCE(A630,""NAME""),"" share currently trading at Rs""&amp;C630&amp;"", Which is ""&amp;H630&amp;"" below the Target price of Rs""&amp;D630&amp;"".""))"),FALSE)</f>
        <v>0</v>
      </c>
    </row>
    <row r="631">
      <c r="A631" s="349" t="str">
        <f>Dashboard!B727</f>
        <v/>
      </c>
      <c r="B631" s="349" t="str">
        <f>Dashboard!H727</f>
        <v/>
      </c>
      <c r="C631" s="356" t="str">
        <f>Dashboard!G727</f>
        <v/>
      </c>
      <c r="D631" s="489" t="str">
        <f>Dashboard!M727</f>
        <v/>
      </c>
      <c r="E631" s="490" t="s">
        <v>314</v>
      </c>
      <c r="F631" s="491" t="str">
        <f t="shared" si="1"/>
        <v/>
      </c>
      <c r="G631" s="492" t="s">
        <v>314</v>
      </c>
      <c r="H631" s="349" t="str">
        <f t="shared" si="2"/>
        <v/>
      </c>
      <c r="I631" s="349" t="str">
        <f t="shared" si="3"/>
        <v/>
      </c>
      <c r="J631" s="493"/>
      <c r="K631" s="349" t="str">
        <f>IFERROR(__xludf.DUMMYFUNCTION("if(ISBLANK(A631),"""",if(B631=""Buy"",CONCAT(GOOGLEFINANCE(A631,""name""),"" {Symbol: ""&amp;A631&amp;""} High Alert!! Share Has Reached Its Target Buying Price,""),""""))"),"")</f>
        <v/>
      </c>
      <c r="L631" s="349" t="b">
        <f>IFERROR(__xludf.DUMMYFUNCTION("if(B631= ""Buy"",CONCAT(GOOGLEFINANCE(A631,""NAME""),"" share currently trading at Rs""&amp;C631&amp;"", Which is ""&amp;H631&amp;"" below the Target price of Rs""&amp;D631&amp;"".""))"),FALSE)</f>
        <v>0</v>
      </c>
    </row>
    <row r="632">
      <c r="A632" s="349" t="str">
        <f>Dashboard!B728</f>
        <v/>
      </c>
      <c r="B632" s="349" t="str">
        <f>Dashboard!H728</f>
        <v/>
      </c>
      <c r="C632" s="356" t="str">
        <f>Dashboard!G728</f>
        <v/>
      </c>
      <c r="D632" s="489" t="str">
        <f>Dashboard!M728</f>
        <v/>
      </c>
      <c r="E632" s="490" t="s">
        <v>314</v>
      </c>
      <c r="F632" s="491" t="str">
        <f t="shared" si="1"/>
        <v/>
      </c>
      <c r="G632" s="492" t="s">
        <v>314</v>
      </c>
      <c r="H632" s="349" t="str">
        <f t="shared" si="2"/>
        <v/>
      </c>
      <c r="I632" s="349" t="str">
        <f t="shared" si="3"/>
        <v/>
      </c>
      <c r="J632" s="493"/>
      <c r="K632" s="349" t="str">
        <f>IFERROR(__xludf.DUMMYFUNCTION("if(ISBLANK(A632),"""",if(B632=""Buy"",CONCAT(GOOGLEFINANCE(A632,""name""),"" {Symbol: ""&amp;A632&amp;""} High Alert!! Share Has Reached Its Target Buying Price,""),""""))"),"")</f>
        <v/>
      </c>
      <c r="L632" s="349" t="b">
        <f>IFERROR(__xludf.DUMMYFUNCTION("if(B632= ""Buy"",CONCAT(GOOGLEFINANCE(A632,""NAME""),"" share currently trading at Rs""&amp;C632&amp;"", Which is ""&amp;H632&amp;"" below the Target price of Rs""&amp;D632&amp;"".""))"),FALSE)</f>
        <v>0</v>
      </c>
    </row>
    <row r="633">
      <c r="A633" s="349" t="str">
        <f>Dashboard!B729</f>
        <v/>
      </c>
      <c r="B633" s="349" t="str">
        <f>Dashboard!H729</f>
        <v/>
      </c>
      <c r="C633" s="356" t="str">
        <f>Dashboard!G729</f>
        <v/>
      </c>
      <c r="D633" s="489" t="str">
        <f>Dashboard!M729</f>
        <v/>
      </c>
      <c r="E633" s="490" t="s">
        <v>314</v>
      </c>
      <c r="F633" s="491" t="str">
        <f t="shared" si="1"/>
        <v/>
      </c>
      <c r="G633" s="492" t="s">
        <v>314</v>
      </c>
      <c r="H633" s="349" t="str">
        <f t="shared" si="2"/>
        <v/>
      </c>
      <c r="I633" s="349" t="str">
        <f t="shared" si="3"/>
        <v/>
      </c>
      <c r="J633" s="493"/>
      <c r="K633" s="349" t="str">
        <f>IFERROR(__xludf.DUMMYFUNCTION("if(ISBLANK(A633),"""",if(B633=""Buy"",CONCAT(GOOGLEFINANCE(A633,""name""),"" {Symbol: ""&amp;A633&amp;""} High Alert!! Share Has Reached Its Target Buying Price,""),""""))"),"")</f>
        <v/>
      </c>
      <c r="L633" s="349" t="b">
        <f>IFERROR(__xludf.DUMMYFUNCTION("if(B633= ""Buy"",CONCAT(GOOGLEFINANCE(A633,""NAME""),"" share currently trading at Rs""&amp;C633&amp;"", Which is ""&amp;H633&amp;"" below the Target price of Rs""&amp;D633&amp;"".""))"),FALSE)</f>
        <v>0</v>
      </c>
    </row>
    <row r="634">
      <c r="A634" s="349" t="str">
        <f>Dashboard!B730</f>
        <v/>
      </c>
      <c r="B634" s="349" t="str">
        <f>Dashboard!H730</f>
        <v/>
      </c>
      <c r="C634" s="356" t="str">
        <f>Dashboard!G730</f>
        <v/>
      </c>
      <c r="D634" s="489" t="str">
        <f>Dashboard!M730</f>
        <v/>
      </c>
      <c r="E634" s="490" t="s">
        <v>314</v>
      </c>
      <c r="F634" s="491" t="str">
        <f t="shared" si="1"/>
        <v/>
      </c>
      <c r="G634" s="492" t="s">
        <v>314</v>
      </c>
      <c r="H634" s="349" t="str">
        <f t="shared" si="2"/>
        <v/>
      </c>
      <c r="I634" s="349" t="str">
        <f t="shared" si="3"/>
        <v/>
      </c>
      <c r="J634" s="493"/>
      <c r="K634" s="349" t="str">
        <f>IFERROR(__xludf.DUMMYFUNCTION("if(ISBLANK(A634),"""",if(B634=""Buy"",CONCAT(GOOGLEFINANCE(A634,""name""),"" {Symbol: ""&amp;A634&amp;""} High Alert!! Share Has Reached Its Target Buying Price,""),""""))"),"")</f>
        <v/>
      </c>
      <c r="L634" s="349" t="b">
        <f>IFERROR(__xludf.DUMMYFUNCTION("if(B634= ""Buy"",CONCAT(GOOGLEFINANCE(A634,""NAME""),"" share currently trading at Rs""&amp;C634&amp;"", Which is ""&amp;H634&amp;"" below the Target price of Rs""&amp;D634&amp;"".""))"),FALSE)</f>
        <v>0</v>
      </c>
    </row>
    <row r="635">
      <c r="A635" s="349" t="str">
        <f>Dashboard!B731</f>
        <v/>
      </c>
      <c r="B635" s="349" t="str">
        <f>Dashboard!H731</f>
        <v/>
      </c>
      <c r="C635" s="356" t="str">
        <f>Dashboard!G731</f>
        <v/>
      </c>
      <c r="D635" s="489" t="str">
        <f>Dashboard!M731</f>
        <v/>
      </c>
      <c r="E635" s="490" t="s">
        <v>314</v>
      </c>
      <c r="F635" s="491" t="str">
        <f t="shared" si="1"/>
        <v/>
      </c>
      <c r="G635" s="492" t="s">
        <v>314</v>
      </c>
      <c r="H635" s="349" t="str">
        <f t="shared" si="2"/>
        <v/>
      </c>
      <c r="I635" s="349" t="str">
        <f t="shared" si="3"/>
        <v/>
      </c>
      <c r="J635" s="493"/>
      <c r="K635" s="349" t="str">
        <f>IFERROR(__xludf.DUMMYFUNCTION("if(ISBLANK(A635),"""",if(B635=""Buy"",CONCAT(GOOGLEFINANCE(A635,""name""),"" {Symbol: ""&amp;A635&amp;""} High Alert!! Share Has Reached Its Target Buying Price,""),""""))"),"")</f>
        <v/>
      </c>
      <c r="L635" s="349" t="b">
        <f>IFERROR(__xludf.DUMMYFUNCTION("if(B635= ""Buy"",CONCAT(GOOGLEFINANCE(A635,""NAME""),"" share currently trading at Rs""&amp;C635&amp;"", Which is ""&amp;H635&amp;"" below the Target price of Rs""&amp;D635&amp;"".""))"),FALSE)</f>
        <v>0</v>
      </c>
    </row>
    <row r="636">
      <c r="A636" s="349" t="str">
        <f>Dashboard!B732</f>
        <v/>
      </c>
      <c r="B636" s="349" t="str">
        <f>Dashboard!H732</f>
        <v/>
      </c>
      <c r="C636" s="356" t="str">
        <f>Dashboard!G732</f>
        <v/>
      </c>
      <c r="D636" s="489" t="str">
        <f>Dashboard!M732</f>
        <v/>
      </c>
      <c r="E636" s="490" t="s">
        <v>314</v>
      </c>
      <c r="F636" s="491" t="str">
        <f t="shared" si="1"/>
        <v/>
      </c>
      <c r="G636" s="492" t="s">
        <v>314</v>
      </c>
      <c r="H636" s="349" t="str">
        <f t="shared" si="2"/>
        <v/>
      </c>
      <c r="I636" s="349" t="str">
        <f t="shared" si="3"/>
        <v/>
      </c>
      <c r="J636" s="493"/>
      <c r="K636" s="349" t="str">
        <f>IFERROR(__xludf.DUMMYFUNCTION("if(ISBLANK(A636),"""",if(B636=""Buy"",CONCAT(GOOGLEFINANCE(A636,""name""),"" {Symbol: ""&amp;A636&amp;""} High Alert!! Share Has Reached Its Target Buying Price,""),""""))"),"")</f>
        <v/>
      </c>
      <c r="L636" s="349" t="b">
        <f>IFERROR(__xludf.DUMMYFUNCTION("if(B636= ""Buy"",CONCAT(GOOGLEFINANCE(A636,""NAME""),"" share currently trading at Rs""&amp;C636&amp;"", Which is ""&amp;H636&amp;"" below the Target price of Rs""&amp;D636&amp;"".""))"),FALSE)</f>
        <v>0</v>
      </c>
    </row>
    <row r="637">
      <c r="A637" s="349" t="str">
        <f>Dashboard!B733</f>
        <v/>
      </c>
      <c r="B637" s="349" t="str">
        <f>Dashboard!H733</f>
        <v/>
      </c>
      <c r="C637" s="356" t="str">
        <f>Dashboard!G733</f>
        <v/>
      </c>
      <c r="D637" s="489" t="str">
        <f>Dashboard!M733</f>
        <v/>
      </c>
      <c r="E637" s="490" t="s">
        <v>314</v>
      </c>
      <c r="F637" s="491" t="str">
        <f t="shared" si="1"/>
        <v/>
      </c>
      <c r="G637" s="492" t="s">
        <v>314</v>
      </c>
      <c r="H637" s="349" t="str">
        <f t="shared" si="2"/>
        <v/>
      </c>
      <c r="I637" s="349" t="str">
        <f t="shared" si="3"/>
        <v/>
      </c>
      <c r="J637" s="493"/>
      <c r="K637" s="349" t="str">
        <f>IFERROR(__xludf.DUMMYFUNCTION("if(ISBLANK(A637),"""",if(B637=""Buy"",CONCAT(GOOGLEFINANCE(A637,""name""),"" {Symbol: ""&amp;A637&amp;""} High Alert!! Share Has Reached Its Target Buying Price,""),""""))"),"")</f>
        <v/>
      </c>
      <c r="L637" s="349" t="b">
        <f>IFERROR(__xludf.DUMMYFUNCTION("if(B637= ""Buy"",CONCAT(GOOGLEFINANCE(A637,""NAME""),"" share currently trading at Rs""&amp;C637&amp;"", Which is ""&amp;H637&amp;"" below the Target price of Rs""&amp;D637&amp;"".""))"),FALSE)</f>
        <v>0</v>
      </c>
    </row>
    <row r="638">
      <c r="A638" s="349" t="str">
        <f>Dashboard!B734</f>
        <v/>
      </c>
      <c r="B638" s="349" t="str">
        <f>Dashboard!H734</f>
        <v/>
      </c>
      <c r="C638" s="356" t="str">
        <f>Dashboard!G734</f>
        <v/>
      </c>
      <c r="D638" s="489" t="str">
        <f>Dashboard!M734</f>
        <v/>
      </c>
      <c r="E638" s="490" t="s">
        <v>314</v>
      </c>
      <c r="F638" s="491" t="str">
        <f t="shared" si="1"/>
        <v/>
      </c>
      <c r="G638" s="492" t="s">
        <v>314</v>
      </c>
      <c r="H638" s="349" t="str">
        <f t="shared" si="2"/>
        <v/>
      </c>
      <c r="I638" s="349" t="str">
        <f t="shared" si="3"/>
        <v/>
      </c>
      <c r="J638" s="493"/>
      <c r="K638" s="349" t="str">
        <f>IFERROR(__xludf.DUMMYFUNCTION("if(ISBLANK(A638),"""",if(B638=""Buy"",CONCAT(GOOGLEFINANCE(A638,""name""),"" {Symbol: ""&amp;A638&amp;""} High Alert!! Share Has Reached Its Target Buying Price,""),""""))"),"")</f>
        <v/>
      </c>
      <c r="L638" s="349" t="b">
        <f>IFERROR(__xludf.DUMMYFUNCTION("if(B638= ""Buy"",CONCAT(GOOGLEFINANCE(A638,""NAME""),"" share currently trading at Rs""&amp;C638&amp;"", Which is ""&amp;H638&amp;"" below the Target price of Rs""&amp;D638&amp;"".""))"),FALSE)</f>
        <v>0</v>
      </c>
    </row>
    <row r="639">
      <c r="A639" s="349" t="str">
        <f>Dashboard!B735</f>
        <v/>
      </c>
      <c r="B639" s="349" t="str">
        <f>Dashboard!H735</f>
        <v/>
      </c>
      <c r="C639" s="356" t="str">
        <f>Dashboard!G735</f>
        <v/>
      </c>
      <c r="D639" s="489" t="str">
        <f>Dashboard!M735</f>
        <v/>
      </c>
      <c r="E639" s="490" t="s">
        <v>314</v>
      </c>
      <c r="F639" s="491" t="str">
        <f t="shared" si="1"/>
        <v/>
      </c>
      <c r="G639" s="492" t="s">
        <v>314</v>
      </c>
      <c r="H639" s="349" t="str">
        <f t="shared" si="2"/>
        <v/>
      </c>
      <c r="I639" s="349" t="str">
        <f t="shared" si="3"/>
        <v/>
      </c>
      <c r="J639" s="493"/>
      <c r="K639" s="349" t="str">
        <f>IFERROR(__xludf.DUMMYFUNCTION("if(ISBLANK(A639),"""",if(B639=""Buy"",CONCAT(GOOGLEFINANCE(A639,""name""),"" {Symbol: ""&amp;A639&amp;""} High Alert!! Share Has Reached Its Target Buying Price,""),""""))"),"")</f>
        <v/>
      </c>
      <c r="L639" s="349" t="b">
        <f>IFERROR(__xludf.DUMMYFUNCTION("if(B639= ""Buy"",CONCAT(GOOGLEFINANCE(A639,""NAME""),"" share currently trading at Rs""&amp;C639&amp;"", Which is ""&amp;H639&amp;"" below the Target price of Rs""&amp;D639&amp;"".""))"),FALSE)</f>
        <v>0</v>
      </c>
    </row>
    <row r="640">
      <c r="A640" s="349" t="str">
        <f>Dashboard!B736</f>
        <v/>
      </c>
      <c r="B640" s="349" t="str">
        <f>Dashboard!H736</f>
        <v/>
      </c>
      <c r="C640" s="356" t="str">
        <f>Dashboard!G736</f>
        <v/>
      </c>
      <c r="D640" s="489" t="str">
        <f>Dashboard!M736</f>
        <v/>
      </c>
      <c r="E640" s="490" t="s">
        <v>314</v>
      </c>
      <c r="F640" s="491" t="str">
        <f t="shared" si="1"/>
        <v/>
      </c>
      <c r="G640" s="492" t="s">
        <v>314</v>
      </c>
      <c r="H640" s="349" t="str">
        <f t="shared" si="2"/>
        <v/>
      </c>
      <c r="I640" s="349" t="str">
        <f t="shared" si="3"/>
        <v/>
      </c>
      <c r="J640" s="493"/>
      <c r="K640" s="349" t="str">
        <f>IFERROR(__xludf.DUMMYFUNCTION("if(ISBLANK(A640),"""",if(B640=""Buy"",CONCAT(GOOGLEFINANCE(A640,""name""),"" {Symbol: ""&amp;A640&amp;""} High Alert!! Share Has Reached Its Target Buying Price,""),""""))"),"")</f>
        <v/>
      </c>
      <c r="L640" s="349" t="b">
        <f>IFERROR(__xludf.DUMMYFUNCTION("if(B640= ""Buy"",CONCAT(GOOGLEFINANCE(A640,""NAME""),"" share currently trading at Rs""&amp;C640&amp;"", Which is ""&amp;H640&amp;"" below the Target price of Rs""&amp;D640&amp;"".""))"),FALSE)</f>
        <v>0</v>
      </c>
    </row>
    <row r="641">
      <c r="A641" s="349" t="str">
        <f>Dashboard!B737</f>
        <v/>
      </c>
      <c r="B641" s="349" t="str">
        <f>Dashboard!H737</f>
        <v/>
      </c>
      <c r="C641" s="356" t="str">
        <f>Dashboard!G737</f>
        <v/>
      </c>
      <c r="D641" s="489" t="str">
        <f>Dashboard!M737</f>
        <v/>
      </c>
      <c r="E641" s="490" t="s">
        <v>314</v>
      </c>
      <c r="F641" s="491" t="str">
        <f t="shared" si="1"/>
        <v/>
      </c>
      <c r="G641" s="492" t="s">
        <v>314</v>
      </c>
      <c r="H641" s="349" t="str">
        <f t="shared" si="2"/>
        <v/>
      </c>
      <c r="I641" s="349" t="str">
        <f t="shared" si="3"/>
        <v/>
      </c>
      <c r="J641" s="493"/>
      <c r="K641" s="349" t="str">
        <f>IFERROR(__xludf.DUMMYFUNCTION("if(ISBLANK(A641),"""",if(B641=""Buy"",CONCAT(GOOGLEFINANCE(A641,""name""),"" {Symbol: ""&amp;A641&amp;""} High Alert!! Share Has Reached Its Target Buying Price,""),""""))"),"")</f>
        <v/>
      </c>
      <c r="L641" s="349" t="b">
        <f>IFERROR(__xludf.DUMMYFUNCTION("if(B641= ""Buy"",CONCAT(GOOGLEFINANCE(A641,""NAME""),"" share currently trading at Rs""&amp;C641&amp;"", Which is ""&amp;H641&amp;"" below the Target price of Rs""&amp;D641&amp;"".""))"),FALSE)</f>
        <v>0</v>
      </c>
    </row>
    <row r="642">
      <c r="A642" s="349" t="str">
        <f>Dashboard!B738</f>
        <v/>
      </c>
      <c r="B642" s="349" t="str">
        <f>Dashboard!H738</f>
        <v/>
      </c>
      <c r="C642" s="356" t="str">
        <f>Dashboard!G738</f>
        <v/>
      </c>
      <c r="D642" s="489" t="str">
        <f>Dashboard!M738</f>
        <v/>
      </c>
      <c r="E642" s="490" t="s">
        <v>314</v>
      </c>
      <c r="F642" s="491" t="str">
        <f t="shared" si="1"/>
        <v/>
      </c>
      <c r="G642" s="492" t="s">
        <v>314</v>
      </c>
      <c r="H642" s="349" t="str">
        <f t="shared" si="2"/>
        <v/>
      </c>
      <c r="I642" s="349" t="str">
        <f t="shared" si="3"/>
        <v/>
      </c>
      <c r="J642" s="493"/>
      <c r="K642" s="349" t="str">
        <f>IFERROR(__xludf.DUMMYFUNCTION("if(ISBLANK(A642),"""",if(B642=""Buy"",CONCAT(GOOGLEFINANCE(A642,""name""),"" {Symbol: ""&amp;A642&amp;""} High Alert!! Share Has Reached Its Target Buying Price,""),""""))"),"")</f>
        <v/>
      </c>
      <c r="L642" s="349" t="b">
        <f>IFERROR(__xludf.DUMMYFUNCTION("if(B642= ""Buy"",CONCAT(GOOGLEFINANCE(A642,""NAME""),"" share currently trading at Rs""&amp;C642&amp;"", Which is ""&amp;H642&amp;"" below the Target price of Rs""&amp;D642&amp;"".""))"),FALSE)</f>
        <v>0</v>
      </c>
    </row>
    <row r="643">
      <c r="A643" s="349" t="str">
        <f>Dashboard!B739</f>
        <v/>
      </c>
      <c r="B643" s="349" t="str">
        <f>Dashboard!H739</f>
        <v/>
      </c>
      <c r="C643" s="356" t="str">
        <f>Dashboard!G739</f>
        <v/>
      </c>
      <c r="D643" s="489" t="str">
        <f>Dashboard!M739</f>
        <v/>
      </c>
      <c r="E643" s="490" t="s">
        <v>314</v>
      </c>
      <c r="F643" s="491" t="str">
        <f t="shared" si="1"/>
        <v/>
      </c>
      <c r="G643" s="492" t="s">
        <v>314</v>
      </c>
      <c r="H643" s="349" t="str">
        <f t="shared" si="2"/>
        <v/>
      </c>
      <c r="I643" s="349" t="str">
        <f t="shared" si="3"/>
        <v/>
      </c>
      <c r="J643" s="493"/>
      <c r="K643" s="349" t="str">
        <f>IFERROR(__xludf.DUMMYFUNCTION("if(ISBLANK(A643),"""",if(B643=""Buy"",CONCAT(GOOGLEFINANCE(A643,""name""),"" {Symbol: ""&amp;A643&amp;""} High Alert!! Share Has Reached Its Target Buying Price,""),""""))"),"")</f>
        <v/>
      </c>
      <c r="L643" s="349" t="b">
        <f>IFERROR(__xludf.DUMMYFUNCTION("if(B643= ""Buy"",CONCAT(GOOGLEFINANCE(A643,""NAME""),"" share currently trading at Rs""&amp;C643&amp;"", Which is ""&amp;H643&amp;"" below the Target price of Rs""&amp;D643&amp;"".""))"),FALSE)</f>
        <v>0</v>
      </c>
    </row>
    <row r="644">
      <c r="A644" s="349" t="str">
        <f>Dashboard!B740</f>
        <v/>
      </c>
      <c r="B644" s="349" t="str">
        <f>Dashboard!H740</f>
        <v/>
      </c>
      <c r="C644" s="356" t="str">
        <f>Dashboard!G740</f>
        <v/>
      </c>
      <c r="D644" s="489" t="str">
        <f>Dashboard!M740</f>
        <v/>
      </c>
      <c r="E644" s="490" t="s">
        <v>314</v>
      </c>
      <c r="F644" s="491" t="str">
        <f t="shared" si="1"/>
        <v/>
      </c>
      <c r="G644" s="492" t="s">
        <v>314</v>
      </c>
      <c r="H644" s="349" t="str">
        <f t="shared" si="2"/>
        <v/>
      </c>
      <c r="I644" s="349" t="str">
        <f t="shared" si="3"/>
        <v/>
      </c>
      <c r="J644" s="493"/>
      <c r="K644" s="349" t="str">
        <f>IFERROR(__xludf.DUMMYFUNCTION("if(ISBLANK(A644),"""",if(B644=""Buy"",CONCAT(GOOGLEFINANCE(A644,""name""),"" {Symbol: ""&amp;A644&amp;""} High Alert!! Share Has Reached Its Target Buying Price,""),""""))"),"")</f>
        <v/>
      </c>
      <c r="L644" s="349" t="b">
        <f>IFERROR(__xludf.DUMMYFUNCTION("if(B644= ""Buy"",CONCAT(GOOGLEFINANCE(A644,""NAME""),"" share currently trading at Rs""&amp;C644&amp;"", Which is ""&amp;H644&amp;"" below the Target price of Rs""&amp;D644&amp;"".""))"),FALSE)</f>
        <v>0</v>
      </c>
    </row>
    <row r="645">
      <c r="A645" s="349" t="str">
        <f>Dashboard!B741</f>
        <v/>
      </c>
      <c r="B645" s="349" t="str">
        <f>Dashboard!H741</f>
        <v/>
      </c>
      <c r="C645" s="356" t="str">
        <f>Dashboard!G741</f>
        <v/>
      </c>
      <c r="D645" s="489" t="str">
        <f>Dashboard!M741</f>
        <v/>
      </c>
      <c r="E645" s="490" t="s">
        <v>314</v>
      </c>
      <c r="F645" s="491" t="str">
        <f t="shared" si="1"/>
        <v/>
      </c>
      <c r="G645" s="492" t="s">
        <v>314</v>
      </c>
      <c r="H645" s="349" t="str">
        <f t="shared" si="2"/>
        <v/>
      </c>
      <c r="I645" s="349" t="str">
        <f t="shared" si="3"/>
        <v/>
      </c>
      <c r="J645" s="493"/>
      <c r="K645" s="349" t="str">
        <f>IFERROR(__xludf.DUMMYFUNCTION("if(ISBLANK(A645),"""",if(B645=""Buy"",CONCAT(GOOGLEFINANCE(A645,""name""),"" {Symbol: ""&amp;A645&amp;""} High Alert!! Share Has Reached Its Target Buying Price,""),""""))"),"")</f>
        <v/>
      </c>
      <c r="L645" s="349" t="b">
        <f>IFERROR(__xludf.DUMMYFUNCTION("if(B645= ""Buy"",CONCAT(GOOGLEFINANCE(A645,""NAME""),"" share currently trading at Rs""&amp;C645&amp;"", Which is ""&amp;H645&amp;"" below the Target price of Rs""&amp;D645&amp;"".""))"),FALSE)</f>
        <v>0</v>
      </c>
    </row>
    <row r="646">
      <c r="A646" s="349" t="str">
        <f>Dashboard!B742</f>
        <v/>
      </c>
      <c r="B646" s="349" t="str">
        <f>Dashboard!H742</f>
        <v/>
      </c>
      <c r="C646" s="356" t="str">
        <f>Dashboard!G742</f>
        <v/>
      </c>
      <c r="D646" s="489" t="str">
        <f>Dashboard!M742</f>
        <v/>
      </c>
      <c r="E646" s="490" t="s">
        <v>314</v>
      </c>
      <c r="F646" s="491" t="str">
        <f t="shared" si="1"/>
        <v/>
      </c>
      <c r="G646" s="492" t="s">
        <v>314</v>
      </c>
      <c r="H646" s="349" t="str">
        <f t="shared" si="2"/>
        <v/>
      </c>
      <c r="I646" s="349" t="str">
        <f t="shared" si="3"/>
        <v/>
      </c>
      <c r="J646" s="493"/>
      <c r="K646" s="349" t="str">
        <f>IFERROR(__xludf.DUMMYFUNCTION("if(ISBLANK(A646),"""",if(B646=""Buy"",CONCAT(GOOGLEFINANCE(A646,""name""),"" {Symbol: ""&amp;A646&amp;""} High Alert!! Share Has Reached Its Target Buying Price,""),""""))"),"")</f>
        <v/>
      </c>
      <c r="L646" s="349" t="b">
        <f>IFERROR(__xludf.DUMMYFUNCTION("if(B646= ""Buy"",CONCAT(GOOGLEFINANCE(A646,""NAME""),"" share currently trading at Rs""&amp;C646&amp;"", Which is ""&amp;H646&amp;"" below the Target price of Rs""&amp;D646&amp;"".""))"),FALSE)</f>
        <v>0</v>
      </c>
    </row>
    <row r="647">
      <c r="A647" s="349" t="str">
        <f>Dashboard!B743</f>
        <v/>
      </c>
      <c r="B647" s="349" t="str">
        <f>Dashboard!H743</f>
        <v/>
      </c>
      <c r="C647" s="356" t="str">
        <f>Dashboard!G743</f>
        <v/>
      </c>
      <c r="D647" s="489" t="str">
        <f>Dashboard!M743</f>
        <v/>
      </c>
      <c r="E647" s="490" t="s">
        <v>314</v>
      </c>
      <c r="F647" s="491" t="str">
        <f t="shared" si="1"/>
        <v/>
      </c>
      <c r="G647" s="492" t="s">
        <v>314</v>
      </c>
      <c r="H647" s="349" t="str">
        <f t="shared" si="2"/>
        <v/>
      </c>
      <c r="I647" s="349" t="str">
        <f t="shared" si="3"/>
        <v/>
      </c>
      <c r="J647" s="493"/>
      <c r="K647" s="349" t="str">
        <f>IFERROR(__xludf.DUMMYFUNCTION("if(ISBLANK(A647),"""",if(B647=""Buy"",CONCAT(GOOGLEFINANCE(A647,""name""),"" {Symbol: ""&amp;A647&amp;""} High Alert!! Share Has Reached Its Target Buying Price,""),""""))"),"")</f>
        <v/>
      </c>
      <c r="L647" s="349" t="b">
        <f>IFERROR(__xludf.DUMMYFUNCTION("if(B647= ""Buy"",CONCAT(GOOGLEFINANCE(A647,""NAME""),"" share currently trading at Rs""&amp;C647&amp;"", Which is ""&amp;H647&amp;"" below the Target price of Rs""&amp;D647&amp;"".""))"),FALSE)</f>
        <v>0</v>
      </c>
    </row>
    <row r="648">
      <c r="A648" s="349" t="str">
        <f>Dashboard!B744</f>
        <v/>
      </c>
      <c r="B648" s="349" t="str">
        <f>Dashboard!H744</f>
        <v/>
      </c>
      <c r="C648" s="356" t="str">
        <f>Dashboard!G744</f>
        <v/>
      </c>
      <c r="D648" s="489" t="str">
        <f>Dashboard!M744</f>
        <v/>
      </c>
      <c r="E648" s="490" t="s">
        <v>314</v>
      </c>
      <c r="F648" s="491" t="str">
        <f t="shared" si="1"/>
        <v/>
      </c>
      <c r="G648" s="492" t="s">
        <v>314</v>
      </c>
      <c r="H648" s="349" t="str">
        <f t="shared" si="2"/>
        <v/>
      </c>
      <c r="I648" s="349" t="str">
        <f t="shared" si="3"/>
        <v/>
      </c>
      <c r="J648" s="493"/>
      <c r="K648" s="349" t="str">
        <f>IFERROR(__xludf.DUMMYFUNCTION("if(ISBLANK(A648),"""",if(B648=""Buy"",CONCAT(GOOGLEFINANCE(A648,""name""),"" {Symbol: ""&amp;A648&amp;""} High Alert!! Share Has Reached Its Target Buying Price,""),""""))"),"")</f>
        <v/>
      </c>
      <c r="L648" s="349" t="b">
        <f>IFERROR(__xludf.DUMMYFUNCTION("if(B648= ""Buy"",CONCAT(GOOGLEFINANCE(A648,""NAME""),"" share currently trading at Rs""&amp;C648&amp;"", Which is ""&amp;H648&amp;"" below the Target price of Rs""&amp;D648&amp;"".""))"),FALSE)</f>
        <v>0</v>
      </c>
    </row>
    <row r="649">
      <c r="A649" s="349" t="str">
        <f>Dashboard!B745</f>
        <v/>
      </c>
      <c r="B649" s="349" t="str">
        <f>Dashboard!H745</f>
        <v/>
      </c>
      <c r="C649" s="356" t="str">
        <f>Dashboard!G745</f>
        <v/>
      </c>
      <c r="D649" s="489" t="str">
        <f>Dashboard!M745</f>
        <v/>
      </c>
      <c r="E649" s="490" t="s">
        <v>314</v>
      </c>
      <c r="F649" s="491" t="str">
        <f t="shared" si="1"/>
        <v/>
      </c>
      <c r="G649" s="492" t="s">
        <v>314</v>
      </c>
      <c r="H649" s="349" t="str">
        <f t="shared" si="2"/>
        <v/>
      </c>
      <c r="I649" s="349" t="str">
        <f t="shared" si="3"/>
        <v/>
      </c>
      <c r="J649" s="493"/>
      <c r="K649" s="349" t="str">
        <f>IFERROR(__xludf.DUMMYFUNCTION("if(ISBLANK(A649),"""",if(B649=""Buy"",CONCAT(GOOGLEFINANCE(A649,""name""),"" {Symbol: ""&amp;A649&amp;""} High Alert!! Share Has Reached Its Target Buying Price,""),""""))"),"")</f>
        <v/>
      </c>
      <c r="L649" s="349" t="b">
        <f>IFERROR(__xludf.DUMMYFUNCTION("if(B649= ""Buy"",CONCAT(GOOGLEFINANCE(A649,""NAME""),"" share currently trading at Rs""&amp;C649&amp;"", Which is ""&amp;H649&amp;"" below the Target price of Rs""&amp;D649&amp;"".""))"),FALSE)</f>
        <v>0</v>
      </c>
    </row>
    <row r="650">
      <c r="A650" s="349" t="str">
        <f>Dashboard!B746</f>
        <v/>
      </c>
      <c r="B650" s="349" t="str">
        <f>Dashboard!H746</f>
        <v/>
      </c>
      <c r="C650" s="356" t="str">
        <f>Dashboard!G746</f>
        <v/>
      </c>
      <c r="D650" s="489" t="str">
        <f>Dashboard!M746</f>
        <v/>
      </c>
      <c r="E650" s="490" t="s">
        <v>314</v>
      </c>
      <c r="F650" s="491" t="str">
        <f t="shared" si="1"/>
        <v/>
      </c>
      <c r="G650" s="492" t="s">
        <v>314</v>
      </c>
      <c r="H650" s="349" t="str">
        <f t="shared" si="2"/>
        <v/>
      </c>
      <c r="I650" s="349" t="str">
        <f t="shared" si="3"/>
        <v/>
      </c>
      <c r="J650" s="493"/>
      <c r="K650" s="349" t="str">
        <f>IFERROR(__xludf.DUMMYFUNCTION("if(ISBLANK(A650),"""",if(B650=""Buy"",CONCAT(GOOGLEFINANCE(A650,""name""),"" {Symbol: ""&amp;A650&amp;""} High Alert!! Share Has Reached Its Target Buying Price,""),""""))"),"")</f>
        <v/>
      </c>
      <c r="L650" s="349" t="b">
        <f>IFERROR(__xludf.DUMMYFUNCTION("if(B650= ""Buy"",CONCAT(GOOGLEFINANCE(A650,""NAME""),"" share currently trading at Rs""&amp;C650&amp;"", Which is ""&amp;H650&amp;"" below the Target price of Rs""&amp;D650&amp;"".""))"),FALSE)</f>
        <v>0</v>
      </c>
    </row>
    <row r="651">
      <c r="A651" s="349" t="str">
        <f>Dashboard!B747</f>
        <v/>
      </c>
      <c r="B651" s="349" t="str">
        <f>Dashboard!H747</f>
        <v/>
      </c>
      <c r="C651" s="356" t="str">
        <f>Dashboard!G747</f>
        <v/>
      </c>
      <c r="D651" s="489" t="str">
        <f>Dashboard!M747</f>
        <v/>
      </c>
      <c r="E651" s="490" t="s">
        <v>314</v>
      </c>
      <c r="F651" s="491" t="str">
        <f t="shared" si="1"/>
        <v/>
      </c>
      <c r="G651" s="492" t="s">
        <v>314</v>
      </c>
      <c r="H651" s="349" t="str">
        <f t="shared" si="2"/>
        <v/>
      </c>
      <c r="I651" s="349" t="str">
        <f t="shared" si="3"/>
        <v/>
      </c>
      <c r="J651" s="493"/>
      <c r="K651" s="349" t="str">
        <f>IFERROR(__xludf.DUMMYFUNCTION("if(ISBLANK(A651),"""",if(B651=""Buy"",CONCAT(GOOGLEFINANCE(A651,""name""),"" {Symbol: ""&amp;A651&amp;""} High Alert!! Share Has Reached Its Target Buying Price,""),""""))"),"")</f>
        <v/>
      </c>
      <c r="L651" s="349" t="b">
        <f>IFERROR(__xludf.DUMMYFUNCTION("if(B651= ""Buy"",CONCAT(GOOGLEFINANCE(A651,""NAME""),"" share currently trading at Rs""&amp;C651&amp;"", Which is ""&amp;H651&amp;"" below the Target price of Rs""&amp;D651&amp;"".""))"),FALSE)</f>
        <v>0</v>
      </c>
    </row>
    <row r="652">
      <c r="A652" s="349" t="str">
        <f>Dashboard!B748</f>
        <v/>
      </c>
      <c r="B652" s="349" t="str">
        <f>Dashboard!H748</f>
        <v/>
      </c>
      <c r="C652" s="356" t="str">
        <f>Dashboard!G748</f>
        <v/>
      </c>
      <c r="D652" s="489" t="str">
        <f>Dashboard!M748</f>
        <v/>
      </c>
      <c r="E652" s="490" t="s">
        <v>314</v>
      </c>
      <c r="F652" s="491" t="str">
        <f t="shared" si="1"/>
        <v/>
      </c>
      <c r="G652" s="492" t="s">
        <v>314</v>
      </c>
      <c r="H652" s="349" t="str">
        <f t="shared" si="2"/>
        <v/>
      </c>
      <c r="I652" s="349" t="str">
        <f t="shared" si="3"/>
        <v/>
      </c>
      <c r="J652" s="493"/>
      <c r="K652" s="349" t="str">
        <f>IFERROR(__xludf.DUMMYFUNCTION("if(ISBLANK(A652),"""",if(B652=""Buy"",CONCAT(GOOGLEFINANCE(A652,""name""),"" {Symbol: ""&amp;A652&amp;""} High Alert!! Share Has Reached Its Target Buying Price,""),""""))"),"")</f>
        <v/>
      </c>
      <c r="L652" s="349" t="b">
        <f>IFERROR(__xludf.DUMMYFUNCTION("if(B652= ""Buy"",CONCAT(GOOGLEFINANCE(A652,""NAME""),"" share currently trading at Rs""&amp;C652&amp;"", Which is ""&amp;H652&amp;"" below the Target price of Rs""&amp;D652&amp;"".""))"),FALSE)</f>
        <v>0</v>
      </c>
    </row>
    <row r="653">
      <c r="A653" s="349" t="str">
        <f>Dashboard!B749</f>
        <v/>
      </c>
      <c r="B653" s="349" t="str">
        <f>Dashboard!H749</f>
        <v/>
      </c>
      <c r="C653" s="356" t="str">
        <f>Dashboard!G749</f>
        <v/>
      </c>
      <c r="D653" s="489" t="str">
        <f>Dashboard!M749</f>
        <v/>
      </c>
      <c r="E653" s="490" t="s">
        <v>314</v>
      </c>
      <c r="F653" s="491" t="str">
        <f t="shared" si="1"/>
        <v/>
      </c>
      <c r="G653" s="492" t="s">
        <v>314</v>
      </c>
      <c r="H653" s="349" t="str">
        <f t="shared" si="2"/>
        <v/>
      </c>
      <c r="I653" s="349" t="str">
        <f t="shared" si="3"/>
        <v/>
      </c>
      <c r="J653" s="493"/>
      <c r="K653" s="349" t="str">
        <f>IFERROR(__xludf.DUMMYFUNCTION("if(ISBLANK(A653),"""",if(B653=""Buy"",CONCAT(GOOGLEFINANCE(A653,""name""),"" {Symbol: ""&amp;A653&amp;""} High Alert!! Share Has Reached Its Target Buying Price,""),""""))"),"")</f>
        <v/>
      </c>
      <c r="L653" s="349" t="b">
        <f>IFERROR(__xludf.DUMMYFUNCTION("if(B653= ""Buy"",CONCAT(GOOGLEFINANCE(A653,""NAME""),"" share currently trading at Rs""&amp;C653&amp;"", Which is ""&amp;H653&amp;"" below the Target price of Rs""&amp;D653&amp;"".""))"),FALSE)</f>
        <v>0</v>
      </c>
    </row>
    <row r="654">
      <c r="A654" s="349" t="str">
        <f>Dashboard!B750</f>
        <v/>
      </c>
      <c r="B654" s="349" t="str">
        <f>Dashboard!H750</f>
        <v/>
      </c>
      <c r="C654" s="356" t="str">
        <f>Dashboard!G750</f>
        <v/>
      </c>
      <c r="D654" s="489" t="str">
        <f>Dashboard!M750</f>
        <v/>
      </c>
      <c r="E654" s="490" t="s">
        <v>314</v>
      </c>
      <c r="F654" s="491" t="str">
        <f t="shared" si="1"/>
        <v/>
      </c>
      <c r="G654" s="492" t="s">
        <v>314</v>
      </c>
      <c r="H654" s="349" t="str">
        <f t="shared" si="2"/>
        <v/>
      </c>
      <c r="I654" s="349" t="str">
        <f t="shared" si="3"/>
        <v/>
      </c>
      <c r="J654" s="493"/>
      <c r="K654" s="349" t="str">
        <f>IFERROR(__xludf.DUMMYFUNCTION("if(ISBLANK(A654),"""",if(B654=""Buy"",CONCAT(GOOGLEFINANCE(A654,""name""),"" {Symbol: ""&amp;A654&amp;""} High Alert!! Share Has Reached Its Target Buying Price,""),""""))"),"")</f>
        <v/>
      </c>
      <c r="L654" s="349" t="b">
        <f>IFERROR(__xludf.DUMMYFUNCTION("if(B654= ""Buy"",CONCAT(GOOGLEFINANCE(A654,""NAME""),"" share currently trading at Rs""&amp;C654&amp;"", Which is ""&amp;H654&amp;"" below the Target price of Rs""&amp;D654&amp;"".""))"),FALSE)</f>
        <v>0</v>
      </c>
    </row>
    <row r="655">
      <c r="A655" s="349" t="str">
        <f>Dashboard!B751</f>
        <v/>
      </c>
      <c r="B655" s="349" t="str">
        <f>Dashboard!H751</f>
        <v/>
      </c>
      <c r="C655" s="356" t="str">
        <f>Dashboard!G751</f>
        <v/>
      </c>
      <c r="D655" s="489" t="str">
        <f>Dashboard!M751</f>
        <v/>
      </c>
      <c r="E655" s="490" t="s">
        <v>314</v>
      </c>
      <c r="F655" s="491" t="str">
        <f t="shared" si="1"/>
        <v/>
      </c>
      <c r="G655" s="492" t="s">
        <v>314</v>
      </c>
      <c r="H655" s="349" t="str">
        <f t="shared" si="2"/>
        <v/>
      </c>
      <c r="I655" s="349" t="str">
        <f t="shared" si="3"/>
        <v/>
      </c>
      <c r="J655" s="493"/>
      <c r="K655" s="349" t="str">
        <f>IFERROR(__xludf.DUMMYFUNCTION("if(ISBLANK(A655),"""",if(B655=""Buy"",CONCAT(GOOGLEFINANCE(A655,""name""),"" {Symbol: ""&amp;A655&amp;""} High Alert!! Share Has Reached Its Target Buying Price,""),""""))"),"")</f>
        <v/>
      </c>
      <c r="L655" s="349" t="b">
        <f>IFERROR(__xludf.DUMMYFUNCTION("if(B655= ""Buy"",CONCAT(GOOGLEFINANCE(A655,""NAME""),"" share currently trading at Rs""&amp;C655&amp;"", Which is ""&amp;H655&amp;"" below the Target price of Rs""&amp;D655&amp;"".""))"),FALSE)</f>
        <v>0</v>
      </c>
    </row>
    <row r="656">
      <c r="A656" s="349" t="str">
        <f>Dashboard!B752</f>
        <v/>
      </c>
      <c r="B656" s="349" t="str">
        <f>Dashboard!H752</f>
        <v/>
      </c>
      <c r="C656" s="356" t="str">
        <f>Dashboard!G752</f>
        <v/>
      </c>
      <c r="D656" s="489" t="str">
        <f>Dashboard!M752</f>
        <v/>
      </c>
      <c r="E656" s="490" t="s">
        <v>314</v>
      </c>
      <c r="F656" s="491" t="str">
        <f t="shared" si="1"/>
        <v/>
      </c>
      <c r="G656" s="492" t="s">
        <v>314</v>
      </c>
      <c r="H656" s="349" t="str">
        <f t="shared" si="2"/>
        <v/>
      </c>
      <c r="I656" s="349" t="str">
        <f t="shared" si="3"/>
        <v/>
      </c>
      <c r="J656" s="493"/>
      <c r="K656" s="349" t="str">
        <f>IFERROR(__xludf.DUMMYFUNCTION("if(ISBLANK(A656),"""",if(B656=""Buy"",CONCAT(GOOGLEFINANCE(A656,""name""),"" {Symbol: ""&amp;A656&amp;""} High Alert!! Share Has Reached Its Target Buying Price,""),""""))"),"")</f>
        <v/>
      </c>
      <c r="L656" s="349" t="b">
        <f>IFERROR(__xludf.DUMMYFUNCTION("if(B656= ""Buy"",CONCAT(GOOGLEFINANCE(A656,""NAME""),"" share currently trading at Rs""&amp;C656&amp;"", Which is ""&amp;H656&amp;"" below the Target price of Rs""&amp;D656&amp;"".""))"),FALSE)</f>
        <v>0</v>
      </c>
    </row>
    <row r="657">
      <c r="A657" s="349" t="str">
        <f>Dashboard!B753</f>
        <v/>
      </c>
      <c r="B657" s="349" t="str">
        <f>Dashboard!H753</f>
        <v/>
      </c>
      <c r="C657" s="356" t="str">
        <f>Dashboard!G753</f>
        <v/>
      </c>
      <c r="D657" s="489" t="str">
        <f>Dashboard!M753</f>
        <v/>
      </c>
      <c r="E657" s="490" t="s">
        <v>314</v>
      </c>
      <c r="F657" s="491" t="str">
        <f t="shared" si="1"/>
        <v/>
      </c>
      <c r="G657" s="492" t="s">
        <v>314</v>
      </c>
      <c r="H657" s="349" t="str">
        <f t="shared" si="2"/>
        <v/>
      </c>
      <c r="I657" s="349" t="str">
        <f t="shared" si="3"/>
        <v/>
      </c>
      <c r="J657" s="493"/>
      <c r="K657" s="349" t="str">
        <f>IFERROR(__xludf.DUMMYFUNCTION("if(ISBLANK(A657),"""",if(B657=""Buy"",CONCAT(GOOGLEFINANCE(A657,""name""),"" {Symbol: ""&amp;A657&amp;""} High Alert!! Share Has Reached Its Target Buying Price,""),""""))"),"")</f>
        <v/>
      </c>
      <c r="L657" s="349" t="b">
        <f>IFERROR(__xludf.DUMMYFUNCTION("if(B657= ""Buy"",CONCAT(GOOGLEFINANCE(A657,""NAME""),"" share currently trading at Rs""&amp;C657&amp;"", Which is ""&amp;H657&amp;"" below the Target price of Rs""&amp;D657&amp;"".""))"),FALSE)</f>
        <v>0</v>
      </c>
    </row>
    <row r="658">
      <c r="A658" s="349" t="str">
        <f>Dashboard!B754</f>
        <v/>
      </c>
      <c r="B658" s="349" t="str">
        <f>Dashboard!H754</f>
        <v/>
      </c>
      <c r="C658" s="356" t="str">
        <f>Dashboard!G754</f>
        <v/>
      </c>
      <c r="D658" s="489" t="str">
        <f>Dashboard!M754</f>
        <v/>
      </c>
      <c r="E658" s="490" t="s">
        <v>314</v>
      </c>
      <c r="F658" s="491" t="str">
        <f t="shared" si="1"/>
        <v/>
      </c>
      <c r="G658" s="492" t="s">
        <v>314</v>
      </c>
      <c r="H658" s="349" t="str">
        <f t="shared" si="2"/>
        <v/>
      </c>
      <c r="I658" s="349" t="str">
        <f t="shared" si="3"/>
        <v/>
      </c>
      <c r="J658" s="493"/>
      <c r="K658" s="349" t="str">
        <f>IFERROR(__xludf.DUMMYFUNCTION("if(ISBLANK(A658),"""",if(B658=""Buy"",CONCAT(GOOGLEFINANCE(A658,""name""),"" {Symbol: ""&amp;A658&amp;""} High Alert!! Share Has Reached Its Target Buying Price,""),""""))"),"")</f>
        <v/>
      </c>
      <c r="L658" s="349" t="b">
        <f>IFERROR(__xludf.DUMMYFUNCTION("if(B658= ""Buy"",CONCAT(GOOGLEFINANCE(A658,""NAME""),"" share currently trading at Rs""&amp;C658&amp;"", Which is ""&amp;H658&amp;"" below the Target price of Rs""&amp;D658&amp;"".""))"),FALSE)</f>
        <v>0</v>
      </c>
    </row>
    <row r="659">
      <c r="A659" s="349" t="str">
        <f>Dashboard!B755</f>
        <v/>
      </c>
      <c r="B659" s="349" t="str">
        <f>Dashboard!H755</f>
        <v/>
      </c>
      <c r="C659" s="356" t="str">
        <f>Dashboard!G755</f>
        <v/>
      </c>
      <c r="D659" s="489" t="str">
        <f>Dashboard!M755</f>
        <v/>
      </c>
      <c r="E659" s="490" t="s">
        <v>314</v>
      </c>
      <c r="F659" s="491" t="str">
        <f t="shared" si="1"/>
        <v/>
      </c>
      <c r="G659" s="492" t="s">
        <v>314</v>
      </c>
      <c r="H659" s="349" t="str">
        <f t="shared" si="2"/>
        <v/>
      </c>
      <c r="I659" s="349" t="str">
        <f t="shared" si="3"/>
        <v/>
      </c>
      <c r="J659" s="493"/>
      <c r="K659" s="349" t="str">
        <f>IFERROR(__xludf.DUMMYFUNCTION("if(ISBLANK(A659),"""",if(B659=""Buy"",CONCAT(GOOGLEFINANCE(A659,""name""),"" {Symbol: ""&amp;A659&amp;""} High Alert!! Share Has Reached Its Target Buying Price,""),""""))"),"")</f>
        <v/>
      </c>
      <c r="L659" s="349" t="b">
        <f>IFERROR(__xludf.DUMMYFUNCTION("if(B659= ""Buy"",CONCAT(GOOGLEFINANCE(A659,""NAME""),"" share currently trading at Rs""&amp;C659&amp;"", Which is ""&amp;H659&amp;"" below the Target price of Rs""&amp;D659&amp;"".""))"),FALSE)</f>
        <v>0</v>
      </c>
    </row>
    <row r="660">
      <c r="A660" s="349" t="str">
        <f>Dashboard!B756</f>
        <v/>
      </c>
      <c r="B660" s="349" t="str">
        <f>Dashboard!H756</f>
        <v/>
      </c>
      <c r="C660" s="356" t="str">
        <f>Dashboard!G756</f>
        <v/>
      </c>
      <c r="D660" s="489" t="str">
        <f>Dashboard!M756</f>
        <v/>
      </c>
      <c r="E660" s="490" t="s">
        <v>314</v>
      </c>
      <c r="F660" s="491" t="str">
        <f t="shared" si="1"/>
        <v/>
      </c>
      <c r="G660" s="492" t="s">
        <v>314</v>
      </c>
      <c r="H660" s="349" t="str">
        <f t="shared" si="2"/>
        <v/>
      </c>
      <c r="I660" s="349" t="str">
        <f t="shared" si="3"/>
        <v/>
      </c>
      <c r="J660" s="493"/>
      <c r="K660" s="349" t="str">
        <f>IFERROR(__xludf.DUMMYFUNCTION("if(ISBLANK(A660),"""",if(B660=""Buy"",CONCAT(GOOGLEFINANCE(A660,""name""),"" {Symbol: ""&amp;A660&amp;""} High Alert!! Share Has Reached Its Target Buying Price,""),""""))"),"")</f>
        <v/>
      </c>
      <c r="L660" s="349" t="b">
        <f>IFERROR(__xludf.DUMMYFUNCTION("if(B660= ""Buy"",CONCAT(GOOGLEFINANCE(A660,""NAME""),"" share currently trading at Rs""&amp;C660&amp;"", Which is ""&amp;H660&amp;"" below the Target price of Rs""&amp;D660&amp;"".""))"),FALSE)</f>
        <v>0</v>
      </c>
    </row>
    <row r="661">
      <c r="A661" s="349" t="str">
        <f>Dashboard!B757</f>
        <v/>
      </c>
      <c r="B661" s="349" t="str">
        <f>Dashboard!H757</f>
        <v/>
      </c>
      <c r="C661" s="356" t="str">
        <f>Dashboard!G757</f>
        <v/>
      </c>
      <c r="D661" s="489" t="str">
        <f>Dashboard!M757</f>
        <v/>
      </c>
      <c r="E661" s="490" t="s">
        <v>314</v>
      </c>
      <c r="F661" s="491" t="str">
        <f t="shared" si="1"/>
        <v/>
      </c>
      <c r="G661" s="492" t="s">
        <v>314</v>
      </c>
      <c r="H661" s="349" t="str">
        <f t="shared" si="2"/>
        <v/>
      </c>
      <c r="I661" s="349" t="str">
        <f t="shared" si="3"/>
        <v/>
      </c>
      <c r="J661" s="493"/>
      <c r="K661" s="349" t="str">
        <f>IFERROR(__xludf.DUMMYFUNCTION("if(ISBLANK(A661),"""",if(B661=""Buy"",CONCAT(GOOGLEFINANCE(A661,""name""),"" {Symbol: ""&amp;A661&amp;""} High Alert!! Share Has Reached Its Target Buying Price,""),""""))"),"")</f>
        <v/>
      </c>
      <c r="L661" s="349" t="b">
        <f>IFERROR(__xludf.DUMMYFUNCTION("if(B661= ""Buy"",CONCAT(GOOGLEFINANCE(A661,""NAME""),"" share currently trading at Rs""&amp;C661&amp;"", Which is ""&amp;H661&amp;"" below the Target price of Rs""&amp;D661&amp;"".""))"),FALSE)</f>
        <v>0</v>
      </c>
    </row>
    <row r="662">
      <c r="A662" s="349" t="str">
        <f>Dashboard!B758</f>
        <v/>
      </c>
      <c r="B662" s="349" t="str">
        <f>Dashboard!H758</f>
        <v/>
      </c>
      <c r="C662" s="356" t="str">
        <f>Dashboard!G758</f>
        <v/>
      </c>
      <c r="D662" s="489" t="str">
        <f>Dashboard!M758</f>
        <v/>
      </c>
      <c r="E662" s="490" t="s">
        <v>314</v>
      </c>
      <c r="F662" s="491" t="str">
        <f t="shared" si="1"/>
        <v/>
      </c>
      <c r="G662" s="492" t="s">
        <v>314</v>
      </c>
      <c r="H662" s="349" t="str">
        <f t="shared" si="2"/>
        <v/>
      </c>
      <c r="I662" s="349" t="str">
        <f t="shared" si="3"/>
        <v/>
      </c>
      <c r="J662" s="493"/>
      <c r="K662" s="349" t="str">
        <f>IFERROR(__xludf.DUMMYFUNCTION("if(ISBLANK(A662),"""",if(B662=""Buy"",CONCAT(GOOGLEFINANCE(A662,""name""),"" {Symbol: ""&amp;A662&amp;""} High Alert!! Share Has Reached Its Target Buying Price,""),""""))"),"")</f>
        <v/>
      </c>
      <c r="L662" s="349" t="b">
        <f>IFERROR(__xludf.DUMMYFUNCTION("if(B662= ""Buy"",CONCAT(GOOGLEFINANCE(A662,""NAME""),"" share currently trading at Rs""&amp;C662&amp;"", Which is ""&amp;H662&amp;"" below the Target price of Rs""&amp;D662&amp;"".""))"),FALSE)</f>
        <v>0</v>
      </c>
    </row>
    <row r="663">
      <c r="A663" s="349" t="str">
        <f>Dashboard!B759</f>
        <v/>
      </c>
      <c r="B663" s="349" t="str">
        <f>Dashboard!H759</f>
        <v/>
      </c>
      <c r="C663" s="356" t="str">
        <f>Dashboard!G759</f>
        <v/>
      </c>
      <c r="D663" s="489" t="str">
        <f>Dashboard!M759</f>
        <v/>
      </c>
      <c r="E663" s="490" t="s">
        <v>314</v>
      </c>
      <c r="F663" s="491" t="str">
        <f t="shared" si="1"/>
        <v/>
      </c>
      <c r="G663" s="492" t="s">
        <v>314</v>
      </c>
      <c r="H663" s="349" t="str">
        <f t="shared" si="2"/>
        <v/>
      </c>
      <c r="I663" s="349" t="str">
        <f t="shared" si="3"/>
        <v/>
      </c>
      <c r="J663" s="493"/>
      <c r="K663" s="349" t="str">
        <f>IFERROR(__xludf.DUMMYFUNCTION("if(ISBLANK(A663),"""",if(B663=""Buy"",CONCAT(GOOGLEFINANCE(A663,""name""),"" {Symbol: ""&amp;A663&amp;""} High Alert!! Share Has Reached Its Target Buying Price,""),""""))"),"")</f>
        <v/>
      </c>
      <c r="L663" s="349" t="b">
        <f>IFERROR(__xludf.DUMMYFUNCTION("if(B663= ""Buy"",CONCAT(GOOGLEFINANCE(A663,""NAME""),"" share currently trading at Rs""&amp;C663&amp;"", Which is ""&amp;H663&amp;"" below the Target price of Rs""&amp;D663&amp;"".""))"),FALSE)</f>
        <v>0</v>
      </c>
    </row>
    <row r="664">
      <c r="A664" s="349" t="str">
        <f>Dashboard!B760</f>
        <v/>
      </c>
      <c r="B664" s="349" t="str">
        <f>Dashboard!H760</f>
        <v/>
      </c>
      <c r="C664" s="356" t="str">
        <f>Dashboard!G760</f>
        <v/>
      </c>
      <c r="D664" s="489" t="str">
        <f>Dashboard!M760</f>
        <v/>
      </c>
      <c r="E664" s="490" t="s">
        <v>314</v>
      </c>
      <c r="F664" s="491" t="str">
        <f t="shared" si="1"/>
        <v/>
      </c>
      <c r="G664" s="492" t="s">
        <v>314</v>
      </c>
      <c r="H664" s="349" t="str">
        <f t="shared" si="2"/>
        <v/>
      </c>
      <c r="I664" s="349" t="str">
        <f t="shared" si="3"/>
        <v/>
      </c>
      <c r="J664" s="493"/>
      <c r="K664" s="349" t="str">
        <f>IFERROR(__xludf.DUMMYFUNCTION("if(ISBLANK(A664),"""",if(B664=""Buy"",CONCAT(GOOGLEFINANCE(A664,""name""),"" {Symbol: ""&amp;A664&amp;""} High Alert!! Share Has Reached Its Target Buying Price,""),""""))"),"")</f>
        <v/>
      </c>
      <c r="L664" s="349" t="b">
        <f>IFERROR(__xludf.DUMMYFUNCTION("if(B664= ""Buy"",CONCAT(GOOGLEFINANCE(A664,""NAME""),"" share currently trading at Rs""&amp;C664&amp;"", Which is ""&amp;H664&amp;"" below the Target price of Rs""&amp;D664&amp;"".""))"),FALSE)</f>
        <v>0</v>
      </c>
    </row>
    <row r="665">
      <c r="A665" s="349" t="str">
        <f>Dashboard!B761</f>
        <v/>
      </c>
      <c r="B665" s="349" t="str">
        <f>Dashboard!H761</f>
        <v/>
      </c>
      <c r="C665" s="356" t="str">
        <f>Dashboard!G761</f>
        <v/>
      </c>
      <c r="D665" s="489" t="str">
        <f>Dashboard!M761</f>
        <v/>
      </c>
      <c r="E665" s="490" t="s">
        <v>314</v>
      </c>
      <c r="F665" s="491" t="str">
        <f t="shared" si="1"/>
        <v/>
      </c>
      <c r="G665" s="492" t="s">
        <v>314</v>
      </c>
      <c r="H665" s="349" t="str">
        <f t="shared" si="2"/>
        <v/>
      </c>
      <c r="I665" s="349" t="str">
        <f t="shared" si="3"/>
        <v/>
      </c>
      <c r="J665" s="493"/>
      <c r="K665" s="349" t="str">
        <f>IFERROR(__xludf.DUMMYFUNCTION("if(ISBLANK(A665),"""",if(B665=""Buy"",CONCAT(GOOGLEFINANCE(A665,""name""),"" {Symbol: ""&amp;A665&amp;""} High Alert!! Share Has Reached Its Target Buying Price,""),""""))"),"")</f>
        <v/>
      </c>
      <c r="L665" s="349" t="b">
        <f>IFERROR(__xludf.DUMMYFUNCTION("if(B665= ""Buy"",CONCAT(GOOGLEFINANCE(A665,""NAME""),"" share currently trading at Rs""&amp;C665&amp;"", Which is ""&amp;H665&amp;"" below the Target price of Rs""&amp;D665&amp;"".""))"),FALSE)</f>
        <v>0</v>
      </c>
    </row>
    <row r="666">
      <c r="A666" s="349" t="str">
        <f>Dashboard!B762</f>
        <v/>
      </c>
      <c r="B666" s="349" t="str">
        <f>Dashboard!H762</f>
        <v/>
      </c>
      <c r="C666" s="356" t="str">
        <f>Dashboard!G762</f>
        <v/>
      </c>
      <c r="D666" s="489" t="str">
        <f>Dashboard!M762</f>
        <v/>
      </c>
      <c r="E666" s="490" t="s">
        <v>314</v>
      </c>
      <c r="F666" s="491" t="str">
        <f t="shared" si="1"/>
        <v/>
      </c>
      <c r="G666" s="492" t="s">
        <v>314</v>
      </c>
      <c r="H666" s="349" t="str">
        <f t="shared" si="2"/>
        <v/>
      </c>
      <c r="I666" s="349" t="str">
        <f t="shared" si="3"/>
        <v/>
      </c>
      <c r="J666" s="493"/>
      <c r="K666" s="349" t="str">
        <f>IFERROR(__xludf.DUMMYFUNCTION("if(ISBLANK(A666),"""",if(B666=""Buy"",CONCAT(GOOGLEFINANCE(A666,""name""),"" {Symbol: ""&amp;A666&amp;""} High Alert!! Share Has Reached Its Target Buying Price,""),""""))"),"")</f>
        <v/>
      </c>
      <c r="L666" s="349" t="b">
        <f>IFERROR(__xludf.DUMMYFUNCTION("if(B666= ""Buy"",CONCAT(GOOGLEFINANCE(A666,""NAME""),"" share currently trading at Rs""&amp;C666&amp;"", Which is ""&amp;H666&amp;"" below the Target price of Rs""&amp;D666&amp;"".""))"),FALSE)</f>
        <v>0</v>
      </c>
    </row>
    <row r="667">
      <c r="A667" s="349"/>
      <c r="B667" s="349"/>
      <c r="C667" s="356"/>
      <c r="D667" s="489"/>
      <c r="E667" s="494"/>
      <c r="F667" s="491"/>
      <c r="G667" s="495"/>
      <c r="H667" s="349"/>
      <c r="I667" s="349"/>
      <c r="K667" s="349"/>
      <c r="L667" s="349"/>
    </row>
    <row r="668">
      <c r="A668" s="349"/>
      <c r="B668" s="349"/>
      <c r="C668" s="356"/>
      <c r="D668" s="489"/>
      <c r="E668" s="494"/>
      <c r="F668" s="491"/>
      <c r="G668" s="495"/>
      <c r="H668" s="349"/>
      <c r="I668" s="349"/>
      <c r="K668" s="349"/>
      <c r="L668" s="349"/>
    </row>
    <row r="669">
      <c r="A669" s="349"/>
      <c r="B669" s="349"/>
      <c r="C669" s="356"/>
      <c r="D669" s="489"/>
      <c r="E669" s="494"/>
      <c r="F669" s="491"/>
      <c r="G669" s="495"/>
      <c r="H669" s="349"/>
      <c r="I669" s="349"/>
      <c r="K669" s="349"/>
      <c r="L669" s="349"/>
    </row>
    <row r="670">
      <c r="A670" s="349"/>
      <c r="B670" s="349"/>
      <c r="C670" s="356"/>
      <c r="D670" s="489"/>
      <c r="E670" s="494"/>
      <c r="F670" s="491"/>
      <c r="G670" s="495"/>
      <c r="H670" s="349"/>
      <c r="I670" s="349"/>
      <c r="K670" s="349"/>
      <c r="L670" s="349"/>
    </row>
    <row r="671">
      <c r="A671" s="349"/>
      <c r="B671" s="349"/>
      <c r="C671" s="356"/>
      <c r="D671" s="489"/>
      <c r="E671" s="494"/>
      <c r="F671" s="491"/>
      <c r="G671" s="495"/>
      <c r="H671" s="349"/>
      <c r="I671" s="349"/>
      <c r="K671" s="349"/>
      <c r="L671" s="349"/>
    </row>
    <row r="672">
      <c r="A672" s="349"/>
      <c r="B672" s="349"/>
      <c r="C672" s="356"/>
      <c r="D672" s="489"/>
      <c r="E672" s="494"/>
      <c r="F672" s="491"/>
      <c r="G672" s="495"/>
      <c r="H672" s="349"/>
      <c r="I672" s="349"/>
      <c r="K672" s="349"/>
      <c r="L672" s="349"/>
    </row>
    <row r="673">
      <c r="A673" s="349"/>
      <c r="B673" s="349"/>
      <c r="C673" s="356"/>
      <c r="D673" s="489"/>
      <c r="E673" s="494"/>
      <c r="F673" s="491"/>
      <c r="G673" s="495"/>
      <c r="H673" s="349"/>
      <c r="I673" s="349"/>
      <c r="K673" s="349"/>
      <c r="L673" s="349"/>
    </row>
    <row r="674">
      <c r="A674" s="349"/>
      <c r="B674" s="349"/>
      <c r="C674" s="356"/>
      <c r="D674" s="489"/>
      <c r="E674" s="494"/>
      <c r="F674" s="491"/>
      <c r="G674" s="495"/>
      <c r="H674" s="349"/>
      <c r="I674" s="349"/>
      <c r="K674" s="349"/>
      <c r="L674" s="349"/>
    </row>
    <row r="675">
      <c r="A675" s="349"/>
      <c r="B675" s="349"/>
      <c r="C675" s="356"/>
      <c r="D675" s="489"/>
      <c r="E675" s="494"/>
      <c r="F675" s="491"/>
      <c r="G675" s="495"/>
      <c r="H675" s="349"/>
      <c r="I675" s="349"/>
      <c r="K675" s="349"/>
      <c r="L675" s="349"/>
    </row>
    <row r="676">
      <c r="A676" s="349"/>
      <c r="B676" s="349"/>
      <c r="C676" s="356"/>
      <c r="D676" s="489"/>
      <c r="E676" s="494"/>
      <c r="F676" s="491"/>
      <c r="G676" s="495"/>
      <c r="H676" s="349"/>
      <c r="I676" s="349"/>
      <c r="K676" s="349"/>
      <c r="L676" s="349"/>
    </row>
    <row r="677">
      <c r="A677" s="349"/>
      <c r="B677" s="349"/>
      <c r="C677" s="356"/>
      <c r="D677" s="489"/>
      <c r="E677" s="494"/>
      <c r="F677" s="491"/>
      <c r="G677" s="495"/>
      <c r="H677" s="349"/>
      <c r="I677" s="349"/>
      <c r="K677" s="349"/>
      <c r="L677" s="349"/>
    </row>
    <row r="678">
      <c r="A678" s="349"/>
      <c r="B678" s="349"/>
      <c r="C678" s="356"/>
      <c r="D678" s="489"/>
      <c r="E678" s="494"/>
      <c r="F678" s="491"/>
      <c r="G678" s="495"/>
      <c r="H678" s="349"/>
      <c r="I678" s="349"/>
      <c r="K678" s="349"/>
      <c r="L678" s="349"/>
    </row>
    <row r="679">
      <c r="A679" s="349"/>
      <c r="B679" s="349"/>
      <c r="C679" s="356"/>
      <c r="D679" s="489"/>
      <c r="E679" s="494"/>
      <c r="F679" s="491"/>
      <c r="G679" s="495"/>
      <c r="H679" s="349"/>
      <c r="I679" s="349"/>
      <c r="K679" s="349"/>
      <c r="L679" s="349"/>
    </row>
    <row r="680">
      <c r="A680" s="349"/>
      <c r="B680" s="349"/>
      <c r="C680" s="356"/>
      <c r="D680" s="489"/>
      <c r="E680" s="494"/>
      <c r="F680" s="491"/>
      <c r="G680" s="495"/>
      <c r="H680" s="349"/>
      <c r="I680" s="349"/>
      <c r="K680" s="349"/>
      <c r="L680" s="349"/>
    </row>
    <row r="681">
      <c r="A681" s="349"/>
      <c r="B681" s="349"/>
      <c r="C681" s="356"/>
      <c r="D681" s="489"/>
      <c r="E681" s="494"/>
      <c r="F681" s="491"/>
      <c r="G681" s="495"/>
      <c r="H681" s="349"/>
      <c r="I681" s="349"/>
      <c r="K681" s="349"/>
      <c r="L681" s="349"/>
    </row>
    <row r="682">
      <c r="A682" s="349"/>
      <c r="B682" s="349"/>
      <c r="C682" s="356"/>
      <c r="D682" s="489"/>
      <c r="E682" s="494"/>
      <c r="F682" s="491"/>
      <c r="G682" s="495"/>
      <c r="H682" s="349"/>
      <c r="I682" s="349"/>
      <c r="K682" s="349"/>
      <c r="L682" s="349"/>
    </row>
    <row r="683">
      <c r="A683" s="349"/>
      <c r="B683" s="349"/>
      <c r="C683" s="356"/>
      <c r="D683" s="489"/>
      <c r="E683" s="494"/>
      <c r="F683" s="491"/>
      <c r="G683" s="495"/>
      <c r="H683" s="349"/>
      <c r="I683" s="349"/>
      <c r="K683" s="349"/>
      <c r="L683" s="349"/>
    </row>
    <row r="684">
      <c r="A684" s="349"/>
      <c r="B684" s="349"/>
      <c r="C684" s="356"/>
      <c r="D684" s="489"/>
      <c r="E684" s="494"/>
      <c r="F684" s="491"/>
      <c r="G684" s="495"/>
      <c r="H684" s="349"/>
      <c r="I684" s="349"/>
      <c r="K684" s="349"/>
      <c r="L684" s="349"/>
    </row>
    <row r="685">
      <c r="A685" s="349"/>
      <c r="B685" s="349"/>
      <c r="C685" s="356"/>
      <c r="D685" s="489"/>
      <c r="E685" s="494"/>
      <c r="F685" s="491"/>
      <c r="G685" s="495"/>
      <c r="H685" s="349"/>
      <c r="I685" s="349"/>
      <c r="K685" s="349"/>
      <c r="L685" s="349"/>
    </row>
    <row r="686">
      <c r="A686" s="349"/>
      <c r="B686" s="349"/>
      <c r="C686" s="356"/>
      <c r="D686" s="489"/>
      <c r="E686" s="494"/>
      <c r="F686" s="491"/>
      <c r="G686" s="495"/>
      <c r="H686" s="349"/>
      <c r="I686" s="349"/>
      <c r="K686" s="349"/>
      <c r="L686" s="349"/>
    </row>
    <row r="687">
      <c r="A687" s="349"/>
      <c r="B687" s="349"/>
      <c r="C687" s="356"/>
      <c r="D687" s="489"/>
      <c r="E687" s="494"/>
      <c r="F687" s="491"/>
      <c r="G687" s="495"/>
      <c r="H687" s="349"/>
      <c r="I687" s="349"/>
      <c r="K687" s="349"/>
      <c r="L687" s="349"/>
    </row>
    <row r="688">
      <c r="A688" s="349"/>
      <c r="B688" s="349"/>
      <c r="C688" s="356"/>
      <c r="D688" s="489"/>
      <c r="E688" s="494"/>
      <c r="F688" s="491"/>
      <c r="G688" s="495"/>
      <c r="H688" s="349"/>
      <c r="I688" s="349"/>
      <c r="K688" s="349"/>
      <c r="L688" s="349"/>
    </row>
    <row r="689">
      <c r="A689" s="349"/>
      <c r="B689" s="349"/>
      <c r="C689" s="356"/>
      <c r="D689" s="489"/>
      <c r="E689" s="494"/>
      <c r="F689" s="491"/>
      <c r="G689" s="495"/>
      <c r="H689" s="349"/>
      <c r="I689" s="349"/>
      <c r="K689" s="349"/>
      <c r="L689" s="349"/>
    </row>
    <row r="690">
      <c r="A690" s="349"/>
      <c r="B690" s="349"/>
      <c r="C690" s="356"/>
      <c r="D690" s="489"/>
      <c r="E690" s="494"/>
      <c r="F690" s="491"/>
      <c r="G690" s="495"/>
      <c r="H690" s="349"/>
      <c r="I690" s="349"/>
      <c r="K690" s="349"/>
      <c r="L690" s="349"/>
    </row>
    <row r="691">
      <c r="A691" s="349"/>
      <c r="B691" s="349"/>
      <c r="C691" s="356"/>
      <c r="D691" s="489"/>
      <c r="E691" s="494"/>
      <c r="F691" s="491"/>
      <c r="G691" s="495"/>
      <c r="H691" s="349"/>
      <c r="I691" s="349"/>
      <c r="K691" s="349"/>
      <c r="L691" s="349"/>
    </row>
    <row r="692">
      <c r="A692" s="349"/>
      <c r="B692" s="349"/>
      <c r="C692" s="356"/>
      <c r="D692" s="489"/>
      <c r="E692" s="494"/>
      <c r="F692" s="491"/>
      <c r="G692" s="495"/>
      <c r="H692" s="349"/>
      <c r="I692" s="349"/>
      <c r="K692" s="349"/>
      <c r="L692" s="349"/>
    </row>
    <row r="693">
      <c r="A693" s="349"/>
      <c r="B693" s="349"/>
      <c r="C693" s="356"/>
      <c r="D693" s="489"/>
      <c r="E693" s="494"/>
      <c r="F693" s="491"/>
      <c r="G693" s="495"/>
      <c r="H693" s="349"/>
      <c r="I693" s="349"/>
      <c r="K693" s="349"/>
      <c r="L693" s="349"/>
    </row>
    <row r="694">
      <c r="A694" s="349"/>
      <c r="B694" s="349"/>
      <c r="C694" s="356"/>
      <c r="D694" s="489"/>
      <c r="E694" s="494"/>
      <c r="F694" s="491"/>
      <c r="G694" s="495"/>
      <c r="H694" s="349"/>
      <c r="I694" s="349"/>
      <c r="K694" s="349"/>
      <c r="L694" s="349"/>
    </row>
    <row r="695">
      <c r="A695" s="349"/>
      <c r="B695" s="349"/>
      <c r="C695" s="356"/>
      <c r="D695" s="489"/>
      <c r="E695" s="494"/>
      <c r="F695" s="491"/>
      <c r="G695" s="495"/>
      <c r="H695" s="349"/>
      <c r="I695" s="349"/>
      <c r="K695" s="349"/>
      <c r="L695" s="349"/>
    </row>
    <row r="696">
      <c r="A696" s="349"/>
      <c r="B696" s="349"/>
      <c r="C696" s="356"/>
      <c r="D696" s="489"/>
      <c r="E696" s="494"/>
      <c r="F696" s="491"/>
      <c r="G696" s="495"/>
      <c r="H696" s="349"/>
      <c r="I696" s="349"/>
      <c r="K696" s="349"/>
      <c r="L696" s="349"/>
    </row>
    <row r="697">
      <c r="A697" s="349"/>
      <c r="B697" s="349"/>
      <c r="C697" s="356"/>
      <c r="D697" s="489"/>
      <c r="E697" s="494"/>
      <c r="F697" s="491"/>
      <c r="G697" s="495"/>
      <c r="H697" s="349"/>
      <c r="I697" s="349"/>
      <c r="K697" s="349"/>
      <c r="L697" s="349"/>
    </row>
    <row r="698">
      <c r="A698" s="349"/>
      <c r="B698" s="349"/>
      <c r="C698" s="356"/>
      <c r="D698" s="489"/>
      <c r="E698" s="494"/>
      <c r="F698" s="491"/>
      <c r="G698" s="495"/>
      <c r="H698" s="349"/>
      <c r="I698" s="349"/>
      <c r="K698" s="349"/>
      <c r="L698" s="349"/>
    </row>
    <row r="699">
      <c r="A699" s="349"/>
      <c r="B699" s="349"/>
      <c r="C699" s="356"/>
      <c r="D699" s="489"/>
      <c r="E699" s="494"/>
      <c r="F699" s="491"/>
      <c r="G699" s="495"/>
      <c r="H699" s="349"/>
      <c r="I699" s="349"/>
      <c r="K699" s="349"/>
      <c r="L699" s="349"/>
    </row>
    <row r="700">
      <c r="A700" s="349"/>
      <c r="B700" s="349"/>
      <c r="C700" s="356"/>
      <c r="D700" s="489"/>
      <c r="E700" s="494"/>
      <c r="F700" s="491"/>
      <c r="G700" s="495"/>
      <c r="H700" s="349"/>
      <c r="I700" s="349"/>
      <c r="K700" s="349"/>
      <c r="L700" s="349"/>
    </row>
    <row r="701">
      <c r="A701" s="349"/>
      <c r="B701" s="349"/>
      <c r="C701" s="356"/>
      <c r="D701" s="489"/>
      <c r="E701" s="494"/>
      <c r="F701" s="491"/>
      <c r="G701" s="495"/>
      <c r="H701" s="349"/>
      <c r="I701" s="349"/>
      <c r="K701" s="349"/>
      <c r="L701" s="349"/>
    </row>
    <row r="702">
      <c r="A702" s="349"/>
      <c r="B702" s="349"/>
      <c r="C702" s="356"/>
      <c r="D702" s="489"/>
      <c r="E702" s="494"/>
      <c r="F702" s="491"/>
      <c r="G702" s="495"/>
      <c r="H702" s="349"/>
      <c r="I702" s="349"/>
      <c r="K702" s="349"/>
      <c r="L702" s="349"/>
    </row>
    <row r="703">
      <c r="A703" s="349"/>
      <c r="B703" s="349"/>
      <c r="C703" s="356"/>
      <c r="D703" s="489"/>
      <c r="E703" s="494"/>
      <c r="F703" s="491"/>
      <c r="G703" s="495"/>
      <c r="H703" s="349"/>
      <c r="I703" s="349"/>
      <c r="K703" s="349"/>
      <c r="L703" s="349"/>
    </row>
    <row r="704">
      <c r="A704" s="349"/>
      <c r="B704" s="349"/>
      <c r="C704" s="356"/>
      <c r="D704" s="489"/>
      <c r="E704" s="494"/>
      <c r="F704" s="491"/>
      <c r="G704" s="495"/>
      <c r="H704" s="349"/>
      <c r="I704" s="349"/>
      <c r="K704" s="349"/>
      <c r="L704" s="349"/>
    </row>
    <row r="705">
      <c r="A705" s="349"/>
      <c r="B705" s="349"/>
      <c r="C705" s="356"/>
      <c r="D705" s="489"/>
      <c r="E705" s="494"/>
      <c r="F705" s="491"/>
      <c r="G705" s="495"/>
      <c r="H705" s="349"/>
      <c r="I705" s="349"/>
      <c r="K705" s="349"/>
      <c r="L705" s="349"/>
    </row>
    <row r="706">
      <c r="A706" s="349"/>
      <c r="B706" s="349"/>
      <c r="C706" s="356"/>
      <c r="D706" s="489"/>
      <c r="E706" s="494"/>
      <c r="F706" s="491"/>
      <c r="G706" s="495"/>
      <c r="H706" s="349"/>
      <c r="I706" s="349"/>
      <c r="K706" s="349"/>
      <c r="L706" s="349"/>
    </row>
    <row r="707">
      <c r="A707" s="349"/>
      <c r="B707" s="349"/>
      <c r="C707" s="356"/>
      <c r="D707" s="489"/>
      <c r="E707" s="494"/>
      <c r="F707" s="491"/>
      <c r="G707" s="495"/>
      <c r="H707" s="349"/>
      <c r="I707" s="349"/>
      <c r="K707" s="349"/>
      <c r="L707" s="349"/>
    </row>
    <row r="708">
      <c r="A708" s="349"/>
      <c r="B708" s="349"/>
      <c r="C708" s="356"/>
      <c r="D708" s="489"/>
      <c r="E708" s="494"/>
      <c r="F708" s="491"/>
      <c r="G708" s="495"/>
      <c r="H708" s="349"/>
      <c r="I708" s="349"/>
      <c r="K708" s="349"/>
      <c r="L708" s="349"/>
    </row>
    <row r="709">
      <c r="A709" s="349"/>
      <c r="B709" s="349"/>
      <c r="C709" s="356"/>
      <c r="D709" s="489"/>
      <c r="E709" s="494"/>
      <c r="F709" s="491"/>
      <c r="G709" s="495"/>
      <c r="H709" s="349"/>
      <c r="I709" s="349"/>
      <c r="K709" s="349"/>
      <c r="L709" s="349"/>
    </row>
    <row r="710">
      <c r="A710" s="349"/>
      <c r="B710" s="349"/>
      <c r="C710" s="356"/>
      <c r="D710" s="489"/>
      <c r="E710" s="494"/>
      <c r="F710" s="491"/>
      <c r="G710" s="495"/>
      <c r="H710" s="349"/>
      <c r="I710" s="349"/>
      <c r="K710" s="349"/>
      <c r="L710" s="349"/>
    </row>
    <row r="711">
      <c r="A711" s="349"/>
      <c r="B711" s="349"/>
      <c r="C711" s="356"/>
      <c r="D711" s="489"/>
      <c r="E711" s="494"/>
      <c r="F711" s="491"/>
      <c r="G711" s="495"/>
      <c r="H711" s="349"/>
      <c r="I711" s="349"/>
      <c r="K711" s="349"/>
      <c r="L711" s="349"/>
    </row>
    <row r="712">
      <c r="A712" s="349"/>
      <c r="B712" s="349"/>
      <c r="C712" s="356"/>
      <c r="D712" s="489"/>
      <c r="E712" s="494"/>
      <c r="F712" s="491"/>
      <c r="G712" s="495"/>
      <c r="H712" s="349"/>
      <c r="I712" s="349"/>
      <c r="K712" s="349"/>
      <c r="L712" s="349"/>
    </row>
    <row r="713">
      <c r="A713" s="349"/>
      <c r="B713" s="349"/>
      <c r="C713" s="356"/>
      <c r="D713" s="489"/>
      <c r="E713" s="494"/>
      <c r="F713" s="491"/>
      <c r="G713" s="495"/>
      <c r="H713" s="349"/>
      <c r="I713" s="349"/>
      <c r="K713" s="349"/>
      <c r="L713" s="349"/>
    </row>
    <row r="714">
      <c r="A714" s="349"/>
      <c r="B714" s="349"/>
      <c r="C714" s="356"/>
      <c r="D714" s="489"/>
      <c r="E714" s="494"/>
      <c r="F714" s="491"/>
      <c r="G714" s="495"/>
      <c r="H714" s="349"/>
      <c r="I714" s="349"/>
      <c r="K714" s="349"/>
      <c r="L714" s="349"/>
    </row>
    <row r="715">
      <c r="A715" s="349"/>
      <c r="B715" s="349"/>
      <c r="C715" s="356"/>
      <c r="D715" s="489"/>
      <c r="E715" s="494"/>
      <c r="F715" s="491"/>
      <c r="G715" s="495"/>
      <c r="H715" s="349"/>
      <c r="I715" s="349"/>
      <c r="K715" s="349"/>
      <c r="L715" s="349"/>
    </row>
    <row r="716">
      <c r="A716" s="349"/>
      <c r="B716" s="349"/>
      <c r="C716" s="356"/>
      <c r="D716" s="489"/>
      <c r="E716" s="494"/>
      <c r="F716" s="491"/>
      <c r="G716" s="495"/>
      <c r="H716" s="349"/>
      <c r="I716" s="349"/>
      <c r="K716" s="349"/>
      <c r="L716" s="349"/>
    </row>
    <row r="717">
      <c r="A717" s="349"/>
      <c r="B717" s="349"/>
      <c r="C717" s="356"/>
      <c r="D717" s="489"/>
      <c r="E717" s="494"/>
      <c r="F717" s="491"/>
      <c r="G717" s="495"/>
      <c r="H717" s="349"/>
      <c r="I717" s="349"/>
      <c r="K717" s="349"/>
      <c r="L717" s="349"/>
    </row>
    <row r="718">
      <c r="A718" s="349"/>
      <c r="B718" s="349"/>
      <c r="C718" s="356"/>
      <c r="D718" s="489"/>
      <c r="E718" s="494"/>
      <c r="F718" s="491"/>
      <c r="G718" s="495"/>
      <c r="H718" s="349"/>
      <c r="I718" s="349"/>
      <c r="K718" s="349"/>
      <c r="L718" s="349"/>
    </row>
    <row r="719">
      <c r="A719" s="349"/>
      <c r="B719" s="349"/>
      <c r="C719" s="356"/>
      <c r="D719" s="489"/>
      <c r="E719" s="494"/>
      <c r="F719" s="491"/>
      <c r="G719" s="495"/>
      <c r="H719" s="349"/>
      <c r="I719" s="349"/>
      <c r="K719" s="349"/>
      <c r="L719" s="349"/>
    </row>
    <row r="720">
      <c r="A720" s="349"/>
      <c r="B720" s="349"/>
      <c r="C720" s="356"/>
      <c r="D720" s="489"/>
      <c r="E720" s="494"/>
      <c r="F720" s="491"/>
      <c r="G720" s="495"/>
      <c r="H720" s="349"/>
      <c r="I720" s="349"/>
      <c r="K720" s="349"/>
      <c r="L720" s="349"/>
    </row>
    <row r="721">
      <c r="A721" s="349"/>
      <c r="B721" s="349"/>
      <c r="C721" s="356"/>
      <c r="D721" s="489"/>
      <c r="E721" s="494"/>
      <c r="F721" s="491"/>
      <c r="G721" s="495"/>
      <c r="H721" s="349"/>
      <c r="I721" s="349"/>
      <c r="K721" s="349"/>
      <c r="L721" s="349"/>
    </row>
    <row r="722">
      <c r="A722" s="349"/>
      <c r="B722" s="349"/>
      <c r="C722" s="356"/>
      <c r="D722" s="489"/>
      <c r="E722" s="494"/>
      <c r="F722" s="491"/>
      <c r="G722" s="495"/>
      <c r="H722" s="349"/>
      <c r="I722" s="349"/>
      <c r="K722" s="349"/>
      <c r="L722" s="349"/>
    </row>
    <row r="723">
      <c r="A723" s="349"/>
      <c r="B723" s="349"/>
      <c r="C723" s="356"/>
      <c r="D723" s="489"/>
      <c r="E723" s="494"/>
      <c r="F723" s="491"/>
      <c r="G723" s="495"/>
      <c r="H723" s="349"/>
      <c r="I723" s="349"/>
      <c r="K723" s="349"/>
      <c r="L723" s="349"/>
    </row>
    <row r="724">
      <c r="A724" s="349"/>
      <c r="B724" s="349"/>
      <c r="C724" s="356"/>
      <c r="D724" s="489"/>
      <c r="E724" s="494"/>
      <c r="F724" s="491"/>
      <c r="G724" s="495"/>
      <c r="H724" s="349"/>
      <c r="I724" s="349"/>
      <c r="K724" s="349"/>
      <c r="L724" s="349"/>
    </row>
    <row r="725">
      <c r="A725" s="349"/>
      <c r="B725" s="349"/>
      <c r="C725" s="356"/>
      <c r="D725" s="489"/>
      <c r="E725" s="494"/>
      <c r="F725" s="491"/>
      <c r="G725" s="495"/>
      <c r="H725" s="349"/>
      <c r="I725" s="349"/>
      <c r="K725" s="349"/>
      <c r="L725" s="349"/>
    </row>
    <row r="726">
      <c r="A726" s="349"/>
      <c r="B726" s="349"/>
      <c r="C726" s="356"/>
      <c r="D726" s="489"/>
      <c r="E726" s="494"/>
      <c r="F726" s="491"/>
      <c r="G726" s="495"/>
      <c r="H726" s="349"/>
      <c r="I726" s="349"/>
      <c r="K726" s="349"/>
      <c r="L726" s="349"/>
    </row>
    <row r="727">
      <c r="A727" s="349"/>
      <c r="B727" s="349"/>
      <c r="C727" s="356"/>
      <c r="D727" s="489"/>
      <c r="E727" s="494"/>
      <c r="F727" s="491"/>
      <c r="G727" s="495"/>
      <c r="H727" s="349"/>
      <c r="I727" s="349"/>
      <c r="K727" s="349"/>
      <c r="L727" s="349"/>
    </row>
    <row r="728">
      <c r="A728" s="349"/>
      <c r="B728" s="349"/>
      <c r="C728" s="356"/>
      <c r="D728" s="489"/>
      <c r="E728" s="494"/>
      <c r="F728" s="491"/>
      <c r="G728" s="495"/>
      <c r="H728" s="349"/>
      <c r="I728" s="349"/>
      <c r="K728" s="349"/>
      <c r="L728" s="349"/>
    </row>
    <row r="729">
      <c r="A729" s="349"/>
      <c r="B729" s="349"/>
      <c r="C729" s="356"/>
      <c r="D729" s="489"/>
      <c r="E729" s="494"/>
      <c r="F729" s="491"/>
      <c r="G729" s="495"/>
      <c r="H729" s="349"/>
      <c r="I729" s="349"/>
      <c r="K729" s="349"/>
      <c r="L729" s="349"/>
    </row>
    <row r="730">
      <c r="A730" s="349"/>
      <c r="B730" s="349"/>
      <c r="C730" s="356"/>
      <c r="D730" s="489"/>
      <c r="E730" s="494"/>
      <c r="F730" s="491"/>
      <c r="G730" s="495"/>
      <c r="H730" s="349"/>
      <c r="I730" s="349"/>
      <c r="K730" s="349"/>
      <c r="L730" s="349"/>
    </row>
    <row r="731">
      <c r="A731" s="349"/>
      <c r="B731" s="349"/>
      <c r="C731" s="356"/>
      <c r="D731" s="489"/>
      <c r="E731" s="494"/>
      <c r="F731" s="491"/>
      <c r="G731" s="495"/>
      <c r="H731" s="349"/>
      <c r="I731" s="349"/>
      <c r="K731" s="349"/>
      <c r="L731" s="349"/>
    </row>
    <row r="732">
      <c r="A732" s="349"/>
      <c r="B732" s="349"/>
      <c r="C732" s="356"/>
      <c r="D732" s="489"/>
      <c r="E732" s="494"/>
      <c r="F732" s="491"/>
      <c r="G732" s="495"/>
      <c r="H732" s="349"/>
      <c r="I732" s="349"/>
      <c r="K732" s="349"/>
      <c r="L732" s="349"/>
    </row>
    <row r="733">
      <c r="A733" s="349"/>
      <c r="B733" s="349"/>
      <c r="C733" s="356"/>
      <c r="D733" s="489"/>
      <c r="E733" s="494"/>
      <c r="F733" s="491"/>
      <c r="G733" s="495"/>
      <c r="H733" s="349"/>
      <c r="I733" s="349"/>
      <c r="K733" s="349"/>
      <c r="L733" s="349"/>
    </row>
    <row r="734">
      <c r="A734" s="349"/>
      <c r="B734" s="349"/>
      <c r="C734" s="356"/>
      <c r="D734" s="489"/>
      <c r="E734" s="494"/>
      <c r="F734" s="491"/>
      <c r="G734" s="495"/>
      <c r="H734" s="349"/>
      <c r="I734" s="349"/>
      <c r="K734" s="349"/>
      <c r="L734" s="349"/>
    </row>
    <row r="735">
      <c r="A735" s="349"/>
      <c r="B735" s="349"/>
      <c r="C735" s="356"/>
      <c r="D735" s="489"/>
      <c r="E735" s="494"/>
      <c r="F735" s="491"/>
      <c r="G735" s="495"/>
      <c r="H735" s="349"/>
      <c r="I735" s="349"/>
      <c r="K735" s="349"/>
      <c r="L735" s="349"/>
    </row>
    <row r="736">
      <c r="A736" s="349"/>
      <c r="B736" s="349"/>
      <c r="C736" s="356"/>
      <c r="D736" s="489"/>
      <c r="E736" s="494"/>
      <c r="F736" s="491"/>
      <c r="G736" s="495"/>
      <c r="H736" s="349"/>
      <c r="I736" s="349"/>
      <c r="K736" s="349"/>
      <c r="L736" s="349"/>
    </row>
    <row r="737">
      <c r="A737" s="349"/>
      <c r="B737" s="349"/>
      <c r="C737" s="356"/>
      <c r="D737" s="489"/>
      <c r="E737" s="494"/>
      <c r="F737" s="491"/>
      <c r="G737" s="495"/>
      <c r="H737" s="349"/>
      <c r="I737" s="349"/>
      <c r="K737" s="349"/>
      <c r="L737" s="349"/>
    </row>
    <row r="738">
      <c r="A738" s="349"/>
      <c r="B738" s="349"/>
      <c r="C738" s="356"/>
      <c r="D738" s="489"/>
      <c r="E738" s="494"/>
      <c r="F738" s="491"/>
      <c r="G738" s="495"/>
      <c r="H738" s="349"/>
      <c r="I738" s="349"/>
      <c r="K738" s="349"/>
      <c r="L738" s="349"/>
    </row>
    <row r="739">
      <c r="A739" s="349"/>
      <c r="B739" s="349"/>
      <c r="C739" s="356"/>
      <c r="D739" s="489"/>
      <c r="E739" s="494"/>
      <c r="F739" s="491"/>
      <c r="G739" s="495"/>
      <c r="H739" s="349"/>
      <c r="I739" s="349"/>
      <c r="K739" s="349"/>
      <c r="L739" s="349"/>
    </row>
    <row r="740">
      <c r="A740" s="349"/>
      <c r="B740" s="349"/>
      <c r="C740" s="356"/>
      <c r="D740" s="489"/>
      <c r="E740" s="494"/>
      <c r="F740" s="491"/>
      <c r="G740" s="495"/>
      <c r="H740" s="349"/>
      <c r="I740" s="349"/>
      <c r="K740" s="349"/>
      <c r="L740" s="349"/>
    </row>
    <row r="741">
      <c r="A741" s="349"/>
      <c r="B741" s="349"/>
      <c r="C741" s="356"/>
      <c r="D741" s="489"/>
      <c r="E741" s="494"/>
      <c r="F741" s="491"/>
      <c r="G741" s="495"/>
      <c r="H741" s="349"/>
      <c r="I741" s="349"/>
      <c r="K741" s="349"/>
      <c r="L741" s="349"/>
    </row>
    <row r="742">
      <c r="A742" s="349"/>
      <c r="B742" s="349"/>
      <c r="C742" s="356"/>
      <c r="D742" s="489"/>
      <c r="E742" s="494"/>
      <c r="F742" s="491"/>
      <c r="G742" s="495"/>
      <c r="H742" s="349"/>
      <c r="I742" s="349"/>
      <c r="K742" s="349"/>
      <c r="L742" s="349"/>
    </row>
    <row r="743">
      <c r="A743" s="349"/>
      <c r="B743" s="349"/>
      <c r="C743" s="356"/>
      <c r="D743" s="489"/>
      <c r="E743" s="494"/>
      <c r="F743" s="491"/>
      <c r="G743" s="495"/>
      <c r="H743" s="349"/>
      <c r="I743" s="349"/>
      <c r="K743" s="349"/>
      <c r="L743" s="349"/>
    </row>
    <row r="744">
      <c r="A744" s="349"/>
      <c r="B744" s="349"/>
      <c r="C744" s="356"/>
      <c r="D744" s="489"/>
      <c r="E744" s="494"/>
      <c r="F744" s="491"/>
      <c r="G744" s="495"/>
      <c r="H744" s="349"/>
      <c r="I744" s="349"/>
      <c r="K744" s="349"/>
      <c r="L744" s="349"/>
    </row>
    <row r="745">
      <c r="A745" s="349"/>
      <c r="B745" s="349"/>
      <c r="C745" s="356"/>
      <c r="D745" s="489"/>
      <c r="E745" s="494"/>
      <c r="F745" s="491"/>
      <c r="G745" s="495"/>
      <c r="H745" s="349"/>
      <c r="I745" s="349"/>
      <c r="K745" s="349"/>
      <c r="L745" s="349"/>
    </row>
    <row r="746">
      <c r="A746" s="349"/>
      <c r="B746" s="349"/>
      <c r="C746" s="356"/>
      <c r="D746" s="489"/>
      <c r="E746" s="494"/>
      <c r="F746" s="491"/>
      <c r="G746" s="495"/>
      <c r="H746" s="349"/>
      <c r="I746" s="349"/>
      <c r="K746" s="349"/>
      <c r="L746" s="349"/>
    </row>
    <row r="747">
      <c r="A747" s="349"/>
      <c r="B747" s="349"/>
      <c r="C747" s="356"/>
      <c r="D747" s="489"/>
      <c r="E747" s="494"/>
      <c r="F747" s="491"/>
      <c r="G747" s="495"/>
      <c r="H747" s="349"/>
      <c r="I747" s="349"/>
      <c r="K747" s="349"/>
      <c r="L747" s="349"/>
    </row>
    <row r="748">
      <c r="A748" s="349"/>
      <c r="B748" s="349"/>
      <c r="C748" s="356"/>
      <c r="D748" s="489"/>
      <c r="E748" s="494"/>
      <c r="F748" s="491"/>
      <c r="G748" s="495"/>
      <c r="H748" s="349"/>
      <c r="I748" s="349"/>
      <c r="K748" s="349"/>
      <c r="L748" s="349"/>
    </row>
    <row r="749">
      <c r="A749" s="349"/>
      <c r="B749" s="349"/>
      <c r="C749" s="356"/>
      <c r="D749" s="489"/>
      <c r="E749" s="494"/>
      <c r="F749" s="491"/>
      <c r="G749" s="495"/>
      <c r="H749" s="349"/>
      <c r="I749" s="349"/>
      <c r="K749" s="349"/>
      <c r="L749" s="349"/>
    </row>
    <row r="750">
      <c r="A750" s="349"/>
      <c r="B750" s="349"/>
      <c r="C750" s="356"/>
      <c r="D750" s="489"/>
      <c r="E750" s="494"/>
      <c r="F750" s="491"/>
      <c r="G750" s="495"/>
      <c r="H750" s="349"/>
      <c r="I750" s="349"/>
      <c r="K750" s="349"/>
      <c r="L750" s="349"/>
    </row>
    <row r="751">
      <c r="A751" s="349"/>
      <c r="B751" s="349"/>
      <c r="C751" s="356"/>
      <c r="D751" s="489"/>
      <c r="E751" s="494"/>
      <c r="F751" s="491"/>
      <c r="G751" s="495"/>
      <c r="H751" s="349"/>
      <c r="I751" s="349"/>
      <c r="K751" s="349"/>
      <c r="L751" s="349"/>
    </row>
    <row r="752">
      <c r="A752" s="349"/>
      <c r="B752" s="349"/>
      <c r="C752" s="356"/>
      <c r="D752" s="489"/>
      <c r="E752" s="494"/>
      <c r="F752" s="491"/>
      <c r="G752" s="495"/>
      <c r="H752" s="349"/>
      <c r="I752" s="349"/>
      <c r="K752" s="349"/>
      <c r="L752" s="349"/>
    </row>
    <row r="753">
      <c r="A753" s="349"/>
      <c r="B753" s="349"/>
      <c r="C753" s="356"/>
      <c r="D753" s="489"/>
      <c r="E753" s="494"/>
      <c r="F753" s="491"/>
      <c r="G753" s="495"/>
      <c r="H753" s="349"/>
      <c r="I753" s="349"/>
      <c r="K753" s="349"/>
      <c r="L753" s="349"/>
    </row>
    <row r="754">
      <c r="A754" s="349"/>
      <c r="B754" s="349"/>
      <c r="C754" s="356"/>
      <c r="D754" s="489"/>
      <c r="E754" s="494"/>
      <c r="F754" s="491"/>
      <c r="G754" s="495"/>
      <c r="H754" s="349"/>
      <c r="I754" s="349"/>
      <c r="K754" s="349"/>
      <c r="L754" s="349"/>
    </row>
    <row r="755">
      <c r="A755" s="349"/>
      <c r="B755" s="349"/>
      <c r="C755" s="356"/>
      <c r="D755" s="489"/>
      <c r="E755" s="494"/>
      <c r="F755" s="491"/>
      <c r="G755" s="495"/>
      <c r="H755" s="349"/>
      <c r="I755" s="349"/>
      <c r="K755" s="349"/>
      <c r="L755" s="349"/>
    </row>
    <row r="756">
      <c r="A756" s="349"/>
      <c r="B756" s="349"/>
      <c r="C756" s="356"/>
      <c r="D756" s="489"/>
      <c r="E756" s="494"/>
      <c r="F756" s="491"/>
      <c r="G756" s="495"/>
      <c r="H756" s="349"/>
      <c r="I756" s="349"/>
      <c r="K756" s="349"/>
      <c r="L756" s="349"/>
    </row>
    <row r="757">
      <c r="A757" s="349"/>
      <c r="B757" s="349"/>
      <c r="C757" s="356"/>
      <c r="D757" s="489"/>
      <c r="E757" s="494"/>
      <c r="F757" s="491"/>
      <c r="G757" s="495"/>
      <c r="H757" s="349"/>
      <c r="I757" s="349"/>
      <c r="K757" s="349"/>
      <c r="L757" s="349"/>
    </row>
    <row r="758">
      <c r="A758" s="349"/>
      <c r="B758" s="349"/>
      <c r="C758" s="356"/>
      <c r="D758" s="489"/>
      <c r="E758" s="494"/>
      <c r="F758" s="491"/>
      <c r="G758" s="495"/>
      <c r="H758" s="349"/>
      <c r="I758" s="349"/>
      <c r="K758" s="349"/>
      <c r="L758" s="349"/>
    </row>
    <row r="759">
      <c r="A759" s="349"/>
      <c r="B759" s="349"/>
      <c r="C759" s="356"/>
      <c r="D759" s="489"/>
      <c r="E759" s="494"/>
      <c r="F759" s="491"/>
      <c r="G759" s="495"/>
      <c r="H759" s="349"/>
      <c r="I759" s="349"/>
      <c r="K759" s="349"/>
      <c r="L759" s="349"/>
    </row>
    <row r="760">
      <c r="A760" s="349"/>
      <c r="B760" s="349"/>
      <c r="C760" s="356"/>
      <c r="D760" s="489"/>
      <c r="E760" s="494"/>
      <c r="F760" s="491"/>
      <c r="G760" s="495"/>
      <c r="H760" s="349"/>
      <c r="I760" s="349"/>
      <c r="K760" s="349"/>
      <c r="L760" s="349"/>
    </row>
    <row r="761">
      <c r="A761" s="349"/>
      <c r="B761" s="349"/>
      <c r="C761" s="356"/>
      <c r="D761" s="489"/>
      <c r="E761" s="494"/>
      <c r="F761" s="491"/>
      <c r="G761" s="495"/>
      <c r="H761" s="349"/>
      <c r="I761" s="349"/>
      <c r="K761" s="349"/>
      <c r="L761" s="349"/>
    </row>
    <row r="762">
      <c r="A762" s="349"/>
      <c r="B762" s="349"/>
      <c r="C762" s="356"/>
      <c r="D762" s="489"/>
      <c r="E762" s="494"/>
      <c r="F762" s="491"/>
      <c r="G762" s="495"/>
      <c r="H762" s="349"/>
      <c r="I762" s="349"/>
      <c r="K762" s="349"/>
      <c r="L762" s="349"/>
    </row>
    <row r="763">
      <c r="A763" s="349"/>
      <c r="B763" s="349"/>
      <c r="C763" s="356"/>
      <c r="D763" s="489"/>
      <c r="E763" s="494"/>
      <c r="F763" s="491"/>
      <c r="G763" s="495"/>
      <c r="H763" s="349"/>
      <c r="I763" s="349"/>
      <c r="K763" s="349"/>
      <c r="L763" s="349"/>
    </row>
    <row r="764">
      <c r="A764" s="349"/>
      <c r="B764" s="349"/>
      <c r="C764" s="356"/>
      <c r="D764" s="489"/>
      <c r="E764" s="494"/>
      <c r="F764" s="491"/>
      <c r="G764" s="495"/>
      <c r="H764" s="349"/>
      <c r="I764" s="349"/>
      <c r="K764" s="349"/>
      <c r="L764" s="349"/>
    </row>
    <row r="765">
      <c r="A765" s="349"/>
      <c r="B765" s="349"/>
      <c r="C765" s="356"/>
      <c r="D765" s="489"/>
      <c r="E765" s="494"/>
      <c r="F765" s="491"/>
      <c r="G765" s="495"/>
      <c r="H765" s="349"/>
      <c r="I765" s="349"/>
      <c r="K765" s="349"/>
      <c r="L765" s="349"/>
    </row>
    <row r="766">
      <c r="A766" s="349"/>
      <c r="B766" s="349"/>
      <c r="C766" s="356"/>
      <c r="D766" s="489"/>
      <c r="E766" s="494"/>
      <c r="F766" s="491"/>
      <c r="G766" s="495"/>
      <c r="H766" s="349"/>
      <c r="I766" s="349"/>
      <c r="K766" s="349"/>
      <c r="L766" s="349"/>
    </row>
    <row r="767">
      <c r="A767" s="349"/>
      <c r="B767" s="349"/>
      <c r="C767" s="356"/>
      <c r="D767" s="489"/>
      <c r="E767" s="494"/>
      <c r="F767" s="491"/>
      <c r="G767" s="495"/>
      <c r="H767" s="349"/>
      <c r="I767" s="349"/>
      <c r="K767" s="349"/>
      <c r="L767" s="349"/>
    </row>
    <row r="768">
      <c r="A768" s="349"/>
      <c r="B768" s="349"/>
      <c r="C768" s="356"/>
      <c r="D768" s="489"/>
      <c r="E768" s="494"/>
      <c r="F768" s="491"/>
      <c r="G768" s="495"/>
      <c r="H768" s="349"/>
      <c r="I768" s="349"/>
      <c r="K768" s="349"/>
      <c r="L768" s="349"/>
    </row>
    <row r="769">
      <c r="A769" s="349"/>
      <c r="B769" s="349"/>
      <c r="C769" s="356"/>
      <c r="D769" s="489"/>
      <c r="E769" s="494"/>
      <c r="F769" s="491"/>
      <c r="G769" s="495"/>
      <c r="H769" s="349"/>
      <c r="I769" s="349"/>
      <c r="K769" s="349"/>
      <c r="L769" s="349"/>
    </row>
    <row r="770">
      <c r="A770" s="349"/>
      <c r="B770" s="349"/>
      <c r="C770" s="356"/>
      <c r="D770" s="489"/>
      <c r="E770" s="494"/>
      <c r="F770" s="491"/>
      <c r="G770" s="495"/>
      <c r="H770" s="349"/>
      <c r="I770" s="349"/>
      <c r="K770" s="349"/>
      <c r="L770" s="349"/>
    </row>
    <row r="771">
      <c r="A771" s="349"/>
      <c r="B771" s="349"/>
      <c r="C771" s="356"/>
      <c r="D771" s="489"/>
      <c r="E771" s="494"/>
      <c r="F771" s="491"/>
      <c r="G771" s="495"/>
      <c r="H771" s="349"/>
      <c r="I771" s="349"/>
      <c r="K771" s="349"/>
      <c r="L771" s="349"/>
    </row>
    <row r="772">
      <c r="A772" s="349"/>
      <c r="B772" s="349"/>
      <c r="C772" s="356"/>
      <c r="D772" s="489"/>
      <c r="E772" s="494"/>
      <c r="F772" s="491"/>
      <c r="G772" s="495"/>
      <c r="H772" s="349"/>
      <c r="I772" s="349"/>
      <c r="K772" s="349"/>
      <c r="L772" s="349"/>
    </row>
    <row r="773">
      <c r="A773" s="349"/>
      <c r="B773" s="349"/>
      <c r="C773" s="356"/>
      <c r="D773" s="489"/>
      <c r="E773" s="494"/>
      <c r="F773" s="491"/>
      <c r="G773" s="495"/>
      <c r="H773" s="349"/>
      <c r="I773" s="349"/>
      <c r="K773" s="349"/>
      <c r="L773" s="349"/>
    </row>
    <row r="774">
      <c r="A774" s="349"/>
      <c r="B774" s="349"/>
      <c r="C774" s="356"/>
      <c r="D774" s="489"/>
      <c r="E774" s="494"/>
      <c r="F774" s="491"/>
      <c r="G774" s="495"/>
      <c r="H774" s="349"/>
      <c r="I774" s="349"/>
      <c r="K774" s="349"/>
      <c r="L774" s="349"/>
    </row>
    <row r="775">
      <c r="A775" s="349"/>
      <c r="B775" s="349"/>
      <c r="C775" s="356"/>
      <c r="D775" s="489"/>
      <c r="E775" s="494"/>
      <c r="F775" s="491"/>
      <c r="G775" s="495"/>
      <c r="H775" s="349"/>
      <c r="I775" s="349"/>
      <c r="K775" s="349"/>
      <c r="L775" s="349"/>
    </row>
    <row r="776">
      <c r="A776" s="349"/>
      <c r="B776" s="349"/>
      <c r="C776" s="356"/>
      <c r="D776" s="489"/>
      <c r="E776" s="494"/>
      <c r="F776" s="491"/>
      <c r="G776" s="495"/>
      <c r="H776" s="349"/>
      <c r="I776" s="349"/>
      <c r="K776" s="349"/>
      <c r="L776" s="349"/>
    </row>
    <row r="777">
      <c r="A777" s="349"/>
      <c r="B777" s="349"/>
      <c r="C777" s="356"/>
      <c r="D777" s="489"/>
      <c r="E777" s="494"/>
      <c r="F777" s="491"/>
      <c r="G777" s="495"/>
      <c r="H777" s="349"/>
      <c r="I777" s="349"/>
      <c r="K777" s="349"/>
      <c r="L777" s="349"/>
    </row>
    <row r="778">
      <c r="A778" s="349"/>
      <c r="B778" s="349"/>
      <c r="C778" s="356"/>
      <c r="D778" s="489"/>
      <c r="E778" s="494"/>
      <c r="F778" s="491"/>
      <c r="G778" s="495"/>
      <c r="H778" s="349"/>
      <c r="I778" s="349"/>
      <c r="K778" s="349"/>
      <c r="L778" s="349"/>
    </row>
    <row r="779">
      <c r="A779" s="349"/>
      <c r="B779" s="349"/>
      <c r="C779" s="356"/>
      <c r="D779" s="489"/>
      <c r="E779" s="494"/>
      <c r="F779" s="491"/>
      <c r="G779" s="495"/>
      <c r="H779" s="349"/>
      <c r="I779" s="349"/>
      <c r="K779" s="349"/>
      <c r="L779" s="349"/>
    </row>
    <row r="780">
      <c r="A780" s="349"/>
      <c r="B780" s="349"/>
      <c r="C780" s="356"/>
      <c r="D780" s="489"/>
      <c r="E780" s="494"/>
      <c r="F780" s="491"/>
      <c r="G780" s="495"/>
      <c r="H780" s="349"/>
      <c r="I780" s="349"/>
      <c r="K780" s="349"/>
      <c r="L780" s="349"/>
    </row>
    <row r="781">
      <c r="A781" s="349"/>
      <c r="B781" s="349"/>
      <c r="C781" s="356"/>
      <c r="D781" s="489"/>
      <c r="E781" s="494"/>
      <c r="F781" s="491"/>
      <c r="G781" s="495"/>
      <c r="H781" s="349"/>
      <c r="I781" s="349"/>
      <c r="K781" s="349"/>
      <c r="L781" s="349"/>
    </row>
    <row r="782">
      <c r="A782" s="349"/>
      <c r="B782" s="349"/>
      <c r="C782" s="356"/>
      <c r="D782" s="489"/>
      <c r="E782" s="494"/>
      <c r="F782" s="491"/>
      <c r="G782" s="495"/>
      <c r="H782" s="349"/>
      <c r="I782" s="349"/>
      <c r="K782" s="349"/>
      <c r="L782" s="349"/>
    </row>
    <row r="783">
      <c r="A783" s="349"/>
      <c r="B783" s="349"/>
      <c r="C783" s="356"/>
      <c r="D783" s="489"/>
      <c r="E783" s="494"/>
      <c r="F783" s="491"/>
      <c r="G783" s="495"/>
      <c r="H783" s="349"/>
      <c r="I783" s="349"/>
      <c r="K783" s="349"/>
      <c r="L783" s="349"/>
    </row>
    <row r="784">
      <c r="A784" s="349"/>
      <c r="B784" s="349"/>
      <c r="C784" s="356"/>
      <c r="D784" s="489"/>
      <c r="E784" s="494"/>
      <c r="F784" s="491"/>
      <c r="G784" s="495"/>
      <c r="H784" s="349"/>
      <c r="I784" s="349"/>
      <c r="K784" s="349"/>
      <c r="L784" s="349"/>
    </row>
    <row r="785">
      <c r="A785" s="349"/>
      <c r="B785" s="349"/>
      <c r="C785" s="356"/>
      <c r="D785" s="489"/>
      <c r="E785" s="494"/>
      <c r="F785" s="491"/>
      <c r="G785" s="495"/>
      <c r="H785" s="349"/>
      <c r="I785" s="349"/>
      <c r="K785" s="349"/>
      <c r="L785" s="349"/>
    </row>
    <row r="786">
      <c r="A786" s="349"/>
      <c r="B786" s="349"/>
      <c r="C786" s="356"/>
      <c r="D786" s="489"/>
      <c r="E786" s="494"/>
      <c r="F786" s="491"/>
      <c r="G786" s="495"/>
      <c r="H786" s="349"/>
      <c r="I786" s="349"/>
      <c r="K786" s="349"/>
      <c r="L786" s="349"/>
    </row>
    <row r="787">
      <c r="A787" s="349"/>
      <c r="B787" s="349"/>
      <c r="C787" s="356"/>
      <c r="D787" s="489"/>
      <c r="E787" s="494"/>
      <c r="F787" s="491"/>
      <c r="G787" s="495"/>
      <c r="H787" s="349"/>
      <c r="I787" s="349"/>
      <c r="K787" s="349"/>
      <c r="L787" s="349"/>
    </row>
    <row r="788">
      <c r="A788" s="349"/>
      <c r="B788" s="349"/>
      <c r="C788" s="356"/>
      <c r="D788" s="489"/>
      <c r="E788" s="494"/>
      <c r="F788" s="491"/>
      <c r="G788" s="495"/>
      <c r="H788" s="349"/>
      <c r="I788" s="349"/>
      <c r="K788" s="349"/>
      <c r="L788" s="349"/>
    </row>
    <row r="789">
      <c r="A789" s="349"/>
      <c r="B789" s="349"/>
      <c r="C789" s="356"/>
      <c r="D789" s="489"/>
      <c r="E789" s="494"/>
      <c r="F789" s="491"/>
      <c r="G789" s="495"/>
      <c r="H789" s="349"/>
      <c r="I789" s="349"/>
      <c r="K789" s="349"/>
      <c r="L789" s="349"/>
    </row>
    <row r="790">
      <c r="A790" s="349"/>
      <c r="B790" s="349"/>
      <c r="C790" s="356"/>
      <c r="D790" s="489"/>
      <c r="E790" s="494"/>
      <c r="F790" s="491"/>
      <c r="G790" s="495"/>
      <c r="H790" s="349"/>
      <c r="I790" s="349"/>
      <c r="K790" s="349"/>
      <c r="L790" s="349"/>
    </row>
    <row r="791">
      <c r="A791" s="349"/>
      <c r="B791" s="349"/>
      <c r="C791" s="356"/>
      <c r="D791" s="489"/>
      <c r="E791" s="494"/>
      <c r="F791" s="491"/>
      <c r="G791" s="495"/>
      <c r="H791" s="349"/>
      <c r="I791" s="349"/>
      <c r="K791" s="349"/>
      <c r="L791" s="349"/>
    </row>
    <row r="792">
      <c r="A792" s="349"/>
      <c r="B792" s="349"/>
      <c r="C792" s="356"/>
      <c r="D792" s="489"/>
      <c r="E792" s="494"/>
      <c r="F792" s="491"/>
      <c r="G792" s="495"/>
      <c r="H792" s="349"/>
      <c r="I792" s="349"/>
      <c r="K792" s="349"/>
      <c r="L792" s="349"/>
    </row>
    <row r="793">
      <c r="A793" s="349"/>
      <c r="B793" s="349"/>
      <c r="C793" s="356"/>
      <c r="D793" s="489"/>
      <c r="E793" s="494"/>
      <c r="F793" s="491"/>
      <c r="G793" s="495"/>
      <c r="H793" s="349"/>
      <c r="I793" s="349"/>
      <c r="K793" s="349"/>
      <c r="L793" s="349"/>
    </row>
    <row r="794">
      <c r="A794" s="349"/>
      <c r="B794" s="349"/>
      <c r="C794" s="356"/>
      <c r="D794" s="489"/>
      <c r="E794" s="494"/>
      <c r="F794" s="491"/>
      <c r="G794" s="495"/>
      <c r="H794" s="349"/>
      <c r="I794" s="349"/>
      <c r="K794" s="349"/>
      <c r="L794" s="349"/>
    </row>
    <row r="795">
      <c r="A795" s="349"/>
      <c r="B795" s="349"/>
      <c r="C795" s="356"/>
      <c r="D795" s="489"/>
      <c r="E795" s="494"/>
      <c r="F795" s="491"/>
      <c r="G795" s="495"/>
      <c r="H795" s="349"/>
      <c r="I795" s="349"/>
      <c r="K795" s="349"/>
      <c r="L795" s="349"/>
    </row>
    <row r="796">
      <c r="A796" s="349"/>
      <c r="B796" s="349"/>
      <c r="C796" s="356"/>
      <c r="D796" s="489"/>
      <c r="E796" s="494"/>
      <c r="F796" s="491"/>
      <c r="G796" s="495"/>
      <c r="H796" s="349"/>
      <c r="I796" s="349"/>
      <c r="K796" s="349"/>
      <c r="L796" s="349"/>
    </row>
    <row r="797">
      <c r="A797" s="349"/>
      <c r="B797" s="349"/>
      <c r="C797" s="356"/>
      <c r="D797" s="489"/>
      <c r="E797" s="494"/>
      <c r="F797" s="491"/>
      <c r="G797" s="495"/>
      <c r="H797" s="349"/>
      <c r="I797" s="349"/>
      <c r="K797" s="349"/>
      <c r="L797" s="349"/>
    </row>
    <row r="798">
      <c r="A798" s="349"/>
      <c r="B798" s="349"/>
      <c r="C798" s="356"/>
      <c r="D798" s="489"/>
      <c r="E798" s="494"/>
      <c r="F798" s="491"/>
      <c r="G798" s="495"/>
      <c r="H798" s="349"/>
      <c r="I798" s="349"/>
      <c r="K798" s="349"/>
      <c r="L798" s="349"/>
    </row>
    <row r="799">
      <c r="A799" s="349"/>
      <c r="B799" s="349"/>
      <c r="C799" s="356"/>
      <c r="D799" s="489"/>
      <c r="E799" s="494"/>
      <c r="F799" s="491"/>
      <c r="G799" s="495"/>
      <c r="H799" s="349"/>
      <c r="I799" s="349"/>
      <c r="K799" s="349"/>
      <c r="L799" s="349"/>
    </row>
    <row r="800">
      <c r="A800" s="349"/>
      <c r="B800" s="349"/>
      <c r="C800" s="356"/>
      <c r="D800" s="489"/>
      <c r="E800" s="494"/>
      <c r="F800" s="491"/>
      <c r="G800" s="495"/>
      <c r="H800" s="349"/>
      <c r="I800" s="349"/>
      <c r="K800" s="349"/>
      <c r="L800" s="349"/>
    </row>
    <row r="801">
      <c r="A801" s="349"/>
      <c r="B801" s="349"/>
      <c r="C801" s="356"/>
      <c r="D801" s="489"/>
      <c r="E801" s="494"/>
      <c r="F801" s="491"/>
      <c r="G801" s="495"/>
      <c r="H801" s="349"/>
      <c r="I801" s="349"/>
      <c r="K801" s="349"/>
      <c r="L801" s="349"/>
    </row>
    <row r="802">
      <c r="A802" s="349"/>
      <c r="B802" s="349"/>
      <c r="C802" s="356"/>
      <c r="D802" s="489"/>
      <c r="E802" s="494"/>
      <c r="F802" s="491"/>
      <c r="G802" s="495"/>
      <c r="H802" s="349"/>
      <c r="I802" s="349"/>
      <c r="K802" s="349"/>
      <c r="L802" s="349"/>
    </row>
    <row r="803">
      <c r="A803" s="349"/>
      <c r="B803" s="349"/>
      <c r="C803" s="356"/>
      <c r="D803" s="489"/>
      <c r="E803" s="494"/>
      <c r="F803" s="491"/>
      <c r="G803" s="495"/>
      <c r="H803" s="349"/>
      <c r="I803" s="349"/>
      <c r="K803" s="349"/>
      <c r="L803" s="349"/>
    </row>
    <row r="804">
      <c r="A804" s="349"/>
      <c r="B804" s="349"/>
      <c r="C804" s="356"/>
      <c r="D804" s="489"/>
      <c r="E804" s="494"/>
      <c r="F804" s="491"/>
      <c r="G804" s="495"/>
      <c r="H804" s="349"/>
      <c r="I804" s="349"/>
      <c r="K804" s="349"/>
      <c r="L804" s="349"/>
    </row>
    <row r="805">
      <c r="A805" s="349"/>
      <c r="B805" s="349"/>
      <c r="C805" s="356"/>
      <c r="D805" s="489"/>
      <c r="E805" s="494"/>
      <c r="F805" s="491"/>
      <c r="G805" s="495"/>
      <c r="H805" s="349"/>
      <c r="I805" s="349"/>
      <c r="K805" s="349"/>
      <c r="L805" s="349"/>
    </row>
    <row r="806">
      <c r="A806" s="349"/>
      <c r="B806" s="349"/>
      <c r="C806" s="356"/>
      <c r="D806" s="489"/>
      <c r="E806" s="494"/>
      <c r="F806" s="491"/>
      <c r="G806" s="495"/>
      <c r="H806" s="349"/>
      <c r="I806" s="349"/>
      <c r="K806" s="349"/>
      <c r="L806" s="349"/>
    </row>
    <row r="807">
      <c r="A807" s="349"/>
      <c r="B807" s="349"/>
      <c r="C807" s="356"/>
      <c r="D807" s="489"/>
      <c r="E807" s="494"/>
      <c r="F807" s="491"/>
      <c r="G807" s="495"/>
      <c r="H807" s="349"/>
      <c r="I807" s="349"/>
      <c r="K807" s="349"/>
      <c r="L807" s="349"/>
    </row>
    <row r="808">
      <c r="A808" s="349"/>
      <c r="B808" s="349"/>
      <c r="C808" s="356"/>
      <c r="D808" s="489"/>
      <c r="E808" s="494"/>
      <c r="F808" s="491"/>
      <c r="G808" s="495"/>
      <c r="H808" s="349"/>
      <c r="I808" s="349"/>
      <c r="K808" s="349"/>
      <c r="L808" s="349"/>
    </row>
    <row r="809">
      <c r="A809" s="349"/>
      <c r="B809" s="349"/>
      <c r="C809" s="356"/>
      <c r="D809" s="489"/>
      <c r="E809" s="494"/>
      <c r="F809" s="491"/>
      <c r="G809" s="495"/>
      <c r="H809" s="349"/>
      <c r="I809" s="349"/>
      <c r="K809" s="349"/>
      <c r="L809" s="349"/>
    </row>
    <row r="810">
      <c r="A810" s="349"/>
      <c r="B810" s="349"/>
      <c r="C810" s="356"/>
      <c r="D810" s="489"/>
      <c r="E810" s="494"/>
      <c r="F810" s="491"/>
      <c r="G810" s="495"/>
      <c r="H810" s="349"/>
      <c r="I810" s="349"/>
      <c r="K810" s="349"/>
      <c r="L810" s="349"/>
    </row>
    <row r="811">
      <c r="A811" s="349"/>
      <c r="B811" s="349"/>
      <c r="C811" s="356"/>
      <c r="D811" s="489"/>
      <c r="E811" s="494"/>
      <c r="F811" s="491"/>
      <c r="G811" s="495"/>
      <c r="H811" s="349"/>
      <c r="I811" s="349"/>
      <c r="K811" s="349"/>
      <c r="L811" s="349"/>
    </row>
    <row r="812">
      <c r="A812" s="349"/>
      <c r="B812" s="349"/>
      <c r="C812" s="356"/>
      <c r="D812" s="489"/>
      <c r="E812" s="494"/>
      <c r="F812" s="491"/>
      <c r="G812" s="495"/>
      <c r="H812" s="349"/>
      <c r="I812" s="349"/>
      <c r="K812" s="349"/>
      <c r="L812" s="349"/>
    </row>
    <row r="813">
      <c r="A813" s="349"/>
      <c r="B813" s="349"/>
      <c r="C813" s="356"/>
      <c r="D813" s="489"/>
      <c r="E813" s="494"/>
      <c r="F813" s="491"/>
      <c r="G813" s="495"/>
      <c r="H813" s="349"/>
      <c r="I813" s="349"/>
      <c r="K813" s="349"/>
      <c r="L813" s="349"/>
    </row>
    <row r="814">
      <c r="A814" s="349"/>
      <c r="B814" s="349"/>
      <c r="C814" s="356"/>
      <c r="D814" s="489"/>
      <c r="E814" s="494"/>
      <c r="F814" s="491"/>
      <c r="G814" s="495"/>
      <c r="H814" s="349"/>
      <c r="I814" s="349"/>
      <c r="K814" s="349"/>
      <c r="L814" s="349"/>
    </row>
    <row r="815">
      <c r="A815" s="349"/>
      <c r="B815" s="349"/>
      <c r="C815" s="356"/>
      <c r="D815" s="489"/>
      <c r="E815" s="494"/>
      <c r="F815" s="491"/>
      <c r="G815" s="495"/>
      <c r="H815" s="349"/>
      <c r="I815" s="349"/>
      <c r="K815" s="349"/>
      <c r="L815" s="349"/>
    </row>
    <row r="816">
      <c r="A816" s="349"/>
      <c r="B816" s="349"/>
      <c r="C816" s="356"/>
      <c r="D816" s="489"/>
      <c r="E816" s="494"/>
      <c r="F816" s="491"/>
      <c r="G816" s="495"/>
      <c r="H816" s="349"/>
      <c r="I816" s="349"/>
      <c r="K816" s="349"/>
      <c r="L816" s="349"/>
    </row>
    <row r="817">
      <c r="A817" s="349"/>
      <c r="B817" s="349"/>
      <c r="C817" s="356"/>
      <c r="D817" s="489"/>
      <c r="E817" s="494"/>
      <c r="F817" s="491"/>
      <c r="G817" s="495"/>
      <c r="H817" s="349"/>
      <c r="I817" s="349"/>
      <c r="K817" s="349"/>
      <c r="L817" s="349"/>
    </row>
    <row r="818">
      <c r="A818" s="349"/>
      <c r="B818" s="349"/>
      <c r="C818" s="356"/>
      <c r="D818" s="489"/>
      <c r="E818" s="494"/>
      <c r="F818" s="491"/>
      <c r="G818" s="495"/>
      <c r="H818" s="349"/>
      <c r="I818" s="349"/>
      <c r="K818" s="349"/>
      <c r="L818" s="349"/>
    </row>
    <row r="819">
      <c r="A819" s="349"/>
      <c r="B819" s="349"/>
      <c r="C819" s="356"/>
      <c r="D819" s="489"/>
      <c r="E819" s="494"/>
      <c r="F819" s="491"/>
      <c r="G819" s="495"/>
      <c r="H819" s="349"/>
      <c r="I819" s="349"/>
      <c r="K819" s="349"/>
      <c r="L819" s="349"/>
    </row>
    <row r="820">
      <c r="A820" s="349"/>
      <c r="B820" s="349"/>
      <c r="C820" s="356"/>
      <c r="D820" s="489"/>
      <c r="E820" s="494"/>
      <c r="F820" s="491"/>
      <c r="G820" s="495"/>
      <c r="H820" s="349"/>
      <c r="I820" s="349"/>
      <c r="K820" s="349"/>
      <c r="L820" s="349"/>
    </row>
    <row r="821">
      <c r="A821" s="349"/>
      <c r="B821" s="349"/>
      <c r="C821" s="356"/>
      <c r="D821" s="489"/>
      <c r="E821" s="494"/>
      <c r="F821" s="491"/>
      <c r="G821" s="495"/>
      <c r="H821" s="349"/>
      <c r="I821" s="349"/>
      <c r="K821" s="349"/>
      <c r="L821" s="349"/>
    </row>
    <row r="822">
      <c r="A822" s="349"/>
      <c r="B822" s="349"/>
      <c r="C822" s="356"/>
      <c r="D822" s="489"/>
      <c r="E822" s="494"/>
      <c r="F822" s="491"/>
      <c r="G822" s="495"/>
      <c r="H822" s="349"/>
      <c r="I822" s="349"/>
      <c r="K822" s="349"/>
      <c r="L822" s="349"/>
    </row>
    <row r="823">
      <c r="A823" s="349"/>
      <c r="B823" s="349"/>
      <c r="C823" s="356"/>
      <c r="D823" s="489"/>
      <c r="E823" s="494"/>
      <c r="F823" s="491"/>
      <c r="G823" s="495"/>
      <c r="H823" s="349"/>
      <c r="I823" s="349"/>
      <c r="K823" s="349"/>
      <c r="L823" s="349"/>
    </row>
    <row r="824">
      <c r="A824" s="349"/>
      <c r="B824" s="349"/>
      <c r="C824" s="356"/>
      <c r="D824" s="489"/>
      <c r="E824" s="494"/>
      <c r="F824" s="491"/>
      <c r="G824" s="495"/>
      <c r="H824" s="349"/>
      <c r="I824" s="349"/>
      <c r="K824" s="349"/>
      <c r="L824" s="349"/>
    </row>
    <row r="825">
      <c r="A825" s="349"/>
      <c r="B825" s="349"/>
      <c r="C825" s="356"/>
      <c r="D825" s="489"/>
      <c r="E825" s="494"/>
      <c r="F825" s="491"/>
      <c r="G825" s="495"/>
      <c r="H825" s="349"/>
      <c r="I825" s="349"/>
      <c r="K825" s="349"/>
      <c r="L825" s="349"/>
    </row>
    <row r="826">
      <c r="A826" s="349"/>
      <c r="B826" s="349"/>
      <c r="C826" s="356"/>
      <c r="D826" s="489"/>
      <c r="E826" s="494"/>
      <c r="F826" s="491"/>
      <c r="G826" s="495"/>
      <c r="H826" s="349"/>
      <c r="I826" s="349"/>
      <c r="K826" s="349"/>
      <c r="L826" s="349"/>
    </row>
    <row r="827">
      <c r="A827" s="349"/>
      <c r="B827" s="349"/>
      <c r="C827" s="356"/>
      <c r="D827" s="489"/>
      <c r="E827" s="494"/>
      <c r="F827" s="491"/>
      <c r="G827" s="495"/>
      <c r="H827" s="349"/>
      <c r="I827" s="349"/>
      <c r="K827" s="349"/>
      <c r="L827" s="349"/>
    </row>
    <row r="828">
      <c r="A828" s="349"/>
      <c r="B828" s="349"/>
      <c r="C828" s="356"/>
      <c r="D828" s="489"/>
      <c r="E828" s="494"/>
      <c r="F828" s="491"/>
      <c r="G828" s="495"/>
      <c r="H828" s="349"/>
      <c r="I828" s="349"/>
      <c r="K828" s="349"/>
      <c r="L828" s="349"/>
    </row>
    <row r="829">
      <c r="A829" s="349"/>
      <c r="B829" s="349"/>
      <c r="C829" s="356"/>
      <c r="D829" s="489"/>
      <c r="E829" s="494"/>
      <c r="F829" s="491"/>
      <c r="G829" s="495"/>
      <c r="H829" s="349"/>
      <c r="I829" s="349"/>
      <c r="K829" s="349"/>
      <c r="L829" s="349"/>
    </row>
    <row r="830">
      <c r="A830" s="349"/>
      <c r="B830" s="349"/>
      <c r="C830" s="356"/>
      <c r="D830" s="489"/>
      <c r="E830" s="494"/>
      <c r="F830" s="491"/>
      <c r="G830" s="495"/>
      <c r="H830" s="349"/>
      <c r="I830" s="349"/>
      <c r="K830" s="349"/>
      <c r="L830" s="349"/>
    </row>
    <row r="831">
      <c r="A831" s="349"/>
      <c r="B831" s="349"/>
      <c r="C831" s="356"/>
      <c r="D831" s="489"/>
      <c r="E831" s="494"/>
      <c r="F831" s="491"/>
      <c r="G831" s="495"/>
      <c r="H831" s="349"/>
      <c r="I831" s="349"/>
      <c r="K831" s="349"/>
      <c r="L831" s="349"/>
    </row>
    <row r="832">
      <c r="A832" s="349"/>
      <c r="B832" s="349"/>
      <c r="C832" s="356"/>
      <c r="D832" s="489"/>
      <c r="E832" s="494"/>
      <c r="F832" s="491"/>
      <c r="G832" s="495"/>
      <c r="H832" s="349"/>
      <c r="I832" s="349"/>
      <c r="K832" s="349"/>
      <c r="L832" s="349"/>
    </row>
    <row r="833">
      <c r="A833" s="349"/>
      <c r="B833" s="349"/>
      <c r="C833" s="356"/>
      <c r="D833" s="489"/>
      <c r="E833" s="494"/>
      <c r="F833" s="491"/>
      <c r="G833" s="495"/>
      <c r="H833" s="349"/>
      <c r="I833" s="349"/>
      <c r="K833" s="349"/>
      <c r="L833" s="349"/>
    </row>
    <row r="834">
      <c r="A834" s="349"/>
      <c r="B834" s="349"/>
      <c r="C834" s="356"/>
      <c r="D834" s="489"/>
      <c r="E834" s="494"/>
      <c r="F834" s="491"/>
      <c r="G834" s="495"/>
      <c r="H834" s="349"/>
      <c r="I834" s="349"/>
      <c r="K834" s="349"/>
      <c r="L834" s="349"/>
    </row>
    <row r="835">
      <c r="A835" s="349"/>
      <c r="B835" s="349"/>
      <c r="C835" s="356"/>
      <c r="D835" s="489"/>
      <c r="E835" s="494"/>
      <c r="F835" s="491"/>
      <c r="G835" s="495"/>
      <c r="H835" s="349"/>
      <c r="I835" s="349"/>
      <c r="K835" s="349"/>
      <c r="L835" s="349"/>
    </row>
    <row r="836">
      <c r="A836" s="349"/>
      <c r="B836" s="349"/>
      <c r="C836" s="356"/>
      <c r="D836" s="489"/>
      <c r="E836" s="494"/>
      <c r="F836" s="491"/>
      <c r="G836" s="495"/>
      <c r="H836" s="349"/>
      <c r="I836" s="349"/>
      <c r="K836" s="349"/>
      <c r="L836" s="349"/>
    </row>
    <row r="837">
      <c r="A837" s="349"/>
      <c r="B837" s="349"/>
      <c r="C837" s="356"/>
      <c r="D837" s="489"/>
      <c r="E837" s="494"/>
      <c r="F837" s="491"/>
      <c r="G837" s="495"/>
      <c r="H837" s="349"/>
      <c r="I837" s="349"/>
      <c r="K837" s="349"/>
      <c r="L837" s="349"/>
    </row>
    <row r="838">
      <c r="A838" s="349"/>
      <c r="B838" s="349"/>
      <c r="C838" s="356"/>
      <c r="D838" s="489"/>
      <c r="E838" s="494"/>
      <c r="F838" s="491"/>
      <c r="G838" s="495"/>
      <c r="H838" s="349"/>
      <c r="I838" s="349"/>
      <c r="K838" s="349"/>
      <c r="L838" s="349"/>
    </row>
    <row r="839">
      <c r="A839" s="349"/>
      <c r="B839" s="349"/>
      <c r="C839" s="356"/>
      <c r="D839" s="489"/>
      <c r="E839" s="494"/>
      <c r="F839" s="491"/>
      <c r="G839" s="495"/>
      <c r="H839" s="349"/>
      <c r="I839" s="349"/>
      <c r="K839" s="349"/>
      <c r="L839" s="349"/>
    </row>
    <row r="840">
      <c r="A840" s="349"/>
      <c r="B840" s="349"/>
      <c r="C840" s="356"/>
      <c r="D840" s="489"/>
      <c r="E840" s="494"/>
      <c r="F840" s="491"/>
      <c r="G840" s="495"/>
      <c r="H840" s="349"/>
      <c r="I840" s="349"/>
      <c r="K840" s="349"/>
      <c r="L840" s="349"/>
    </row>
    <row r="841">
      <c r="A841" s="349"/>
      <c r="B841" s="349"/>
      <c r="C841" s="356"/>
      <c r="D841" s="489"/>
      <c r="E841" s="494"/>
      <c r="F841" s="491"/>
      <c r="G841" s="495"/>
      <c r="H841" s="349"/>
      <c r="I841" s="349"/>
      <c r="K841" s="349"/>
      <c r="L841" s="349"/>
    </row>
    <row r="842">
      <c r="A842" s="349"/>
      <c r="B842" s="349"/>
      <c r="C842" s="356"/>
      <c r="D842" s="489"/>
      <c r="E842" s="494"/>
      <c r="F842" s="491"/>
      <c r="G842" s="495"/>
      <c r="H842" s="349"/>
      <c r="I842" s="349"/>
      <c r="K842" s="349"/>
      <c r="L842" s="349"/>
    </row>
    <row r="843">
      <c r="A843" s="349"/>
      <c r="B843" s="349"/>
      <c r="C843" s="356"/>
      <c r="D843" s="489"/>
      <c r="E843" s="494"/>
      <c r="F843" s="491"/>
      <c r="G843" s="495"/>
      <c r="H843" s="349"/>
      <c r="I843" s="349"/>
      <c r="K843" s="349"/>
      <c r="L843" s="349"/>
    </row>
    <row r="844">
      <c r="A844" s="349"/>
      <c r="B844" s="349"/>
      <c r="C844" s="356"/>
      <c r="D844" s="489"/>
      <c r="E844" s="494"/>
      <c r="F844" s="491"/>
      <c r="G844" s="495"/>
      <c r="H844" s="349"/>
      <c r="I844" s="349"/>
      <c r="K844" s="349"/>
      <c r="L844" s="349"/>
    </row>
    <row r="845">
      <c r="A845" s="349"/>
      <c r="B845" s="349"/>
      <c r="C845" s="356"/>
      <c r="D845" s="489"/>
      <c r="E845" s="494"/>
      <c r="F845" s="491"/>
      <c r="G845" s="495"/>
      <c r="H845" s="349"/>
      <c r="I845" s="349"/>
      <c r="K845" s="349"/>
      <c r="L845" s="349"/>
    </row>
    <row r="846">
      <c r="A846" s="349"/>
      <c r="B846" s="349"/>
      <c r="C846" s="356"/>
      <c r="D846" s="489"/>
      <c r="E846" s="494"/>
      <c r="F846" s="491"/>
      <c r="G846" s="495"/>
      <c r="H846" s="349"/>
      <c r="I846" s="349"/>
      <c r="K846" s="349"/>
      <c r="L846" s="349"/>
    </row>
    <row r="847">
      <c r="A847" s="349"/>
      <c r="B847" s="349"/>
      <c r="C847" s="356"/>
      <c r="D847" s="489"/>
      <c r="E847" s="494"/>
      <c r="F847" s="491"/>
      <c r="G847" s="495"/>
      <c r="H847" s="349"/>
      <c r="I847" s="349"/>
      <c r="K847" s="349"/>
      <c r="L847" s="349"/>
    </row>
    <row r="848">
      <c r="A848" s="349"/>
      <c r="B848" s="349"/>
      <c r="C848" s="356"/>
      <c r="D848" s="489"/>
      <c r="E848" s="494"/>
      <c r="F848" s="491"/>
      <c r="G848" s="495"/>
      <c r="H848" s="349"/>
      <c r="I848" s="349"/>
      <c r="K848" s="349"/>
      <c r="L848" s="349"/>
    </row>
    <row r="849">
      <c r="A849" s="349"/>
      <c r="B849" s="349"/>
      <c r="C849" s="356"/>
      <c r="D849" s="489"/>
      <c r="E849" s="494"/>
      <c r="F849" s="491"/>
      <c r="G849" s="495"/>
      <c r="H849" s="349"/>
      <c r="I849" s="349"/>
      <c r="K849" s="349"/>
      <c r="L849" s="349"/>
    </row>
    <row r="850">
      <c r="A850" s="349"/>
      <c r="B850" s="349"/>
      <c r="C850" s="356"/>
      <c r="D850" s="489"/>
      <c r="E850" s="494"/>
      <c r="F850" s="491"/>
      <c r="G850" s="495"/>
      <c r="H850" s="349"/>
      <c r="I850" s="349"/>
      <c r="K850" s="349"/>
      <c r="L850" s="349"/>
    </row>
    <row r="851">
      <c r="A851" s="349"/>
      <c r="B851" s="349"/>
      <c r="C851" s="356"/>
      <c r="D851" s="489"/>
      <c r="E851" s="494"/>
      <c r="F851" s="491"/>
      <c r="G851" s="495"/>
      <c r="H851" s="349"/>
      <c r="I851" s="349"/>
      <c r="K851" s="349"/>
      <c r="L851" s="349"/>
    </row>
    <row r="852">
      <c r="A852" s="349"/>
      <c r="B852" s="349"/>
      <c r="C852" s="356"/>
      <c r="D852" s="489"/>
      <c r="E852" s="494"/>
      <c r="F852" s="491"/>
      <c r="G852" s="495"/>
      <c r="H852" s="349"/>
      <c r="I852" s="349"/>
      <c r="K852" s="349"/>
      <c r="L852" s="349"/>
    </row>
    <row r="853">
      <c r="A853" s="349"/>
      <c r="B853" s="349"/>
      <c r="C853" s="356"/>
      <c r="D853" s="489"/>
      <c r="E853" s="494"/>
      <c r="F853" s="491"/>
      <c r="G853" s="495"/>
      <c r="H853" s="349"/>
      <c r="I853" s="349"/>
      <c r="K853" s="349"/>
      <c r="L853" s="349"/>
    </row>
    <row r="854">
      <c r="A854" s="349"/>
      <c r="B854" s="349"/>
      <c r="C854" s="356"/>
      <c r="D854" s="489"/>
      <c r="E854" s="494"/>
      <c r="F854" s="491"/>
      <c r="G854" s="495"/>
      <c r="H854" s="349"/>
      <c r="I854" s="349"/>
      <c r="K854" s="349"/>
      <c r="L854" s="349"/>
    </row>
    <row r="855">
      <c r="A855" s="349"/>
      <c r="B855" s="349"/>
      <c r="C855" s="356"/>
      <c r="D855" s="489"/>
      <c r="E855" s="494"/>
      <c r="F855" s="491"/>
      <c r="G855" s="495"/>
      <c r="H855" s="349"/>
      <c r="I855" s="349"/>
      <c r="K855" s="349"/>
      <c r="L855" s="349"/>
    </row>
    <row r="856">
      <c r="A856" s="349"/>
      <c r="B856" s="349"/>
      <c r="C856" s="356"/>
      <c r="D856" s="489"/>
      <c r="E856" s="494"/>
      <c r="F856" s="491"/>
      <c r="G856" s="495"/>
      <c r="H856" s="349"/>
      <c r="I856" s="349"/>
      <c r="K856" s="349"/>
      <c r="L856" s="349"/>
    </row>
    <row r="857">
      <c r="A857" s="349"/>
      <c r="B857" s="349"/>
      <c r="C857" s="356"/>
      <c r="D857" s="489"/>
      <c r="E857" s="494"/>
      <c r="F857" s="491"/>
      <c r="G857" s="495"/>
      <c r="H857" s="349"/>
      <c r="I857" s="349"/>
      <c r="K857" s="349"/>
      <c r="L857" s="349"/>
    </row>
    <row r="858">
      <c r="A858" s="349"/>
      <c r="B858" s="349"/>
      <c r="C858" s="356"/>
      <c r="D858" s="489"/>
      <c r="E858" s="494"/>
      <c r="F858" s="491"/>
      <c r="G858" s="495"/>
      <c r="H858" s="349"/>
      <c r="I858" s="349"/>
      <c r="K858" s="349"/>
      <c r="L858" s="349"/>
    </row>
    <row r="859">
      <c r="A859" s="349"/>
      <c r="B859" s="349"/>
      <c r="C859" s="356"/>
      <c r="D859" s="489"/>
      <c r="E859" s="494"/>
      <c r="F859" s="491"/>
      <c r="G859" s="495"/>
      <c r="H859" s="349"/>
      <c r="I859" s="349"/>
      <c r="K859" s="349"/>
      <c r="L859" s="349"/>
    </row>
    <row r="860">
      <c r="A860" s="349"/>
      <c r="B860" s="349"/>
      <c r="C860" s="356"/>
      <c r="D860" s="489"/>
      <c r="E860" s="494"/>
      <c r="F860" s="491"/>
      <c r="G860" s="495"/>
      <c r="H860" s="349"/>
      <c r="I860" s="349"/>
      <c r="K860" s="349"/>
      <c r="L860" s="349"/>
    </row>
    <row r="861">
      <c r="A861" s="349"/>
      <c r="B861" s="349"/>
      <c r="C861" s="356"/>
      <c r="D861" s="489"/>
      <c r="E861" s="494"/>
      <c r="F861" s="491"/>
      <c r="G861" s="495"/>
      <c r="H861" s="349"/>
      <c r="I861" s="349"/>
      <c r="K861" s="349"/>
      <c r="L861" s="349"/>
    </row>
    <row r="862">
      <c r="A862" s="349"/>
      <c r="B862" s="349"/>
      <c r="C862" s="356"/>
      <c r="D862" s="489"/>
      <c r="E862" s="494"/>
      <c r="F862" s="491"/>
      <c r="G862" s="495"/>
      <c r="H862" s="349"/>
      <c r="I862" s="349"/>
      <c r="K862" s="349"/>
      <c r="L862" s="349"/>
    </row>
    <row r="863">
      <c r="A863" s="349"/>
      <c r="B863" s="349"/>
      <c r="C863" s="356"/>
      <c r="D863" s="489"/>
      <c r="E863" s="494"/>
      <c r="F863" s="491"/>
      <c r="G863" s="495"/>
      <c r="H863" s="349"/>
      <c r="I863" s="349"/>
      <c r="K863" s="349"/>
      <c r="L863" s="349"/>
    </row>
    <row r="864">
      <c r="A864" s="349"/>
      <c r="B864" s="349"/>
      <c r="C864" s="356"/>
      <c r="D864" s="489"/>
      <c r="E864" s="494"/>
      <c r="F864" s="491"/>
      <c r="G864" s="495"/>
      <c r="H864" s="349"/>
      <c r="I864" s="349"/>
      <c r="K864" s="349"/>
      <c r="L864" s="349"/>
    </row>
    <row r="865">
      <c r="A865" s="349"/>
      <c r="B865" s="349"/>
      <c r="C865" s="356"/>
      <c r="D865" s="489"/>
      <c r="E865" s="494"/>
      <c r="F865" s="491"/>
      <c r="G865" s="495"/>
      <c r="H865" s="349"/>
      <c r="I865" s="349"/>
      <c r="K865" s="349"/>
      <c r="L865" s="349"/>
    </row>
    <row r="866">
      <c r="A866" s="349"/>
      <c r="B866" s="349"/>
      <c r="C866" s="356"/>
      <c r="D866" s="489"/>
      <c r="E866" s="494"/>
      <c r="F866" s="491"/>
      <c r="G866" s="495"/>
      <c r="H866" s="349"/>
      <c r="I866" s="349"/>
      <c r="K866" s="349"/>
      <c r="L866" s="349"/>
    </row>
    <row r="867">
      <c r="A867" s="349"/>
      <c r="B867" s="349"/>
      <c r="C867" s="356"/>
      <c r="D867" s="489"/>
      <c r="E867" s="494"/>
      <c r="F867" s="491"/>
      <c r="G867" s="495"/>
      <c r="H867" s="349"/>
      <c r="I867" s="349"/>
      <c r="K867" s="349"/>
      <c r="L867" s="349"/>
    </row>
    <row r="868">
      <c r="A868" s="349"/>
      <c r="B868" s="349"/>
      <c r="C868" s="356"/>
      <c r="D868" s="489"/>
      <c r="E868" s="494"/>
      <c r="F868" s="491"/>
      <c r="G868" s="495"/>
      <c r="H868" s="349"/>
      <c r="I868" s="349"/>
      <c r="K868" s="349"/>
      <c r="L868" s="349"/>
    </row>
    <row r="869">
      <c r="A869" s="349"/>
      <c r="B869" s="349"/>
      <c r="C869" s="356"/>
      <c r="D869" s="489"/>
      <c r="E869" s="494"/>
      <c r="F869" s="491"/>
      <c r="G869" s="495"/>
      <c r="H869" s="349"/>
      <c r="I869" s="349"/>
      <c r="K869" s="349"/>
      <c r="L869" s="349"/>
    </row>
    <row r="870">
      <c r="A870" s="349"/>
      <c r="B870" s="349"/>
      <c r="C870" s="356"/>
      <c r="D870" s="489"/>
      <c r="E870" s="494"/>
      <c r="F870" s="491"/>
      <c r="G870" s="495"/>
      <c r="H870" s="349"/>
      <c r="I870" s="349"/>
      <c r="K870" s="349"/>
      <c r="L870" s="349"/>
    </row>
    <row r="871">
      <c r="A871" s="349"/>
      <c r="B871" s="349"/>
      <c r="C871" s="356"/>
      <c r="D871" s="489"/>
      <c r="E871" s="494"/>
      <c r="F871" s="491"/>
      <c r="G871" s="495"/>
      <c r="H871" s="349"/>
      <c r="I871" s="349"/>
      <c r="K871" s="349"/>
      <c r="L871" s="349"/>
    </row>
    <row r="872">
      <c r="A872" s="349"/>
      <c r="B872" s="349"/>
      <c r="C872" s="356"/>
      <c r="D872" s="489"/>
      <c r="E872" s="494"/>
      <c r="F872" s="491"/>
      <c r="G872" s="495"/>
      <c r="H872" s="349"/>
      <c r="I872" s="349"/>
      <c r="K872" s="349"/>
      <c r="L872" s="349"/>
    </row>
    <row r="873">
      <c r="A873" s="349"/>
      <c r="B873" s="349"/>
      <c r="C873" s="356"/>
      <c r="D873" s="489"/>
      <c r="E873" s="494"/>
      <c r="F873" s="491"/>
      <c r="G873" s="495"/>
      <c r="H873" s="349"/>
      <c r="I873" s="349"/>
      <c r="K873" s="349"/>
      <c r="L873" s="349"/>
    </row>
    <row r="874">
      <c r="A874" s="349"/>
      <c r="B874" s="349"/>
      <c r="C874" s="356"/>
      <c r="D874" s="489"/>
      <c r="E874" s="494"/>
      <c r="F874" s="491"/>
      <c r="G874" s="495"/>
      <c r="H874" s="349"/>
      <c r="I874" s="349"/>
      <c r="K874" s="349"/>
      <c r="L874" s="349"/>
    </row>
    <row r="875">
      <c r="A875" s="349"/>
      <c r="B875" s="349"/>
      <c r="C875" s="356"/>
      <c r="D875" s="489"/>
      <c r="E875" s="494"/>
      <c r="F875" s="491"/>
      <c r="G875" s="495"/>
      <c r="H875" s="349"/>
      <c r="I875" s="349"/>
      <c r="K875" s="349"/>
      <c r="L875" s="349"/>
    </row>
    <row r="876">
      <c r="A876" s="349"/>
      <c r="B876" s="349"/>
      <c r="C876" s="356"/>
      <c r="D876" s="489"/>
      <c r="E876" s="494"/>
      <c r="F876" s="491"/>
      <c r="G876" s="495"/>
      <c r="H876" s="349"/>
      <c r="I876" s="349"/>
      <c r="K876" s="349"/>
      <c r="L876" s="349"/>
    </row>
    <row r="877">
      <c r="A877" s="349"/>
      <c r="B877" s="349"/>
      <c r="C877" s="356"/>
      <c r="D877" s="489"/>
      <c r="E877" s="494"/>
      <c r="F877" s="491"/>
      <c r="G877" s="495"/>
      <c r="H877" s="349"/>
      <c r="I877" s="349"/>
      <c r="K877" s="349"/>
      <c r="L877" s="349"/>
    </row>
    <row r="878">
      <c r="A878" s="349"/>
      <c r="B878" s="349"/>
      <c r="C878" s="356"/>
      <c r="D878" s="489"/>
      <c r="E878" s="494"/>
      <c r="F878" s="491"/>
      <c r="G878" s="495"/>
      <c r="H878" s="349"/>
      <c r="I878" s="349"/>
      <c r="K878" s="349"/>
      <c r="L878" s="349"/>
    </row>
    <row r="879">
      <c r="A879" s="349"/>
      <c r="B879" s="349"/>
      <c r="C879" s="356"/>
      <c r="D879" s="489"/>
      <c r="E879" s="494"/>
      <c r="F879" s="491"/>
      <c r="G879" s="495"/>
      <c r="H879" s="349"/>
      <c r="I879" s="349"/>
      <c r="K879" s="349"/>
      <c r="L879" s="349"/>
    </row>
    <row r="880">
      <c r="A880" s="349"/>
      <c r="B880" s="349"/>
      <c r="C880" s="356"/>
      <c r="D880" s="489"/>
      <c r="E880" s="494"/>
      <c r="F880" s="491"/>
      <c r="G880" s="495"/>
      <c r="H880" s="349"/>
      <c r="I880" s="349"/>
      <c r="K880" s="349"/>
      <c r="L880" s="349"/>
    </row>
    <row r="881">
      <c r="A881" s="349"/>
      <c r="B881" s="349"/>
      <c r="C881" s="356"/>
      <c r="D881" s="489"/>
      <c r="E881" s="494"/>
      <c r="F881" s="491"/>
      <c r="G881" s="495"/>
      <c r="H881" s="349"/>
      <c r="I881" s="349"/>
      <c r="K881" s="349"/>
      <c r="L881" s="349"/>
    </row>
    <row r="882">
      <c r="A882" s="349"/>
      <c r="B882" s="349"/>
      <c r="C882" s="356"/>
      <c r="D882" s="489"/>
      <c r="E882" s="494"/>
      <c r="F882" s="491"/>
      <c r="G882" s="495"/>
      <c r="H882" s="349"/>
      <c r="I882" s="349"/>
      <c r="K882" s="349"/>
      <c r="L882" s="349"/>
    </row>
    <row r="883">
      <c r="A883" s="349"/>
      <c r="B883" s="349"/>
      <c r="C883" s="356"/>
      <c r="D883" s="489"/>
      <c r="E883" s="494"/>
      <c r="F883" s="491"/>
      <c r="G883" s="495"/>
      <c r="H883" s="349"/>
      <c r="I883" s="349"/>
      <c r="K883" s="349"/>
      <c r="L883" s="349"/>
    </row>
    <row r="884">
      <c r="A884" s="349"/>
      <c r="B884" s="349"/>
      <c r="C884" s="356"/>
      <c r="D884" s="489"/>
      <c r="E884" s="494"/>
      <c r="F884" s="491"/>
      <c r="G884" s="495"/>
      <c r="H884" s="349"/>
      <c r="I884" s="349"/>
      <c r="K884" s="349"/>
      <c r="L884" s="349"/>
    </row>
    <row r="885">
      <c r="A885" s="349"/>
      <c r="B885" s="349"/>
      <c r="C885" s="356"/>
      <c r="D885" s="489"/>
      <c r="E885" s="494"/>
      <c r="F885" s="491"/>
      <c r="G885" s="495"/>
      <c r="H885" s="349"/>
      <c r="I885" s="349"/>
      <c r="K885" s="349"/>
      <c r="L885" s="349"/>
    </row>
    <row r="886">
      <c r="A886" s="349"/>
      <c r="B886" s="349"/>
      <c r="C886" s="356"/>
      <c r="D886" s="489"/>
      <c r="E886" s="494"/>
      <c r="F886" s="491"/>
      <c r="G886" s="495"/>
      <c r="H886" s="349"/>
      <c r="I886" s="349"/>
      <c r="K886" s="349"/>
      <c r="L886" s="349"/>
    </row>
    <row r="887">
      <c r="A887" s="349"/>
      <c r="B887" s="349"/>
      <c r="C887" s="356"/>
      <c r="D887" s="489"/>
      <c r="E887" s="494"/>
      <c r="F887" s="491"/>
      <c r="G887" s="495"/>
      <c r="H887" s="349"/>
      <c r="I887" s="349"/>
      <c r="K887" s="349"/>
      <c r="L887" s="349"/>
    </row>
    <row r="888">
      <c r="A888" s="349"/>
      <c r="B888" s="349"/>
      <c r="C888" s="356"/>
      <c r="D888" s="489"/>
      <c r="E888" s="494"/>
      <c r="F888" s="491"/>
      <c r="G888" s="495"/>
      <c r="H888" s="349"/>
      <c r="I888" s="349"/>
      <c r="K888" s="349"/>
      <c r="L888" s="349"/>
    </row>
    <row r="889">
      <c r="A889" s="349"/>
      <c r="B889" s="349"/>
      <c r="C889" s="356"/>
      <c r="D889" s="489"/>
      <c r="E889" s="494"/>
      <c r="F889" s="491"/>
      <c r="G889" s="495"/>
      <c r="H889" s="349"/>
      <c r="I889" s="349"/>
      <c r="K889" s="349"/>
      <c r="L889" s="349"/>
    </row>
    <row r="890">
      <c r="A890" s="349"/>
      <c r="B890" s="349"/>
      <c r="C890" s="356"/>
      <c r="D890" s="489"/>
      <c r="E890" s="494"/>
      <c r="F890" s="491"/>
      <c r="G890" s="495"/>
      <c r="H890" s="349"/>
      <c r="I890" s="349"/>
      <c r="K890" s="349"/>
      <c r="L890" s="349"/>
    </row>
    <row r="891">
      <c r="A891" s="349"/>
      <c r="B891" s="349"/>
      <c r="C891" s="356"/>
      <c r="D891" s="489"/>
      <c r="E891" s="494"/>
      <c r="F891" s="491"/>
      <c r="G891" s="495"/>
      <c r="H891" s="349"/>
      <c r="I891" s="349"/>
      <c r="K891" s="349"/>
      <c r="L891" s="349"/>
    </row>
    <row r="892">
      <c r="A892" s="349"/>
      <c r="B892" s="349"/>
      <c r="C892" s="356"/>
      <c r="D892" s="489"/>
      <c r="E892" s="494"/>
      <c r="F892" s="491"/>
      <c r="G892" s="495"/>
      <c r="H892" s="349"/>
      <c r="I892" s="349"/>
      <c r="K892" s="349"/>
      <c r="L892" s="349"/>
    </row>
    <row r="893">
      <c r="A893" s="349"/>
      <c r="B893" s="349"/>
      <c r="C893" s="356"/>
      <c r="D893" s="489"/>
      <c r="E893" s="494"/>
      <c r="F893" s="491"/>
      <c r="G893" s="495"/>
      <c r="H893" s="349"/>
      <c r="I893" s="349"/>
      <c r="K893" s="349"/>
      <c r="L893" s="349"/>
    </row>
    <row r="894">
      <c r="A894" s="349"/>
      <c r="B894" s="349"/>
      <c r="C894" s="356"/>
      <c r="D894" s="489"/>
      <c r="E894" s="494"/>
      <c r="F894" s="491"/>
      <c r="G894" s="495"/>
      <c r="H894" s="349"/>
      <c r="I894" s="349"/>
      <c r="K894" s="349"/>
      <c r="L894" s="349"/>
    </row>
    <row r="895">
      <c r="A895" s="349"/>
      <c r="B895" s="349"/>
      <c r="C895" s="356"/>
      <c r="D895" s="489"/>
      <c r="E895" s="494"/>
      <c r="F895" s="491"/>
      <c r="G895" s="495"/>
      <c r="H895" s="349"/>
      <c r="I895" s="349"/>
      <c r="K895" s="349"/>
      <c r="L895" s="349"/>
    </row>
    <row r="896">
      <c r="A896" s="349"/>
      <c r="B896" s="349"/>
      <c r="C896" s="356"/>
      <c r="D896" s="489"/>
      <c r="E896" s="494"/>
      <c r="F896" s="491"/>
      <c r="G896" s="495"/>
      <c r="H896" s="349"/>
      <c r="I896" s="349"/>
      <c r="K896" s="349"/>
      <c r="L896" s="349"/>
    </row>
    <row r="897">
      <c r="A897" s="349"/>
      <c r="B897" s="349"/>
      <c r="C897" s="356"/>
      <c r="D897" s="489"/>
      <c r="E897" s="494"/>
      <c r="F897" s="491"/>
      <c r="G897" s="495"/>
      <c r="H897" s="349"/>
      <c r="I897" s="349"/>
      <c r="K897" s="349"/>
      <c r="L897" s="349"/>
    </row>
    <row r="898">
      <c r="A898" s="349"/>
      <c r="B898" s="349"/>
      <c r="C898" s="356"/>
      <c r="D898" s="489"/>
      <c r="E898" s="494"/>
      <c r="F898" s="491"/>
      <c r="G898" s="495"/>
      <c r="H898" s="349"/>
      <c r="I898" s="349"/>
      <c r="K898" s="349"/>
      <c r="L898" s="349"/>
    </row>
    <row r="899">
      <c r="A899" s="349"/>
      <c r="B899" s="349"/>
      <c r="C899" s="356"/>
      <c r="D899" s="489"/>
      <c r="E899" s="494"/>
      <c r="F899" s="491"/>
      <c r="G899" s="495"/>
      <c r="H899" s="349"/>
      <c r="I899" s="349"/>
      <c r="K899" s="349"/>
      <c r="L899" s="349"/>
    </row>
    <row r="900">
      <c r="A900" s="349"/>
      <c r="B900" s="349"/>
      <c r="C900" s="356"/>
      <c r="D900" s="489"/>
      <c r="E900" s="494"/>
      <c r="F900" s="491"/>
      <c r="G900" s="495"/>
      <c r="H900" s="349"/>
      <c r="I900" s="349"/>
      <c r="K900" s="349"/>
      <c r="L900" s="349"/>
    </row>
    <row r="901">
      <c r="A901" s="349"/>
      <c r="B901" s="349"/>
      <c r="C901" s="356"/>
      <c r="D901" s="489"/>
      <c r="E901" s="494"/>
      <c r="F901" s="491"/>
      <c r="G901" s="495"/>
      <c r="H901" s="349"/>
      <c r="I901" s="349"/>
      <c r="K901" s="349"/>
      <c r="L901" s="349"/>
    </row>
    <row r="902">
      <c r="A902" s="349"/>
      <c r="B902" s="349"/>
      <c r="C902" s="356"/>
      <c r="D902" s="489"/>
      <c r="E902" s="494"/>
      <c r="F902" s="491"/>
      <c r="G902" s="495"/>
      <c r="H902" s="349"/>
      <c r="I902" s="349"/>
      <c r="K902" s="349"/>
      <c r="L902" s="349"/>
    </row>
    <row r="903">
      <c r="A903" s="349"/>
      <c r="B903" s="349"/>
      <c r="C903" s="356"/>
      <c r="D903" s="489"/>
      <c r="E903" s="494"/>
      <c r="F903" s="491"/>
      <c r="G903" s="495"/>
      <c r="H903" s="349"/>
      <c r="I903" s="349"/>
      <c r="K903" s="349"/>
      <c r="L903" s="349"/>
    </row>
    <row r="904">
      <c r="A904" s="349"/>
      <c r="B904" s="349"/>
      <c r="C904" s="356"/>
      <c r="D904" s="489"/>
      <c r="E904" s="494"/>
      <c r="F904" s="491"/>
      <c r="G904" s="495"/>
      <c r="H904" s="349"/>
      <c r="I904" s="349"/>
      <c r="K904" s="349"/>
      <c r="L904" s="349"/>
    </row>
    <row r="905">
      <c r="A905" s="349"/>
      <c r="B905" s="349"/>
      <c r="C905" s="356"/>
      <c r="D905" s="494"/>
      <c r="E905" s="494"/>
      <c r="F905" s="491"/>
      <c r="G905" s="356"/>
      <c r="H905" s="349"/>
      <c r="I905" s="349"/>
      <c r="K905" s="349"/>
      <c r="L905" s="349"/>
    </row>
    <row r="906">
      <c r="A906" s="349"/>
      <c r="B906" s="349"/>
      <c r="C906" s="356"/>
      <c r="D906" s="494"/>
      <c r="E906" s="494"/>
      <c r="F906" s="491"/>
      <c r="G906" s="356"/>
      <c r="H906" s="349"/>
      <c r="I906" s="349"/>
      <c r="K906" s="349"/>
      <c r="L906" s="349"/>
    </row>
    <row r="907">
      <c r="A907" s="349"/>
      <c r="B907" s="349"/>
      <c r="C907" s="356"/>
      <c r="D907" s="494"/>
      <c r="E907" s="494"/>
      <c r="F907" s="491"/>
      <c r="G907" s="356"/>
      <c r="H907" s="349"/>
      <c r="I907" s="349"/>
      <c r="K907" s="349"/>
      <c r="L907" s="349"/>
    </row>
    <row r="908">
      <c r="A908" s="349"/>
      <c r="B908" s="349"/>
      <c r="C908" s="356"/>
      <c r="D908" s="494"/>
      <c r="E908" s="494"/>
      <c r="F908" s="491"/>
      <c r="G908" s="356"/>
      <c r="H908" s="349"/>
      <c r="I908" s="349"/>
      <c r="K908" s="349"/>
      <c r="L908" s="349"/>
    </row>
    <row r="909">
      <c r="A909" s="349"/>
      <c r="B909" s="349"/>
      <c r="C909" s="356"/>
      <c r="D909" s="494"/>
      <c r="E909" s="494"/>
      <c r="F909" s="491"/>
      <c r="G909" s="356"/>
      <c r="H909" s="349"/>
      <c r="I909" s="349"/>
      <c r="K909" s="349"/>
      <c r="L909" s="349"/>
    </row>
    <row r="910">
      <c r="A910" s="349"/>
      <c r="B910" s="349"/>
      <c r="C910" s="356"/>
      <c r="D910" s="494"/>
      <c r="E910" s="494"/>
      <c r="F910" s="491"/>
      <c r="G910" s="356"/>
      <c r="H910" s="349"/>
      <c r="I910" s="349"/>
      <c r="K910" s="349"/>
      <c r="L910" s="349"/>
    </row>
    <row r="911">
      <c r="A911" s="349"/>
      <c r="B911" s="349"/>
      <c r="C911" s="356"/>
      <c r="D911" s="494"/>
      <c r="E911" s="494"/>
      <c r="F911" s="491"/>
      <c r="G911" s="356"/>
      <c r="H911" s="349"/>
      <c r="I911" s="349"/>
      <c r="K911" s="349"/>
      <c r="L911" s="349"/>
    </row>
    <row r="912">
      <c r="A912" s="349"/>
      <c r="B912" s="349"/>
      <c r="C912" s="356"/>
      <c r="D912" s="494"/>
      <c r="E912" s="494"/>
      <c r="F912" s="491"/>
      <c r="G912" s="356"/>
      <c r="H912" s="349"/>
      <c r="I912" s="349"/>
      <c r="K912" s="349"/>
      <c r="L912" s="349"/>
    </row>
    <row r="913">
      <c r="A913" s="349"/>
      <c r="B913" s="349"/>
      <c r="C913" s="356"/>
      <c r="D913" s="494"/>
      <c r="E913" s="494"/>
      <c r="F913" s="491"/>
      <c r="G913" s="356"/>
      <c r="H913" s="349"/>
      <c r="I913" s="349"/>
      <c r="K913" s="349"/>
      <c r="L913" s="349"/>
    </row>
    <row r="914">
      <c r="A914" s="349"/>
      <c r="B914" s="349"/>
      <c r="C914" s="356"/>
      <c r="D914" s="494"/>
      <c r="E914" s="494"/>
      <c r="F914" s="491"/>
      <c r="G914" s="356"/>
      <c r="H914" s="349"/>
      <c r="I914" s="349"/>
      <c r="K914" s="349"/>
      <c r="L914" s="349"/>
    </row>
    <row r="915">
      <c r="A915" s="349"/>
      <c r="B915" s="349"/>
      <c r="C915" s="356"/>
      <c r="D915" s="494"/>
      <c r="E915" s="494"/>
      <c r="F915" s="491"/>
      <c r="G915" s="356"/>
      <c r="H915" s="349"/>
      <c r="I915" s="349"/>
      <c r="K915" s="349"/>
      <c r="L915" s="349"/>
    </row>
    <row r="916">
      <c r="A916" s="349"/>
      <c r="B916" s="349"/>
      <c r="C916" s="356"/>
      <c r="D916" s="494"/>
      <c r="E916" s="494"/>
      <c r="F916" s="491"/>
      <c r="G916" s="356"/>
      <c r="H916" s="349"/>
      <c r="I916" s="349"/>
      <c r="K916" s="349"/>
      <c r="L916" s="349"/>
    </row>
    <row r="917">
      <c r="A917" s="349"/>
      <c r="B917" s="349"/>
      <c r="C917" s="356"/>
      <c r="D917" s="494"/>
      <c r="E917" s="494"/>
      <c r="F917" s="491"/>
      <c r="G917" s="356"/>
      <c r="H917" s="349"/>
      <c r="I917" s="349"/>
      <c r="K917" s="349"/>
      <c r="L917" s="349"/>
    </row>
    <row r="918">
      <c r="A918" s="349"/>
      <c r="B918" s="349"/>
      <c r="C918" s="356"/>
      <c r="D918" s="494"/>
      <c r="E918" s="494"/>
      <c r="F918" s="491"/>
      <c r="G918" s="356"/>
      <c r="H918" s="349"/>
      <c r="I918" s="349"/>
      <c r="K918" s="349"/>
      <c r="L918" s="349"/>
    </row>
    <row r="919">
      <c r="A919" s="349"/>
      <c r="B919" s="349"/>
      <c r="C919" s="356"/>
      <c r="D919" s="494"/>
      <c r="E919" s="494"/>
      <c r="F919" s="491"/>
      <c r="G919" s="356"/>
      <c r="H919" s="349"/>
      <c r="I919" s="349"/>
      <c r="K919" s="349"/>
      <c r="L919" s="349"/>
    </row>
    <row r="920">
      <c r="A920" s="349"/>
      <c r="B920" s="349"/>
      <c r="C920" s="356"/>
      <c r="D920" s="494"/>
      <c r="E920" s="494"/>
      <c r="F920" s="491"/>
      <c r="G920" s="356"/>
      <c r="H920" s="349"/>
      <c r="I920" s="349"/>
      <c r="K920" s="349"/>
      <c r="L920" s="349"/>
    </row>
    <row r="921">
      <c r="A921" s="349"/>
      <c r="B921" s="349"/>
      <c r="C921" s="356"/>
      <c r="D921" s="494"/>
      <c r="E921" s="494"/>
      <c r="F921" s="491"/>
      <c r="G921" s="356"/>
      <c r="H921" s="349"/>
      <c r="I921" s="349"/>
      <c r="K921" s="349"/>
      <c r="L921" s="349"/>
    </row>
    <row r="922">
      <c r="A922" s="349"/>
      <c r="B922" s="349"/>
      <c r="C922" s="356"/>
      <c r="D922" s="494"/>
      <c r="E922" s="494"/>
      <c r="F922" s="491"/>
      <c r="G922" s="356"/>
      <c r="H922" s="349"/>
      <c r="I922" s="349"/>
      <c r="K922" s="349"/>
      <c r="L922" s="349"/>
    </row>
    <row r="923">
      <c r="A923" s="349"/>
      <c r="B923" s="349"/>
      <c r="C923" s="356"/>
      <c r="D923" s="494"/>
      <c r="E923" s="494"/>
      <c r="F923" s="491"/>
      <c r="G923" s="356"/>
      <c r="H923" s="349"/>
      <c r="I923" s="349"/>
      <c r="K923" s="349"/>
      <c r="L923" s="349"/>
    </row>
    <row r="924">
      <c r="A924" s="349"/>
      <c r="B924" s="349"/>
      <c r="C924" s="356"/>
      <c r="D924" s="494"/>
      <c r="E924" s="494"/>
      <c r="F924" s="491"/>
      <c r="G924" s="356"/>
      <c r="H924" s="349"/>
      <c r="I924" s="349"/>
      <c r="K924" s="349"/>
      <c r="L924" s="349"/>
    </row>
    <row r="925">
      <c r="A925" s="349"/>
      <c r="B925" s="349"/>
      <c r="C925" s="356"/>
      <c r="D925" s="494"/>
      <c r="E925" s="494"/>
      <c r="F925" s="491"/>
      <c r="G925" s="356"/>
      <c r="H925" s="349"/>
      <c r="I925" s="349"/>
      <c r="K925" s="349"/>
      <c r="L925" s="349"/>
    </row>
    <row r="926">
      <c r="A926" s="349"/>
      <c r="B926" s="349"/>
      <c r="C926" s="356"/>
      <c r="D926" s="494"/>
      <c r="E926" s="494"/>
      <c r="F926" s="491"/>
      <c r="G926" s="356"/>
      <c r="H926" s="349"/>
      <c r="I926" s="349"/>
      <c r="K926" s="349"/>
      <c r="L926" s="349"/>
    </row>
    <row r="927">
      <c r="A927" s="349"/>
      <c r="B927" s="349"/>
      <c r="C927" s="356"/>
      <c r="D927" s="494"/>
      <c r="E927" s="494"/>
      <c r="F927" s="491"/>
      <c r="G927" s="356"/>
      <c r="H927" s="349"/>
      <c r="I927" s="349"/>
      <c r="K927" s="349"/>
      <c r="L927" s="349"/>
    </row>
    <row r="928">
      <c r="A928" s="349"/>
      <c r="B928" s="349"/>
      <c r="C928" s="356"/>
      <c r="D928" s="494"/>
      <c r="E928" s="494"/>
      <c r="F928" s="491"/>
      <c r="G928" s="356"/>
      <c r="H928" s="349"/>
      <c r="I928" s="349"/>
      <c r="K928" s="349"/>
      <c r="L928" s="349"/>
    </row>
    <row r="929">
      <c r="A929" s="349"/>
      <c r="B929" s="349"/>
      <c r="C929" s="356"/>
      <c r="D929" s="494"/>
      <c r="E929" s="494"/>
      <c r="F929" s="491"/>
      <c r="G929" s="356"/>
      <c r="H929" s="349"/>
      <c r="I929" s="349"/>
      <c r="K929" s="349"/>
      <c r="L929" s="349"/>
    </row>
    <row r="930">
      <c r="A930" s="349"/>
      <c r="B930" s="349"/>
      <c r="C930" s="356"/>
      <c r="D930" s="494"/>
      <c r="E930" s="494"/>
      <c r="F930" s="491"/>
      <c r="G930" s="356"/>
      <c r="H930" s="349"/>
      <c r="I930" s="349"/>
      <c r="K930" s="349"/>
      <c r="L930" s="349"/>
    </row>
    <row r="931">
      <c r="A931" s="349"/>
      <c r="B931" s="349"/>
      <c r="C931" s="356"/>
      <c r="D931" s="494"/>
      <c r="E931" s="494"/>
      <c r="F931" s="491"/>
      <c r="G931" s="356"/>
      <c r="H931" s="349"/>
      <c r="I931" s="349"/>
      <c r="K931" s="349"/>
      <c r="L931" s="349"/>
    </row>
    <row r="932">
      <c r="A932" s="349"/>
      <c r="B932" s="349"/>
      <c r="C932" s="356"/>
      <c r="D932" s="494"/>
      <c r="E932" s="494"/>
      <c r="F932" s="491"/>
      <c r="G932" s="356"/>
      <c r="H932" s="349"/>
      <c r="I932" s="349"/>
      <c r="K932" s="349"/>
      <c r="L932" s="349"/>
    </row>
    <row r="933">
      <c r="A933" s="349"/>
      <c r="B933" s="349"/>
      <c r="C933" s="356"/>
      <c r="D933" s="494"/>
      <c r="E933" s="494"/>
      <c r="F933" s="491"/>
      <c r="G933" s="356"/>
      <c r="H933" s="349"/>
      <c r="I933" s="349"/>
      <c r="K933" s="349"/>
      <c r="L933" s="349"/>
    </row>
    <row r="934">
      <c r="A934" s="349"/>
      <c r="B934" s="349"/>
      <c r="C934" s="356"/>
      <c r="D934" s="494"/>
      <c r="E934" s="494"/>
      <c r="F934" s="491"/>
      <c r="G934" s="356"/>
      <c r="H934" s="349"/>
      <c r="I934" s="349"/>
      <c r="K934" s="349"/>
      <c r="L934" s="349"/>
    </row>
    <row r="935">
      <c r="A935" s="349"/>
      <c r="B935" s="349"/>
      <c r="C935" s="356"/>
      <c r="D935" s="494"/>
      <c r="E935" s="494"/>
      <c r="F935" s="491"/>
      <c r="G935" s="356"/>
      <c r="H935" s="349"/>
      <c r="I935" s="349"/>
      <c r="K935" s="349"/>
      <c r="L935" s="349"/>
    </row>
    <row r="936">
      <c r="A936" s="349"/>
      <c r="B936" s="349"/>
      <c r="C936" s="356"/>
      <c r="D936" s="494"/>
      <c r="E936" s="494"/>
      <c r="F936" s="491"/>
      <c r="G936" s="356"/>
      <c r="H936" s="349"/>
      <c r="I936" s="349"/>
      <c r="K936" s="349"/>
      <c r="L936" s="349"/>
    </row>
    <row r="937">
      <c r="A937" s="349"/>
      <c r="B937" s="349"/>
      <c r="C937" s="356"/>
      <c r="D937" s="494"/>
      <c r="E937" s="494"/>
      <c r="F937" s="491"/>
      <c r="G937" s="356"/>
      <c r="H937" s="349"/>
      <c r="I937" s="349"/>
      <c r="K937" s="349"/>
      <c r="L937" s="349"/>
    </row>
    <row r="938">
      <c r="A938" s="349"/>
      <c r="B938" s="349"/>
      <c r="C938" s="356"/>
      <c r="D938" s="494"/>
      <c r="E938" s="494"/>
      <c r="F938" s="491"/>
      <c r="G938" s="356"/>
      <c r="H938" s="349"/>
      <c r="I938" s="349"/>
      <c r="K938" s="349"/>
      <c r="L938" s="349"/>
    </row>
    <row r="939">
      <c r="A939" s="349"/>
      <c r="B939" s="349"/>
      <c r="C939" s="356"/>
      <c r="D939" s="494"/>
      <c r="E939" s="494"/>
      <c r="F939" s="491"/>
      <c r="G939" s="356"/>
      <c r="H939" s="349"/>
      <c r="I939" s="349"/>
      <c r="K939" s="349"/>
      <c r="L939" s="349"/>
    </row>
    <row r="940">
      <c r="A940" s="349"/>
      <c r="B940" s="349"/>
      <c r="C940" s="356"/>
      <c r="D940" s="494"/>
      <c r="E940" s="494"/>
      <c r="F940" s="491"/>
      <c r="G940" s="356"/>
      <c r="H940" s="349"/>
      <c r="I940" s="349"/>
      <c r="K940" s="349"/>
      <c r="L940" s="349"/>
    </row>
    <row r="941">
      <c r="A941" s="349"/>
      <c r="B941" s="349"/>
      <c r="C941" s="356"/>
      <c r="D941" s="494"/>
      <c r="E941" s="494"/>
      <c r="F941" s="491"/>
      <c r="G941" s="356"/>
      <c r="H941" s="349"/>
      <c r="I941" s="349"/>
      <c r="K941" s="349"/>
      <c r="L941" s="349"/>
    </row>
    <row r="942">
      <c r="A942" s="349"/>
      <c r="B942" s="349"/>
      <c r="C942" s="356"/>
      <c r="D942" s="494"/>
      <c r="E942" s="494"/>
      <c r="F942" s="491"/>
      <c r="G942" s="356"/>
      <c r="H942" s="349"/>
      <c r="I942" s="349"/>
      <c r="K942" s="349"/>
      <c r="L942" s="349"/>
    </row>
    <row r="943">
      <c r="A943" s="349"/>
      <c r="B943" s="349"/>
      <c r="C943" s="356"/>
      <c r="D943" s="494"/>
      <c r="E943" s="494"/>
      <c r="F943" s="491"/>
      <c r="G943" s="356"/>
      <c r="H943" s="349"/>
      <c r="I943" s="349"/>
      <c r="K943" s="349"/>
      <c r="L943" s="349"/>
    </row>
    <row r="944">
      <c r="A944" s="349"/>
      <c r="B944" s="349"/>
      <c r="C944" s="356"/>
      <c r="D944" s="494"/>
      <c r="E944" s="494"/>
      <c r="F944" s="491"/>
      <c r="G944" s="356"/>
      <c r="H944" s="349"/>
      <c r="I944" s="349"/>
      <c r="K944" s="349"/>
      <c r="L944" s="349"/>
    </row>
    <row r="945">
      <c r="A945" s="349"/>
      <c r="B945" s="349"/>
      <c r="C945" s="356"/>
      <c r="D945" s="494"/>
      <c r="E945" s="494"/>
      <c r="F945" s="491"/>
      <c r="G945" s="356"/>
      <c r="H945" s="349"/>
      <c r="I945" s="349"/>
      <c r="K945" s="349"/>
      <c r="L945" s="349"/>
    </row>
    <row r="946">
      <c r="A946" s="349"/>
      <c r="B946" s="349"/>
      <c r="C946" s="356"/>
      <c r="D946" s="494"/>
      <c r="E946" s="494"/>
      <c r="F946" s="491"/>
      <c r="G946" s="356"/>
      <c r="H946" s="349"/>
      <c r="I946" s="349"/>
      <c r="K946" s="349"/>
      <c r="L946" s="349"/>
    </row>
    <row r="947">
      <c r="A947" s="349"/>
      <c r="B947" s="349"/>
      <c r="C947" s="356"/>
      <c r="D947" s="494"/>
      <c r="E947" s="494"/>
      <c r="F947" s="491"/>
      <c r="G947" s="356"/>
      <c r="H947" s="349"/>
      <c r="I947" s="349"/>
      <c r="K947" s="349"/>
      <c r="L947" s="349"/>
    </row>
    <row r="948">
      <c r="A948" s="349"/>
      <c r="B948" s="349"/>
      <c r="C948" s="356"/>
      <c r="D948" s="494"/>
      <c r="E948" s="494"/>
      <c r="F948" s="491"/>
      <c r="G948" s="356"/>
      <c r="H948" s="349"/>
      <c r="I948" s="349"/>
      <c r="K948" s="349"/>
      <c r="L948" s="349"/>
    </row>
    <row r="949">
      <c r="A949" s="349"/>
      <c r="B949" s="349"/>
      <c r="C949" s="356"/>
      <c r="D949" s="494"/>
      <c r="E949" s="494"/>
      <c r="F949" s="491"/>
      <c r="G949" s="356"/>
      <c r="H949" s="349"/>
      <c r="I949" s="349"/>
      <c r="K949" s="349"/>
      <c r="L949" s="349"/>
    </row>
    <row r="950">
      <c r="A950" s="349"/>
      <c r="B950" s="349"/>
      <c r="C950" s="356"/>
      <c r="D950" s="494"/>
      <c r="E950" s="494"/>
      <c r="F950" s="491"/>
      <c r="G950" s="356"/>
      <c r="H950" s="349"/>
      <c r="I950" s="349"/>
      <c r="K950" s="349"/>
      <c r="L950" s="349"/>
    </row>
    <row r="951">
      <c r="A951" s="349"/>
      <c r="B951" s="349"/>
      <c r="C951" s="356"/>
      <c r="D951" s="494"/>
      <c r="E951" s="494"/>
      <c r="F951" s="491"/>
      <c r="G951" s="356"/>
      <c r="H951" s="349"/>
      <c r="I951" s="349"/>
      <c r="K951" s="349"/>
      <c r="L951" s="349"/>
    </row>
    <row r="952">
      <c r="A952" s="349"/>
      <c r="B952" s="349"/>
      <c r="C952" s="356"/>
      <c r="D952" s="494"/>
      <c r="E952" s="494"/>
      <c r="F952" s="491"/>
      <c r="G952" s="356"/>
      <c r="H952" s="349"/>
      <c r="I952" s="349"/>
      <c r="K952" s="349"/>
      <c r="L952" s="349"/>
    </row>
    <row r="953">
      <c r="A953" s="349"/>
      <c r="B953" s="349"/>
      <c r="C953" s="356"/>
      <c r="D953" s="494"/>
      <c r="E953" s="494"/>
      <c r="F953" s="491"/>
      <c r="G953" s="356"/>
      <c r="H953" s="349"/>
      <c r="I953" s="349"/>
      <c r="K953" s="349"/>
      <c r="L953" s="349"/>
    </row>
    <row r="954">
      <c r="A954" s="349"/>
      <c r="B954" s="349"/>
      <c r="C954" s="356"/>
      <c r="D954" s="494"/>
      <c r="E954" s="494"/>
      <c r="F954" s="491"/>
      <c r="G954" s="356"/>
      <c r="H954" s="349"/>
      <c r="I954" s="349"/>
      <c r="K954" s="349"/>
      <c r="L954" s="349"/>
    </row>
    <row r="955">
      <c r="A955" s="349"/>
      <c r="B955" s="349"/>
      <c r="C955" s="356"/>
      <c r="D955" s="494"/>
      <c r="E955" s="494"/>
      <c r="F955" s="491"/>
      <c r="G955" s="356"/>
      <c r="H955" s="349"/>
      <c r="I955" s="349"/>
      <c r="K955" s="349"/>
      <c r="L955" s="349"/>
    </row>
    <row r="956">
      <c r="A956" s="349"/>
      <c r="B956" s="349"/>
      <c r="C956" s="356"/>
      <c r="D956" s="494"/>
      <c r="E956" s="494"/>
      <c r="F956" s="491"/>
      <c r="G956" s="356"/>
      <c r="H956" s="349"/>
      <c r="I956" s="349"/>
      <c r="K956" s="349"/>
      <c r="L956" s="349"/>
    </row>
    <row r="957">
      <c r="A957" s="349"/>
      <c r="B957" s="349"/>
      <c r="C957" s="356"/>
      <c r="D957" s="494"/>
      <c r="E957" s="494"/>
      <c r="F957" s="491"/>
      <c r="G957" s="356"/>
      <c r="H957" s="349"/>
      <c r="I957" s="349"/>
      <c r="K957" s="349"/>
      <c r="L957" s="349"/>
    </row>
    <row r="958">
      <c r="A958" s="349"/>
      <c r="B958" s="349"/>
      <c r="C958" s="356"/>
      <c r="D958" s="494"/>
      <c r="E958" s="494"/>
      <c r="F958" s="491"/>
      <c r="G958" s="356"/>
      <c r="H958" s="349"/>
      <c r="I958" s="349"/>
      <c r="K958" s="349"/>
      <c r="L958" s="349"/>
    </row>
    <row r="959">
      <c r="A959" s="349"/>
      <c r="B959" s="349"/>
      <c r="C959" s="356"/>
      <c r="D959" s="494"/>
      <c r="E959" s="494"/>
      <c r="F959" s="491"/>
      <c r="G959" s="356"/>
      <c r="H959" s="349"/>
      <c r="I959" s="349"/>
      <c r="K959" s="349"/>
      <c r="L959" s="349"/>
    </row>
    <row r="960">
      <c r="A960" s="349"/>
      <c r="B960" s="349"/>
      <c r="C960" s="356"/>
      <c r="D960" s="494"/>
      <c r="E960" s="494"/>
      <c r="F960" s="491"/>
      <c r="G960" s="356"/>
      <c r="H960" s="349"/>
      <c r="I960" s="349"/>
      <c r="K960" s="349"/>
      <c r="L960" s="349"/>
    </row>
    <row r="961">
      <c r="A961" s="349"/>
      <c r="B961" s="349"/>
      <c r="C961" s="356"/>
      <c r="D961" s="494"/>
      <c r="E961" s="494"/>
      <c r="F961" s="491"/>
      <c r="G961" s="356"/>
      <c r="H961" s="349"/>
      <c r="I961" s="349"/>
      <c r="K961" s="349"/>
      <c r="L961" s="349"/>
    </row>
    <row r="962">
      <c r="A962" s="349"/>
      <c r="B962" s="349"/>
      <c r="C962" s="356"/>
      <c r="D962" s="494"/>
      <c r="E962" s="494"/>
      <c r="F962" s="491"/>
      <c r="G962" s="356"/>
      <c r="H962" s="349"/>
      <c r="I962" s="349"/>
      <c r="K962" s="349"/>
      <c r="L962" s="349"/>
    </row>
    <row r="963">
      <c r="A963" s="349"/>
      <c r="B963" s="349"/>
      <c r="C963" s="356"/>
      <c r="D963" s="494"/>
      <c r="E963" s="494"/>
      <c r="F963" s="491"/>
      <c r="G963" s="356"/>
      <c r="H963" s="349"/>
      <c r="I963" s="349"/>
      <c r="K963" s="349"/>
      <c r="L963" s="349"/>
    </row>
    <row r="964">
      <c r="A964" s="349"/>
      <c r="B964" s="349"/>
      <c r="C964" s="356"/>
      <c r="D964" s="494"/>
      <c r="E964" s="494"/>
      <c r="F964" s="491"/>
      <c r="G964" s="356"/>
      <c r="H964" s="349"/>
      <c r="I964" s="349"/>
      <c r="K964" s="349"/>
      <c r="L964" s="349"/>
    </row>
    <row r="965">
      <c r="A965" s="349"/>
      <c r="B965" s="349"/>
      <c r="C965" s="356"/>
      <c r="D965" s="494"/>
      <c r="E965" s="494"/>
      <c r="F965" s="491"/>
      <c r="G965" s="356"/>
      <c r="H965" s="349"/>
      <c r="I965" s="349"/>
      <c r="K965" s="349"/>
      <c r="L965" s="349"/>
    </row>
    <row r="966">
      <c r="A966" s="349"/>
      <c r="B966" s="349"/>
      <c r="C966" s="356"/>
      <c r="D966" s="494"/>
      <c r="E966" s="494"/>
      <c r="F966" s="491"/>
      <c r="G966" s="356"/>
      <c r="H966" s="349"/>
      <c r="I966" s="349"/>
      <c r="K966" s="349"/>
      <c r="L966" s="349"/>
    </row>
    <row r="967">
      <c r="A967" s="349"/>
      <c r="B967" s="349"/>
      <c r="C967" s="356"/>
      <c r="D967" s="494"/>
      <c r="E967" s="494"/>
      <c r="F967" s="491"/>
      <c r="G967" s="356"/>
      <c r="H967" s="349"/>
      <c r="I967" s="349"/>
      <c r="K967" s="349"/>
      <c r="L967" s="349"/>
    </row>
    <row r="968">
      <c r="A968" s="349"/>
      <c r="B968" s="349"/>
      <c r="C968" s="356"/>
      <c r="D968" s="494"/>
      <c r="E968" s="494"/>
      <c r="F968" s="491"/>
      <c r="G968" s="356"/>
      <c r="H968" s="349"/>
      <c r="I968" s="349"/>
      <c r="K968" s="349"/>
      <c r="L968" s="349"/>
    </row>
    <row r="969">
      <c r="A969" s="349"/>
      <c r="B969" s="349"/>
      <c r="C969" s="356"/>
      <c r="D969" s="494"/>
      <c r="E969" s="494"/>
      <c r="F969" s="491"/>
      <c r="G969" s="356"/>
      <c r="H969" s="349"/>
      <c r="I969" s="349"/>
      <c r="K969" s="349"/>
      <c r="L969" s="349"/>
    </row>
    <row r="970">
      <c r="A970" s="349"/>
      <c r="B970" s="349"/>
      <c r="C970" s="356"/>
      <c r="D970" s="494"/>
      <c r="E970" s="494"/>
      <c r="F970" s="491"/>
      <c r="G970" s="356"/>
      <c r="H970" s="349"/>
      <c r="I970" s="349"/>
      <c r="K970" s="349"/>
      <c r="L970" s="349"/>
    </row>
    <row r="971">
      <c r="A971" s="349"/>
      <c r="B971" s="349"/>
      <c r="C971" s="356"/>
      <c r="D971" s="494"/>
      <c r="E971" s="494"/>
      <c r="F971" s="491"/>
      <c r="G971" s="356"/>
      <c r="H971" s="349"/>
      <c r="I971" s="349"/>
      <c r="K971" s="349"/>
      <c r="L971" s="349"/>
    </row>
    <row r="972">
      <c r="A972" s="349"/>
      <c r="B972" s="349"/>
      <c r="C972" s="356"/>
      <c r="D972" s="494"/>
      <c r="E972" s="494"/>
      <c r="F972" s="491"/>
      <c r="G972" s="356"/>
      <c r="H972" s="349"/>
      <c r="I972" s="349"/>
      <c r="K972" s="349"/>
      <c r="L972" s="349"/>
    </row>
    <row r="973">
      <c r="A973" s="349"/>
      <c r="B973" s="349"/>
      <c r="C973" s="356"/>
      <c r="D973" s="494"/>
      <c r="E973" s="494"/>
      <c r="F973" s="491"/>
      <c r="G973" s="356"/>
      <c r="H973" s="349"/>
      <c r="I973" s="349"/>
      <c r="K973" s="349"/>
      <c r="L973" s="349"/>
    </row>
    <row r="974">
      <c r="A974" s="349"/>
      <c r="B974" s="349"/>
      <c r="C974" s="356"/>
      <c r="D974" s="494"/>
      <c r="E974" s="494"/>
      <c r="F974" s="491"/>
      <c r="G974" s="356"/>
      <c r="H974" s="349"/>
      <c r="I974" s="349"/>
      <c r="K974" s="349"/>
      <c r="L974" s="349"/>
    </row>
    <row r="975">
      <c r="A975" s="349"/>
      <c r="B975" s="349"/>
      <c r="C975" s="356"/>
      <c r="D975" s="494"/>
      <c r="E975" s="494"/>
      <c r="F975" s="491"/>
      <c r="G975" s="356"/>
      <c r="H975" s="349"/>
      <c r="I975" s="349"/>
      <c r="K975" s="349"/>
      <c r="L975" s="349"/>
    </row>
    <row r="976">
      <c r="A976" s="349"/>
      <c r="B976" s="349"/>
      <c r="C976" s="356"/>
      <c r="D976" s="494"/>
      <c r="E976" s="494"/>
      <c r="F976" s="491"/>
      <c r="G976" s="356"/>
      <c r="H976" s="349"/>
      <c r="I976" s="349"/>
      <c r="K976" s="349"/>
      <c r="L976" s="349"/>
    </row>
    <row r="977">
      <c r="A977" s="349"/>
      <c r="B977" s="349"/>
      <c r="C977" s="356"/>
      <c r="D977" s="494"/>
      <c r="E977" s="494"/>
      <c r="F977" s="491"/>
      <c r="G977" s="356"/>
      <c r="H977" s="349"/>
      <c r="I977" s="349"/>
      <c r="K977" s="349"/>
      <c r="L977" s="349"/>
    </row>
    <row r="978">
      <c r="A978" s="349"/>
      <c r="B978" s="349"/>
      <c r="C978" s="356"/>
      <c r="D978" s="494"/>
      <c r="E978" s="494"/>
      <c r="F978" s="491"/>
      <c r="G978" s="356"/>
      <c r="H978" s="349"/>
      <c r="I978" s="349"/>
      <c r="K978" s="349"/>
      <c r="L978" s="349"/>
    </row>
    <row r="979">
      <c r="A979" s="349"/>
      <c r="B979" s="349"/>
      <c r="C979" s="356"/>
      <c r="D979" s="494"/>
      <c r="E979" s="494"/>
      <c r="F979" s="491"/>
      <c r="G979" s="356"/>
      <c r="H979" s="349"/>
      <c r="I979" s="349"/>
      <c r="K979" s="349"/>
      <c r="L979" s="349"/>
    </row>
    <row r="980">
      <c r="A980" s="349"/>
      <c r="B980" s="349"/>
      <c r="C980" s="356"/>
      <c r="D980" s="494"/>
      <c r="E980" s="494"/>
      <c r="F980" s="491"/>
      <c r="G980" s="356"/>
      <c r="H980" s="349"/>
      <c r="I980" s="349"/>
      <c r="K980" s="349"/>
      <c r="L980" s="349"/>
    </row>
    <row r="981">
      <c r="A981" s="349"/>
      <c r="B981" s="349"/>
      <c r="C981" s="356"/>
      <c r="D981" s="494"/>
      <c r="E981" s="494"/>
      <c r="F981" s="491"/>
      <c r="G981" s="356"/>
      <c r="H981" s="349"/>
      <c r="I981" s="349"/>
      <c r="K981" s="349"/>
      <c r="L981" s="349"/>
    </row>
    <row r="982">
      <c r="A982" s="349"/>
      <c r="B982" s="349"/>
      <c r="C982" s="356"/>
      <c r="D982" s="494"/>
      <c r="E982" s="494"/>
      <c r="F982" s="491"/>
      <c r="G982" s="356"/>
      <c r="H982" s="349"/>
      <c r="I982" s="349"/>
      <c r="K982" s="349"/>
      <c r="L982" s="349"/>
    </row>
    <row r="983">
      <c r="A983" s="349"/>
      <c r="B983" s="349"/>
      <c r="C983" s="356"/>
      <c r="D983" s="494"/>
      <c r="E983" s="494"/>
      <c r="F983" s="491"/>
      <c r="G983" s="356"/>
      <c r="H983" s="349"/>
      <c r="I983" s="349"/>
      <c r="K983" s="349"/>
      <c r="L983" s="349"/>
    </row>
    <row r="984">
      <c r="A984" s="349"/>
      <c r="B984" s="349"/>
      <c r="C984" s="356"/>
      <c r="D984" s="494"/>
      <c r="E984" s="494"/>
      <c r="F984" s="491"/>
      <c r="G984" s="356"/>
      <c r="H984" s="349"/>
      <c r="I984" s="349"/>
      <c r="K984" s="349"/>
      <c r="L984" s="349"/>
    </row>
    <row r="985">
      <c r="A985" s="349"/>
      <c r="B985" s="349"/>
      <c r="C985" s="356"/>
      <c r="D985" s="494"/>
      <c r="E985" s="494"/>
      <c r="F985" s="491"/>
      <c r="G985" s="356"/>
      <c r="H985" s="349"/>
      <c r="I985" s="349"/>
      <c r="K985" s="349"/>
      <c r="L985" s="349"/>
    </row>
    <row r="986">
      <c r="A986" s="349"/>
      <c r="B986" s="349"/>
      <c r="C986" s="356"/>
      <c r="D986" s="494"/>
      <c r="E986" s="494"/>
      <c r="F986" s="491"/>
      <c r="G986" s="356"/>
      <c r="H986" s="349"/>
      <c r="I986" s="349"/>
      <c r="K986" s="349"/>
      <c r="L986" s="349"/>
    </row>
    <row r="987">
      <c r="A987" s="349"/>
      <c r="B987" s="349"/>
      <c r="C987" s="356"/>
      <c r="D987" s="494"/>
      <c r="E987" s="494"/>
      <c r="F987" s="491"/>
      <c r="G987" s="356"/>
      <c r="H987" s="349"/>
      <c r="I987" s="349"/>
      <c r="K987" s="349"/>
      <c r="L987" s="349"/>
    </row>
    <row r="988">
      <c r="A988" s="349"/>
      <c r="B988" s="349"/>
      <c r="C988" s="356"/>
      <c r="D988" s="494"/>
      <c r="E988" s="494"/>
      <c r="F988" s="491"/>
      <c r="G988" s="356"/>
      <c r="H988" s="349"/>
      <c r="I988" s="349"/>
      <c r="K988" s="349"/>
      <c r="L988" s="349"/>
    </row>
    <row r="989">
      <c r="A989" s="349"/>
      <c r="B989" s="349"/>
      <c r="C989" s="356"/>
      <c r="D989" s="494"/>
      <c r="E989" s="494"/>
      <c r="F989" s="491"/>
      <c r="G989" s="356"/>
      <c r="H989" s="349"/>
      <c r="I989" s="349"/>
      <c r="K989" s="349"/>
      <c r="L989" s="349"/>
    </row>
    <row r="990">
      <c r="A990" s="349"/>
      <c r="B990" s="349"/>
      <c r="C990" s="356"/>
      <c r="D990" s="494"/>
      <c r="E990" s="494"/>
      <c r="F990" s="491"/>
      <c r="G990" s="356"/>
      <c r="H990" s="349"/>
      <c r="I990" s="349"/>
      <c r="K990" s="349"/>
      <c r="L990" s="349"/>
    </row>
    <row r="991">
      <c r="A991" s="349"/>
      <c r="B991" s="349"/>
      <c r="C991" s="356"/>
      <c r="D991" s="494"/>
      <c r="E991" s="494"/>
      <c r="F991" s="491"/>
      <c r="G991" s="356"/>
      <c r="H991" s="349"/>
      <c r="I991" s="349"/>
      <c r="K991" s="349"/>
      <c r="L991" s="349"/>
    </row>
    <row r="992">
      <c r="A992" s="349"/>
      <c r="B992" s="349"/>
      <c r="C992" s="356"/>
      <c r="D992" s="494"/>
      <c r="E992" s="494"/>
      <c r="F992" s="491"/>
      <c r="G992" s="356"/>
      <c r="H992" s="349"/>
      <c r="I992" s="349"/>
      <c r="K992" s="349"/>
      <c r="L992" s="349"/>
    </row>
    <row r="993">
      <c r="A993" s="349"/>
      <c r="B993" s="349"/>
      <c r="C993" s="356"/>
      <c r="D993" s="494"/>
      <c r="E993" s="494"/>
      <c r="F993" s="491"/>
      <c r="G993" s="356"/>
      <c r="H993" s="349"/>
      <c r="I993" s="349"/>
      <c r="K993" s="349"/>
      <c r="L993" s="349"/>
    </row>
    <row r="994">
      <c r="A994" s="349"/>
      <c r="B994" s="349"/>
      <c r="C994" s="356"/>
      <c r="D994" s="494"/>
      <c r="E994" s="494"/>
      <c r="F994" s="491"/>
      <c r="G994" s="356"/>
      <c r="H994" s="349"/>
      <c r="I994" s="349"/>
      <c r="K994" s="349"/>
      <c r="L994" s="349"/>
    </row>
    <row r="995">
      <c r="A995" s="349"/>
      <c r="B995" s="349"/>
      <c r="C995" s="356"/>
      <c r="D995" s="494"/>
      <c r="E995" s="494"/>
      <c r="F995" s="491"/>
      <c r="G995" s="356"/>
      <c r="H995" s="349"/>
      <c r="I995" s="349"/>
      <c r="K995" s="349"/>
      <c r="L995" s="349"/>
    </row>
    <row r="996">
      <c r="A996" s="349"/>
      <c r="B996" s="349"/>
      <c r="C996" s="356"/>
      <c r="D996" s="494"/>
      <c r="E996" s="494"/>
      <c r="F996" s="491"/>
      <c r="G996" s="356"/>
      <c r="H996" s="349"/>
      <c r="I996" s="349"/>
      <c r="K996" s="349"/>
      <c r="L996" s="349"/>
    </row>
    <row r="997">
      <c r="A997" s="349"/>
      <c r="B997" s="349"/>
      <c r="C997" s="356"/>
      <c r="D997" s="494"/>
      <c r="E997" s="494"/>
      <c r="F997" s="491"/>
      <c r="G997" s="356"/>
      <c r="H997" s="349"/>
      <c r="I997" s="349"/>
      <c r="K997" s="349"/>
      <c r="L997" s="349"/>
    </row>
    <row r="998">
      <c r="A998" s="349"/>
      <c r="B998" s="349"/>
      <c r="C998" s="356"/>
      <c r="D998" s="494"/>
      <c r="E998" s="494"/>
      <c r="F998" s="491"/>
      <c r="G998" s="356"/>
      <c r="H998" s="349"/>
      <c r="I998" s="349"/>
      <c r="K998" s="349"/>
      <c r="L998" s="349"/>
    </row>
    <row r="999">
      <c r="A999" s="349"/>
      <c r="B999" s="349"/>
      <c r="C999" s="356"/>
      <c r="D999" s="494"/>
      <c r="E999" s="494"/>
      <c r="F999" s="491"/>
      <c r="G999" s="356"/>
      <c r="H999" s="349"/>
      <c r="I999" s="349"/>
      <c r="K999" s="349"/>
      <c r="L999" s="349"/>
    </row>
    <row r="1000">
      <c r="A1000" s="349"/>
      <c r="B1000" s="349"/>
      <c r="C1000" s="356"/>
      <c r="D1000" s="494"/>
      <c r="E1000" s="494"/>
      <c r="F1000" s="491"/>
      <c r="G1000" s="356"/>
      <c r="H1000" s="349"/>
      <c r="I1000" s="349"/>
      <c r="K1000" s="349"/>
      <c r="L1000" s="349"/>
    </row>
    <row r="1001">
      <c r="A1001" s="349"/>
      <c r="B1001" s="349"/>
      <c r="C1001" s="356"/>
      <c r="D1001" s="494"/>
      <c r="E1001" s="494"/>
      <c r="F1001" s="491"/>
      <c r="G1001" s="356"/>
      <c r="H1001" s="349"/>
      <c r="I1001" s="349"/>
      <c r="K1001" s="349"/>
      <c r="L1001" s="349"/>
    </row>
    <row r="1002">
      <c r="A1002" s="349"/>
      <c r="B1002" s="349"/>
      <c r="C1002" s="356"/>
      <c r="D1002" s="494"/>
      <c r="E1002" s="494"/>
      <c r="F1002" s="491"/>
      <c r="G1002" s="356"/>
      <c r="H1002" s="349"/>
      <c r="I1002" s="349"/>
      <c r="K1002" s="349"/>
      <c r="L1002" s="349"/>
    </row>
    <row r="1003">
      <c r="A1003" s="349"/>
      <c r="B1003" s="349"/>
      <c r="C1003" s="356"/>
      <c r="D1003" s="494"/>
      <c r="E1003" s="494"/>
      <c r="F1003" s="491"/>
      <c r="G1003" s="356"/>
      <c r="H1003" s="349"/>
      <c r="I1003" s="349"/>
      <c r="K1003" s="349"/>
      <c r="L1003" s="349"/>
    </row>
    <row r="1004">
      <c r="A1004" s="349"/>
      <c r="B1004" s="349"/>
      <c r="C1004" s="356"/>
      <c r="D1004" s="494"/>
      <c r="E1004" s="494"/>
      <c r="F1004" s="491"/>
      <c r="G1004" s="356"/>
      <c r="H1004" s="349"/>
      <c r="I1004" s="349"/>
      <c r="K1004" s="349"/>
      <c r="L1004" s="349"/>
    </row>
    <row r="1005">
      <c r="A1005" s="349"/>
      <c r="B1005" s="349"/>
      <c r="C1005" s="356"/>
      <c r="D1005" s="494"/>
      <c r="E1005" s="494"/>
      <c r="F1005" s="491"/>
      <c r="G1005" s="356"/>
      <c r="H1005" s="349"/>
      <c r="I1005" s="349"/>
      <c r="K1005" s="349"/>
      <c r="L1005" s="349"/>
    </row>
    <row r="1006">
      <c r="A1006" s="349"/>
      <c r="B1006" s="349"/>
      <c r="C1006" s="356"/>
      <c r="D1006" s="494"/>
      <c r="E1006" s="494"/>
      <c r="F1006" s="491"/>
      <c r="G1006" s="356"/>
      <c r="H1006" s="349"/>
      <c r="I1006" s="349"/>
      <c r="K1006" s="349"/>
      <c r="L1006" s="349"/>
    </row>
    <row r="1007">
      <c r="A1007" s="349"/>
      <c r="B1007" s="349"/>
      <c r="C1007" s="356"/>
      <c r="D1007" s="494"/>
      <c r="E1007" s="494"/>
      <c r="F1007" s="491"/>
      <c r="G1007" s="356"/>
      <c r="H1007" s="349"/>
      <c r="I1007" s="349"/>
      <c r="K1007" s="349"/>
      <c r="L1007" s="349"/>
    </row>
    <row r="1008">
      <c r="A1008" s="349"/>
      <c r="B1008" s="349"/>
      <c r="C1008" s="356"/>
      <c r="D1008" s="494"/>
      <c r="E1008" s="494"/>
      <c r="F1008" s="491"/>
      <c r="G1008" s="356"/>
      <c r="H1008" s="349"/>
      <c r="I1008" s="349"/>
      <c r="K1008" s="349"/>
      <c r="L1008" s="349"/>
    </row>
    <row r="1009">
      <c r="A1009" s="349"/>
      <c r="B1009" s="349"/>
      <c r="C1009" s="356"/>
      <c r="D1009" s="494"/>
      <c r="E1009" s="494"/>
      <c r="F1009" s="491"/>
      <c r="G1009" s="356"/>
      <c r="H1009" s="349"/>
      <c r="I1009" s="349"/>
      <c r="K1009" s="349"/>
      <c r="L1009" s="349"/>
    </row>
    <row r="1010">
      <c r="A1010" s="349"/>
      <c r="B1010" s="349"/>
      <c r="C1010" s="356"/>
      <c r="D1010" s="494"/>
      <c r="E1010" s="494"/>
      <c r="F1010" s="491"/>
      <c r="G1010" s="356"/>
      <c r="H1010" s="349"/>
      <c r="I1010" s="349"/>
      <c r="K1010" s="349"/>
      <c r="L1010" s="349"/>
    </row>
    <row r="1011">
      <c r="A1011" s="349"/>
      <c r="B1011" s="349"/>
      <c r="C1011" s="356"/>
      <c r="D1011" s="494"/>
      <c r="E1011" s="494"/>
      <c r="F1011" s="491"/>
      <c r="G1011" s="356"/>
      <c r="H1011" s="349"/>
      <c r="I1011" s="349"/>
      <c r="K1011" s="349"/>
      <c r="L1011" s="349"/>
    </row>
  </sheetData>
  <mergeCells count="1">
    <mergeCell ref="A1:L1"/>
  </mergeCells>
  <conditionalFormatting sqref="L1:L1011">
    <cfRule type="notContainsBlanks" dxfId="63" priority="1">
      <formula>LEN(TRIM(L1))&gt;0</formula>
    </cfRule>
  </conditionalFormatting>
  <conditionalFormatting sqref="I1:I1011 J1:J2">
    <cfRule type="notContainsBlanks" dxfId="64" priority="2">
      <formula>LEN(TRIM(I1))&gt;0</formula>
    </cfRule>
  </conditionalFormatting>
  <conditionalFormatting sqref="B1:B1011">
    <cfRule type="cellIs" dxfId="44" priority="3" operator="equal">
      <formula>"Hold"</formula>
    </cfRule>
  </conditionalFormatting>
  <conditionalFormatting sqref="B1:B1011">
    <cfRule type="cellIs" dxfId="46" priority="4" operator="equal">
      <formula>"Buy"</formula>
    </cfRule>
  </conditionalFormatting>
  <conditionalFormatting sqref="A2:D1011">
    <cfRule type="notContainsBlanks" dxfId="65" priority="5">
      <formula>LEN(TRIM(A2))&gt;0</formula>
    </cfRule>
  </conditionalFormatting>
  <conditionalFormatting sqref="A2:I1011 J2 K2:L1011">
    <cfRule type="notContainsBlanks" dxfId="66" priority="6">
      <formula>LEN(TRIM(A2))&gt;0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</cols>
  <sheetData>
    <row r="1">
      <c r="A1" s="496" t="s">
        <v>315</v>
      </c>
      <c r="B1" s="13"/>
      <c r="C1" s="13"/>
      <c r="D1" s="13"/>
      <c r="E1" s="13"/>
      <c r="F1" s="497" t="s">
        <v>316</v>
      </c>
      <c r="G1" s="498"/>
      <c r="H1" s="498"/>
      <c r="I1" s="499"/>
    </row>
    <row r="2">
      <c r="A2" s="500" t="s">
        <v>317</v>
      </c>
      <c r="B2" s="487" t="s">
        <v>70</v>
      </c>
      <c r="C2" s="487" t="s">
        <v>318</v>
      </c>
      <c r="D2" s="487" t="s">
        <v>319</v>
      </c>
      <c r="E2" s="487" t="s">
        <v>75</v>
      </c>
      <c r="F2" s="487" t="s">
        <v>320</v>
      </c>
      <c r="G2" s="487" t="s">
        <v>321</v>
      </c>
      <c r="H2" s="487" t="s">
        <v>322</v>
      </c>
      <c r="I2" s="488" t="s">
        <v>323</v>
      </c>
    </row>
    <row r="3">
      <c r="A3" s="501" t="str">
        <f>IFERROR(__xludf.DUMMYFUNCTION("IFERROR(if(ISBLANK(Installment!A3),"""",if(GOOGLEFINANCE(Installment!A3,""Currency"")=""GBX"",""GBP"",GOOGLEFINANCE(Installment!A3,""Currency""))),$F$1)"),"INR")</f>
        <v>INR</v>
      </c>
      <c r="B3" s="501" t="str">
        <f>Installment!A3</f>
        <v>BOM:514183</v>
      </c>
      <c r="C3" s="501">
        <f>Installment!B3</f>
        <v>11</v>
      </c>
      <c r="D3" s="502">
        <f>IFERROR(__xludf.DUMMYFUNCTION("if(A3=""GBP"",if(B3="""","""",if(A3=$F$1,Installment!C3,Installment!C3*GOOGLEFINANCE(""Currency:""&amp;A3&amp;""""&amp;$F$1&amp;"""")))/100,if(B3="""","""",if(A3=$F$1,Installment!C3,Installment!C3*GOOGLEFINANCE(""Currency:""&amp;A3&amp;""""&amp;$F$1&amp;""""))))"),143.25454545454545)</f>
        <v>143.2545455</v>
      </c>
      <c r="E3" s="502">
        <f>IFERROR(__xludf.DUMMYFUNCTION("if(A3=""GBP"",if(B3="""","""",if(A3=$F$1,Installment!H3,Installment!H3*GOOGLEFINANCE(""Currency:""&amp;A3&amp;""""&amp;$F$1&amp;"""")))/100,if(B3="""","""",if(A3=$F$1,Installment!H3,Installment!H3*GOOGLEFINANCE(""Currency:""&amp;A3&amp;""""&amp;$F$1&amp;""""))))"),113.4)</f>
        <v>113.4</v>
      </c>
      <c r="F3" s="502">
        <f>IFERROR(__xludf.DUMMYFUNCTION("if(A3=""GBP"",if(B3="""","""",if(A3=$F$1,Installment!I3,Installment!I3*GOOGLEFINANCE(""Currency:""&amp;A3&amp;""""&amp;$F$1&amp;"""")))/100,if(B3="""","""",if(A3=$F$1,Installment!I3,Installment!I3*GOOGLEFINANCE(""Currency:""&amp;A3&amp;""""&amp;$F$1&amp;""""))))"),-328.39999999999986)</f>
        <v>-328.4</v>
      </c>
      <c r="G3" s="502">
        <f t="shared" ref="G3:G505" si="1">if(ISBLANK(B3),"",D3*C3)</f>
        <v>1575.8</v>
      </c>
      <c r="H3" s="502">
        <f t="shared" ref="H3:H505" si="2">if(ISBLANK(B3),"",E3*C3)</f>
        <v>1247.4</v>
      </c>
      <c r="I3" s="502">
        <f t="shared" ref="I3:I505" si="3">if(ISBLANK(B3),"",H3-G3)</f>
        <v>-328.4</v>
      </c>
    </row>
    <row r="4">
      <c r="A4" s="501" t="str">
        <f>IFERROR(__xludf.DUMMYFUNCTION("IFERROR(if(ISBLANK(Installment!A4),"""",if(GOOGLEFINANCE(Installment!A4,""Currency"")=""GBX"",""GBP"",GOOGLEFINANCE(Installment!A4,""Currency""))),$F$1)"),"INR")</f>
        <v>INR</v>
      </c>
      <c r="B4" s="501" t="str">
        <f>Installment!A4</f>
        <v>BOM:531739</v>
      </c>
      <c r="C4" s="501">
        <f>Installment!B4</f>
        <v>55</v>
      </c>
      <c r="D4" s="502">
        <f>IFERROR(__xludf.DUMMYFUNCTION("if(A4=""GBP"",if(B4="""","""",if(A4=$F$1,Installment!C4,Installment!C4*GOOGLEFINANCE(""Currency:""&amp;A4&amp;""""&amp;$F$1&amp;"""")))/100,if(B4="""","""",if(A4=$F$1,Installment!C4,Installment!C4*GOOGLEFINANCE(""Currency:""&amp;A4&amp;""""&amp;$F$1&amp;""""))))"),8.0)</f>
        <v>8</v>
      </c>
      <c r="E4" s="502">
        <f>IFERROR(__xludf.DUMMYFUNCTION("if(A4=""GBP"",if(B4="""","""",if(A4=$F$1,Installment!H4,Installment!H4*GOOGLEFINANCE(""Currency:""&amp;A4&amp;""""&amp;$F$1&amp;"""")))/100,if(B4="""","""",if(A4=$F$1,Installment!H4,Installment!H4*GOOGLEFINANCE(""Currency:""&amp;A4&amp;""""&amp;$F$1&amp;""""))))"),10.0)</f>
        <v>10</v>
      </c>
      <c r="F4" s="502">
        <f>IFERROR(__xludf.DUMMYFUNCTION("if(A4=""GBP"",if(B4="""","""",if(A4=$F$1,Installment!I4,Installment!I4*GOOGLEFINANCE(""Currency:""&amp;A4&amp;""""&amp;$F$1&amp;"""")))/100,if(B4="""","""",if(A4=$F$1,Installment!I4,Installment!I4*GOOGLEFINANCE(""Currency:""&amp;A4&amp;""""&amp;$F$1&amp;""""))))"),110.0)</f>
        <v>110</v>
      </c>
      <c r="G4" s="502">
        <f t="shared" si="1"/>
        <v>440</v>
      </c>
      <c r="H4" s="502">
        <f t="shared" si="2"/>
        <v>550</v>
      </c>
      <c r="I4" s="502">
        <f t="shared" si="3"/>
        <v>110</v>
      </c>
    </row>
    <row r="5">
      <c r="A5" s="501" t="str">
        <f>IFERROR(__xludf.DUMMYFUNCTION("IFERROR(if(ISBLANK(Installment!A5),"""",if(GOOGLEFINANCE(Installment!A5,""Currency"")=""GBX"",""GBP"",GOOGLEFINANCE(Installment!A5,""Currency""))),$F$1)"),"INR")</f>
        <v>INR</v>
      </c>
      <c r="B5" s="501" t="str">
        <f>Installment!A5</f>
        <v>NSE:AARTIIND</v>
      </c>
      <c r="C5" s="501">
        <f>Installment!B5</f>
        <v>6</v>
      </c>
      <c r="D5" s="502">
        <f>IFERROR(__xludf.DUMMYFUNCTION("if(A5=""GBP"",if(B5="""","""",if(A5=$F$1,Installment!C5,Installment!C5*GOOGLEFINANCE(""Currency:""&amp;A5&amp;""""&amp;$F$1&amp;"""")))/100,if(B5="""","""",if(A5=$F$1,Installment!C5,Installment!C5*GOOGLEFINANCE(""Currency:""&amp;A5&amp;""""&amp;$F$1&amp;""""))))"),496.4173666666666)</f>
        <v>496.4173667</v>
      </c>
      <c r="E5" s="502">
        <f>IFERROR(__xludf.DUMMYFUNCTION("if(A5=""GBP"",if(B5="""","""",if(A5=$F$1,Installment!H5,Installment!H5*GOOGLEFINANCE(""Currency:""&amp;A5&amp;""""&amp;$F$1&amp;"""")))/100,if(B5="""","""",if(A5=$F$1,Installment!H5,Installment!H5*GOOGLEFINANCE(""Currency:""&amp;A5&amp;""""&amp;$F$1&amp;""""))))"),478.6)</f>
        <v>478.6</v>
      </c>
      <c r="F5" s="502">
        <f>IFERROR(__xludf.DUMMYFUNCTION("if(A5=""GBP"",if(B5="""","""",if(A5=$F$1,Installment!I5,Installment!I5*GOOGLEFINANCE(""Currency:""&amp;A5&amp;""""&amp;$F$1&amp;"""")))/100,if(B5="""","""",if(A5=$F$1,Installment!I5,Installment!I5*GOOGLEFINANCE(""Currency:""&amp;A5&amp;""""&amp;$F$1&amp;""""))))"),-106.90419999999949)</f>
        <v>-106.9042</v>
      </c>
      <c r="G5" s="502">
        <f t="shared" si="1"/>
        <v>2978.5042</v>
      </c>
      <c r="H5" s="502">
        <f t="shared" si="2"/>
        <v>2871.6</v>
      </c>
      <c r="I5" s="502">
        <f t="shared" si="3"/>
        <v>-106.9042</v>
      </c>
    </row>
    <row r="6">
      <c r="A6" s="501" t="str">
        <f>IFERROR(__xludf.DUMMYFUNCTION("IFERROR(if(ISBLANK(Installment!A6),"""",if(GOOGLEFINANCE(Installment!A6,""Currency"")=""GBX"",""GBP"",GOOGLEFINANCE(Installment!A6,""Currency""))),$F$1)"),"INR")</f>
        <v>INR</v>
      </c>
      <c r="B6" s="501" t="str">
        <f>Installment!A6</f>
        <v>NSE:AFFLE</v>
      </c>
      <c r="C6" s="501">
        <f>Installment!B6</f>
        <v>6</v>
      </c>
      <c r="D6" s="502">
        <f>IFERROR(__xludf.DUMMYFUNCTION("if(A6=""GBP"",if(B6="""","""",if(A6=$F$1,Installment!C6,Installment!C6*GOOGLEFINANCE(""Currency:""&amp;A6&amp;""""&amp;$F$1&amp;"""")))/100,if(B6="""","""",if(A6=$F$1,Installment!C6,Installment!C6*GOOGLEFINANCE(""Currency:""&amp;A6&amp;""""&amp;$F$1&amp;""""))))"),954.4583333333334)</f>
        <v>954.4583333</v>
      </c>
      <c r="E6" s="502">
        <f>IFERROR(__xludf.DUMMYFUNCTION("if(A6=""GBP"",if(B6="""","""",if(A6=$F$1,Installment!H6,Installment!H6*GOOGLEFINANCE(""Currency:""&amp;A6&amp;""""&amp;$F$1&amp;"""")))/100,if(B6="""","""",if(A6=$F$1,Installment!H6,Installment!H6*GOOGLEFINANCE(""Currency:""&amp;A6&amp;""""&amp;$F$1&amp;""""))))"),1465.1)</f>
        <v>1465.1</v>
      </c>
      <c r="F6" s="502">
        <f>IFERROR(__xludf.DUMMYFUNCTION("if(A6=""GBP"",if(B6="""","""",if(A6=$F$1,Installment!I6,Installment!I6*GOOGLEFINANCE(""Currency:""&amp;A6&amp;""""&amp;$F$1&amp;"""")))/100,if(B6="""","""",if(A6=$F$1,Installment!I6,Installment!I6*GOOGLEFINANCE(""Currency:""&amp;A6&amp;""""&amp;$F$1&amp;""""))))"),3063.8499999999985)</f>
        <v>3063.85</v>
      </c>
      <c r="G6" s="502">
        <f t="shared" si="1"/>
        <v>5726.75</v>
      </c>
      <c r="H6" s="502">
        <f t="shared" si="2"/>
        <v>8790.6</v>
      </c>
      <c r="I6" s="502">
        <f t="shared" si="3"/>
        <v>3063.85</v>
      </c>
    </row>
    <row r="7">
      <c r="A7" s="501" t="str">
        <f>IFERROR(__xludf.DUMMYFUNCTION("IFERROR(if(ISBLANK(Installment!A7),"""",if(GOOGLEFINANCE(Installment!A7,""Currency"")=""GBX"",""GBP"",GOOGLEFINANCE(Installment!A7,""Currency""))),$F$1)"),"INR")</f>
        <v>INR</v>
      </c>
      <c r="B7" s="501" t="str">
        <f>Installment!A7</f>
        <v>NSE:ALKYLAMINE</v>
      </c>
      <c r="C7" s="501">
        <f>Installment!B7</f>
        <v>2</v>
      </c>
      <c r="D7" s="502">
        <f>IFERROR(__xludf.DUMMYFUNCTION("if(A7=""GBP"",if(B7="""","""",if(A7=$F$1,Installment!C7,Installment!C7*GOOGLEFINANCE(""Currency:""&amp;A7&amp;""""&amp;$F$1&amp;"""")))/100,if(B7="""","""",if(A7=$F$1,Installment!C7,Installment!C7*GOOGLEFINANCE(""Currency:""&amp;A7&amp;""""&amp;$F$1&amp;""""))))"),2230.0)</f>
        <v>2230</v>
      </c>
      <c r="E7" s="502">
        <f>IFERROR(__xludf.DUMMYFUNCTION("if(A7=""GBP"",if(B7="""","""",if(A7=$F$1,Installment!H7,Installment!H7*GOOGLEFINANCE(""Currency:""&amp;A7&amp;""""&amp;$F$1&amp;"""")))/100,if(B7="""","""",if(A7=$F$1,Installment!H7,Installment!H7*GOOGLEFINANCE(""Currency:""&amp;A7&amp;""""&amp;$F$1&amp;""""))))"),1802.0)</f>
        <v>1802</v>
      </c>
      <c r="F7" s="502">
        <f>IFERROR(__xludf.DUMMYFUNCTION("if(A7=""GBP"",if(B7="""","""",if(A7=$F$1,Installment!I7,Installment!I7*GOOGLEFINANCE(""Currency:""&amp;A7&amp;""""&amp;$F$1&amp;"""")))/100,if(B7="""","""",if(A7=$F$1,Installment!I7,Installment!I7*GOOGLEFINANCE(""Currency:""&amp;A7&amp;""""&amp;$F$1&amp;""""))))"),-856.0)</f>
        <v>-856</v>
      </c>
      <c r="G7" s="502">
        <f t="shared" si="1"/>
        <v>4460</v>
      </c>
      <c r="H7" s="502">
        <f t="shared" si="2"/>
        <v>3604</v>
      </c>
      <c r="I7" s="502">
        <f t="shared" si="3"/>
        <v>-856</v>
      </c>
    </row>
    <row r="8">
      <c r="A8" s="501" t="str">
        <f>IFERROR(__xludf.DUMMYFUNCTION("IFERROR(if(ISBLANK(Installment!A8),"""",if(GOOGLEFINANCE(Installment!A8,""Currency"")=""GBX"",""GBP"",GOOGLEFINANCE(Installment!A8,""Currency""))),$F$1)"),"INR")</f>
        <v>INR</v>
      </c>
      <c r="B8" s="501" t="str">
        <f>Installment!A8</f>
        <v>NSE:ALLCARGO</v>
      </c>
      <c r="C8" s="501">
        <f>Installment!B8</f>
        <v>99</v>
      </c>
      <c r="D8" s="502">
        <f>IFERROR(__xludf.DUMMYFUNCTION("if(A8=""GBP"",if(B8="""","""",if(A8=$F$1,Installment!C8,Installment!C8*GOOGLEFINANCE(""Currency:""&amp;A8&amp;""""&amp;$F$1&amp;"""")))/100,if(B8="""","""",if(A8=$F$1,Installment!C8,Installment!C8*GOOGLEFINANCE(""Currency:""&amp;A8&amp;""""&amp;$F$1&amp;""""))))"),76.78050505050506)</f>
        <v>76.78050505</v>
      </c>
      <c r="E8" s="502">
        <f>IFERROR(__xludf.DUMMYFUNCTION("if(A8=""GBP"",if(B8="""","""",if(A8=$F$1,Installment!H8,Installment!H8*GOOGLEFINANCE(""Currency:""&amp;A8&amp;""""&amp;$F$1&amp;"""")))/100,if(B8="""","""",if(A8=$F$1,Installment!H8,Installment!H8*GOOGLEFINANCE(""Currency:""&amp;A8&amp;""""&amp;$F$1&amp;""""))))"),7.99)</f>
        <v>7.99</v>
      </c>
      <c r="F8" s="502">
        <f>IFERROR(__xludf.DUMMYFUNCTION("if(A8=""GBP"",if(B8="""","""",if(A8=$F$1,Installment!I8,Installment!I8*GOOGLEFINANCE(""Currency:""&amp;A8&amp;""""&amp;$F$1&amp;"""")))/100,if(B8="""","""",if(A8=$F$1,Installment!I8,Installment!I8*GOOGLEFINANCE(""Currency:""&amp;A8&amp;""""&amp;$F$1&amp;""""))))"),-6810.26)</f>
        <v>-6810.26</v>
      </c>
      <c r="G8" s="502">
        <f t="shared" si="1"/>
        <v>7601.27</v>
      </c>
      <c r="H8" s="502">
        <f t="shared" si="2"/>
        <v>791.01</v>
      </c>
      <c r="I8" s="502">
        <f t="shared" si="3"/>
        <v>-6810.26</v>
      </c>
    </row>
    <row r="9">
      <c r="A9" s="501" t="str">
        <f>IFERROR(__xludf.DUMMYFUNCTION("IFERROR(if(ISBLANK(Installment!A9),"""",if(GOOGLEFINANCE(Installment!A9,""Currency"")=""GBX"",""GBP"",GOOGLEFINANCE(Installment!A9,""Currency""))),$F$1)"),"INR")</f>
        <v>INR</v>
      </c>
      <c r="B9" s="501" t="str">
        <f>Installment!A9</f>
        <v>NSE:ASIANPAINT</v>
      </c>
      <c r="C9" s="501">
        <f>Installment!B9</f>
        <v>3</v>
      </c>
      <c r="D9" s="502">
        <f>IFERROR(__xludf.DUMMYFUNCTION("if(A9=""GBP"",if(B9="""","""",if(A9=$F$1,Installment!C9,Installment!C9*GOOGLEFINANCE(""Currency:""&amp;A9&amp;""""&amp;$F$1&amp;"""")))/100,if(B9="""","""",if(A9=$F$1,Installment!C9,Installment!C9*GOOGLEFINANCE(""Currency:""&amp;A9&amp;""""&amp;$F$1&amp;""""))))"),2900.5833333333335)</f>
        <v>2900.583333</v>
      </c>
      <c r="E9" s="502">
        <f>IFERROR(__xludf.DUMMYFUNCTION("if(A9=""GBP"",if(B9="""","""",if(A9=$F$1,Installment!H9,Installment!H9*GOOGLEFINANCE(""Currency:""&amp;A9&amp;""""&amp;$F$1&amp;"""")))/100,if(B9="""","""",if(A9=$F$1,Installment!H9,Installment!H9*GOOGLEFINANCE(""Currency:""&amp;A9&amp;""""&amp;$F$1&amp;""""))))"),2730.2)</f>
        <v>2730.2</v>
      </c>
      <c r="F9" s="502">
        <f>IFERROR(__xludf.DUMMYFUNCTION("if(A9=""GBP"",if(B9="""","""",if(A9=$F$1,Installment!I9,Installment!I9*GOOGLEFINANCE(""Currency:""&amp;A9&amp;""""&amp;$F$1&amp;"""")))/100,if(B9="""","""",if(A9=$F$1,Installment!I9,Installment!I9*GOOGLEFINANCE(""Currency:""&amp;A9&amp;""""&amp;$F$1&amp;""""))))"),-511.15000000000055)</f>
        <v>-511.15</v>
      </c>
      <c r="G9" s="502">
        <f t="shared" si="1"/>
        <v>8701.75</v>
      </c>
      <c r="H9" s="502">
        <f t="shared" si="2"/>
        <v>8190.6</v>
      </c>
      <c r="I9" s="502">
        <f t="shared" si="3"/>
        <v>-511.15</v>
      </c>
    </row>
    <row r="10">
      <c r="A10" s="501" t="str">
        <f>IFERROR(__xludf.DUMMYFUNCTION("IFERROR(if(ISBLANK(Installment!A10),"""",if(GOOGLEFINANCE(Installment!A10,""Currency"")=""GBX"",""GBP"",GOOGLEFINANCE(Installment!A10,""Currency""))),$F$1)"),"INR")</f>
        <v>INR</v>
      </c>
      <c r="B10" s="501" t="str">
        <f>Installment!A10</f>
        <v>NSE:ASTRAL</v>
      </c>
      <c r="C10" s="501">
        <f>Installment!B10</f>
        <v>2</v>
      </c>
      <c r="D10" s="502">
        <f>IFERROR(__xludf.DUMMYFUNCTION("if(A10=""GBP"",if(B10="""","""",if(A10=$F$1,Installment!C10,Installment!C10*GOOGLEFINANCE(""Currency:""&amp;A10&amp;""""&amp;$F$1&amp;"""")))/100,if(B10="""","""",if(A10=$F$1,Installment!C10,Installment!C10*GOOGLEFINANCE(""Currency:""&amp;A10&amp;""""&amp;$F$1&amp;""""))))"),1545.0)</f>
        <v>1545</v>
      </c>
      <c r="E10" s="502">
        <f>IFERROR(__xludf.DUMMYFUNCTION("if(A10=""GBP"",if(B10="""","""",if(A10=$F$1,Installment!H10,Installment!H10*GOOGLEFINANCE(""Currency:""&amp;A10&amp;""""&amp;$F$1&amp;"""")))/100,if(B10="""","""",if(A10=$F$1,Installment!H10,Installment!H10*GOOGLEFINANCE(""Currency:""&amp;A10&amp;""""&amp;$F$1&amp;""""))))"),1356.9)</f>
        <v>1356.9</v>
      </c>
      <c r="F10" s="502">
        <f>IFERROR(__xludf.DUMMYFUNCTION("if(A10=""GBP"",if(B10="""","""",if(A10=$F$1,Installment!I10,Installment!I10*GOOGLEFINANCE(""Currency:""&amp;A10&amp;""""&amp;$F$1&amp;"""")))/100,if(B10="""","""",if(A10=$F$1,Installment!I10,Installment!I10*GOOGLEFINANCE(""Currency:""&amp;A10&amp;""""&amp;$F$1&amp;""""))))"),-376.1999999999998)</f>
        <v>-376.2</v>
      </c>
      <c r="G10" s="502">
        <f t="shared" si="1"/>
        <v>3090</v>
      </c>
      <c r="H10" s="502">
        <f t="shared" si="2"/>
        <v>2713.8</v>
      </c>
      <c r="I10" s="502">
        <f t="shared" si="3"/>
        <v>-376.2</v>
      </c>
    </row>
    <row r="11">
      <c r="A11" s="501" t="str">
        <f>IFERROR(__xludf.DUMMYFUNCTION("IFERROR(if(ISBLANK(Installment!A11),"""",if(GOOGLEFINANCE(Installment!A11,""Currency"")=""GBX"",""GBP"",GOOGLEFINANCE(Installment!A11,""Currency""))),$F$1)"),"INR")</f>
        <v>INR</v>
      </c>
      <c r="B11" s="501" t="str">
        <f>Installment!A11</f>
        <v>NSE:AUBANK</v>
      </c>
      <c r="C11" s="501">
        <f>Installment!B11</f>
        <v>6</v>
      </c>
      <c r="D11" s="502">
        <f>IFERROR(__xludf.DUMMYFUNCTION("if(A11=""GBP"",if(B11="""","""",if(A11=$F$1,Installment!C11,Installment!C11*GOOGLEFINANCE(""Currency:""&amp;A11&amp;""""&amp;$F$1&amp;"""")))/100,if(B11="""","""",if(A11=$F$1,Installment!C11,Installment!C11*GOOGLEFINANCE(""Currency:""&amp;A11&amp;""""&amp;$F$1&amp;""""))))"),579.6)</f>
        <v>579.6</v>
      </c>
      <c r="E11" s="502">
        <f>IFERROR(__xludf.DUMMYFUNCTION("if(A11=""GBP"",if(B11="""","""",if(A11=$F$1,Installment!H11,Installment!H11*GOOGLEFINANCE(""Currency:""&amp;A11&amp;""""&amp;$F$1&amp;"""")))/100,if(B11="""","""",if(A11=$F$1,Installment!H11,Installment!H11*GOOGLEFINANCE(""Currency:""&amp;A11&amp;""""&amp;$F$1&amp;""""))))"),1066.0)</f>
        <v>1066</v>
      </c>
      <c r="F11" s="502">
        <f>IFERROR(__xludf.DUMMYFUNCTION("if(A11=""GBP"",if(B11="""","""",if(A11=$F$1,Installment!I11,Installment!I11*GOOGLEFINANCE(""Currency:""&amp;A11&amp;""""&amp;$F$1&amp;"""")))/100,if(B11="""","""",if(A11=$F$1,Installment!I11,Installment!I11*GOOGLEFINANCE(""Currency:""&amp;A11&amp;""""&amp;$F$1&amp;""""))))"),2918.3999999999996)</f>
        <v>2918.4</v>
      </c>
      <c r="G11" s="502">
        <f t="shared" si="1"/>
        <v>3477.6</v>
      </c>
      <c r="H11" s="502">
        <f t="shared" si="2"/>
        <v>6396</v>
      </c>
      <c r="I11" s="502">
        <f t="shared" si="3"/>
        <v>2918.4</v>
      </c>
    </row>
    <row r="12">
      <c r="A12" s="501" t="str">
        <f>IFERROR(__xludf.DUMMYFUNCTION("IFERROR(if(ISBLANK(Installment!A12),"""",if(GOOGLEFINANCE(Installment!A12,""Currency"")=""GBX"",""GBP"",GOOGLEFINANCE(Installment!A12,""Currency""))),$F$1)"),"INR")</f>
        <v>INR</v>
      </c>
      <c r="B12" s="501" t="str">
        <f>Installment!A12</f>
        <v>NSE:BAJAJHFL</v>
      </c>
      <c r="C12" s="501">
        <f>Installment!B12</f>
        <v>100</v>
      </c>
      <c r="D12" s="502">
        <f>IFERROR(__xludf.DUMMYFUNCTION("if(A12=""GBP"",if(B12="""","""",if(A12=$F$1,Installment!C12,Installment!C12*GOOGLEFINANCE(""Currency:""&amp;A12&amp;""""&amp;$F$1&amp;"""")))/100,if(B12="""","""",if(A12=$F$1,Installment!C12,Installment!C12*GOOGLEFINANCE(""Currency:""&amp;A12&amp;""""&amp;$F$1&amp;""""))))"),162.886)</f>
        <v>162.886</v>
      </c>
      <c r="E12" s="502">
        <f>IFERROR(__xludf.DUMMYFUNCTION("if(A12=""GBP"",if(B12="""","""",if(A12=$F$1,Installment!H12,Installment!H12*GOOGLEFINANCE(""Currency:""&amp;A12&amp;""""&amp;$F$1&amp;"""")))/100,if(B12="""","""",if(A12=$F$1,Installment!H12,Installment!H12*GOOGLEFINANCE(""Currency:""&amp;A12&amp;""""&amp;$F$1&amp;""""))))"),88.37)</f>
        <v>88.37</v>
      </c>
      <c r="F12" s="502">
        <f>IFERROR(__xludf.DUMMYFUNCTION("if(A12=""GBP"",if(B12="""","""",if(A12=$F$1,Installment!I12,Installment!I12*GOOGLEFINANCE(""Currency:""&amp;A12&amp;""""&amp;$F$1&amp;"""")))/100,if(B12="""","""",if(A12=$F$1,Installment!I12,Installment!I12*GOOGLEFINANCE(""Currency:""&amp;A12&amp;""""&amp;$F$1&amp;""""))))"),-7451.6)</f>
        <v>-7451.6</v>
      </c>
      <c r="G12" s="502">
        <f t="shared" si="1"/>
        <v>16288.6</v>
      </c>
      <c r="H12" s="502">
        <f t="shared" si="2"/>
        <v>8837</v>
      </c>
      <c r="I12" s="502">
        <f t="shared" si="3"/>
        <v>-7451.6</v>
      </c>
    </row>
    <row r="13">
      <c r="A13" s="501" t="str">
        <f>IFERROR(__xludf.DUMMYFUNCTION("IFERROR(if(ISBLANK(Installment!A13),"""",if(GOOGLEFINANCE(Installment!A13,""Currency"")=""GBX"",""GBP"",GOOGLEFINANCE(Installment!A13,""Currency""))),$F$1)"),"INR")</f>
        <v>INR</v>
      </c>
      <c r="B13" s="501" t="str">
        <f>Installment!A13</f>
        <v>NSE:BERGEPAINT</v>
      </c>
      <c r="C13" s="501">
        <f>Installment!B13</f>
        <v>9</v>
      </c>
      <c r="D13" s="502">
        <f>IFERROR(__xludf.DUMMYFUNCTION("if(A13=""GBP"",if(B13="""","""",if(A13=$F$1,Installment!C13,Installment!C13*GOOGLEFINANCE(""Currency:""&amp;A13&amp;""""&amp;$F$1&amp;"""")))/100,if(B13="""","""",if(A13=$F$1,Installment!C13,Installment!C13*GOOGLEFINANCE(""Currency:""&amp;A13&amp;""""&amp;$F$1&amp;""""))))"),548.3)</f>
        <v>548.3</v>
      </c>
      <c r="E13" s="502">
        <f>IFERROR(__xludf.DUMMYFUNCTION("if(A13=""GBP"",if(B13="""","""",if(A13=$F$1,Installment!H13,Installment!H13*GOOGLEFINANCE(""Currency:""&amp;A13&amp;""""&amp;$F$1&amp;"""")))/100,if(B13="""","""",if(A13=$F$1,Installment!H13,Installment!H13*GOOGLEFINANCE(""Currency:""&amp;A13&amp;""""&amp;$F$1&amp;""""))))"),509.9)</f>
        <v>509.9</v>
      </c>
      <c r="F13" s="502">
        <f>IFERROR(__xludf.DUMMYFUNCTION("if(A13=""GBP"",if(B13="""","""",if(A13=$F$1,Installment!I13,Installment!I13*GOOGLEFINANCE(""Currency:""&amp;A13&amp;""""&amp;$F$1&amp;"""")))/100,if(B13="""","""",if(A13=$F$1,Installment!I13,Installment!I13*GOOGLEFINANCE(""Currency:""&amp;A13&amp;""""&amp;$F$1&amp;""""))))"),-345.60000000000036)</f>
        <v>-345.6</v>
      </c>
      <c r="G13" s="502">
        <f t="shared" si="1"/>
        <v>4934.7</v>
      </c>
      <c r="H13" s="502">
        <f t="shared" si="2"/>
        <v>4589.1</v>
      </c>
      <c r="I13" s="502">
        <f t="shared" si="3"/>
        <v>-345.6</v>
      </c>
    </row>
    <row r="14">
      <c r="A14" s="501" t="str">
        <f>IFERROR(__xludf.DUMMYFUNCTION("IFERROR(if(ISBLANK(Installment!A14),"""",if(GOOGLEFINANCE(Installment!A14,""Currency"")=""GBX"",""GBP"",GOOGLEFINANCE(Installment!A14,""Currency""))),$F$1)"),"INR")</f>
        <v>INR</v>
      </c>
      <c r="B14" s="501" t="str">
        <f>Installment!A14</f>
        <v>NSE:BSE</v>
      </c>
      <c r="C14" s="501">
        <f>Installment!B14</f>
        <v>11</v>
      </c>
      <c r="D14" s="502">
        <f>IFERROR(__xludf.DUMMYFUNCTION("if(A14=""GBP"",if(B14="""","""",if(A14=$F$1,Installment!C14,Installment!C14*GOOGLEFINANCE(""Currency:""&amp;A14&amp;""""&amp;$F$1&amp;"""")))/100,if(B14="""","""",if(A14=$F$1,Installment!C14,Installment!C14*GOOGLEFINANCE(""Currency:""&amp;A14&amp;""""&amp;$F$1&amp;""""))))"),438.54090909090917)</f>
        <v>438.5409091</v>
      </c>
      <c r="E14" s="502">
        <f>IFERROR(__xludf.DUMMYFUNCTION("if(A14=""GBP"",if(B14="""","""",if(A14=$F$1,Installment!H14,Installment!H14*GOOGLEFINANCE(""Currency:""&amp;A14&amp;""""&amp;$F$1&amp;"""")))/100,if(B14="""","""",if(A14=$F$1,Installment!H14,Installment!H14*GOOGLEFINANCE(""Currency:""&amp;A14&amp;""""&amp;$F$1&amp;""""))))"),3678.7)</f>
        <v>3678.7</v>
      </c>
      <c r="F14" s="502">
        <f>IFERROR(__xludf.DUMMYFUNCTION("if(A14=""GBP"",if(B14="""","""",if(A14=$F$1,Installment!I14,Installment!I14*GOOGLEFINANCE(""Currency:""&amp;A14&amp;""""&amp;$F$1&amp;"""")))/100,if(B14="""","""",if(A14=$F$1,Installment!I14,Installment!I14*GOOGLEFINANCE(""Currency:""&amp;A14&amp;""""&amp;$F$1&amp;""""))))"),35641.75)</f>
        <v>35641.75</v>
      </c>
      <c r="G14" s="502">
        <f t="shared" si="1"/>
        <v>4823.95</v>
      </c>
      <c r="H14" s="502">
        <f t="shared" si="2"/>
        <v>40465.7</v>
      </c>
      <c r="I14" s="502">
        <f t="shared" si="3"/>
        <v>35641.75</v>
      </c>
    </row>
    <row r="15">
      <c r="A15" s="501" t="str">
        <f>IFERROR(__xludf.DUMMYFUNCTION("IFERROR(if(ISBLANK(Installment!A15),"""",if(GOOGLEFINANCE(Installment!A15,""Currency"")=""GBX"",""GBP"",GOOGLEFINANCE(Installment!A15,""Currency""))),$F$1)"),"INR")</f>
        <v>INR</v>
      </c>
      <c r="B15" s="501" t="str">
        <f>Installment!A15</f>
        <v>NSE:CAMS</v>
      </c>
      <c r="C15" s="501">
        <f>Installment!B15</f>
        <v>2</v>
      </c>
      <c r="D15" s="502">
        <f>IFERROR(__xludf.DUMMYFUNCTION("if(A15=""GBP"",if(B15="""","""",if(A15=$F$1,Installment!C15,Installment!C15*GOOGLEFINANCE(""Currency:""&amp;A15&amp;""""&amp;$F$1&amp;"""")))/100,if(B15="""","""",if(A15=$F$1,Installment!C15,Installment!C15*GOOGLEFINANCE(""Currency:""&amp;A15&amp;""""&amp;$F$1&amp;""""))))"),2349.0)</f>
        <v>2349</v>
      </c>
      <c r="E15" s="502">
        <f>IFERROR(__xludf.DUMMYFUNCTION("if(A15=""GBP"",if(B15="""","""",if(A15=$F$1,Installment!H15,Installment!H15*GOOGLEFINANCE(""Currency:""&amp;A15&amp;""""&amp;$F$1&amp;"""")))/100,if(B15="""","""",if(A15=$F$1,Installment!H15,Installment!H15*GOOGLEFINANCE(""Currency:""&amp;A15&amp;""""&amp;$F$1&amp;""""))))"),777.35)</f>
        <v>777.35</v>
      </c>
      <c r="F15" s="502">
        <f>IFERROR(__xludf.DUMMYFUNCTION("if(A15=""GBP"",if(B15="""","""",if(A15=$F$1,Installment!I15,Installment!I15*GOOGLEFINANCE(""Currency:""&amp;A15&amp;""""&amp;$F$1&amp;"""")))/100,if(B15="""","""",if(A15=$F$1,Installment!I15,Installment!I15*GOOGLEFINANCE(""Currency:""&amp;A15&amp;""""&amp;$F$1&amp;""""))))"),-3143.3)</f>
        <v>-3143.3</v>
      </c>
      <c r="G15" s="502">
        <f t="shared" si="1"/>
        <v>4698</v>
      </c>
      <c r="H15" s="502">
        <f t="shared" si="2"/>
        <v>1554.7</v>
      </c>
      <c r="I15" s="502">
        <f t="shared" si="3"/>
        <v>-3143.3</v>
      </c>
    </row>
    <row r="16">
      <c r="A16" s="501" t="str">
        <f>IFERROR(__xludf.DUMMYFUNCTION("IFERROR(if(ISBLANK(Installment!A16),"""",if(GOOGLEFINANCE(Installment!A16,""Currency"")=""GBX"",""GBP"",GOOGLEFINANCE(Installment!A16,""Currency""))),$F$1)"),"INR")</f>
        <v>INR</v>
      </c>
      <c r="B16" s="501" t="str">
        <f>Installment!A16</f>
        <v>NSE:CDSL</v>
      </c>
      <c r="C16" s="501">
        <f>Installment!B16</f>
        <v>8</v>
      </c>
      <c r="D16" s="502">
        <f>IFERROR(__xludf.DUMMYFUNCTION("if(A16=""GBP"",if(B16="""","""",if(A16=$F$1,Installment!C16,Installment!C16*GOOGLEFINANCE(""Currency:""&amp;A16&amp;""""&amp;$F$1&amp;"""")))/100,if(B16="""","""",if(A16=$F$1,Installment!C16,Installment!C16*GOOGLEFINANCE(""Currency:""&amp;A16&amp;""""&amp;$F$1&amp;""""))))"),548.5625)</f>
        <v>548.5625</v>
      </c>
      <c r="E16" s="502">
        <f>IFERROR(__xludf.DUMMYFUNCTION("if(A16=""GBP"",if(B16="""","""",if(A16=$F$1,Installment!H16,Installment!H16*GOOGLEFINANCE(""Currency:""&amp;A16&amp;""""&amp;$F$1&amp;"""")))/100,if(B16="""","""",if(A16=$F$1,Installment!H16,Installment!H16*GOOGLEFINANCE(""Currency:""&amp;A16&amp;""""&amp;$F$1&amp;""""))))"),1358.0)</f>
        <v>1358</v>
      </c>
      <c r="F16" s="502">
        <f>IFERROR(__xludf.DUMMYFUNCTION("if(A16=""GBP"",if(B16="""","""",if(A16=$F$1,Installment!I16,Installment!I16*GOOGLEFINANCE(""Currency:""&amp;A16&amp;""""&amp;$F$1&amp;"""")))/100,if(B16="""","""",if(A16=$F$1,Installment!I16,Installment!I16*GOOGLEFINANCE(""Currency:""&amp;A16&amp;""""&amp;$F$1&amp;""""))))"),6475.5)</f>
        <v>6475.5</v>
      </c>
      <c r="G16" s="502">
        <f t="shared" si="1"/>
        <v>4388.5</v>
      </c>
      <c r="H16" s="502">
        <f t="shared" si="2"/>
        <v>10864</v>
      </c>
      <c r="I16" s="502">
        <f t="shared" si="3"/>
        <v>6475.5</v>
      </c>
    </row>
    <row r="17">
      <c r="A17" s="501" t="str">
        <f>IFERROR(__xludf.DUMMYFUNCTION("IFERROR(if(ISBLANK(Installment!A17),"""",if(GOOGLEFINANCE(Installment!A17,""Currency"")=""GBX"",""GBP"",GOOGLEFINANCE(Installment!A17,""Currency""))),$F$1)"),"INR")</f>
        <v>INR</v>
      </c>
      <c r="B17" s="501" t="str">
        <f>Installment!A17</f>
        <v>NSE:CGPOWER</v>
      </c>
      <c r="C17" s="501">
        <f>Installment!B17</f>
        <v>10</v>
      </c>
      <c r="D17" s="502">
        <f>IFERROR(__xludf.DUMMYFUNCTION("if(A17=""GBP"",if(B17="""","""",if(A17=$F$1,Installment!C17,Installment!C17*GOOGLEFINANCE(""Currency:""&amp;A17&amp;""""&amp;$F$1&amp;"""")))/100,if(B17="""","""",if(A17=$F$1,Installment!C17,Installment!C17*GOOGLEFINANCE(""Currency:""&amp;A17&amp;""""&amp;$F$1&amp;""""))))"),6.3)</f>
        <v>6.3</v>
      </c>
      <c r="E17" s="502">
        <f>IFERROR(__xludf.DUMMYFUNCTION("if(A17=""GBP"",if(B17="""","""",if(A17=$F$1,Installment!H17,Installment!H17*GOOGLEFINANCE(""Currency:""&amp;A17&amp;""""&amp;$F$1&amp;"""")))/100,if(B17="""","""",if(A17=$F$1,Installment!H17,Installment!H17*GOOGLEFINANCE(""Currency:""&amp;A17&amp;""""&amp;$F$1&amp;""""))))"),910.45)</f>
        <v>910.45</v>
      </c>
      <c r="F17" s="502">
        <f>IFERROR(__xludf.DUMMYFUNCTION("if(A17=""GBP"",if(B17="""","""",if(A17=$F$1,Installment!I17,Installment!I17*GOOGLEFINANCE(""Currency:""&amp;A17&amp;""""&amp;$F$1&amp;"""")))/100,if(B17="""","""",if(A17=$F$1,Installment!I17,Installment!I17*GOOGLEFINANCE(""Currency:""&amp;A17&amp;""""&amp;$F$1&amp;""""))))"),9041.5)</f>
        <v>9041.5</v>
      </c>
      <c r="G17" s="502">
        <f t="shared" si="1"/>
        <v>63</v>
      </c>
      <c r="H17" s="502">
        <f t="shared" si="2"/>
        <v>9104.5</v>
      </c>
      <c r="I17" s="502">
        <f t="shared" si="3"/>
        <v>9041.5</v>
      </c>
    </row>
    <row r="18">
      <c r="A18" s="501" t="str">
        <f>IFERROR(__xludf.DUMMYFUNCTION("IFERROR(if(ISBLANK(Installment!A18),"""",if(GOOGLEFINANCE(Installment!A18,""Currency"")=""GBX"",""GBP"",GOOGLEFINANCE(Installment!A18,""Currency""))),$F$1)"),"INR")</f>
        <v>INR</v>
      </c>
      <c r="B18" s="501" t="str">
        <f>Installment!A18</f>
        <v>NSE:DIXON</v>
      </c>
      <c r="C18" s="501">
        <f>Installment!B18</f>
        <v>3</v>
      </c>
      <c r="D18" s="502">
        <f>IFERROR(__xludf.DUMMYFUNCTION("if(A18=""GBP"",if(B18="""","""",if(A18=$F$1,Installment!C18,Installment!C18*GOOGLEFINANCE(""Currency:""&amp;A18&amp;""""&amp;$F$1&amp;"""")))/100,if(B18="""","""",if(A18=$F$1,Installment!C18,Installment!C18*GOOGLEFINANCE(""Currency:""&amp;A18&amp;""""&amp;$F$1&amp;""""))))"),3051.2999999999997)</f>
        <v>3051.3</v>
      </c>
      <c r="E18" s="502">
        <f>IFERROR(__xludf.DUMMYFUNCTION("if(A18=""GBP"",if(B18="""","""",if(A18=$F$1,Installment!H18,Installment!H18*GOOGLEFINANCE(""Currency:""&amp;A18&amp;""""&amp;$F$1&amp;"""")))/100,if(B18="""","""",if(A18=$F$1,Installment!H18,Installment!H18*GOOGLEFINANCE(""Currency:""&amp;A18&amp;""""&amp;$F$1&amp;""""))))"),13237.0)</f>
        <v>13237</v>
      </c>
      <c r="F18" s="502">
        <f>IFERROR(__xludf.DUMMYFUNCTION("if(A18=""GBP"",if(B18="""","""",if(A18=$F$1,Installment!I18,Installment!I18*GOOGLEFINANCE(""Currency:""&amp;A18&amp;""""&amp;$F$1&amp;"""")))/100,if(B18="""","""",if(A18=$F$1,Installment!I18,Installment!I18*GOOGLEFINANCE(""Currency:""&amp;A18&amp;""""&amp;$F$1&amp;""""))))"),30557.1)</f>
        <v>30557.1</v>
      </c>
      <c r="G18" s="502">
        <f t="shared" si="1"/>
        <v>9153.9</v>
      </c>
      <c r="H18" s="502">
        <f t="shared" si="2"/>
        <v>39711</v>
      </c>
      <c r="I18" s="502">
        <f t="shared" si="3"/>
        <v>30557.1</v>
      </c>
    </row>
    <row r="19">
      <c r="A19" s="501" t="str">
        <f>IFERROR(__xludf.DUMMYFUNCTION("IFERROR(if(ISBLANK(Installment!A19),"""",if(GOOGLEFINANCE(Installment!A19,""Currency"")=""GBX"",""GBP"",GOOGLEFINANCE(Installment!A19,""Currency""))),$F$1)"),"INR")</f>
        <v>INR</v>
      </c>
      <c r="B19" s="501" t="str">
        <f>Installment!A19</f>
        <v>NSE:DMART</v>
      </c>
      <c r="C19" s="501">
        <f>Installment!B19</f>
        <v>6</v>
      </c>
      <c r="D19" s="502">
        <f>IFERROR(__xludf.DUMMYFUNCTION("if(A19=""GBP"",if(B19="""","""",if(A19=$F$1,Installment!C19,Installment!C19*GOOGLEFINANCE(""Currency:""&amp;A19&amp;""""&amp;$F$1&amp;"""")))/100,if(B19="""","""",if(A19=$F$1,Installment!C19,Installment!C19*GOOGLEFINANCE(""Currency:""&amp;A19&amp;""""&amp;$F$1&amp;""""))))"),3710.65)</f>
        <v>3710.65</v>
      </c>
      <c r="E19" s="502">
        <f>IFERROR(__xludf.DUMMYFUNCTION("if(A19=""GBP"",if(B19="""","""",if(A19=$F$1,Installment!H19,Installment!H19*GOOGLEFINANCE(""Currency:""&amp;A19&amp;""""&amp;$F$1&amp;"""")))/100,if(B19="""","""",if(A19=$F$1,Installment!H19,Installment!H19*GOOGLEFINANCE(""Currency:""&amp;A19&amp;""""&amp;$F$1&amp;""""))))"),4070.0)</f>
        <v>4070</v>
      </c>
      <c r="F19" s="502">
        <f>IFERROR(__xludf.DUMMYFUNCTION("if(A19=""GBP"",if(B19="""","""",if(A19=$F$1,Installment!I19,Installment!I19*GOOGLEFINANCE(""Currency:""&amp;A19&amp;""""&amp;$F$1&amp;"""")))/100,if(B19="""","""",if(A19=$F$1,Installment!I19,Installment!I19*GOOGLEFINANCE(""Currency:""&amp;A19&amp;""""&amp;$F$1&amp;""""))))"),2156.0999999999985)</f>
        <v>2156.1</v>
      </c>
      <c r="G19" s="502">
        <f t="shared" si="1"/>
        <v>22263.9</v>
      </c>
      <c r="H19" s="502">
        <f t="shared" si="2"/>
        <v>24420</v>
      </c>
      <c r="I19" s="502">
        <f t="shared" si="3"/>
        <v>2156.1</v>
      </c>
    </row>
    <row r="20">
      <c r="A20" s="501" t="str">
        <f>IFERROR(__xludf.DUMMYFUNCTION("IFERROR(if(ISBLANK(Installment!A20),"""",if(GOOGLEFINANCE(Installment!A20,""Currency"")=""GBX"",""GBP"",GOOGLEFINANCE(Installment!A20,""Currency""))),$F$1)"),"INR")</f>
        <v>INR</v>
      </c>
      <c r="B20" s="501" t="str">
        <f>Installment!A20</f>
        <v>NSE:EASEMYTRIP</v>
      </c>
      <c r="C20" s="501">
        <f>Installment!B20</f>
        <v>600</v>
      </c>
      <c r="D20" s="502">
        <f>IFERROR(__xludf.DUMMYFUNCTION("if(A20=""GBP"",if(B20="""","""",if(A20=$F$1,Installment!C20,Installment!C20*GOOGLEFINANCE(""Currency:""&amp;A20&amp;""""&amp;$F$1&amp;"""")))/100,if(B20="""","""",if(A20=$F$1,Installment!C20,Installment!C20*GOOGLEFINANCE(""Currency:""&amp;A20&amp;""""&amp;$F$1&amp;""""))))"),41.541625)</f>
        <v>41.541625</v>
      </c>
      <c r="E20" s="502">
        <f>IFERROR(__xludf.DUMMYFUNCTION("if(A20=""GBP"",if(B20="""","""",if(A20=$F$1,Installment!H20,Installment!H20*GOOGLEFINANCE(""Currency:""&amp;A20&amp;""""&amp;$F$1&amp;"""")))/100,if(B20="""","""",if(A20=$F$1,Installment!H20,Installment!H20*GOOGLEFINANCE(""Currency:""&amp;A20&amp;""""&amp;$F$1&amp;""""))))"),7.17)</f>
        <v>7.17</v>
      </c>
      <c r="F20" s="502">
        <f>IFERROR(__xludf.DUMMYFUNCTION("if(A20=""GBP"",if(B20="""","""",if(A20=$F$1,Installment!I20,Installment!I20*GOOGLEFINANCE(""Currency:""&amp;A20&amp;""""&amp;$F$1&amp;"""")))/100,if(B20="""","""",if(A20=$F$1,Installment!I20,Installment!I20*GOOGLEFINANCE(""Currency:""&amp;A20&amp;""""&amp;$F$1&amp;""""))))"),-20622.975000000002)</f>
        <v>-20622.975</v>
      </c>
      <c r="G20" s="502">
        <f t="shared" si="1"/>
        <v>24924.975</v>
      </c>
      <c r="H20" s="502">
        <f t="shared" si="2"/>
        <v>4302</v>
      </c>
      <c r="I20" s="502">
        <f t="shared" si="3"/>
        <v>-20622.975</v>
      </c>
    </row>
    <row r="21">
      <c r="A21" s="501" t="str">
        <f>IFERROR(__xludf.DUMMYFUNCTION("IFERROR(if(ISBLANK(Installment!A21),"""",if(GOOGLEFINANCE(Installment!A21,""Currency"")=""GBX"",""GBP"",GOOGLEFINANCE(Installment!A21,""Currency""))),$F$1)"),"INR")</f>
        <v>INR</v>
      </c>
      <c r="B21" s="501" t="str">
        <f>Installment!A21</f>
        <v>NSE:FCL</v>
      </c>
      <c r="C21" s="501">
        <f>Installment!B21</f>
        <v>6</v>
      </c>
      <c r="D21" s="502">
        <f>IFERROR(__xludf.DUMMYFUNCTION("if(A21=""GBP"",if(B21="""","""",if(A21=$F$1,Installment!C21,Installment!C21*GOOGLEFINANCE(""Currency:""&amp;A21&amp;""""&amp;$F$1&amp;"""")))/100,if(B21="""","""",if(A21=$F$1,Installment!C21,Installment!C21*GOOGLEFINANCE(""Currency:""&amp;A21&amp;""""&amp;$F$1&amp;""""))))"),285.2083333333333)</f>
        <v>285.2083333</v>
      </c>
      <c r="E21" s="502">
        <f>IFERROR(__xludf.DUMMYFUNCTION("if(A21=""GBP"",if(B21="""","""",if(A21=$F$1,Installment!H21,Installment!H21*GOOGLEFINANCE(""Currency:""&amp;A21&amp;""""&amp;$F$1&amp;"""")))/100,if(B21="""","""",if(A21=$F$1,Installment!H21,Installment!H21*GOOGLEFINANCE(""Currency:""&amp;A21&amp;""""&amp;$F$1&amp;""""))))"),37.19)</f>
        <v>37.19</v>
      </c>
      <c r="F21" s="502">
        <f>IFERROR(__xludf.DUMMYFUNCTION("if(A21=""GBP"",if(B21="""","""",if(A21=$F$1,Installment!I21,Installment!I21*GOOGLEFINANCE(""Currency:""&amp;A21&amp;""""&amp;$F$1&amp;"""")))/100,if(B21="""","""",if(A21=$F$1,Installment!I21,Installment!I21*GOOGLEFINANCE(""Currency:""&amp;A21&amp;""""&amp;$F$1&amp;""""))))"),-1488.1100000000001)</f>
        <v>-1488.11</v>
      </c>
      <c r="G21" s="502">
        <f t="shared" si="1"/>
        <v>1711.25</v>
      </c>
      <c r="H21" s="502">
        <f t="shared" si="2"/>
        <v>223.14</v>
      </c>
      <c r="I21" s="502">
        <f t="shared" si="3"/>
        <v>-1488.11</v>
      </c>
    </row>
    <row r="22">
      <c r="A22" s="501" t="str">
        <f>IFERROR(__xludf.DUMMYFUNCTION("IFERROR(if(ISBLANK(Installment!A22),"""",if(GOOGLEFINANCE(Installment!A22,""Currency"")=""GBX"",""GBP"",GOOGLEFINANCE(Installment!A22,""Currency""))),$F$1)"),"INR")</f>
        <v>INR</v>
      </c>
      <c r="B22" s="501" t="str">
        <f>Installment!A22</f>
        <v>NSE:FEDERALBNK</v>
      </c>
      <c r="C22" s="501">
        <f>Installment!B22</f>
        <v>10</v>
      </c>
      <c r="D22" s="502">
        <f>IFERROR(__xludf.DUMMYFUNCTION("if(A22=""GBP"",if(B22="""","""",if(A22=$F$1,Installment!C22,Installment!C22*GOOGLEFINANCE(""Currency:""&amp;A22&amp;""""&amp;$F$1&amp;"""")))/100,if(B22="""","""",if(A22=$F$1,Installment!C22,Installment!C22*GOOGLEFINANCE(""Currency:""&amp;A22&amp;""""&amp;$F$1&amp;""""))))"),84.9)</f>
        <v>84.9</v>
      </c>
      <c r="E22" s="502">
        <f>IFERROR(__xludf.DUMMYFUNCTION("if(A22=""GBP"",if(B22="""","""",if(A22=$F$1,Installment!H22,Installment!H22*GOOGLEFINANCE(""Currency:""&amp;A22&amp;""""&amp;$F$1&amp;"""")))/100,if(B22="""","""",if(A22=$F$1,Installment!H22,Installment!H22*GOOGLEFINANCE(""Currency:""&amp;A22&amp;""""&amp;$F$1&amp;""""))))"),331.2)</f>
        <v>331.2</v>
      </c>
      <c r="F22" s="502">
        <f>IFERROR(__xludf.DUMMYFUNCTION("if(A22=""GBP"",if(B22="""","""",if(A22=$F$1,Installment!I22,Installment!I22*GOOGLEFINANCE(""Currency:""&amp;A22&amp;""""&amp;$F$1&amp;"""")))/100,if(B22="""","""",if(A22=$F$1,Installment!I22,Installment!I22*GOOGLEFINANCE(""Currency:""&amp;A22&amp;""""&amp;$F$1&amp;""""))))"),2463.0)</f>
        <v>2463</v>
      </c>
      <c r="G22" s="502">
        <f t="shared" si="1"/>
        <v>849</v>
      </c>
      <c r="H22" s="502">
        <f t="shared" si="2"/>
        <v>3312</v>
      </c>
      <c r="I22" s="502">
        <f t="shared" si="3"/>
        <v>2463</v>
      </c>
    </row>
    <row r="23">
      <c r="A23" s="501" t="str">
        <f>IFERROR(__xludf.DUMMYFUNCTION("IFERROR(if(ISBLANK(Installment!A23),"""",if(GOOGLEFINANCE(Installment!A23,""Currency"")=""GBX"",""GBP"",GOOGLEFINANCE(Installment!A23,""Currency""))),$F$1)"),"INR")</f>
        <v>INR</v>
      </c>
      <c r="B23" s="501" t="str">
        <f>Installment!A23</f>
        <v>NSE:GREENPOWER</v>
      </c>
      <c r="C23" s="501">
        <f>Installment!B23</f>
        <v>50</v>
      </c>
      <c r="D23" s="502">
        <f>IFERROR(__xludf.DUMMYFUNCTION("if(A23=""GBP"",if(B23="""","""",if(A23=$F$1,Installment!C23,Installment!C23*GOOGLEFINANCE(""Currency:""&amp;A23&amp;""""&amp;$F$1&amp;"""")))/100,if(B23="""","""",if(A23=$F$1,Installment!C23,Installment!C23*GOOGLEFINANCE(""Currency:""&amp;A23&amp;""""&amp;$F$1&amp;""""))))"),9.6)</f>
        <v>9.6</v>
      </c>
      <c r="E23" s="502">
        <f>IFERROR(__xludf.DUMMYFUNCTION("if(A23=""GBP"",if(B23="""","""",if(A23=$F$1,Installment!H23,Installment!H23*GOOGLEFINANCE(""Currency:""&amp;A23&amp;""""&amp;$F$1&amp;"""")))/100,if(B23="""","""",if(A23=$F$1,Installment!H23,Installment!H23*GOOGLEFINANCE(""Currency:""&amp;A23&amp;""""&amp;$F$1&amp;""""))))"),10.27)</f>
        <v>10.27</v>
      </c>
      <c r="F23" s="502">
        <f>IFERROR(__xludf.DUMMYFUNCTION("if(A23=""GBP"",if(B23="""","""",if(A23=$F$1,Installment!I23,Installment!I23*GOOGLEFINANCE(""Currency:""&amp;A23&amp;""""&amp;$F$1&amp;"""")))/100,if(B23="""","""",if(A23=$F$1,Installment!I23,Installment!I23*GOOGLEFINANCE(""Currency:""&amp;A23&amp;""""&amp;$F$1&amp;""""))))"),33.5)</f>
        <v>33.5</v>
      </c>
      <c r="G23" s="502">
        <f t="shared" si="1"/>
        <v>480</v>
      </c>
      <c r="H23" s="502">
        <f t="shared" si="2"/>
        <v>513.5</v>
      </c>
      <c r="I23" s="502">
        <f t="shared" si="3"/>
        <v>33.5</v>
      </c>
    </row>
    <row r="24">
      <c r="A24" s="501" t="str">
        <f>IFERROR(__xludf.DUMMYFUNCTION("IFERROR(if(ISBLANK(Installment!A24),"""",if(GOOGLEFINANCE(Installment!A24,""Currency"")=""GBX"",""GBP"",GOOGLEFINANCE(Installment!A24,""Currency""))),$F$1)"),"INR")</f>
        <v>INR</v>
      </c>
      <c r="B24" s="501" t="str">
        <f>Installment!A24</f>
        <v>NSE:GVKPIL</v>
      </c>
      <c r="C24" s="501">
        <f>Installment!B24</f>
        <v>880</v>
      </c>
      <c r="D24" s="502">
        <f>IFERROR(__xludf.DUMMYFUNCTION("if(A24=""GBP"",if(B24="""","""",if(A24=$F$1,Installment!C24,Installment!C24*GOOGLEFINANCE(""Currency:""&amp;A24&amp;""""&amp;$F$1&amp;"""")))/100,if(B24="""","""",if(A24=$F$1,Installment!C24,Installment!C24*GOOGLEFINANCE(""Currency:""&amp;A24&amp;""""&amp;$F$1&amp;""""))))"),10.654545454545454)</f>
        <v>10.65454545</v>
      </c>
      <c r="E24" s="502">
        <f>IFERROR(__xludf.DUMMYFUNCTION("if(A24=""GBP"",if(B24="""","""",if(A24=$F$1,Installment!H24,Installment!H24*GOOGLEFINANCE(""Currency:""&amp;A24&amp;""""&amp;$F$1&amp;"""")))/100,if(B24="""","""",if(A24=$F$1,Installment!H24,Installment!H24*GOOGLEFINANCE(""Currency:""&amp;A24&amp;""""&amp;$F$1&amp;""""))))"),2.61)</f>
        <v>2.61</v>
      </c>
      <c r="F24" s="502">
        <f>IFERROR(__xludf.DUMMYFUNCTION("if(A24=""GBP"",if(B24="""","""",if(A24=$F$1,Installment!I24,Installment!I24*GOOGLEFINANCE(""Currency:""&amp;A24&amp;""""&amp;$F$1&amp;"""")))/100,if(B24="""","""",if(A24=$F$1,Installment!I24,Installment!I24*GOOGLEFINANCE(""Currency:""&amp;A24&amp;""""&amp;$F$1&amp;""""))))"),-7079.200000000001)</f>
        <v>-7079.2</v>
      </c>
      <c r="G24" s="502">
        <f t="shared" si="1"/>
        <v>9376</v>
      </c>
      <c r="H24" s="502">
        <f t="shared" si="2"/>
        <v>2296.8</v>
      </c>
      <c r="I24" s="502">
        <f t="shared" si="3"/>
        <v>-7079.2</v>
      </c>
    </row>
    <row r="25">
      <c r="A25" s="501" t="str">
        <f>IFERROR(__xludf.DUMMYFUNCTION("IFERROR(if(ISBLANK(Installment!A25),"""",if(GOOGLEFINANCE(Installment!A25,""Currency"")=""GBX"",""GBP"",GOOGLEFINANCE(Installment!A25,""Currency""))),$F$1)"),"INR")</f>
        <v>INR</v>
      </c>
      <c r="B25" s="501" t="str">
        <f>Installment!A25</f>
        <v>NSE:HAPPSTMNDS</v>
      </c>
      <c r="C25" s="501">
        <f>Installment!B25</f>
        <v>2</v>
      </c>
      <c r="D25" s="502">
        <f>IFERROR(__xludf.DUMMYFUNCTION("if(A25=""GBP"",if(B25="""","""",if(A25=$F$1,Installment!C25,Installment!C25*GOOGLEFINANCE(""Currency:""&amp;A25&amp;""""&amp;$F$1&amp;"""")))/100,if(B25="""","""",if(A25=$F$1,Installment!C25,Installment!C25*GOOGLEFINANCE(""Currency:""&amp;A25&amp;""""&amp;$F$1&amp;""""))))"),1258.0)</f>
        <v>1258</v>
      </c>
      <c r="E25" s="502">
        <f>IFERROR(__xludf.DUMMYFUNCTION("if(A25=""GBP"",if(B25="""","""",if(A25=$F$1,Installment!H25,Installment!H25*GOOGLEFINANCE(""Currency:""&amp;A25&amp;""""&amp;$F$1&amp;"""")))/100,if(B25="""","""",if(A25=$F$1,Installment!H25,Installment!H25*GOOGLEFINANCE(""Currency:""&amp;A25&amp;""""&amp;$F$1&amp;""""))))"),349.5)</f>
        <v>349.5</v>
      </c>
      <c r="F25" s="502">
        <f>IFERROR(__xludf.DUMMYFUNCTION("if(A25=""GBP"",if(B25="""","""",if(A25=$F$1,Installment!I25,Installment!I25*GOOGLEFINANCE(""Currency:""&amp;A25&amp;""""&amp;$F$1&amp;"""")))/100,if(B25="""","""",if(A25=$F$1,Installment!I25,Installment!I25*GOOGLEFINANCE(""Currency:""&amp;A25&amp;""""&amp;$F$1&amp;""""))))"),-1817.0)</f>
        <v>-1817</v>
      </c>
      <c r="G25" s="502">
        <f t="shared" si="1"/>
        <v>2516</v>
      </c>
      <c r="H25" s="502">
        <f t="shared" si="2"/>
        <v>699</v>
      </c>
      <c r="I25" s="502">
        <f t="shared" si="3"/>
        <v>-1817</v>
      </c>
    </row>
    <row r="26">
      <c r="A26" s="501" t="str">
        <f>IFERROR(__xludf.DUMMYFUNCTION("IFERROR(if(ISBLANK(Installment!A26),"""",if(GOOGLEFINANCE(Installment!A26,""Currency"")=""GBX"",""GBP"",GOOGLEFINANCE(Installment!A26,""Currency""))),$F$1)"),"INR")</f>
        <v>INR</v>
      </c>
      <c r="B26" s="501" t="str">
        <f>Installment!A26</f>
        <v>NSE:HCLTECH</v>
      </c>
      <c r="C26" s="501">
        <f>Installment!B26</f>
        <v>3</v>
      </c>
      <c r="D26" s="502">
        <f>IFERROR(__xludf.DUMMYFUNCTION("if(A26=""GBP"",if(B26="""","""",if(A26=$F$1,Installment!C26,Installment!C26*GOOGLEFINANCE(""Currency:""&amp;A26&amp;""""&amp;$F$1&amp;"""")))/100,if(B26="""","""",if(A26=$F$1,Installment!C26,Installment!C26*GOOGLEFINANCE(""Currency:""&amp;A26&amp;""""&amp;$F$1&amp;""""))))"),1226.0666666666666)</f>
        <v>1226.066667</v>
      </c>
      <c r="E26" s="502">
        <f>IFERROR(__xludf.DUMMYFUNCTION("if(A26=""GBP"",if(B26="""","""",if(A26=$F$1,Installment!H26,Installment!H26*GOOGLEFINANCE(""Currency:""&amp;A26&amp;""""&amp;$F$1&amp;"""")))/100,if(B26="""","""",if(A26=$F$1,Installment!H26,Installment!H26*GOOGLEFINANCE(""Currency:""&amp;A26&amp;""""&amp;$F$1&amp;""""))))"),1170.0)</f>
        <v>1170</v>
      </c>
      <c r="F26" s="502">
        <f>IFERROR(__xludf.DUMMYFUNCTION("if(A26=""GBP"",if(B26="""","""",if(A26=$F$1,Installment!I26,Installment!I26*GOOGLEFINANCE(""Currency:""&amp;A26&amp;""""&amp;$F$1&amp;"""")))/100,if(B26="""","""",if(A26=$F$1,Installment!I26,Installment!I26*GOOGLEFINANCE(""Currency:""&amp;A26&amp;""""&amp;$F$1&amp;""""))))"),-168.19999999999982)</f>
        <v>-168.2</v>
      </c>
      <c r="G26" s="502">
        <f t="shared" si="1"/>
        <v>3678.2</v>
      </c>
      <c r="H26" s="502">
        <f t="shared" si="2"/>
        <v>3510</v>
      </c>
      <c r="I26" s="502">
        <f t="shared" si="3"/>
        <v>-168.2</v>
      </c>
    </row>
    <row r="27">
      <c r="A27" s="501" t="str">
        <f>IFERROR(__xludf.DUMMYFUNCTION("IFERROR(if(ISBLANK(Installment!A27),"""",if(GOOGLEFINANCE(Installment!A27,""Currency"")=""GBX"",""GBP"",GOOGLEFINANCE(Installment!A27,""Currency""))),$F$1)"),"INR")</f>
        <v>INR</v>
      </c>
      <c r="B27" s="501" t="str">
        <f>Installment!A27</f>
        <v>NSE:HDFCBANK</v>
      </c>
      <c r="C27" s="501">
        <f>Installment!B27</f>
        <v>2</v>
      </c>
      <c r="D27" s="502">
        <f>IFERROR(__xludf.DUMMYFUNCTION("if(A27=""GBP"",if(B27="""","""",if(A27=$F$1,Installment!C27,Installment!C27*GOOGLEFINANCE(""Currency:""&amp;A27&amp;""""&amp;$F$1&amp;"""")))/100,if(B27="""","""",if(A27=$F$1,Installment!C27,Installment!C27*GOOGLEFINANCE(""Currency:""&amp;A27&amp;""""&amp;$F$1&amp;""""))))"),1461.37)</f>
        <v>1461.37</v>
      </c>
      <c r="E27" s="502">
        <f>IFERROR(__xludf.DUMMYFUNCTION("if(A27=""GBP"",if(B27="""","""",if(A27=$F$1,Installment!H27,Installment!H27*GOOGLEFINANCE(""Currency:""&amp;A27&amp;""""&amp;$F$1&amp;"""")))/100,if(B27="""","""",if(A27=$F$1,Installment!H27,Installment!H27*GOOGLEFINANCE(""Currency:""&amp;A27&amp;""""&amp;$F$1&amp;""""))))"),827.5)</f>
        <v>827.5</v>
      </c>
      <c r="F27" s="502">
        <f>IFERROR(__xludf.DUMMYFUNCTION("if(A27=""GBP"",if(B27="""","""",if(A27=$F$1,Installment!I27,Installment!I27*GOOGLEFINANCE(""Currency:""&amp;A27&amp;""""&amp;$F$1&amp;"""")))/100,if(B27="""","""",if(A27=$F$1,Installment!I27,Installment!I27*GOOGLEFINANCE(""Currency:""&amp;A27&amp;""""&amp;$F$1&amp;""""))))"),-1267.7399999999998)</f>
        <v>-1267.74</v>
      </c>
      <c r="G27" s="502">
        <f t="shared" si="1"/>
        <v>2922.74</v>
      </c>
      <c r="H27" s="502">
        <f t="shared" si="2"/>
        <v>1655</v>
      </c>
      <c r="I27" s="502">
        <f t="shared" si="3"/>
        <v>-1267.74</v>
      </c>
    </row>
    <row r="28">
      <c r="A28" s="501" t="str">
        <f>IFERROR(__xludf.DUMMYFUNCTION("IFERROR(if(ISBLANK(Installment!A28),"""",if(GOOGLEFINANCE(Installment!A28,""Currency"")=""GBX"",""GBP"",GOOGLEFINANCE(Installment!A28,""Currency""))),$F$1)"),"INR")</f>
        <v>INR</v>
      </c>
      <c r="B28" s="501" t="str">
        <f>Installment!A28</f>
        <v>NSE:HDFCLIFE</v>
      </c>
      <c r="C28" s="501">
        <f>Installment!B28</f>
        <v>6</v>
      </c>
      <c r="D28" s="502">
        <f>IFERROR(__xludf.DUMMYFUNCTION("if(A28=""GBP"",if(B28="""","""",if(A28=$F$1,Installment!C28,Installment!C28*GOOGLEFINANCE(""Currency:""&amp;A28&amp;""""&amp;$F$1&amp;"""")))/100,if(B28="""","""",if(A28=$F$1,Installment!C28,Installment!C28*GOOGLEFINANCE(""Currency:""&amp;A28&amp;""""&amp;$F$1&amp;""""))))"),585.9833333333333)</f>
        <v>585.9833333</v>
      </c>
      <c r="E28" s="502">
        <f>IFERROR(__xludf.DUMMYFUNCTION("if(A28=""GBP"",if(B28="""","""",if(A28=$F$1,Installment!H28,Installment!H28*GOOGLEFINANCE(""Currency:""&amp;A28&amp;""""&amp;$F$1&amp;"""")))/100,if(B28="""","""",if(A28=$F$1,Installment!H28,Installment!H28*GOOGLEFINANCE(""Currency:""&amp;A28&amp;""""&amp;$F$1&amp;""""))))"),572.75)</f>
        <v>572.75</v>
      </c>
      <c r="F28" s="502">
        <f>IFERROR(__xludf.DUMMYFUNCTION("if(A28=""GBP"",if(B28="""","""",if(A28=$F$1,Installment!I28,Installment!I28*GOOGLEFINANCE(""Currency:""&amp;A28&amp;""""&amp;$F$1&amp;"""")))/100,if(B28="""","""",if(A28=$F$1,Installment!I28,Installment!I28*GOOGLEFINANCE(""Currency:""&amp;A28&amp;""""&amp;$F$1&amp;""""))))"),-79.40000000000009)</f>
        <v>-79.4</v>
      </c>
      <c r="G28" s="502">
        <f t="shared" si="1"/>
        <v>3515.9</v>
      </c>
      <c r="H28" s="502">
        <f t="shared" si="2"/>
        <v>3436.5</v>
      </c>
      <c r="I28" s="502">
        <f t="shared" si="3"/>
        <v>-79.4</v>
      </c>
    </row>
    <row r="29">
      <c r="A29" s="501" t="str">
        <f>IFERROR(__xludf.DUMMYFUNCTION("IFERROR(if(ISBLANK(Installment!A29),"""",if(GOOGLEFINANCE(Installment!A29,""Currency"")=""GBX"",""GBP"",GOOGLEFINANCE(Installment!A29,""Currency""))),$F$1)"),"INR")</f>
        <v>INR</v>
      </c>
      <c r="B29" s="501" t="str">
        <f>Installment!A29</f>
        <v>NSE:HINDUNILVR</v>
      </c>
      <c r="C29" s="501">
        <f>Installment!B29</f>
        <v>3</v>
      </c>
      <c r="D29" s="502">
        <f>IFERROR(__xludf.DUMMYFUNCTION("if(A29=""GBP"",if(B29="""","""",if(A29=$F$1,Installment!C29,Installment!C29*GOOGLEFINANCE(""Currency:""&amp;A29&amp;""""&amp;$F$1&amp;"""")))/100,if(B29="""","""",if(A29=$F$1,Installment!C29,Installment!C29*GOOGLEFINANCE(""Currency:""&amp;A29&amp;""""&amp;$F$1&amp;""""))))"),2372.1)</f>
        <v>2372.1</v>
      </c>
      <c r="E29" s="502">
        <f>IFERROR(__xludf.DUMMYFUNCTION("if(A29=""GBP"",if(B29="""","""",if(A29=$F$1,Installment!H29,Installment!H29*GOOGLEFINANCE(""Currency:""&amp;A29&amp;""""&amp;$F$1&amp;"""")))/100,if(B29="""","""",if(A29=$F$1,Installment!H29,Installment!H29*GOOGLEFINANCE(""Currency:""&amp;A29&amp;""""&amp;$F$1&amp;""""))))"),2203.1)</f>
        <v>2203.1</v>
      </c>
      <c r="F29" s="502">
        <f>IFERROR(__xludf.DUMMYFUNCTION("if(A29=""GBP"",if(B29="""","""",if(A29=$F$1,Installment!I29,Installment!I29*GOOGLEFINANCE(""Currency:""&amp;A29&amp;""""&amp;$F$1&amp;"""")))/100,if(B29="""","""",if(A29=$F$1,Installment!I29,Installment!I29*GOOGLEFINANCE(""Currency:""&amp;A29&amp;""""&amp;$F$1&amp;""""))))"),-507.0)</f>
        <v>-507</v>
      </c>
      <c r="G29" s="502">
        <f t="shared" si="1"/>
        <v>7116.3</v>
      </c>
      <c r="H29" s="502">
        <f t="shared" si="2"/>
        <v>6609.3</v>
      </c>
      <c r="I29" s="502">
        <f t="shared" si="3"/>
        <v>-507</v>
      </c>
    </row>
    <row r="30">
      <c r="A30" s="501" t="str">
        <f>IFERROR(__xludf.DUMMYFUNCTION("IFERROR(if(ISBLANK(Installment!A30),"""",if(GOOGLEFINANCE(Installment!A30,""Currency"")=""GBX"",""GBP"",GOOGLEFINANCE(Installment!A30,""Currency""))),$F$1)"),"INR")</f>
        <v>INR</v>
      </c>
      <c r="B30" s="501" t="str">
        <f>Installment!A30</f>
        <v>NSE:HLEGLAS</v>
      </c>
      <c r="C30" s="501">
        <f>Installment!B30</f>
        <v>10</v>
      </c>
      <c r="D30" s="502">
        <f>IFERROR(__xludf.DUMMYFUNCTION("if(A30=""GBP"",if(B30="""","""",if(A30=$F$1,Installment!C30,Installment!C30*GOOGLEFINANCE(""Currency:""&amp;A30&amp;""""&amp;$F$1&amp;"""")))/100,if(B30="""","""",if(A30=$F$1,Installment!C30,Installment!C30*GOOGLEFINANCE(""Currency:""&amp;A30&amp;""""&amp;$F$1&amp;""""))))"),519.9300000000001)</f>
        <v>519.93</v>
      </c>
      <c r="E30" s="502">
        <f>IFERROR(__xludf.DUMMYFUNCTION("if(A30=""GBP"",if(B30="""","""",if(A30=$F$1,Installment!H30,Installment!H30*GOOGLEFINANCE(""Currency:""&amp;A30&amp;""""&amp;$F$1&amp;"""")))/100,if(B30="""","""",if(A30=$F$1,Installment!H30,Installment!H30*GOOGLEFINANCE(""Currency:""&amp;A30&amp;""""&amp;$F$1&amp;""""))))"),404.0)</f>
        <v>404</v>
      </c>
      <c r="F30" s="502">
        <f>IFERROR(__xludf.DUMMYFUNCTION("if(A30=""GBP"",if(B30="""","""",if(A30=$F$1,Installment!I30,Installment!I30*GOOGLEFINANCE(""Currency:""&amp;A30&amp;""""&amp;$F$1&amp;"""")))/100,if(B30="""","""",if(A30=$F$1,Installment!I30,Installment!I30*GOOGLEFINANCE(""Currency:""&amp;A30&amp;""""&amp;$F$1&amp;""""))))"),-1159.300000000001)</f>
        <v>-1159.3</v>
      </c>
      <c r="G30" s="502">
        <f t="shared" si="1"/>
        <v>5199.3</v>
      </c>
      <c r="H30" s="502">
        <f t="shared" si="2"/>
        <v>4040</v>
      </c>
      <c r="I30" s="502">
        <f t="shared" si="3"/>
        <v>-1159.3</v>
      </c>
    </row>
    <row r="31">
      <c r="A31" s="501" t="str">
        <f>IFERROR(__xludf.DUMMYFUNCTION("IFERROR(if(ISBLANK(Installment!A31),"""",if(GOOGLEFINANCE(Installment!A31,""Currency"")=""GBX"",""GBP"",GOOGLEFINANCE(Installment!A31,""Currency""))),$F$1)"),"INR")</f>
        <v>INR</v>
      </c>
      <c r="B31" s="501" t="str">
        <f>Installment!A31</f>
        <v>NSE:HNDFDS</v>
      </c>
      <c r="C31" s="501">
        <f>Installment!B31</f>
        <v>10</v>
      </c>
      <c r="D31" s="502">
        <f>IFERROR(__xludf.DUMMYFUNCTION("if(A31=""GBP"",if(B31="""","""",if(A31=$F$1,Installment!C31,Installment!C31*GOOGLEFINANCE(""Currency:""&amp;A31&amp;""""&amp;$F$1&amp;"""")))/100,if(B31="""","""",if(A31=$F$1,Installment!C31,Installment!C31*GOOGLEFINANCE(""Currency:""&amp;A31&amp;""""&amp;$F$1&amp;""""))))"),408.2)</f>
        <v>408.2</v>
      </c>
      <c r="E31" s="502">
        <f>IFERROR(__xludf.DUMMYFUNCTION("if(A31=""GBP"",if(B31="""","""",if(A31=$F$1,Installment!H31,Installment!H31*GOOGLEFINANCE(""Currency:""&amp;A31&amp;""""&amp;$F$1&amp;"""")))/100,if(B31="""","""",if(A31=$F$1,Installment!H31,Installment!H31*GOOGLEFINANCE(""Currency:""&amp;A31&amp;""""&amp;$F$1&amp;""""))))"),540.0)</f>
        <v>540</v>
      </c>
      <c r="F31" s="502">
        <f>IFERROR(__xludf.DUMMYFUNCTION("if(A31=""GBP"",if(B31="""","""",if(A31=$F$1,Installment!I31,Installment!I31*GOOGLEFINANCE(""Currency:""&amp;A31&amp;""""&amp;$F$1&amp;"""")))/100,if(B31="""","""",if(A31=$F$1,Installment!I31,Installment!I31*GOOGLEFINANCE(""Currency:""&amp;A31&amp;""""&amp;$F$1&amp;""""))))"),1318.0)</f>
        <v>1318</v>
      </c>
      <c r="G31" s="502">
        <f t="shared" si="1"/>
        <v>4082</v>
      </c>
      <c r="H31" s="502">
        <f t="shared" si="2"/>
        <v>5400</v>
      </c>
      <c r="I31" s="502">
        <f t="shared" si="3"/>
        <v>1318</v>
      </c>
    </row>
    <row r="32">
      <c r="A32" s="501" t="str">
        <f>IFERROR(__xludf.DUMMYFUNCTION("IFERROR(if(ISBLANK(Installment!A32),"""",if(GOOGLEFINANCE(Installment!A32,""Currency"")=""GBX"",""GBP"",GOOGLEFINANCE(Installment!A32,""Currency""))),$F$1)"),"INR")</f>
        <v>INR</v>
      </c>
      <c r="B32" s="501" t="str">
        <f>Installment!A32</f>
        <v>NSE:IEX</v>
      </c>
      <c r="C32" s="501">
        <f>Installment!B32</f>
        <v>3</v>
      </c>
      <c r="D32" s="502">
        <f>IFERROR(__xludf.DUMMYFUNCTION("if(A32=""GBP"",if(B32="""","""",if(A32=$F$1,Installment!C32,Installment!C32*GOOGLEFINANCE(""Currency:""&amp;A32&amp;""""&amp;$F$1&amp;"""")))/100,if(B32="""","""",if(A32=$F$1,Installment!C32,Installment!C32*GOOGLEFINANCE(""Currency:""&amp;A32&amp;""""&amp;$F$1&amp;""""))))"),267.6667)</f>
        <v>267.6667</v>
      </c>
      <c r="E32" s="502">
        <f>IFERROR(__xludf.DUMMYFUNCTION("if(A32=""GBP"",if(B32="""","""",if(A32=$F$1,Installment!H32,Installment!H32*GOOGLEFINANCE(""Currency:""&amp;A32&amp;""""&amp;$F$1&amp;"""")))/100,if(B32="""","""",if(A32=$F$1,Installment!H32,Installment!H32*GOOGLEFINANCE(""Currency:""&amp;A32&amp;""""&amp;$F$1&amp;""""))))"),122.44)</f>
        <v>122.44</v>
      </c>
      <c r="F32" s="502">
        <f>IFERROR(__xludf.DUMMYFUNCTION("if(A32=""GBP"",if(B32="""","""",if(A32=$F$1,Installment!I32,Installment!I32*GOOGLEFINANCE(""Currency:""&amp;A32&amp;""""&amp;$F$1&amp;"""")))/100,if(B32="""","""",if(A32=$F$1,Installment!I32,Installment!I32*GOOGLEFINANCE(""Currency:""&amp;A32&amp;""""&amp;$F$1&amp;""""))))"),-435.6801)</f>
        <v>-435.6801</v>
      </c>
      <c r="G32" s="502">
        <f t="shared" si="1"/>
        <v>803.0001</v>
      </c>
      <c r="H32" s="502">
        <f t="shared" si="2"/>
        <v>367.32</v>
      </c>
      <c r="I32" s="502">
        <f t="shared" si="3"/>
        <v>-435.6801</v>
      </c>
    </row>
    <row r="33">
      <c r="A33" s="501" t="str">
        <f>IFERROR(__xludf.DUMMYFUNCTION("IFERROR(if(ISBLANK(Installment!A33),"""",if(GOOGLEFINANCE(Installment!A33,""Currency"")=""GBX"",""GBP"",GOOGLEFINANCE(Installment!A33,""Currency""))),$F$1)"),"INR")</f>
        <v>INR</v>
      </c>
      <c r="B33" s="501" t="str">
        <f>Installment!A33</f>
        <v>NSE:INFY</v>
      </c>
      <c r="C33" s="501">
        <f>Installment!B33</f>
        <v>6</v>
      </c>
      <c r="D33" s="502">
        <f>IFERROR(__xludf.DUMMYFUNCTION("if(A33=""GBP"",if(B33="""","""",if(A33=$F$1,Installment!C33,Installment!C33*GOOGLEFINANCE(""Currency:""&amp;A33&amp;""""&amp;$F$1&amp;"""")))/100,if(B33="""","""",if(A33=$F$1,Installment!C33,Installment!C33*GOOGLEFINANCE(""Currency:""&amp;A33&amp;""""&amp;$F$1&amp;""""))))"),1386.825)</f>
        <v>1386.825</v>
      </c>
      <c r="E33" s="502">
        <f>IFERROR(__xludf.DUMMYFUNCTION("if(A33=""GBP"",if(B33="""","""",if(A33=$F$1,Installment!H33,Installment!H33*GOOGLEFINANCE(""Currency:""&amp;A33&amp;""""&amp;$F$1&amp;"""")))/100,if(B33="""","""",if(A33=$F$1,Installment!H33,Installment!H33*GOOGLEFINANCE(""Currency:""&amp;A33&amp;""""&amp;$F$1&amp;""""))))"),1071.9)</f>
        <v>1071.9</v>
      </c>
      <c r="F33" s="502">
        <f>IFERROR(__xludf.DUMMYFUNCTION("if(A33=""GBP"",if(B33="""","""",if(A33=$F$1,Installment!I33,Installment!I33*GOOGLEFINANCE(""Currency:""&amp;A33&amp;""""&amp;$F$1&amp;"""")))/100,if(B33="""","""",if(A33=$F$1,Installment!I33,Installment!I33*GOOGLEFINANCE(""Currency:""&amp;A33&amp;""""&amp;$F$1&amp;""""))))"),-1889.5500000000002)</f>
        <v>-1889.55</v>
      </c>
      <c r="G33" s="502">
        <f t="shared" si="1"/>
        <v>8320.95</v>
      </c>
      <c r="H33" s="502">
        <f t="shared" si="2"/>
        <v>6431.4</v>
      </c>
      <c r="I33" s="502">
        <f t="shared" si="3"/>
        <v>-1889.55</v>
      </c>
    </row>
    <row r="34">
      <c r="A34" s="501" t="str">
        <f>IFERROR(__xludf.DUMMYFUNCTION("IFERROR(if(ISBLANK(Installment!A34),"""",if(GOOGLEFINANCE(Installment!A34,""Currency"")=""GBX"",""GBP"",GOOGLEFINANCE(Installment!A34,""Currency""))),$F$1)"),"INR")</f>
        <v>INR</v>
      </c>
      <c r="B34" s="501" t="str">
        <f>Installment!A34</f>
        <v>NSE:IPL</v>
      </c>
      <c r="C34" s="501">
        <f>Installment!B34</f>
        <v>3</v>
      </c>
      <c r="D34" s="502">
        <f>IFERROR(__xludf.DUMMYFUNCTION("if(A34=""GBP"",if(B34="""","""",if(A34=$F$1,Installment!C34,Installment!C34*GOOGLEFINANCE(""Currency:""&amp;A34&amp;""""&amp;$F$1&amp;"""")))/100,if(B34="""","""",if(A34=$F$1,Installment!C34,Installment!C34*GOOGLEFINANCE(""Currency:""&amp;A34&amp;""""&amp;$F$1&amp;""""))))"),252.0)</f>
        <v>252</v>
      </c>
      <c r="E34" s="502">
        <f>IFERROR(__xludf.DUMMYFUNCTION("if(A34=""GBP"",if(B34="""","""",if(A34=$F$1,Installment!H34,Installment!H34*GOOGLEFINANCE(""Currency:""&amp;A34&amp;""""&amp;$F$1&amp;"""")))/100,if(B34="""","""",if(A34=$F$1,Installment!H34,Installment!H34*GOOGLEFINANCE(""Currency:""&amp;A34&amp;""""&amp;$F$1&amp;""""))))"),158.5)</f>
        <v>158.5</v>
      </c>
      <c r="F34" s="502">
        <f>IFERROR(__xludf.DUMMYFUNCTION("if(A34=""GBP"",if(B34="""","""",if(A34=$F$1,Installment!I34,Installment!I34*GOOGLEFINANCE(""Currency:""&amp;A34&amp;""""&amp;$F$1&amp;"""")))/100,if(B34="""","""",if(A34=$F$1,Installment!I34,Installment!I34*GOOGLEFINANCE(""Currency:""&amp;A34&amp;""""&amp;$F$1&amp;""""))))"),-280.5)</f>
        <v>-280.5</v>
      </c>
      <c r="G34" s="502">
        <f t="shared" si="1"/>
        <v>756</v>
      </c>
      <c r="H34" s="502">
        <f t="shared" si="2"/>
        <v>475.5</v>
      </c>
      <c r="I34" s="502">
        <f t="shared" si="3"/>
        <v>-280.5</v>
      </c>
    </row>
    <row r="35">
      <c r="A35" s="501" t="str">
        <f>IFERROR(__xludf.DUMMYFUNCTION("IFERROR(if(ISBLANK(Installment!A35),"""",if(GOOGLEFINANCE(Installment!A35,""Currency"")=""GBX"",""GBP"",GOOGLEFINANCE(Installment!A35,""Currency""))),$F$1)"),"INR")</f>
        <v>INR</v>
      </c>
      <c r="B35" s="501" t="str">
        <f>Installment!A35</f>
        <v>NSE:IRCON</v>
      </c>
      <c r="C35" s="501">
        <f>Installment!B35</f>
        <v>90</v>
      </c>
      <c r="D35" s="502">
        <f>IFERROR(__xludf.DUMMYFUNCTION("if(A35=""GBP"",if(B35="""","""",if(A35=$F$1,Installment!C35,Installment!C35*GOOGLEFINANCE(""Currency:""&amp;A35&amp;""""&amp;$F$1&amp;"""")))/100,if(B35="""","""",if(A35=$F$1,Installment!C35,Installment!C35*GOOGLEFINANCE(""Currency:""&amp;A35&amp;""""&amp;$F$1&amp;""""))))"),175.95555555555555)</f>
        <v>175.9555556</v>
      </c>
      <c r="E35" s="502">
        <f>IFERROR(__xludf.DUMMYFUNCTION("if(A35=""GBP"",if(B35="""","""",if(A35=$F$1,Installment!H35,Installment!H35*GOOGLEFINANCE(""Currency:""&amp;A35&amp;""""&amp;$F$1&amp;"""")))/100,if(B35="""","""",if(A35=$F$1,Installment!H35,Installment!H35*GOOGLEFINANCE(""Currency:""&amp;A35&amp;""""&amp;$F$1&amp;""""))))"),133.03)</f>
        <v>133.03</v>
      </c>
      <c r="F35" s="502">
        <f>IFERROR(__xludf.DUMMYFUNCTION("if(A35=""GBP"",if(B35="""","""",if(A35=$F$1,Installment!I35,Installment!I35*GOOGLEFINANCE(""Currency:""&amp;A35&amp;""""&amp;$F$1&amp;"""")))/100,if(B35="""","""",if(A35=$F$1,Installment!I35,Installment!I35*GOOGLEFINANCE(""Currency:""&amp;A35&amp;""""&amp;$F$1&amp;""""))))"),-3863.2999999999993)</f>
        <v>-3863.3</v>
      </c>
      <c r="G35" s="502">
        <f t="shared" si="1"/>
        <v>15836</v>
      </c>
      <c r="H35" s="502">
        <f t="shared" si="2"/>
        <v>11972.7</v>
      </c>
      <c r="I35" s="502">
        <f t="shared" si="3"/>
        <v>-3863.3</v>
      </c>
    </row>
    <row r="36">
      <c r="A36" s="501" t="str">
        <f>IFERROR(__xludf.DUMMYFUNCTION("IFERROR(if(ISBLANK(Installment!A36),"""",if(GOOGLEFINANCE(Installment!A36,""Currency"")=""GBX"",""GBP"",GOOGLEFINANCE(Installment!A36,""Currency""))),$F$1)"),"INR")</f>
        <v>INR</v>
      </c>
      <c r="B36" s="501" t="str">
        <f>Installment!A36</f>
        <v>NSE:IRCTC</v>
      </c>
      <c r="C36" s="501">
        <f>Installment!B36</f>
        <v>12</v>
      </c>
      <c r="D36" s="502">
        <f>IFERROR(__xludf.DUMMYFUNCTION("if(A36=""GBP"",if(B36="""","""",if(A36=$F$1,Installment!C36,Installment!C36*GOOGLEFINANCE(""Currency:""&amp;A36&amp;""""&amp;$F$1&amp;"""")))/100,if(B36="""","""",if(A36=$F$1,Installment!C36,Installment!C36*GOOGLEFINANCE(""Currency:""&amp;A36&amp;""""&amp;$F$1&amp;""""))))"),873.6333333333333)</f>
        <v>873.6333333</v>
      </c>
      <c r="E36" s="502">
        <f>IFERROR(__xludf.DUMMYFUNCTION("if(A36=""GBP"",if(B36="""","""",if(A36=$F$1,Installment!H36,Installment!H36*GOOGLEFINANCE(""Currency:""&amp;A36&amp;""""&amp;$F$1&amp;"""")))/100,if(B36="""","""",if(A36=$F$1,Installment!H36,Installment!H36*GOOGLEFINANCE(""Currency:""&amp;A36&amp;""""&amp;$F$1&amp;""""))))"),501.65)</f>
        <v>501.65</v>
      </c>
      <c r="F36" s="502">
        <f>IFERROR(__xludf.DUMMYFUNCTION("if(A36=""GBP"",if(B36="""","""",if(A36=$F$1,Installment!I36,Installment!I36*GOOGLEFINANCE(""Currency:""&amp;A36&amp;""""&amp;$F$1&amp;"""")))/100,if(B36="""","""",if(A36=$F$1,Installment!I36,Installment!I36*GOOGLEFINANCE(""Currency:""&amp;A36&amp;""""&amp;$F$1&amp;""""))))"),-4463.800000000001)</f>
        <v>-4463.8</v>
      </c>
      <c r="G36" s="502">
        <f t="shared" si="1"/>
        <v>10483.6</v>
      </c>
      <c r="H36" s="502">
        <f t="shared" si="2"/>
        <v>6019.8</v>
      </c>
      <c r="I36" s="502">
        <f t="shared" si="3"/>
        <v>-4463.8</v>
      </c>
    </row>
    <row r="37">
      <c r="A37" s="501" t="str">
        <f>IFERROR(__xludf.DUMMYFUNCTION("IFERROR(if(ISBLANK(Installment!A37),"""",if(GOOGLEFINANCE(Installment!A37,""Currency"")=""GBX"",""GBP"",GOOGLEFINANCE(Installment!A37,""Currency""))),$F$1)"),"INR")</f>
        <v>INR</v>
      </c>
      <c r="B37" s="501" t="str">
        <f>Installment!A37</f>
        <v>NSE:IRFC</v>
      </c>
      <c r="C37" s="501">
        <f>Installment!B37</f>
        <v>330</v>
      </c>
      <c r="D37" s="502">
        <f>IFERROR(__xludf.DUMMYFUNCTION("if(A37=""GBP"",if(B37="""","""",if(A37=$F$1,Installment!C37,Installment!C37*GOOGLEFINANCE(""Currency:""&amp;A37&amp;""""&amp;$F$1&amp;"""")))/100,if(B37="""","""",if(A37=$F$1,Installment!C37,Installment!C37*GOOGLEFINANCE(""Currency:""&amp;A37&amp;""""&amp;$F$1&amp;""""))))"),68.972)</f>
        <v>68.972</v>
      </c>
      <c r="E37" s="502">
        <f>IFERROR(__xludf.DUMMYFUNCTION("if(A37=""GBP"",if(B37="""","""",if(A37=$F$1,Installment!H37,Installment!H37*GOOGLEFINANCE(""Currency:""&amp;A37&amp;""""&amp;$F$1&amp;"""")))/100,if(B37="""","""",if(A37=$F$1,Installment!H37,Installment!H37*GOOGLEFINANCE(""Currency:""&amp;A37&amp;""""&amp;$F$1&amp;""""))))"),89.9)</f>
        <v>89.9</v>
      </c>
      <c r="F37" s="502">
        <f>IFERROR(__xludf.DUMMYFUNCTION("if(A37=""GBP"",if(B37="""","""",if(A37=$F$1,Installment!I37,Installment!I37*GOOGLEFINANCE(""Currency:""&amp;A37&amp;""""&amp;$F$1&amp;"""")))/100,if(B37="""","""",if(A37=$F$1,Installment!I37,Installment!I37*GOOGLEFINANCE(""Currency:""&amp;A37&amp;""""&amp;$F$1&amp;""""))))"),6906.240000000005)</f>
        <v>6906.24</v>
      </c>
      <c r="G37" s="502">
        <f t="shared" si="1"/>
        <v>22760.76</v>
      </c>
      <c r="H37" s="502">
        <f t="shared" si="2"/>
        <v>29667</v>
      </c>
      <c r="I37" s="502">
        <f t="shared" si="3"/>
        <v>6906.24</v>
      </c>
    </row>
    <row r="38">
      <c r="A38" s="501" t="str">
        <f>IFERROR(__xludf.DUMMYFUNCTION("IFERROR(if(ISBLANK(Installment!A38),"""",if(GOOGLEFINANCE(Installment!A38,""Currency"")=""GBX"",""GBP"",GOOGLEFINANCE(Installment!A38,""Currency""))),$F$1)"),"INR")</f>
        <v>INR</v>
      </c>
      <c r="B38" s="501" t="str">
        <f>Installment!A38</f>
        <v>NSE:JIOFIN</v>
      </c>
      <c r="C38" s="501">
        <f>Installment!B38</f>
        <v>1620</v>
      </c>
      <c r="D38" s="502">
        <f>IFERROR(__xludf.DUMMYFUNCTION("if(A38=""GBP"",if(B38="""","""",if(A38=$F$1,Installment!C38,Installment!C38*GOOGLEFINANCE(""Currency:""&amp;A38&amp;""""&amp;$F$1&amp;"""")))/100,if(B38="""","""",if(A38=$F$1,Installment!C38,Installment!C38*GOOGLEFINANCE(""Currency:""&amp;A38&amp;""""&amp;$F$1&amp;""""))))"),344.25704938271605)</f>
        <v>344.2570494</v>
      </c>
      <c r="E38" s="502">
        <f>IFERROR(__xludf.DUMMYFUNCTION("if(A38=""GBP"",if(B38="""","""",if(A38=$F$1,Installment!H38,Installment!H38*GOOGLEFINANCE(""Currency:""&amp;A38&amp;""""&amp;$F$1&amp;"""")))/100,if(B38="""","""",if(A38=$F$1,Installment!H38,Installment!H38*GOOGLEFINANCE(""Currency:""&amp;A38&amp;""""&amp;$F$1&amp;""""))))"),243.0)</f>
        <v>243</v>
      </c>
      <c r="F38" s="502">
        <f>IFERROR(__xludf.DUMMYFUNCTION("if(A38=""GBP"",if(B38="""","""",if(A38=$F$1,Installment!I38,Installment!I38*GOOGLEFINANCE(""Currency:""&amp;A38&amp;""""&amp;$F$1&amp;"""")))/100,if(B38="""","""",if(A38=$F$1,Installment!I38,Installment!I38*GOOGLEFINANCE(""Currency:""&amp;A38&amp;""""&amp;$F$1&amp;""""))))"),-164036.42000000004)</f>
        <v>-164036.42</v>
      </c>
      <c r="G38" s="502">
        <f t="shared" si="1"/>
        <v>557696.42</v>
      </c>
      <c r="H38" s="502">
        <f t="shared" si="2"/>
        <v>393660</v>
      </c>
      <c r="I38" s="502">
        <f t="shared" si="3"/>
        <v>-164036.42</v>
      </c>
    </row>
    <row r="39">
      <c r="A39" s="501" t="str">
        <f>IFERROR(__xludf.DUMMYFUNCTION("IFERROR(if(ISBLANK(Installment!A39),"""",if(GOOGLEFINANCE(Installment!A39,""Currency"")=""GBX"",""GBP"",GOOGLEFINANCE(Installment!A39,""Currency""))),$F$1)"),"INR")</f>
        <v>INR</v>
      </c>
      <c r="B39" s="501" t="str">
        <f>Installment!A39</f>
        <v>NSE:JUBLFOOD</v>
      </c>
      <c r="C39" s="501">
        <f>Installment!B39</f>
        <v>3</v>
      </c>
      <c r="D39" s="502">
        <f>IFERROR(__xludf.DUMMYFUNCTION("if(A39=""GBP"",if(B39="""","""",if(A39=$F$1,Installment!C39,Installment!C39*GOOGLEFINANCE(""Currency:""&amp;A39&amp;""""&amp;$F$1&amp;"""")))/100,if(B39="""","""",if(A39=$F$1,Installment!C39,Installment!C39*GOOGLEFINANCE(""Currency:""&amp;A39&amp;""""&amp;$F$1&amp;""""))))"),451.0333333333333)</f>
        <v>451.0333333</v>
      </c>
      <c r="E39" s="502">
        <f>IFERROR(__xludf.DUMMYFUNCTION("if(A39=""GBP"",if(B39="""","""",if(A39=$F$1,Installment!H39,Installment!H39*GOOGLEFINANCE(""Currency:""&amp;A39&amp;""""&amp;$F$1&amp;"""")))/100,if(B39="""","""",if(A39=$F$1,Installment!H39,Installment!H39*GOOGLEFINANCE(""Currency:""&amp;A39&amp;""""&amp;$F$1&amp;""""))))"),455.7)</f>
        <v>455.7</v>
      </c>
      <c r="F39" s="502">
        <f>IFERROR(__xludf.DUMMYFUNCTION("if(A39=""GBP"",if(B39="""","""",if(A39=$F$1,Installment!I39,Installment!I39*GOOGLEFINANCE(""Currency:""&amp;A39&amp;""""&amp;$F$1&amp;"""")))/100,if(B39="""","""",if(A39=$F$1,Installment!I39,Installment!I39*GOOGLEFINANCE(""Currency:""&amp;A39&amp;""""&amp;$F$1&amp;""""))))"),14.0)</f>
        <v>14</v>
      </c>
      <c r="G39" s="502">
        <f t="shared" si="1"/>
        <v>1353.1</v>
      </c>
      <c r="H39" s="502">
        <f t="shared" si="2"/>
        <v>1367.1</v>
      </c>
      <c r="I39" s="502">
        <f t="shared" si="3"/>
        <v>14</v>
      </c>
    </row>
    <row r="40">
      <c r="A40" s="501" t="str">
        <f>IFERROR(__xludf.DUMMYFUNCTION("IFERROR(if(ISBLANK(Installment!A40),"""",if(GOOGLEFINANCE(Installment!A40,""Currency"")=""GBX"",""GBP"",GOOGLEFINANCE(Installment!A40,""Currency""))),$F$1)"),"INR")</f>
        <v>INR</v>
      </c>
      <c r="B40" s="501" t="str">
        <f>Installment!A40</f>
        <v>NSE:LATENTVIEW</v>
      </c>
      <c r="C40" s="501">
        <f>Installment!B40</f>
        <v>26</v>
      </c>
      <c r="D40" s="502">
        <f>IFERROR(__xludf.DUMMYFUNCTION("if(A40=""GBP"",if(B40="""","""",if(A40=$F$1,Installment!C40,Installment!C40*GOOGLEFINANCE(""Currency:""&amp;A40&amp;""""&amp;$F$1&amp;"""")))/100,if(B40="""","""",if(A40=$F$1,Installment!C40,Installment!C40*GOOGLEFINANCE(""Currency:""&amp;A40&amp;""""&amp;$F$1&amp;""""))))"),515.8461615384615)</f>
        <v>515.8461615</v>
      </c>
      <c r="E40" s="502">
        <f>IFERROR(__xludf.DUMMYFUNCTION("if(A40=""GBP"",if(B40="""","""",if(A40=$F$1,Installment!H40,Installment!H40*GOOGLEFINANCE(""Currency:""&amp;A40&amp;""""&amp;$F$1&amp;"""")))/100,if(B40="""","""",if(A40=$F$1,Installment!H40,Installment!H40*GOOGLEFINANCE(""Currency:""&amp;A40&amp;""""&amp;$F$1&amp;""""))))"),301.8)</f>
        <v>301.8</v>
      </c>
      <c r="F40" s="502">
        <f>IFERROR(__xludf.DUMMYFUNCTION("if(A40=""GBP"",if(B40="""","""",if(A40=$F$1,Installment!I40,Installment!I40*GOOGLEFINANCE(""Currency:""&amp;A40&amp;""""&amp;$F$1&amp;"""")))/100,if(B40="""","""",if(A40=$F$1,Installment!I40,Installment!I40*GOOGLEFINANCE(""Currency:""&amp;A40&amp;""""&amp;$F$1&amp;""""))))"),-5565.200199999998)</f>
        <v>-5565.2002</v>
      </c>
      <c r="G40" s="502">
        <f t="shared" si="1"/>
        <v>13412.0002</v>
      </c>
      <c r="H40" s="502">
        <f t="shared" si="2"/>
        <v>7846.8</v>
      </c>
      <c r="I40" s="502">
        <f t="shared" si="3"/>
        <v>-5565.2002</v>
      </c>
    </row>
    <row r="41">
      <c r="A41" s="501" t="str">
        <f>IFERROR(__xludf.DUMMYFUNCTION("IFERROR(if(ISBLANK(Installment!A41),"""",if(GOOGLEFINANCE(Installment!A41,""Currency"")=""GBX"",""GBP"",GOOGLEFINANCE(Installment!A41,""Currency""))),$F$1)"),"INR")</f>
        <v>INR</v>
      </c>
      <c r="B41" s="501" t="str">
        <f>Installment!A41</f>
        <v>NSE:LICI</v>
      </c>
      <c r="C41" s="501">
        <f>Installment!B41</f>
        <v>9</v>
      </c>
      <c r="D41" s="502">
        <f>IFERROR(__xludf.DUMMYFUNCTION("if(A41=""GBP"",if(B41="""","""",if(A41=$F$1,Installment!C41,Installment!C41*GOOGLEFINANCE(""Currency:""&amp;A41&amp;""""&amp;$F$1&amp;"""")))/100,if(B41="""","""",if(A41=$F$1,Installment!C41,Installment!C41*GOOGLEFINANCE(""Currency:""&amp;A41&amp;""""&amp;$F$1&amp;""""))))"),888.4277777777778)</f>
        <v>888.4277778</v>
      </c>
      <c r="E41" s="502">
        <f>IFERROR(__xludf.DUMMYFUNCTION("if(A41=""GBP"",if(B41="""","""",if(A41=$F$1,Installment!H41,Installment!H41*GOOGLEFINANCE(""Currency:""&amp;A41&amp;""""&amp;$F$1&amp;"""")))/100,if(B41="""","""",if(A41=$F$1,Installment!H41,Installment!H41*GOOGLEFINANCE(""Currency:""&amp;A41&amp;""""&amp;$F$1&amp;""""))))"),435.5)</f>
        <v>435.5</v>
      </c>
      <c r="F41" s="502">
        <f>IFERROR(__xludf.DUMMYFUNCTION("if(A41=""GBP"",if(B41="""","""",if(A41=$F$1,Installment!I41,Installment!I41*GOOGLEFINANCE(""Currency:""&amp;A41&amp;""""&amp;$F$1&amp;"""")))/100,if(B41="""","""",if(A41=$F$1,Installment!I41,Installment!I41*GOOGLEFINANCE(""Currency:""&amp;A41&amp;""""&amp;$F$1&amp;""""))))"),-4076.3500000000004)</f>
        <v>-4076.35</v>
      </c>
      <c r="G41" s="502">
        <f t="shared" si="1"/>
        <v>7995.85</v>
      </c>
      <c r="H41" s="502">
        <f t="shared" si="2"/>
        <v>3919.5</v>
      </c>
      <c r="I41" s="502">
        <f t="shared" si="3"/>
        <v>-4076.35</v>
      </c>
    </row>
    <row r="42">
      <c r="A42" s="501" t="str">
        <f>IFERROR(__xludf.DUMMYFUNCTION("IFERROR(if(ISBLANK(Installment!A42),"""",if(GOOGLEFINANCE(Installment!A42,""Currency"")=""GBX"",""GBP"",GOOGLEFINANCE(Installment!A42,""Currency""))),$F$1)"),"INR")</f>
        <v>INR</v>
      </c>
      <c r="B42" s="501" t="str">
        <f>Installment!A42</f>
        <v>NSE:LTTS</v>
      </c>
      <c r="C42" s="501">
        <f>Installment!B42</f>
        <v>3</v>
      </c>
      <c r="D42" s="502">
        <f>IFERROR(__xludf.DUMMYFUNCTION("if(A42=""GBP"",if(B42="""","""",if(A42=$F$1,Installment!C42,Installment!C42*GOOGLEFINANCE(""Currency:""&amp;A42&amp;""""&amp;$F$1&amp;"""")))/100,if(B42="""","""",if(A42=$F$1,Installment!C42,Installment!C42*GOOGLEFINANCE(""Currency:""&amp;A42&amp;""""&amp;$F$1&amp;""""))))"),4451.366666666666)</f>
        <v>4451.366667</v>
      </c>
      <c r="E42" s="502">
        <f>IFERROR(__xludf.DUMMYFUNCTION("if(A42=""GBP"",if(B42="""","""",if(A42=$F$1,Installment!H42,Installment!H42*GOOGLEFINANCE(""Currency:""&amp;A42&amp;""""&amp;$F$1&amp;"""")))/100,if(B42="""","""",if(A42=$F$1,Installment!H42,Installment!H42*GOOGLEFINANCE(""Currency:""&amp;A42&amp;""""&amp;$F$1&amp;""""))))"),3238.0)</f>
        <v>3238</v>
      </c>
      <c r="F42" s="502">
        <f>IFERROR(__xludf.DUMMYFUNCTION("if(A42=""GBP"",if(B42="""","""",if(A42=$F$1,Installment!I42,Installment!I42*GOOGLEFINANCE(""Currency:""&amp;A42&amp;""""&amp;$F$1&amp;"""")))/100,if(B42="""","""",if(A42=$F$1,Installment!I42,Installment!I42*GOOGLEFINANCE(""Currency:""&amp;A42&amp;""""&amp;$F$1&amp;""""))))"),-3640.0999999999985)</f>
        <v>-3640.1</v>
      </c>
      <c r="G42" s="502">
        <f t="shared" si="1"/>
        <v>13354.1</v>
      </c>
      <c r="H42" s="502">
        <f t="shared" si="2"/>
        <v>9714</v>
      </c>
      <c r="I42" s="502">
        <f t="shared" si="3"/>
        <v>-3640.1</v>
      </c>
    </row>
    <row r="43">
      <c r="A43" s="501" t="str">
        <f>IFERROR(__xludf.DUMMYFUNCTION("IFERROR(if(ISBLANK(Installment!A43),"""",if(GOOGLEFINANCE(Installment!A43,""Currency"")=""GBX"",""GBP"",GOOGLEFINANCE(Installment!A43,""Currency""))),$F$1)"),"INR")</f>
        <v>INR</v>
      </c>
      <c r="B43" s="501" t="str">
        <f>Installment!A43</f>
        <v>NSE:MSUMI</v>
      </c>
      <c r="C43" s="501">
        <f>Installment!B43</f>
        <v>16</v>
      </c>
      <c r="D43" s="502">
        <f>IFERROR(__xludf.DUMMYFUNCTION("if(A43=""GBP"",if(B43="""","""",if(A43=$F$1,Installment!C43,Installment!C43*GOOGLEFINANCE(""Currency:""&amp;A43&amp;""""&amp;$F$1&amp;"""")))/100,if(B43="""","""",if(A43=$F$1,Installment!C43,Installment!C43*GOOGLEFINANCE(""Currency:""&amp;A43&amp;""""&amp;$F$1&amp;""""))))"),18.9955)</f>
        <v>18.9955</v>
      </c>
      <c r="E43" s="502">
        <f>IFERROR(__xludf.DUMMYFUNCTION("if(A43=""GBP"",if(B43="""","""",if(A43=$F$1,Installment!H43,Installment!H43*GOOGLEFINANCE(""Currency:""&amp;A43&amp;""""&amp;$F$1&amp;"""")))/100,if(B43="""","""",if(A43=$F$1,Installment!H43,Installment!H43*GOOGLEFINANCE(""Currency:""&amp;A43&amp;""""&amp;$F$1&amp;""""))))"),41.35)</f>
        <v>41.35</v>
      </c>
      <c r="F43" s="502">
        <f>IFERROR(__xludf.DUMMYFUNCTION("if(A43=""GBP"",if(B43="""","""",if(A43=$F$1,Installment!I43,Installment!I43*GOOGLEFINANCE(""Currency:""&amp;A43&amp;""""&amp;$F$1&amp;"""")))/100,if(B43="""","""",if(A43=$F$1,Installment!I43,Installment!I43*GOOGLEFINANCE(""Currency:""&amp;A43&amp;""""&amp;$F$1&amp;""""))))"),357.672)</f>
        <v>357.672</v>
      </c>
      <c r="G43" s="502">
        <f t="shared" si="1"/>
        <v>303.928</v>
      </c>
      <c r="H43" s="502">
        <f t="shared" si="2"/>
        <v>661.6</v>
      </c>
      <c r="I43" s="502">
        <f t="shared" si="3"/>
        <v>357.672</v>
      </c>
    </row>
    <row r="44">
      <c r="A44" s="501" t="str">
        <f>IFERROR(__xludf.DUMMYFUNCTION("IFERROR(if(ISBLANK(Installment!A44),"""",if(GOOGLEFINANCE(Installment!A44,""Currency"")=""GBX"",""GBP"",GOOGLEFINANCE(Installment!A44,""Currency""))),$F$1)"),"INR")</f>
        <v>INR</v>
      </c>
      <c r="B44" s="501" t="str">
        <f>Installment!A44</f>
        <v>NSE:MTARTECH</v>
      </c>
      <c r="C44" s="501">
        <f>Installment!B44</f>
        <v>3</v>
      </c>
      <c r="D44" s="502">
        <f>IFERROR(__xludf.DUMMYFUNCTION("if(A44=""GBP"",if(B44="""","""",if(A44=$F$1,Installment!C44,Installment!C44*GOOGLEFINANCE(""Currency:""&amp;A44&amp;""""&amp;$F$1&amp;"""")))/100,if(B44="""","""",if(A44=$F$1,Installment!C44,Installment!C44*GOOGLEFINANCE(""Currency:""&amp;A44&amp;""""&amp;$F$1&amp;""""))))"),1889.8666666666668)</f>
        <v>1889.866667</v>
      </c>
      <c r="E44" s="502">
        <f>IFERROR(__xludf.DUMMYFUNCTION("if(A44=""GBP"",if(B44="""","""",if(A44=$F$1,Installment!H44,Installment!H44*GOOGLEFINANCE(""Currency:""&amp;A44&amp;""""&amp;$F$1&amp;"""")))/100,if(B44="""","""",if(A44=$F$1,Installment!H44,Installment!H44*GOOGLEFINANCE(""Currency:""&amp;A44&amp;""""&amp;$F$1&amp;""""))))"),7000.0)</f>
        <v>7000</v>
      </c>
      <c r="F44" s="502">
        <f>IFERROR(__xludf.DUMMYFUNCTION("if(A44=""GBP"",if(B44="""","""",if(A44=$F$1,Installment!I44,Installment!I44*GOOGLEFINANCE(""Currency:""&amp;A44&amp;""""&amp;$F$1&amp;"""")))/100,if(B44="""","""",if(A44=$F$1,Installment!I44,Installment!I44*GOOGLEFINANCE(""Currency:""&amp;A44&amp;""""&amp;$F$1&amp;""""))))"),15330.4)</f>
        <v>15330.4</v>
      </c>
      <c r="G44" s="502">
        <f t="shared" si="1"/>
        <v>5669.6</v>
      </c>
      <c r="H44" s="502">
        <f t="shared" si="2"/>
        <v>21000</v>
      </c>
      <c r="I44" s="502">
        <f t="shared" si="3"/>
        <v>15330.4</v>
      </c>
    </row>
    <row r="45">
      <c r="A45" s="501" t="str">
        <f>IFERROR(__xludf.DUMMYFUNCTION("IFERROR(if(ISBLANK(Installment!A45),"""",if(GOOGLEFINANCE(Installment!A45,""Currency"")=""GBX"",""GBP"",GOOGLEFINANCE(Installment!A45,""Currency""))),$F$1)"),"INR")</f>
        <v>INR</v>
      </c>
      <c r="B45" s="501" t="str">
        <f>Installment!A45</f>
        <v>NSE:MUTHOOTFIN</v>
      </c>
      <c r="C45" s="501">
        <f>Installment!B45</f>
        <v>12</v>
      </c>
      <c r="D45" s="502">
        <f>IFERROR(__xludf.DUMMYFUNCTION("if(A45=""GBP"",if(B45="""","""",if(A45=$F$1,Installment!C45,Installment!C45*GOOGLEFINANCE(""Currency:""&amp;A45&amp;""""&amp;$F$1&amp;"""")))/100,if(B45="""","""",if(A45=$F$1,Installment!C45,Installment!C45*GOOGLEFINANCE(""Currency:""&amp;A45&amp;""""&amp;$F$1&amp;""""))))"),1202.4166666666667)</f>
        <v>1202.416667</v>
      </c>
      <c r="E45" s="502">
        <f>IFERROR(__xludf.DUMMYFUNCTION("if(A45=""GBP"",if(B45="""","""",if(A45=$F$1,Installment!H45,Installment!H45*GOOGLEFINANCE(""Currency:""&amp;A45&amp;""""&amp;$F$1&amp;"""")))/100,if(B45="""","""",if(A45=$F$1,Installment!H45,Installment!H45*GOOGLEFINANCE(""Currency:""&amp;A45&amp;""""&amp;$F$1&amp;""""))))"),3116.0)</f>
        <v>3116</v>
      </c>
      <c r="F45" s="502">
        <f>IFERROR(__xludf.DUMMYFUNCTION("if(A45=""GBP"",if(B45="""","""",if(A45=$F$1,Installment!I45,Installment!I45*GOOGLEFINANCE(""Currency:""&amp;A45&amp;""""&amp;$F$1&amp;"""")))/100,if(B45="""","""",if(A45=$F$1,Installment!I45,Installment!I45*GOOGLEFINANCE(""Currency:""&amp;A45&amp;""""&amp;$F$1&amp;""""))))"),22963.0)</f>
        <v>22963</v>
      </c>
      <c r="G45" s="502">
        <f t="shared" si="1"/>
        <v>14429</v>
      </c>
      <c r="H45" s="502">
        <f t="shared" si="2"/>
        <v>37392</v>
      </c>
      <c r="I45" s="502">
        <f t="shared" si="3"/>
        <v>22963</v>
      </c>
    </row>
    <row r="46">
      <c r="A46" s="501" t="str">
        <f>IFERROR(__xludf.DUMMYFUNCTION("IFERROR(if(ISBLANK(Installment!A46),"""",if(GOOGLEFINANCE(Installment!A46,""Currency"")=""GBX"",""GBP"",GOOGLEFINANCE(Installment!A46,""Currency""))),$F$1)"),"INR")</f>
        <v>INR</v>
      </c>
      <c r="B46" s="501" t="str">
        <f>Installment!A46</f>
        <v>NSE:NAZARA</v>
      </c>
      <c r="C46" s="501">
        <f>Installment!B46</f>
        <v>18</v>
      </c>
      <c r="D46" s="502">
        <f>IFERROR(__xludf.DUMMYFUNCTION("if(A46=""GBP"",if(B46="""","""",if(A46=$F$1,Installment!C46,Installment!C46*GOOGLEFINANCE(""Currency:""&amp;A46&amp;""""&amp;$F$1&amp;"""")))/100,if(B46="""","""",if(A46=$F$1,Installment!C46,Installment!C46*GOOGLEFINANCE(""Currency:""&amp;A46&amp;""""&amp;$F$1&amp;""""))))"),698.8166666666667)</f>
        <v>698.8166667</v>
      </c>
      <c r="E46" s="502">
        <f>IFERROR(__xludf.DUMMYFUNCTION("if(A46=""GBP"",if(B46="""","""",if(A46=$F$1,Installment!H46,Installment!H46*GOOGLEFINANCE(""Currency:""&amp;A46&amp;""""&amp;$F$1&amp;"""")))/100,if(B46="""","""",if(A46=$F$1,Installment!H46,Installment!H46*GOOGLEFINANCE(""Currency:""&amp;A46&amp;""""&amp;$F$1&amp;""""))))"),301.9)</f>
        <v>301.9</v>
      </c>
      <c r="F46" s="502">
        <f>IFERROR(__xludf.DUMMYFUNCTION("if(A46=""GBP"",if(B46="""","""",if(A46=$F$1,Installment!I46,Installment!I46*GOOGLEFINANCE(""Currency:""&amp;A46&amp;""""&amp;$F$1&amp;"""")))/100,if(B46="""","""",if(A46=$F$1,Installment!I46,Installment!I46*GOOGLEFINANCE(""Currency:""&amp;A46&amp;""""&amp;$F$1&amp;""""))))"),-7144.500000000001)</f>
        <v>-7144.5</v>
      </c>
      <c r="G46" s="502">
        <f t="shared" si="1"/>
        <v>12578.7</v>
      </c>
      <c r="H46" s="502">
        <f t="shared" si="2"/>
        <v>5434.2</v>
      </c>
      <c r="I46" s="502">
        <f t="shared" si="3"/>
        <v>-7144.5</v>
      </c>
    </row>
    <row r="47">
      <c r="A47" s="501" t="str">
        <f>IFERROR(__xludf.DUMMYFUNCTION("IFERROR(if(ISBLANK(Installment!A47),"""",if(GOOGLEFINANCE(Installment!A47,""Currency"")=""GBX"",""GBP"",GOOGLEFINANCE(Installment!A47,""Currency""))),$F$1)"),"INR")</f>
        <v>INR</v>
      </c>
      <c r="B47" s="501" t="str">
        <f>Installment!A47</f>
        <v>NSE:NESTLEIND</v>
      </c>
      <c r="C47" s="501">
        <f>Installment!B47</f>
        <v>4</v>
      </c>
      <c r="D47" s="502">
        <f>IFERROR(__xludf.DUMMYFUNCTION("if(A47=""GBP"",if(B47="""","""",if(A47=$F$1,Installment!C47,Installment!C47*GOOGLEFINANCE(""Currency:""&amp;A47&amp;""""&amp;$F$1&amp;"""")))/100,if(B47="""","""",if(A47=$F$1,Installment!C47,Installment!C47*GOOGLEFINANCE(""Currency:""&amp;A47&amp;""""&amp;$F$1&amp;""""))))"),2552.325)</f>
        <v>2552.325</v>
      </c>
      <c r="E47" s="502">
        <f>IFERROR(__xludf.DUMMYFUNCTION("if(A47=""GBP"",if(B47="""","""",if(A47=$F$1,Installment!H47,Installment!H47*GOOGLEFINANCE(""Currency:""&amp;A47&amp;""""&amp;$F$1&amp;"""")))/100,if(B47="""","""",if(A47=$F$1,Installment!H47,Installment!H47*GOOGLEFINANCE(""Currency:""&amp;A47&amp;""""&amp;$F$1&amp;""""))))"),1466.9)</f>
        <v>1466.9</v>
      </c>
      <c r="F47" s="502">
        <f>IFERROR(__xludf.DUMMYFUNCTION("if(A47=""GBP"",if(B47="""","""",if(A47=$F$1,Installment!I47,Installment!I47*GOOGLEFINANCE(""Currency:""&amp;A47&amp;""""&amp;$F$1&amp;"""")))/100,if(B47="""","""",if(A47=$F$1,Installment!I47,Installment!I47*GOOGLEFINANCE(""Currency:""&amp;A47&amp;""""&amp;$F$1&amp;""""))))"),-4341.699999999999)</f>
        <v>-4341.7</v>
      </c>
      <c r="G47" s="502">
        <f t="shared" si="1"/>
        <v>10209.3</v>
      </c>
      <c r="H47" s="502">
        <f t="shared" si="2"/>
        <v>5867.6</v>
      </c>
      <c r="I47" s="502">
        <f t="shared" si="3"/>
        <v>-4341.7</v>
      </c>
    </row>
    <row r="48">
      <c r="A48" s="501" t="str">
        <f>IFERROR(__xludf.DUMMYFUNCTION("IFERROR(if(ISBLANK(Installment!A48),"""",if(GOOGLEFINANCE(Installment!A48,""Currency"")=""GBX"",""GBP"",GOOGLEFINANCE(Installment!A48,""Currency""))),$F$1)"),"INR")</f>
        <v>INR</v>
      </c>
      <c r="B48" s="501" t="str">
        <f>Installment!A48</f>
        <v>NSE:PARADEEP</v>
      </c>
      <c r="C48" s="501">
        <f>Installment!B48</f>
        <v>82</v>
      </c>
      <c r="D48" s="502">
        <f>IFERROR(__xludf.DUMMYFUNCTION("if(A48=""GBP"",if(B48="""","""",if(A48=$F$1,Installment!C48,Installment!C48*GOOGLEFINANCE(""Currency:""&amp;A48&amp;""""&amp;$F$1&amp;"""")))/100,if(B48="""","""",if(A48=$F$1,Installment!C48,Installment!C48*GOOGLEFINANCE(""Currency:""&amp;A48&amp;""""&amp;$F$1&amp;""""))))"),72.9560975609756)</f>
        <v>72.95609756</v>
      </c>
      <c r="E48" s="502">
        <f>IFERROR(__xludf.DUMMYFUNCTION("if(A48=""GBP"",if(B48="""","""",if(A48=$F$1,Installment!H48,Installment!H48*GOOGLEFINANCE(""Currency:""&amp;A48&amp;""""&amp;$F$1&amp;"""")))/100,if(B48="""","""",if(A48=$F$1,Installment!H48,Installment!H48*GOOGLEFINANCE(""Currency:""&amp;A48&amp;""""&amp;$F$1&amp;""""))))"),139.3)</f>
        <v>139.3</v>
      </c>
      <c r="F48" s="502">
        <f>IFERROR(__xludf.DUMMYFUNCTION("if(A48=""GBP"",if(B48="""","""",if(A48=$F$1,Installment!I48,Installment!I48*GOOGLEFINANCE(""Currency:""&amp;A48&amp;""""&amp;$F$1&amp;"""")))/100,if(B48="""","""",if(A48=$F$1,Installment!I48,Installment!I48*GOOGLEFINANCE(""Currency:""&amp;A48&amp;""""&amp;$F$1&amp;""""))))"),5440.200000000001)</f>
        <v>5440.2</v>
      </c>
      <c r="G48" s="502">
        <f t="shared" si="1"/>
        <v>5982.4</v>
      </c>
      <c r="H48" s="502">
        <f t="shared" si="2"/>
        <v>11422.6</v>
      </c>
      <c r="I48" s="502">
        <f t="shared" si="3"/>
        <v>5440.2</v>
      </c>
    </row>
    <row r="49">
      <c r="A49" s="501" t="str">
        <f>IFERROR(__xludf.DUMMYFUNCTION("IFERROR(if(ISBLANK(Installment!A49),"""",if(GOOGLEFINANCE(Installment!A49,""Currency"")=""GBX"",""GBP"",GOOGLEFINANCE(Installment!A49,""Currency""))),$F$1)"),"INR")</f>
        <v>INR</v>
      </c>
      <c r="B49" s="501" t="str">
        <f>Installment!A49</f>
        <v>NSE:PARAS</v>
      </c>
      <c r="C49" s="501">
        <f>Installment!B49</f>
        <v>1</v>
      </c>
      <c r="D49" s="502">
        <f>IFERROR(__xludf.DUMMYFUNCTION("if(A49=""GBP"",if(B49="""","""",if(A49=$F$1,Installment!C49,Installment!C49*GOOGLEFINANCE(""Currency:""&amp;A49&amp;""""&amp;$F$1&amp;"""")))/100,if(B49="""","""",if(A49=$F$1,Installment!C49,Installment!C49*GOOGLEFINANCE(""Currency:""&amp;A49&amp;""""&amp;$F$1&amp;""""))))"),794.0)</f>
        <v>794</v>
      </c>
      <c r="E49" s="502">
        <f>IFERROR(__xludf.DUMMYFUNCTION("if(A49=""GBP"",if(B49="""","""",if(A49=$F$1,Installment!H49,Installment!H49*GOOGLEFINANCE(""Currency:""&amp;A49&amp;""""&amp;$F$1&amp;"""")))/100,if(B49="""","""",if(A49=$F$1,Installment!H49,Installment!H49*GOOGLEFINANCE(""Currency:""&amp;A49&amp;""""&amp;$F$1&amp;""""))))"),1292.0)</f>
        <v>1292</v>
      </c>
      <c r="F49" s="502">
        <f>IFERROR(__xludf.DUMMYFUNCTION("if(A49=""GBP"",if(B49="""","""",if(A49=$F$1,Installment!I49,Installment!I49*GOOGLEFINANCE(""Currency:""&amp;A49&amp;""""&amp;$F$1&amp;"""")))/100,if(B49="""","""",if(A49=$F$1,Installment!I49,Installment!I49*GOOGLEFINANCE(""Currency:""&amp;A49&amp;""""&amp;$F$1&amp;""""))))"),498.0)</f>
        <v>498</v>
      </c>
      <c r="G49" s="502">
        <f t="shared" si="1"/>
        <v>794</v>
      </c>
      <c r="H49" s="502">
        <f t="shared" si="2"/>
        <v>1292</v>
      </c>
      <c r="I49" s="502">
        <f t="shared" si="3"/>
        <v>498</v>
      </c>
    </row>
    <row r="50">
      <c r="A50" s="501" t="str">
        <f>IFERROR(__xludf.DUMMYFUNCTION("IFERROR(if(ISBLANK(Installment!A50),"""",if(GOOGLEFINANCE(Installment!A50,""Currency"")=""GBX"",""GBP"",GOOGLEFINANCE(Installment!A50,""Currency""))),$F$1)"),"INR")</f>
        <v>INR</v>
      </c>
      <c r="B50" s="501" t="str">
        <f>Installment!A50</f>
        <v>NSE:PRINCEPIPE</v>
      </c>
      <c r="C50" s="501">
        <f>Installment!B50</f>
        <v>12</v>
      </c>
      <c r="D50" s="502">
        <f>IFERROR(__xludf.DUMMYFUNCTION("if(A50=""GBP"",if(B50="""","""",if(A50=$F$1,Installment!C50,Installment!C50*GOOGLEFINANCE(""Currency:""&amp;A50&amp;""""&amp;$F$1&amp;"""")))/100,if(B50="""","""",if(A50=$F$1,Installment!C50,Installment!C50*GOOGLEFINANCE(""Currency:""&amp;A50&amp;""""&amp;$F$1&amp;""""))))"),548.9833333333333)</f>
        <v>548.9833333</v>
      </c>
      <c r="E50" s="502">
        <f>IFERROR(__xludf.DUMMYFUNCTION("if(A50=""GBP"",if(B50="""","""",if(A50=$F$1,Installment!H50,Installment!H50*GOOGLEFINANCE(""Currency:""&amp;A50&amp;""""&amp;$F$1&amp;"""")))/100,if(B50="""","""",if(A50=$F$1,Installment!H50,Installment!H50*GOOGLEFINANCE(""Currency:""&amp;A50&amp;""""&amp;$F$1&amp;""""))))"),269.9)</f>
        <v>269.9</v>
      </c>
      <c r="F50" s="502">
        <f>IFERROR(__xludf.DUMMYFUNCTION("if(A50=""GBP"",if(B50="""","""",if(A50=$F$1,Installment!I50,Installment!I50*GOOGLEFINANCE(""Currency:""&amp;A50&amp;""""&amp;$F$1&amp;"""")))/100,if(B50="""","""",if(A50=$F$1,Installment!I50,Installment!I50*GOOGLEFINANCE(""Currency:""&amp;A50&amp;""""&amp;$F$1&amp;""""))))"),-3349.0000000000005)</f>
        <v>-3349</v>
      </c>
      <c r="G50" s="502">
        <f t="shared" si="1"/>
        <v>6587.8</v>
      </c>
      <c r="H50" s="502">
        <f t="shared" si="2"/>
        <v>3238.8</v>
      </c>
      <c r="I50" s="502">
        <f t="shared" si="3"/>
        <v>-3349</v>
      </c>
    </row>
    <row r="51">
      <c r="A51" s="501" t="str">
        <f>IFERROR(__xludf.DUMMYFUNCTION("IFERROR(if(ISBLANK(Installment!A51),"""",if(GOOGLEFINANCE(Installment!A51,""Currency"")=""GBX"",""GBP"",GOOGLEFINANCE(Installment!A51,""Currency""))),$F$1)"),"INR")</f>
        <v>INR</v>
      </c>
      <c r="B51" s="501" t="str">
        <f>Installment!A51</f>
        <v>NSE:RAILTEL</v>
      </c>
      <c r="C51" s="501">
        <f>Installment!B51</f>
        <v>4</v>
      </c>
      <c r="D51" s="502">
        <f>IFERROR(__xludf.DUMMYFUNCTION("if(A51=""GBP"",if(B51="""","""",if(A51=$F$1,Installment!C51,Installment!C51*GOOGLEFINANCE(""Currency:""&amp;A51&amp;""""&amp;$F$1&amp;"""")))/100,if(B51="""","""",if(A51=$F$1,Installment!C51,Installment!C51*GOOGLEFINANCE(""Currency:""&amp;A51&amp;""""&amp;$F$1&amp;""""))))"),122.875)</f>
        <v>122.875</v>
      </c>
      <c r="E51" s="502">
        <f>IFERROR(__xludf.DUMMYFUNCTION("if(A51=""GBP"",if(B51="""","""",if(A51=$F$1,Installment!H51,Installment!H51*GOOGLEFINANCE(""Currency:""&amp;A51&amp;""""&amp;$F$1&amp;"""")))/100,if(B51="""","""",if(A51=$F$1,Installment!H51,Installment!H51*GOOGLEFINANCE(""Currency:""&amp;A51&amp;""""&amp;$F$1&amp;""""))))"),311.3)</f>
        <v>311.3</v>
      </c>
      <c r="F51" s="502">
        <f>IFERROR(__xludf.DUMMYFUNCTION("if(A51=""GBP"",if(B51="""","""",if(A51=$F$1,Installment!I51,Installment!I51*GOOGLEFINANCE(""Currency:""&amp;A51&amp;""""&amp;$F$1&amp;"""")))/100,if(B51="""","""",if(A51=$F$1,Installment!I51,Installment!I51*GOOGLEFINANCE(""Currency:""&amp;A51&amp;""""&amp;$F$1&amp;""""))))"),753.7)</f>
        <v>753.7</v>
      </c>
      <c r="G51" s="502">
        <f t="shared" si="1"/>
        <v>491.5</v>
      </c>
      <c r="H51" s="502">
        <f t="shared" si="2"/>
        <v>1245.2</v>
      </c>
      <c r="I51" s="502">
        <f t="shared" si="3"/>
        <v>753.7</v>
      </c>
    </row>
    <row r="52">
      <c r="A52" s="501" t="str">
        <f>IFERROR(__xludf.DUMMYFUNCTION("IFERROR(if(ISBLANK(Installment!A52),"""",if(GOOGLEFINANCE(Installment!A52,""Currency"")=""GBX"",""GBP"",GOOGLEFINANCE(Installment!A52,""Currency""))),$F$1)"),"INR")</f>
        <v>INR</v>
      </c>
      <c r="B52" s="501" t="str">
        <f>Installment!A52</f>
        <v>NSE:RELIANCE</v>
      </c>
      <c r="C52" s="501">
        <f>Installment!B52</f>
        <v>3</v>
      </c>
      <c r="D52" s="502">
        <f>IFERROR(__xludf.DUMMYFUNCTION("if(A52=""GBP"",if(B52="""","""",if(A52=$F$1,Installment!C52,Installment!C52*GOOGLEFINANCE(""Currency:""&amp;A52&amp;""""&amp;$F$1&amp;"""")))/100,if(B52="""","""",if(A52=$F$1,Installment!C52,Installment!C52*GOOGLEFINANCE(""Currency:""&amp;A52&amp;""""&amp;$F$1&amp;""""))))"),2299.23)</f>
        <v>2299.23</v>
      </c>
      <c r="E52" s="502">
        <f>IFERROR(__xludf.DUMMYFUNCTION("if(A52=""GBP"",if(B52="""","""",if(A52=$F$1,Installment!H52,Installment!H52*GOOGLEFINANCE(""Currency:""&amp;A52&amp;""""&amp;$F$1&amp;"""")))/100,if(B52="""","""",if(A52=$F$1,Installment!H52,Installment!H52*GOOGLEFINANCE(""Currency:""&amp;A52&amp;""""&amp;$F$1&amp;""""))))"),1305.0)</f>
        <v>1305</v>
      </c>
      <c r="F52" s="502">
        <f>IFERROR(__xludf.DUMMYFUNCTION("if(A52=""GBP"",if(B52="""","""",if(A52=$F$1,Installment!I52,Installment!I52*GOOGLEFINANCE(""Currency:""&amp;A52&amp;""""&amp;$F$1&amp;"""")))/100,if(B52="""","""",if(A52=$F$1,Installment!I52,Installment!I52*GOOGLEFINANCE(""Currency:""&amp;A52&amp;""""&amp;$F$1&amp;""""))))"),-2982.6900000000005)</f>
        <v>-2982.69</v>
      </c>
      <c r="G52" s="502">
        <f t="shared" si="1"/>
        <v>6897.69</v>
      </c>
      <c r="H52" s="502">
        <f t="shared" si="2"/>
        <v>3915</v>
      </c>
      <c r="I52" s="502">
        <f t="shared" si="3"/>
        <v>-2982.69</v>
      </c>
    </row>
    <row r="53">
      <c r="A53" s="501" t="str">
        <f>IFERROR(__xludf.DUMMYFUNCTION("IFERROR(if(ISBLANK(Installment!A53),"""",if(GOOGLEFINANCE(Installment!A53,""Currency"")=""GBX"",""GBP"",GOOGLEFINANCE(Installment!A53,""Currency""))),$F$1)"),"INR")</f>
        <v>INR</v>
      </c>
      <c r="B53" s="501" t="str">
        <f>Installment!A53</f>
        <v>NSE:RTNINDIA</v>
      </c>
      <c r="C53" s="501">
        <f>Installment!B53</f>
        <v>1310</v>
      </c>
      <c r="D53" s="502">
        <f>IFERROR(__xludf.DUMMYFUNCTION("if(A53=""GBP"",if(B53="""","""",if(A53=$F$1,Installment!C53,Installment!C53*GOOGLEFINANCE(""Currency:""&amp;A53&amp;""""&amp;$F$1&amp;"""")))/100,if(B53="""","""",if(A53=$F$1,Installment!C53,Installment!C53*GOOGLEFINANCE(""Currency:""&amp;A53&amp;""""&amp;$F$1&amp;""""))))"),75.85570992366412)</f>
        <v>75.85570992</v>
      </c>
      <c r="E53" s="502">
        <f>IFERROR(__xludf.DUMMYFUNCTION("if(A53=""GBP"",if(B53="""","""",if(A53=$F$1,Installment!H53,Installment!H53*GOOGLEFINANCE(""Currency:""&amp;A53&amp;""""&amp;$F$1&amp;"""")))/100,if(B53="""","""",if(A53=$F$1,Installment!H53,Installment!H53*GOOGLEFINANCE(""Currency:""&amp;A53&amp;""""&amp;$F$1&amp;""""))))"),32.9)</f>
        <v>32.9</v>
      </c>
      <c r="F53" s="502">
        <f>IFERROR(__xludf.DUMMYFUNCTION("if(A53=""GBP"",if(B53="""","""",if(A53=$F$1,Installment!I53,Installment!I53*GOOGLEFINANCE(""Currency:""&amp;A53&amp;""""&amp;$F$1&amp;"""")))/100,if(B53="""","""",if(A53=$F$1,Installment!I53,Installment!I53*GOOGLEFINANCE(""Currency:""&amp;A53&amp;""""&amp;$F$1&amp;""""))))"),-56271.979999999996)</f>
        <v>-56271.98</v>
      </c>
      <c r="G53" s="502">
        <f t="shared" si="1"/>
        <v>99370.98</v>
      </c>
      <c r="H53" s="502">
        <f t="shared" si="2"/>
        <v>43099</v>
      </c>
      <c r="I53" s="502">
        <f t="shared" si="3"/>
        <v>-56271.98</v>
      </c>
    </row>
    <row r="54">
      <c r="A54" s="501" t="str">
        <f>IFERROR(__xludf.DUMMYFUNCTION("IFERROR(if(ISBLANK(Installment!A54),"""",if(GOOGLEFINANCE(Installment!A54,""Currency"")=""GBX"",""GBP"",GOOGLEFINANCE(Installment!A54,""Currency""))),$F$1)"),"INR")</f>
        <v>INR</v>
      </c>
      <c r="B54" s="501" t="str">
        <f>Installment!A54</f>
        <v>NSE:RVNL</v>
      </c>
      <c r="C54" s="501">
        <f>Installment!B54</f>
        <v>90</v>
      </c>
      <c r="D54" s="502">
        <f>IFERROR(__xludf.DUMMYFUNCTION("if(A54=""GBP"",if(B54="""","""",if(A54=$F$1,Installment!C54,Installment!C54*GOOGLEFINANCE(""Currency:""&amp;A54&amp;""""&amp;$F$1&amp;"""")))/100,if(B54="""","""",if(A54=$F$1,Installment!C54,Installment!C54*GOOGLEFINANCE(""Currency:""&amp;A54&amp;""""&amp;$F$1&amp;""""))))"),327.7655555555556)</f>
        <v>327.7655556</v>
      </c>
      <c r="E54" s="502">
        <f>IFERROR(__xludf.DUMMYFUNCTION("if(A54=""GBP"",if(B54="""","""",if(A54=$F$1,Installment!H54,Installment!H54*GOOGLEFINANCE(""Currency:""&amp;A54&amp;""""&amp;$F$1&amp;"""")))/100,if(B54="""","""",if(A54=$F$1,Installment!H54,Installment!H54*GOOGLEFINANCE(""Currency:""&amp;A54&amp;""""&amp;$F$1&amp;""""))))"),232.4)</f>
        <v>232.4</v>
      </c>
      <c r="F54" s="502">
        <f>IFERROR(__xludf.DUMMYFUNCTION("if(A54=""GBP"",if(B54="""","""",if(A54=$F$1,Installment!I54,Installment!I54*GOOGLEFINANCE(""Currency:""&amp;A54&amp;""""&amp;$F$1&amp;"""")))/100,if(B54="""","""",if(A54=$F$1,Installment!I54,Installment!I54*GOOGLEFINANCE(""Currency:""&amp;A54&amp;""""&amp;$F$1&amp;""""))))"),-8582.900000000001)</f>
        <v>-8582.9</v>
      </c>
      <c r="G54" s="502">
        <f t="shared" si="1"/>
        <v>29498.9</v>
      </c>
      <c r="H54" s="502">
        <f t="shared" si="2"/>
        <v>20916</v>
      </c>
      <c r="I54" s="502">
        <f t="shared" si="3"/>
        <v>-8582.9</v>
      </c>
    </row>
    <row r="55">
      <c r="A55" s="501" t="str">
        <f>IFERROR(__xludf.DUMMYFUNCTION("IFERROR(if(ISBLANK(Installment!A55),"""",if(GOOGLEFINANCE(Installment!A55,""Currency"")=""GBX"",""GBP"",GOOGLEFINANCE(Installment!A55,""Currency""))),$F$1)"),"INR")</f>
        <v>INR</v>
      </c>
      <c r="B55" s="501" t="str">
        <f>Installment!A55</f>
        <v>NSE:SBICARD</v>
      </c>
      <c r="C55" s="501">
        <f>Installment!B55</f>
        <v>3</v>
      </c>
      <c r="D55" s="502">
        <f>IFERROR(__xludf.DUMMYFUNCTION("if(A55=""GBP"",if(B55="""","""",if(A55=$F$1,Installment!C55,Installment!C55*GOOGLEFINANCE(""Currency:""&amp;A55&amp;""""&amp;$F$1&amp;"""")))/100,if(B55="""","""",if(A55=$F$1,Installment!C55,Installment!C55*GOOGLEFINANCE(""Currency:""&amp;A55&amp;""""&amp;$F$1&amp;""""))))"),694.9666666666667)</f>
        <v>694.9666667</v>
      </c>
      <c r="E55" s="502">
        <f>IFERROR(__xludf.DUMMYFUNCTION("if(A55=""GBP"",if(B55="""","""",if(A55=$F$1,Installment!H55,Installment!H55*GOOGLEFINANCE(""Currency:""&amp;A55&amp;""""&amp;$F$1&amp;"""")))/100,if(B55="""","""",if(A55=$F$1,Installment!H55,Installment!H55*GOOGLEFINANCE(""Currency:""&amp;A55&amp;""""&amp;$F$1&amp;""""))))"),604.4)</f>
        <v>604.4</v>
      </c>
      <c r="F55" s="502">
        <f>IFERROR(__xludf.DUMMYFUNCTION("if(A55=""GBP"",if(B55="""","""",if(A55=$F$1,Installment!I55,Installment!I55*GOOGLEFINANCE(""Currency:""&amp;A55&amp;""""&amp;$F$1&amp;"""")))/100,if(B55="""","""",if(A55=$F$1,Installment!I55,Installment!I55*GOOGLEFINANCE(""Currency:""&amp;A55&amp;""""&amp;$F$1&amp;""""))))"),-271.7000000000003)</f>
        <v>-271.7</v>
      </c>
      <c r="G55" s="502">
        <f t="shared" si="1"/>
        <v>2084.9</v>
      </c>
      <c r="H55" s="502">
        <f t="shared" si="2"/>
        <v>1813.2</v>
      </c>
      <c r="I55" s="502">
        <f t="shared" si="3"/>
        <v>-271.7</v>
      </c>
    </row>
    <row r="56">
      <c r="A56" s="501" t="str">
        <f>IFERROR(__xludf.DUMMYFUNCTION("IFERROR(if(ISBLANK(Installment!A56),"""",if(GOOGLEFINANCE(Installment!A56,""Currency"")=""GBX"",""GBP"",GOOGLEFINANCE(Installment!A56,""Currency""))),$F$1)"),"INR")</f>
        <v>INR</v>
      </c>
      <c r="B56" s="501" t="str">
        <f>Installment!A56</f>
        <v>NSE:SBIN</v>
      </c>
      <c r="C56" s="501">
        <f>Installment!B56</f>
        <v>10</v>
      </c>
      <c r="D56" s="502">
        <f>IFERROR(__xludf.DUMMYFUNCTION("if(A56=""GBP"",if(B56="""","""",if(A56=$F$1,Installment!C56,Installment!C56*GOOGLEFINANCE(""Currency:""&amp;A56&amp;""""&amp;$F$1&amp;"""")))/100,if(B56="""","""",if(A56=$F$1,Installment!C56,Installment!C56*GOOGLEFINANCE(""Currency:""&amp;A56&amp;""""&amp;$F$1&amp;""""))))"),155.0)</f>
        <v>155</v>
      </c>
      <c r="E56" s="502">
        <f>IFERROR(__xludf.DUMMYFUNCTION("if(A56=""GBP"",if(B56="""","""",if(A56=$F$1,Installment!H56,Installment!H56*GOOGLEFINANCE(""Currency:""&amp;A56&amp;""""&amp;$F$1&amp;"""")))/100,if(B56="""","""",if(A56=$F$1,Installment!H56,Installment!H56*GOOGLEFINANCE(""Currency:""&amp;A56&amp;""""&amp;$F$1&amp;""""))))"),1036.2)</f>
        <v>1036.2</v>
      </c>
      <c r="F56" s="502">
        <f>IFERROR(__xludf.DUMMYFUNCTION("if(A56=""GBP"",if(B56="""","""",if(A56=$F$1,Installment!I56,Installment!I56*GOOGLEFINANCE(""Currency:""&amp;A56&amp;""""&amp;$F$1&amp;"""")))/100,if(B56="""","""",if(A56=$F$1,Installment!I56,Installment!I56*GOOGLEFINANCE(""Currency:""&amp;A56&amp;""""&amp;$F$1&amp;""""))))"),8812.0)</f>
        <v>8812</v>
      </c>
      <c r="G56" s="502">
        <f t="shared" si="1"/>
        <v>1550</v>
      </c>
      <c r="H56" s="502">
        <f t="shared" si="2"/>
        <v>10362</v>
      </c>
      <c r="I56" s="502">
        <f t="shared" si="3"/>
        <v>8812</v>
      </c>
    </row>
    <row r="57">
      <c r="A57" s="501" t="str">
        <f>IFERROR(__xludf.DUMMYFUNCTION("IFERROR(if(ISBLANK(Installment!A57),"""",if(GOOGLEFINANCE(Installment!A57,""Currency"")=""GBX"",""GBP"",GOOGLEFINANCE(Installment!A57,""Currency""))),$F$1)"),"INR")</f>
        <v>INR</v>
      </c>
      <c r="B57" s="501" t="str">
        <f>Installment!A57</f>
        <v>NSE:SUZLON</v>
      </c>
      <c r="C57" s="501">
        <f>Installment!B57</f>
        <v>10</v>
      </c>
      <c r="D57" s="502">
        <f>IFERROR(__xludf.DUMMYFUNCTION("if(A57=""GBP"",if(B57="""","""",if(A57=$F$1,Installment!C57,Installment!C57*GOOGLEFINANCE(""Currency:""&amp;A57&amp;""""&amp;$F$1&amp;"""")))/100,if(B57="""","""",if(A57=$F$1,Installment!C57,Installment!C57*GOOGLEFINANCE(""Currency:""&amp;A57&amp;""""&amp;$F$1&amp;""""))))"),16.85)</f>
        <v>16.85</v>
      </c>
      <c r="E57" s="502">
        <f>IFERROR(__xludf.DUMMYFUNCTION("if(A57=""GBP"",if(B57="""","""",if(A57=$F$1,Installment!H57,Installment!H57*GOOGLEFINANCE(""Currency:""&amp;A57&amp;""""&amp;$F$1&amp;"""")))/100,if(B57="""","""",if(A57=$F$1,Installment!H57,Installment!H57*GOOGLEFINANCE(""Currency:""&amp;A57&amp;""""&amp;$F$1&amp;""""))))"),54.4)</f>
        <v>54.4</v>
      </c>
      <c r="F57" s="502">
        <f>IFERROR(__xludf.DUMMYFUNCTION("if(A57=""GBP"",if(B57="""","""",if(A57=$F$1,Installment!I57,Installment!I57*GOOGLEFINANCE(""Currency:""&amp;A57&amp;""""&amp;$F$1&amp;"""")))/100,if(B57="""","""",if(A57=$F$1,Installment!I57,Installment!I57*GOOGLEFINANCE(""Currency:""&amp;A57&amp;""""&amp;$F$1&amp;""""))))"),375.5)</f>
        <v>375.5</v>
      </c>
      <c r="G57" s="502">
        <f t="shared" si="1"/>
        <v>168.5</v>
      </c>
      <c r="H57" s="502">
        <f t="shared" si="2"/>
        <v>544</v>
      </c>
      <c r="I57" s="502">
        <f t="shared" si="3"/>
        <v>375.5</v>
      </c>
    </row>
    <row r="58">
      <c r="A58" s="501" t="str">
        <f>IFERROR(__xludf.DUMMYFUNCTION("IFERROR(if(ISBLANK(Installment!A58),"""",if(GOOGLEFINANCE(Installment!A58,""Currency"")=""GBX"",""GBP"",GOOGLEFINANCE(Installment!A58,""Currency""))),$F$1)"),"INR")</f>
        <v>INR</v>
      </c>
      <c r="B58" s="501" t="str">
        <f>Installment!A58</f>
        <v>NSE:SYNCOMF</v>
      </c>
      <c r="C58" s="501">
        <f>Installment!B58</f>
        <v>101</v>
      </c>
      <c r="D58" s="502">
        <f>IFERROR(__xludf.DUMMYFUNCTION("if(A58=""GBP"",if(B58="""","""",if(A58=$F$1,Installment!C58,Installment!C58*GOOGLEFINANCE(""Currency:""&amp;A58&amp;""""&amp;$F$1&amp;"""")))/100,if(B58="""","""",if(A58=$F$1,Installment!C58,Installment!C58*GOOGLEFINANCE(""Currency:""&amp;A58&amp;""""&amp;$F$1&amp;""""))))"),14.844455445544554)</f>
        <v>14.84445545</v>
      </c>
      <c r="E58" s="502">
        <f>IFERROR(__xludf.DUMMYFUNCTION("if(A58=""GBP"",if(B58="""","""",if(A58=$F$1,Installment!H58,Installment!H58*GOOGLEFINANCE(""Currency:""&amp;A58&amp;""""&amp;$F$1&amp;"""")))/100,if(B58="""","""",if(A58=$F$1,Installment!H58,Installment!H58*GOOGLEFINANCE(""Currency:""&amp;A58&amp;""""&amp;$F$1&amp;""""))))"),13.93)</f>
        <v>13.93</v>
      </c>
      <c r="F58" s="502">
        <f>IFERROR(__xludf.DUMMYFUNCTION("if(A58=""GBP"",if(B58="""","""",if(A58=$F$1,Installment!I58,Installment!I58*GOOGLEFINANCE(""Currency:""&amp;A58&amp;""""&amp;$F$1&amp;"""")))/100,if(B58="""","""",if(A58=$F$1,Installment!I58,Installment!I58*GOOGLEFINANCE(""Currency:""&amp;A58&amp;""""&amp;$F$1&amp;""""))))"),-92.3599999999999)</f>
        <v>-92.36</v>
      </c>
      <c r="G58" s="502">
        <f t="shared" si="1"/>
        <v>1499.29</v>
      </c>
      <c r="H58" s="502">
        <f t="shared" si="2"/>
        <v>1406.93</v>
      </c>
      <c r="I58" s="502">
        <f t="shared" si="3"/>
        <v>-92.36</v>
      </c>
    </row>
    <row r="59">
      <c r="A59" s="501" t="str">
        <f>IFERROR(__xludf.DUMMYFUNCTION("IFERROR(if(ISBLANK(Installment!A59),"""",if(GOOGLEFINANCE(Installment!A59,""Currency"")=""GBX"",""GBP"",GOOGLEFINANCE(Installment!A59,""Currency""))),$F$1)"),"INR")</f>
        <v>INR</v>
      </c>
      <c r="B59" s="501" t="str">
        <f>Installment!A59</f>
        <v>NSE:TARC</v>
      </c>
      <c r="C59" s="501">
        <f>Installment!B59</f>
        <v>100</v>
      </c>
      <c r="D59" s="502">
        <f>IFERROR(__xludf.DUMMYFUNCTION("if(A59=""GBP"",if(B59="""","""",if(A59=$F$1,Installment!C59,Installment!C59*GOOGLEFINANCE(""Currency:""&amp;A59&amp;""""&amp;$F$1&amp;"""")))/100,if(B59="""","""",if(A59=$F$1,Installment!C59,Installment!C59*GOOGLEFINANCE(""Currency:""&amp;A59&amp;""""&amp;$F$1&amp;""""))))"),53.05)</f>
        <v>53.05</v>
      </c>
      <c r="E59" s="502">
        <f>IFERROR(__xludf.DUMMYFUNCTION("if(A59=""GBP"",if(B59="""","""",if(A59=$F$1,Installment!H59,Installment!H59*GOOGLEFINANCE(""Currency:""&amp;A59&amp;""""&amp;$F$1&amp;"""")))/100,if(B59="""","""",if(A59=$F$1,Installment!H59,Installment!H59*GOOGLEFINANCE(""Currency:""&amp;A59&amp;""""&amp;$F$1&amp;""""))))"),126.7)</f>
        <v>126.7</v>
      </c>
      <c r="F59" s="502">
        <f>IFERROR(__xludf.DUMMYFUNCTION("if(A59=""GBP"",if(B59="""","""",if(A59=$F$1,Installment!I59,Installment!I59*GOOGLEFINANCE(""Currency:""&amp;A59&amp;""""&amp;$F$1&amp;"""")))/100,if(B59="""","""",if(A59=$F$1,Installment!I59,Installment!I59*GOOGLEFINANCE(""Currency:""&amp;A59&amp;""""&amp;$F$1&amp;""""))))"),7365.0)</f>
        <v>7365</v>
      </c>
      <c r="G59" s="502">
        <f t="shared" si="1"/>
        <v>5305</v>
      </c>
      <c r="H59" s="502">
        <f t="shared" si="2"/>
        <v>12670</v>
      </c>
      <c r="I59" s="502">
        <f t="shared" si="3"/>
        <v>7365</v>
      </c>
    </row>
    <row r="60">
      <c r="A60" s="501" t="str">
        <f>IFERROR(__xludf.DUMMYFUNCTION("IFERROR(if(ISBLANK(Installment!A60),"""",if(GOOGLEFINANCE(Installment!A60,""Currency"")=""GBX"",""GBP"",GOOGLEFINANCE(Installment!A60,""Currency""))),$F$1)"),"INR")</f>
        <v>INR</v>
      </c>
      <c r="B60" s="501" t="str">
        <f>Installment!A60</f>
        <v>NSE:TATACONSUM</v>
      </c>
      <c r="C60" s="501">
        <f>Installment!B60</f>
        <v>2</v>
      </c>
      <c r="D60" s="502">
        <f>IFERROR(__xludf.DUMMYFUNCTION("if(A60=""GBP"",if(B60="""","""",if(A60=$F$1,Installment!C60,Installment!C60*GOOGLEFINANCE(""Currency:""&amp;A60&amp;""""&amp;$F$1&amp;"""")))/100,if(B60="""","""",if(A60=$F$1,Installment!C60,Installment!C60*GOOGLEFINANCE(""Currency:""&amp;A60&amp;""""&amp;$F$1&amp;""""))))"),571.0)</f>
        <v>571</v>
      </c>
      <c r="E60" s="502">
        <f>IFERROR(__xludf.DUMMYFUNCTION("if(A60=""GBP"",if(B60="""","""",if(A60=$F$1,Installment!H60,Installment!H60*GOOGLEFINANCE(""Currency:""&amp;A60&amp;""""&amp;$F$1&amp;"""")))/100,if(B60="""","""",if(A60=$F$1,Installment!H60,Installment!H60*GOOGLEFINANCE(""Currency:""&amp;A60&amp;""""&amp;$F$1&amp;""""))))"),1121.1)</f>
        <v>1121.1</v>
      </c>
      <c r="F60" s="502">
        <f>IFERROR(__xludf.DUMMYFUNCTION("if(A60=""GBP"",if(B60="""","""",if(A60=$F$1,Installment!I60,Installment!I60*GOOGLEFINANCE(""Currency:""&amp;A60&amp;""""&amp;$F$1&amp;"""")))/100,if(B60="""","""",if(A60=$F$1,Installment!I60,Installment!I60*GOOGLEFINANCE(""Currency:""&amp;A60&amp;""""&amp;$F$1&amp;""""))))"),1100.1999999999998)</f>
        <v>1100.2</v>
      </c>
      <c r="G60" s="502">
        <f t="shared" si="1"/>
        <v>1142</v>
      </c>
      <c r="H60" s="502">
        <f t="shared" si="2"/>
        <v>2242.2</v>
      </c>
      <c r="I60" s="502">
        <f t="shared" si="3"/>
        <v>1100.2</v>
      </c>
    </row>
    <row r="61">
      <c r="A61" s="501" t="str">
        <f>IFERROR(__xludf.DUMMYFUNCTION("IFERROR(if(ISBLANK(Installment!A61),"""",if(GOOGLEFINANCE(Installment!A61,""Currency"")=""GBX"",""GBP"",GOOGLEFINANCE(Installment!A61,""Currency""))),$F$1)"),"INR")</f>
        <v>INR</v>
      </c>
      <c r="B61" s="501" t="str">
        <f>Installment!A61</f>
        <v>NSE:TATAMOTORS</v>
      </c>
      <c r="C61" s="501">
        <f>Installment!B61</f>
        <v>10</v>
      </c>
      <c r="D61" s="502">
        <f>IFERROR(__xludf.DUMMYFUNCTION("if(A61=""GBP"",if(B61="""","""",if(A61=$F$1,Installment!C61,Installment!C61*GOOGLEFINANCE(""Currency:""&amp;A61&amp;""""&amp;$F$1&amp;"""")))/100,if(B61="""","""",if(A61=$F$1,Installment!C61,Installment!C61*GOOGLEFINANCE(""Currency:""&amp;A61&amp;""""&amp;$F$1&amp;""""))))"),296.55)</f>
        <v>296.55</v>
      </c>
      <c r="E61" s="502" t="str">
        <f>IFERROR(__xludf.DUMMYFUNCTION("if(A61=""GBP"",if(B61="""","""",if(A61=$F$1,Installment!H61,Installment!H61*GOOGLEFINANCE(""Currency:""&amp;A61&amp;""""&amp;$F$1&amp;"""")))/100,if(B61="""","""",if(A61=$F$1,Installment!H61,Installment!H61*GOOGLEFINANCE(""Currency:""&amp;A61&amp;""""&amp;$F$1&amp;""""))))"),"#N/A")</f>
        <v>#N/A</v>
      </c>
      <c r="F61" s="502" t="str">
        <f>IFERROR(__xludf.DUMMYFUNCTION("if(A61=""GBP"",if(B61="""","""",if(A61=$F$1,Installment!I61,Installment!I61*GOOGLEFINANCE(""Currency:""&amp;A61&amp;""""&amp;$F$1&amp;"""")))/100,if(B61="""","""",if(A61=$F$1,Installment!I61,Installment!I61*GOOGLEFINANCE(""Currency:""&amp;A61&amp;""""&amp;$F$1&amp;""""))))"),"#N/A")</f>
        <v>#N/A</v>
      </c>
      <c r="G61" s="502">
        <f t="shared" si="1"/>
        <v>2965.5</v>
      </c>
      <c r="H61" s="501" t="str">
        <f t="shared" si="2"/>
        <v>#N/A</v>
      </c>
      <c r="I61" s="501" t="str">
        <f t="shared" si="3"/>
        <v>#N/A</v>
      </c>
    </row>
    <row r="62">
      <c r="A62" s="501" t="str">
        <f>IFERROR(__xludf.DUMMYFUNCTION("IFERROR(if(ISBLANK(Installment!A62),"""",if(GOOGLEFINANCE(Installment!A62,""Currency"")=""GBX"",""GBP"",GOOGLEFINANCE(Installment!A62,""Currency""))),$F$1)"),"INR")</f>
        <v>INR</v>
      </c>
      <c r="B62" s="501" t="str">
        <f>Installment!A62</f>
        <v>NSE:TITAN</v>
      </c>
      <c r="C62" s="501">
        <f>Installment!B62</f>
        <v>3</v>
      </c>
      <c r="D62" s="502">
        <f>IFERROR(__xludf.DUMMYFUNCTION("if(A62=""GBP"",if(B62="""","""",if(A62=$F$1,Installment!C62,Installment!C62*GOOGLEFINANCE(""Currency:""&amp;A62&amp;""""&amp;$F$1&amp;"""")))/100,if(B62="""","""",if(A62=$F$1,Installment!C62,Installment!C62*GOOGLEFINANCE(""Currency:""&amp;A62&amp;""""&amp;$F$1&amp;""""))))"),3336.6666666666665)</f>
        <v>3336.666667</v>
      </c>
      <c r="E62" s="502">
        <f>IFERROR(__xludf.DUMMYFUNCTION("if(A62=""GBP"",if(B62="""","""",if(A62=$F$1,Installment!H62,Installment!H62*GOOGLEFINANCE(""Currency:""&amp;A62&amp;""""&amp;$F$1&amp;"""")))/100,if(B62="""","""",if(A62=$F$1,Installment!H62,Installment!H62*GOOGLEFINANCE(""Currency:""&amp;A62&amp;""""&amp;$F$1&amp;""""))))"),4591.2)</f>
        <v>4591.2</v>
      </c>
      <c r="F62" s="502">
        <f>IFERROR(__xludf.DUMMYFUNCTION("if(A62=""GBP"",if(B62="""","""",if(A62=$F$1,Installment!I62,Installment!I62*GOOGLEFINANCE(""Currency:""&amp;A62&amp;""""&amp;$F$1&amp;"""")))/100,if(B62="""","""",if(A62=$F$1,Installment!I62,Installment!I62*GOOGLEFINANCE(""Currency:""&amp;A62&amp;""""&amp;$F$1&amp;""""))))"),3763.5999999999985)</f>
        <v>3763.6</v>
      </c>
      <c r="G62" s="502">
        <f t="shared" si="1"/>
        <v>10010</v>
      </c>
      <c r="H62" s="502">
        <f t="shared" si="2"/>
        <v>13773.6</v>
      </c>
      <c r="I62" s="502">
        <f t="shared" si="3"/>
        <v>3763.6</v>
      </c>
    </row>
    <row r="63">
      <c r="A63" s="501" t="str">
        <f>IFERROR(__xludf.DUMMYFUNCTION("IFERROR(if(ISBLANK(Installment!A63),"""",if(GOOGLEFINANCE(Installment!A63,""Currency"")=""GBX"",""GBP"",GOOGLEFINANCE(Installment!A63,""Currency""))),$F$1)"),"INR")</f>
        <v>INR</v>
      </c>
      <c r="B63" s="501" t="str">
        <f>Installment!A63</f>
        <v>NSE:TRACXN</v>
      </c>
      <c r="C63" s="501">
        <f>Installment!B63</f>
        <v>100</v>
      </c>
      <c r="D63" s="502">
        <f>IFERROR(__xludf.DUMMYFUNCTION("if(A63=""GBP"",if(B63="""","""",if(A63=$F$1,Installment!C63,Installment!C63*GOOGLEFINANCE(""Currency:""&amp;A63&amp;""""&amp;$F$1&amp;"""")))/100,if(B63="""","""",if(A63=$F$1,Installment!C63,Installment!C63*GOOGLEFINANCE(""Currency:""&amp;A63&amp;""""&amp;$F$1&amp;""""))))"),80.0)</f>
        <v>80</v>
      </c>
      <c r="E63" s="502">
        <f>IFERROR(__xludf.DUMMYFUNCTION("if(A63=""GBP"",if(B63="""","""",if(A63=$F$1,Installment!H63,Installment!H63*GOOGLEFINANCE(""Currency:""&amp;A63&amp;""""&amp;$F$1&amp;"""")))/100,if(B63="""","""",if(A63=$F$1,Installment!H63,Installment!H63*GOOGLEFINANCE(""Currency:""&amp;A63&amp;""""&amp;$F$1&amp;""""))))"),30.27)</f>
        <v>30.27</v>
      </c>
      <c r="F63" s="502">
        <f>IFERROR(__xludf.DUMMYFUNCTION("if(A63=""GBP"",if(B63="""","""",if(A63=$F$1,Installment!I63,Installment!I63*GOOGLEFINANCE(""Currency:""&amp;A63&amp;""""&amp;$F$1&amp;"""")))/100,if(B63="""","""",if(A63=$F$1,Installment!I63,Installment!I63*GOOGLEFINANCE(""Currency:""&amp;A63&amp;""""&amp;$F$1&amp;""""))))"),-4973.0)</f>
        <v>-4973</v>
      </c>
      <c r="G63" s="502">
        <f t="shared" si="1"/>
        <v>8000</v>
      </c>
      <c r="H63" s="502">
        <f t="shared" si="2"/>
        <v>3027</v>
      </c>
      <c r="I63" s="502">
        <f t="shared" si="3"/>
        <v>-4973</v>
      </c>
    </row>
    <row r="64">
      <c r="A64" s="501" t="str">
        <f>IFERROR(__xludf.DUMMYFUNCTION("IFERROR(if(ISBLANK(Installment!A64),"""",if(GOOGLEFINANCE(Installment!A64,""Currency"")=""GBX"",""GBP"",GOOGLEFINANCE(Installment!A64,""Currency""))),$F$1)"),"INR")</f>
        <v>INR</v>
      </c>
      <c r="B64" s="501" t="str">
        <f>Installment!A64</f>
        <v>NSE:TRIDENT</v>
      </c>
      <c r="C64" s="501">
        <f>Installment!B64</f>
        <v>2000</v>
      </c>
      <c r="D64" s="502">
        <f>IFERROR(__xludf.DUMMYFUNCTION("if(A64=""GBP"",if(B64="""","""",if(A64=$F$1,Installment!C64,Installment!C64*GOOGLEFINANCE(""Currency:""&amp;A64&amp;""""&amp;$F$1&amp;"""")))/100,if(B64="""","""",if(A64=$F$1,Installment!C64,Installment!C64*GOOGLEFINANCE(""Currency:""&amp;A64&amp;""""&amp;$F$1&amp;""""))))"),38.3233521)</f>
        <v>38.3233521</v>
      </c>
      <c r="E64" s="502">
        <f>IFERROR(__xludf.DUMMYFUNCTION("if(A64=""GBP"",if(B64="""","""",if(A64=$F$1,Installment!H64,Installment!H64*GOOGLEFINANCE(""Currency:""&amp;A64&amp;""""&amp;$F$1&amp;"""")))/100,if(B64="""","""",if(A64=$F$1,Installment!H64,Installment!H64*GOOGLEFINANCE(""Currency:""&amp;A64&amp;""""&amp;$F$1&amp;""""))))"),25.96)</f>
        <v>25.96</v>
      </c>
      <c r="F64" s="502">
        <f>IFERROR(__xludf.DUMMYFUNCTION("if(A64=""GBP"",if(B64="""","""",if(A64=$F$1,Installment!I64,Installment!I64*GOOGLEFINANCE(""Currency:""&amp;A64&amp;""""&amp;$F$1&amp;"""")))/100,if(B64="""","""",if(A64=$F$1,Installment!I64,Installment!I64*GOOGLEFINANCE(""Currency:""&amp;A64&amp;""""&amp;$F$1&amp;""""))))"),-24726.704200000007)</f>
        <v>-24726.7042</v>
      </c>
      <c r="G64" s="502">
        <f t="shared" si="1"/>
        <v>76646.7042</v>
      </c>
      <c r="H64" s="502">
        <f t="shared" si="2"/>
        <v>51920</v>
      </c>
      <c r="I64" s="502">
        <f t="shared" si="3"/>
        <v>-24726.7042</v>
      </c>
    </row>
    <row r="65">
      <c r="A65" s="501" t="str">
        <f>IFERROR(__xludf.DUMMYFUNCTION("IFERROR(if(ISBLANK(Installment!A65),"""",if(GOOGLEFINANCE(Installment!A65,""Currency"")=""GBX"",""GBP"",GOOGLEFINANCE(Installment!A65,""Currency""))),$F$1)"),"INR")</f>
        <v>INR</v>
      </c>
      <c r="B65" s="501" t="str">
        <f>Installment!A65</f>
        <v>NSE:UNOMINDA</v>
      </c>
      <c r="C65" s="501">
        <f>Installment!B65</f>
        <v>2</v>
      </c>
      <c r="D65" s="502">
        <f>IFERROR(__xludf.DUMMYFUNCTION("if(A65=""GBP"",if(B65="""","""",if(A65=$F$1,Installment!C65,Installment!C65*GOOGLEFINANCE(""Currency:""&amp;A65&amp;""""&amp;$F$1&amp;"""")))/100,if(B65="""","""",if(A65=$F$1,Installment!C65,Installment!C65*GOOGLEFINANCE(""Currency:""&amp;A65&amp;""""&amp;$F$1&amp;""""))))"),350.825)</f>
        <v>350.825</v>
      </c>
      <c r="E65" s="502">
        <f>IFERROR(__xludf.DUMMYFUNCTION("if(A65=""GBP"",if(B65="""","""",if(A65=$F$1,Installment!H65,Installment!H65*GOOGLEFINANCE(""Currency:""&amp;A65&amp;""""&amp;$F$1&amp;"""")))/100,if(B65="""","""",if(A65=$F$1,Installment!H65,Installment!H65*GOOGLEFINANCE(""Currency:""&amp;A65&amp;""""&amp;$F$1&amp;""""))))"),1126.0)</f>
        <v>1126</v>
      </c>
      <c r="F65" s="502">
        <f>IFERROR(__xludf.DUMMYFUNCTION("if(A65=""GBP"",if(B65="""","""",if(A65=$F$1,Installment!I65,Installment!I65*GOOGLEFINANCE(""Currency:""&amp;A65&amp;""""&amp;$F$1&amp;"""")))/100,if(B65="""","""",if(A65=$F$1,Installment!I65,Installment!I65*GOOGLEFINANCE(""Currency:""&amp;A65&amp;""""&amp;$F$1&amp;""""))))"),1550.35)</f>
        <v>1550.35</v>
      </c>
      <c r="G65" s="502">
        <f t="shared" si="1"/>
        <v>701.65</v>
      </c>
      <c r="H65" s="502">
        <f t="shared" si="2"/>
        <v>2252</v>
      </c>
      <c r="I65" s="502">
        <f t="shared" si="3"/>
        <v>1550.35</v>
      </c>
    </row>
    <row r="66">
      <c r="A66" s="501" t="str">
        <f>IFERROR(__xludf.DUMMYFUNCTION("IFERROR(if(ISBLANK(Installment!A66),"""",if(GOOGLEFINANCE(Installment!A66,""Currency"")=""GBX"",""GBP"",GOOGLEFINANCE(Installment!A66,""Currency""))),$F$1)"),"INR")</f>
        <v>INR</v>
      </c>
      <c r="B66" s="501" t="str">
        <f>Installment!A66</f>
        <v>NSE:URJA</v>
      </c>
      <c r="C66" s="501">
        <f>Installment!B66</f>
        <v>100</v>
      </c>
      <c r="D66" s="502">
        <f>IFERROR(__xludf.DUMMYFUNCTION("if(A66=""GBP"",if(B66="""","""",if(A66=$F$1,Installment!C66,Installment!C66*GOOGLEFINANCE(""Currency:""&amp;A66&amp;""""&amp;$F$1&amp;"""")))/100,if(B66="""","""",if(A66=$F$1,Installment!C66,Installment!C66*GOOGLEFINANCE(""Currency:""&amp;A66&amp;""""&amp;$F$1&amp;""""))))"),6.84)</f>
        <v>6.84</v>
      </c>
      <c r="E66" s="502">
        <f>IFERROR(__xludf.DUMMYFUNCTION("if(A66=""GBP"",if(B66="""","""",if(A66=$F$1,Installment!H66,Installment!H66*GOOGLEFINANCE(""Currency:""&amp;A66&amp;""""&amp;$F$1&amp;"""")))/100,if(B66="""","""",if(A66=$F$1,Installment!H66,Installment!H66*GOOGLEFINANCE(""Currency:""&amp;A66&amp;""""&amp;$F$1&amp;""""))))"),9.59)</f>
        <v>9.59</v>
      </c>
      <c r="F66" s="502">
        <f>IFERROR(__xludf.DUMMYFUNCTION("if(A66=""GBP"",if(B66="""","""",if(A66=$F$1,Installment!I66,Installment!I66*GOOGLEFINANCE(""Currency:""&amp;A66&amp;""""&amp;$F$1&amp;"""")))/100,if(B66="""","""",if(A66=$F$1,Installment!I66,Installment!I66*GOOGLEFINANCE(""Currency:""&amp;A66&amp;""""&amp;$F$1&amp;""""))))"),275.0)</f>
        <v>275</v>
      </c>
      <c r="G66" s="502">
        <f t="shared" si="1"/>
        <v>684</v>
      </c>
      <c r="H66" s="502">
        <f t="shared" si="2"/>
        <v>959</v>
      </c>
      <c r="I66" s="502">
        <f t="shared" si="3"/>
        <v>275</v>
      </c>
    </row>
    <row r="67">
      <c r="A67" s="501" t="str">
        <f>IFERROR(__xludf.DUMMYFUNCTION("IFERROR(if(ISBLANK(Installment!A67),"""",if(GOOGLEFINANCE(Installment!A67,""Currency"")=""GBX"",""GBP"",GOOGLEFINANCE(Installment!A67,""Currency""))),$F$1)"),"INR")</f>
        <v>INR</v>
      </c>
      <c r="B67" s="501" t="str">
        <f>Installment!A67</f>
        <v>NSE:UTKARSHBNK</v>
      </c>
      <c r="C67" s="501">
        <f>Installment!B67</f>
        <v>280</v>
      </c>
      <c r="D67" s="502">
        <f>IFERROR(__xludf.DUMMYFUNCTION("if(A67=""GBP"",if(B67="""","""",if(A67=$F$1,Installment!C67,Installment!C67*GOOGLEFINANCE(""Currency:""&amp;A67&amp;""""&amp;$F$1&amp;"""")))/100,if(B67="""","""",if(A67=$F$1,Installment!C67,Installment!C67*GOOGLEFINANCE(""Currency:""&amp;A67&amp;""""&amp;$F$1&amp;""""))))"),48.63928571428571)</f>
        <v>48.63928571</v>
      </c>
      <c r="E67" s="502">
        <f>IFERROR(__xludf.DUMMYFUNCTION("if(A67=""GBP"",if(B67="""","""",if(A67=$F$1,Installment!H67,Installment!H67*GOOGLEFINANCE(""Currency:""&amp;A67&amp;""""&amp;$F$1&amp;"""")))/100,if(B67="""","""",if(A67=$F$1,Installment!H67,Installment!H67*GOOGLEFINANCE(""Currency:""&amp;A67&amp;""""&amp;$F$1&amp;""""))))"),14.55)</f>
        <v>14.55</v>
      </c>
      <c r="F67" s="502">
        <f>IFERROR(__xludf.DUMMYFUNCTION("if(A67=""GBP"",if(B67="""","""",if(A67=$F$1,Installment!I67,Installment!I67*GOOGLEFINANCE(""Currency:""&amp;A67&amp;""""&amp;$F$1&amp;"""")))/100,if(B67="""","""",if(A67=$F$1,Installment!I67,Installment!I67*GOOGLEFINANCE(""Currency:""&amp;A67&amp;""""&amp;$F$1&amp;""""))))"),-9545.0)</f>
        <v>-9545</v>
      </c>
      <c r="G67" s="502">
        <f t="shared" si="1"/>
        <v>13619</v>
      </c>
      <c r="H67" s="502">
        <f t="shared" si="2"/>
        <v>4074</v>
      </c>
      <c r="I67" s="502">
        <f t="shared" si="3"/>
        <v>-9545</v>
      </c>
    </row>
    <row r="68">
      <c r="A68" s="501" t="str">
        <f>IFERROR(__xludf.DUMMYFUNCTION("IFERROR(if(ISBLANK(Installment!A68),"""",if(GOOGLEFINANCE(Installment!A68,""Currency"")=""GBX"",""GBP"",GOOGLEFINANCE(Installment!A68,""Currency""))),$F$1)"),"INR")</f>
        <v>INR</v>
      </c>
      <c r="B68" s="501" t="str">
        <f>Installment!A68</f>
        <v>NSE:VBL</v>
      </c>
      <c r="C68" s="501">
        <f>Installment!B68</f>
        <v>5</v>
      </c>
      <c r="D68" s="502">
        <f>IFERROR(__xludf.DUMMYFUNCTION("if(A68=""GBP"",if(B68="""","""",if(A68=$F$1,Installment!C68,Installment!C68*GOOGLEFINANCE(""Currency:""&amp;A68&amp;""""&amp;$F$1&amp;"""")))/100,if(B68="""","""",if(A68=$F$1,Installment!C68,Installment!C68*GOOGLEFINANCE(""Currency:""&amp;A68&amp;""""&amp;$F$1&amp;""""))))"),156.4)</f>
        <v>156.4</v>
      </c>
      <c r="E68" s="502">
        <f>IFERROR(__xludf.DUMMYFUNCTION("if(A68=""GBP"",if(B68="""","""",if(A68=$F$1,Installment!H68,Installment!H68*GOOGLEFINANCE(""Currency:""&amp;A68&amp;""""&amp;$F$1&amp;"""")))/100,if(B68="""","""",if(A68=$F$1,Installment!H68,Installment!H68*GOOGLEFINANCE(""Currency:""&amp;A68&amp;""""&amp;$F$1&amp;""""))))"),484.0)</f>
        <v>484</v>
      </c>
      <c r="F68" s="502">
        <f>IFERROR(__xludf.DUMMYFUNCTION("if(A68=""GBP"",if(B68="""","""",if(A68=$F$1,Installment!I68,Installment!I68*GOOGLEFINANCE(""Currency:""&amp;A68&amp;""""&amp;$F$1&amp;"""")))/100,if(B68="""","""",if(A68=$F$1,Installment!I68,Installment!I68*GOOGLEFINANCE(""Currency:""&amp;A68&amp;""""&amp;$F$1&amp;""""))))"),1638.0)</f>
        <v>1638</v>
      </c>
      <c r="G68" s="502">
        <f t="shared" si="1"/>
        <v>782</v>
      </c>
      <c r="H68" s="502">
        <f t="shared" si="2"/>
        <v>2420</v>
      </c>
      <c r="I68" s="502">
        <f t="shared" si="3"/>
        <v>1638</v>
      </c>
    </row>
    <row r="69">
      <c r="A69" s="501" t="str">
        <f>IFERROR(__xludf.DUMMYFUNCTION("IFERROR(if(ISBLANK(Installment!A69),"""",if(GOOGLEFINANCE(Installment!A69,""Currency"")=""GBX"",""GBP"",GOOGLEFINANCE(Installment!A69,""Currency""))),$F$1)"),"INR")</f>
        <v>INR</v>
      </c>
      <c r="B69" s="501" t="str">
        <f>Installment!A69</f>
        <v>NSE:VIKASLIFE</v>
      </c>
      <c r="C69" s="501">
        <f>Installment!B69</f>
        <v>200</v>
      </c>
      <c r="D69" s="502">
        <f>IFERROR(__xludf.DUMMYFUNCTION("if(A69=""GBP"",if(B69="""","""",if(A69=$F$1,Installment!C69,Installment!C69*GOOGLEFINANCE(""Currency:""&amp;A69&amp;""""&amp;$F$1&amp;"""")))/100,if(B69="""","""",if(A69=$F$1,Installment!C69,Installment!C69*GOOGLEFINANCE(""Currency:""&amp;A69&amp;""""&amp;$F$1&amp;""""))))"),5.09)</f>
        <v>5.09</v>
      </c>
      <c r="E69" s="502">
        <f>IFERROR(__xludf.DUMMYFUNCTION("if(A69=""GBP"",if(B69="""","""",if(A69=$F$1,Installment!H69,Installment!H69*GOOGLEFINANCE(""Currency:""&amp;A69&amp;""""&amp;$F$1&amp;"""")))/100,if(B69="""","""",if(A69=$F$1,Installment!H69,Installment!H69*GOOGLEFINANCE(""Currency:""&amp;A69&amp;""""&amp;$F$1&amp;""""))))"),1.44)</f>
        <v>1.44</v>
      </c>
      <c r="F69" s="502">
        <f>IFERROR(__xludf.DUMMYFUNCTION("if(A69=""GBP"",if(B69="""","""",if(A69=$F$1,Installment!I69,Installment!I69*GOOGLEFINANCE(""Currency:""&amp;A69&amp;""""&amp;$F$1&amp;"""")))/100,if(B69="""","""",if(A69=$F$1,Installment!I69,Installment!I69*GOOGLEFINANCE(""Currency:""&amp;A69&amp;""""&amp;$F$1&amp;""""))))"),-730.0)</f>
        <v>-730</v>
      </c>
      <c r="G69" s="502">
        <f t="shared" si="1"/>
        <v>1018</v>
      </c>
      <c r="H69" s="502">
        <f t="shared" si="2"/>
        <v>288</v>
      </c>
      <c r="I69" s="502">
        <f t="shared" si="3"/>
        <v>-730</v>
      </c>
    </row>
    <row r="70">
      <c r="A70" s="501" t="str">
        <f>IFERROR(__xludf.DUMMYFUNCTION("IFERROR(if(ISBLANK(Installment!A70),"""",if(GOOGLEFINANCE(Installment!A70,""Currency"")=""GBX"",""GBP"",GOOGLEFINANCE(Installment!A70,""Currency""))),$F$1)"),"INR")</f>
        <v>INR</v>
      </c>
      <c r="B70" s="501" t="str">
        <f>Installment!A70</f>
        <v>NSE:YASHO</v>
      </c>
      <c r="C70" s="501">
        <f>Installment!B70</f>
        <v>3</v>
      </c>
      <c r="D70" s="502">
        <f>IFERROR(__xludf.DUMMYFUNCTION("if(A70=""GBP"",if(B70="""","""",if(A70=$F$1,Installment!C70,Installment!C70*GOOGLEFINANCE(""Currency:""&amp;A70&amp;""""&amp;$F$1&amp;"""")))/100,if(B70="""","""",if(A70=$F$1,Installment!C70,Installment!C70*GOOGLEFINANCE(""Currency:""&amp;A70&amp;""""&amp;$F$1&amp;""""))))"),1603.3333333333333)</f>
        <v>1603.333333</v>
      </c>
      <c r="E70" s="502">
        <f>IFERROR(__xludf.DUMMYFUNCTION("if(A70=""GBP"",if(B70="""","""",if(A70=$F$1,Installment!H70,Installment!H70*GOOGLEFINANCE(""Currency:""&amp;A70&amp;""""&amp;$F$1&amp;"""")))/100,if(B70="""","""",if(A70=$F$1,Installment!H70,Installment!H70*GOOGLEFINANCE(""Currency:""&amp;A70&amp;""""&amp;$F$1&amp;""""))))"),2884.4)</f>
        <v>2884.4</v>
      </c>
      <c r="F70" s="502">
        <f>IFERROR(__xludf.DUMMYFUNCTION("if(A70=""GBP"",if(B70="""","""",if(A70=$F$1,Installment!I70,Installment!I70*GOOGLEFINANCE(""Currency:""&amp;A70&amp;""""&amp;$F$1&amp;"""")))/100,if(B70="""","""",if(A70=$F$1,Installment!I70,Installment!I70*GOOGLEFINANCE(""Currency:""&amp;A70&amp;""""&amp;$F$1&amp;""""))))"),3843.2000000000007)</f>
        <v>3843.2</v>
      </c>
      <c r="G70" s="502">
        <f t="shared" si="1"/>
        <v>4810</v>
      </c>
      <c r="H70" s="502">
        <f t="shared" si="2"/>
        <v>8653.2</v>
      </c>
      <c r="I70" s="502">
        <f t="shared" si="3"/>
        <v>3843.2</v>
      </c>
    </row>
    <row r="71">
      <c r="A71" s="501" t="str">
        <f>IFERROR(__xludf.DUMMYFUNCTION("IFERROR(if(ISBLANK(Installment!A71),"""",if(GOOGLEFINANCE(Installment!A71,""Currency"")=""GBX"",""GBP"",GOOGLEFINANCE(Installment!A71,""Currency""))),$F$1)"),"INR")</f>
        <v>INR</v>
      </c>
      <c r="B71" s="501" t="str">
        <f>Installment!A71</f>
        <v>NSE:YESBANK</v>
      </c>
      <c r="C71" s="501">
        <f>Installment!B71</f>
        <v>30</v>
      </c>
      <c r="D71" s="502">
        <f>IFERROR(__xludf.DUMMYFUNCTION("if(A71=""GBP"",if(B71="""","""",if(A71=$F$1,Installment!C71,Installment!C71*GOOGLEFINANCE(""Currency:""&amp;A71&amp;""""&amp;$F$1&amp;"""")))/100,if(B71="""","""",if(A71=$F$1,Installment!C71,Installment!C71*GOOGLEFINANCE(""Currency:""&amp;A71&amp;""""&amp;$F$1&amp;""""))))"),20.16)</f>
        <v>20.16</v>
      </c>
      <c r="E71" s="502">
        <f>IFERROR(__xludf.DUMMYFUNCTION("if(A71=""GBP"",if(B71="""","""",if(A71=$F$1,Installment!H71,Installment!H71*GOOGLEFINANCE(""Currency:""&amp;A71&amp;""""&amp;$F$1&amp;"""")))/100,if(B71="""","""",if(A71=$F$1,Installment!H71,Installment!H71*GOOGLEFINANCE(""Currency:""&amp;A71&amp;""""&amp;$F$1&amp;""""))))"),24.05)</f>
        <v>24.05</v>
      </c>
      <c r="F71" s="502">
        <f>IFERROR(__xludf.DUMMYFUNCTION("if(A71=""GBP"",if(B71="""","""",if(A71=$F$1,Installment!I71,Installment!I71*GOOGLEFINANCE(""Currency:""&amp;A71&amp;""""&amp;$F$1&amp;"""")))/100,if(B71="""","""",if(A71=$F$1,Installment!I71,Installment!I71*GOOGLEFINANCE(""Currency:""&amp;A71&amp;""""&amp;$F$1&amp;""""))))"),116.70000000000005)</f>
        <v>116.7</v>
      </c>
      <c r="G71" s="502">
        <f t="shared" si="1"/>
        <v>604.8</v>
      </c>
      <c r="H71" s="502">
        <f t="shared" si="2"/>
        <v>721.5</v>
      </c>
      <c r="I71" s="502">
        <f t="shared" si="3"/>
        <v>116.7</v>
      </c>
    </row>
    <row r="72">
      <c r="A72" s="501" t="str">
        <f>IFERROR(__xludf.DUMMYFUNCTION("IFERROR(if(ISBLANK(Installment!A72),"""",if(GOOGLEFINANCE(Installment!A72,""Currency"")=""GBX"",""GBP"",GOOGLEFINANCE(Installment!A72,""Currency""))),$F$1)"),"INR")</f>
        <v>INR</v>
      </c>
      <c r="B72" s="501" t="str">
        <f>Installment!A72</f>
        <v>NSE:ZENTEC</v>
      </c>
      <c r="C72" s="501">
        <f>Installment!B72</f>
        <v>20</v>
      </c>
      <c r="D72" s="502">
        <f>IFERROR(__xludf.DUMMYFUNCTION("if(A72=""GBP"",if(B72="""","""",if(A72=$F$1,Installment!C72,Installment!C72*GOOGLEFINANCE(""Currency:""&amp;A72&amp;""""&amp;$F$1&amp;"""")))/100,if(B72="""","""",if(A72=$F$1,Installment!C72,Installment!C72*GOOGLEFINANCE(""Currency:""&amp;A72&amp;""""&amp;$F$1&amp;""""))))"),1038.1799999999998)</f>
        <v>1038.18</v>
      </c>
      <c r="E72" s="502">
        <f>IFERROR(__xludf.DUMMYFUNCTION("if(A72=""GBP"",if(B72="""","""",if(A72=$F$1,Installment!H72,Installment!H72*GOOGLEFINANCE(""Currency:""&amp;A72&amp;""""&amp;$F$1&amp;"""")))/100,if(B72="""","""",if(A72=$F$1,Installment!H72,Installment!H72*GOOGLEFINANCE(""Currency:""&amp;A72&amp;""""&amp;$F$1&amp;""""))))"),1861.0)</f>
        <v>1861</v>
      </c>
      <c r="F72" s="502">
        <f>IFERROR(__xludf.DUMMYFUNCTION("if(A72=""GBP"",if(B72="""","""",if(A72=$F$1,Installment!I72,Installment!I72*GOOGLEFINANCE(""Currency:""&amp;A72&amp;""""&amp;$F$1&amp;"""")))/100,if(B72="""","""",if(A72=$F$1,Installment!I72,Installment!I72*GOOGLEFINANCE(""Currency:""&amp;A72&amp;""""&amp;$F$1&amp;""""))))"),16456.4)</f>
        <v>16456.4</v>
      </c>
      <c r="G72" s="502">
        <f t="shared" si="1"/>
        <v>20763.6</v>
      </c>
      <c r="H72" s="502">
        <f t="shared" si="2"/>
        <v>37220</v>
      </c>
      <c r="I72" s="502">
        <f t="shared" si="3"/>
        <v>16456.4</v>
      </c>
    </row>
    <row r="73">
      <c r="A73" s="501" t="str">
        <f>IFERROR(__xludf.DUMMYFUNCTION("IFERROR(if(ISBLANK(Installment!A73),"""",if(GOOGLEFINANCE(Installment!A73,""Currency"")=""GBX"",""GBP"",GOOGLEFINANCE(Installment!A73,""Currency""))),$F$1)"),"INR")</f>
        <v>INR</v>
      </c>
      <c r="B73" s="501" t="str">
        <f>Installment!A73</f>
        <v>NSE:ZOMATO</v>
      </c>
      <c r="C73" s="501">
        <f>Installment!B73</f>
        <v>2</v>
      </c>
      <c r="D73" s="502">
        <f>IFERROR(__xludf.DUMMYFUNCTION("if(A73=""GBP"",if(B73="""","""",if(A73=$F$1,Installment!C73,Installment!C73*GOOGLEFINANCE(""Currency:""&amp;A73&amp;""""&amp;$F$1&amp;"""")))/100,if(B73="""","""",if(A73=$F$1,Installment!C73,Installment!C73*GOOGLEFINANCE(""Currency:""&amp;A73&amp;""""&amp;$F$1&amp;""""))))"),155.0)</f>
        <v>155</v>
      </c>
      <c r="E73" s="502" t="str">
        <f>IFERROR(__xludf.DUMMYFUNCTION("if(A73=""GBP"",if(B73="""","""",if(A73=$F$1,Installment!H73,Installment!H73*GOOGLEFINANCE(""Currency:""&amp;A73&amp;""""&amp;$F$1&amp;"""")))/100,if(B73="""","""",if(A73=$F$1,Installment!H73,Installment!H73*GOOGLEFINANCE(""Currency:""&amp;A73&amp;""""&amp;$F$1&amp;""""))))"),"#N/A")</f>
        <v>#N/A</v>
      </c>
      <c r="F73" s="502" t="str">
        <f>IFERROR(__xludf.DUMMYFUNCTION("if(A73=""GBP"",if(B73="""","""",if(A73=$F$1,Installment!I73,Installment!I73*GOOGLEFINANCE(""Currency:""&amp;A73&amp;""""&amp;$F$1&amp;"""")))/100,if(B73="""","""",if(A73=$F$1,Installment!I73,Installment!I73*GOOGLEFINANCE(""Currency:""&amp;A73&amp;""""&amp;$F$1&amp;""""))))"),"#N/A")</f>
        <v>#N/A</v>
      </c>
      <c r="G73" s="502">
        <f t="shared" si="1"/>
        <v>310</v>
      </c>
      <c r="H73" s="501" t="str">
        <f t="shared" si="2"/>
        <v>#N/A</v>
      </c>
      <c r="I73" s="501" t="str">
        <f t="shared" si="3"/>
        <v>#N/A</v>
      </c>
    </row>
    <row r="74">
      <c r="A74" s="501" t="str">
        <f>IFERROR(__xludf.DUMMYFUNCTION("IFERROR(if(ISBLANK(Installment!A74),"""",if(GOOGLEFINANCE(Installment!A74,""Currency"")=""GBX"",""GBP"",GOOGLEFINANCE(Installment!A74,""Currency""))),$F$1)"),"")</f>
        <v/>
      </c>
      <c r="B74" s="501" t="str">
        <f>Installment!A74</f>
        <v/>
      </c>
      <c r="C74" s="501" t="str">
        <f>Installment!B74</f>
        <v/>
      </c>
      <c r="D74" s="501" t="str">
        <f>IFERROR(__xludf.DUMMYFUNCTION("if(A74=""GBP"",if(B74="""","""",if(A74=$F$1,Installment!C74,Installment!C74*GOOGLEFINANCE(""Currency:""&amp;A74&amp;""""&amp;$F$1&amp;"""")))/100,if(B74="""","""",if(A74=$F$1,Installment!C74,Installment!C74*GOOGLEFINANCE(""Currency:""&amp;A74&amp;""""&amp;$F$1&amp;""""))))"),"")</f>
        <v/>
      </c>
      <c r="E74" s="501" t="str">
        <f>IFERROR(__xludf.DUMMYFUNCTION("if(A74=""GBP"",if(B74="""","""",if(A74=$F$1,Installment!H74,Installment!H74*GOOGLEFINANCE(""Currency:""&amp;A74&amp;""""&amp;$F$1&amp;"""")))/100,if(B74="""","""",if(A74=$F$1,Installment!H74,Installment!H74*GOOGLEFINANCE(""Currency:""&amp;A74&amp;""""&amp;$F$1&amp;""""))))"),"")</f>
        <v/>
      </c>
      <c r="F74" s="501" t="str">
        <f>IFERROR(__xludf.DUMMYFUNCTION("if(A74=""GBP"",if(B74="""","""",if(A74=$F$1,Installment!I74,Installment!I74*GOOGLEFINANCE(""Currency:""&amp;A74&amp;""""&amp;$F$1&amp;"""")))/100,if(B74="""","""",if(A74=$F$1,Installment!I74,Installment!I74*GOOGLEFINANCE(""Currency:""&amp;A74&amp;""""&amp;$F$1&amp;""""))))"),"")</f>
        <v/>
      </c>
      <c r="G74" s="501" t="str">
        <f t="shared" si="1"/>
        <v/>
      </c>
      <c r="H74" s="501" t="str">
        <f t="shared" si="2"/>
        <v/>
      </c>
      <c r="I74" s="501" t="str">
        <f t="shared" si="3"/>
        <v/>
      </c>
    </row>
    <row r="75">
      <c r="A75" s="501" t="str">
        <f>IFERROR(__xludf.DUMMYFUNCTION("IFERROR(if(ISBLANK(Installment!A75),"""",if(GOOGLEFINANCE(Installment!A75,""Currency"")=""GBX"",""GBP"",GOOGLEFINANCE(Installment!A75,""Currency""))),$F$1)"),"")</f>
        <v/>
      </c>
      <c r="B75" s="501" t="str">
        <f>Installment!A75</f>
        <v/>
      </c>
      <c r="C75" s="501" t="str">
        <f>Installment!B75</f>
        <v/>
      </c>
      <c r="D75" s="501" t="str">
        <f>IFERROR(__xludf.DUMMYFUNCTION("if(A75=""GBP"",if(B75="""","""",if(A75=$F$1,Installment!C75,Installment!C75*GOOGLEFINANCE(""Currency:""&amp;A75&amp;""""&amp;$F$1&amp;"""")))/100,if(B75="""","""",if(A75=$F$1,Installment!C75,Installment!C75*GOOGLEFINANCE(""Currency:""&amp;A75&amp;""""&amp;$F$1&amp;""""))))"),"")</f>
        <v/>
      </c>
      <c r="E75" s="501" t="str">
        <f>IFERROR(__xludf.DUMMYFUNCTION("if(A75=""GBP"",if(B75="""","""",if(A75=$F$1,Installment!H75,Installment!H75*GOOGLEFINANCE(""Currency:""&amp;A75&amp;""""&amp;$F$1&amp;"""")))/100,if(B75="""","""",if(A75=$F$1,Installment!H75,Installment!H75*GOOGLEFINANCE(""Currency:""&amp;A75&amp;""""&amp;$F$1&amp;""""))))"),"")</f>
        <v/>
      </c>
      <c r="F75" s="501" t="str">
        <f>IFERROR(__xludf.DUMMYFUNCTION("if(A75=""GBP"",if(B75="""","""",if(A75=$F$1,Installment!I75,Installment!I75*GOOGLEFINANCE(""Currency:""&amp;A75&amp;""""&amp;$F$1&amp;"""")))/100,if(B75="""","""",if(A75=$F$1,Installment!I75,Installment!I75*GOOGLEFINANCE(""Currency:""&amp;A75&amp;""""&amp;$F$1&amp;""""))))"),"")</f>
        <v/>
      </c>
      <c r="G75" s="501" t="str">
        <f t="shared" si="1"/>
        <v/>
      </c>
      <c r="H75" s="501" t="str">
        <f t="shared" si="2"/>
        <v/>
      </c>
      <c r="I75" s="501" t="str">
        <f t="shared" si="3"/>
        <v/>
      </c>
    </row>
    <row r="76">
      <c r="A76" s="501" t="str">
        <f>IFERROR(__xludf.DUMMYFUNCTION("IFERROR(if(ISBLANK(Installment!A76),"""",if(GOOGLEFINANCE(Installment!A76,""Currency"")=""GBX"",""GBP"",GOOGLEFINANCE(Installment!A76,""Currency""))),$F$1)"),"")</f>
        <v/>
      </c>
      <c r="B76" s="501" t="str">
        <f>Installment!A76</f>
        <v/>
      </c>
      <c r="C76" s="501" t="str">
        <f>Installment!B76</f>
        <v/>
      </c>
      <c r="D76" s="501" t="str">
        <f>IFERROR(__xludf.DUMMYFUNCTION("if(A76=""GBP"",if(B76="""","""",if(A76=$F$1,Installment!C76,Installment!C76*GOOGLEFINANCE(""Currency:""&amp;A76&amp;""""&amp;$F$1&amp;"""")))/100,if(B76="""","""",if(A76=$F$1,Installment!C76,Installment!C76*GOOGLEFINANCE(""Currency:""&amp;A76&amp;""""&amp;$F$1&amp;""""))))"),"")</f>
        <v/>
      </c>
      <c r="E76" s="501" t="str">
        <f>IFERROR(__xludf.DUMMYFUNCTION("if(A76=""GBP"",if(B76="""","""",if(A76=$F$1,Installment!H76,Installment!H76*GOOGLEFINANCE(""Currency:""&amp;A76&amp;""""&amp;$F$1&amp;"""")))/100,if(B76="""","""",if(A76=$F$1,Installment!H76,Installment!H76*GOOGLEFINANCE(""Currency:""&amp;A76&amp;""""&amp;$F$1&amp;""""))))"),"")</f>
        <v/>
      </c>
      <c r="F76" s="501" t="str">
        <f>IFERROR(__xludf.DUMMYFUNCTION("if(A76=""GBP"",if(B76="""","""",if(A76=$F$1,Installment!I76,Installment!I76*GOOGLEFINANCE(""Currency:""&amp;A76&amp;""""&amp;$F$1&amp;"""")))/100,if(B76="""","""",if(A76=$F$1,Installment!I76,Installment!I76*GOOGLEFINANCE(""Currency:""&amp;A76&amp;""""&amp;$F$1&amp;""""))))"),"")</f>
        <v/>
      </c>
      <c r="G76" s="501" t="str">
        <f t="shared" si="1"/>
        <v/>
      </c>
      <c r="H76" s="501" t="str">
        <f t="shared" si="2"/>
        <v/>
      </c>
      <c r="I76" s="501" t="str">
        <f t="shared" si="3"/>
        <v/>
      </c>
    </row>
    <row r="77">
      <c r="A77" s="501" t="str">
        <f>IFERROR(__xludf.DUMMYFUNCTION("IFERROR(if(ISBLANK(Installment!A77),"""",if(GOOGLEFINANCE(Installment!A77,""Currency"")=""GBX"",""GBP"",GOOGLEFINANCE(Installment!A77,""Currency""))),$F$1)"),"")</f>
        <v/>
      </c>
      <c r="B77" s="501" t="str">
        <f>Installment!A77</f>
        <v/>
      </c>
      <c r="C77" s="501" t="str">
        <f>Installment!B77</f>
        <v/>
      </c>
      <c r="D77" s="501" t="str">
        <f>IFERROR(__xludf.DUMMYFUNCTION("if(A77=""GBP"",if(B77="""","""",if(A77=$F$1,Installment!C77,Installment!C77*GOOGLEFINANCE(""Currency:""&amp;A77&amp;""""&amp;$F$1&amp;"""")))/100,if(B77="""","""",if(A77=$F$1,Installment!C77,Installment!C77*GOOGLEFINANCE(""Currency:""&amp;A77&amp;""""&amp;$F$1&amp;""""))))"),"")</f>
        <v/>
      </c>
      <c r="E77" s="501" t="str">
        <f>IFERROR(__xludf.DUMMYFUNCTION("if(A77=""GBP"",if(B77="""","""",if(A77=$F$1,Installment!H77,Installment!H77*GOOGLEFINANCE(""Currency:""&amp;A77&amp;""""&amp;$F$1&amp;"""")))/100,if(B77="""","""",if(A77=$F$1,Installment!H77,Installment!H77*GOOGLEFINANCE(""Currency:""&amp;A77&amp;""""&amp;$F$1&amp;""""))))"),"")</f>
        <v/>
      </c>
      <c r="F77" s="501" t="str">
        <f>IFERROR(__xludf.DUMMYFUNCTION("if(A77=""GBP"",if(B77="""","""",if(A77=$F$1,Installment!I77,Installment!I77*GOOGLEFINANCE(""Currency:""&amp;A77&amp;""""&amp;$F$1&amp;"""")))/100,if(B77="""","""",if(A77=$F$1,Installment!I77,Installment!I77*GOOGLEFINANCE(""Currency:""&amp;A77&amp;""""&amp;$F$1&amp;""""))))"),"")</f>
        <v/>
      </c>
      <c r="G77" s="501" t="str">
        <f t="shared" si="1"/>
        <v/>
      </c>
      <c r="H77" s="501" t="str">
        <f t="shared" si="2"/>
        <v/>
      </c>
      <c r="I77" s="501" t="str">
        <f t="shared" si="3"/>
        <v/>
      </c>
    </row>
    <row r="78">
      <c r="A78" s="501" t="str">
        <f>IFERROR(__xludf.DUMMYFUNCTION("IFERROR(if(ISBLANK(Installment!A78),"""",if(GOOGLEFINANCE(Installment!A78,""Currency"")=""GBX"",""GBP"",GOOGLEFINANCE(Installment!A78,""Currency""))),$F$1)"),"")</f>
        <v/>
      </c>
      <c r="B78" s="501" t="str">
        <f>Installment!A78</f>
        <v/>
      </c>
      <c r="C78" s="501" t="str">
        <f>Installment!B78</f>
        <v/>
      </c>
      <c r="D78" s="501" t="str">
        <f>IFERROR(__xludf.DUMMYFUNCTION("if(A78=""GBP"",if(B78="""","""",if(A78=$F$1,Installment!C78,Installment!C78*GOOGLEFINANCE(""Currency:""&amp;A78&amp;""""&amp;$F$1&amp;"""")))/100,if(B78="""","""",if(A78=$F$1,Installment!C78,Installment!C78*GOOGLEFINANCE(""Currency:""&amp;A78&amp;""""&amp;$F$1&amp;""""))))"),"")</f>
        <v/>
      </c>
      <c r="E78" s="501" t="str">
        <f>IFERROR(__xludf.DUMMYFUNCTION("if(A78=""GBP"",if(B78="""","""",if(A78=$F$1,Installment!H78,Installment!H78*GOOGLEFINANCE(""Currency:""&amp;A78&amp;""""&amp;$F$1&amp;"""")))/100,if(B78="""","""",if(A78=$F$1,Installment!H78,Installment!H78*GOOGLEFINANCE(""Currency:""&amp;A78&amp;""""&amp;$F$1&amp;""""))))"),"")</f>
        <v/>
      </c>
      <c r="F78" s="501" t="str">
        <f>IFERROR(__xludf.DUMMYFUNCTION("if(A78=""GBP"",if(B78="""","""",if(A78=$F$1,Installment!I78,Installment!I78*GOOGLEFINANCE(""Currency:""&amp;A78&amp;""""&amp;$F$1&amp;"""")))/100,if(B78="""","""",if(A78=$F$1,Installment!I78,Installment!I78*GOOGLEFINANCE(""Currency:""&amp;A78&amp;""""&amp;$F$1&amp;""""))))"),"")</f>
        <v/>
      </c>
      <c r="G78" s="501" t="str">
        <f t="shared" si="1"/>
        <v/>
      </c>
      <c r="H78" s="501" t="str">
        <f t="shared" si="2"/>
        <v/>
      </c>
      <c r="I78" s="501" t="str">
        <f t="shared" si="3"/>
        <v/>
      </c>
    </row>
    <row r="79">
      <c r="A79" s="501" t="str">
        <f>IFERROR(__xludf.DUMMYFUNCTION("IFERROR(if(ISBLANK(Installment!A79),"""",if(GOOGLEFINANCE(Installment!A79,""Currency"")=""GBX"",""GBP"",GOOGLEFINANCE(Installment!A79,""Currency""))),$F$1)"),"")</f>
        <v/>
      </c>
      <c r="B79" s="501" t="str">
        <f>Installment!A79</f>
        <v/>
      </c>
      <c r="C79" s="501" t="str">
        <f>Installment!B79</f>
        <v/>
      </c>
      <c r="D79" s="501" t="str">
        <f>IFERROR(__xludf.DUMMYFUNCTION("if(A79=""GBP"",if(B79="""","""",if(A79=$F$1,Installment!C79,Installment!C79*GOOGLEFINANCE(""Currency:""&amp;A79&amp;""""&amp;$F$1&amp;"""")))/100,if(B79="""","""",if(A79=$F$1,Installment!C79,Installment!C79*GOOGLEFINANCE(""Currency:""&amp;A79&amp;""""&amp;$F$1&amp;""""))))"),"")</f>
        <v/>
      </c>
      <c r="E79" s="501" t="str">
        <f>IFERROR(__xludf.DUMMYFUNCTION("if(A79=""GBP"",if(B79="""","""",if(A79=$F$1,Installment!H79,Installment!H79*GOOGLEFINANCE(""Currency:""&amp;A79&amp;""""&amp;$F$1&amp;"""")))/100,if(B79="""","""",if(A79=$F$1,Installment!H79,Installment!H79*GOOGLEFINANCE(""Currency:""&amp;A79&amp;""""&amp;$F$1&amp;""""))))"),"")</f>
        <v/>
      </c>
      <c r="F79" s="501" t="str">
        <f>IFERROR(__xludf.DUMMYFUNCTION("if(A79=""GBP"",if(B79="""","""",if(A79=$F$1,Installment!I79,Installment!I79*GOOGLEFINANCE(""Currency:""&amp;A79&amp;""""&amp;$F$1&amp;"""")))/100,if(B79="""","""",if(A79=$F$1,Installment!I79,Installment!I79*GOOGLEFINANCE(""Currency:""&amp;A79&amp;""""&amp;$F$1&amp;""""))))"),"")</f>
        <v/>
      </c>
      <c r="G79" s="501" t="str">
        <f t="shared" si="1"/>
        <v/>
      </c>
      <c r="H79" s="501" t="str">
        <f t="shared" si="2"/>
        <v/>
      </c>
      <c r="I79" s="501" t="str">
        <f t="shared" si="3"/>
        <v/>
      </c>
    </row>
    <row r="80">
      <c r="A80" s="501" t="str">
        <f>IFERROR(__xludf.DUMMYFUNCTION("IFERROR(if(ISBLANK(Installment!A80),"""",if(GOOGLEFINANCE(Installment!A80,""Currency"")=""GBX"",""GBP"",GOOGLEFINANCE(Installment!A80,""Currency""))),$F$1)"),"")</f>
        <v/>
      </c>
      <c r="B80" s="501" t="str">
        <f>Installment!A80</f>
        <v/>
      </c>
      <c r="C80" s="501" t="str">
        <f>Installment!B80</f>
        <v/>
      </c>
      <c r="D80" s="501" t="str">
        <f>IFERROR(__xludf.DUMMYFUNCTION("if(A80=""GBP"",if(B80="""","""",if(A80=$F$1,Installment!C80,Installment!C80*GOOGLEFINANCE(""Currency:""&amp;A80&amp;""""&amp;$F$1&amp;"""")))/100,if(B80="""","""",if(A80=$F$1,Installment!C80,Installment!C80*GOOGLEFINANCE(""Currency:""&amp;A80&amp;""""&amp;$F$1&amp;""""))))"),"")</f>
        <v/>
      </c>
      <c r="E80" s="501" t="str">
        <f>IFERROR(__xludf.DUMMYFUNCTION("if(A80=""GBP"",if(B80="""","""",if(A80=$F$1,Installment!H80,Installment!H80*GOOGLEFINANCE(""Currency:""&amp;A80&amp;""""&amp;$F$1&amp;"""")))/100,if(B80="""","""",if(A80=$F$1,Installment!H80,Installment!H80*GOOGLEFINANCE(""Currency:""&amp;A80&amp;""""&amp;$F$1&amp;""""))))"),"")</f>
        <v/>
      </c>
      <c r="F80" s="501" t="str">
        <f>IFERROR(__xludf.DUMMYFUNCTION("if(A80=""GBP"",if(B80="""","""",if(A80=$F$1,Installment!I80,Installment!I80*GOOGLEFINANCE(""Currency:""&amp;A80&amp;""""&amp;$F$1&amp;"""")))/100,if(B80="""","""",if(A80=$F$1,Installment!I80,Installment!I80*GOOGLEFINANCE(""Currency:""&amp;A80&amp;""""&amp;$F$1&amp;""""))))"),"")</f>
        <v/>
      </c>
      <c r="G80" s="501" t="str">
        <f t="shared" si="1"/>
        <v/>
      </c>
      <c r="H80" s="501" t="str">
        <f t="shared" si="2"/>
        <v/>
      </c>
      <c r="I80" s="501" t="str">
        <f t="shared" si="3"/>
        <v/>
      </c>
    </row>
    <row r="81">
      <c r="A81" s="501" t="str">
        <f>IFERROR(__xludf.DUMMYFUNCTION("IFERROR(if(ISBLANK(Installment!A81),"""",if(GOOGLEFINANCE(Installment!A81,""Currency"")=""GBX"",""GBP"",GOOGLEFINANCE(Installment!A81,""Currency""))),$F$1)"),"")</f>
        <v/>
      </c>
      <c r="B81" s="501" t="str">
        <f>Installment!A81</f>
        <v/>
      </c>
      <c r="C81" s="501" t="str">
        <f>Installment!B81</f>
        <v/>
      </c>
      <c r="D81" s="501" t="str">
        <f>IFERROR(__xludf.DUMMYFUNCTION("if(A81=""GBP"",if(B81="""","""",if(A81=$F$1,Installment!C81,Installment!C81*GOOGLEFINANCE(""Currency:""&amp;A81&amp;""""&amp;$F$1&amp;"""")))/100,if(B81="""","""",if(A81=$F$1,Installment!C81,Installment!C81*GOOGLEFINANCE(""Currency:""&amp;A81&amp;""""&amp;$F$1&amp;""""))))"),"")</f>
        <v/>
      </c>
      <c r="E81" s="501" t="str">
        <f>IFERROR(__xludf.DUMMYFUNCTION("if(A81=""GBP"",if(B81="""","""",if(A81=$F$1,Installment!H81,Installment!H81*GOOGLEFINANCE(""Currency:""&amp;A81&amp;""""&amp;$F$1&amp;"""")))/100,if(B81="""","""",if(A81=$F$1,Installment!H81,Installment!H81*GOOGLEFINANCE(""Currency:""&amp;A81&amp;""""&amp;$F$1&amp;""""))))"),"")</f>
        <v/>
      </c>
      <c r="F81" s="501" t="str">
        <f>IFERROR(__xludf.DUMMYFUNCTION("if(A81=""GBP"",if(B81="""","""",if(A81=$F$1,Installment!I81,Installment!I81*GOOGLEFINANCE(""Currency:""&amp;A81&amp;""""&amp;$F$1&amp;"""")))/100,if(B81="""","""",if(A81=$F$1,Installment!I81,Installment!I81*GOOGLEFINANCE(""Currency:""&amp;A81&amp;""""&amp;$F$1&amp;""""))))"),"")</f>
        <v/>
      </c>
      <c r="G81" s="501" t="str">
        <f t="shared" si="1"/>
        <v/>
      </c>
      <c r="H81" s="501" t="str">
        <f t="shared" si="2"/>
        <v/>
      </c>
      <c r="I81" s="501" t="str">
        <f t="shared" si="3"/>
        <v/>
      </c>
    </row>
    <row r="82">
      <c r="A82" s="501" t="str">
        <f>IFERROR(__xludf.DUMMYFUNCTION("IFERROR(if(ISBLANK(Installment!A82),"""",if(GOOGLEFINANCE(Installment!A82,""Currency"")=""GBX"",""GBP"",GOOGLEFINANCE(Installment!A82,""Currency""))),$F$1)"),"")</f>
        <v/>
      </c>
      <c r="B82" s="501" t="str">
        <f>Installment!A82</f>
        <v/>
      </c>
      <c r="C82" s="501" t="str">
        <f>Installment!B82</f>
        <v/>
      </c>
      <c r="D82" s="501" t="str">
        <f>IFERROR(__xludf.DUMMYFUNCTION("if(A82=""GBP"",if(B82="""","""",if(A82=$F$1,Installment!C82,Installment!C82*GOOGLEFINANCE(""Currency:""&amp;A82&amp;""""&amp;$F$1&amp;"""")))/100,if(B82="""","""",if(A82=$F$1,Installment!C82,Installment!C82*GOOGLEFINANCE(""Currency:""&amp;A82&amp;""""&amp;$F$1&amp;""""))))"),"")</f>
        <v/>
      </c>
      <c r="E82" s="501" t="str">
        <f>IFERROR(__xludf.DUMMYFUNCTION("if(A82=""GBP"",if(B82="""","""",if(A82=$F$1,Installment!H82,Installment!H82*GOOGLEFINANCE(""Currency:""&amp;A82&amp;""""&amp;$F$1&amp;"""")))/100,if(B82="""","""",if(A82=$F$1,Installment!H82,Installment!H82*GOOGLEFINANCE(""Currency:""&amp;A82&amp;""""&amp;$F$1&amp;""""))))"),"")</f>
        <v/>
      </c>
      <c r="F82" s="501" t="str">
        <f>IFERROR(__xludf.DUMMYFUNCTION("if(A82=""GBP"",if(B82="""","""",if(A82=$F$1,Installment!I82,Installment!I82*GOOGLEFINANCE(""Currency:""&amp;A82&amp;""""&amp;$F$1&amp;"""")))/100,if(B82="""","""",if(A82=$F$1,Installment!I82,Installment!I82*GOOGLEFINANCE(""Currency:""&amp;A82&amp;""""&amp;$F$1&amp;""""))))"),"")</f>
        <v/>
      </c>
      <c r="G82" s="501" t="str">
        <f t="shared" si="1"/>
        <v/>
      </c>
      <c r="H82" s="501" t="str">
        <f t="shared" si="2"/>
        <v/>
      </c>
      <c r="I82" s="501" t="str">
        <f t="shared" si="3"/>
        <v/>
      </c>
    </row>
    <row r="83">
      <c r="A83" s="501" t="str">
        <f>IFERROR(__xludf.DUMMYFUNCTION("IFERROR(if(ISBLANK(Installment!A83),"""",if(GOOGLEFINANCE(Installment!A83,""Currency"")=""GBX"",""GBP"",GOOGLEFINANCE(Installment!A83,""Currency""))),$F$1)"),"")</f>
        <v/>
      </c>
      <c r="B83" s="501" t="str">
        <f>Installment!A83</f>
        <v/>
      </c>
      <c r="C83" s="501" t="str">
        <f>Installment!B83</f>
        <v/>
      </c>
      <c r="D83" s="501" t="str">
        <f>IFERROR(__xludf.DUMMYFUNCTION("if(A83=""GBP"",if(B83="""","""",if(A83=$F$1,Installment!C83,Installment!C83*GOOGLEFINANCE(""Currency:""&amp;A83&amp;""""&amp;$F$1&amp;"""")))/100,if(B83="""","""",if(A83=$F$1,Installment!C83,Installment!C83*GOOGLEFINANCE(""Currency:""&amp;A83&amp;""""&amp;$F$1&amp;""""))))"),"")</f>
        <v/>
      </c>
      <c r="E83" s="501" t="str">
        <f>IFERROR(__xludf.DUMMYFUNCTION("if(A83=""GBP"",if(B83="""","""",if(A83=$F$1,Installment!H83,Installment!H83*GOOGLEFINANCE(""Currency:""&amp;A83&amp;""""&amp;$F$1&amp;"""")))/100,if(B83="""","""",if(A83=$F$1,Installment!H83,Installment!H83*GOOGLEFINANCE(""Currency:""&amp;A83&amp;""""&amp;$F$1&amp;""""))))"),"")</f>
        <v/>
      </c>
      <c r="F83" s="501" t="str">
        <f>IFERROR(__xludf.DUMMYFUNCTION("if(A83=""GBP"",if(B83="""","""",if(A83=$F$1,Installment!I83,Installment!I83*GOOGLEFINANCE(""Currency:""&amp;A83&amp;""""&amp;$F$1&amp;"""")))/100,if(B83="""","""",if(A83=$F$1,Installment!I83,Installment!I83*GOOGLEFINANCE(""Currency:""&amp;A83&amp;""""&amp;$F$1&amp;""""))))"),"")</f>
        <v/>
      </c>
      <c r="G83" s="501" t="str">
        <f t="shared" si="1"/>
        <v/>
      </c>
      <c r="H83" s="501" t="str">
        <f t="shared" si="2"/>
        <v/>
      </c>
      <c r="I83" s="501" t="str">
        <f t="shared" si="3"/>
        <v/>
      </c>
    </row>
    <row r="84">
      <c r="A84" s="501" t="str">
        <f>IFERROR(__xludf.DUMMYFUNCTION("IFERROR(if(ISBLANK(Installment!A84),"""",if(GOOGLEFINANCE(Installment!A84,""Currency"")=""GBX"",""GBP"",GOOGLEFINANCE(Installment!A84,""Currency""))),$F$1)"),"")</f>
        <v/>
      </c>
      <c r="B84" s="501" t="str">
        <f>Installment!A84</f>
        <v/>
      </c>
      <c r="C84" s="501" t="str">
        <f>Installment!B84</f>
        <v/>
      </c>
      <c r="D84" s="501" t="str">
        <f>IFERROR(__xludf.DUMMYFUNCTION("if(A84=""GBP"",if(B84="""","""",if(A84=$F$1,Installment!C84,Installment!C84*GOOGLEFINANCE(""Currency:""&amp;A84&amp;""""&amp;$F$1&amp;"""")))/100,if(B84="""","""",if(A84=$F$1,Installment!C84,Installment!C84*GOOGLEFINANCE(""Currency:""&amp;A84&amp;""""&amp;$F$1&amp;""""))))"),"")</f>
        <v/>
      </c>
      <c r="E84" s="501" t="str">
        <f>IFERROR(__xludf.DUMMYFUNCTION("if(A84=""GBP"",if(B84="""","""",if(A84=$F$1,Installment!H84,Installment!H84*GOOGLEFINANCE(""Currency:""&amp;A84&amp;""""&amp;$F$1&amp;"""")))/100,if(B84="""","""",if(A84=$F$1,Installment!H84,Installment!H84*GOOGLEFINANCE(""Currency:""&amp;A84&amp;""""&amp;$F$1&amp;""""))))"),"")</f>
        <v/>
      </c>
      <c r="F84" s="501" t="str">
        <f>IFERROR(__xludf.DUMMYFUNCTION("if(A84=""GBP"",if(B84="""","""",if(A84=$F$1,Installment!I84,Installment!I84*GOOGLEFINANCE(""Currency:""&amp;A84&amp;""""&amp;$F$1&amp;"""")))/100,if(B84="""","""",if(A84=$F$1,Installment!I84,Installment!I84*GOOGLEFINANCE(""Currency:""&amp;A84&amp;""""&amp;$F$1&amp;""""))))"),"")</f>
        <v/>
      </c>
      <c r="G84" s="501" t="str">
        <f t="shared" si="1"/>
        <v/>
      </c>
      <c r="H84" s="501" t="str">
        <f t="shared" si="2"/>
        <v/>
      </c>
      <c r="I84" s="501" t="str">
        <f t="shared" si="3"/>
        <v/>
      </c>
    </row>
    <row r="85">
      <c r="A85" s="501" t="str">
        <f>IFERROR(__xludf.DUMMYFUNCTION("IFERROR(if(ISBLANK(Installment!A85),"""",if(GOOGLEFINANCE(Installment!A85,""Currency"")=""GBX"",""GBP"",GOOGLEFINANCE(Installment!A85,""Currency""))),$F$1)"),"")</f>
        <v/>
      </c>
      <c r="B85" s="501" t="str">
        <f>Installment!A85</f>
        <v/>
      </c>
      <c r="C85" s="501" t="str">
        <f>Installment!B85</f>
        <v/>
      </c>
      <c r="D85" s="501" t="str">
        <f>IFERROR(__xludf.DUMMYFUNCTION("if(A85=""GBP"",if(B85="""","""",if(A85=$F$1,Installment!C85,Installment!C85*GOOGLEFINANCE(""Currency:""&amp;A85&amp;""""&amp;$F$1&amp;"""")))/100,if(B85="""","""",if(A85=$F$1,Installment!C85,Installment!C85*GOOGLEFINANCE(""Currency:""&amp;A85&amp;""""&amp;$F$1&amp;""""))))"),"")</f>
        <v/>
      </c>
      <c r="E85" s="501" t="str">
        <f>IFERROR(__xludf.DUMMYFUNCTION("if(A85=""GBP"",if(B85="""","""",if(A85=$F$1,Installment!H85,Installment!H85*GOOGLEFINANCE(""Currency:""&amp;A85&amp;""""&amp;$F$1&amp;"""")))/100,if(B85="""","""",if(A85=$F$1,Installment!H85,Installment!H85*GOOGLEFINANCE(""Currency:""&amp;A85&amp;""""&amp;$F$1&amp;""""))))"),"")</f>
        <v/>
      </c>
      <c r="F85" s="501" t="str">
        <f>IFERROR(__xludf.DUMMYFUNCTION("if(A85=""GBP"",if(B85="""","""",if(A85=$F$1,Installment!I85,Installment!I85*GOOGLEFINANCE(""Currency:""&amp;A85&amp;""""&amp;$F$1&amp;"""")))/100,if(B85="""","""",if(A85=$F$1,Installment!I85,Installment!I85*GOOGLEFINANCE(""Currency:""&amp;A85&amp;""""&amp;$F$1&amp;""""))))"),"")</f>
        <v/>
      </c>
      <c r="G85" s="501" t="str">
        <f t="shared" si="1"/>
        <v/>
      </c>
      <c r="H85" s="501" t="str">
        <f t="shared" si="2"/>
        <v/>
      </c>
      <c r="I85" s="501" t="str">
        <f t="shared" si="3"/>
        <v/>
      </c>
    </row>
    <row r="86">
      <c r="A86" s="501" t="str">
        <f>IFERROR(__xludf.DUMMYFUNCTION("IFERROR(if(ISBLANK(Installment!A86),"""",if(GOOGLEFINANCE(Installment!A86,""Currency"")=""GBX"",""GBP"",GOOGLEFINANCE(Installment!A86,""Currency""))),$F$1)"),"")</f>
        <v/>
      </c>
      <c r="B86" s="501" t="str">
        <f>Installment!A86</f>
        <v/>
      </c>
      <c r="C86" s="501" t="str">
        <f>Installment!B86</f>
        <v/>
      </c>
      <c r="D86" s="501" t="str">
        <f>IFERROR(__xludf.DUMMYFUNCTION("if(A86=""GBP"",if(B86="""","""",if(A86=$F$1,Installment!C86,Installment!C86*GOOGLEFINANCE(""Currency:""&amp;A86&amp;""""&amp;$F$1&amp;"""")))/100,if(B86="""","""",if(A86=$F$1,Installment!C86,Installment!C86*GOOGLEFINANCE(""Currency:""&amp;A86&amp;""""&amp;$F$1&amp;""""))))"),"")</f>
        <v/>
      </c>
      <c r="E86" s="501" t="str">
        <f>IFERROR(__xludf.DUMMYFUNCTION("if(A86=""GBP"",if(B86="""","""",if(A86=$F$1,Installment!H86,Installment!H86*GOOGLEFINANCE(""Currency:""&amp;A86&amp;""""&amp;$F$1&amp;"""")))/100,if(B86="""","""",if(A86=$F$1,Installment!H86,Installment!H86*GOOGLEFINANCE(""Currency:""&amp;A86&amp;""""&amp;$F$1&amp;""""))))"),"")</f>
        <v/>
      </c>
      <c r="F86" s="501" t="str">
        <f>IFERROR(__xludf.DUMMYFUNCTION("if(A86=""GBP"",if(B86="""","""",if(A86=$F$1,Installment!I86,Installment!I86*GOOGLEFINANCE(""Currency:""&amp;A86&amp;""""&amp;$F$1&amp;"""")))/100,if(B86="""","""",if(A86=$F$1,Installment!I86,Installment!I86*GOOGLEFINANCE(""Currency:""&amp;A86&amp;""""&amp;$F$1&amp;""""))))"),"")</f>
        <v/>
      </c>
      <c r="G86" s="501" t="str">
        <f t="shared" si="1"/>
        <v/>
      </c>
      <c r="H86" s="501" t="str">
        <f t="shared" si="2"/>
        <v/>
      </c>
      <c r="I86" s="501" t="str">
        <f t="shared" si="3"/>
        <v/>
      </c>
    </row>
    <row r="87">
      <c r="A87" s="501" t="str">
        <f>IFERROR(__xludf.DUMMYFUNCTION("IFERROR(if(ISBLANK(Installment!A87),"""",if(GOOGLEFINANCE(Installment!A87,""Currency"")=""GBX"",""GBP"",GOOGLEFINANCE(Installment!A87,""Currency""))),$F$1)"),"")</f>
        <v/>
      </c>
      <c r="B87" s="501" t="str">
        <f>Installment!A87</f>
        <v/>
      </c>
      <c r="C87" s="501" t="str">
        <f>Installment!B87</f>
        <v/>
      </c>
      <c r="D87" s="501" t="str">
        <f>IFERROR(__xludf.DUMMYFUNCTION("if(A87=""GBP"",if(B87="""","""",if(A87=$F$1,Installment!C87,Installment!C87*GOOGLEFINANCE(""Currency:""&amp;A87&amp;""""&amp;$F$1&amp;"""")))/100,if(B87="""","""",if(A87=$F$1,Installment!C87,Installment!C87*GOOGLEFINANCE(""Currency:""&amp;A87&amp;""""&amp;$F$1&amp;""""))))"),"")</f>
        <v/>
      </c>
      <c r="E87" s="501" t="str">
        <f>IFERROR(__xludf.DUMMYFUNCTION("if(A87=""GBP"",if(B87="""","""",if(A87=$F$1,Installment!H87,Installment!H87*GOOGLEFINANCE(""Currency:""&amp;A87&amp;""""&amp;$F$1&amp;"""")))/100,if(B87="""","""",if(A87=$F$1,Installment!H87,Installment!H87*GOOGLEFINANCE(""Currency:""&amp;A87&amp;""""&amp;$F$1&amp;""""))))"),"")</f>
        <v/>
      </c>
      <c r="F87" s="501" t="str">
        <f>IFERROR(__xludf.DUMMYFUNCTION("if(A87=""GBP"",if(B87="""","""",if(A87=$F$1,Installment!I87,Installment!I87*GOOGLEFINANCE(""Currency:""&amp;A87&amp;""""&amp;$F$1&amp;"""")))/100,if(B87="""","""",if(A87=$F$1,Installment!I87,Installment!I87*GOOGLEFINANCE(""Currency:""&amp;A87&amp;""""&amp;$F$1&amp;""""))))"),"")</f>
        <v/>
      </c>
      <c r="G87" s="501" t="str">
        <f t="shared" si="1"/>
        <v/>
      </c>
      <c r="H87" s="501" t="str">
        <f t="shared" si="2"/>
        <v/>
      </c>
      <c r="I87" s="501" t="str">
        <f t="shared" si="3"/>
        <v/>
      </c>
    </row>
    <row r="88">
      <c r="A88" s="501" t="str">
        <f>IFERROR(__xludf.DUMMYFUNCTION("IFERROR(if(ISBLANK(Installment!A88),"""",if(GOOGLEFINANCE(Installment!A88,""Currency"")=""GBX"",""GBP"",GOOGLEFINANCE(Installment!A88,""Currency""))),$F$1)"),"")</f>
        <v/>
      </c>
      <c r="B88" s="501" t="str">
        <f>Installment!A88</f>
        <v/>
      </c>
      <c r="C88" s="501" t="str">
        <f>Installment!B88</f>
        <v/>
      </c>
      <c r="D88" s="501" t="str">
        <f>IFERROR(__xludf.DUMMYFUNCTION("if(A88=""GBP"",if(B88="""","""",if(A88=$F$1,Installment!C88,Installment!C88*GOOGLEFINANCE(""Currency:""&amp;A88&amp;""""&amp;$F$1&amp;"""")))/100,if(B88="""","""",if(A88=$F$1,Installment!C88,Installment!C88*GOOGLEFINANCE(""Currency:""&amp;A88&amp;""""&amp;$F$1&amp;""""))))"),"")</f>
        <v/>
      </c>
      <c r="E88" s="501" t="str">
        <f>IFERROR(__xludf.DUMMYFUNCTION("if(A88=""GBP"",if(B88="""","""",if(A88=$F$1,Installment!H88,Installment!H88*GOOGLEFINANCE(""Currency:""&amp;A88&amp;""""&amp;$F$1&amp;"""")))/100,if(B88="""","""",if(A88=$F$1,Installment!H88,Installment!H88*GOOGLEFINANCE(""Currency:""&amp;A88&amp;""""&amp;$F$1&amp;""""))))"),"")</f>
        <v/>
      </c>
      <c r="F88" s="501" t="str">
        <f>IFERROR(__xludf.DUMMYFUNCTION("if(A88=""GBP"",if(B88="""","""",if(A88=$F$1,Installment!I88,Installment!I88*GOOGLEFINANCE(""Currency:""&amp;A88&amp;""""&amp;$F$1&amp;"""")))/100,if(B88="""","""",if(A88=$F$1,Installment!I88,Installment!I88*GOOGLEFINANCE(""Currency:""&amp;A88&amp;""""&amp;$F$1&amp;""""))))"),"")</f>
        <v/>
      </c>
      <c r="G88" s="501" t="str">
        <f t="shared" si="1"/>
        <v/>
      </c>
      <c r="H88" s="501" t="str">
        <f t="shared" si="2"/>
        <v/>
      </c>
      <c r="I88" s="501" t="str">
        <f t="shared" si="3"/>
        <v/>
      </c>
    </row>
    <row r="89">
      <c r="A89" s="501" t="str">
        <f>IFERROR(__xludf.DUMMYFUNCTION("IFERROR(if(ISBLANK(Installment!A89),"""",if(GOOGLEFINANCE(Installment!A89,""Currency"")=""GBX"",""GBP"",GOOGLEFINANCE(Installment!A89,""Currency""))),$F$1)"),"")</f>
        <v/>
      </c>
      <c r="B89" s="501" t="str">
        <f>Installment!A89</f>
        <v/>
      </c>
      <c r="C89" s="501" t="str">
        <f>Installment!B89</f>
        <v/>
      </c>
      <c r="D89" s="501" t="str">
        <f>IFERROR(__xludf.DUMMYFUNCTION("if(A89=""GBP"",if(B89="""","""",if(A89=$F$1,Installment!C89,Installment!C89*GOOGLEFINANCE(""Currency:""&amp;A89&amp;""""&amp;$F$1&amp;"""")))/100,if(B89="""","""",if(A89=$F$1,Installment!C89,Installment!C89*GOOGLEFINANCE(""Currency:""&amp;A89&amp;""""&amp;$F$1&amp;""""))))"),"")</f>
        <v/>
      </c>
      <c r="E89" s="501" t="str">
        <f>IFERROR(__xludf.DUMMYFUNCTION("if(A89=""GBP"",if(B89="""","""",if(A89=$F$1,Installment!H89,Installment!H89*GOOGLEFINANCE(""Currency:""&amp;A89&amp;""""&amp;$F$1&amp;"""")))/100,if(B89="""","""",if(A89=$F$1,Installment!H89,Installment!H89*GOOGLEFINANCE(""Currency:""&amp;A89&amp;""""&amp;$F$1&amp;""""))))"),"")</f>
        <v/>
      </c>
      <c r="F89" s="501" t="str">
        <f>IFERROR(__xludf.DUMMYFUNCTION("if(A89=""GBP"",if(B89="""","""",if(A89=$F$1,Installment!I89,Installment!I89*GOOGLEFINANCE(""Currency:""&amp;A89&amp;""""&amp;$F$1&amp;"""")))/100,if(B89="""","""",if(A89=$F$1,Installment!I89,Installment!I89*GOOGLEFINANCE(""Currency:""&amp;A89&amp;""""&amp;$F$1&amp;""""))))"),"")</f>
        <v/>
      </c>
      <c r="G89" s="501" t="str">
        <f t="shared" si="1"/>
        <v/>
      </c>
      <c r="H89" s="501" t="str">
        <f t="shared" si="2"/>
        <v/>
      </c>
      <c r="I89" s="501" t="str">
        <f t="shared" si="3"/>
        <v/>
      </c>
    </row>
    <row r="90">
      <c r="A90" s="501" t="str">
        <f>IFERROR(__xludf.DUMMYFUNCTION("IFERROR(if(ISBLANK(Installment!A90),"""",if(GOOGLEFINANCE(Installment!A90,""Currency"")=""GBX"",""GBP"",GOOGLEFINANCE(Installment!A90,""Currency""))),$F$1)"),"")</f>
        <v/>
      </c>
      <c r="B90" s="501" t="str">
        <f>Installment!A90</f>
        <v/>
      </c>
      <c r="C90" s="501" t="str">
        <f>Installment!B90</f>
        <v/>
      </c>
      <c r="D90" s="501" t="str">
        <f>IFERROR(__xludf.DUMMYFUNCTION("if(A90=""GBP"",if(B90="""","""",if(A90=$F$1,Installment!C90,Installment!C90*GOOGLEFINANCE(""Currency:""&amp;A90&amp;""""&amp;$F$1&amp;"""")))/100,if(B90="""","""",if(A90=$F$1,Installment!C90,Installment!C90*GOOGLEFINANCE(""Currency:""&amp;A90&amp;""""&amp;$F$1&amp;""""))))"),"")</f>
        <v/>
      </c>
      <c r="E90" s="501" t="str">
        <f>IFERROR(__xludf.DUMMYFUNCTION("if(A90=""GBP"",if(B90="""","""",if(A90=$F$1,Installment!H90,Installment!H90*GOOGLEFINANCE(""Currency:""&amp;A90&amp;""""&amp;$F$1&amp;"""")))/100,if(B90="""","""",if(A90=$F$1,Installment!H90,Installment!H90*GOOGLEFINANCE(""Currency:""&amp;A90&amp;""""&amp;$F$1&amp;""""))))"),"")</f>
        <v/>
      </c>
      <c r="F90" s="501" t="str">
        <f>IFERROR(__xludf.DUMMYFUNCTION("if(A90=""GBP"",if(B90="""","""",if(A90=$F$1,Installment!I90,Installment!I90*GOOGLEFINANCE(""Currency:""&amp;A90&amp;""""&amp;$F$1&amp;"""")))/100,if(B90="""","""",if(A90=$F$1,Installment!I90,Installment!I90*GOOGLEFINANCE(""Currency:""&amp;A90&amp;""""&amp;$F$1&amp;""""))))"),"")</f>
        <v/>
      </c>
      <c r="G90" s="501" t="str">
        <f t="shared" si="1"/>
        <v/>
      </c>
      <c r="H90" s="501" t="str">
        <f t="shared" si="2"/>
        <v/>
      </c>
      <c r="I90" s="501" t="str">
        <f t="shared" si="3"/>
        <v/>
      </c>
    </row>
    <row r="91">
      <c r="A91" s="501" t="str">
        <f>IFERROR(__xludf.DUMMYFUNCTION("IFERROR(if(ISBLANK(Installment!A91),"""",if(GOOGLEFINANCE(Installment!A91,""Currency"")=""GBX"",""GBP"",GOOGLEFINANCE(Installment!A91,""Currency""))),$F$1)"),"")</f>
        <v/>
      </c>
      <c r="B91" s="501" t="str">
        <f>Installment!A91</f>
        <v/>
      </c>
      <c r="C91" s="501" t="str">
        <f>Installment!B91</f>
        <v/>
      </c>
      <c r="D91" s="501" t="str">
        <f>IFERROR(__xludf.DUMMYFUNCTION("if(A91=""GBP"",if(B91="""","""",if(A91=$F$1,Installment!C91,Installment!C91*GOOGLEFINANCE(""Currency:""&amp;A91&amp;""""&amp;$F$1&amp;"""")))/100,if(B91="""","""",if(A91=$F$1,Installment!C91,Installment!C91*GOOGLEFINANCE(""Currency:""&amp;A91&amp;""""&amp;$F$1&amp;""""))))"),"")</f>
        <v/>
      </c>
      <c r="E91" s="501" t="str">
        <f>IFERROR(__xludf.DUMMYFUNCTION("if(A91=""GBP"",if(B91="""","""",if(A91=$F$1,Installment!H91,Installment!H91*GOOGLEFINANCE(""Currency:""&amp;A91&amp;""""&amp;$F$1&amp;"""")))/100,if(B91="""","""",if(A91=$F$1,Installment!H91,Installment!H91*GOOGLEFINANCE(""Currency:""&amp;A91&amp;""""&amp;$F$1&amp;""""))))"),"")</f>
        <v/>
      </c>
      <c r="F91" s="501" t="str">
        <f>IFERROR(__xludf.DUMMYFUNCTION("if(A91=""GBP"",if(B91="""","""",if(A91=$F$1,Installment!I91,Installment!I91*GOOGLEFINANCE(""Currency:""&amp;A91&amp;""""&amp;$F$1&amp;"""")))/100,if(B91="""","""",if(A91=$F$1,Installment!I91,Installment!I91*GOOGLEFINANCE(""Currency:""&amp;A91&amp;""""&amp;$F$1&amp;""""))))"),"")</f>
        <v/>
      </c>
      <c r="G91" s="501" t="str">
        <f t="shared" si="1"/>
        <v/>
      </c>
      <c r="H91" s="501" t="str">
        <f t="shared" si="2"/>
        <v/>
      </c>
      <c r="I91" s="501" t="str">
        <f t="shared" si="3"/>
        <v/>
      </c>
    </row>
    <row r="92">
      <c r="A92" s="501" t="str">
        <f>IFERROR(__xludf.DUMMYFUNCTION("IFERROR(if(ISBLANK(Installment!A92),"""",if(GOOGLEFINANCE(Installment!A92,""Currency"")=""GBX"",""GBP"",GOOGLEFINANCE(Installment!A92,""Currency""))),$F$1)"),"")</f>
        <v/>
      </c>
      <c r="B92" s="501" t="str">
        <f>Installment!A92</f>
        <v/>
      </c>
      <c r="C92" s="501" t="str">
        <f>Installment!B92</f>
        <v/>
      </c>
      <c r="D92" s="501" t="str">
        <f>IFERROR(__xludf.DUMMYFUNCTION("if(A92=""GBP"",if(B92="""","""",if(A92=$F$1,Installment!C92,Installment!C92*GOOGLEFINANCE(""Currency:""&amp;A92&amp;""""&amp;$F$1&amp;"""")))/100,if(B92="""","""",if(A92=$F$1,Installment!C92,Installment!C92*GOOGLEFINANCE(""Currency:""&amp;A92&amp;""""&amp;$F$1&amp;""""))))"),"")</f>
        <v/>
      </c>
      <c r="E92" s="501" t="str">
        <f>IFERROR(__xludf.DUMMYFUNCTION("if(A92=""GBP"",if(B92="""","""",if(A92=$F$1,Installment!H92,Installment!H92*GOOGLEFINANCE(""Currency:""&amp;A92&amp;""""&amp;$F$1&amp;"""")))/100,if(B92="""","""",if(A92=$F$1,Installment!H92,Installment!H92*GOOGLEFINANCE(""Currency:""&amp;A92&amp;""""&amp;$F$1&amp;""""))))"),"")</f>
        <v/>
      </c>
      <c r="F92" s="501" t="str">
        <f>IFERROR(__xludf.DUMMYFUNCTION("if(A92=""GBP"",if(B92="""","""",if(A92=$F$1,Installment!I92,Installment!I92*GOOGLEFINANCE(""Currency:""&amp;A92&amp;""""&amp;$F$1&amp;"""")))/100,if(B92="""","""",if(A92=$F$1,Installment!I92,Installment!I92*GOOGLEFINANCE(""Currency:""&amp;A92&amp;""""&amp;$F$1&amp;""""))))"),"")</f>
        <v/>
      </c>
      <c r="G92" s="501" t="str">
        <f t="shared" si="1"/>
        <v/>
      </c>
      <c r="H92" s="501" t="str">
        <f t="shared" si="2"/>
        <v/>
      </c>
      <c r="I92" s="501" t="str">
        <f t="shared" si="3"/>
        <v/>
      </c>
    </row>
    <row r="93">
      <c r="A93" s="501" t="str">
        <f>IFERROR(__xludf.DUMMYFUNCTION("IFERROR(if(ISBLANK(Installment!A93),"""",if(GOOGLEFINANCE(Installment!A93,""Currency"")=""GBX"",""GBP"",GOOGLEFINANCE(Installment!A93,""Currency""))),$F$1)"),"")</f>
        <v/>
      </c>
      <c r="B93" s="501" t="str">
        <f>Installment!A93</f>
        <v/>
      </c>
      <c r="C93" s="501" t="str">
        <f>Installment!B93</f>
        <v/>
      </c>
      <c r="D93" s="501" t="str">
        <f>IFERROR(__xludf.DUMMYFUNCTION("if(A93=""GBP"",if(B93="""","""",if(A93=$F$1,Installment!C93,Installment!C93*GOOGLEFINANCE(""Currency:""&amp;A93&amp;""""&amp;$F$1&amp;"""")))/100,if(B93="""","""",if(A93=$F$1,Installment!C93,Installment!C93*GOOGLEFINANCE(""Currency:""&amp;A93&amp;""""&amp;$F$1&amp;""""))))"),"")</f>
        <v/>
      </c>
      <c r="E93" s="501" t="str">
        <f>IFERROR(__xludf.DUMMYFUNCTION("if(A93=""GBP"",if(B93="""","""",if(A93=$F$1,Installment!H93,Installment!H93*GOOGLEFINANCE(""Currency:""&amp;A93&amp;""""&amp;$F$1&amp;"""")))/100,if(B93="""","""",if(A93=$F$1,Installment!H93,Installment!H93*GOOGLEFINANCE(""Currency:""&amp;A93&amp;""""&amp;$F$1&amp;""""))))"),"")</f>
        <v/>
      </c>
      <c r="F93" s="501" t="str">
        <f>IFERROR(__xludf.DUMMYFUNCTION("if(A93=""GBP"",if(B93="""","""",if(A93=$F$1,Installment!I93,Installment!I93*GOOGLEFINANCE(""Currency:""&amp;A93&amp;""""&amp;$F$1&amp;"""")))/100,if(B93="""","""",if(A93=$F$1,Installment!I93,Installment!I93*GOOGLEFINANCE(""Currency:""&amp;A93&amp;""""&amp;$F$1&amp;""""))))"),"")</f>
        <v/>
      </c>
      <c r="G93" s="501" t="str">
        <f t="shared" si="1"/>
        <v/>
      </c>
      <c r="H93" s="501" t="str">
        <f t="shared" si="2"/>
        <v/>
      </c>
      <c r="I93" s="501" t="str">
        <f t="shared" si="3"/>
        <v/>
      </c>
    </row>
    <row r="94">
      <c r="A94" s="501" t="str">
        <f>IFERROR(__xludf.DUMMYFUNCTION("IFERROR(if(ISBLANK(Installment!A94),"""",if(GOOGLEFINANCE(Installment!A94,""Currency"")=""GBX"",""GBP"",GOOGLEFINANCE(Installment!A94,""Currency""))),$F$1)"),"")</f>
        <v/>
      </c>
      <c r="B94" s="501" t="str">
        <f>Installment!A94</f>
        <v/>
      </c>
      <c r="C94" s="501" t="str">
        <f>Installment!B94</f>
        <v/>
      </c>
      <c r="D94" s="501" t="str">
        <f>IFERROR(__xludf.DUMMYFUNCTION("if(A94=""GBP"",if(B94="""","""",if(A94=$F$1,Installment!C94,Installment!C94*GOOGLEFINANCE(""Currency:""&amp;A94&amp;""""&amp;$F$1&amp;"""")))/100,if(B94="""","""",if(A94=$F$1,Installment!C94,Installment!C94*GOOGLEFINANCE(""Currency:""&amp;A94&amp;""""&amp;$F$1&amp;""""))))"),"")</f>
        <v/>
      </c>
      <c r="E94" s="501" t="str">
        <f>IFERROR(__xludf.DUMMYFUNCTION("if(A94=""GBP"",if(B94="""","""",if(A94=$F$1,Installment!H94,Installment!H94*GOOGLEFINANCE(""Currency:""&amp;A94&amp;""""&amp;$F$1&amp;"""")))/100,if(B94="""","""",if(A94=$F$1,Installment!H94,Installment!H94*GOOGLEFINANCE(""Currency:""&amp;A94&amp;""""&amp;$F$1&amp;""""))))"),"")</f>
        <v/>
      </c>
      <c r="F94" s="501" t="str">
        <f>IFERROR(__xludf.DUMMYFUNCTION("if(A94=""GBP"",if(B94="""","""",if(A94=$F$1,Installment!I94,Installment!I94*GOOGLEFINANCE(""Currency:""&amp;A94&amp;""""&amp;$F$1&amp;"""")))/100,if(B94="""","""",if(A94=$F$1,Installment!I94,Installment!I94*GOOGLEFINANCE(""Currency:""&amp;A94&amp;""""&amp;$F$1&amp;""""))))"),"")</f>
        <v/>
      </c>
      <c r="G94" s="501" t="str">
        <f t="shared" si="1"/>
        <v/>
      </c>
      <c r="H94" s="501" t="str">
        <f t="shared" si="2"/>
        <v/>
      </c>
      <c r="I94" s="501" t="str">
        <f t="shared" si="3"/>
        <v/>
      </c>
    </row>
    <row r="95">
      <c r="A95" s="501" t="str">
        <f>IFERROR(__xludf.DUMMYFUNCTION("IFERROR(if(ISBLANK(Installment!A95),"""",if(GOOGLEFINANCE(Installment!A95,""Currency"")=""GBX"",""GBP"",GOOGLEFINANCE(Installment!A95,""Currency""))),$F$1)"),"")</f>
        <v/>
      </c>
      <c r="B95" s="501" t="str">
        <f>Installment!A95</f>
        <v/>
      </c>
      <c r="C95" s="501" t="str">
        <f>Installment!B95</f>
        <v/>
      </c>
      <c r="D95" s="501" t="str">
        <f>IFERROR(__xludf.DUMMYFUNCTION("if(A95=""GBP"",if(B95="""","""",if(A95=$F$1,Installment!C95,Installment!C95*GOOGLEFINANCE(""Currency:""&amp;A95&amp;""""&amp;$F$1&amp;"""")))/100,if(B95="""","""",if(A95=$F$1,Installment!C95,Installment!C95*GOOGLEFINANCE(""Currency:""&amp;A95&amp;""""&amp;$F$1&amp;""""))))"),"")</f>
        <v/>
      </c>
      <c r="E95" s="501" t="str">
        <f>IFERROR(__xludf.DUMMYFUNCTION("if(A95=""GBP"",if(B95="""","""",if(A95=$F$1,Installment!H95,Installment!H95*GOOGLEFINANCE(""Currency:""&amp;A95&amp;""""&amp;$F$1&amp;"""")))/100,if(B95="""","""",if(A95=$F$1,Installment!H95,Installment!H95*GOOGLEFINANCE(""Currency:""&amp;A95&amp;""""&amp;$F$1&amp;""""))))"),"")</f>
        <v/>
      </c>
      <c r="F95" s="501" t="str">
        <f>IFERROR(__xludf.DUMMYFUNCTION("if(A95=""GBP"",if(B95="""","""",if(A95=$F$1,Installment!I95,Installment!I95*GOOGLEFINANCE(""Currency:""&amp;A95&amp;""""&amp;$F$1&amp;"""")))/100,if(B95="""","""",if(A95=$F$1,Installment!I95,Installment!I95*GOOGLEFINANCE(""Currency:""&amp;A95&amp;""""&amp;$F$1&amp;""""))))"),"")</f>
        <v/>
      </c>
      <c r="G95" s="501" t="str">
        <f t="shared" si="1"/>
        <v/>
      </c>
      <c r="H95" s="501" t="str">
        <f t="shared" si="2"/>
        <v/>
      </c>
      <c r="I95" s="501" t="str">
        <f t="shared" si="3"/>
        <v/>
      </c>
    </row>
    <row r="96">
      <c r="A96" s="501" t="str">
        <f>IFERROR(__xludf.DUMMYFUNCTION("IFERROR(if(ISBLANK(Installment!A96),"""",if(GOOGLEFINANCE(Installment!A96,""Currency"")=""GBX"",""GBP"",GOOGLEFINANCE(Installment!A96,""Currency""))),$F$1)"),"")</f>
        <v/>
      </c>
      <c r="B96" s="501" t="str">
        <f>Installment!A96</f>
        <v/>
      </c>
      <c r="C96" s="501" t="str">
        <f>Installment!B96</f>
        <v/>
      </c>
      <c r="D96" s="501" t="str">
        <f>IFERROR(__xludf.DUMMYFUNCTION("if(A96=""GBP"",if(B96="""","""",if(A96=$F$1,Installment!C96,Installment!C96*GOOGLEFINANCE(""Currency:""&amp;A96&amp;""""&amp;$F$1&amp;"""")))/100,if(B96="""","""",if(A96=$F$1,Installment!C96,Installment!C96*GOOGLEFINANCE(""Currency:""&amp;A96&amp;""""&amp;$F$1&amp;""""))))"),"")</f>
        <v/>
      </c>
      <c r="E96" s="501" t="str">
        <f>IFERROR(__xludf.DUMMYFUNCTION("if(A96=""GBP"",if(B96="""","""",if(A96=$F$1,Installment!H96,Installment!H96*GOOGLEFINANCE(""Currency:""&amp;A96&amp;""""&amp;$F$1&amp;"""")))/100,if(B96="""","""",if(A96=$F$1,Installment!H96,Installment!H96*GOOGLEFINANCE(""Currency:""&amp;A96&amp;""""&amp;$F$1&amp;""""))))"),"")</f>
        <v/>
      </c>
      <c r="F96" s="501" t="str">
        <f>IFERROR(__xludf.DUMMYFUNCTION("if(A96=""GBP"",if(B96="""","""",if(A96=$F$1,Installment!I96,Installment!I96*GOOGLEFINANCE(""Currency:""&amp;A96&amp;""""&amp;$F$1&amp;"""")))/100,if(B96="""","""",if(A96=$F$1,Installment!I96,Installment!I96*GOOGLEFINANCE(""Currency:""&amp;A96&amp;""""&amp;$F$1&amp;""""))))"),"")</f>
        <v/>
      </c>
      <c r="G96" s="501" t="str">
        <f t="shared" si="1"/>
        <v/>
      </c>
      <c r="H96" s="501" t="str">
        <f t="shared" si="2"/>
        <v/>
      </c>
      <c r="I96" s="501" t="str">
        <f t="shared" si="3"/>
        <v/>
      </c>
    </row>
    <row r="97">
      <c r="A97" s="501" t="str">
        <f>IFERROR(__xludf.DUMMYFUNCTION("IFERROR(if(ISBLANK(Installment!A97),"""",if(GOOGLEFINANCE(Installment!A97,""Currency"")=""GBX"",""GBP"",GOOGLEFINANCE(Installment!A97,""Currency""))),$F$1)"),"")</f>
        <v/>
      </c>
      <c r="B97" s="501" t="str">
        <f>Installment!A97</f>
        <v/>
      </c>
      <c r="C97" s="501" t="str">
        <f>Installment!B97</f>
        <v/>
      </c>
      <c r="D97" s="501" t="str">
        <f>IFERROR(__xludf.DUMMYFUNCTION("if(A97=""GBP"",if(B97="""","""",if(A97=$F$1,Installment!C97,Installment!C97*GOOGLEFINANCE(""Currency:""&amp;A97&amp;""""&amp;$F$1&amp;"""")))/100,if(B97="""","""",if(A97=$F$1,Installment!C97,Installment!C97*GOOGLEFINANCE(""Currency:""&amp;A97&amp;""""&amp;$F$1&amp;""""))))"),"")</f>
        <v/>
      </c>
      <c r="E97" s="501" t="str">
        <f>IFERROR(__xludf.DUMMYFUNCTION("if(A97=""GBP"",if(B97="""","""",if(A97=$F$1,Installment!H97,Installment!H97*GOOGLEFINANCE(""Currency:""&amp;A97&amp;""""&amp;$F$1&amp;"""")))/100,if(B97="""","""",if(A97=$F$1,Installment!H97,Installment!H97*GOOGLEFINANCE(""Currency:""&amp;A97&amp;""""&amp;$F$1&amp;""""))))"),"")</f>
        <v/>
      </c>
      <c r="F97" s="501" t="str">
        <f>IFERROR(__xludf.DUMMYFUNCTION("if(A97=""GBP"",if(B97="""","""",if(A97=$F$1,Installment!I97,Installment!I97*GOOGLEFINANCE(""Currency:""&amp;A97&amp;""""&amp;$F$1&amp;"""")))/100,if(B97="""","""",if(A97=$F$1,Installment!I97,Installment!I97*GOOGLEFINANCE(""Currency:""&amp;A97&amp;""""&amp;$F$1&amp;""""))))"),"")</f>
        <v/>
      </c>
      <c r="G97" s="501" t="str">
        <f t="shared" si="1"/>
        <v/>
      </c>
      <c r="H97" s="501" t="str">
        <f t="shared" si="2"/>
        <v/>
      </c>
      <c r="I97" s="501" t="str">
        <f t="shared" si="3"/>
        <v/>
      </c>
    </row>
    <row r="98">
      <c r="A98" s="501" t="str">
        <f>IFERROR(__xludf.DUMMYFUNCTION("IFERROR(if(ISBLANK(Installment!A98),"""",if(GOOGLEFINANCE(Installment!A98,""Currency"")=""GBX"",""GBP"",GOOGLEFINANCE(Installment!A98,""Currency""))),$F$1)"),"")</f>
        <v/>
      </c>
      <c r="B98" s="501" t="str">
        <f>Installment!A98</f>
        <v/>
      </c>
      <c r="C98" s="501" t="str">
        <f>Installment!B98</f>
        <v/>
      </c>
      <c r="D98" s="501" t="str">
        <f>IFERROR(__xludf.DUMMYFUNCTION("if(A98=""GBP"",if(B98="""","""",if(A98=$F$1,Installment!C98,Installment!C98*GOOGLEFINANCE(""Currency:""&amp;A98&amp;""""&amp;$F$1&amp;"""")))/100,if(B98="""","""",if(A98=$F$1,Installment!C98,Installment!C98*GOOGLEFINANCE(""Currency:""&amp;A98&amp;""""&amp;$F$1&amp;""""))))"),"")</f>
        <v/>
      </c>
      <c r="E98" s="501" t="str">
        <f>IFERROR(__xludf.DUMMYFUNCTION("if(A98=""GBP"",if(B98="""","""",if(A98=$F$1,Installment!H98,Installment!H98*GOOGLEFINANCE(""Currency:""&amp;A98&amp;""""&amp;$F$1&amp;"""")))/100,if(B98="""","""",if(A98=$F$1,Installment!H98,Installment!H98*GOOGLEFINANCE(""Currency:""&amp;A98&amp;""""&amp;$F$1&amp;""""))))"),"")</f>
        <v/>
      </c>
      <c r="F98" s="501" t="str">
        <f>IFERROR(__xludf.DUMMYFUNCTION("if(A98=""GBP"",if(B98="""","""",if(A98=$F$1,Installment!I98,Installment!I98*GOOGLEFINANCE(""Currency:""&amp;A98&amp;""""&amp;$F$1&amp;"""")))/100,if(B98="""","""",if(A98=$F$1,Installment!I98,Installment!I98*GOOGLEFINANCE(""Currency:""&amp;A98&amp;""""&amp;$F$1&amp;""""))))"),"")</f>
        <v/>
      </c>
      <c r="G98" s="501" t="str">
        <f t="shared" si="1"/>
        <v/>
      </c>
      <c r="H98" s="501" t="str">
        <f t="shared" si="2"/>
        <v/>
      </c>
      <c r="I98" s="501" t="str">
        <f t="shared" si="3"/>
        <v/>
      </c>
    </row>
    <row r="99">
      <c r="A99" s="501" t="str">
        <f>IFERROR(__xludf.DUMMYFUNCTION("IFERROR(if(ISBLANK(Installment!A99),"""",if(GOOGLEFINANCE(Installment!A99,""Currency"")=""GBX"",""GBP"",GOOGLEFINANCE(Installment!A99,""Currency""))),$F$1)"),"")</f>
        <v/>
      </c>
      <c r="B99" s="501" t="str">
        <f>Installment!A99</f>
        <v/>
      </c>
      <c r="C99" s="501" t="str">
        <f>Installment!B99</f>
        <v/>
      </c>
      <c r="D99" s="501" t="str">
        <f>IFERROR(__xludf.DUMMYFUNCTION("if(A99=""GBP"",if(B99="""","""",if(A99=$F$1,Installment!C99,Installment!C99*GOOGLEFINANCE(""Currency:""&amp;A99&amp;""""&amp;$F$1&amp;"""")))/100,if(B99="""","""",if(A99=$F$1,Installment!C99,Installment!C99*GOOGLEFINANCE(""Currency:""&amp;A99&amp;""""&amp;$F$1&amp;""""))))"),"")</f>
        <v/>
      </c>
      <c r="E99" s="501" t="str">
        <f>IFERROR(__xludf.DUMMYFUNCTION("if(A99=""GBP"",if(B99="""","""",if(A99=$F$1,Installment!H99,Installment!H99*GOOGLEFINANCE(""Currency:""&amp;A99&amp;""""&amp;$F$1&amp;"""")))/100,if(B99="""","""",if(A99=$F$1,Installment!H99,Installment!H99*GOOGLEFINANCE(""Currency:""&amp;A99&amp;""""&amp;$F$1&amp;""""))))"),"")</f>
        <v/>
      </c>
      <c r="F99" s="501" t="str">
        <f>IFERROR(__xludf.DUMMYFUNCTION("if(A99=""GBP"",if(B99="""","""",if(A99=$F$1,Installment!I99,Installment!I99*GOOGLEFINANCE(""Currency:""&amp;A99&amp;""""&amp;$F$1&amp;"""")))/100,if(B99="""","""",if(A99=$F$1,Installment!I99,Installment!I99*GOOGLEFINANCE(""Currency:""&amp;A99&amp;""""&amp;$F$1&amp;""""))))"),"")</f>
        <v/>
      </c>
      <c r="G99" s="501" t="str">
        <f t="shared" si="1"/>
        <v/>
      </c>
      <c r="H99" s="501" t="str">
        <f t="shared" si="2"/>
        <v/>
      </c>
      <c r="I99" s="501" t="str">
        <f t="shared" si="3"/>
        <v/>
      </c>
    </row>
    <row r="100">
      <c r="A100" s="501" t="str">
        <f>IFERROR(__xludf.DUMMYFUNCTION("IFERROR(if(ISBLANK(Installment!A100),"""",if(GOOGLEFINANCE(Installment!A100,""Currency"")=""GBX"",""GBP"",GOOGLEFINANCE(Installment!A100,""Currency""))),$F$1)"),"")</f>
        <v/>
      </c>
      <c r="B100" s="501" t="str">
        <f>Installment!A100</f>
        <v/>
      </c>
      <c r="C100" s="501" t="str">
        <f>Installment!B100</f>
        <v/>
      </c>
      <c r="D100" s="501" t="str">
        <f>IFERROR(__xludf.DUMMYFUNCTION("if(A100=""GBP"",if(B100="""","""",if(A100=$F$1,Installment!C100,Installment!C100*GOOGLEFINANCE(""Currency:""&amp;A100&amp;""""&amp;$F$1&amp;"""")))/100,if(B100="""","""",if(A100=$F$1,Installment!C100,Installment!C100*GOOGLEFINANCE(""Currency:""&amp;A100&amp;""""&amp;$F$1&amp;""""))))"),"")</f>
        <v/>
      </c>
      <c r="E100" s="501" t="str">
        <f>IFERROR(__xludf.DUMMYFUNCTION("if(A100=""GBP"",if(B100="""","""",if(A100=$F$1,Installment!H100,Installment!H100*GOOGLEFINANCE(""Currency:""&amp;A100&amp;""""&amp;$F$1&amp;"""")))/100,if(B100="""","""",if(A100=$F$1,Installment!H100,Installment!H100*GOOGLEFINANCE(""Currency:""&amp;A100&amp;""""&amp;$F$1&amp;""""))))"),"")</f>
        <v/>
      </c>
      <c r="F100" s="501" t="str">
        <f>IFERROR(__xludf.DUMMYFUNCTION("if(A100=""GBP"",if(B100="""","""",if(A100=$F$1,Installment!I100,Installment!I100*GOOGLEFINANCE(""Currency:""&amp;A100&amp;""""&amp;$F$1&amp;"""")))/100,if(B100="""","""",if(A100=$F$1,Installment!I100,Installment!I100*GOOGLEFINANCE(""Currency:""&amp;A100&amp;""""&amp;$F$1&amp;""""))))"),"")</f>
        <v/>
      </c>
      <c r="G100" s="501" t="str">
        <f t="shared" si="1"/>
        <v/>
      </c>
      <c r="H100" s="501" t="str">
        <f t="shared" si="2"/>
        <v/>
      </c>
      <c r="I100" s="501" t="str">
        <f t="shared" si="3"/>
        <v/>
      </c>
    </row>
    <row r="101">
      <c r="A101" s="501" t="str">
        <f>IFERROR(__xludf.DUMMYFUNCTION("IFERROR(if(ISBLANK(Installment!A101),"""",if(GOOGLEFINANCE(Installment!A101,""Currency"")=""GBX"",""GBP"",GOOGLEFINANCE(Installment!A101,""Currency""))),$F$1)"),"")</f>
        <v/>
      </c>
      <c r="B101" s="501" t="str">
        <f>Installment!A101</f>
        <v/>
      </c>
      <c r="C101" s="501" t="str">
        <f>Installment!B101</f>
        <v/>
      </c>
      <c r="D101" s="501" t="str">
        <f>IFERROR(__xludf.DUMMYFUNCTION("if(A101=""GBP"",if(B101="""","""",if(A101=$F$1,Installment!C101,Installment!C101*GOOGLEFINANCE(""Currency:""&amp;A101&amp;""""&amp;$F$1&amp;"""")))/100,if(B101="""","""",if(A101=$F$1,Installment!C101,Installment!C101*GOOGLEFINANCE(""Currency:""&amp;A101&amp;""""&amp;$F$1&amp;""""))))"),"")</f>
        <v/>
      </c>
      <c r="E101" s="501" t="str">
        <f>IFERROR(__xludf.DUMMYFUNCTION("if(A101=""GBP"",if(B101="""","""",if(A101=$F$1,Installment!H101,Installment!H101*GOOGLEFINANCE(""Currency:""&amp;A101&amp;""""&amp;$F$1&amp;"""")))/100,if(B101="""","""",if(A101=$F$1,Installment!H101,Installment!H101*GOOGLEFINANCE(""Currency:""&amp;A101&amp;""""&amp;$F$1&amp;""""))))"),"")</f>
        <v/>
      </c>
      <c r="F101" s="501" t="str">
        <f>IFERROR(__xludf.DUMMYFUNCTION("if(A101=""GBP"",if(B101="""","""",if(A101=$F$1,Installment!I101,Installment!I101*GOOGLEFINANCE(""Currency:""&amp;A101&amp;""""&amp;$F$1&amp;"""")))/100,if(B101="""","""",if(A101=$F$1,Installment!I101,Installment!I101*GOOGLEFINANCE(""Currency:""&amp;A101&amp;""""&amp;$F$1&amp;""""))))"),"")</f>
        <v/>
      </c>
      <c r="G101" s="501" t="str">
        <f t="shared" si="1"/>
        <v/>
      </c>
      <c r="H101" s="501" t="str">
        <f t="shared" si="2"/>
        <v/>
      </c>
      <c r="I101" s="501" t="str">
        <f t="shared" si="3"/>
        <v/>
      </c>
    </row>
    <row r="102">
      <c r="A102" s="501" t="str">
        <f>IFERROR(__xludf.DUMMYFUNCTION("IFERROR(if(ISBLANK(Installment!A102),"""",if(GOOGLEFINANCE(Installment!A102,""Currency"")=""GBX"",""GBP"",GOOGLEFINANCE(Installment!A102,""Currency""))),$F$1)"),"")</f>
        <v/>
      </c>
      <c r="B102" s="501" t="str">
        <f>Installment!A102</f>
        <v/>
      </c>
      <c r="C102" s="501" t="str">
        <f>Installment!B102</f>
        <v/>
      </c>
      <c r="D102" s="501" t="str">
        <f>IFERROR(__xludf.DUMMYFUNCTION("if(A102=""GBP"",if(B102="""","""",if(A102=$F$1,Installment!C102,Installment!C102*GOOGLEFINANCE(""Currency:""&amp;A102&amp;""""&amp;$F$1&amp;"""")))/100,if(B102="""","""",if(A102=$F$1,Installment!C102,Installment!C102*GOOGLEFINANCE(""Currency:""&amp;A102&amp;""""&amp;$F$1&amp;""""))))"),"")</f>
        <v/>
      </c>
      <c r="E102" s="501" t="str">
        <f>IFERROR(__xludf.DUMMYFUNCTION("if(A102=""GBP"",if(B102="""","""",if(A102=$F$1,Installment!H102,Installment!H102*GOOGLEFINANCE(""Currency:""&amp;A102&amp;""""&amp;$F$1&amp;"""")))/100,if(B102="""","""",if(A102=$F$1,Installment!H102,Installment!H102*GOOGLEFINANCE(""Currency:""&amp;A102&amp;""""&amp;$F$1&amp;""""))))"),"")</f>
        <v/>
      </c>
      <c r="F102" s="501" t="str">
        <f>IFERROR(__xludf.DUMMYFUNCTION("if(A102=""GBP"",if(B102="""","""",if(A102=$F$1,Installment!I102,Installment!I102*GOOGLEFINANCE(""Currency:""&amp;A102&amp;""""&amp;$F$1&amp;"""")))/100,if(B102="""","""",if(A102=$F$1,Installment!I102,Installment!I102*GOOGLEFINANCE(""Currency:""&amp;A102&amp;""""&amp;$F$1&amp;""""))))"),"")</f>
        <v/>
      </c>
      <c r="G102" s="501" t="str">
        <f t="shared" si="1"/>
        <v/>
      </c>
      <c r="H102" s="501" t="str">
        <f t="shared" si="2"/>
        <v/>
      </c>
      <c r="I102" s="501" t="str">
        <f t="shared" si="3"/>
        <v/>
      </c>
    </row>
    <row r="103">
      <c r="A103" s="501" t="str">
        <f>IFERROR(__xludf.DUMMYFUNCTION("IFERROR(if(ISBLANK(Installment!A103),"""",if(GOOGLEFINANCE(Installment!A103,""Currency"")=""GBX"",""GBP"",GOOGLEFINANCE(Installment!A103,""Currency""))),$F$1)"),"")</f>
        <v/>
      </c>
      <c r="B103" s="501" t="str">
        <f>Installment!A103</f>
        <v/>
      </c>
      <c r="C103" s="501" t="str">
        <f>Installment!B103</f>
        <v/>
      </c>
      <c r="D103" s="501" t="str">
        <f>IFERROR(__xludf.DUMMYFUNCTION("if(A103=""GBP"",if(B103="""","""",if(A103=$F$1,Installment!C103,Installment!C103*GOOGLEFINANCE(""Currency:""&amp;A103&amp;""""&amp;$F$1&amp;"""")))/100,if(B103="""","""",if(A103=$F$1,Installment!C103,Installment!C103*GOOGLEFINANCE(""Currency:""&amp;A103&amp;""""&amp;$F$1&amp;""""))))"),"")</f>
        <v/>
      </c>
      <c r="E103" s="501" t="str">
        <f>IFERROR(__xludf.DUMMYFUNCTION("if(A103=""GBP"",if(B103="""","""",if(A103=$F$1,Installment!H103,Installment!H103*GOOGLEFINANCE(""Currency:""&amp;A103&amp;""""&amp;$F$1&amp;"""")))/100,if(B103="""","""",if(A103=$F$1,Installment!H103,Installment!H103*GOOGLEFINANCE(""Currency:""&amp;A103&amp;""""&amp;$F$1&amp;""""))))"),"")</f>
        <v/>
      </c>
      <c r="F103" s="501" t="str">
        <f>IFERROR(__xludf.DUMMYFUNCTION("if(A103=""GBP"",if(B103="""","""",if(A103=$F$1,Installment!I103,Installment!I103*GOOGLEFINANCE(""Currency:""&amp;A103&amp;""""&amp;$F$1&amp;"""")))/100,if(B103="""","""",if(A103=$F$1,Installment!I103,Installment!I103*GOOGLEFINANCE(""Currency:""&amp;A103&amp;""""&amp;$F$1&amp;""""))))"),"")</f>
        <v/>
      </c>
      <c r="G103" s="501" t="str">
        <f t="shared" si="1"/>
        <v/>
      </c>
      <c r="H103" s="501" t="str">
        <f t="shared" si="2"/>
        <v/>
      </c>
      <c r="I103" s="501" t="str">
        <f t="shared" si="3"/>
        <v/>
      </c>
    </row>
    <row r="104">
      <c r="A104" s="501" t="str">
        <f>IFERROR(__xludf.DUMMYFUNCTION("IFERROR(if(ISBLANK(Installment!A104),"""",if(GOOGLEFINANCE(Installment!A104,""Currency"")=""GBX"",""GBP"",GOOGLEFINANCE(Installment!A104,""Currency""))),$F$1)"),"")</f>
        <v/>
      </c>
      <c r="B104" s="501" t="str">
        <f>Installment!A104</f>
        <v/>
      </c>
      <c r="C104" s="501" t="str">
        <f>Installment!B104</f>
        <v/>
      </c>
      <c r="D104" s="501" t="str">
        <f>IFERROR(__xludf.DUMMYFUNCTION("if(A104=""GBP"",if(B104="""","""",if(A104=$F$1,Installment!C104,Installment!C104*GOOGLEFINANCE(""Currency:""&amp;A104&amp;""""&amp;$F$1&amp;"""")))/100,if(B104="""","""",if(A104=$F$1,Installment!C104,Installment!C104*GOOGLEFINANCE(""Currency:""&amp;A104&amp;""""&amp;$F$1&amp;""""))))"),"")</f>
        <v/>
      </c>
      <c r="E104" s="501" t="str">
        <f>IFERROR(__xludf.DUMMYFUNCTION("if(A104=""GBP"",if(B104="""","""",if(A104=$F$1,Installment!H104,Installment!H104*GOOGLEFINANCE(""Currency:""&amp;A104&amp;""""&amp;$F$1&amp;"""")))/100,if(B104="""","""",if(A104=$F$1,Installment!H104,Installment!H104*GOOGLEFINANCE(""Currency:""&amp;A104&amp;""""&amp;$F$1&amp;""""))))"),"")</f>
        <v/>
      </c>
      <c r="F104" s="501" t="str">
        <f>IFERROR(__xludf.DUMMYFUNCTION("if(A104=""GBP"",if(B104="""","""",if(A104=$F$1,Installment!I104,Installment!I104*GOOGLEFINANCE(""Currency:""&amp;A104&amp;""""&amp;$F$1&amp;"""")))/100,if(B104="""","""",if(A104=$F$1,Installment!I104,Installment!I104*GOOGLEFINANCE(""Currency:""&amp;A104&amp;""""&amp;$F$1&amp;""""))))"),"")</f>
        <v/>
      </c>
      <c r="G104" s="501" t="str">
        <f t="shared" si="1"/>
        <v/>
      </c>
      <c r="H104" s="501" t="str">
        <f t="shared" si="2"/>
        <v/>
      </c>
      <c r="I104" s="501" t="str">
        <f t="shared" si="3"/>
        <v/>
      </c>
    </row>
    <row r="105">
      <c r="A105" s="501" t="str">
        <f>IFERROR(__xludf.DUMMYFUNCTION("IFERROR(if(ISBLANK(Installment!A105),"""",if(GOOGLEFINANCE(Installment!A105,""Currency"")=""GBX"",""GBP"",GOOGLEFINANCE(Installment!A105,""Currency""))),$F$1)"),"")</f>
        <v/>
      </c>
      <c r="B105" s="501" t="str">
        <f>Installment!A105</f>
        <v/>
      </c>
      <c r="C105" s="501" t="str">
        <f>Installment!B105</f>
        <v/>
      </c>
      <c r="D105" s="501" t="str">
        <f>IFERROR(__xludf.DUMMYFUNCTION("if(A105=""GBP"",if(B105="""","""",if(A105=$F$1,Installment!C105,Installment!C105*GOOGLEFINANCE(""Currency:""&amp;A105&amp;""""&amp;$F$1&amp;"""")))/100,if(B105="""","""",if(A105=$F$1,Installment!C105,Installment!C105*GOOGLEFINANCE(""Currency:""&amp;A105&amp;""""&amp;$F$1&amp;""""))))"),"")</f>
        <v/>
      </c>
      <c r="E105" s="501" t="str">
        <f>IFERROR(__xludf.DUMMYFUNCTION("if(A105=""GBP"",if(B105="""","""",if(A105=$F$1,Installment!H105,Installment!H105*GOOGLEFINANCE(""Currency:""&amp;A105&amp;""""&amp;$F$1&amp;"""")))/100,if(B105="""","""",if(A105=$F$1,Installment!H105,Installment!H105*GOOGLEFINANCE(""Currency:""&amp;A105&amp;""""&amp;$F$1&amp;""""))))"),"")</f>
        <v/>
      </c>
      <c r="F105" s="501" t="str">
        <f>IFERROR(__xludf.DUMMYFUNCTION("if(A105=""GBP"",if(B105="""","""",if(A105=$F$1,Installment!I105,Installment!I105*GOOGLEFINANCE(""Currency:""&amp;A105&amp;""""&amp;$F$1&amp;"""")))/100,if(B105="""","""",if(A105=$F$1,Installment!I105,Installment!I105*GOOGLEFINANCE(""Currency:""&amp;A105&amp;""""&amp;$F$1&amp;""""))))"),"")</f>
        <v/>
      </c>
      <c r="G105" s="501" t="str">
        <f t="shared" si="1"/>
        <v/>
      </c>
      <c r="H105" s="501" t="str">
        <f t="shared" si="2"/>
        <v/>
      </c>
      <c r="I105" s="501" t="str">
        <f t="shared" si="3"/>
        <v/>
      </c>
    </row>
    <row r="106">
      <c r="A106" s="501" t="str">
        <f>IFERROR(__xludf.DUMMYFUNCTION("IFERROR(if(ISBLANK(Installment!A106),"""",if(GOOGLEFINANCE(Installment!A106,""Currency"")=""GBX"",""GBP"",GOOGLEFINANCE(Installment!A106,""Currency""))),$F$1)"),"")</f>
        <v/>
      </c>
      <c r="B106" s="501" t="str">
        <f>Installment!A106</f>
        <v/>
      </c>
      <c r="C106" s="501" t="str">
        <f>Installment!B106</f>
        <v/>
      </c>
      <c r="D106" s="501" t="str">
        <f>IFERROR(__xludf.DUMMYFUNCTION("if(A106=""GBP"",if(B106="""","""",if(A106=$F$1,Installment!C106,Installment!C106*GOOGLEFINANCE(""Currency:""&amp;A106&amp;""""&amp;$F$1&amp;"""")))/100,if(B106="""","""",if(A106=$F$1,Installment!C106,Installment!C106*GOOGLEFINANCE(""Currency:""&amp;A106&amp;""""&amp;$F$1&amp;""""))))"),"")</f>
        <v/>
      </c>
      <c r="E106" s="501" t="str">
        <f>IFERROR(__xludf.DUMMYFUNCTION("if(A106=""GBP"",if(B106="""","""",if(A106=$F$1,Installment!H106,Installment!H106*GOOGLEFINANCE(""Currency:""&amp;A106&amp;""""&amp;$F$1&amp;"""")))/100,if(B106="""","""",if(A106=$F$1,Installment!H106,Installment!H106*GOOGLEFINANCE(""Currency:""&amp;A106&amp;""""&amp;$F$1&amp;""""))))"),"")</f>
        <v/>
      </c>
      <c r="F106" s="501" t="str">
        <f>IFERROR(__xludf.DUMMYFUNCTION("if(A106=""GBP"",if(B106="""","""",if(A106=$F$1,Installment!I106,Installment!I106*GOOGLEFINANCE(""Currency:""&amp;A106&amp;""""&amp;$F$1&amp;"""")))/100,if(B106="""","""",if(A106=$F$1,Installment!I106,Installment!I106*GOOGLEFINANCE(""Currency:""&amp;A106&amp;""""&amp;$F$1&amp;""""))))"),"")</f>
        <v/>
      </c>
      <c r="G106" s="501" t="str">
        <f t="shared" si="1"/>
        <v/>
      </c>
      <c r="H106" s="501" t="str">
        <f t="shared" si="2"/>
        <v/>
      </c>
      <c r="I106" s="501" t="str">
        <f t="shared" si="3"/>
        <v/>
      </c>
    </row>
    <row r="107">
      <c r="A107" s="501" t="str">
        <f>IFERROR(__xludf.DUMMYFUNCTION("IFERROR(if(ISBLANK(Installment!A107),"""",if(GOOGLEFINANCE(Installment!A107,""Currency"")=""GBX"",""GBP"",GOOGLEFINANCE(Installment!A107,""Currency""))),$F$1)"),"")</f>
        <v/>
      </c>
      <c r="B107" s="501" t="str">
        <f>Installment!A107</f>
        <v/>
      </c>
      <c r="C107" s="501" t="str">
        <f>Installment!B107</f>
        <v/>
      </c>
      <c r="D107" s="501" t="str">
        <f>IFERROR(__xludf.DUMMYFUNCTION("if(A107=""GBP"",if(B107="""","""",if(A107=$F$1,Installment!C107,Installment!C107*GOOGLEFINANCE(""Currency:""&amp;A107&amp;""""&amp;$F$1&amp;"""")))/100,if(B107="""","""",if(A107=$F$1,Installment!C107,Installment!C107*GOOGLEFINANCE(""Currency:""&amp;A107&amp;""""&amp;$F$1&amp;""""))))"),"")</f>
        <v/>
      </c>
      <c r="E107" s="501" t="str">
        <f>IFERROR(__xludf.DUMMYFUNCTION("if(A107=""GBP"",if(B107="""","""",if(A107=$F$1,Installment!H107,Installment!H107*GOOGLEFINANCE(""Currency:""&amp;A107&amp;""""&amp;$F$1&amp;"""")))/100,if(B107="""","""",if(A107=$F$1,Installment!H107,Installment!H107*GOOGLEFINANCE(""Currency:""&amp;A107&amp;""""&amp;$F$1&amp;""""))))"),"")</f>
        <v/>
      </c>
      <c r="F107" s="501" t="str">
        <f>IFERROR(__xludf.DUMMYFUNCTION("if(A107=""GBP"",if(B107="""","""",if(A107=$F$1,Installment!I107,Installment!I107*GOOGLEFINANCE(""Currency:""&amp;A107&amp;""""&amp;$F$1&amp;"""")))/100,if(B107="""","""",if(A107=$F$1,Installment!I107,Installment!I107*GOOGLEFINANCE(""Currency:""&amp;A107&amp;""""&amp;$F$1&amp;""""))))"),"")</f>
        <v/>
      </c>
      <c r="G107" s="501" t="str">
        <f t="shared" si="1"/>
        <v/>
      </c>
      <c r="H107" s="501" t="str">
        <f t="shared" si="2"/>
        <v/>
      </c>
      <c r="I107" s="501" t="str">
        <f t="shared" si="3"/>
        <v/>
      </c>
    </row>
    <row r="108">
      <c r="A108" s="501" t="str">
        <f>IFERROR(__xludf.DUMMYFUNCTION("IFERROR(if(ISBLANK(Installment!A108),"""",if(GOOGLEFINANCE(Installment!A108,""Currency"")=""GBX"",""GBP"",GOOGLEFINANCE(Installment!A108,""Currency""))),$F$1)"),"")</f>
        <v/>
      </c>
      <c r="B108" s="501" t="str">
        <f>Installment!A108</f>
        <v/>
      </c>
      <c r="C108" s="501" t="str">
        <f>Installment!B108</f>
        <v/>
      </c>
      <c r="D108" s="501" t="str">
        <f>IFERROR(__xludf.DUMMYFUNCTION("if(A108=""GBP"",if(B108="""","""",if(A108=$F$1,Installment!C108,Installment!C108*GOOGLEFINANCE(""Currency:""&amp;A108&amp;""""&amp;$F$1&amp;"""")))/100,if(B108="""","""",if(A108=$F$1,Installment!C108,Installment!C108*GOOGLEFINANCE(""Currency:""&amp;A108&amp;""""&amp;$F$1&amp;""""))))"),"")</f>
        <v/>
      </c>
      <c r="E108" s="501" t="str">
        <f>IFERROR(__xludf.DUMMYFUNCTION("if(A108=""GBP"",if(B108="""","""",if(A108=$F$1,Installment!H108,Installment!H108*GOOGLEFINANCE(""Currency:""&amp;A108&amp;""""&amp;$F$1&amp;"""")))/100,if(B108="""","""",if(A108=$F$1,Installment!H108,Installment!H108*GOOGLEFINANCE(""Currency:""&amp;A108&amp;""""&amp;$F$1&amp;""""))))"),"")</f>
        <v/>
      </c>
      <c r="F108" s="501" t="str">
        <f>IFERROR(__xludf.DUMMYFUNCTION("if(A108=""GBP"",if(B108="""","""",if(A108=$F$1,Installment!I108,Installment!I108*GOOGLEFINANCE(""Currency:""&amp;A108&amp;""""&amp;$F$1&amp;"""")))/100,if(B108="""","""",if(A108=$F$1,Installment!I108,Installment!I108*GOOGLEFINANCE(""Currency:""&amp;A108&amp;""""&amp;$F$1&amp;""""))))"),"")</f>
        <v/>
      </c>
      <c r="G108" s="501" t="str">
        <f t="shared" si="1"/>
        <v/>
      </c>
      <c r="H108" s="501" t="str">
        <f t="shared" si="2"/>
        <v/>
      </c>
      <c r="I108" s="501" t="str">
        <f t="shared" si="3"/>
        <v/>
      </c>
    </row>
    <row r="109">
      <c r="A109" s="501" t="str">
        <f>IFERROR(__xludf.DUMMYFUNCTION("IFERROR(if(ISBLANK(Installment!A109),"""",if(GOOGLEFINANCE(Installment!A109,""Currency"")=""GBX"",""GBP"",GOOGLEFINANCE(Installment!A109,""Currency""))),$F$1)"),"")</f>
        <v/>
      </c>
      <c r="B109" s="501" t="str">
        <f>Installment!A109</f>
        <v/>
      </c>
      <c r="C109" s="501" t="str">
        <f>Installment!B109</f>
        <v/>
      </c>
      <c r="D109" s="501" t="str">
        <f>IFERROR(__xludf.DUMMYFUNCTION("if(A109=""GBP"",if(B109="""","""",if(A109=$F$1,Installment!C109,Installment!C109*GOOGLEFINANCE(""Currency:""&amp;A109&amp;""""&amp;$F$1&amp;"""")))/100,if(B109="""","""",if(A109=$F$1,Installment!C109,Installment!C109*GOOGLEFINANCE(""Currency:""&amp;A109&amp;""""&amp;$F$1&amp;""""))))"),"")</f>
        <v/>
      </c>
      <c r="E109" s="501" t="str">
        <f>IFERROR(__xludf.DUMMYFUNCTION("if(A109=""GBP"",if(B109="""","""",if(A109=$F$1,Installment!H109,Installment!H109*GOOGLEFINANCE(""Currency:""&amp;A109&amp;""""&amp;$F$1&amp;"""")))/100,if(B109="""","""",if(A109=$F$1,Installment!H109,Installment!H109*GOOGLEFINANCE(""Currency:""&amp;A109&amp;""""&amp;$F$1&amp;""""))))"),"")</f>
        <v/>
      </c>
      <c r="F109" s="501" t="str">
        <f>IFERROR(__xludf.DUMMYFUNCTION("if(A109=""GBP"",if(B109="""","""",if(A109=$F$1,Installment!I109,Installment!I109*GOOGLEFINANCE(""Currency:""&amp;A109&amp;""""&amp;$F$1&amp;"""")))/100,if(B109="""","""",if(A109=$F$1,Installment!I109,Installment!I109*GOOGLEFINANCE(""Currency:""&amp;A109&amp;""""&amp;$F$1&amp;""""))))"),"")</f>
        <v/>
      </c>
      <c r="G109" s="501" t="str">
        <f t="shared" si="1"/>
        <v/>
      </c>
      <c r="H109" s="501" t="str">
        <f t="shared" si="2"/>
        <v/>
      </c>
      <c r="I109" s="501" t="str">
        <f t="shared" si="3"/>
        <v/>
      </c>
    </row>
    <row r="110">
      <c r="A110" s="501" t="str">
        <f>IFERROR(__xludf.DUMMYFUNCTION("IFERROR(if(ISBLANK(Installment!A110),"""",if(GOOGLEFINANCE(Installment!A110,""Currency"")=""GBX"",""GBP"",GOOGLEFINANCE(Installment!A110,""Currency""))),$F$1)"),"")</f>
        <v/>
      </c>
      <c r="B110" s="501" t="str">
        <f>Installment!A110</f>
        <v/>
      </c>
      <c r="C110" s="501" t="str">
        <f>Installment!B110</f>
        <v/>
      </c>
      <c r="D110" s="501" t="str">
        <f>IFERROR(__xludf.DUMMYFUNCTION("if(A110=""GBP"",if(B110="""","""",if(A110=$F$1,Installment!C110,Installment!C110*GOOGLEFINANCE(""Currency:""&amp;A110&amp;""""&amp;$F$1&amp;"""")))/100,if(B110="""","""",if(A110=$F$1,Installment!C110,Installment!C110*GOOGLEFINANCE(""Currency:""&amp;A110&amp;""""&amp;$F$1&amp;""""))))"),"")</f>
        <v/>
      </c>
      <c r="E110" s="501" t="str">
        <f>IFERROR(__xludf.DUMMYFUNCTION("if(A110=""GBP"",if(B110="""","""",if(A110=$F$1,Installment!H110,Installment!H110*GOOGLEFINANCE(""Currency:""&amp;A110&amp;""""&amp;$F$1&amp;"""")))/100,if(B110="""","""",if(A110=$F$1,Installment!H110,Installment!H110*GOOGLEFINANCE(""Currency:""&amp;A110&amp;""""&amp;$F$1&amp;""""))))"),"")</f>
        <v/>
      </c>
      <c r="F110" s="501" t="str">
        <f>IFERROR(__xludf.DUMMYFUNCTION("if(A110=""GBP"",if(B110="""","""",if(A110=$F$1,Installment!I110,Installment!I110*GOOGLEFINANCE(""Currency:""&amp;A110&amp;""""&amp;$F$1&amp;"""")))/100,if(B110="""","""",if(A110=$F$1,Installment!I110,Installment!I110*GOOGLEFINANCE(""Currency:""&amp;A110&amp;""""&amp;$F$1&amp;""""))))"),"")</f>
        <v/>
      </c>
      <c r="G110" s="501" t="str">
        <f t="shared" si="1"/>
        <v/>
      </c>
      <c r="H110" s="501" t="str">
        <f t="shared" si="2"/>
        <v/>
      </c>
      <c r="I110" s="501" t="str">
        <f t="shared" si="3"/>
        <v/>
      </c>
    </row>
    <row r="111">
      <c r="A111" s="501" t="str">
        <f>IFERROR(__xludf.DUMMYFUNCTION("IFERROR(if(ISBLANK(Installment!A111),"""",if(GOOGLEFINANCE(Installment!A111,""Currency"")=""GBX"",""GBP"",GOOGLEFINANCE(Installment!A111,""Currency""))),$F$1)"),"")</f>
        <v/>
      </c>
      <c r="B111" s="501" t="str">
        <f>Installment!A111</f>
        <v/>
      </c>
      <c r="C111" s="501" t="str">
        <f>Installment!B111</f>
        <v/>
      </c>
      <c r="D111" s="501" t="str">
        <f>IFERROR(__xludf.DUMMYFUNCTION("if(A111=""GBP"",if(B111="""","""",if(A111=$F$1,Installment!C111,Installment!C111*GOOGLEFINANCE(""Currency:""&amp;A111&amp;""""&amp;$F$1&amp;"""")))/100,if(B111="""","""",if(A111=$F$1,Installment!C111,Installment!C111*GOOGLEFINANCE(""Currency:""&amp;A111&amp;""""&amp;$F$1&amp;""""))))"),"")</f>
        <v/>
      </c>
      <c r="E111" s="501" t="str">
        <f>IFERROR(__xludf.DUMMYFUNCTION("if(A111=""GBP"",if(B111="""","""",if(A111=$F$1,Installment!H111,Installment!H111*GOOGLEFINANCE(""Currency:""&amp;A111&amp;""""&amp;$F$1&amp;"""")))/100,if(B111="""","""",if(A111=$F$1,Installment!H111,Installment!H111*GOOGLEFINANCE(""Currency:""&amp;A111&amp;""""&amp;$F$1&amp;""""))))"),"")</f>
        <v/>
      </c>
      <c r="F111" s="501" t="str">
        <f>IFERROR(__xludf.DUMMYFUNCTION("if(A111=""GBP"",if(B111="""","""",if(A111=$F$1,Installment!I111,Installment!I111*GOOGLEFINANCE(""Currency:""&amp;A111&amp;""""&amp;$F$1&amp;"""")))/100,if(B111="""","""",if(A111=$F$1,Installment!I111,Installment!I111*GOOGLEFINANCE(""Currency:""&amp;A111&amp;""""&amp;$F$1&amp;""""))))"),"")</f>
        <v/>
      </c>
      <c r="G111" s="501" t="str">
        <f t="shared" si="1"/>
        <v/>
      </c>
      <c r="H111" s="501" t="str">
        <f t="shared" si="2"/>
        <v/>
      </c>
      <c r="I111" s="501" t="str">
        <f t="shared" si="3"/>
        <v/>
      </c>
    </row>
    <row r="112">
      <c r="A112" s="501" t="str">
        <f>IFERROR(__xludf.DUMMYFUNCTION("IFERROR(if(ISBLANK(Installment!A112),"""",if(GOOGLEFINANCE(Installment!A112,""Currency"")=""GBX"",""GBP"",GOOGLEFINANCE(Installment!A112,""Currency""))),$F$1)"),"")</f>
        <v/>
      </c>
      <c r="B112" s="501" t="str">
        <f>Installment!A112</f>
        <v/>
      </c>
      <c r="C112" s="501" t="str">
        <f>Installment!B112</f>
        <v/>
      </c>
      <c r="D112" s="501" t="str">
        <f>IFERROR(__xludf.DUMMYFUNCTION("if(A112=""GBP"",if(B112="""","""",if(A112=$F$1,Installment!C112,Installment!C112*GOOGLEFINANCE(""Currency:""&amp;A112&amp;""""&amp;$F$1&amp;"""")))/100,if(B112="""","""",if(A112=$F$1,Installment!C112,Installment!C112*GOOGLEFINANCE(""Currency:""&amp;A112&amp;""""&amp;$F$1&amp;""""))))"),"")</f>
        <v/>
      </c>
      <c r="E112" s="501" t="str">
        <f>IFERROR(__xludf.DUMMYFUNCTION("if(A112=""GBP"",if(B112="""","""",if(A112=$F$1,Installment!H112,Installment!H112*GOOGLEFINANCE(""Currency:""&amp;A112&amp;""""&amp;$F$1&amp;"""")))/100,if(B112="""","""",if(A112=$F$1,Installment!H112,Installment!H112*GOOGLEFINANCE(""Currency:""&amp;A112&amp;""""&amp;$F$1&amp;""""))))"),"")</f>
        <v/>
      </c>
      <c r="F112" s="501" t="str">
        <f>IFERROR(__xludf.DUMMYFUNCTION("if(A112=""GBP"",if(B112="""","""",if(A112=$F$1,Installment!I112,Installment!I112*GOOGLEFINANCE(""Currency:""&amp;A112&amp;""""&amp;$F$1&amp;"""")))/100,if(B112="""","""",if(A112=$F$1,Installment!I112,Installment!I112*GOOGLEFINANCE(""Currency:""&amp;A112&amp;""""&amp;$F$1&amp;""""))))"),"")</f>
        <v/>
      </c>
      <c r="G112" s="501" t="str">
        <f t="shared" si="1"/>
        <v/>
      </c>
      <c r="H112" s="501" t="str">
        <f t="shared" si="2"/>
        <v/>
      </c>
      <c r="I112" s="501" t="str">
        <f t="shared" si="3"/>
        <v/>
      </c>
    </row>
    <row r="113">
      <c r="A113" s="501" t="str">
        <f>IFERROR(__xludf.DUMMYFUNCTION("IFERROR(if(ISBLANK(Installment!A113),"""",if(GOOGLEFINANCE(Installment!A113,""Currency"")=""GBX"",""GBP"",GOOGLEFINANCE(Installment!A113,""Currency""))),$F$1)"),"")</f>
        <v/>
      </c>
      <c r="B113" s="501" t="str">
        <f>Installment!A113</f>
        <v/>
      </c>
      <c r="C113" s="501" t="str">
        <f>Installment!B113</f>
        <v/>
      </c>
      <c r="D113" s="501" t="str">
        <f>IFERROR(__xludf.DUMMYFUNCTION("if(A113=""GBP"",if(B113="""","""",if(A113=$F$1,Installment!C113,Installment!C113*GOOGLEFINANCE(""Currency:""&amp;A113&amp;""""&amp;$F$1&amp;"""")))/100,if(B113="""","""",if(A113=$F$1,Installment!C113,Installment!C113*GOOGLEFINANCE(""Currency:""&amp;A113&amp;""""&amp;$F$1&amp;""""))))"),"")</f>
        <v/>
      </c>
      <c r="E113" s="501" t="str">
        <f>IFERROR(__xludf.DUMMYFUNCTION("if(A113=""GBP"",if(B113="""","""",if(A113=$F$1,Installment!H113,Installment!H113*GOOGLEFINANCE(""Currency:""&amp;A113&amp;""""&amp;$F$1&amp;"""")))/100,if(B113="""","""",if(A113=$F$1,Installment!H113,Installment!H113*GOOGLEFINANCE(""Currency:""&amp;A113&amp;""""&amp;$F$1&amp;""""))))"),"")</f>
        <v/>
      </c>
      <c r="F113" s="501" t="str">
        <f>IFERROR(__xludf.DUMMYFUNCTION("if(A113=""GBP"",if(B113="""","""",if(A113=$F$1,Installment!I113,Installment!I113*GOOGLEFINANCE(""Currency:""&amp;A113&amp;""""&amp;$F$1&amp;"""")))/100,if(B113="""","""",if(A113=$F$1,Installment!I113,Installment!I113*GOOGLEFINANCE(""Currency:""&amp;A113&amp;""""&amp;$F$1&amp;""""))))"),"")</f>
        <v/>
      </c>
      <c r="G113" s="501" t="str">
        <f t="shared" si="1"/>
        <v/>
      </c>
      <c r="H113" s="501" t="str">
        <f t="shared" si="2"/>
        <v/>
      </c>
      <c r="I113" s="501" t="str">
        <f t="shared" si="3"/>
        <v/>
      </c>
    </row>
    <row r="114">
      <c r="A114" s="501" t="str">
        <f>IFERROR(__xludf.DUMMYFUNCTION("IFERROR(if(ISBLANK(Installment!A114),"""",if(GOOGLEFINANCE(Installment!A114,""Currency"")=""GBX"",""GBP"",GOOGLEFINANCE(Installment!A114,""Currency""))),$F$1)"),"")</f>
        <v/>
      </c>
      <c r="B114" s="501" t="str">
        <f>Installment!A114</f>
        <v/>
      </c>
      <c r="C114" s="501" t="str">
        <f>Installment!B114</f>
        <v/>
      </c>
      <c r="D114" s="501" t="str">
        <f>IFERROR(__xludf.DUMMYFUNCTION("if(A114=""GBP"",if(B114="""","""",if(A114=$F$1,Installment!C114,Installment!C114*GOOGLEFINANCE(""Currency:""&amp;A114&amp;""""&amp;$F$1&amp;"""")))/100,if(B114="""","""",if(A114=$F$1,Installment!C114,Installment!C114*GOOGLEFINANCE(""Currency:""&amp;A114&amp;""""&amp;$F$1&amp;""""))))"),"")</f>
        <v/>
      </c>
      <c r="E114" s="501" t="str">
        <f>IFERROR(__xludf.DUMMYFUNCTION("if(A114=""GBP"",if(B114="""","""",if(A114=$F$1,Installment!H114,Installment!H114*GOOGLEFINANCE(""Currency:""&amp;A114&amp;""""&amp;$F$1&amp;"""")))/100,if(B114="""","""",if(A114=$F$1,Installment!H114,Installment!H114*GOOGLEFINANCE(""Currency:""&amp;A114&amp;""""&amp;$F$1&amp;""""))))"),"")</f>
        <v/>
      </c>
      <c r="F114" s="501" t="str">
        <f>IFERROR(__xludf.DUMMYFUNCTION("if(A114=""GBP"",if(B114="""","""",if(A114=$F$1,Installment!I114,Installment!I114*GOOGLEFINANCE(""Currency:""&amp;A114&amp;""""&amp;$F$1&amp;"""")))/100,if(B114="""","""",if(A114=$F$1,Installment!I114,Installment!I114*GOOGLEFINANCE(""Currency:""&amp;A114&amp;""""&amp;$F$1&amp;""""))))"),"")</f>
        <v/>
      </c>
      <c r="G114" s="501" t="str">
        <f t="shared" si="1"/>
        <v/>
      </c>
      <c r="H114" s="501" t="str">
        <f t="shared" si="2"/>
        <v/>
      </c>
      <c r="I114" s="501" t="str">
        <f t="shared" si="3"/>
        <v/>
      </c>
    </row>
    <row r="115">
      <c r="A115" s="501" t="str">
        <f>IFERROR(__xludf.DUMMYFUNCTION("IFERROR(if(ISBLANK(Installment!A115),"""",if(GOOGLEFINANCE(Installment!A115,""Currency"")=""GBX"",""GBP"",GOOGLEFINANCE(Installment!A115,""Currency""))),$F$1)"),"")</f>
        <v/>
      </c>
      <c r="B115" s="501" t="str">
        <f>Installment!A115</f>
        <v/>
      </c>
      <c r="C115" s="501" t="str">
        <f>Installment!B115</f>
        <v/>
      </c>
      <c r="D115" s="501" t="str">
        <f>IFERROR(__xludf.DUMMYFUNCTION("if(A115=""GBP"",if(B115="""","""",if(A115=$F$1,Installment!C115,Installment!C115*GOOGLEFINANCE(""Currency:""&amp;A115&amp;""""&amp;$F$1&amp;"""")))/100,if(B115="""","""",if(A115=$F$1,Installment!C115,Installment!C115*GOOGLEFINANCE(""Currency:""&amp;A115&amp;""""&amp;$F$1&amp;""""))))"),"")</f>
        <v/>
      </c>
      <c r="E115" s="501" t="str">
        <f>IFERROR(__xludf.DUMMYFUNCTION("if(A115=""GBP"",if(B115="""","""",if(A115=$F$1,Installment!H115,Installment!H115*GOOGLEFINANCE(""Currency:""&amp;A115&amp;""""&amp;$F$1&amp;"""")))/100,if(B115="""","""",if(A115=$F$1,Installment!H115,Installment!H115*GOOGLEFINANCE(""Currency:""&amp;A115&amp;""""&amp;$F$1&amp;""""))))"),"")</f>
        <v/>
      </c>
      <c r="F115" s="501" t="str">
        <f>IFERROR(__xludf.DUMMYFUNCTION("if(A115=""GBP"",if(B115="""","""",if(A115=$F$1,Installment!I115,Installment!I115*GOOGLEFINANCE(""Currency:""&amp;A115&amp;""""&amp;$F$1&amp;"""")))/100,if(B115="""","""",if(A115=$F$1,Installment!I115,Installment!I115*GOOGLEFINANCE(""Currency:""&amp;A115&amp;""""&amp;$F$1&amp;""""))))"),"")</f>
        <v/>
      </c>
      <c r="G115" s="501" t="str">
        <f t="shared" si="1"/>
        <v/>
      </c>
      <c r="H115" s="501" t="str">
        <f t="shared" si="2"/>
        <v/>
      </c>
      <c r="I115" s="501" t="str">
        <f t="shared" si="3"/>
        <v/>
      </c>
    </row>
    <row r="116">
      <c r="A116" s="501" t="str">
        <f>IFERROR(__xludf.DUMMYFUNCTION("IFERROR(if(ISBLANK(Installment!A116),"""",if(GOOGLEFINANCE(Installment!A116,""Currency"")=""GBX"",""GBP"",GOOGLEFINANCE(Installment!A116,""Currency""))),$F$1)"),"")</f>
        <v/>
      </c>
      <c r="B116" s="501" t="str">
        <f>Installment!A116</f>
        <v/>
      </c>
      <c r="C116" s="501" t="str">
        <f>Installment!B116</f>
        <v/>
      </c>
      <c r="D116" s="501" t="str">
        <f>IFERROR(__xludf.DUMMYFUNCTION("if(A116=""GBP"",if(B116="""","""",if(A116=$F$1,Installment!C116,Installment!C116*GOOGLEFINANCE(""Currency:""&amp;A116&amp;""""&amp;$F$1&amp;"""")))/100,if(B116="""","""",if(A116=$F$1,Installment!C116,Installment!C116*GOOGLEFINANCE(""Currency:""&amp;A116&amp;""""&amp;$F$1&amp;""""))))"),"")</f>
        <v/>
      </c>
      <c r="E116" s="501" t="str">
        <f>IFERROR(__xludf.DUMMYFUNCTION("if(A116=""GBP"",if(B116="""","""",if(A116=$F$1,Installment!H116,Installment!H116*GOOGLEFINANCE(""Currency:""&amp;A116&amp;""""&amp;$F$1&amp;"""")))/100,if(B116="""","""",if(A116=$F$1,Installment!H116,Installment!H116*GOOGLEFINANCE(""Currency:""&amp;A116&amp;""""&amp;$F$1&amp;""""))))"),"")</f>
        <v/>
      </c>
      <c r="F116" s="501" t="str">
        <f>IFERROR(__xludf.DUMMYFUNCTION("if(A116=""GBP"",if(B116="""","""",if(A116=$F$1,Installment!I116,Installment!I116*GOOGLEFINANCE(""Currency:""&amp;A116&amp;""""&amp;$F$1&amp;"""")))/100,if(B116="""","""",if(A116=$F$1,Installment!I116,Installment!I116*GOOGLEFINANCE(""Currency:""&amp;A116&amp;""""&amp;$F$1&amp;""""))))"),"")</f>
        <v/>
      </c>
      <c r="G116" s="501" t="str">
        <f t="shared" si="1"/>
        <v/>
      </c>
      <c r="H116" s="501" t="str">
        <f t="shared" si="2"/>
        <v/>
      </c>
      <c r="I116" s="501" t="str">
        <f t="shared" si="3"/>
        <v/>
      </c>
    </row>
    <row r="117">
      <c r="A117" s="501" t="str">
        <f>IFERROR(__xludf.DUMMYFUNCTION("IFERROR(if(ISBLANK(Installment!A117),"""",if(GOOGLEFINANCE(Installment!A117,""Currency"")=""GBX"",""GBP"",GOOGLEFINANCE(Installment!A117,""Currency""))),$F$1)"),"")</f>
        <v/>
      </c>
      <c r="B117" s="501" t="str">
        <f>Installment!A117</f>
        <v/>
      </c>
      <c r="C117" s="501" t="str">
        <f>Installment!B117</f>
        <v/>
      </c>
      <c r="D117" s="501" t="str">
        <f>IFERROR(__xludf.DUMMYFUNCTION("if(A117=""GBP"",if(B117="""","""",if(A117=$F$1,Installment!C117,Installment!C117*GOOGLEFINANCE(""Currency:""&amp;A117&amp;""""&amp;$F$1&amp;"""")))/100,if(B117="""","""",if(A117=$F$1,Installment!C117,Installment!C117*GOOGLEFINANCE(""Currency:""&amp;A117&amp;""""&amp;$F$1&amp;""""))))"),"")</f>
        <v/>
      </c>
      <c r="E117" s="501" t="str">
        <f>IFERROR(__xludf.DUMMYFUNCTION("if(A117=""GBP"",if(B117="""","""",if(A117=$F$1,Installment!H117,Installment!H117*GOOGLEFINANCE(""Currency:""&amp;A117&amp;""""&amp;$F$1&amp;"""")))/100,if(B117="""","""",if(A117=$F$1,Installment!H117,Installment!H117*GOOGLEFINANCE(""Currency:""&amp;A117&amp;""""&amp;$F$1&amp;""""))))"),"")</f>
        <v/>
      </c>
      <c r="F117" s="501" t="str">
        <f>IFERROR(__xludf.DUMMYFUNCTION("if(A117=""GBP"",if(B117="""","""",if(A117=$F$1,Installment!I117,Installment!I117*GOOGLEFINANCE(""Currency:""&amp;A117&amp;""""&amp;$F$1&amp;"""")))/100,if(B117="""","""",if(A117=$F$1,Installment!I117,Installment!I117*GOOGLEFINANCE(""Currency:""&amp;A117&amp;""""&amp;$F$1&amp;""""))))"),"")</f>
        <v/>
      </c>
      <c r="G117" s="501" t="str">
        <f t="shared" si="1"/>
        <v/>
      </c>
      <c r="H117" s="501" t="str">
        <f t="shared" si="2"/>
        <v/>
      </c>
      <c r="I117" s="501" t="str">
        <f t="shared" si="3"/>
        <v/>
      </c>
    </row>
    <row r="118">
      <c r="A118" s="501" t="str">
        <f>IFERROR(__xludf.DUMMYFUNCTION("IFERROR(if(ISBLANK(Installment!A118),"""",if(GOOGLEFINANCE(Installment!A118,""Currency"")=""GBX"",""GBP"",GOOGLEFINANCE(Installment!A118,""Currency""))),$F$1)"),"")</f>
        <v/>
      </c>
      <c r="B118" s="501" t="str">
        <f>Installment!A118</f>
        <v/>
      </c>
      <c r="C118" s="501" t="str">
        <f>Installment!B118</f>
        <v/>
      </c>
      <c r="D118" s="501" t="str">
        <f>IFERROR(__xludf.DUMMYFUNCTION("if(A118=""GBP"",if(B118="""","""",if(A118=$F$1,Installment!C118,Installment!C118*GOOGLEFINANCE(""Currency:""&amp;A118&amp;""""&amp;$F$1&amp;"""")))/100,if(B118="""","""",if(A118=$F$1,Installment!C118,Installment!C118*GOOGLEFINANCE(""Currency:""&amp;A118&amp;""""&amp;$F$1&amp;""""))))"),"")</f>
        <v/>
      </c>
      <c r="E118" s="501" t="str">
        <f>IFERROR(__xludf.DUMMYFUNCTION("if(A118=""GBP"",if(B118="""","""",if(A118=$F$1,Installment!H118,Installment!H118*GOOGLEFINANCE(""Currency:""&amp;A118&amp;""""&amp;$F$1&amp;"""")))/100,if(B118="""","""",if(A118=$F$1,Installment!H118,Installment!H118*GOOGLEFINANCE(""Currency:""&amp;A118&amp;""""&amp;$F$1&amp;""""))))"),"")</f>
        <v/>
      </c>
      <c r="F118" s="501" t="str">
        <f>IFERROR(__xludf.DUMMYFUNCTION("if(A118=""GBP"",if(B118="""","""",if(A118=$F$1,Installment!I118,Installment!I118*GOOGLEFINANCE(""Currency:""&amp;A118&amp;""""&amp;$F$1&amp;"""")))/100,if(B118="""","""",if(A118=$F$1,Installment!I118,Installment!I118*GOOGLEFINANCE(""Currency:""&amp;A118&amp;""""&amp;$F$1&amp;""""))))"),"")</f>
        <v/>
      </c>
      <c r="G118" s="501" t="str">
        <f t="shared" si="1"/>
        <v/>
      </c>
      <c r="H118" s="501" t="str">
        <f t="shared" si="2"/>
        <v/>
      </c>
      <c r="I118" s="501" t="str">
        <f t="shared" si="3"/>
        <v/>
      </c>
    </row>
    <row r="119">
      <c r="A119" s="501" t="str">
        <f>IFERROR(__xludf.DUMMYFUNCTION("IFERROR(if(ISBLANK(Installment!A119),"""",if(GOOGLEFINANCE(Installment!A119,""Currency"")=""GBX"",""GBP"",GOOGLEFINANCE(Installment!A119,""Currency""))),$F$1)"),"")</f>
        <v/>
      </c>
      <c r="B119" s="501" t="str">
        <f>Installment!A119</f>
        <v/>
      </c>
      <c r="C119" s="501" t="str">
        <f>Installment!B119</f>
        <v/>
      </c>
      <c r="D119" s="501" t="str">
        <f>IFERROR(__xludf.DUMMYFUNCTION("if(A119=""GBP"",if(B119="""","""",if(A119=$F$1,Installment!C119,Installment!C119*GOOGLEFINANCE(""Currency:""&amp;A119&amp;""""&amp;$F$1&amp;"""")))/100,if(B119="""","""",if(A119=$F$1,Installment!C119,Installment!C119*GOOGLEFINANCE(""Currency:""&amp;A119&amp;""""&amp;$F$1&amp;""""))))"),"")</f>
        <v/>
      </c>
      <c r="E119" s="501" t="str">
        <f>IFERROR(__xludf.DUMMYFUNCTION("if(A119=""GBP"",if(B119="""","""",if(A119=$F$1,Installment!H119,Installment!H119*GOOGLEFINANCE(""Currency:""&amp;A119&amp;""""&amp;$F$1&amp;"""")))/100,if(B119="""","""",if(A119=$F$1,Installment!H119,Installment!H119*GOOGLEFINANCE(""Currency:""&amp;A119&amp;""""&amp;$F$1&amp;""""))))"),"")</f>
        <v/>
      </c>
      <c r="F119" s="501" t="str">
        <f>IFERROR(__xludf.DUMMYFUNCTION("if(A119=""GBP"",if(B119="""","""",if(A119=$F$1,Installment!I119,Installment!I119*GOOGLEFINANCE(""Currency:""&amp;A119&amp;""""&amp;$F$1&amp;"""")))/100,if(B119="""","""",if(A119=$F$1,Installment!I119,Installment!I119*GOOGLEFINANCE(""Currency:""&amp;A119&amp;""""&amp;$F$1&amp;""""))))"),"")</f>
        <v/>
      </c>
      <c r="G119" s="501" t="str">
        <f t="shared" si="1"/>
        <v/>
      </c>
      <c r="H119" s="501" t="str">
        <f t="shared" si="2"/>
        <v/>
      </c>
      <c r="I119" s="501" t="str">
        <f t="shared" si="3"/>
        <v/>
      </c>
    </row>
    <row r="120">
      <c r="A120" s="501" t="str">
        <f>IFERROR(__xludf.DUMMYFUNCTION("IFERROR(if(ISBLANK(Installment!A120),"""",if(GOOGLEFINANCE(Installment!A120,""Currency"")=""GBX"",""GBP"",GOOGLEFINANCE(Installment!A120,""Currency""))),$F$1)"),"")</f>
        <v/>
      </c>
      <c r="B120" s="501" t="str">
        <f>Installment!A120</f>
        <v/>
      </c>
      <c r="C120" s="501" t="str">
        <f>Installment!B120</f>
        <v/>
      </c>
      <c r="D120" s="501" t="str">
        <f>IFERROR(__xludf.DUMMYFUNCTION("if(A120=""GBP"",if(B120="""","""",if(A120=$F$1,Installment!C120,Installment!C120*GOOGLEFINANCE(""Currency:""&amp;A120&amp;""""&amp;$F$1&amp;"""")))/100,if(B120="""","""",if(A120=$F$1,Installment!C120,Installment!C120*GOOGLEFINANCE(""Currency:""&amp;A120&amp;""""&amp;$F$1&amp;""""))))"),"")</f>
        <v/>
      </c>
      <c r="E120" s="501" t="str">
        <f>IFERROR(__xludf.DUMMYFUNCTION("if(A120=""GBP"",if(B120="""","""",if(A120=$F$1,Installment!H120,Installment!H120*GOOGLEFINANCE(""Currency:""&amp;A120&amp;""""&amp;$F$1&amp;"""")))/100,if(B120="""","""",if(A120=$F$1,Installment!H120,Installment!H120*GOOGLEFINANCE(""Currency:""&amp;A120&amp;""""&amp;$F$1&amp;""""))))"),"")</f>
        <v/>
      </c>
      <c r="F120" s="501" t="str">
        <f>IFERROR(__xludf.DUMMYFUNCTION("if(A120=""GBP"",if(B120="""","""",if(A120=$F$1,Installment!I120,Installment!I120*GOOGLEFINANCE(""Currency:""&amp;A120&amp;""""&amp;$F$1&amp;"""")))/100,if(B120="""","""",if(A120=$F$1,Installment!I120,Installment!I120*GOOGLEFINANCE(""Currency:""&amp;A120&amp;""""&amp;$F$1&amp;""""))))"),"")</f>
        <v/>
      </c>
      <c r="G120" s="501" t="str">
        <f t="shared" si="1"/>
        <v/>
      </c>
      <c r="H120" s="501" t="str">
        <f t="shared" si="2"/>
        <v/>
      </c>
      <c r="I120" s="501" t="str">
        <f t="shared" si="3"/>
        <v/>
      </c>
    </row>
    <row r="121">
      <c r="A121" s="501" t="str">
        <f>IFERROR(__xludf.DUMMYFUNCTION("IFERROR(if(ISBLANK(Installment!A121),"""",if(GOOGLEFINANCE(Installment!A121,""Currency"")=""GBX"",""GBP"",GOOGLEFINANCE(Installment!A121,""Currency""))),$F$1)"),"")</f>
        <v/>
      </c>
      <c r="B121" s="501" t="str">
        <f>Installment!A121</f>
        <v/>
      </c>
      <c r="C121" s="501" t="str">
        <f>Installment!B121</f>
        <v/>
      </c>
      <c r="D121" s="501" t="str">
        <f>IFERROR(__xludf.DUMMYFUNCTION("if(A121=""GBP"",if(B121="""","""",if(A121=$F$1,Installment!C121,Installment!C121*GOOGLEFINANCE(""Currency:""&amp;A121&amp;""""&amp;$F$1&amp;"""")))/100,if(B121="""","""",if(A121=$F$1,Installment!C121,Installment!C121*GOOGLEFINANCE(""Currency:""&amp;A121&amp;""""&amp;$F$1&amp;""""))))"),"")</f>
        <v/>
      </c>
      <c r="E121" s="501" t="str">
        <f>IFERROR(__xludf.DUMMYFUNCTION("if(A121=""GBP"",if(B121="""","""",if(A121=$F$1,Installment!H121,Installment!H121*GOOGLEFINANCE(""Currency:""&amp;A121&amp;""""&amp;$F$1&amp;"""")))/100,if(B121="""","""",if(A121=$F$1,Installment!H121,Installment!H121*GOOGLEFINANCE(""Currency:""&amp;A121&amp;""""&amp;$F$1&amp;""""))))"),"")</f>
        <v/>
      </c>
      <c r="F121" s="501" t="str">
        <f>IFERROR(__xludf.DUMMYFUNCTION("if(A121=""GBP"",if(B121="""","""",if(A121=$F$1,Installment!I121,Installment!I121*GOOGLEFINANCE(""Currency:""&amp;A121&amp;""""&amp;$F$1&amp;"""")))/100,if(B121="""","""",if(A121=$F$1,Installment!I121,Installment!I121*GOOGLEFINANCE(""Currency:""&amp;A121&amp;""""&amp;$F$1&amp;""""))))"),"")</f>
        <v/>
      </c>
      <c r="G121" s="501" t="str">
        <f t="shared" si="1"/>
        <v/>
      </c>
      <c r="H121" s="501" t="str">
        <f t="shared" si="2"/>
        <v/>
      </c>
      <c r="I121" s="501" t="str">
        <f t="shared" si="3"/>
        <v/>
      </c>
    </row>
    <row r="122">
      <c r="A122" s="501" t="str">
        <f>IFERROR(__xludf.DUMMYFUNCTION("IFERROR(if(ISBLANK(Installment!A122),"""",if(GOOGLEFINANCE(Installment!A122,""Currency"")=""GBX"",""GBP"",GOOGLEFINANCE(Installment!A122,""Currency""))),$F$1)"),"")</f>
        <v/>
      </c>
      <c r="B122" s="501" t="str">
        <f>Installment!A122</f>
        <v/>
      </c>
      <c r="C122" s="501" t="str">
        <f>Installment!B122</f>
        <v/>
      </c>
      <c r="D122" s="501" t="str">
        <f>IFERROR(__xludf.DUMMYFUNCTION("if(A122=""GBP"",if(B122="""","""",if(A122=$F$1,Installment!C122,Installment!C122*GOOGLEFINANCE(""Currency:""&amp;A122&amp;""""&amp;$F$1&amp;"""")))/100,if(B122="""","""",if(A122=$F$1,Installment!C122,Installment!C122*GOOGLEFINANCE(""Currency:""&amp;A122&amp;""""&amp;$F$1&amp;""""))))"),"")</f>
        <v/>
      </c>
      <c r="E122" s="501" t="str">
        <f>IFERROR(__xludf.DUMMYFUNCTION("if(A122=""GBP"",if(B122="""","""",if(A122=$F$1,Installment!H122,Installment!H122*GOOGLEFINANCE(""Currency:""&amp;A122&amp;""""&amp;$F$1&amp;"""")))/100,if(B122="""","""",if(A122=$F$1,Installment!H122,Installment!H122*GOOGLEFINANCE(""Currency:""&amp;A122&amp;""""&amp;$F$1&amp;""""))))"),"")</f>
        <v/>
      </c>
      <c r="F122" s="501" t="str">
        <f>IFERROR(__xludf.DUMMYFUNCTION("if(A122=""GBP"",if(B122="""","""",if(A122=$F$1,Installment!I122,Installment!I122*GOOGLEFINANCE(""Currency:""&amp;A122&amp;""""&amp;$F$1&amp;"""")))/100,if(B122="""","""",if(A122=$F$1,Installment!I122,Installment!I122*GOOGLEFINANCE(""Currency:""&amp;A122&amp;""""&amp;$F$1&amp;""""))))"),"")</f>
        <v/>
      </c>
      <c r="G122" s="501" t="str">
        <f t="shared" si="1"/>
        <v/>
      </c>
      <c r="H122" s="501" t="str">
        <f t="shared" si="2"/>
        <v/>
      </c>
      <c r="I122" s="501" t="str">
        <f t="shared" si="3"/>
        <v/>
      </c>
    </row>
    <row r="123">
      <c r="A123" s="501" t="str">
        <f>IFERROR(__xludf.DUMMYFUNCTION("IFERROR(if(ISBLANK(Installment!A123),"""",if(GOOGLEFINANCE(Installment!A123,""Currency"")=""GBX"",""GBP"",GOOGLEFINANCE(Installment!A123,""Currency""))),$F$1)"),"")</f>
        <v/>
      </c>
      <c r="B123" s="501" t="str">
        <f>Installment!A123</f>
        <v/>
      </c>
      <c r="C123" s="501" t="str">
        <f>Installment!B123</f>
        <v/>
      </c>
      <c r="D123" s="501" t="str">
        <f>IFERROR(__xludf.DUMMYFUNCTION("if(A123=""GBP"",if(B123="""","""",if(A123=$F$1,Installment!C123,Installment!C123*GOOGLEFINANCE(""Currency:""&amp;A123&amp;""""&amp;$F$1&amp;"""")))/100,if(B123="""","""",if(A123=$F$1,Installment!C123,Installment!C123*GOOGLEFINANCE(""Currency:""&amp;A123&amp;""""&amp;$F$1&amp;""""))))"),"")</f>
        <v/>
      </c>
      <c r="E123" s="501" t="str">
        <f>IFERROR(__xludf.DUMMYFUNCTION("if(A123=""GBP"",if(B123="""","""",if(A123=$F$1,Installment!H123,Installment!H123*GOOGLEFINANCE(""Currency:""&amp;A123&amp;""""&amp;$F$1&amp;"""")))/100,if(B123="""","""",if(A123=$F$1,Installment!H123,Installment!H123*GOOGLEFINANCE(""Currency:""&amp;A123&amp;""""&amp;$F$1&amp;""""))))"),"")</f>
        <v/>
      </c>
      <c r="F123" s="501" t="str">
        <f>IFERROR(__xludf.DUMMYFUNCTION("if(A123=""GBP"",if(B123="""","""",if(A123=$F$1,Installment!I123,Installment!I123*GOOGLEFINANCE(""Currency:""&amp;A123&amp;""""&amp;$F$1&amp;"""")))/100,if(B123="""","""",if(A123=$F$1,Installment!I123,Installment!I123*GOOGLEFINANCE(""Currency:""&amp;A123&amp;""""&amp;$F$1&amp;""""))))"),"")</f>
        <v/>
      </c>
      <c r="G123" s="501" t="str">
        <f t="shared" si="1"/>
        <v/>
      </c>
      <c r="H123" s="501" t="str">
        <f t="shared" si="2"/>
        <v/>
      </c>
      <c r="I123" s="501" t="str">
        <f t="shared" si="3"/>
        <v/>
      </c>
    </row>
    <row r="124">
      <c r="A124" s="501" t="str">
        <f>IFERROR(__xludf.DUMMYFUNCTION("IFERROR(if(ISBLANK(Installment!A124),"""",if(GOOGLEFINANCE(Installment!A124,""Currency"")=""GBX"",""GBP"",GOOGLEFINANCE(Installment!A124,""Currency""))),$F$1)"),"")</f>
        <v/>
      </c>
      <c r="B124" s="501" t="str">
        <f>Installment!A124</f>
        <v/>
      </c>
      <c r="C124" s="501" t="str">
        <f>Installment!B124</f>
        <v/>
      </c>
      <c r="D124" s="501" t="str">
        <f>IFERROR(__xludf.DUMMYFUNCTION("if(A124=""GBP"",if(B124="""","""",if(A124=$F$1,Installment!C124,Installment!C124*GOOGLEFINANCE(""Currency:""&amp;A124&amp;""""&amp;$F$1&amp;"""")))/100,if(B124="""","""",if(A124=$F$1,Installment!C124,Installment!C124*GOOGLEFINANCE(""Currency:""&amp;A124&amp;""""&amp;$F$1&amp;""""))))"),"")</f>
        <v/>
      </c>
      <c r="E124" s="501" t="str">
        <f>IFERROR(__xludf.DUMMYFUNCTION("if(A124=""GBP"",if(B124="""","""",if(A124=$F$1,Installment!H124,Installment!H124*GOOGLEFINANCE(""Currency:""&amp;A124&amp;""""&amp;$F$1&amp;"""")))/100,if(B124="""","""",if(A124=$F$1,Installment!H124,Installment!H124*GOOGLEFINANCE(""Currency:""&amp;A124&amp;""""&amp;$F$1&amp;""""))))"),"")</f>
        <v/>
      </c>
      <c r="F124" s="501" t="str">
        <f>IFERROR(__xludf.DUMMYFUNCTION("if(A124=""GBP"",if(B124="""","""",if(A124=$F$1,Installment!I124,Installment!I124*GOOGLEFINANCE(""Currency:""&amp;A124&amp;""""&amp;$F$1&amp;"""")))/100,if(B124="""","""",if(A124=$F$1,Installment!I124,Installment!I124*GOOGLEFINANCE(""Currency:""&amp;A124&amp;""""&amp;$F$1&amp;""""))))"),"")</f>
        <v/>
      </c>
      <c r="G124" s="501" t="str">
        <f t="shared" si="1"/>
        <v/>
      </c>
      <c r="H124" s="501" t="str">
        <f t="shared" si="2"/>
        <v/>
      </c>
      <c r="I124" s="501" t="str">
        <f t="shared" si="3"/>
        <v/>
      </c>
    </row>
    <row r="125">
      <c r="A125" s="501" t="str">
        <f>IFERROR(__xludf.DUMMYFUNCTION("IFERROR(if(ISBLANK(Installment!A125),"""",if(GOOGLEFINANCE(Installment!A125,""Currency"")=""GBX"",""GBP"",GOOGLEFINANCE(Installment!A125,""Currency""))),$F$1)"),"")</f>
        <v/>
      </c>
      <c r="B125" s="501" t="str">
        <f>Installment!A125</f>
        <v/>
      </c>
      <c r="C125" s="501" t="str">
        <f>Installment!B125</f>
        <v/>
      </c>
      <c r="D125" s="501" t="str">
        <f>IFERROR(__xludf.DUMMYFUNCTION("if(A125=""GBP"",if(B125="""","""",if(A125=$F$1,Installment!C125,Installment!C125*GOOGLEFINANCE(""Currency:""&amp;A125&amp;""""&amp;$F$1&amp;"""")))/100,if(B125="""","""",if(A125=$F$1,Installment!C125,Installment!C125*GOOGLEFINANCE(""Currency:""&amp;A125&amp;""""&amp;$F$1&amp;""""))))"),"")</f>
        <v/>
      </c>
      <c r="E125" s="501" t="str">
        <f>IFERROR(__xludf.DUMMYFUNCTION("if(A125=""GBP"",if(B125="""","""",if(A125=$F$1,Installment!H125,Installment!H125*GOOGLEFINANCE(""Currency:""&amp;A125&amp;""""&amp;$F$1&amp;"""")))/100,if(B125="""","""",if(A125=$F$1,Installment!H125,Installment!H125*GOOGLEFINANCE(""Currency:""&amp;A125&amp;""""&amp;$F$1&amp;""""))))"),"")</f>
        <v/>
      </c>
      <c r="F125" s="501" t="str">
        <f>IFERROR(__xludf.DUMMYFUNCTION("if(A125=""GBP"",if(B125="""","""",if(A125=$F$1,Installment!I125,Installment!I125*GOOGLEFINANCE(""Currency:""&amp;A125&amp;""""&amp;$F$1&amp;"""")))/100,if(B125="""","""",if(A125=$F$1,Installment!I125,Installment!I125*GOOGLEFINANCE(""Currency:""&amp;A125&amp;""""&amp;$F$1&amp;""""))))"),"")</f>
        <v/>
      </c>
      <c r="G125" s="501" t="str">
        <f t="shared" si="1"/>
        <v/>
      </c>
      <c r="H125" s="501" t="str">
        <f t="shared" si="2"/>
        <v/>
      </c>
      <c r="I125" s="501" t="str">
        <f t="shared" si="3"/>
        <v/>
      </c>
    </row>
    <row r="126">
      <c r="A126" s="501" t="str">
        <f>IFERROR(__xludf.DUMMYFUNCTION("IFERROR(if(ISBLANK(Installment!A126),"""",if(GOOGLEFINANCE(Installment!A126,""Currency"")=""GBX"",""GBP"",GOOGLEFINANCE(Installment!A126,""Currency""))),$F$1)"),"")</f>
        <v/>
      </c>
      <c r="B126" s="501" t="str">
        <f>Installment!A126</f>
        <v/>
      </c>
      <c r="C126" s="501" t="str">
        <f>Installment!B126</f>
        <v/>
      </c>
      <c r="D126" s="501" t="str">
        <f>IFERROR(__xludf.DUMMYFUNCTION("if(A126=""GBP"",if(B126="""","""",if(A126=$F$1,Installment!C126,Installment!C126*GOOGLEFINANCE(""Currency:""&amp;A126&amp;""""&amp;$F$1&amp;"""")))/100,if(B126="""","""",if(A126=$F$1,Installment!C126,Installment!C126*GOOGLEFINANCE(""Currency:""&amp;A126&amp;""""&amp;$F$1&amp;""""))))"),"")</f>
        <v/>
      </c>
      <c r="E126" s="501" t="str">
        <f>IFERROR(__xludf.DUMMYFUNCTION("if(A126=""GBP"",if(B126="""","""",if(A126=$F$1,Installment!H126,Installment!H126*GOOGLEFINANCE(""Currency:""&amp;A126&amp;""""&amp;$F$1&amp;"""")))/100,if(B126="""","""",if(A126=$F$1,Installment!H126,Installment!H126*GOOGLEFINANCE(""Currency:""&amp;A126&amp;""""&amp;$F$1&amp;""""))))"),"")</f>
        <v/>
      </c>
      <c r="F126" s="501" t="str">
        <f>IFERROR(__xludf.DUMMYFUNCTION("if(A126=""GBP"",if(B126="""","""",if(A126=$F$1,Installment!I126,Installment!I126*GOOGLEFINANCE(""Currency:""&amp;A126&amp;""""&amp;$F$1&amp;"""")))/100,if(B126="""","""",if(A126=$F$1,Installment!I126,Installment!I126*GOOGLEFINANCE(""Currency:""&amp;A126&amp;""""&amp;$F$1&amp;""""))))"),"")</f>
        <v/>
      </c>
      <c r="G126" s="501" t="str">
        <f t="shared" si="1"/>
        <v/>
      </c>
      <c r="H126" s="501" t="str">
        <f t="shared" si="2"/>
        <v/>
      </c>
      <c r="I126" s="501" t="str">
        <f t="shared" si="3"/>
        <v/>
      </c>
    </row>
    <row r="127">
      <c r="A127" s="501" t="str">
        <f>IFERROR(__xludf.DUMMYFUNCTION("IFERROR(if(ISBLANK(Installment!A127),"""",if(GOOGLEFINANCE(Installment!A127,""Currency"")=""GBX"",""GBP"",GOOGLEFINANCE(Installment!A127,""Currency""))),$F$1)"),"")</f>
        <v/>
      </c>
      <c r="B127" s="501" t="str">
        <f>Installment!A127</f>
        <v/>
      </c>
      <c r="C127" s="501" t="str">
        <f>Installment!B127</f>
        <v/>
      </c>
      <c r="D127" s="501" t="str">
        <f>IFERROR(__xludf.DUMMYFUNCTION("if(A127=""GBP"",if(B127="""","""",if(A127=$F$1,Installment!C127,Installment!C127*GOOGLEFINANCE(""Currency:""&amp;A127&amp;""""&amp;$F$1&amp;"""")))/100,if(B127="""","""",if(A127=$F$1,Installment!C127,Installment!C127*GOOGLEFINANCE(""Currency:""&amp;A127&amp;""""&amp;$F$1&amp;""""))))"),"")</f>
        <v/>
      </c>
      <c r="E127" s="501" t="str">
        <f>IFERROR(__xludf.DUMMYFUNCTION("if(A127=""GBP"",if(B127="""","""",if(A127=$F$1,Installment!H127,Installment!H127*GOOGLEFINANCE(""Currency:""&amp;A127&amp;""""&amp;$F$1&amp;"""")))/100,if(B127="""","""",if(A127=$F$1,Installment!H127,Installment!H127*GOOGLEFINANCE(""Currency:""&amp;A127&amp;""""&amp;$F$1&amp;""""))))"),"")</f>
        <v/>
      </c>
      <c r="F127" s="501" t="str">
        <f>IFERROR(__xludf.DUMMYFUNCTION("if(A127=""GBP"",if(B127="""","""",if(A127=$F$1,Installment!I127,Installment!I127*GOOGLEFINANCE(""Currency:""&amp;A127&amp;""""&amp;$F$1&amp;"""")))/100,if(B127="""","""",if(A127=$F$1,Installment!I127,Installment!I127*GOOGLEFINANCE(""Currency:""&amp;A127&amp;""""&amp;$F$1&amp;""""))))"),"")</f>
        <v/>
      </c>
      <c r="G127" s="501" t="str">
        <f t="shared" si="1"/>
        <v/>
      </c>
      <c r="H127" s="501" t="str">
        <f t="shared" si="2"/>
        <v/>
      </c>
      <c r="I127" s="501" t="str">
        <f t="shared" si="3"/>
        <v/>
      </c>
    </row>
    <row r="128">
      <c r="A128" s="501" t="str">
        <f>IFERROR(__xludf.DUMMYFUNCTION("IFERROR(if(ISBLANK(Installment!A128),"""",if(GOOGLEFINANCE(Installment!A128,""Currency"")=""GBX"",""GBP"",GOOGLEFINANCE(Installment!A128,""Currency""))),$F$1)"),"")</f>
        <v/>
      </c>
      <c r="B128" s="501" t="str">
        <f>Installment!A128</f>
        <v/>
      </c>
      <c r="C128" s="501" t="str">
        <f>Installment!B128</f>
        <v/>
      </c>
      <c r="D128" s="501" t="str">
        <f>IFERROR(__xludf.DUMMYFUNCTION("if(A128=""GBP"",if(B128="""","""",if(A128=$F$1,Installment!C128,Installment!C128*GOOGLEFINANCE(""Currency:""&amp;A128&amp;""""&amp;$F$1&amp;"""")))/100,if(B128="""","""",if(A128=$F$1,Installment!C128,Installment!C128*GOOGLEFINANCE(""Currency:""&amp;A128&amp;""""&amp;$F$1&amp;""""))))"),"")</f>
        <v/>
      </c>
      <c r="E128" s="501" t="str">
        <f>IFERROR(__xludf.DUMMYFUNCTION("if(A128=""GBP"",if(B128="""","""",if(A128=$F$1,Installment!H128,Installment!H128*GOOGLEFINANCE(""Currency:""&amp;A128&amp;""""&amp;$F$1&amp;"""")))/100,if(B128="""","""",if(A128=$F$1,Installment!H128,Installment!H128*GOOGLEFINANCE(""Currency:""&amp;A128&amp;""""&amp;$F$1&amp;""""))))"),"")</f>
        <v/>
      </c>
      <c r="F128" s="501" t="str">
        <f>IFERROR(__xludf.DUMMYFUNCTION("if(A128=""GBP"",if(B128="""","""",if(A128=$F$1,Installment!I128,Installment!I128*GOOGLEFINANCE(""Currency:""&amp;A128&amp;""""&amp;$F$1&amp;"""")))/100,if(B128="""","""",if(A128=$F$1,Installment!I128,Installment!I128*GOOGLEFINANCE(""Currency:""&amp;A128&amp;""""&amp;$F$1&amp;""""))))"),"")</f>
        <v/>
      </c>
      <c r="G128" s="501" t="str">
        <f t="shared" si="1"/>
        <v/>
      </c>
      <c r="H128" s="501" t="str">
        <f t="shared" si="2"/>
        <v/>
      </c>
      <c r="I128" s="501" t="str">
        <f t="shared" si="3"/>
        <v/>
      </c>
    </row>
    <row r="129">
      <c r="A129" s="501" t="str">
        <f>IFERROR(__xludf.DUMMYFUNCTION("IFERROR(if(ISBLANK(Installment!A129),"""",if(GOOGLEFINANCE(Installment!A129,""Currency"")=""GBX"",""GBP"",GOOGLEFINANCE(Installment!A129,""Currency""))),$F$1)"),"")</f>
        <v/>
      </c>
      <c r="B129" s="501" t="str">
        <f>Installment!A129</f>
        <v/>
      </c>
      <c r="C129" s="501" t="str">
        <f>Installment!B129</f>
        <v/>
      </c>
      <c r="D129" s="501" t="str">
        <f>IFERROR(__xludf.DUMMYFUNCTION("if(A129=""GBP"",if(B129="""","""",if(A129=$F$1,Installment!C129,Installment!C129*GOOGLEFINANCE(""Currency:""&amp;A129&amp;""""&amp;$F$1&amp;"""")))/100,if(B129="""","""",if(A129=$F$1,Installment!C129,Installment!C129*GOOGLEFINANCE(""Currency:""&amp;A129&amp;""""&amp;$F$1&amp;""""))))"),"")</f>
        <v/>
      </c>
      <c r="E129" s="501" t="str">
        <f>IFERROR(__xludf.DUMMYFUNCTION("if(A129=""GBP"",if(B129="""","""",if(A129=$F$1,Installment!H129,Installment!H129*GOOGLEFINANCE(""Currency:""&amp;A129&amp;""""&amp;$F$1&amp;"""")))/100,if(B129="""","""",if(A129=$F$1,Installment!H129,Installment!H129*GOOGLEFINANCE(""Currency:""&amp;A129&amp;""""&amp;$F$1&amp;""""))))"),"")</f>
        <v/>
      </c>
      <c r="F129" s="501" t="str">
        <f>IFERROR(__xludf.DUMMYFUNCTION("if(A129=""GBP"",if(B129="""","""",if(A129=$F$1,Installment!I129,Installment!I129*GOOGLEFINANCE(""Currency:""&amp;A129&amp;""""&amp;$F$1&amp;"""")))/100,if(B129="""","""",if(A129=$F$1,Installment!I129,Installment!I129*GOOGLEFINANCE(""Currency:""&amp;A129&amp;""""&amp;$F$1&amp;""""))))"),"")</f>
        <v/>
      </c>
      <c r="G129" s="501" t="str">
        <f t="shared" si="1"/>
        <v/>
      </c>
      <c r="H129" s="501" t="str">
        <f t="shared" si="2"/>
        <v/>
      </c>
      <c r="I129" s="501" t="str">
        <f t="shared" si="3"/>
        <v/>
      </c>
    </row>
    <row r="130">
      <c r="A130" s="501" t="str">
        <f>IFERROR(__xludf.DUMMYFUNCTION("IFERROR(if(ISBLANK(Installment!A130),"""",if(GOOGLEFINANCE(Installment!A130,""Currency"")=""GBX"",""GBP"",GOOGLEFINANCE(Installment!A130,""Currency""))),$F$1)"),"")</f>
        <v/>
      </c>
      <c r="B130" s="501" t="str">
        <f>Installment!A130</f>
        <v/>
      </c>
      <c r="C130" s="501" t="str">
        <f>Installment!B130</f>
        <v/>
      </c>
      <c r="D130" s="501" t="str">
        <f>IFERROR(__xludf.DUMMYFUNCTION("if(A130=""GBP"",if(B130="""","""",if(A130=$F$1,Installment!C130,Installment!C130*GOOGLEFINANCE(""Currency:""&amp;A130&amp;""""&amp;$F$1&amp;"""")))/100,if(B130="""","""",if(A130=$F$1,Installment!C130,Installment!C130*GOOGLEFINANCE(""Currency:""&amp;A130&amp;""""&amp;$F$1&amp;""""))))"),"")</f>
        <v/>
      </c>
      <c r="E130" s="501" t="str">
        <f>IFERROR(__xludf.DUMMYFUNCTION("if(A130=""GBP"",if(B130="""","""",if(A130=$F$1,Installment!H130,Installment!H130*GOOGLEFINANCE(""Currency:""&amp;A130&amp;""""&amp;$F$1&amp;"""")))/100,if(B130="""","""",if(A130=$F$1,Installment!H130,Installment!H130*GOOGLEFINANCE(""Currency:""&amp;A130&amp;""""&amp;$F$1&amp;""""))))"),"")</f>
        <v/>
      </c>
      <c r="F130" s="501" t="str">
        <f>IFERROR(__xludf.DUMMYFUNCTION("if(A130=""GBP"",if(B130="""","""",if(A130=$F$1,Installment!I130,Installment!I130*GOOGLEFINANCE(""Currency:""&amp;A130&amp;""""&amp;$F$1&amp;"""")))/100,if(B130="""","""",if(A130=$F$1,Installment!I130,Installment!I130*GOOGLEFINANCE(""Currency:""&amp;A130&amp;""""&amp;$F$1&amp;""""))))"),"")</f>
        <v/>
      </c>
      <c r="G130" s="501" t="str">
        <f t="shared" si="1"/>
        <v/>
      </c>
      <c r="H130" s="501" t="str">
        <f t="shared" si="2"/>
        <v/>
      </c>
      <c r="I130" s="501" t="str">
        <f t="shared" si="3"/>
        <v/>
      </c>
    </row>
    <row r="131">
      <c r="A131" s="501" t="str">
        <f>IFERROR(__xludf.DUMMYFUNCTION("IFERROR(if(ISBLANK(Installment!A131),"""",if(GOOGLEFINANCE(Installment!A131,""Currency"")=""GBX"",""GBP"",GOOGLEFINANCE(Installment!A131,""Currency""))),$F$1)"),"")</f>
        <v/>
      </c>
      <c r="B131" s="501" t="str">
        <f>Installment!A131</f>
        <v/>
      </c>
      <c r="C131" s="501" t="str">
        <f>Installment!B131</f>
        <v/>
      </c>
      <c r="D131" s="501" t="str">
        <f>IFERROR(__xludf.DUMMYFUNCTION("if(A131=""GBP"",if(B131="""","""",if(A131=$F$1,Installment!C131,Installment!C131*GOOGLEFINANCE(""Currency:""&amp;A131&amp;""""&amp;$F$1&amp;"""")))/100,if(B131="""","""",if(A131=$F$1,Installment!C131,Installment!C131*GOOGLEFINANCE(""Currency:""&amp;A131&amp;""""&amp;$F$1&amp;""""))))"),"")</f>
        <v/>
      </c>
      <c r="E131" s="501" t="str">
        <f>IFERROR(__xludf.DUMMYFUNCTION("if(A131=""GBP"",if(B131="""","""",if(A131=$F$1,Installment!H131,Installment!H131*GOOGLEFINANCE(""Currency:""&amp;A131&amp;""""&amp;$F$1&amp;"""")))/100,if(B131="""","""",if(A131=$F$1,Installment!H131,Installment!H131*GOOGLEFINANCE(""Currency:""&amp;A131&amp;""""&amp;$F$1&amp;""""))))"),"")</f>
        <v/>
      </c>
      <c r="F131" s="501" t="str">
        <f>IFERROR(__xludf.DUMMYFUNCTION("if(A131=""GBP"",if(B131="""","""",if(A131=$F$1,Installment!I131,Installment!I131*GOOGLEFINANCE(""Currency:""&amp;A131&amp;""""&amp;$F$1&amp;"""")))/100,if(B131="""","""",if(A131=$F$1,Installment!I131,Installment!I131*GOOGLEFINANCE(""Currency:""&amp;A131&amp;""""&amp;$F$1&amp;""""))))"),"")</f>
        <v/>
      </c>
      <c r="G131" s="501" t="str">
        <f t="shared" si="1"/>
        <v/>
      </c>
      <c r="H131" s="501" t="str">
        <f t="shared" si="2"/>
        <v/>
      </c>
      <c r="I131" s="501" t="str">
        <f t="shared" si="3"/>
        <v/>
      </c>
    </row>
    <row r="132">
      <c r="A132" s="501" t="str">
        <f>IFERROR(__xludf.DUMMYFUNCTION("IFERROR(if(ISBLANK(Installment!A132),"""",if(GOOGLEFINANCE(Installment!A132,""Currency"")=""GBX"",""GBP"",GOOGLEFINANCE(Installment!A132,""Currency""))),$F$1)"),"")</f>
        <v/>
      </c>
      <c r="B132" s="501" t="str">
        <f>Installment!A132</f>
        <v/>
      </c>
      <c r="C132" s="501" t="str">
        <f>Installment!B132</f>
        <v/>
      </c>
      <c r="D132" s="501" t="str">
        <f>IFERROR(__xludf.DUMMYFUNCTION("if(A132=""GBP"",if(B132="""","""",if(A132=$F$1,Installment!C132,Installment!C132*GOOGLEFINANCE(""Currency:""&amp;A132&amp;""""&amp;$F$1&amp;"""")))/100,if(B132="""","""",if(A132=$F$1,Installment!C132,Installment!C132*GOOGLEFINANCE(""Currency:""&amp;A132&amp;""""&amp;$F$1&amp;""""))))"),"")</f>
        <v/>
      </c>
      <c r="E132" s="501" t="str">
        <f>IFERROR(__xludf.DUMMYFUNCTION("if(A132=""GBP"",if(B132="""","""",if(A132=$F$1,Installment!H132,Installment!H132*GOOGLEFINANCE(""Currency:""&amp;A132&amp;""""&amp;$F$1&amp;"""")))/100,if(B132="""","""",if(A132=$F$1,Installment!H132,Installment!H132*GOOGLEFINANCE(""Currency:""&amp;A132&amp;""""&amp;$F$1&amp;""""))))"),"")</f>
        <v/>
      </c>
      <c r="F132" s="501" t="str">
        <f>IFERROR(__xludf.DUMMYFUNCTION("if(A132=""GBP"",if(B132="""","""",if(A132=$F$1,Installment!I132,Installment!I132*GOOGLEFINANCE(""Currency:""&amp;A132&amp;""""&amp;$F$1&amp;"""")))/100,if(B132="""","""",if(A132=$F$1,Installment!I132,Installment!I132*GOOGLEFINANCE(""Currency:""&amp;A132&amp;""""&amp;$F$1&amp;""""))))"),"")</f>
        <v/>
      </c>
      <c r="G132" s="501" t="str">
        <f t="shared" si="1"/>
        <v/>
      </c>
      <c r="H132" s="501" t="str">
        <f t="shared" si="2"/>
        <v/>
      </c>
      <c r="I132" s="501" t="str">
        <f t="shared" si="3"/>
        <v/>
      </c>
    </row>
    <row r="133">
      <c r="A133" s="501" t="str">
        <f>IFERROR(__xludf.DUMMYFUNCTION("IFERROR(if(ISBLANK(Installment!A133),"""",if(GOOGLEFINANCE(Installment!A133,""Currency"")=""GBX"",""GBP"",GOOGLEFINANCE(Installment!A133,""Currency""))),$F$1)"),"")</f>
        <v/>
      </c>
      <c r="B133" s="501" t="str">
        <f>Installment!A133</f>
        <v/>
      </c>
      <c r="C133" s="501" t="str">
        <f>Installment!B133</f>
        <v/>
      </c>
      <c r="D133" s="501" t="str">
        <f>IFERROR(__xludf.DUMMYFUNCTION("if(A133=""GBP"",if(B133="""","""",if(A133=$F$1,Installment!C133,Installment!C133*GOOGLEFINANCE(""Currency:""&amp;A133&amp;""""&amp;$F$1&amp;"""")))/100,if(B133="""","""",if(A133=$F$1,Installment!C133,Installment!C133*GOOGLEFINANCE(""Currency:""&amp;A133&amp;""""&amp;$F$1&amp;""""))))"),"")</f>
        <v/>
      </c>
      <c r="E133" s="501" t="str">
        <f>IFERROR(__xludf.DUMMYFUNCTION("if(A133=""GBP"",if(B133="""","""",if(A133=$F$1,Installment!H133,Installment!H133*GOOGLEFINANCE(""Currency:""&amp;A133&amp;""""&amp;$F$1&amp;"""")))/100,if(B133="""","""",if(A133=$F$1,Installment!H133,Installment!H133*GOOGLEFINANCE(""Currency:""&amp;A133&amp;""""&amp;$F$1&amp;""""))))"),"")</f>
        <v/>
      </c>
      <c r="F133" s="501" t="str">
        <f>IFERROR(__xludf.DUMMYFUNCTION("if(A133=""GBP"",if(B133="""","""",if(A133=$F$1,Installment!I133,Installment!I133*GOOGLEFINANCE(""Currency:""&amp;A133&amp;""""&amp;$F$1&amp;"""")))/100,if(B133="""","""",if(A133=$F$1,Installment!I133,Installment!I133*GOOGLEFINANCE(""Currency:""&amp;A133&amp;""""&amp;$F$1&amp;""""))))"),"")</f>
        <v/>
      </c>
      <c r="G133" s="501" t="str">
        <f t="shared" si="1"/>
        <v/>
      </c>
      <c r="H133" s="501" t="str">
        <f t="shared" si="2"/>
        <v/>
      </c>
      <c r="I133" s="501" t="str">
        <f t="shared" si="3"/>
        <v/>
      </c>
    </row>
    <row r="134">
      <c r="A134" s="501" t="str">
        <f>IFERROR(__xludf.DUMMYFUNCTION("IFERROR(if(ISBLANK(Installment!A134),"""",if(GOOGLEFINANCE(Installment!A134,""Currency"")=""GBX"",""GBP"",GOOGLEFINANCE(Installment!A134,""Currency""))),$F$1)"),"")</f>
        <v/>
      </c>
      <c r="B134" s="501" t="str">
        <f>Installment!A134</f>
        <v/>
      </c>
      <c r="C134" s="501" t="str">
        <f>Installment!B134</f>
        <v/>
      </c>
      <c r="D134" s="501" t="str">
        <f>IFERROR(__xludf.DUMMYFUNCTION("if(A134=""GBP"",if(B134="""","""",if(A134=$F$1,Installment!C134,Installment!C134*GOOGLEFINANCE(""Currency:""&amp;A134&amp;""""&amp;$F$1&amp;"""")))/100,if(B134="""","""",if(A134=$F$1,Installment!C134,Installment!C134*GOOGLEFINANCE(""Currency:""&amp;A134&amp;""""&amp;$F$1&amp;""""))))"),"")</f>
        <v/>
      </c>
      <c r="E134" s="501" t="str">
        <f>IFERROR(__xludf.DUMMYFUNCTION("if(A134=""GBP"",if(B134="""","""",if(A134=$F$1,Installment!H134,Installment!H134*GOOGLEFINANCE(""Currency:""&amp;A134&amp;""""&amp;$F$1&amp;"""")))/100,if(B134="""","""",if(A134=$F$1,Installment!H134,Installment!H134*GOOGLEFINANCE(""Currency:""&amp;A134&amp;""""&amp;$F$1&amp;""""))))"),"")</f>
        <v/>
      </c>
      <c r="F134" s="501" t="str">
        <f>IFERROR(__xludf.DUMMYFUNCTION("if(A134=""GBP"",if(B134="""","""",if(A134=$F$1,Installment!I134,Installment!I134*GOOGLEFINANCE(""Currency:""&amp;A134&amp;""""&amp;$F$1&amp;"""")))/100,if(B134="""","""",if(A134=$F$1,Installment!I134,Installment!I134*GOOGLEFINANCE(""Currency:""&amp;A134&amp;""""&amp;$F$1&amp;""""))))"),"")</f>
        <v/>
      </c>
      <c r="G134" s="501" t="str">
        <f t="shared" si="1"/>
        <v/>
      </c>
      <c r="H134" s="501" t="str">
        <f t="shared" si="2"/>
        <v/>
      </c>
      <c r="I134" s="501" t="str">
        <f t="shared" si="3"/>
        <v/>
      </c>
    </row>
    <row r="135">
      <c r="A135" s="501" t="str">
        <f>IFERROR(__xludf.DUMMYFUNCTION("IFERROR(if(ISBLANK(Installment!A135),"""",if(GOOGLEFINANCE(Installment!A135,""Currency"")=""GBX"",""GBP"",GOOGLEFINANCE(Installment!A135,""Currency""))),$F$1)"),"")</f>
        <v/>
      </c>
      <c r="B135" s="501" t="str">
        <f>Installment!A135</f>
        <v/>
      </c>
      <c r="C135" s="501" t="str">
        <f>Installment!B135</f>
        <v/>
      </c>
      <c r="D135" s="501" t="str">
        <f>IFERROR(__xludf.DUMMYFUNCTION("if(A135=""GBP"",if(B135="""","""",if(A135=$F$1,Installment!C135,Installment!C135*GOOGLEFINANCE(""Currency:""&amp;A135&amp;""""&amp;$F$1&amp;"""")))/100,if(B135="""","""",if(A135=$F$1,Installment!C135,Installment!C135*GOOGLEFINANCE(""Currency:""&amp;A135&amp;""""&amp;$F$1&amp;""""))))"),"")</f>
        <v/>
      </c>
      <c r="E135" s="501" t="str">
        <f>IFERROR(__xludf.DUMMYFUNCTION("if(A135=""GBP"",if(B135="""","""",if(A135=$F$1,Installment!H135,Installment!H135*GOOGLEFINANCE(""Currency:""&amp;A135&amp;""""&amp;$F$1&amp;"""")))/100,if(B135="""","""",if(A135=$F$1,Installment!H135,Installment!H135*GOOGLEFINANCE(""Currency:""&amp;A135&amp;""""&amp;$F$1&amp;""""))))"),"")</f>
        <v/>
      </c>
      <c r="F135" s="501" t="str">
        <f>IFERROR(__xludf.DUMMYFUNCTION("if(A135=""GBP"",if(B135="""","""",if(A135=$F$1,Installment!I135,Installment!I135*GOOGLEFINANCE(""Currency:""&amp;A135&amp;""""&amp;$F$1&amp;"""")))/100,if(B135="""","""",if(A135=$F$1,Installment!I135,Installment!I135*GOOGLEFINANCE(""Currency:""&amp;A135&amp;""""&amp;$F$1&amp;""""))))"),"")</f>
        <v/>
      </c>
      <c r="G135" s="501" t="str">
        <f t="shared" si="1"/>
        <v/>
      </c>
      <c r="H135" s="501" t="str">
        <f t="shared" si="2"/>
        <v/>
      </c>
      <c r="I135" s="501" t="str">
        <f t="shared" si="3"/>
        <v/>
      </c>
    </row>
    <row r="136">
      <c r="A136" s="501" t="str">
        <f>IFERROR(__xludf.DUMMYFUNCTION("IFERROR(if(ISBLANK(Installment!A136),"""",if(GOOGLEFINANCE(Installment!A136,""Currency"")=""GBX"",""GBP"",GOOGLEFINANCE(Installment!A136,""Currency""))),$F$1)"),"")</f>
        <v/>
      </c>
      <c r="B136" s="501" t="str">
        <f>Installment!A136</f>
        <v/>
      </c>
      <c r="C136" s="501" t="str">
        <f>Installment!B136</f>
        <v/>
      </c>
      <c r="D136" s="501" t="str">
        <f>IFERROR(__xludf.DUMMYFUNCTION("if(A136=""GBP"",if(B136="""","""",if(A136=$F$1,Installment!C136,Installment!C136*GOOGLEFINANCE(""Currency:""&amp;A136&amp;""""&amp;$F$1&amp;"""")))/100,if(B136="""","""",if(A136=$F$1,Installment!C136,Installment!C136*GOOGLEFINANCE(""Currency:""&amp;A136&amp;""""&amp;$F$1&amp;""""))))"),"")</f>
        <v/>
      </c>
      <c r="E136" s="501" t="str">
        <f>IFERROR(__xludf.DUMMYFUNCTION("if(A136=""GBP"",if(B136="""","""",if(A136=$F$1,Installment!H136,Installment!H136*GOOGLEFINANCE(""Currency:""&amp;A136&amp;""""&amp;$F$1&amp;"""")))/100,if(B136="""","""",if(A136=$F$1,Installment!H136,Installment!H136*GOOGLEFINANCE(""Currency:""&amp;A136&amp;""""&amp;$F$1&amp;""""))))"),"")</f>
        <v/>
      </c>
      <c r="F136" s="501" t="str">
        <f>IFERROR(__xludf.DUMMYFUNCTION("if(A136=""GBP"",if(B136="""","""",if(A136=$F$1,Installment!I136,Installment!I136*GOOGLEFINANCE(""Currency:""&amp;A136&amp;""""&amp;$F$1&amp;"""")))/100,if(B136="""","""",if(A136=$F$1,Installment!I136,Installment!I136*GOOGLEFINANCE(""Currency:""&amp;A136&amp;""""&amp;$F$1&amp;""""))))"),"")</f>
        <v/>
      </c>
      <c r="G136" s="501" t="str">
        <f t="shared" si="1"/>
        <v/>
      </c>
      <c r="H136" s="501" t="str">
        <f t="shared" si="2"/>
        <v/>
      </c>
      <c r="I136" s="501" t="str">
        <f t="shared" si="3"/>
        <v/>
      </c>
    </row>
    <row r="137">
      <c r="A137" s="501" t="str">
        <f>IFERROR(__xludf.DUMMYFUNCTION("IFERROR(if(ISBLANK(Installment!A137),"""",if(GOOGLEFINANCE(Installment!A137,""Currency"")=""GBX"",""GBP"",GOOGLEFINANCE(Installment!A137,""Currency""))),$F$1)"),"")</f>
        <v/>
      </c>
      <c r="B137" s="501" t="str">
        <f>Installment!A137</f>
        <v/>
      </c>
      <c r="C137" s="501" t="str">
        <f>Installment!B137</f>
        <v/>
      </c>
      <c r="D137" s="501" t="str">
        <f>IFERROR(__xludf.DUMMYFUNCTION("if(A137=""GBP"",if(B137="""","""",if(A137=$F$1,Installment!C137,Installment!C137*GOOGLEFINANCE(""Currency:""&amp;A137&amp;""""&amp;$F$1&amp;"""")))/100,if(B137="""","""",if(A137=$F$1,Installment!C137,Installment!C137*GOOGLEFINANCE(""Currency:""&amp;A137&amp;""""&amp;$F$1&amp;""""))))"),"")</f>
        <v/>
      </c>
      <c r="E137" s="501" t="str">
        <f>IFERROR(__xludf.DUMMYFUNCTION("if(A137=""GBP"",if(B137="""","""",if(A137=$F$1,Installment!H137,Installment!H137*GOOGLEFINANCE(""Currency:""&amp;A137&amp;""""&amp;$F$1&amp;"""")))/100,if(B137="""","""",if(A137=$F$1,Installment!H137,Installment!H137*GOOGLEFINANCE(""Currency:""&amp;A137&amp;""""&amp;$F$1&amp;""""))))"),"")</f>
        <v/>
      </c>
      <c r="F137" s="501" t="str">
        <f>IFERROR(__xludf.DUMMYFUNCTION("if(A137=""GBP"",if(B137="""","""",if(A137=$F$1,Installment!I137,Installment!I137*GOOGLEFINANCE(""Currency:""&amp;A137&amp;""""&amp;$F$1&amp;"""")))/100,if(B137="""","""",if(A137=$F$1,Installment!I137,Installment!I137*GOOGLEFINANCE(""Currency:""&amp;A137&amp;""""&amp;$F$1&amp;""""))))"),"")</f>
        <v/>
      </c>
      <c r="G137" s="501" t="str">
        <f t="shared" si="1"/>
        <v/>
      </c>
      <c r="H137" s="501" t="str">
        <f t="shared" si="2"/>
        <v/>
      </c>
      <c r="I137" s="501" t="str">
        <f t="shared" si="3"/>
        <v/>
      </c>
    </row>
    <row r="138">
      <c r="A138" s="501" t="str">
        <f>IFERROR(__xludf.DUMMYFUNCTION("IFERROR(if(ISBLANK(Installment!A138),"""",if(GOOGLEFINANCE(Installment!A138,""Currency"")=""GBX"",""GBP"",GOOGLEFINANCE(Installment!A138,""Currency""))),$F$1)"),"")</f>
        <v/>
      </c>
      <c r="B138" s="501" t="str">
        <f>Installment!A138</f>
        <v/>
      </c>
      <c r="C138" s="501" t="str">
        <f>Installment!B138</f>
        <v/>
      </c>
      <c r="D138" s="501" t="str">
        <f>IFERROR(__xludf.DUMMYFUNCTION("if(A138=""GBP"",if(B138="""","""",if(A138=$F$1,Installment!C138,Installment!C138*GOOGLEFINANCE(""Currency:""&amp;A138&amp;""""&amp;$F$1&amp;"""")))/100,if(B138="""","""",if(A138=$F$1,Installment!C138,Installment!C138*GOOGLEFINANCE(""Currency:""&amp;A138&amp;""""&amp;$F$1&amp;""""))))"),"")</f>
        <v/>
      </c>
      <c r="E138" s="501" t="str">
        <f>IFERROR(__xludf.DUMMYFUNCTION("if(A138=""GBP"",if(B138="""","""",if(A138=$F$1,Installment!H138,Installment!H138*GOOGLEFINANCE(""Currency:""&amp;A138&amp;""""&amp;$F$1&amp;"""")))/100,if(B138="""","""",if(A138=$F$1,Installment!H138,Installment!H138*GOOGLEFINANCE(""Currency:""&amp;A138&amp;""""&amp;$F$1&amp;""""))))"),"")</f>
        <v/>
      </c>
      <c r="F138" s="501" t="str">
        <f>IFERROR(__xludf.DUMMYFUNCTION("if(A138=""GBP"",if(B138="""","""",if(A138=$F$1,Installment!I138,Installment!I138*GOOGLEFINANCE(""Currency:""&amp;A138&amp;""""&amp;$F$1&amp;"""")))/100,if(B138="""","""",if(A138=$F$1,Installment!I138,Installment!I138*GOOGLEFINANCE(""Currency:""&amp;A138&amp;""""&amp;$F$1&amp;""""))))"),"")</f>
        <v/>
      </c>
      <c r="G138" s="501" t="str">
        <f t="shared" si="1"/>
        <v/>
      </c>
      <c r="H138" s="501" t="str">
        <f t="shared" si="2"/>
        <v/>
      </c>
      <c r="I138" s="501" t="str">
        <f t="shared" si="3"/>
        <v/>
      </c>
    </row>
    <row r="139">
      <c r="A139" s="501" t="str">
        <f>IFERROR(__xludf.DUMMYFUNCTION("IFERROR(if(ISBLANK(Installment!A139),"""",if(GOOGLEFINANCE(Installment!A139,""Currency"")=""GBX"",""GBP"",GOOGLEFINANCE(Installment!A139,""Currency""))),$F$1)"),"")</f>
        <v/>
      </c>
      <c r="B139" s="501" t="str">
        <f>Installment!A139</f>
        <v/>
      </c>
      <c r="C139" s="501" t="str">
        <f>Installment!B139</f>
        <v/>
      </c>
      <c r="D139" s="501" t="str">
        <f>IFERROR(__xludf.DUMMYFUNCTION("if(A139=""GBP"",if(B139="""","""",if(A139=$F$1,Installment!C139,Installment!C139*GOOGLEFINANCE(""Currency:""&amp;A139&amp;""""&amp;$F$1&amp;"""")))/100,if(B139="""","""",if(A139=$F$1,Installment!C139,Installment!C139*GOOGLEFINANCE(""Currency:""&amp;A139&amp;""""&amp;$F$1&amp;""""))))"),"")</f>
        <v/>
      </c>
      <c r="E139" s="501" t="str">
        <f>IFERROR(__xludf.DUMMYFUNCTION("if(A139=""GBP"",if(B139="""","""",if(A139=$F$1,Installment!H139,Installment!H139*GOOGLEFINANCE(""Currency:""&amp;A139&amp;""""&amp;$F$1&amp;"""")))/100,if(B139="""","""",if(A139=$F$1,Installment!H139,Installment!H139*GOOGLEFINANCE(""Currency:""&amp;A139&amp;""""&amp;$F$1&amp;""""))))"),"")</f>
        <v/>
      </c>
      <c r="F139" s="501" t="str">
        <f>IFERROR(__xludf.DUMMYFUNCTION("if(A139=""GBP"",if(B139="""","""",if(A139=$F$1,Installment!I139,Installment!I139*GOOGLEFINANCE(""Currency:""&amp;A139&amp;""""&amp;$F$1&amp;"""")))/100,if(B139="""","""",if(A139=$F$1,Installment!I139,Installment!I139*GOOGLEFINANCE(""Currency:""&amp;A139&amp;""""&amp;$F$1&amp;""""))))"),"")</f>
        <v/>
      </c>
      <c r="G139" s="501" t="str">
        <f t="shared" si="1"/>
        <v/>
      </c>
      <c r="H139" s="501" t="str">
        <f t="shared" si="2"/>
        <v/>
      </c>
      <c r="I139" s="501" t="str">
        <f t="shared" si="3"/>
        <v/>
      </c>
    </row>
    <row r="140">
      <c r="A140" s="501" t="str">
        <f>IFERROR(__xludf.DUMMYFUNCTION("IFERROR(if(ISBLANK(Installment!A140),"""",if(GOOGLEFINANCE(Installment!A140,""Currency"")=""GBX"",""GBP"",GOOGLEFINANCE(Installment!A140,""Currency""))),$F$1)"),"")</f>
        <v/>
      </c>
      <c r="B140" s="501" t="str">
        <f>Installment!A140</f>
        <v/>
      </c>
      <c r="C140" s="501" t="str">
        <f>Installment!B140</f>
        <v/>
      </c>
      <c r="D140" s="501" t="str">
        <f>IFERROR(__xludf.DUMMYFUNCTION("if(A140=""GBP"",if(B140="""","""",if(A140=$F$1,Installment!C140,Installment!C140*GOOGLEFINANCE(""Currency:""&amp;A140&amp;""""&amp;$F$1&amp;"""")))/100,if(B140="""","""",if(A140=$F$1,Installment!C140,Installment!C140*GOOGLEFINANCE(""Currency:""&amp;A140&amp;""""&amp;$F$1&amp;""""))))"),"")</f>
        <v/>
      </c>
      <c r="E140" s="501" t="str">
        <f>IFERROR(__xludf.DUMMYFUNCTION("if(A140=""GBP"",if(B140="""","""",if(A140=$F$1,Installment!H140,Installment!H140*GOOGLEFINANCE(""Currency:""&amp;A140&amp;""""&amp;$F$1&amp;"""")))/100,if(B140="""","""",if(A140=$F$1,Installment!H140,Installment!H140*GOOGLEFINANCE(""Currency:""&amp;A140&amp;""""&amp;$F$1&amp;""""))))"),"")</f>
        <v/>
      </c>
      <c r="F140" s="501" t="str">
        <f>IFERROR(__xludf.DUMMYFUNCTION("if(A140=""GBP"",if(B140="""","""",if(A140=$F$1,Installment!I140,Installment!I140*GOOGLEFINANCE(""Currency:""&amp;A140&amp;""""&amp;$F$1&amp;"""")))/100,if(B140="""","""",if(A140=$F$1,Installment!I140,Installment!I140*GOOGLEFINANCE(""Currency:""&amp;A140&amp;""""&amp;$F$1&amp;""""))))"),"")</f>
        <v/>
      </c>
      <c r="G140" s="501" t="str">
        <f t="shared" si="1"/>
        <v/>
      </c>
      <c r="H140" s="501" t="str">
        <f t="shared" si="2"/>
        <v/>
      </c>
      <c r="I140" s="501" t="str">
        <f t="shared" si="3"/>
        <v/>
      </c>
    </row>
    <row r="141">
      <c r="A141" s="501" t="str">
        <f>IFERROR(__xludf.DUMMYFUNCTION("IFERROR(if(ISBLANK(Installment!A141),"""",if(GOOGLEFINANCE(Installment!A141,""Currency"")=""GBX"",""GBP"",GOOGLEFINANCE(Installment!A141,""Currency""))),$F$1)"),"")</f>
        <v/>
      </c>
      <c r="B141" s="501" t="str">
        <f>Installment!A141</f>
        <v/>
      </c>
      <c r="C141" s="501" t="str">
        <f>Installment!B141</f>
        <v/>
      </c>
      <c r="D141" s="501" t="str">
        <f>IFERROR(__xludf.DUMMYFUNCTION("if(A141=""GBP"",if(B141="""","""",if(A141=$F$1,Installment!C141,Installment!C141*GOOGLEFINANCE(""Currency:""&amp;A141&amp;""""&amp;$F$1&amp;"""")))/100,if(B141="""","""",if(A141=$F$1,Installment!C141,Installment!C141*GOOGLEFINANCE(""Currency:""&amp;A141&amp;""""&amp;$F$1&amp;""""))))"),"")</f>
        <v/>
      </c>
      <c r="E141" s="501" t="str">
        <f>IFERROR(__xludf.DUMMYFUNCTION("if(A141=""GBP"",if(B141="""","""",if(A141=$F$1,Installment!H141,Installment!H141*GOOGLEFINANCE(""Currency:""&amp;A141&amp;""""&amp;$F$1&amp;"""")))/100,if(B141="""","""",if(A141=$F$1,Installment!H141,Installment!H141*GOOGLEFINANCE(""Currency:""&amp;A141&amp;""""&amp;$F$1&amp;""""))))"),"")</f>
        <v/>
      </c>
      <c r="F141" s="501" t="str">
        <f>IFERROR(__xludf.DUMMYFUNCTION("if(A141=""GBP"",if(B141="""","""",if(A141=$F$1,Installment!I141,Installment!I141*GOOGLEFINANCE(""Currency:""&amp;A141&amp;""""&amp;$F$1&amp;"""")))/100,if(B141="""","""",if(A141=$F$1,Installment!I141,Installment!I141*GOOGLEFINANCE(""Currency:""&amp;A141&amp;""""&amp;$F$1&amp;""""))))"),"")</f>
        <v/>
      </c>
      <c r="G141" s="501" t="str">
        <f t="shared" si="1"/>
        <v/>
      </c>
      <c r="H141" s="501" t="str">
        <f t="shared" si="2"/>
        <v/>
      </c>
      <c r="I141" s="501" t="str">
        <f t="shared" si="3"/>
        <v/>
      </c>
    </row>
    <row r="142">
      <c r="A142" s="501" t="str">
        <f>IFERROR(__xludf.DUMMYFUNCTION("IFERROR(if(ISBLANK(Installment!A142),"""",if(GOOGLEFINANCE(Installment!A142,""Currency"")=""GBX"",""GBP"",GOOGLEFINANCE(Installment!A142,""Currency""))),$F$1)"),"")</f>
        <v/>
      </c>
      <c r="B142" s="501" t="str">
        <f>Installment!A142</f>
        <v/>
      </c>
      <c r="C142" s="501" t="str">
        <f>Installment!B142</f>
        <v/>
      </c>
      <c r="D142" s="501" t="str">
        <f>IFERROR(__xludf.DUMMYFUNCTION("if(A142=""GBP"",if(B142="""","""",if(A142=$F$1,Installment!C142,Installment!C142*GOOGLEFINANCE(""Currency:""&amp;A142&amp;""""&amp;$F$1&amp;"""")))/100,if(B142="""","""",if(A142=$F$1,Installment!C142,Installment!C142*GOOGLEFINANCE(""Currency:""&amp;A142&amp;""""&amp;$F$1&amp;""""))))"),"")</f>
        <v/>
      </c>
      <c r="E142" s="501" t="str">
        <f>IFERROR(__xludf.DUMMYFUNCTION("if(A142=""GBP"",if(B142="""","""",if(A142=$F$1,Installment!H142,Installment!H142*GOOGLEFINANCE(""Currency:""&amp;A142&amp;""""&amp;$F$1&amp;"""")))/100,if(B142="""","""",if(A142=$F$1,Installment!H142,Installment!H142*GOOGLEFINANCE(""Currency:""&amp;A142&amp;""""&amp;$F$1&amp;""""))))"),"")</f>
        <v/>
      </c>
      <c r="F142" s="501" t="str">
        <f>IFERROR(__xludf.DUMMYFUNCTION("if(A142=""GBP"",if(B142="""","""",if(A142=$F$1,Installment!I142,Installment!I142*GOOGLEFINANCE(""Currency:""&amp;A142&amp;""""&amp;$F$1&amp;"""")))/100,if(B142="""","""",if(A142=$F$1,Installment!I142,Installment!I142*GOOGLEFINANCE(""Currency:""&amp;A142&amp;""""&amp;$F$1&amp;""""))))"),"")</f>
        <v/>
      </c>
      <c r="G142" s="501" t="str">
        <f t="shared" si="1"/>
        <v/>
      </c>
      <c r="H142" s="501" t="str">
        <f t="shared" si="2"/>
        <v/>
      </c>
      <c r="I142" s="501" t="str">
        <f t="shared" si="3"/>
        <v/>
      </c>
    </row>
    <row r="143">
      <c r="A143" s="501" t="str">
        <f>IFERROR(__xludf.DUMMYFUNCTION("IFERROR(if(ISBLANK(Installment!A143),"""",if(GOOGLEFINANCE(Installment!A143,""Currency"")=""GBX"",""GBP"",GOOGLEFINANCE(Installment!A143,""Currency""))),$F$1)"),"")</f>
        <v/>
      </c>
      <c r="B143" s="501" t="str">
        <f>Installment!A143</f>
        <v/>
      </c>
      <c r="C143" s="501" t="str">
        <f>Installment!B143</f>
        <v/>
      </c>
      <c r="D143" s="501" t="str">
        <f>IFERROR(__xludf.DUMMYFUNCTION("if(A143=""GBP"",if(B143="""","""",if(A143=$F$1,Installment!C143,Installment!C143*GOOGLEFINANCE(""Currency:""&amp;A143&amp;""""&amp;$F$1&amp;"""")))/100,if(B143="""","""",if(A143=$F$1,Installment!C143,Installment!C143*GOOGLEFINANCE(""Currency:""&amp;A143&amp;""""&amp;$F$1&amp;""""))))"),"")</f>
        <v/>
      </c>
      <c r="E143" s="501" t="str">
        <f>IFERROR(__xludf.DUMMYFUNCTION("if(A143=""GBP"",if(B143="""","""",if(A143=$F$1,Installment!H143,Installment!H143*GOOGLEFINANCE(""Currency:""&amp;A143&amp;""""&amp;$F$1&amp;"""")))/100,if(B143="""","""",if(A143=$F$1,Installment!H143,Installment!H143*GOOGLEFINANCE(""Currency:""&amp;A143&amp;""""&amp;$F$1&amp;""""))))"),"")</f>
        <v/>
      </c>
      <c r="F143" s="501" t="str">
        <f>IFERROR(__xludf.DUMMYFUNCTION("if(A143=""GBP"",if(B143="""","""",if(A143=$F$1,Installment!I143,Installment!I143*GOOGLEFINANCE(""Currency:""&amp;A143&amp;""""&amp;$F$1&amp;"""")))/100,if(B143="""","""",if(A143=$F$1,Installment!I143,Installment!I143*GOOGLEFINANCE(""Currency:""&amp;A143&amp;""""&amp;$F$1&amp;""""))))"),"")</f>
        <v/>
      </c>
      <c r="G143" s="501" t="str">
        <f t="shared" si="1"/>
        <v/>
      </c>
      <c r="H143" s="501" t="str">
        <f t="shared" si="2"/>
        <v/>
      </c>
      <c r="I143" s="501" t="str">
        <f t="shared" si="3"/>
        <v/>
      </c>
    </row>
    <row r="144">
      <c r="A144" s="501" t="str">
        <f>IFERROR(__xludf.DUMMYFUNCTION("IFERROR(if(ISBLANK(Installment!A144),"""",if(GOOGLEFINANCE(Installment!A144,""Currency"")=""GBX"",""GBP"",GOOGLEFINANCE(Installment!A144,""Currency""))),$F$1)"),"")</f>
        <v/>
      </c>
      <c r="B144" s="501" t="str">
        <f>Installment!A144</f>
        <v/>
      </c>
      <c r="C144" s="501" t="str">
        <f>Installment!B144</f>
        <v/>
      </c>
      <c r="D144" s="501" t="str">
        <f>IFERROR(__xludf.DUMMYFUNCTION("if(A144=""GBP"",if(B144="""","""",if(A144=$F$1,Installment!C144,Installment!C144*GOOGLEFINANCE(""Currency:""&amp;A144&amp;""""&amp;$F$1&amp;"""")))/100,if(B144="""","""",if(A144=$F$1,Installment!C144,Installment!C144*GOOGLEFINANCE(""Currency:""&amp;A144&amp;""""&amp;$F$1&amp;""""))))"),"")</f>
        <v/>
      </c>
      <c r="E144" s="501" t="str">
        <f>IFERROR(__xludf.DUMMYFUNCTION("if(A144=""GBP"",if(B144="""","""",if(A144=$F$1,Installment!H144,Installment!H144*GOOGLEFINANCE(""Currency:""&amp;A144&amp;""""&amp;$F$1&amp;"""")))/100,if(B144="""","""",if(A144=$F$1,Installment!H144,Installment!H144*GOOGLEFINANCE(""Currency:""&amp;A144&amp;""""&amp;$F$1&amp;""""))))"),"")</f>
        <v/>
      </c>
      <c r="F144" s="501" t="str">
        <f>IFERROR(__xludf.DUMMYFUNCTION("if(A144=""GBP"",if(B144="""","""",if(A144=$F$1,Installment!I144,Installment!I144*GOOGLEFINANCE(""Currency:""&amp;A144&amp;""""&amp;$F$1&amp;"""")))/100,if(B144="""","""",if(A144=$F$1,Installment!I144,Installment!I144*GOOGLEFINANCE(""Currency:""&amp;A144&amp;""""&amp;$F$1&amp;""""))))"),"")</f>
        <v/>
      </c>
      <c r="G144" s="501" t="str">
        <f t="shared" si="1"/>
        <v/>
      </c>
      <c r="H144" s="501" t="str">
        <f t="shared" si="2"/>
        <v/>
      </c>
      <c r="I144" s="501" t="str">
        <f t="shared" si="3"/>
        <v/>
      </c>
    </row>
    <row r="145">
      <c r="A145" s="501" t="str">
        <f>IFERROR(__xludf.DUMMYFUNCTION("IFERROR(if(ISBLANK(Installment!A145),"""",if(GOOGLEFINANCE(Installment!A145,""Currency"")=""GBX"",""GBP"",GOOGLEFINANCE(Installment!A145,""Currency""))),$F$1)"),"")</f>
        <v/>
      </c>
      <c r="B145" s="501" t="str">
        <f>Installment!A145</f>
        <v/>
      </c>
      <c r="C145" s="501" t="str">
        <f>Installment!B145</f>
        <v/>
      </c>
      <c r="D145" s="501" t="str">
        <f>IFERROR(__xludf.DUMMYFUNCTION("if(A145=""GBP"",if(B145="""","""",if(A145=$F$1,Installment!C145,Installment!C145*GOOGLEFINANCE(""Currency:""&amp;A145&amp;""""&amp;$F$1&amp;"""")))/100,if(B145="""","""",if(A145=$F$1,Installment!C145,Installment!C145*GOOGLEFINANCE(""Currency:""&amp;A145&amp;""""&amp;$F$1&amp;""""))))"),"")</f>
        <v/>
      </c>
      <c r="E145" s="501" t="str">
        <f>IFERROR(__xludf.DUMMYFUNCTION("if(A145=""GBP"",if(B145="""","""",if(A145=$F$1,Installment!H145,Installment!H145*GOOGLEFINANCE(""Currency:""&amp;A145&amp;""""&amp;$F$1&amp;"""")))/100,if(B145="""","""",if(A145=$F$1,Installment!H145,Installment!H145*GOOGLEFINANCE(""Currency:""&amp;A145&amp;""""&amp;$F$1&amp;""""))))"),"")</f>
        <v/>
      </c>
      <c r="F145" s="501" t="str">
        <f>IFERROR(__xludf.DUMMYFUNCTION("if(A145=""GBP"",if(B145="""","""",if(A145=$F$1,Installment!I145,Installment!I145*GOOGLEFINANCE(""Currency:""&amp;A145&amp;""""&amp;$F$1&amp;"""")))/100,if(B145="""","""",if(A145=$F$1,Installment!I145,Installment!I145*GOOGLEFINANCE(""Currency:""&amp;A145&amp;""""&amp;$F$1&amp;""""))))"),"")</f>
        <v/>
      </c>
      <c r="G145" s="501" t="str">
        <f t="shared" si="1"/>
        <v/>
      </c>
      <c r="H145" s="501" t="str">
        <f t="shared" si="2"/>
        <v/>
      </c>
      <c r="I145" s="501" t="str">
        <f t="shared" si="3"/>
        <v/>
      </c>
    </row>
    <row r="146">
      <c r="A146" s="501" t="str">
        <f>IFERROR(__xludf.DUMMYFUNCTION("IFERROR(if(ISBLANK(Installment!A146),"""",if(GOOGLEFINANCE(Installment!A146,""Currency"")=""GBX"",""GBP"",GOOGLEFINANCE(Installment!A146,""Currency""))),$F$1)"),"")</f>
        <v/>
      </c>
      <c r="B146" s="501" t="str">
        <f>Installment!A146</f>
        <v/>
      </c>
      <c r="C146" s="501" t="str">
        <f>Installment!B146</f>
        <v/>
      </c>
      <c r="D146" s="501" t="str">
        <f>IFERROR(__xludf.DUMMYFUNCTION("if(A146=""GBP"",if(B146="""","""",if(A146=$F$1,Installment!C146,Installment!C146*GOOGLEFINANCE(""Currency:""&amp;A146&amp;""""&amp;$F$1&amp;"""")))/100,if(B146="""","""",if(A146=$F$1,Installment!C146,Installment!C146*GOOGLEFINANCE(""Currency:""&amp;A146&amp;""""&amp;$F$1&amp;""""))))"),"")</f>
        <v/>
      </c>
      <c r="E146" s="501" t="str">
        <f>IFERROR(__xludf.DUMMYFUNCTION("if(A146=""GBP"",if(B146="""","""",if(A146=$F$1,Installment!H146,Installment!H146*GOOGLEFINANCE(""Currency:""&amp;A146&amp;""""&amp;$F$1&amp;"""")))/100,if(B146="""","""",if(A146=$F$1,Installment!H146,Installment!H146*GOOGLEFINANCE(""Currency:""&amp;A146&amp;""""&amp;$F$1&amp;""""))))"),"")</f>
        <v/>
      </c>
      <c r="F146" s="501" t="str">
        <f>IFERROR(__xludf.DUMMYFUNCTION("if(A146=""GBP"",if(B146="""","""",if(A146=$F$1,Installment!I146,Installment!I146*GOOGLEFINANCE(""Currency:""&amp;A146&amp;""""&amp;$F$1&amp;"""")))/100,if(B146="""","""",if(A146=$F$1,Installment!I146,Installment!I146*GOOGLEFINANCE(""Currency:""&amp;A146&amp;""""&amp;$F$1&amp;""""))))"),"")</f>
        <v/>
      </c>
      <c r="G146" s="501" t="str">
        <f t="shared" si="1"/>
        <v/>
      </c>
      <c r="H146" s="501" t="str">
        <f t="shared" si="2"/>
        <v/>
      </c>
      <c r="I146" s="501" t="str">
        <f t="shared" si="3"/>
        <v/>
      </c>
    </row>
    <row r="147">
      <c r="A147" s="501" t="str">
        <f>IFERROR(__xludf.DUMMYFUNCTION("IFERROR(if(ISBLANK(Installment!A147),"""",if(GOOGLEFINANCE(Installment!A147,""Currency"")=""GBX"",""GBP"",GOOGLEFINANCE(Installment!A147,""Currency""))),$F$1)"),"")</f>
        <v/>
      </c>
      <c r="B147" s="501" t="str">
        <f>Installment!A147</f>
        <v/>
      </c>
      <c r="C147" s="501" t="str">
        <f>Installment!B147</f>
        <v/>
      </c>
      <c r="D147" s="501" t="str">
        <f>IFERROR(__xludf.DUMMYFUNCTION("if(A147=""GBP"",if(B147="""","""",if(A147=$F$1,Installment!C147,Installment!C147*GOOGLEFINANCE(""Currency:""&amp;A147&amp;""""&amp;$F$1&amp;"""")))/100,if(B147="""","""",if(A147=$F$1,Installment!C147,Installment!C147*GOOGLEFINANCE(""Currency:""&amp;A147&amp;""""&amp;$F$1&amp;""""))))"),"")</f>
        <v/>
      </c>
      <c r="E147" s="501" t="str">
        <f>IFERROR(__xludf.DUMMYFUNCTION("if(A147=""GBP"",if(B147="""","""",if(A147=$F$1,Installment!H147,Installment!H147*GOOGLEFINANCE(""Currency:""&amp;A147&amp;""""&amp;$F$1&amp;"""")))/100,if(B147="""","""",if(A147=$F$1,Installment!H147,Installment!H147*GOOGLEFINANCE(""Currency:""&amp;A147&amp;""""&amp;$F$1&amp;""""))))"),"")</f>
        <v/>
      </c>
      <c r="F147" s="501" t="str">
        <f>IFERROR(__xludf.DUMMYFUNCTION("if(A147=""GBP"",if(B147="""","""",if(A147=$F$1,Installment!I147,Installment!I147*GOOGLEFINANCE(""Currency:""&amp;A147&amp;""""&amp;$F$1&amp;"""")))/100,if(B147="""","""",if(A147=$F$1,Installment!I147,Installment!I147*GOOGLEFINANCE(""Currency:""&amp;A147&amp;""""&amp;$F$1&amp;""""))))"),"")</f>
        <v/>
      </c>
      <c r="G147" s="501" t="str">
        <f t="shared" si="1"/>
        <v/>
      </c>
      <c r="H147" s="501" t="str">
        <f t="shared" si="2"/>
        <v/>
      </c>
      <c r="I147" s="501" t="str">
        <f t="shared" si="3"/>
        <v/>
      </c>
    </row>
    <row r="148">
      <c r="A148" s="501" t="str">
        <f>IFERROR(__xludf.DUMMYFUNCTION("IFERROR(if(ISBLANK(Installment!A148),"""",if(GOOGLEFINANCE(Installment!A148,""Currency"")=""GBX"",""GBP"",GOOGLEFINANCE(Installment!A148,""Currency""))),$F$1)"),"")</f>
        <v/>
      </c>
      <c r="B148" s="501" t="str">
        <f>Installment!A148</f>
        <v/>
      </c>
      <c r="C148" s="501" t="str">
        <f>Installment!B148</f>
        <v/>
      </c>
      <c r="D148" s="501" t="str">
        <f>IFERROR(__xludf.DUMMYFUNCTION("if(A148=""GBP"",if(B148="""","""",if(A148=$F$1,Installment!C148,Installment!C148*GOOGLEFINANCE(""Currency:""&amp;A148&amp;""""&amp;$F$1&amp;"""")))/100,if(B148="""","""",if(A148=$F$1,Installment!C148,Installment!C148*GOOGLEFINANCE(""Currency:""&amp;A148&amp;""""&amp;$F$1&amp;""""))))"),"")</f>
        <v/>
      </c>
      <c r="E148" s="501" t="str">
        <f>IFERROR(__xludf.DUMMYFUNCTION("if(A148=""GBP"",if(B148="""","""",if(A148=$F$1,Installment!H148,Installment!H148*GOOGLEFINANCE(""Currency:""&amp;A148&amp;""""&amp;$F$1&amp;"""")))/100,if(B148="""","""",if(A148=$F$1,Installment!H148,Installment!H148*GOOGLEFINANCE(""Currency:""&amp;A148&amp;""""&amp;$F$1&amp;""""))))"),"")</f>
        <v/>
      </c>
      <c r="F148" s="501" t="str">
        <f>IFERROR(__xludf.DUMMYFUNCTION("if(A148=""GBP"",if(B148="""","""",if(A148=$F$1,Installment!I148,Installment!I148*GOOGLEFINANCE(""Currency:""&amp;A148&amp;""""&amp;$F$1&amp;"""")))/100,if(B148="""","""",if(A148=$F$1,Installment!I148,Installment!I148*GOOGLEFINANCE(""Currency:""&amp;A148&amp;""""&amp;$F$1&amp;""""))))"),"")</f>
        <v/>
      </c>
      <c r="G148" s="501" t="str">
        <f t="shared" si="1"/>
        <v/>
      </c>
      <c r="H148" s="501" t="str">
        <f t="shared" si="2"/>
        <v/>
      </c>
      <c r="I148" s="501" t="str">
        <f t="shared" si="3"/>
        <v/>
      </c>
    </row>
    <row r="149">
      <c r="A149" s="501" t="str">
        <f>IFERROR(__xludf.DUMMYFUNCTION("IFERROR(if(ISBLANK(Installment!A149),"""",if(GOOGLEFINANCE(Installment!A149,""Currency"")=""GBX"",""GBP"",GOOGLEFINANCE(Installment!A149,""Currency""))),$F$1)"),"")</f>
        <v/>
      </c>
      <c r="B149" s="501" t="str">
        <f>Installment!A149</f>
        <v/>
      </c>
      <c r="C149" s="501" t="str">
        <f>Installment!B149</f>
        <v/>
      </c>
      <c r="D149" s="501" t="str">
        <f>IFERROR(__xludf.DUMMYFUNCTION("if(A149=""GBP"",if(B149="""","""",if(A149=$F$1,Installment!C149,Installment!C149*GOOGLEFINANCE(""Currency:""&amp;A149&amp;""""&amp;$F$1&amp;"""")))/100,if(B149="""","""",if(A149=$F$1,Installment!C149,Installment!C149*GOOGLEFINANCE(""Currency:""&amp;A149&amp;""""&amp;$F$1&amp;""""))))"),"")</f>
        <v/>
      </c>
      <c r="E149" s="501" t="str">
        <f>IFERROR(__xludf.DUMMYFUNCTION("if(A149=""GBP"",if(B149="""","""",if(A149=$F$1,Installment!H149,Installment!H149*GOOGLEFINANCE(""Currency:""&amp;A149&amp;""""&amp;$F$1&amp;"""")))/100,if(B149="""","""",if(A149=$F$1,Installment!H149,Installment!H149*GOOGLEFINANCE(""Currency:""&amp;A149&amp;""""&amp;$F$1&amp;""""))))"),"")</f>
        <v/>
      </c>
      <c r="F149" s="501" t="str">
        <f>IFERROR(__xludf.DUMMYFUNCTION("if(A149=""GBP"",if(B149="""","""",if(A149=$F$1,Installment!I149,Installment!I149*GOOGLEFINANCE(""Currency:""&amp;A149&amp;""""&amp;$F$1&amp;"""")))/100,if(B149="""","""",if(A149=$F$1,Installment!I149,Installment!I149*GOOGLEFINANCE(""Currency:""&amp;A149&amp;""""&amp;$F$1&amp;""""))))"),"")</f>
        <v/>
      </c>
      <c r="G149" s="501" t="str">
        <f t="shared" si="1"/>
        <v/>
      </c>
      <c r="H149" s="501" t="str">
        <f t="shared" si="2"/>
        <v/>
      </c>
      <c r="I149" s="501" t="str">
        <f t="shared" si="3"/>
        <v/>
      </c>
    </row>
    <row r="150">
      <c r="A150" s="501" t="str">
        <f>IFERROR(__xludf.DUMMYFUNCTION("IFERROR(if(ISBLANK(Installment!A150),"""",if(GOOGLEFINANCE(Installment!A150,""Currency"")=""GBX"",""GBP"",GOOGLEFINANCE(Installment!A150,""Currency""))),$F$1)"),"")</f>
        <v/>
      </c>
      <c r="B150" s="501" t="str">
        <f>Installment!A150</f>
        <v/>
      </c>
      <c r="C150" s="501" t="str">
        <f>Installment!B150</f>
        <v/>
      </c>
      <c r="D150" s="501" t="str">
        <f>IFERROR(__xludf.DUMMYFUNCTION("if(A150=""GBP"",if(B150="""","""",if(A150=$F$1,Installment!C150,Installment!C150*GOOGLEFINANCE(""Currency:""&amp;A150&amp;""""&amp;$F$1&amp;"""")))/100,if(B150="""","""",if(A150=$F$1,Installment!C150,Installment!C150*GOOGLEFINANCE(""Currency:""&amp;A150&amp;""""&amp;$F$1&amp;""""))))"),"")</f>
        <v/>
      </c>
      <c r="E150" s="501" t="str">
        <f>IFERROR(__xludf.DUMMYFUNCTION("if(A150=""GBP"",if(B150="""","""",if(A150=$F$1,Installment!H150,Installment!H150*GOOGLEFINANCE(""Currency:""&amp;A150&amp;""""&amp;$F$1&amp;"""")))/100,if(B150="""","""",if(A150=$F$1,Installment!H150,Installment!H150*GOOGLEFINANCE(""Currency:""&amp;A150&amp;""""&amp;$F$1&amp;""""))))"),"")</f>
        <v/>
      </c>
      <c r="F150" s="501" t="str">
        <f>IFERROR(__xludf.DUMMYFUNCTION("if(A150=""GBP"",if(B150="""","""",if(A150=$F$1,Installment!I150,Installment!I150*GOOGLEFINANCE(""Currency:""&amp;A150&amp;""""&amp;$F$1&amp;"""")))/100,if(B150="""","""",if(A150=$F$1,Installment!I150,Installment!I150*GOOGLEFINANCE(""Currency:""&amp;A150&amp;""""&amp;$F$1&amp;""""))))"),"")</f>
        <v/>
      </c>
      <c r="G150" s="501" t="str">
        <f t="shared" si="1"/>
        <v/>
      </c>
      <c r="H150" s="501" t="str">
        <f t="shared" si="2"/>
        <v/>
      </c>
      <c r="I150" s="501" t="str">
        <f t="shared" si="3"/>
        <v/>
      </c>
    </row>
    <row r="151">
      <c r="A151" s="501" t="str">
        <f>IFERROR(__xludf.DUMMYFUNCTION("IFERROR(if(ISBLANK(Installment!A151),"""",if(GOOGLEFINANCE(Installment!A151,""Currency"")=""GBX"",""GBP"",GOOGLEFINANCE(Installment!A151,""Currency""))),$F$1)"),"")</f>
        <v/>
      </c>
      <c r="B151" s="501" t="str">
        <f>Installment!A151</f>
        <v/>
      </c>
      <c r="C151" s="501" t="str">
        <f>Installment!B151</f>
        <v/>
      </c>
      <c r="D151" s="501" t="str">
        <f>IFERROR(__xludf.DUMMYFUNCTION("if(A151=""GBP"",if(B151="""","""",if(A151=$F$1,Installment!C151,Installment!C151*GOOGLEFINANCE(""Currency:""&amp;A151&amp;""""&amp;$F$1&amp;"""")))/100,if(B151="""","""",if(A151=$F$1,Installment!C151,Installment!C151*GOOGLEFINANCE(""Currency:""&amp;A151&amp;""""&amp;$F$1&amp;""""))))"),"")</f>
        <v/>
      </c>
      <c r="E151" s="501" t="str">
        <f>IFERROR(__xludf.DUMMYFUNCTION("if(A151=""GBP"",if(B151="""","""",if(A151=$F$1,Installment!H151,Installment!H151*GOOGLEFINANCE(""Currency:""&amp;A151&amp;""""&amp;$F$1&amp;"""")))/100,if(B151="""","""",if(A151=$F$1,Installment!H151,Installment!H151*GOOGLEFINANCE(""Currency:""&amp;A151&amp;""""&amp;$F$1&amp;""""))))"),"")</f>
        <v/>
      </c>
      <c r="F151" s="501" t="str">
        <f>IFERROR(__xludf.DUMMYFUNCTION("if(A151=""GBP"",if(B151="""","""",if(A151=$F$1,Installment!I151,Installment!I151*GOOGLEFINANCE(""Currency:""&amp;A151&amp;""""&amp;$F$1&amp;"""")))/100,if(B151="""","""",if(A151=$F$1,Installment!I151,Installment!I151*GOOGLEFINANCE(""Currency:""&amp;A151&amp;""""&amp;$F$1&amp;""""))))"),"")</f>
        <v/>
      </c>
      <c r="G151" s="501" t="str">
        <f t="shared" si="1"/>
        <v/>
      </c>
      <c r="H151" s="501" t="str">
        <f t="shared" si="2"/>
        <v/>
      </c>
      <c r="I151" s="501" t="str">
        <f t="shared" si="3"/>
        <v/>
      </c>
    </row>
    <row r="152">
      <c r="A152" s="501" t="str">
        <f>IFERROR(__xludf.DUMMYFUNCTION("IFERROR(if(ISBLANK(Installment!A152),"""",if(GOOGLEFINANCE(Installment!A152,""Currency"")=""GBX"",""GBP"",GOOGLEFINANCE(Installment!A152,""Currency""))),$F$1)"),"")</f>
        <v/>
      </c>
      <c r="B152" s="501" t="str">
        <f>Installment!A152</f>
        <v/>
      </c>
      <c r="C152" s="501" t="str">
        <f>Installment!B152</f>
        <v/>
      </c>
      <c r="D152" s="501" t="str">
        <f>IFERROR(__xludf.DUMMYFUNCTION("if(A152=""GBP"",if(B152="""","""",if(A152=$F$1,Installment!C152,Installment!C152*GOOGLEFINANCE(""Currency:""&amp;A152&amp;""""&amp;$F$1&amp;"""")))/100,if(B152="""","""",if(A152=$F$1,Installment!C152,Installment!C152*GOOGLEFINANCE(""Currency:""&amp;A152&amp;""""&amp;$F$1&amp;""""))))"),"")</f>
        <v/>
      </c>
      <c r="E152" s="501" t="str">
        <f>IFERROR(__xludf.DUMMYFUNCTION("if(A152=""GBP"",if(B152="""","""",if(A152=$F$1,Installment!H152,Installment!H152*GOOGLEFINANCE(""Currency:""&amp;A152&amp;""""&amp;$F$1&amp;"""")))/100,if(B152="""","""",if(A152=$F$1,Installment!H152,Installment!H152*GOOGLEFINANCE(""Currency:""&amp;A152&amp;""""&amp;$F$1&amp;""""))))"),"")</f>
        <v/>
      </c>
      <c r="F152" s="501" t="str">
        <f>IFERROR(__xludf.DUMMYFUNCTION("if(A152=""GBP"",if(B152="""","""",if(A152=$F$1,Installment!I152,Installment!I152*GOOGLEFINANCE(""Currency:""&amp;A152&amp;""""&amp;$F$1&amp;"""")))/100,if(B152="""","""",if(A152=$F$1,Installment!I152,Installment!I152*GOOGLEFINANCE(""Currency:""&amp;A152&amp;""""&amp;$F$1&amp;""""))))"),"")</f>
        <v/>
      </c>
      <c r="G152" s="501" t="str">
        <f t="shared" si="1"/>
        <v/>
      </c>
      <c r="H152" s="501" t="str">
        <f t="shared" si="2"/>
        <v/>
      </c>
      <c r="I152" s="501" t="str">
        <f t="shared" si="3"/>
        <v/>
      </c>
    </row>
    <row r="153">
      <c r="A153" s="501" t="str">
        <f>IFERROR(__xludf.DUMMYFUNCTION("IFERROR(if(ISBLANK(Installment!A153),"""",if(GOOGLEFINANCE(Installment!A153,""Currency"")=""GBX"",""GBP"",GOOGLEFINANCE(Installment!A153,""Currency""))),$F$1)"),"")</f>
        <v/>
      </c>
      <c r="B153" s="501" t="str">
        <f>Installment!A153</f>
        <v/>
      </c>
      <c r="C153" s="501" t="str">
        <f>Installment!B153</f>
        <v/>
      </c>
      <c r="D153" s="501" t="str">
        <f>IFERROR(__xludf.DUMMYFUNCTION("if(A153=""GBP"",if(B153="""","""",if(A153=$F$1,Installment!C153,Installment!C153*GOOGLEFINANCE(""Currency:""&amp;A153&amp;""""&amp;$F$1&amp;"""")))/100,if(B153="""","""",if(A153=$F$1,Installment!C153,Installment!C153*GOOGLEFINANCE(""Currency:""&amp;A153&amp;""""&amp;$F$1&amp;""""))))"),"")</f>
        <v/>
      </c>
      <c r="E153" s="501" t="str">
        <f>IFERROR(__xludf.DUMMYFUNCTION("if(A153=""GBP"",if(B153="""","""",if(A153=$F$1,Installment!H153,Installment!H153*GOOGLEFINANCE(""Currency:""&amp;A153&amp;""""&amp;$F$1&amp;"""")))/100,if(B153="""","""",if(A153=$F$1,Installment!H153,Installment!H153*GOOGLEFINANCE(""Currency:""&amp;A153&amp;""""&amp;$F$1&amp;""""))))"),"")</f>
        <v/>
      </c>
      <c r="F153" s="501" t="str">
        <f>IFERROR(__xludf.DUMMYFUNCTION("if(A153=""GBP"",if(B153="""","""",if(A153=$F$1,Installment!I153,Installment!I153*GOOGLEFINANCE(""Currency:""&amp;A153&amp;""""&amp;$F$1&amp;"""")))/100,if(B153="""","""",if(A153=$F$1,Installment!I153,Installment!I153*GOOGLEFINANCE(""Currency:""&amp;A153&amp;""""&amp;$F$1&amp;""""))))"),"")</f>
        <v/>
      </c>
      <c r="G153" s="501" t="str">
        <f t="shared" si="1"/>
        <v/>
      </c>
      <c r="H153" s="501" t="str">
        <f t="shared" si="2"/>
        <v/>
      </c>
      <c r="I153" s="501" t="str">
        <f t="shared" si="3"/>
        <v/>
      </c>
    </row>
    <row r="154">
      <c r="A154" s="501" t="str">
        <f>IFERROR(__xludf.DUMMYFUNCTION("IFERROR(if(ISBLANK(Installment!A154),"""",if(GOOGLEFINANCE(Installment!A154,""Currency"")=""GBX"",""GBP"",GOOGLEFINANCE(Installment!A154,""Currency""))),$F$1)"),"")</f>
        <v/>
      </c>
      <c r="B154" s="501" t="str">
        <f>Installment!A154</f>
        <v/>
      </c>
      <c r="C154" s="501" t="str">
        <f>Installment!B154</f>
        <v/>
      </c>
      <c r="D154" s="501" t="str">
        <f>IFERROR(__xludf.DUMMYFUNCTION("if(A154=""GBP"",if(B154="""","""",if(A154=$F$1,Installment!C154,Installment!C154*GOOGLEFINANCE(""Currency:""&amp;A154&amp;""""&amp;$F$1&amp;"""")))/100,if(B154="""","""",if(A154=$F$1,Installment!C154,Installment!C154*GOOGLEFINANCE(""Currency:""&amp;A154&amp;""""&amp;$F$1&amp;""""))))"),"")</f>
        <v/>
      </c>
      <c r="E154" s="501" t="str">
        <f>IFERROR(__xludf.DUMMYFUNCTION("if(A154=""GBP"",if(B154="""","""",if(A154=$F$1,Installment!H154,Installment!H154*GOOGLEFINANCE(""Currency:""&amp;A154&amp;""""&amp;$F$1&amp;"""")))/100,if(B154="""","""",if(A154=$F$1,Installment!H154,Installment!H154*GOOGLEFINANCE(""Currency:""&amp;A154&amp;""""&amp;$F$1&amp;""""))))"),"")</f>
        <v/>
      </c>
      <c r="F154" s="501" t="str">
        <f>IFERROR(__xludf.DUMMYFUNCTION("if(A154=""GBP"",if(B154="""","""",if(A154=$F$1,Installment!I154,Installment!I154*GOOGLEFINANCE(""Currency:""&amp;A154&amp;""""&amp;$F$1&amp;"""")))/100,if(B154="""","""",if(A154=$F$1,Installment!I154,Installment!I154*GOOGLEFINANCE(""Currency:""&amp;A154&amp;""""&amp;$F$1&amp;""""))))"),"")</f>
        <v/>
      </c>
      <c r="G154" s="501" t="str">
        <f t="shared" si="1"/>
        <v/>
      </c>
      <c r="H154" s="501" t="str">
        <f t="shared" si="2"/>
        <v/>
      </c>
      <c r="I154" s="501" t="str">
        <f t="shared" si="3"/>
        <v/>
      </c>
    </row>
    <row r="155">
      <c r="A155" s="501" t="str">
        <f>IFERROR(__xludf.DUMMYFUNCTION("IFERROR(if(ISBLANK(Installment!A155),"""",if(GOOGLEFINANCE(Installment!A155,""Currency"")=""GBX"",""GBP"",GOOGLEFINANCE(Installment!A155,""Currency""))),$F$1)"),"")</f>
        <v/>
      </c>
      <c r="B155" s="501" t="str">
        <f>Installment!A155</f>
        <v/>
      </c>
      <c r="C155" s="501" t="str">
        <f>Installment!B155</f>
        <v/>
      </c>
      <c r="D155" s="501" t="str">
        <f>IFERROR(__xludf.DUMMYFUNCTION("if(A155=""GBP"",if(B155="""","""",if(A155=$F$1,Installment!C155,Installment!C155*GOOGLEFINANCE(""Currency:""&amp;A155&amp;""""&amp;$F$1&amp;"""")))/100,if(B155="""","""",if(A155=$F$1,Installment!C155,Installment!C155*GOOGLEFINANCE(""Currency:""&amp;A155&amp;""""&amp;$F$1&amp;""""))))"),"")</f>
        <v/>
      </c>
      <c r="E155" s="501" t="str">
        <f>IFERROR(__xludf.DUMMYFUNCTION("if(A155=""GBP"",if(B155="""","""",if(A155=$F$1,Installment!H155,Installment!H155*GOOGLEFINANCE(""Currency:""&amp;A155&amp;""""&amp;$F$1&amp;"""")))/100,if(B155="""","""",if(A155=$F$1,Installment!H155,Installment!H155*GOOGLEFINANCE(""Currency:""&amp;A155&amp;""""&amp;$F$1&amp;""""))))"),"")</f>
        <v/>
      </c>
      <c r="F155" s="501" t="str">
        <f>IFERROR(__xludf.DUMMYFUNCTION("if(A155=""GBP"",if(B155="""","""",if(A155=$F$1,Installment!I155,Installment!I155*GOOGLEFINANCE(""Currency:""&amp;A155&amp;""""&amp;$F$1&amp;"""")))/100,if(B155="""","""",if(A155=$F$1,Installment!I155,Installment!I155*GOOGLEFINANCE(""Currency:""&amp;A155&amp;""""&amp;$F$1&amp;""""))))"),"")</f>
        <v/>
      </c>
      <c r="G155" s="501" t="str">
        <f t="shared" si="1"/>
        <v/>
      </c>
      <c r="H155" s="501" t="str">
        <f t="shared" si="2"/>
        <v/>
      </c>
      <c r="I155" s="501" t="str">
        <f t="shared" si="3"/>
        <v/>
      </c>
    </row>
    <row r="156">
      <c r="A156" s="501" t="str">
        <f>IFERROR(__xludf.DUMMYFUNCTION("IFERROR(if(ISBLANK(Installment!A156),"""",if(GOOGLEFINANCE(Installment!A156,""Currency"")=""GBX"",""GBP"",GOOGLEFINANCE(Installment!A156,""Currency""))),$F$1)"),"")</f>
        <v/>
      </c>
      <c r="B156" s="501" t="str">
        <f>Installment!A156</f>
        <v/>
      </c>
      <c r="C156" s="501" t="str">
        <f>Installment!B156</f>
        <v/>
      </c>
      <c r="D156" s="501" t="str">
        <f>IFERROR(__xludf.DUMMYFUNCTION("if(A156=""GBP"",if(B156="""","""",if(A156=$F$1,Installment!C156,Installment!C156*GOOGLEFINANCE(""Currency:""&amp;A156&amp;""""&amp;$F$1&amp;"""")))/100,if(B156="""","""",if(A156=$F$1,Installment!C156,Installment!C156*GOOGLEFINANCE(""Currency:""&amp;A156&amp;""""&amp;$F$1&amp;""""))))"),"")</f>
        <v/>
      </c>
      <c r="E156" s="501" t="str">
        <f>IFERROR(__xludf.DUMMYFUNCTION("if(A156=""GBP"",if(B156="""","""",if(A156=$F$1,Installment!H156,Installment!H156*GOOGLEFINANCE(""Currency:""&amp;A156&amp;""""&amp;$F$1&amp;"""")))/100,if(B156="""","""",if(A156=$F$1,Installment!H156,Installment!H156*GOOGLEFINANCE(""Currency:""&amp;A156&amp;""""&amp;$F$1&amp;""""))))"),"")</f>
        <v/>
      </c>
      <c r="F156" s="501" t="str">
        <f>IFERROR(__xludf.DUMMYFUNCTION("if(A156=""GBP"",if(B156="""","""",if(A156=$F$1,Installment!I156,Installment!I156*GOOGLEFINANCE(""Currency:""&amp;A156&amp;""""&amp;$F$1&amp;"""")))/100,if(B156="""","""",if(A156=$F$1,Installment!I156,Installment!I156*GOOGLEFINANCE(""Currency:""&amp;A156&amp;""""&amp;$F$1&amp;""""))))"),"")</f>
        <v/>
      </c>
      <c r="G156" s="501" t="str">
        <f t="shared" si="1"/>
        <v/>
      </c>
      <c r="H156" s="501" t="str">
        <f t="shared" si="2"/>
        <v/>
      </c>
      <c r="I156" s="501" t="str">
        <f t="shared" si="3"/>
        <v/>
      </c>
    </row>
    <row r="157">
      <c r="A157" s="501" t="str">
        <f>IFERROR(__xludf.DUMMYFUNCTION("IFERROR(if(ISBLANK(Installment!A157),"""",if(GOOGLEFINANCE(Installment!A157,""Currency"")=""GBX"",""GBP"",GOOGLEFINANCE(Installment!A157,""Currency""))),$F$1)"),"")</f>
        <v/>
      </c>
      <c r="B157" s="501" t="str">
        <f>Installment!A157</f>
        <v/>
      </c>
      <c r="C157" s="501" t="str">
        <f>Installment!B157</f>
        <v/>
      </c>
      <c r="D157" s="501" t="str">
        <f>IFERROR(__xludf.DUMMYFUNCTION("if(A157=""GBP"",if(B157="""","""",if(A157=$F$1,Installment!C157,Installment!C157*GOOGLEFINANCE(""Currency:""&amp;A157&amp;""""&amp;$F$1&amp;"""")))/100,if(B157="""","""",if(A157=$F$1,Installment!C157,Installment!C157*GOOGLEFINANCE(""Currency:""&amp;A157&amp;""""&amp;$F$1&amp;""""))))"),"")</f>
        <v/>
      </c>
      <c r="E157" s="501" t="str">
        <f>IFERROR(__xludf.DUMMYFUNCTION("if(A157=""GBP"",if(B157="""","""",if(A157=$F$1,Installment!H157,Installment!H157*GOOGLEFINANCE(""Currency:""&amp;A157&amp;""""&amp;$F$1&amp;"""")))/100,if(B157="""","""",if(A157=$F$1,Installment!H157,Installment!H157*GOOGLEFINANCE(""Currency:""&amp;A157&amp;""""&amp;$F$1&amp;""""))))"),"")</f>
        <v/>
      </c>
      <c r="F157" s="501" t="str">
        <f>IFERROR(__xludf.DUMMYFUNCTION("if(A157=""GBP"",if(B157="""","""",if(A157=$F$1,Installment!I157,Installment!I157*GOOGLEFINANCE(""Currency:""&amp;A157&amp;""""&amp;$F$1&amp;"""")))/100,if(B157="""","""",if(A157=$F$1,Installment!I157,Installment!I157*GOOGLEFINANCE(""Currency:""&amp;A157&amp;""""&amp;$F$1&amp;""""))))"),"")</f>
        <v/>
      </c>
      <c r="G157" s="501" t="str">
        <f t="shared" si="1"/>
        <v/>
      </c>
      <c r="H157" s="501" t="str">
        <f t="shared" si="2"/>
        <v/>
      </c>
      <c r="I157" s="501" t="str">
        <f t="shared" si="3"/>
        <v/>
      </c>
    </row>
    <row r="158">
      <c r="A158" s="501" t="str">
        <f>IFERROR(__xludf.DUMMYFUNCTION("IFERROR(if(ISBLANK(Installment!A158),"""",if(GOOGLEFINANCE(Installment!A158,""Currency"")=""GBX"",""GBP"",GOOGLEFINANCE(Installment!A158,""Currency""))),$F$1)"),"")</f>
        <v/>
      </c>
      <c r="B158" s="501" t="str">
        <f>Installment!A158</f>
        <v/>
      </c>
      <c r="C158" s="501" t="str">
        <f>Installment!B158</f>
        <v/>
      </c>
      <c r="D158" s="501" t="str">
        <f>IFERROR(__xludf.DUMMYFUNCTION("if(A158=""GBP"",if(B158="""","""",if(A158=$F$1,Installment!C158,Installment!C158*GOOGLEFINANCE(""Currency:""&amp;A158&amp;""""&amp;$F$1&amp;"""")))/100,if(B158="""","""",if(A158=$F$1,Installment!C158,Installment!C158*GOOGLEFINANCE(""Currency:""&amp;A158&amp;""""&amp;$F$1&amp;""""))))"),"")</f>
        <v/>
      </c>
      <c r="E158" s="501" t="str">
        <f>IFERROR(__xludf.DUMMYFUNCTION("if(A158=""GBP"",if(B158="""","""",if(A158=$F$1,Installment!H158,Installment!H158*GOOGLEFINANCE(""Currency:""&amp;A158&amp;""""&amp;$F$1&amp;"""")))/100,if(B158="""","""",if(A158=$F$1,Installment!H158,Installment!H158*GOOGLEFINANCE(""Currency:""&amp;A158&amp;""""&amp;$F$1&amp;""""))))"),"")</f>
        <v/>
      </c>
      <c r="F158" s="501" t="str">
        <f>IFERROR(__xludf.DUMMYFUNCTION("if(A158=""GBP"",if(B158="""","""",if(A158=$F$1,Installment!I158,Installment!I158*GOOGLEFINANCE(""Currency:""&amp;A158&amp;""""&amp;$F$1&amp;"""")))/100,if(B158="""","""",if(A158=$F$1,Installment!I158,Installment!I158*GOOGLEFINANCE(""Currency:""&amp;A158&amp;""""&amp;$F$1&amp;""""))))"),"")</f>
        <v/>
      </c>
      <c r="G158" s="501" t="str">
        <f t="shared" si="1"/>
        <v/>
      </c>
      <c r="H158" s="501" t="str">
        <f t="shared" si="2"/>
        <v/>
      </c>
      <c r="I158" s="501" t="str">
        <f t="shared" si="3"/>
        <v/>
      </c>
    </row>
    <row r="159">
      <c r="A159" s="501" t="str">
        <f>IFERROR(__xludf.DUMMYFUNCTION("IFERROR(if(ISBLANK(Installment!A159),"""",if(GOOGLEFINANCE(Installment!A159,""Currency"")=""GBX"",""GBP"",GOOGLEFINANCE(Installment!A159,""Currency""))),$F$1)"),"")</f>
        <v/>
      </c>
      <c r="B159" s="501" t="str">
        <f>Installment!A159</f>
        <v/>
      </c>
      <c r="C159" s="501" t="str">
        <f>Installment!B159</f>
        <v/>
      </c>
      <c r="D159" s="501" t="str">
        <f>IFERROR(__xludf.DUMMYFUNCTION("if(A159=""GBP"",if(B159="""","""",if(A159=$F$1,Installment!C159,Installment!C159*GOOGLEFINANCE(""Currency:""&amp;A159&amp;""""&amp;$F$1&amp;"""")))/100,if(B159="""","""",if(A159=$F$1,Installment!C159,Installment!C159*GOOGLEFINANCE(""Currency:""&amp;A159&amp;""""&amp;$F$1&amp;""""))))"),"")</f>
        <v/>
      </c>
      <c r="E159" s="501" t="str">
        <f>IFERROR(__xludf.DUMMYFUNCTION("if(A159=""GBP"",if(B159="""","""",if(A159=$F$1,Installment!H159,Installment!H159*GOOGLEFINANCE(""Currency:""&amp;A159&amp;""""&amp;$F$1&amp;"""")))/100,if(B159="""","""",if(A159=$F$1,Installment!H159,Installment!H159*GOOGLEFINANCE(""Currency:""&amp;A159&amp;""""&amp;$F$1&amp;""""))))"),"")</f>
        <v/>
      </c>
      <c r="F159" s="501" t="str">
        <f>IFERROR(__xludf.DUMMYFUNCTION("if(A159=""GBP"",if(B159="""","""",if(A159=$F$1,Installment!I159,Installment!I159*GOOGLEFINANCE(""Currency:""&amp;A159&amp;""""&amp;$F$1&amp;"""")))/100,if(B159="""","""",if(A159=$F$1,Installment!I159,Installment!I159*GOOGLEFINANCE(""Currency:""&amp;A159&amp;""""&amp;$F$1&amp;""""))))"),"")</f>
        <v/>
      </c>
      <c r="G159" s="501" t="str">
        <f t="shared" si="1"/>
        <v/>
      </c>
      <c r="H159" s="501" t="str">
        <f t="shared" si="2"/>
        <v/>
      </c>
      <c r="I159" s="501" t="str">
        <f t="shared" si="3"/>
        <v/>
      </c>
    </row>
    <row r="160">
      <c r="A160" s="501" t="str">
        <f>IFERROR(__xludf.DUMMYFUNCTION("IFERROR(if(ISBLANK(Installment!A160),"""",if(GOOGLEFINANCE(Installment!A160,""Currency"")=""GBX"",""GBP"",GOOGLEFINANCE(Installment!A160,""Currency""))),$F$1)"),"")</f>
        <v/>
      </c>
      <c r="B160" s="501" t="str">
        <f>Installment!A160</f>
        <v/>
      </c>
      <c r="C160" s="501" t="str">
        <f>Installment!B160</f>
        <v/>
      </c>
      <c r="D160" s="501" t="str">
        <f>IFERROR(__xludf.DUMMYFUNCTION("if(A160=""GBP"",if(B160="""","""",if(A160=$F$1,Installment!C160,Installment!C160*GOOGLEFINANCE(""Currency:""&amp;A160&amp;""""&amp;$F$1&amp;"""")))/100,if(B160="""","""",if(A160=$F$1,Installment!C160,Installment!C160*GOOGLEFINANCE(""Currency:""&amp;A160&amp;""""&amp;$F$1&amp;""""))))"),"")</f>
        <v/>
      </c>
      <c r="E160" s="501" t="str">
        <f>IFERROR(__xludf.DUMMYFUNCTION("if(A160=""GBP"",if(B160="""","""",if(A160=$F$1,Installment!H160,Installment!H160*GOOGLEFINANCE(""Currency:""&amp;A160&amp;""""&amp;$F$1&amp;"""")))/100,if(B160="""","""",if(A160=$F$1,Installment!H160,Installment!H160*GOOGLEFINANCE(""Currency:""&amp;A160&amp;""""&amp;$F$1&amp;""""))))"),"")</f>
        <v/>
      </c>
      <c r="F160" s="501" t="str">
        <f>IFERROR(__xludf.DUMMYFUNCTION("if(A160=""GBP"",if(B160="""","""",if(A160=$F$1,Installment!I160,Installment!I160*GOOGLEFINANCE(""Currency:""&amp;A160&amp;""""&amp;$F$1&amp;"""")))/100,if(B160="""","""",if(A160=$F$1,Installment!I160,Installment!I160*GOOGLEFINANCE(""Currency:""&amp;A160&amp;""""&amp;$F$1&amp;""""))))"),"")</f>
        <v/>
      </c>
      <c r="G160" s="501" t="str">
        <f t="shared" si="1"/>
        <v/>
      </c>
      <c r="H160" s="501" t="str">
        <f t="shared" si="2"/>
        <v/>
      </c>
      <c r="I160" s="501" t="str">
        <f t="shared" si="3"/>
        <v/>
      </c>
    </row>
    <row r="161">
      <c r="A161" s="501" t="str">
        <f>IFERROR(__xludf.DUMMYFUNCTION("IFERROR(if(ISBLANK(Installment!A161),"""",if(GOOGLEFINANCE(Installment!A161,""Currency"")=""GBX"",""GBP"",GOOGLEFINANCE(Installment!A161,""Currency""))),$F$1)"),"")</f>
        <v/>
      </c>
      <c r="B161" s="501" t="str">
        <f>Installment!A161</f>
        <v/>
      </c>
      <c r="C161" s="501" t="str">
        <f>Installment!B161</f>
        <v/>
      </c>
      <c r="D161" s="501" t="str">
        <f>IFERROR(__xludf.DUMMYFUNCTION("if(A161=""GBP"",if(B161="""","""",if(A161=$F$1,Installment!C161,Installment!C161*GOOGLEFINANCE(""Currency:""&amp;A161&amp;""""&amp;$F$1&amp;"""")))/100,if(B161="""","""",if(A161=$F$1,Installment!C161,Installment!C161*GOOGLEFINANCE(""Currency:""&amp;A161&amp;""""&amp;$F$1&amp;""""))))"),"")</f>
        <v/>
      </c>
      <c r="E161" s="501" t="str">
        <f>IFERROR(__xludf.DUMMYFUNCTION("if(A161=""GBP"",if(B161="""","""",if(A161=$F$1,Installment!H161,Installment!H161*GOOGLEFINANCE(""Currency:""&amp;A161&amp;""""&amp;$F$1&amp;"""")))/100,if(B161="""","""",if(A161=$F$1,Installment!H161,Installment!H161*GOOGLEFINANCE(""Currency:""&amp;A161&amp;""""&amp;$F$1&amp;""""))))"),"")</f>
        <v/>
      </c>
      <c r="F161" s="501" t="str">
        <f>IFERROR(__xludf.DUMMYFUNCTION("if(A161=""GBP"",if(B161="""","""",if(A161=$F$1,Installment!I161,Installment!I161*GOOGLEFINANCE(""Currency:""&amp;A161&amp;""""&amp;$F$1&amp;"""")))/100,if(B161="""","""",if(A161=$F$1,Installment!I161,Installment!I161*GOOGLEFINANCE(""Currency:""&amp;A161&amp;""""&amp;$F$1&amp;""""))))"),"")</f>
        <v/>
      </c>
      <c r="G161" s="501" t="str">
        <f t="shared" si="1"/>
        <v/>
      </c>
      <c r="H161" s="501" t="str">
        <f t="shared" si="2"/>
        <v/>
      </c>
      <c r="I161" s="501" t="str">
        <f t="shared" si="3"/>
        <v/>
      </c>
    </row>
    <row r="162">
      <c r="A162" s="501" t="str">
        <f>IFERROR(__xludf.DUMMYFUNCTION("IFERROR(if(ISBLANK(Installment!A162),"""",if(GOOGLEFINANCE(Installment!A162,""Currency"")=""GBX"",""GBP"",GOOGLEFINANCE(Installment!A162,""Currency""))),$F$1)"),"")</f>
        <v/>
      </c>
      <c r="B162" s="501" t="str">
        <f>Installment!A162</f>
        <v/>
      </c>
      <c r="C162" s="501" t="str">
        <f>Installment!B162</f>
        <v/>
      </c>
      <c r="D162" s="501" t="str">
        <f>IFERROR(__xludf.DUMMYFUNCTION("if(A162=""GBP"",if(B162="""","""",if(A162=$F$1,Installment!C162,Installment!C162*GOOGLEFINANCE(""Currency:""&amp;A162&amp;""""&amp;$F$1&amp;"""")))/100,if(B162="""","""",if(A162=$F$1,Installment!C162,Installment!C162*GOOGLEFINANCE(""Currency:""&amp;A162&amp;""""&amp;$F$1&amp;""""))))"),"")</f>
        <v/>
      </c>
      <c r="E162" s="501" t="str">
        <f>IFERROR(__xludf.DUMMYFUNCTION("if(A162=""GBP"",if(B162="""","""",if(A162=$F$1,Installment!H162,Installment!H162*GOOGLEFINANCE(""Currency:""&amp;A162&amp;""""&amp;$F$1&amp;"""")))/100,if(B162="""","""",if(A162=$F$1,Installment!H162,Installment!H162*GOOGLEFINANCE(""Currency:""&amp;A162&amp;""""&amp;$F$1&amp;""""))))"),"")</f>
        <v/>
      </c>
      <c r="F162" s="501" t="str">
        <f>IFERROR(__xludf.DUMMYFUNCTION("if(A162=""GBP"",if(B162="""","""",if(A162=$F$1,Installment!I162,Installment!I162*GOOGLEFINANCE(""Currency:""&amp;A162&amp;""""&amp;$F$1&amp;"""")))/100,if(B162="""","""",if(A162=$F$1,Installment!I162,Installment!I162*GOOGLEFINANCE(""Currency:""&amp;A162&amp;""""&amp;$F$1&amp;""""))))"),"")</f>
        <v/>
      </c>
      <c r="G162" s="501" t="str">
        <f t="shared" si="1"/>
        <v/>
      </c>
      <c r="H162" s="501" t="str">
        <f t="shared" si="2"/>
        <v/>
      </c>
      <c r="I162" s="501" t="str">
        <f t="shared" si="3"/>
        <v/>
      </c>
    </row>
    <row r="163">
      <c r="A163" s="501" t="str">
        <f>IFERROR(__xludf.DUMMYFUNCTION("IFERROR(if(ISBLANK(Installment!A163),"""",if(GOOGLEFINANCE(Installment!A163,""Currency"")=""GBX"",""GBP"",GOOGLEFINANCE(Installment!A163,""Currency""))),$F$1)"),"")</f>
        <v/>
      </c>
      <c r="B163" s="501" t="str">
        <f>Installment!A163</f>
        <v/>
      </c>
      <c r="C163" s="501" t="str">
        <f>Installment!B163</f>
        <v/>
      </c>
      <c r="D163" s="501" t="str">
        <f>IFERROR(__xludf.DUMMYFUNCTION("if(A163=""GBP"",if(B163="""","""",if(A163=$F$1,Installment!C163,Installment!C163*GOOGLEFINANCE(""Currency:""&amp;A163&amp;""""&amp;$F$1&amp;"""")))/100,if(B163="""","""",if(A163=$F$1,Installment!C163,Installment!C163*GOOGLEFINANCE(""Currency:""&amp;A163&amp;""""&amp;$F$1&amp;""""))))"),"")</f>
        <v/>
      </c>
      <c r="E163" s="501" t="str">
        <f>IFERROR(__xludf.DUMMYFUNCTION("if(A163=""GBP"",if(B163="""","""",if(A163=$F$1,Installment!H163,Installment!H163*GOOGLEFINANCE(""Currency:""&amp;A163&amp;""""&amp;$F$1&amp;"""")))/100,if(B163="""","""",if(A163=$F$1,Installment!H163,Installment!H163*GOOGLEFINANCE(""Currency:""&amp;A163&amp;""""&amp;$F$1&amp;""""))))"),"")</f>
        <v/>
      </c>
      <c r="F163" s="501" t="str">
        <f>IFERROR(__xludf.DUMMYFUNCTION("if(A163=""GBP"",if(B163="""","""",if(A163=$F$1,Installment!I163,Installment!I163*GOOGLEFINANCE(""Currency:""&amp;A163&amp;""""&amp;$F$1&amp;"""")))/100,if(B163="""","""",if(A163=$F$1,Installment!I163,Installment!I163*GOOGLEFINANCE(""Currency:""&amp;A163&amp;""""&amp;$F$1&amp;""""))))"),"")</f>
        <v/>
      </c>
      <c r="G163" s="501" t="str">
        <f t="shared" si="1"/>
        <v/>
      </c>
      <c r="H163" s="501" t="str">
        <f t="shared" si="2"/>
        <v/>
      </c>
      <c r="I163" s="501" t="str">
        <f t="shared" si="3"/>
        <v/>
      </c>
    </row>
    <row r="164">
      <c r="A164" s="501" t="str">
        <f>IFERROR(__xludf.DUMMYFUNCTION("IFERROR(if(ISBLANK(Installment!A164),"""",if(GOOGLEFINANCE(Installment!A164,""Currency"")=""GBX"",""GBP"",GOOGLEFINANCE(Installment!A164,""Currency""))),$F$1)"),"")</f>
        <v/>
      </c>
      <c r="B164" s="501" t="str">
        <f>Installment!A164</f>
        <v/>
      </c>
      <c r="C164" s="501" t="str">
        <f>Installment!B164</f>
        <v/>
      </c>
      <c r="D164" s="501" t="str">
        <f>IFERROR(__xludf.DUMMYFUNCTION("if(A164=""GBP"",if(B164="""","""",if(A164=$F$1,Installment!C164,Installment!C164*GOOGLEFINANCE(""Currency:""&amp;A164&amp;""""&amp;$F$1&amp;"""")))/100,if(B164="""","""",if(A164=$F$1,Installment!C164,Installment!C164*GOOGLEFINANCE(""Currency:""&amp;A164&amp;""""&amp;$F$1&amp;""""))))"),"")</f>
        <v/>
      </c>
      <c r="E164" s="501" t="str">
        <f>IFERROR(__xludf.DUMMYFUNCTION("if(A164=""GBP"",if(B164="""","""",if(A164=$F$1,Installment!H164,Installment!H164*GOOGLEFINANCE(""Currency:""&amp;A164&amp;""""&amp;$F$1&amp;"""")))/100,if(B164="""","""",if(A164=$F$1,Installment!H164,Installment!H164*GOOGLEFINANCE(""Currency:""&amp;A164&amp;""""&amp;$F$1&amp;""""))))"),"")</f>
        <v/>
      </c>
      <c r="F164" s="501" t="str">
        <f>IFERROR(__xludf.DUMMYFUNCTION("if(A164=""GBP"",if(B164="""","""",if(A164=$F$1,Installment!I164,Installment!I164*GOOGLEFINANCE(""Currency:""&amp;A164&amp;""""&amp;$F$1&amp;"""")))/100,if(B164="""","""",if(A164=$F$1,Installment!I164,Installment!I164*GOOGLEFINANCE(""Currency:""&amp;A164&amp;""""&amp;$F$1&amp;""""))))"),"")</f>
        <v/>
      </c>
      <c r="G164" s="501" t="str">
        <f t="shared" si="1"/>
        <v/>
      </c>
      <c r="H164" s="501" t="str">
        <f t="shared" si="2"/>
        <v/>
      </c>
      <c r="I164" s="501" t="str">
        <f t="shared" si="3"/>
        <v/>
      </c>
    </row>
    <row r="165">
      <c r="A165" s="501" t="str">
        <f>IFERROR(__xludf.DUMMYFUNCTION("IFERROR(if(ISBLANK(Installment!A165),"""",if(GOOGLEFINANCE(Installment!A165,""Currency"")=""GBX"",""GBP"",GOOGLEFINANCE(Installment!A165,""Currency""))),$F$1)"),"")</f>
        <v/>
      </c>
      <c r="B165" s="501" t="str">
        <f>Installment!A165</f>
        <v/>
      </c>
      <c r="C165" s="501" t="str">
        <f>Installment!B165</f>
        <v/>
      </c>
      <c r="D165" s="501" t="str">
        <f>IFERROR(__xludf.DUMMYFUNCTION("if(A165=""GBP"",if(B165="""","""",if(A165=$F$1,Installment!C165,Installment!C165*GOOGLEFINANCE(""Currency:""&amp;A165&amp;""""&amp;$F$1&amp;"""")))/100,if(B165="""","""",if(A165=$F$1,Installment!C165,Installment!C165*GOOGLEFINANCE(""Currency:""&amp;A165&amp;""""&amp;$F$1&amp;""""))))"),"")</f>
        <v/>
      </c>
      <c r="E165" s="501" t="str">
        <f>IFERROR(__xludf.DUMMYFUNCTION("if(A165=""GBP"",if(B165="""","""",if(A165=$F$1,Installment!H165,Installment!H165*GOOGLEFINANCE(""Currency:""&amp;A165&amp;""""&amp;$F$1&amp;"""")))/100,if(B165="""","""",if(A165=$F$1,Installment!H165,Installment!H165*GOOGLEFINANCE(""Currency:""&amp;A165&amp;""""&amp;$F$1&amp;""""))))"),"")</f>
        <v/>
      </c>
      <c r="F165" s="501" t="str">
        <f>IFERROR(__xludf.DUMMYFUNCTION("if(A165=""GBP"",if(B165="""","""",if(A165=$F$1,Installment!I165,Installment!I165*GOOGLEFINANCE(""Currency:""&amp;A165&amp;""""&amp;$F$1&amp;"""")))/100,if(B165="""","""",if(A165=$F$1,Installment!I165,Installment!I165*GOOGLEFINANCE(""Currency:""&amp;A165&amp;""""&amp;$F$1&amp;""""))))"),"")</f>
        <v/>
      </c>
      <c r="G165" s="501" t="str">
        <f t="shared" si="1"/>
        <v/>
      </c>
      <c r="H165" s="501" t="str">
        <f t="shared" si="2"/>
        <v/>
      </c>
      <c r="I165" s="501" t="str">
        <f t="shared" si="3"/>
        <v/>
      </c>
    </row>
    <row r="166">
      <c r="A166" s="501" t="str">
        <f>IFERROR(__xludf.DUMMYFUNCTION("IFERROR(if(ISBLANK(Installment!A166),"""",if(GOOGLEFINANCE(Installment!A166,""Currency"")=""GBX"",""GBP"",GOOGLEFINANCE(Installment!A166,""Currency""))),$F$1)"),"")</f>
        <v/>
      </c>
      <c r="B166" s="501" t="str">
        <f>Installment!A166</f>
        <v/>
      </c>
      <c r="C166" s="501" t="str">
        <f>Installment!B166</f>
        <v/>
      </c>
      <c r="D166" s="501" t="str">
        <f>IFERROR(__xludf.DUMMYFUNCTION("if(A166=""GBP"",if(B166="""","""",if(A166=$F$1,Installment!C166,Installment!C166*GOOGLEFINANCE(""Currency:""&amp;A166&amp;""""&amp;$F$1&amp;"""")))/100,if(B166="""","""",if(A166=$F$1,Installment!C166,Installment!C166*GOOGLEFINANCE(""Currency:""&amp;A166&amp;""""&amp;$F$1&amp;""""))))"),"")</f>
        <v/>
      </c>
      <c r="E166" s="501" t="str">
        <f>IFERROR(__xludf.DUMMYFUNCTION("if(A166=""GBP"",if(B166="""","""",if(A166=$F$1,Installment!H166,Installment!H166*GOOGLEFINANCE(""Currency:""&amp;A166&amp;""""&amp;$F$1&amp;"""")))/100,if(B166="""","""",if(A166=$F$1,Installment!H166,Installment!H166*GOOGLEFINANCE(""Currency:""&amp;A166&amp;""""&amp;$F$1&amp;""""))))"),"")</f>
        <v/>
      </c>
      <c r="F166" s="501" t="str">
        <f>IFERROR(__xludf.DUMMYFUNCTION("if(A166=""GBP"",if(B166="""","""",if(A166=$F$1,Installment!I166,Installment!I166*GOOGLEFINANCE(""Currency:""&amp;A166&amp;""""&amp;$F$1&amp;"""")))/100,if(B166="""","""",if(A166=$F$1,Installment!I166,Installment!I166*GOOGLEFINANCE(""Currency:""&amp;A166&amp;""""&amp;$F$1&amp;""""))))"),"")</f>
        <v/>
      </c>
      <c r="G166" s="501" t="str">
        <f t="shared" si="1"/>
        <v/>
      </c>
      <c r="H166" s="501" t="str">
        <f t="shared" si="2"/>
        <v/>
      </c>
      <c r="I166" s="501" t="str">
        <f t="shared" si="3"/>
        <v/>
      </c>
    </row>
    <row r="167">
      <c r="A167" s="501" t="str">
        <f>IFERROR(__xludf.DUMMYFUNCTION("IFERROR(if(ISBLANK(Installment!A167),"""",if(GOOGLEFINANCE(Installment!A167,""Currency"")=""GBX"",""GBP"",GOOGLEFINANCE(Installment!A167,""Currency""))),$F$1)"),"")</f>
        <v/>
      </c>
      <c r="B167" s="501" t="str">
        <f>Installment!A167</f>
        <v/>
      </c>
      <c r="C167" s="501" t="str">
        <f>Installment!B167</f>
        <v/>
      </c>
      <c r="D167" s="501" t="str">
        <f>IFERROR(__xludf.DUMMYFUNCTION("if(A167=""GBP"",if(B167="""","""",if(A167=$F$1,Installment!C167,Installment!C167*GOOGLEFINANCE(""Currency:""&amp;A167&amp;""""&amp;$F$1&amp;"""")))/100,if(B167="""","""",if(A167=$F$1,Installment!C167,Installment!C167*GOOGLEFINANCE(""Currency:""&amp;A167&amp;""""&amp;$F$1&amp;""""))))"),"")</f>
        <v/>
      </c>
      <c r="E167" s="501" t="str">
        <f>IFERROR(__xludf.DUMMYFUNCTION("if(A167=""GBP"",if(B167="""","""",if(A167=$F$1,Installment!H167,Installment!H167*GOOGLEFINANCE(""Currency:""&amp;A167&amp;""""&amp;$F$1&amp;"""")))/100,if(B167="""","""",if(A167=$F$1,Installment!H167,Installment!H167*GOOGLEFINANCE(""Currency:""&amp;A167&amp;""""&amp;$F$1&amp;""""))))"),"")</f>
        <v/>
      </c>
      <c r="F167" s="501" t="str">
        <f>IFERROR(__xludf.DUMMYFUNCTION("if(A167=""GBP"",if(B167="""","""",if(A167=$F$1,Installment!I167,Installment!I167*GOOGLEFINANCE(""Currency:""&amp;A167&amp;""""&amp;$F$1&amp;"""")))/100,if(B167="""","""",if(A167=$F$1,Installment!I167,Installment!I167*GOOGLEFINANCE(""Currency:""&amp;A167&amp;""""&amp;$F$1&amp;""""))))"),"")</f>
        <v/>
      </c>
      <c r="G167" s="501" t="str">
        <f t="shared" si="1"/>
        <v/>
      </c>
      <c r="H167" s="501" t="str">
        <f t="shared" si="2"/>
        <v/>
      </c>
      <c r="I167" s="501" t="str">
        <f t="shared" si="3"/>
        <v/>
      </c>
    </row>
    <row r="168">
      <c r="A168" s="501" t="str">
        <f>IFERROR(__xludf.DUMMYFUNCTION("IFERROR(if(ISBLANK(Installment!A168),"""",if(GOOGLEFINANCE(Installment!A168,""Currency"")=""GBX"",""GBP"",GOOGLEFINANCE(Installment!A168,""Currency""))),$F$1)"),"")</f>
        <v/>
      </c>
      <c r="B168" s="501" t="str">
        <f>Installment!A168</f>
        <v/>
      </c>
      <c r="C168" s="501" t="str">
        <f>Installment!B168</f>
        <v/>
      </c>
      <c r="D168" s="501" t="str">
        <f>IFERROR(__xludf.DUMMYFUNCTION("if(A168=""GBP"",if(B168="""","""",if(A168=$F$1,Installment!C168,Installment!C168*GOOGLEFINANCE(""Currency:""&amp;A168&amp;""""&amp;$F$1&amp;"""")))/100,if(B168="""","""",if(A168=$F$1,Installment!C168,Installment!C168*GOOGLEFINANCE(""Currency:""&amp;A168&amp;""""&amp;$F$1&amp;""""))))"),"")</f>
        <v/>
      </c>
      <c r="E168" s="501" t="str">
        <f>IFERROR(__xludf.DUMMYFUNCTION("if(A168=""GBP"",if(B168="""","""",if(A168=$F$1,Installment!H168,Installment!H168*GOOGLEFINANCE(""Currency:""&amp;A168&amp;""""&amp;$F$1&amp;"""")))/100,if(B168="""","""",if(A168=$F$1,Installment!H168,Installment!H168*GOOGLEFINANCE(""Currency:""&amp;A168&amp;""""&amp;$F$1&amp;""""))))"),"")</f>
        <v/>
      </c>
      <c r="F168" s="501" t="str">
        <f>IFERROR(__xludf.DUMMYFUNCTION("if(A168=""GBP"",if(B168="""","""",if(A168=$F$1,Installment!I168,Installment!I168*GOOGLEFINANCE(""Currency:""&amp;A168&amp;""""&amp;$F$1&amp;"""")))/100,if(B168="""","""",if(A168=$F$1,Installment!I168,Installment!I168*GOOGLEFINANCE(""Currency:""&amp;A168&amp;""""&amp;$F$1&amp;""""))))"),"")</f>
        <v/>
      </c>
      <c r="G168" s="501" t="str">
        <f t="shared" si="1"/>
        <v/>
      </c>
      <c r="H168" s="501" t="str">
        <f t="shared" si="2"/>
        <v/>
      </c>
      <c r="I168" s="501" t="str">
        <f t="shared" si="3"/>
        <v/>
      </c>
    </row>
    <row r="169">
      <c r="A169" s="501" t="str">
        <f>IFERROR(__xludf.DUMMYFUNCTION("IFERROR(if(ISBLANK(Installment!A169),"""",if(GOOGLEFINANCE(Installment!A169,""Currency"")=""GBX"",""GBP"",GOOGLEFINANCE(Installment!A169,""Currency""))),$F$1)"),"")</f>
        <v/>
      </c>
      <c r="B169" s="501" t="str">
        <f>Installment!A169</f>
        <v/>
      </c>
      <c r="C169" s="501" t="str">
        <f>Installment!B169</f>
        <v/>
      </c>
      <c r="D169" s="501" t="str">
        <f>IFERROR(__xludf.DUMMYFUNCTION("if(A169=""GBP"",if(B169="""","""",if(A169=$F$1,Installment!C169,Installment!C169*GOOGLEFINANCE(""Currency:""&amp;A169&amp;""""&amp;$F$1&amp;"""")))/100,if(B169="""","""",if(A169=$F$1,Installment!C169,Installment!C169*GOOGLEFINANCE(""Currency:""&amp;A169&amp;""""&amp;$F$1&amp;""""))))"),"")</f>
        <v/>
      </c>
      <c r="E169" s="501" t="str">
        <f>IFERROR(__xludf.DUMMYFUNCTION("if(A169=""GBP"",if(B169="""","""",if(A169=$F$1,Installment!H169,Installment!H169*GOOGLEFINANCE(""Currency:""&amp;A169&amp;""""&amp;$F$1&amp;"""")))/100,if(B169="""","""",if(A169=$F$1,Installment!H169,Installment!H169*GOOGLEFINANCE(""Currency:""&amp;A169&amp;""""&amp;$F$1&amp;""""))))"),"")</f>
        <v/>
      </c>
      <c r="F169" s="501" t="str">
        <f>IFERROR(__xludf.DUMMYFUNCTION("if(A169=""GBP"",if(B169="""","""",if(A169=$F$1,Installment!I169,Installment!I169*GOOGLEFINANCE(""Currency:""&amp;A169&amp;""""&amp;$F$1&amp;"""")))/100,if(B169="""","""",if(A169=$F$1,Installment!I169,Installment!I169*GOOGLEFINANCE(""Currency:""&amp;A169&amp;""""&amp;$F$1&amp;""""))))"),"")</f>
        <v/>
      </c>
      <c r="G169" s="501" t="str">
        <f t="shared" si="1"/>
        <v/>
      </c>
      <c r="H169" s="501" t="str">
        <f t="shared" si="2"/>
        <v/>
      </c>
      <c r="I169" s="501" t="str">
        <f t="shared" si="3"/>
        <v/>
      </c>
    </row>
    <row r="170">
      <c r="A170" s="501" t="str">
        <f>IFERROR(__xludf.DUMMYFUNCTION("IFERROR(if(ISBLANK(Installment!A170),"""",if(GOOGLEFINANCE(Installment!A170,""Currency"")=""GBX"",""GBP"",GOOGLEFINANCE(Installment!A170,""Currency""))),$F$1)"),"")</f>
        <v/>
      </c>
      <c r="B170" s="501" t="str">
        <f>Installment!A170</f>
        <v/>
      </c>
      <c r="C170" s="501" t="str">
        <f>Installment!B170</f>
        <v/>
      </c>
      <c r="D170" s="501" t="str">
        <f>IFERROR(__xludf.DUMMYFUNCTION("if(A170=""GBP"",if(B170="""","""",if(A170=$F$1,Installment!C170,Installment!C170*GOOGLEFINANCE(""Currency:""&amp;A170&amp;""""&amp;$F$1&amp;"""")))/100,if(B170="""","""",if(A170=$F$1,Installment!C170,Installment!C170*GOOGLEFINANCE(""Currency:""&amp;A170&amp;""""&amp;$F$1&amp;""""))))"),"")</f>
        <v/>
      </c>
      <c r="E170" s="501" t="str">
        <f>IFERROR(__xludf.DUMMYFUNCTION("if(A170=""GBP"",if(B170="""","""",if(A170=$F$1,Installment!H170,Installment!H170*GOOGLEFINANCE(""Currency:""&amp;A170&amp;""""&amp;$F$1&amp;"""")))/100,if(B170="""","""",if(A170=$F$1,Installment!H170,Installment!H170*GOOGLEFINANCE(""Currency:""&amp;A170&amp;""""&amp;$F$1&amp;""""))))"),"")</f>
        <v/>
      </c>
      <c r="F170" s="501" t="str">
        <f>IFERROR(__xludf.DUMMYFUNCTION("if(A170=""GBP"",if(B170="""","""",if(A170=$F$1,Installment!I170,Installment!I170*GOOGLEFINANCE(""Currency:""&amp;A170&amp;""""&amp;$F$1&amp;"""")))/100,if(B170="""","""",if(A170=$F$1,Installment!I170,Installment!I170*GOOGLEFINANCE(""Currency:""&amp;A170&amp;""""&amp;$F$1&amp;""""))))"),"")</f>
        <v/>
      </c>
      <c r="G170" s="501" t="str">
        <f t="shared" si="1"/>
        <v/>
      </c>
      <c r="H170" s="501" t="str">
        <f t="shared" si="2"/>
        <v/>
      </c>
      <c r="I170" s="501" t="str">
        <f t="shared" si="3"/>
        <v/>
      </c>
    </row>
    <row r="171">
      <c r="A171" s="501" t="str">
        <f>IFERROR(__xludf.DUMMYFUNCTION("IFERROR(if(ISBLANK(Installment!A171),"""",if(GOOGLEFINANCE(Installment!A171,""Currency"")=""GBX"",""GBP"",GOOGLEFINANCE(Installment!A171,""Currency""))),$F$1)"),"")</f>
        <v/>
      </c>
      <c r="B171" s="501" t="str">
        <f>Installment!A171</f>
        <v/>
      </c>
      <c r="C171" s="501" t="str">
        <f>Installment!B171</f>
        <v/>
      </c>
      <c r="D171" s="501" t="str">
        <f>IFERROR(__xludf.DUMMYFUNCTION("if(A171=""GBP"",if(B171="""","""",if(A171=$F$1,Installment!C171,Installment!C171*GOOGLEFINANCE(""Currency:""&amp;A171&amp;""""&amp;$F$1&amp;"""")))/100,if(B171="""","""",if(A171=$F$1,Installment!C171,Installment!C171*GOOGLEFINANCE(""Currency:""&amp;A171&amp;""""&amp;$F$1&amp;""""))))"),"")</f>
        <v/>
      </c>
      <c r="E171" s="501" t="str">
        <f>IFERROR(__xludf.DUMMYFUNCTION("if(A171=""GBP"",if(B171="""","""",if(A171=$F$1,Installment!H171,Installment!H171*GOOGLEFINANCE(""Currency:""&amp;A171&amp;""""&amp;$F$1&amp;"""")))/100,if(B171="""","""",if(A171=$F$1,Installment!H171,Installment!H171*GOOGLEFINANCE(""Currency:""&amp;A171&amp;""""&amp;$F$1&amp;""""))))"),"")</f>
        <v/>
      </c>
      <c r="F171" s="501" t="str">
        <f>IFERROR(__xludf.DUMMYFUNCTION("if(A171=""GBP"",if(B171="""","""",if(A171=$F$1,Installment!I171,Installment!I171*GOOGLEFINANCE(""Currency:""&amp;A171&amp;""""&amp;$F$1&amp;"""")))/100,if(B171="""","""",if(A171=$F$1,Installment!I171,Installment!I171*GOOGLEFINANCE(""Currency:""&amp;A171&amp;""""&amp;$F$1&amp;""""))))"),"")</f>
        <v/>
      </c>
      <c r="G171" s="501" t="str">
        <f t="shared" si="1"/>
        <v/>
      </c>
      <c r="H171" s="501" t="str">
        <f t="shared" si="2"/>
        <v/>
      </c>
      <c r="I171" s="501" t="str">
        <f t="shared" si="3"/>
        <v/>
      </c>
    </row>
    <row r="172">
      <c r="A172" s="501" t="str">
        <f>IFERROR(__xludf.DUMMYFUNCTION("IFERROR(if(ISBLANK(Installment!A172),"""",if(GOOGLEFINANCE(Installment!A172,""Currency"")=""GBX"",""GBP"",GOOGLEFINANCE(Installment!A172,""Currency""))),$F$1)"),"")</f>
        <v/>
      </c>
      <c r="B172" s="501" t="str">
        <f>Installment!A172</f>
        <v/>
      </c>
      <c r="C172" s="501" t="str">
        <f>Installment!B172</f>
        <v/>
      </c>
      <c r="D172" s="501" t="str">
        <f>IFERROR(__xludf.DUMMYFUNCTION("if(A172=""GBP"",if(B172="""","""",if(A172=$F$1,Installment!C172,Installment!C172*GOOGLEFINANCE(""Currency:""&amp;A172&amp;""""&amp;$F$1&amp;"""")))/100,if(B172="""","""",if(A172=$F$1,Installment!C172,Installment!C172*GOOGLEFINANCE(""Currency:""&amp;A172&amp;""""&amp;$F$1&amp;""""))))"),"")</f>
        <v/>
      </c>
      <c r="E172" s="501" t="str">
        <f>IFERROR(__xludf.DUMMYFUNCTION("if(A172=""GBP"",if(B172="""","""",if(A172=$F$1,Installment!H172,Installment!H172*GOOGLEFINANCE(""Currency:""&amp;A172&amp;""""&amp;$F$1&amp;"""")))/100,if(B172="""","""",if(A172=$F$1,Installment!H172,Installment!H172*GOOGLEFINANCE(""Currency:""&amp;A172&amp;""""&amp;$F$1&amp;""""))))"),"")</f>
        <v/>
      </c>
      <c r="F172" s="501" t="str">
        <f>IFERROR(__xludf.DUMMYFUNCTION("if(A172=""GBP"",if(B172="""","""",if(A172=$F$1,Installment!I172,Installment!I172*GOOGLEFINANCE(""Currency:""&amp;A172&amp;""""&amp;$F$1&amp;"""")))/100,if(B172="""","""",if(A172=$F$1,Installment!I172,Installment!I172*GOOGLEFINANCE(""Currency:""&amp;A172&amp;""""&amp;$F$1&amp;""""))))"),"")</f>
        <v/>
      </c>
      <c r="G172" s="501" t="str">
        <f t="shared" si="1"/>
        <v/>
      </c>
      <c r="H172" s="501" t="str">
        <f t="shared" si="2"/>
        <v/>
      </c>
      <c r="I172" s="501" t="str">
        <f t="shared" si="3"/>
        <v/>
      </c>
    </row>
    <row r="173">
      <c r="A173" s="501" t="str">
        <f>IFERROR(__xludf.DUMMYFUNCTION("IFERROR(if(ISBLANK(Installment!A173),"""",if(GOOGLEFINANCE(Installment!A173,""Currency"")=""GBX"",""GBP"",GOOGLEFINANCE(Installment!A173,""Currency""))),$F$1)"),"")</f>
        <v/>
      </c>
      <c r="B173" s="501" t="str">
        <f>Installment!A173</f>
        <v/>
      </c>
      <c r="C173" s="501" t="str">
        <f>Installment!B173</f>
        <v/>
      </c>
      <c r="D173" s="501" t="str">
        <f>IFERROR(__xludf.DUMMYFUNCTION("if(A173=""GBP"",if(B173="""","""",if(A173=$F$1,Installment!C173,Installment!C173*GOOGLEFINANCE(""Currency:""&amp;A173&amp;""""&amp;$F$1&amp;"""")))/100,if(B173="""","""",if(A173=$F$1,Installment!C173,Installment!C173*GOOGLEFINANCE(""Currency:""&amp;A173&amp;""""&amp;$F$1&amp;""""))))"),"")</f>
        <v/>
      </c>
      <c r="E173" s="501" t="str">
        <f>IFERROR(__xludf.DUMMYFUNCTION("if(A173=""GBP"",if(B173="""","""",if(A173=$F$1,Installment!H173,Installment!H173*GOOGLEFINANCE(""Currency:""&amp;A173&amp;""""&amp;$F$1&amp;"""")))/100,if(B173="""","""",if(A173=$F$1,Installment!H173,Installment!H173*GOOGLEFINANCE(""Currency:""&amp;A173&amp;""""&amp;$F$1&amp;""""))))"),"")</f>
        <v/>
      </c>
      <c r="F173" s="501" t="str">
        <f>IFERROR(__xludf.DUMMYFUNCTION("if(A173=""GBP"",if(B173="""","""",if(A173=$F$1,Installment!I173,Installment!I173*GOOGLEFINANCE(""Currency:""&amp;A173&amp;""""&amp;$F$1&amp;"""")))/100,if(B173="""","""",if(A173=$F$1,Installment!I173,Installment!I173*GOOGLEFINANCE(""Currency:""&amp;A173&amp;""""&amp;$F$1&amp;""""))))"),"")</f>
        <v/>
      </c>
      <c r="G173" s="501" t="str">
        <f t="shared" si="1"/>
        <v/>
      </c>
      <c r="H173" s="501" t="str">
        <f t="shared" si="2"/>
        <v/>
      </c>
      <c r="I173" s="501" t="str">
        <f t="shared" si="3"/>
        <v/>
      </c>
    </row>
    <row r="174">
      <c r="A174" s="501" t="str">
        <f>IFERROR(__xludf.DUMMYFUNCTION("IFERROR(if(ISBLANK(Installment!A174),"""",if(GOOGLEFINANCE(Installment!A174,""Currency"")=""GBX"",""GBP"",GOOGLEFINANCE(Installment!A174,""Currency""))),$F$1)"),"")</f>
        <v/>
      </c>
      <c r="B174" s="501" t="str">
        <f>Installment!A174</f>
        <v/>
      </c>
      <c r="C174" s="501" t="str">
        <f>Installment!B174</f>
        <v/>
      </c>
      <c r="D174" s="501" t="str">
        <f>IFERROR(__xludf.DUMMYFUNCTION("if(A174=""GBP"",if(B174="""","""",if(A174=$F$1,Installment!C174,Installment!C174*GOOGLEFINANCE(""Currency:""&amp;A174&amp;""""&amp;$F$1&amp;"""")))/100,if(B174="""","""",if(A174=$F$1,Installment!C174,Installment!C174*GOOGLEFINANCE(""Currency:""&amp;A174&amp;""""&amp;$F$1&amp;""""))))"),"")</f>
        <v/>
      </c>
      <c r="E174" s="501" t="str">
        <f>IFERROR(__xludf.DUMMYFUNCTION("if(A174=""GBP"",if(B174="""","""",if(A174=$F$1,Installment!H174,Installment!H174*GOOGLEFINANCE(""Currency:""&amp;A174&amp;""""&amp;$F$1&amp;"""")))/100,if(B174="""","""",if(A174=$F$1,Installment!H174,Installment!H174*GOOGLEFINANCE(""Currency:""&amp;A174&amp;""""&amp;$F$1&amp;""""))))"),"")</f>
        <v/>
      </c>
      <c r="F174" s="501" t="str">
        <f>IFERROR(__xludf.DUMMYFUNCTION("if(A174=""GBP"",if(B174="""","""",if(A174=$F$1,Installment!I174,Installment!I174*GOOGLEFINANCE(""Currency:""&amp;A174&amp;""""&amp;$F$1&amp;"""")))/100,if(B174="""","""",if(A174=$F$1,Installment!I174,Installment!I174*GOOGLEFINANCE(""Currency:""&amp;A174&amp;""""&amp;$F$1&amp;""""))))"),"")</f>
        <v/>
      </c>
      <c r="G174" s="501" t="str">
        <f t="shared" si="1"/>
        <v/>
      </c>
      <c r="H174" s="501" t="str">
        <f t="shared" si="2"/>
        <v/>
      </c>
      <c r="I174" s="501" t="str">
        <f t="shared" si="3"/>
        <v/>
      </c>
    </row>
    <row r="175">
      <c r="A175" s="501" t="str">
        <f>IFERROR(__xludf.DUMMYFUNCTION("IFERROR(if(ISBLANK(Installment!A175),"""",if(GOOGLEFINANCE(Installment!A175,""Currency"")=""GBX"",""GBP"",GOOGLEFINANCE(Installment!A175,""Currency""))),$F$1)"),"")</f>
        <v/>
      </c>
      <c r="B175" s="501" t="str">
        <f>Installment!A175</f>
        <v/>
      </c>
      <c r="C175" s="501" t="str">
        <f>Installment!B175</f>
        <v/>
      </c>
      <c r="D175" s="501" t="str">
        <f>IFERROR(__xludf.DUMMYFUNCTION("if(A175=""GBP"",if(B175="""","""",if(A175=$F$1,Installment!C175,Installment!C175*GOOGLEFINANCE(""Currency:""&amp;A175&amp;""""&amp;$F$1&amp;"""")))/100,if(B175="""","""",if(A175=$F$1,Installment!C175,Installment!C175*GOOGLEFINANCE(""Currency:""&amp;A175&amp;""""&amp;$F$1&amp;""""))))"),"")</f>
        <v/>
      </c>
      <c r="E175" s="501" t="str">
        <f>IFERROR(__xludf.DUMMYFUNCTION("if(A175=""GBP"",if(B175="""","""",if(A175=$F$1,Installment!H175,Installment!H175*GOOGLEFINANCE(""Currency:""&amp;A175&amp;""""&amp;$F$1&amp;"""")))/100,if(B175="""","""",if(A175=$F$1,Installment!H175,Installment!H175*GOOGLEFINANCE(""Currency:""&amp;A175&amp;""""&amp;$F$1&amp;""""))))"),"")</f>
        <v/>
      </c>
      <c r="F175" s="501" t="str">
        <f>IFERROR(__xludf.DUMMYFUNCTION("if(A175=""GBP"",if(B175="""","""",if(A175=$F$1,Installment!I175,Installment!I175*GOOGLEFINANCE(""Currency:""&amp;A175&amp;""""&amp;$F$1&amp;"""")))/100,if(B175="""","""",if(A175=$F$1,Installment!I175,Installment!I175*GOOGLEFINANCE(""Currency:""&amp;A175&amp;""""&amp;$F$1&amp;""""))))"),"")</f>
        <v/>
      </c>
      <c r="G175" s="501" t="str">
        <f t="shared" si="1"/>
        <v/>
      </c>
      <c r="H175" s="501" t="str">
        <f t="shared" si="2"/>
        <v/>
      </c>
      <c r="I175" s="501" t="str">
        <f t="shared" si="3"/>
        <v/>
      </c>
    </row>
    <row r="176">
      <c r="A176" s="501" t="str">
        <f>IFERROR(__xludf.DUMMYFUNCTION("IFERROR(if(ISBLANK(Installment!A176),"""",if(GOOGLEFINANCE(Installment!A176,""Currency"")=""GBX"",""GBP"",GOOGLEFINANCE(Installment!A176,""Currency""))),$F$1)"),"")</f>
        <v/>
      </c>
      <c r="B176" s="501" t="str">
        <f>Installment!A176</f>
        <v/>
      </c>
      <c r="C176" s="501" t="str">
        <f>Installment!B176</f>
        <v/>
      </c>
      <c r="D176" s="501" t="str">
        <f>IFERROR(__xludf.DUMMYFUNCTION("if(A176=""GBP"",if(B176="""","""",if(A176=$F$1,Installment!C176,Installment!C176*GOOGLEFINANCE(""Currency:""&amp;A176&amp;""""&amp;$F$1&amp;"""")))/100,if(B176="""","""",if(A176=$F$1,Installment!C176,Installment!C176*GOOGLEFINANCE(""Currency:""&amp;A176&amp;""""&amp;$F$1&amp;""""))))"),"")</f>
        <v/>
      </c>
      <c r="E176" s="501" t="str">
        <f>IFERROR(__xludf.DUMMYFUNCTION("if(A176=""GBP"",if(B176="""","""",if(A176=$F$1,Installment!H176,Installment!H176*GOOGLEFINANCE(""Currency:""&amp;A176&amp;""""&amp;$F$1&amp;"""")))/100,if(B176="""","""",if(A176=$F$1,Installment!H176,Installment!H176*GOOGLEFINANCE(""Currency:""&amp;A176&amp;""""&amp;$F$1&amp;""""))))"),"")</f>
        <v/>
      </c>
      <c r="F176" s="501" t="str">
        <f>IFERROR(__xludf.DUMMYFUNCTION("if(A176=""GBP"",if(B176="""","""",if(A176=$F$1,Installment!I176,Installment!I176*GOOGLEFINANCE(""Currency:""&amp;A176&amp;""""&amp;$F$1&amp;"""")))/100,if(B176="""","""",if(A176=$F$1,Installment!I176,Installment!I176*GOOGLEFINANCE(""Currency:""&amp;A176&amp;""""&amp;$F$1&amp;""""))))"),"")</f>
        <v/>
      </c>
      <c r="G176" s="501" t="str">
        <f t="shared" si="1"/>
        <v/>
      </c>
      <c r="H176" s="501" t="str">
        <f t="shared" si="2"/>
        <v/>
      </c>
      <c r="I176" s="501" t="str">
        <f t="shared" si="3"/>
        <v/>
      </c>
    </row>
    <row r="177">
      <c r="A177" s="501" t="str">
        <f>IFERROR(__xludf.DUMMYFUNCTION("IFERROR(if(ISBLANK(Installment!A177),"""",if(GOOGLEFINANCE(Installment!A177,""Currency"")=""GBX"",""GBP"",GOOGLEFINANCE(Installment!A177,""Currency""))),$F$1)"),"")</f>
        <v/>
      </c>
      <c r="B177" s="501" t="str">
        <f>Installment!A177</f>
        <v/>
      </c>
      <c r="C177" s="501" t="str">
        <f>Installment!B177</f>
        <v/>
      </c>
      <c r="D177" s="501" t="str">
        <f>IFERROR(__xludf.DUMMYFUNCTION("if(A177=""GBP"",if(B177="""","""",if(A177=$F$1,Installment!C177,Installment!C177*GOOGLEFINANCE(""Currency:""&amp;A177&amp;""""&amp;$F$1&amp;"""")))/100,if(B177="""","""",if(A177=$F$1,Installment!C177,Installment!C177*GOOGLEFINANCE(""Currency:""&amp;A177&amp;""""&amp;$F$1&amp;""""))))"),"")</f>
        <v/>
      </c>
      <c r="E177" s="501" t="str">
        <f>IFERROR(__xludf.DUMMYFUNCTION("if(A177=""GBP"",if(B177="""","""",if(A177=$F$1,Installment!H177,Installment!H177*GOOGLEFINANCE(""Currency:""&amp;A177&amp;""""&amp;$F$1&amp;"""")))/100,if(B177="""","""",if(A177=$F$1,Installment!H177,Installment!H177*GOOGLEFINANCE(""Currency:""&amp;A177&amp;""""&amp;$F$1&amp;""""))))"),"")</f>
        <v/>
      </c>
      <c r="F177" s="501" t="str">
        <f>IFERROR(__xludf.DUMMYFUNCTION("if(A177=""GBP"",if(B177="""","""",if(A177=$F$1,Installment!I177,Installment!I177*GOOGLEFINANCE(""Currency:""&amp;A177&amp;""""&amp;$F$1&amp;"""")))/100,if(B177="""","""",if(A177=$F$1,Installment!I177,Installment!I177*GOOGLEFINANCE(""Currency:""&amp;A177&amp;""""&amp;$F$1&amp;""""))))"),"")</f>
        <v/>
      </c>
      <c r="G177" s="501" t="str">
        <f t="shared" si="1"/>
        <v/>
      </c>
      <c r="H177" s="501" t="str">
        <f t="shared" si="2"/>
        <v/>
      </c>
      <c r="I177" s="501" t="str">
        <f t="shared" si="3"/>
        <v/>
      </c>
    </row>
    <row r="178">
      <c r="A178" s="501" t="str">
        <f>IFERROR(__xludf.DUMMYFUNCTION("IFERROR(if(ISBLANK(Installment!A178),"""",if(GOOGLEFINANCE(Installment!A178,""Currency"")=""GBX"",""GBP"",GOOGLEFINANCE(Installment!A178,""Currency""))),$F$1)"),"")</f>
        <v/>
      </c>
      <c r="B178" s="501" t="str">
        <f>Installment!A178</f>
        <v/>
      </c>
      <c r="C178" s="501" t="str">
        <f>Installment!B178</f>
        <v/>
      </c>
      <c r="D178" s="501" t="str">
        <f>IFERROR(__xludf.DUMMYFUNCTION("if(A178=""GBP"",if(B178="""","""",if(A178=$F$1,Installment!C178,Installment!C178*GOOGLEFINANCE(""Currency:""&amp;A178&amp;""""&amp;$F$1&amp;"""")))/100,if(B178="""","""",if(A178=$F$1,Installment!C178,Installment!C178*GOOGLEFINANCE(""Currency:""&amp;A178&amp;""""&amp;$F$1&amp;""""))))"),"")</f>
        <v/>
      </c>
      <c r="E178" s="501" t="str">
        <f>IFERROR(__xludf.DUMMYFUNCTION("if(A178=""GBP"",if(B178="""","""",if(A178=$F$1,Installment!H178,Installment!H178*GOOGLEFINANCE(""Currency:""&amp;A178&amp;""""&amp;$F$1&amp;"""")))/100,if(B178="""","""",if(A178=$F$1,Installment!H178,Installment!H178*GOOGLEFINANCE(""Currency:""&amp;A178&amp;""""&amp;$F$1&amp;""""))))"),"")</f>
        <v/>
      </c>
      <c r="F178" s="501" t="str">
        <f>IFERROR(__xludf.DUMMYFUNCTION("if(A178=""GBP"",if(B178="""","""",if(A178=$F$1,Installment!I178,Installment!I178*GOOGLEFINANCE(""Currency:""&amp;A178&amp;""""&amp;$F$1&amp;"""")))/100,if(B178="""","""",if(A178=$F$1,Installment!I178,Installment!I178*GOOGLEFINANCE(""Currency:""&amp;A178&amp;""""&amp;$F$1&amp;""""))))"),"")</f>
        <v/>
      </c>
      <c r="G178" s="501" t="str">
        <f t="shared" si="1"/>
        <v/>
      </c>
      <c r="H178" s="501" t="str">
        <f t="shared" si="2"/>
        <v/>
      </c>
      <c r="I178" s="501" t="str">
        <f t="shared" si="3"/>
        <v/>
      </c>
    </row>
    <row r="179">
      <c r="A179" s="501" t="str">
        <f>IFERROR(__xludf.DUMMYFUNCTION("IFERROR(if(ISBLANK(Installment!A179),"""",if(GOOGLEFINANCE(Installment!A179,""Currency"")=""GBX"",""GBP"",GOOGLEFINANCE(Installment!A179,""Currency""))),$F$1)"),"")</f>
        <v/>
      </c>
      <c r="B179" s="501" t="str">
        <f>Installment!A179</f>
        <v/>
      </c>
      <c r="C179" s="501" t="str">
        <f>Installment!B179</f>
        <v/>
      </c>
      <c r="D179" s="501" t="str">
        <f>IFERROR(__xludf.DUMMYFUNCTION("if(A179=""GBP"",if(B179="""","""",if(A179=$F$1,Installment!C179,Installment!C179*GOOGLEFINANCE(""Currency:""&amp;A179&amp;""""&amp;$F$1&amp;"""")))/100,if(B179="""","""",if(A179=$F$1,Installment!C179,Installment!C179*GOOGLEFINANCE(""Currency:""&amp;A179&amp;""""&amp;$F$1&amp;""""))))"),"")</f>
        <v/>
      </c>
      <c r="E179" s="501" t="str">
        <f>IFERROR(__xludf.DUMMYFUNCTION("if(A179=""GBP"",if(B179="""","""",if(A179=$F$1,Installment!H179,Installment!H179*GOOGLEFINANCE(""Currency:""&amp;A179&amp;""""&amp;$F$1&amp;"""")))/100,if(B179="""","""",if(A179=$F$1,Installment!H179,Installment!H179*GOOGLEFINANCE(""Currency:""&amp;A179&amp;""""&amp;$F$1&amp;""""))))"),"")</f>
        <v/>
      </c>
      <c r="F179" s="501" t="str">
        <f>IFERROR(__xludf.DUMMYFUNCTION("if(A179=""GBP"",if(B179="""","""",if(A179=$F$1,Installment!I179,Installment!I179*GOOGLEFINANCE(""Currency:""&amp;A179&amp;""""&amp;$F$1&amp;"""")))/100,if(B179="""","""",if(A179=$F$1,Installment!I179,Installment!I179*GOOGLEFINANCE(""Currency:""&amp;A179&amp;""""&amp;$F$1&amp;""""))))"),"")</f>
        <v/>
      </c>
      <c r="G179" s="501" t="str">
        <f t="shared" si="1"/>
        <v/>
      </c>
      <c r="H179" s="501" t="str">
        <f t="shared" si="2"/>
        <v/>
      </c>
      <c r="I179" s="501" t="str">
        <f t="shared" si="3"/>
        <v/>
      </c>
    </row>
    <row r="180">
      <c r="A180" s="501" t="str">
        <f>IFERROR(__xludf.DUMMYFUNCTION("IFERROR(if(ISBLANK(Installment!A180),"""",if(GOOGLEFINANCE(Installment!A180,""Currency"")=""GBX"",""GBP"",GOOGLEFINANCE(Installment!A180,""Currency""))),$F$1)"),"")</f>
        <v/>
      </c>
      <c r="B180" s="501" t="str">
        <f>Installment!A180</f>
        <v/>
      </c>
      <c r="C180" s="501" t="str">
        <f>Installment!B180</f>
        <v/>
      </c>
      <c r="D180" s="501" t="str">
        <f>IFERROR(__xludf.DUMMYFUNCTION("if(A180=""GBP"",if(B180="""","""",if(A180=$F$1,Installment!C180,Installment!C180*GOOGLEFINANCE(""Currency:""&amp;A180&amp;""""&amp;$F$1&amp;"""")))/100,if(B180="""","""",if(A180=$F$1,Installment!C180,Installment!C180*GOOGLEFINANCE(""Currency:""&amp;A180&amp;""""&amp;$F$1&amp;""""))))"),"")</f>
        <v/>
      </c>
      <c r="E180" s="501" t="str">
        <f>IFERROR(__xludf.DUMMYFUNCTION("if(A180=""GBP"",if(B180="""","""",if(A180=$F$1,Installment!H180,Installment!H180*GOOGLEFINANCE(""Currency:""&amp;A180&amp;""""&amp;$F$1&amp;"""")))/100,if(B180="""","""",if(A180=$F$1,Installment!H180,Installment!H180*GOOGLEFINANCE(""Currency:""&amp;A180&amp;""""&amp;$F$1&amp;""""))))"),"")</f>
        <v/>
      </c>
      <c r="F180" s="501" t="str">
        <f>IFERROR(__xludf.DUMMYFUNCTION("if(A180=""GBP"",if(B180="""","""",if(A180=$F$1,Installment!I180,Installment!I180*GOOGLEFINANCE(""Currency:""&amp;A180&amp;""""&amp;$F$1&amp;"""")))/100,if(B180="""","""",if(A180=$F$1,Installment!I180,Installment!I180*GOOGLEFINANCE(""Currency:""&amp;A180&amp;""""&amp;$F$1&amp;""""))))"),"")</f>
        <v/>
      </c>
      <c r="G180" s="501" t="str">
        <f t="shared" si="1"/>
        <v/>
      </c>
      <c r="H180" s="501" t="str">
        <f t="shared" si="2"/>
        <v/>
      </c>
      <c r="I180" s="501" t="str">
        <f t="shared" si="3"/>
        <v/>
      </c>
    </row>
    <row r="181">
      <c r="A181" s="501" t="str">
        <f>IFERROR(__xludf.DUMMYFUNCTION("IFERROR(if(ISBLANK(Installment!A181),"""",if(GOOGLEFINANCE(Installment!A181,""Currency"")=""GBX"",""GBP"",GOOGLEFINANCE(Installment!A181,""Currency""))),$F$1)"),"")</f>
        <v/>
      </c>
      <c r="B181" s="501" t="str">
        <f>Installment!A181</f>
        <v/>
      </c>
      <c r="C181" s="501" t="str">
        <f>Installment!B181</f>
        <v/>
      </c>
      <c r="D181" s="501" t="str">
        <f>IFERROR(__xludf.DUMMYFUNCTION("if(A181=""GBP"",if(B181="""","""",if(A181=$F$1,Installment!C181,Installment!C181*GOOGLEFINANCE(""Currency:""&amp;A181&amp;""""&amp;$F$1&amp;"""")))/100,if(B181="""","""",if(A181=$F$1,Installment!C181,Installment!C181*GOOGLEFINANCE(""Currency:""&amp;A181&amp;""""&amp;$F$1&amp;""""))))"),"")</f>
        <v/>
      </c>
      <c r="E181" s="501" t="str">
        <f>IFERROR(__xludf.DUMMYFUNCTION("if(A181=""GBP"",if(B181="""","""",if(A181=$F$1,Installment!H181,Installment!H181*GOOGLEFINANCE(""Currency:""&amp;A181&amp;""""&amp;$F$1&amp;"""")))/100,if(B181="""","""",if(A181=$F$1,Installment!H181,Installment!H181*GOOGLEFINANCE(""Currency:""&amp;A181&amp;""""&amp;$F$1&amp;""""))))"),"")</f>
        <v/>
      </c>
      <c r="F181" s="501" t="str">
        <f>IFERROR(__xludf.DUMMYFUNCTION("if(A181=""GBP"",if(B181="""","""",if(A181=$F$1,Installment!I181,Installment!I181*GOOGLEFINANCE(""Currency:""&amp;A181&amp;""""&amp;$F$1&amp;"""")))/100,if(B181="""","""",if(A181=$F$1,Installment!I181,Installment!I181*GOOGLEFINANCE(""Currency:""&amp;A181&amp;""""&amp;$F$1&amp;""""))))"),"")</f>
        <v/>
      </c>
      <c r="G181" s="501" t="str">
        <f t="shared" si="1"/>
        <v/>
      </c>
      <c r="H181" s="501" t="str">
        <f t="shared" si="2"/>
        <v/>
      </c>
      <c r="I181" s="501" t="str">
        <f t="shared" si="3"/>
        <v/>
      </c>
    </row>
    <row r="182">
      <c r="A182" s="501" t="str">
        <f>IFERROR(__xludf.DUMMYFUNCTION("IFERROR(if(ISBLANK(Installment!A182),"""",if(GOOGLEFINANCE(Installment!A182,""Currency"")=""GBX"",""GBP"",GOOGLEFINANCE(Installment!A182,""Currency""))),$F$1)"),"")</f>
        <v/>
      </c>
      <c r="B182" s="501" t="str">
        <f>Installment!A182</f>
        <v/>
      </c>
      <c r="C182" s="501" t="str">
        <f>Installment!B182</f>
        <v/>
      </c>
      <c r="D182" s="501" t="str">
        <f>IFERROR(__xludf.DUMMYFUNCTION("if(A182=""GBP"",if(B182="""","""",if(A182=$F$1,Installment!C182,Installment!C182*GOOGLEFINANCE(""Currency:""&amp;A182&amp;""""&amp;$F$1&amp;"""")))/100,if(B182="""","""",if(A182=$F$1,Installment!C182,Installment!C182*GOOGLEFINANCE(""Currency:""&amp;A182&amp;""""&amp;$F$1&amp;""""))))"),"")</f>
        <v/>
      </c>
      <c r="E182" s="501" t="str">
        <f>IFERROR(__xludf.DUMMYFUNCTION("if(A182=""GBP"",if(B182="""","""",if(A182=$F$1,Installment!H182,Installment!H182*GOOGLEFINANCE(""Currency:""&amp;A182&amp;""""&amp;$F$1&amp;"""")))/100,if(B182="""","""",if(A182=$F$1,Installment!H182,Installment!H182*GOOGLEFINANCE(""Currency:""&amp;A182&amp;""""&amp;$F$1&amp;""""))))"),"")</f>
        <v/>
      </c>
      <c r="F182" s="501" t="str">
        <f>IFERROR(__xludf.DUMMYFUNCTION("if(A182=""GBP"",if(B182="""","""",if(A182=$F$1,Installment!I182,Installment!I182*GOOGLEFINANCE(""Currency:""&amp;A182&amp;""""&amp;$F$1&amp;"""")))/100,if(B182="""","""",if(A182=$F$1,Installment!I182,Installment!I182*GOOGLEFINANCE(""Currency:""&amp;A182&amp;""""&amp;$F$1&amp;""""))))"),"")</f>
        <v/>
      </c>
      <c r="G182" s="501" t="str">
        <f t="shared" si="1"/>
        <v/>
      </c>
      <c r="H182" s="501" t="str">
        <f t="shared" si="2"/>
        <v/>
      </c>
      <c r="I182" s="501" t="str">
        <f t="shared" si="3"/>
        <v/>
      </c>
    </row>
    <row r="183">
      <c r="A183" s="501" t="str">
        <f>IFERROR(__xludf.DUMMYFUNCTION("IFERROR(if(ISBLANK(Installment!A183),"""",if(GOOGLEFINANCE(Installment!A183,""Currency"")=""GBX"",""GBP"",GOOGLEFINANCE(Installment!A183,""Currency""))),$F$1)"),"")</f>
        <v/>
      </c>
      <c r="B183" s="501" t="str">
        <f>Installment!A183</f>
        <v/>
      </c>
      <c r="C183" s="501" t="str">
        <f>Installment!B183</f>
        <v/>
      </c>
      <c r="D183" s="501" t="str">
        <f>IFERROR(__xludf.DUMMYFUNCTION("if(A183=""GBP"",if(B183="""","""",if(A183=$F$1,Installment!C183,Installment!C183*GOOGLEFINANCE(""Currency:""&amp;A183&amp;""""&amp;$F$1&amp;"""")))/100,if(B183="""","""",if(A183=$F$1,Installment!C183,Installment!C183*GOOGLEFINANCE(""Currency:""&amp;A183&amp;""""&amp;$F$1&amp;""""))))"),"")</f>
        <v/>
      </c>
      <c r="E183" s="501" t="str">
        <f>IFERROR(__xludf.DUMMYFUNCTION("if(A183=""GBP"",if(B183="""","""",if(A183=$F$1,Installment!H183,Installment!H183*GOOGLEFINANCE(""Currency:""&amp;A183&amp;""""&amp;$F$1&amp;"""")))/100,if(B183="""","""",if(A183=$F$1,Installment!H183,Installment!H183*GOOGLEFINANCE(""Currency:""&amp;A183&amp;""""&amp;$F$1&amp;""""))))"),"")</f>
        <v/>
      </c>
      <c r="F183" s="501" t="str">
        <f>IFERROR(__xludf.DUMMYFUNCTION("if(A183=""GBP"",if(B183="""","""",if(A183=$F$1,Installment!I183,Installment!I183*GOOGLEFINANCE(""Currency:""&amp;A183&amp;""""&amp;$F$1&amp;"""")))/100,if(B183="""","""",if(A183=$F$1,Installment!I183,Installment!I183*GOOGLEFINANCE(""Currency:""&amp;A183&amp;""""&amp;$F$1&amp;""""))))"),"")</f>
        <v/>
      </c>
      <c r="G183" s="501" t="str">
        <f t="shared" si="1"/>
        <v/>
      </c>
      <c r="H183" s="501" t="str">
        <f t="shared" si="2"/>
        <v/>
      </c>
      <c r="I183" s="501" t="str">
        <f t="shared" si="3"/>
        <v/>
      </c>
    </row>
    <row r="184">
      <c r="A184" s="501" t="str">
        <f>IFERROR(__xludf.DUMMYFUNCTION("IFERROR(if(ISBLANK(Installment!A184),"""",if(GOOGLEFINANCE(Installment!A184,""Currency"")=""GBX"",""GBP"",GOOGLEFINANCE(Installment!A184,""Currency""))),$F$1)"),"")</f>
        <v/>
      </c>
      <c r="B184" s="501" t="str">
        <f>Installment!A184</f>
        <v/>
      </c>
      <c r="C184" s="501" t="str">
        <f>Installment!B184</f>
        <v/>
      </c>
      <c r="D184" s="501" t="str">
        <f>IFERROR(__xludf.DUMMYFUNCTION("if(A184=""GBP"",if(B184="""","""",if(A184=$F$1,Installment!C184,Installment!C184*GOOGLEFINANCE(""Currency:""&amp;A184&amp;""""&amp;$F$1&amp;"""")))/100,if(B184="""","""",if(A184=$F$1,Installment!C184,Installment!C184*GOOGLEFINANCE(""Currency:""&amp;A184&amp;""""&amp;$F$1&amp;""""))))"),"")</f>
        <v/>
      </c>
      <c r="E184" s="501" t="str">
        <f>IFERROR(__xludf.DUMMYFUNCTION("if(A184=""GBP"",if(B184="""","""",if(A184=$F$1,Installment!H184,Installment!H184*GOOGLEFINANCE(""Currency:""&amp;A184&amp;""""&amp;$F$1&amp;"""")))/100,if(B184="""","""",if(A184=$F$1,Installment!H184,Installment!H184*GOOGLEFINANCE(""Currency:""&amp;A184&amp;""""&amp;$F$1&amp;""""))))"),"")</f>
        <v/>
      </c>
      <c r="F184" s="501" t="str">
        <f>IFERROR(__xludf.DUMMYFUNCTION("if(A184=""GBP"",if(B184="""","""",if(A184=$F$1,Installment!I184,Installment!I184*GOOGLEFINANCE(""Currency:""&amp;A184&amp;""""&amp;$F$1&amp;"""")))/100,if(B184="""","""",if(A184=$F$1,Installment!I184,Installment!I184*GOOGLEFINANCE(""Currency:""&amp;A184&amp;""""&amp;$F$1&amp;""""))))"),"")</f>
        <v/>
      </c>
      <c r="G184" s="501" t="str">
        <f t="shared" si="1"/>
        <v/>
      </c>
      <c r="H184" s="501" t="str">
        <f t="shared" si="2"/>
        <v/>
      </c>
      <c r="I184" s="501" t="str">
        <f t="shared" si="3"/>
        <v/>
      </c>
    </row>
    <row r="185">
      <c r="A185" s="501" t="str">
        <f>IFERROR(__xludf.DUMMYFUNCTION("IFERROR(if(ISBLANK(Installment!A185),"""",if(GOOGLEFINANCE(Installment!A185,""Currency"")=""GBX"",""GBP"",GOOGLEFINANCE(Installment!A185,""Currency""))),$F$1)"),"")</f>
        <v/>
      </c>
      <c r="B185" s="501" t="str">
        <f>Installment!A185</f>
        <v/>
      </c>
      <c r="C185" s="501" t="str">
        <f>Installment!B185</f>
        <v/>
      </c>
      <c r="D185" s="501" t="str">
        <f>IFERROR(__xludf.DUMMYFUNCTION("if(A185=""GBP"",if(B185="""","""",if(A185=$F$1,Installment!C185,Installment!C185*GOOGLEFINANCE(""Currency:""&amp;A185&amp;""""&amp;$F$1&amp;"""")))/100,if(B185="""","""",if(A185=$F$1,Installment!C185,Installment!C185*GOOGLEFINANCE(""Currency:""&amp;A185&amp;""""&amp;$F$1&amp;""""))))"),"")</f>
        <v/>
      </c>
      <c r="E185" s="501" t="str">
        <f>IFERROR(__xludf.DUMMYFUNCTION("if(A185=""GBP"",if(B185="""","""",if(A185=$F$1,Installment!H185,Installment!H185*GOOGLEFINANCE(""Currency:""&amp;A185&amp;""""&amp;$F$1&amp;"""")))/100,if(B185="""","""",if(A185=$F$1,Installment!H185,Installment!H185*GOOGLEFINANCE(""Currency:""&amp;A185&amp;""""&amp;$F$1&amp;""""))))"),"")</f>
        <v/>
      </c>
      <c r="F185" s="501" t="str">
        <f>IFERROR(__xludf.DUMMYFUNCTION("if(A185=""GBP"",if(B185="""","""",if(A185=$F$1,Installment!I185,Installment!I185*GOOGLEFINANCE(""Currency:""&amp;A185&amp;""""&amp;$F$1&amp;"""")))/100,if(B185="""","""",if(A185=$F$1,Installment!I185,Installment!I185*GOOGLEFINANCE(""Currency:""&amp;A185&amp;""""&amp;$F$1&amp;""""))))"),"")</f>
        <v/>
      </c>
      <c r="G185" s="501" t="str">
        <f t="shared" si="1"/>
        <v/>
      </c>
      <c r="H185" s="501" t="str">
        <f t="shared" si="2"/>
        <v/>
      </c>
      <c r="I185" s="501" t="str">
        <f t="shared" si="3"/>
        <v/>
      </c>
    </row>
    <row r="186">
      <c r="A186" s="501" t="str">
        <f>IFERROR(__xludf.DUMMYFUNCTION("IFERROR(if(ISBLANK(Installment!A186),"""",if(GOOGLEFINANCE(Installment!A186,""Currency"")=""GBX"",""GBP"",GOOGLEFINANCE(Installment!A186,""Currency""))),$F$1)"),"")</f>
        <v/>
      </c>
      <c r="B186" s="501" t="str">
        <f>Installment!A186</f>
        <v/>
      </c>
      <c r="C186" s="501" t="str">
        <f>Installment!B186</f>
        <v/>
      </c>
      <c r="D186" s="501" t="str">
        <f>IFERROR(__xludf.DUMMYFUNCTION("if(A186=""GBP"",if(B186="""","""",if(A186=$F$1,Installment!C186,Installment!C186*GOOGLEFINANCE(""Currency:""&amp;A186&amp;""""&amp;$F$1&amp;"""")))/100,if(B186="""","""",if(A186=$F$1,Installment!C186,Installment!C186*GOOGLEFINANCE(""Currency:""&amp;A186&amp;""""&amp;$F$1&amp;""""))))"),"")</f>
        <v/>
      </c>
      <c r="E186" s="501" t="str">
        <f>IFERROR(__xludf.DUMMYFUNCTION("if(A186=""GBP"",if(B186="""","""",if(A186=$F$1,Installment!H186,Installment!H186*GOOGLEFINANCE(""Currency:""&amp;A186&amp;""""&amp;$F$1&amp;"""")))/100,if(B186="""","""",if(A186=$F$1,Installment!H186,Installment!H186*GOOGLEFINANCE(""Currency:""&amp;A186&amp;""""&amp;$F$1&amp;""""))))"),"")</f>
        <v/>
      </c>
      <c r="F186" s="501" t="str">
        <f>IFERROR(__xludf.DUMMYFUNCTION("if(A186=""GBP"",if(B186="""","""",if(A186=$F$1,Installment!I186,Installment!I186*GOOGLEFINANCE(""Currency:""&amp;A186&amp;""""&amp;$F$1&amp;"""")))/100,if(B186="""","""",if(A186=$F$1,Installment!I186,Installment!I186*GOOGLEFINANCE(""Currency:""&amp;A186&amp;""""&amp;$F$1&amp;""""))))"),"")</f>
        <v/>
      </c>
      <c r="G186" s="501" t="str">
        <f t="shared" si="1"/>
        <v/>
      </c>
      <c r="H186" s="501" t="str">
        <f t="shared" si="2"/>
        <v/>
      </c>
      <c r="I186" s="501" t="str">
        <f t="shared" si="3"/>
        <v/>
      </c>
    </row>
    <row r="187">
      <c r="A187" s="501" t="str">
        <f>IFERROR(__xludf.DUMMYFUNCTION("IFERROR(if(ISBLANK(Installment!A187),"""",if(GOOGLEFINANCE(Installment!A187,""Currency"")=""GBX"",""GBP"",GOOGLEFINANCE(Installment!A187,""Currency""))),$F$1)"),"")</f>
        <v/>
      </c>
      <c r="B187" s="501" t="str">
        <f>Installment!A187</f>
        <v/>
      </c>
      <c r="C187" s="501" t="str">
        <f>Installment!B187</f>
        <v/>
      </c>
      <c r="D187" s="501" t="str">
        <f>IFERROR(__xludf.DUMMYFUNCTION("if(A187=""GBP"",if(B187="""","""",if(A187=$F$1,Installment!C187,Installment!C187*GOOGLEFINANCE(""Currency:""&amp;A187&amp;""""&amp;$F$1&amp;"""")))/100,if(B187="""","""",if(A187=$F$1,Installment!C187,Installment!C187*GOOGLEFINANCE(""Currency:""&amp;A187&amp;""""&amp;$F$1&amp;""""))))"),"")</f>
        <v/>
      </c>
      <c r="E187" s="501" t="str">
        <f>IFERROR(__xludf.DUMMYFUNCTION("if(A187=""GBP"",if(B187="""","""",if(A187=$F$1,Installment!H187,Installment!H187*GOOGLEFINANCE(""Currency:""&amp;A187&amp;""""&amp;$F$1&amp;"""")))/100,if(B187="""","""",if(A187=$F$1,Installment!H187,Installment!H187*GOOGLEFINANCE(""Currency:""&amp;A187&amp;""""&amp;$F$1&amp;""""))))"),"")</f>
        <v/>
      </c>
      <c r="F187" s="501" t="str">
        <f>IFERROR(__xludf.DUMMYFUNCTION("if(A187=""GBP"",if(B187="""","""",if(A187=$F$1,Installment!I187,Installment!I187*GOOGLEFINANCE(""Currency:""&amp;A187&amp;""""&amp;$F$1&amp;"""")))/100,if(B187="""","""",if(A187=$F$1,Installment!I187,Installment!I187*GOOGLEFINANCE(""Currency:""&amp;A187&amp;""""&amp;$F$1&amp;""""))))"),"")</f>
        <v/>
      </c>
      <c r="G187" s="501" t="str">
        <f t="shared" si="1"/>
        <v/>
      </c>
      <c r="H187" s="501" t="str">
        <f t="shared" si="2"/>
        <v/>
      </c>
      <c r="I187" s="501" t="str">
        <f t="shared" si="3"/>
        <v/>
      </c>
    </row>
    <row r="188">
      <c r="A188" s="501" t="str">
        <f>IFERROR(__xludf.DUMMYFUNCTION("IFERROR(if(ISBLANK(Installment!A188),"""",if(GOOGLEFINANCE(Installment!A188,""Currency"")=""GBX"",""GBP"",GOOGLEFINANCE(Installment!A188,""Currency""))),$F$1)"),"")</f>
        <v/>
      </c>
      <c r="B188" s="501" t="str">
        <f>Installment!A188</f>
        <v/>
      </c>
      <c r="C188" s="501" t="str">
        <f>Installment!B188</f>
        <v/>
      </c>
      <c r="D188" s="501" t="str">
        <f>IFERROR(__xludf.DUMMYFUNCTION("if(A188=""GBP"",if(B188="""","""",if(A188=$F$1,Installment!C188,Installment!C188*GOOGLEFINANCE(""Currency:""&amp;A188&amp;""""&amp;$F$1&amp;"""")))/100,if(B188="""","""",if(A188=$F$1,Installment!C188,Installment!C188*GOOGLEFINANCE(""Currency:""&amp;A188&amp;""""&amp;$F$1&amp;""""))))"),"")</f>
        <v/>
      </c>
      <c r="E188" s="501" t="str">
        <f>IFERROR(__xludf.DUMMYFUNCTION("if(A188=""GBP"",if(B188="""","""",if(A188=$F$1,Installment!H188,Installment!H188*GOOGLEFINANCE(""Currency:""&amp;A188&amp;""""&amp;$F$1&amp;"""")))/100,if(B188="""","""",if(A188=$F$1,Installment!H188,Installment!H188*GOOGLEFINANCE(""Currency:""&amp;A188&amp;""""&amp;$F$1&amp;""""))))"),"")</f>
        <v/>
      </c>
      <c r="F188" s="501" t="str">
        <f>IFERROR(__xludf.DUMMYFUNCTION("if(A188=""GBP"",if(B188="""","""",if(A188=$F$1,Installment!I188,Installment!I188*GOOGLEFINANCE(""Currency:""&amp;A188&amp;""""&amp;$F$1&amp;"""")))/100,if(B188="""","""",if(A188=$F$1,Installment!I188,Installment!I188*GOOGLEFINANCE(""Currency:""&amp;A188&amp;""""&amp;$F$1&amp;""""))))"),"")</f>
        <v/>
      </c>
      <c r="G188" s="501" t="str">
        <f t="shared" si="1"/>
        <v/>
      </c>
      <c r="H188" s="501" t="str">
        <f t="shared" si="2"/>
        <v/>
      </c>
      <c r="I188" s="501" t="str">
        <f t="shared" si="3"/>
        <v/>
      </c>
    </row>
    <row r="189">
      <c r="A189" s="501" t="str">
        <f>IFERROR(__xludf.DUMMYFUNCTION("IFERROR(if(ISBLANK(Installment!A189),"""",if(GOOGLEFINANCE(Installment!A189,""Currency"")=""GBX"",""GBP"",GOOGLEFINANCE(Installment!A189,""Currency""))),$F$1)"),"")</f>
        <v/>
      </c>
      <c r="B189" s="501" t="str">
        <f>Installment!A189</f>
        <v/>
      </c>
      <c r="C189" s="501" t="str">
        <f>Installment!B189</f>
        <v/>
      </c>
      <c r="D189" s="501" t="str">
        <f>IFERROR(__xludf.DUMMYFUNCTION("if(A189=""GBP"",if(B189="""","""",if(A189=$F$1,Installment!C189,Installment!C189*GOOGLEFINANCE(""Currency:""&amp;A189&amp;""""&amp;$F$1&amp;"""")))/100,if(B189="""","""",if(A189=$F$1,Installment!C189,Installment!C189*GOOGLEFINANCE(""Currency:""&amp;A189&amp;""""&amp;$F$1&amp;""""))))"),"")</f>
        <v/>
      </c>
      <c r="E189" s="501" t="str">
        <f>IFERROR(__xludf.DUMMYFUNCTION("if(A189=""GBP"",if(B189="""","""",if(A189=$F$1,Installment!H189,Installment!H189*GOOGLEFINANCE(""Currency:""&amp;A189&amp;""""&amp;$F$1&amp;"""")))/100,if(B189="""","""",if(A189=$F$1,Installment!H189,Installment!H189*GOOGLEFINANCE(""Currency:""&amp;A189&amp;""""&amp;$F$1&amp;""""))))"),"")</f>
        <v/>
      </c>
      <c r="F189" s="501" t="str">
        <f>IFERROR(__xludf.DUMMYFUNCTION("if(A189=""GBP"",if(B189="""","""",if(A189=$F$1,Installment!I189,Installment!I189*GOOGLEFINANCE(""Currency:""&amp;A189&amp;""""&amp;$F$1&amp;"""")))/100,if(B189="""","""",if(A189=$F$1,Installment!I189,Installment!I189*GOOGLEFINANCE(""Currency:""&amp;A189&amp;""""&amp;$F$1&amp;""""))))"),"")</f>
        <v/>
      </c>
      <c r="G189" s="501" t="str">
        <f t="shared" si="1"/>
        <v/>
      </c>
      <c r="H189" s="501" t="str">
        <f t="shared" si="2"/>
        <v/>
      </c>
      <c r="I189" s="501" t="str">
        <f t="shared" si="3"/>
        <v/>
      </c>
    </row>
    <row r="190">
      <c r="A190" s="501" t="str">
        <f>IFERROR(__xludf.DUMMYFUNCTION("IFERROR(if(ISBLANK(Installment!A190),"""",if(GOOGLEFINANCE(Installment!A190,""Currency"")=""GBX"",""GBP"",GOOGLEFINANCE(Installment!A190,""Currency""))),$F$1)"),"")</f>
        <v/>
      </c>
      <c r="B190" s="501" t="str">
        <f>Installment!A190</f>
        <v/>
      </c>
      <c r="C190" s="501" t="str">
        <f>Installment!B190</f>
        <v/>
      </c>
      <c r="D190" s="501" t="str">
        <f>IFERROR(__xludf.DUMMYFUNCTION("if(A190=""GBP"",if(B190="""","""",if(A190=$F$1,Installment!C190,Installment!C190*GOOGLEFINANCE(""Currency:""&amp;A190&amp;""""&amp;$F$1&amp;"""")))/100,if(B190="""","""",if(A190=$F$1,Installment!C190,Installment!C190*GOOGLEFINANCE(""Currency:""&amp;A190&amp;""""&amp;$F$1&amp;""""))))"),"")</f>
        <v/>
      </c>
      <c r="E190" s="501" t="str">
        <f>IFERROR(__xludf.DUMMYFUNCTION("if(A190=""GBP"",if(B190="""","""",if(A190=$F$1,Installment!H190,Installment!H190*GOOGLEFINANCE(""Currency:""&amp;A190&amp;""""&amp;$F$1&amp;"""")))/100,if(B190="""","""",if(A190=$F$1,Installment!H190,Installment!H190*GOOGLEFINANCE(""Currency:""&amp;A190&amp;""""&amp;$F$1&amp;""""))))"),"")</f>
        <v/>
      </c>
      <c r="F190" s="501" t="str">
        <f>IFERROR(__xludf.DUMMYFUNCTION("if(A190=""GBP"",if(B190="""","""",if(A190=$F$1,Installment!I190,Installment!I190*GOOGLEFINANCE(""Currency:""&amp;A190&amp;""""&amp;$F$1&amp;"""")))/100,if(B190="""","""",if(A190=$F$1,Installment!I190,Installment!I190*GOOGLEFINANCE(""Currency:""&amp;A190&amp;""""&amp;$F$1&amp;""""))))"),"")</f>
        <v/>
      </c>
      <c r="G190" s="501" t="str">
        <f t="shared" si="1"/>
        <v/>
      </c>
      <c r="H190" s="501" t="str">
        <f t="shared" si="2"/>
        <v/>
      </c>
      <c r="I190" s="501" t="str">
        <f t="shared" si="3"/>
        <v/>
      </c>
    </row>
    <row r="191">
      <c r="A191" s="501" t="str">
        <f>IFERROR(__xludf.DUMMYFUNCTION("IFERROR(if(ISBLANK(Installment!A191),"""",if(GOOGLEFINANCE(Installment!A191,""Currency"")=""GBX"",""GBP"",GOOGLEFINANCE(Installment!A191,""Currency""))),$F$1)"),"")</f>
        <v/>
      </c>
      <c r="B191" s="501" t="str">
        <f>Installment!A191</f>
        <v/>
      </c>
      <c r="C191" s="501" t="str">
        <f>Installment!B191</f>
        <v/>
      </c>
      <c r="D191" s="501" t="str">
        <f>IFERROR(__xludf.DUMMYFUNCTION("if(A191=""GBP"",if(B191="""","""",if(A191=$F$1,Installment!C191,Installment!C191*GOOGLEFINANCE(""Currency:""&amp;A191&amp;""""&amp;$F$1&amp;"""")))/100,if(B191="""","""",if(A191=$F$1,Installment!C191,Installment!C191*GOOGLEFINANCE(""Currency:""&amp;A191&amp;""""&amp;$F$1&amp;""""))))"),"")</f>
        <v/>
      </c>
      <c r="E191" s="501" t="str">
        <f>IFERROR(__xludf.DUMMYFUNCTION("if(A191=""GBP"",if(B191="""","""",if(A191=$F$1,Installment!H191,Installment!H191*GOOGLEFINANCE(""Currency:""&amp;A191&amp;""""&amp;$F$1&amp;"""")))/100,if(B191="""","""",if(A191=$F$1,Installment!H191,Installment!H191*GOOGLEFINANCE(""Currency:""&amp;A191&amp;""""&amp;$F$1&amp;""""))))"),"")</f>
        <v/>
      </c>
      <c r="F191" s="501" t="str">
        <f>IFERROR(__xludf.DUMMYFUNCTION("if(A191=""GBP"",if(B191="""","""",if(A191=$F$1,Installment!I191,Installment!I191*GOOGLEFINANCE(""Currency:""&amp;A191&amp;""""&amp;$F$1&amp;"""")))/100,if(B191="""","""",if(A191=$F$1,Installment!I191,Installment!I191*GOOGLEFINANCE(""Currency:""&amp;A191&amp;""""&amp;$F$1&amp;""""))))"),"")</f>
        <v/>
      </c>
      <c r="G191" s="501" t="str">
        <f t="shared" si="1"/>
        <v/>
      </c>
      <c r="H191" s="501" t="str">
        <f t="shared" si="2"/>
        <v/>
      </c>
      <c r="I191" s="501" t="str">
        <f t="shared" si="3"/>
        <v/>
      </c>
    </row>
    <row r="192">
      <c r="A192" s="501" t="str">
        <f>IFERROR(__xludf.DUMMYFUNCTION("IFERROR(if(ISBLANK(Installment!A192),"""",if(GOOGLEFINANCE(Installment!A192,""Currency"")=""GBX"",""GBP"",GOOGLEFINANCE(Installment!A192,""Currency""))),$F$1)"),"")</f>
        <v/>
      </c>
      <c r="B192" s="501" t="str">
        <f>Installment!A192</f>
        <v/>
      </c>
      <c r="C192" s="501" t="str">
        <f>Installment!B192</f>
        <v/>
      </c>
      <c r="D192" s="501" t="str">
        <f>IFERROR(__xludf.DUMMYFUNCTION("if(A192=""GBP"",if(B192="""","""",if(A192=$F$1,Installment!C192,Installment!C192*GOOGLEFINANCE(""Currency:""&amp;A192&amp;""""&amp;$F$1&amp;"""")))/100,if(B192="""","""",if(A192=$F$1,Installment!C192,Installment!C192*GOOGLEFINANCE(""Currency:""&amp;A192&amp;""""&amp;$F$1&amp;""""))))"),"")</f>
        <v/>
      </c>
      <c r="E192" s="501" t="str">
        <f>IFERROR(__xludf.DUMMYFUNCTION("if(A192=""GBP"",if(B192="""","""",if(A192=$F$1,Installment!H192,Installment!H192*GOOGLEFINANCE(""Currency:""&amp;A192&amp;""""&amp;$F$1&amp;"""")))/100,if(B192="""","""",if(A192=$F$1,Installment!H192,Installment!H192*GOOGLEFINANCE(""Currency:""&amp;A192&amp;""""&amp;$F$1&amp;""""))))"),"")</f>
        <v/>
      </c>
      <c r="F192" s="501" t="str">
        <f>IFERROR(__xludf.DUMMYFUNCTION("if(A192=""GBP"",if(B192="""","""",if(A192=$F$1,Installment!I192,Installment!I192*GOOGLEFINANCE(""Currency:""&amp;A192&amp;""""&amp;$F$1&amp;"""")))/100,if(B192="""","""",if(A192=$F$1,Installment!I192,Installment!I192*GOOGLEFINANCE(""Currency:""&amp;A192&amp;""""&amp;$F$1&amp;""""))))"),"")</f>
        <v/>
      </c>
      <c r="G192" s="501" t="str">
        <f t="shared" si="1"/>
        <v/>
      </c>
      <c r="H192" s="501" t="str">
        <f t="shared" si="2"/>
        <v/>
      </c>
      <c r="I192" s="501" t="str">
        <f t="shared" si="3"/>
        <v/>
      </c>
    </row>
    <row r="193">
      <c r="A193" s="501" t="str">
        <f>IFERROR(__xludf.DUMMYFUNCTION("IFERROR(if(ISBLANK(Installment!A193),"""",if(GOOGLEFINANCE(Installment!A193,""Currency"")=""GBX"",""GBP"",GOOGLEFINANCE(Installment!A193,""Currency""))),$F$1)"),"")</f>
        <v/>
      </c>
      <c r="B193" s="501" t="str">
        <f>Installment!A193</f>
        <v/>
      </c>
      <c r="C193" s="501" t="str">
        <f>Installment!B193</f>
        <v/>
      </c>
      <c r="D193" s="501" t="str">
        <f>IFERROR(__xludf.DUMMYFUNCTION("if(A193=""GBP"",if(B193="""","""",if(A193=$F$1,Installment!C193,Installment!C193*GOOGLEFINANCE(""Currency:""&amp;A193&amp;""""&amp;$F$1&amp;"""")))/100,if(B193="""","""",if(A193=$F$1,Installment!C193,Installment!C193*GOOGLEFINANCE(""Currency:""&amp;A193&amp;""""&amp;$F$1&amp;""""))))"),"")</f>
        <v/>
      </c>
      <c r="E193" s="501" t="str">
        <f>IFERROR(__xludf.DUMMYFUNCTION("if(A193=""GBP"",if(B193="""","""",if(A193=$F$1,Installment!H193,Installment!H193*GOOGLEFINANCE(""Currency:""&amp;A193&amp;""""&amp;$F$1&amp;"""")))/100,if(B193="""","""",if(A193=$F$1,Installment!H193,Installment!H193*GOOGLEFINANCE(""Currency:""&amp;A193&amp;""""&amp;$F$1&amp;""""))))"),"")</f>
        <v/>
      </c>
      <c r="F193" s="501" t="str">
        <f>IFERROR(__xludf.DUMMYFUNCTION("if(A193=""GBP"",if(B193="""","""",if(A193=$F$1,Installment!I193,Installment!I193*GOOGLEFINANCE(""Currency:""&amp;A193&amp;""""&amp;$F$1&amp;"""")))/100,if(B193="""","""",if(A193=$F$1,Installment!I193,Installment!I193*GOOGLEFINANCE(""Currency:""&amp;A193&amp;""""&amp;$F$1&amp;""""))))"),"")</f>
        <v/>
      </c>
      <c r="G193" s="501" t="str">
        <f t="shared" si="1"/>
        <v/>
      </c>
      <c r="H193" s="501" t="str">
        <f t="shared" si="2"/>
        <v/>
      </c>
      <c r="I193" s="501" t="str">
        <f t="shared" si="3"/>
        <v/>
      </c>
    </row>
    <row r="194">
      <c r="A194" s="501" t="str">
        <f>IFERROR(__xludf.DUMMYFUNCTION("IFERROR(if(ISBLANK(Installment!A194),"""",if(GOOGLEFINANCE(Installment!A194,""Currency"")=""GBX"",""GBP"",GOOGLEFINANCE(Installment!A194,""Currency""))),$F$1)"),"")</f>
        <v/>
      </c>
      <c r="B194" s="501" t="str">
        <f>Installment!A194</f>
        <v/>
      </c>
      <c r="C194" s="501" t="str">
        <f>Installment!B194</f>
        <v/>
      </c>
      <c r="D194" s="501" t="str">
        <f>IFERROR(__xludf.DUMMYFUNCTION("if(A194=""GBP"",if(B194="""","""",if(A194=$F$1,Installment!C194,Installment!C194*GOOGLEFINANCE(""Currency:""&amp;A194&amp;""""&amp;$F$1&amp;"""")))/100,if(B194="""","""",if(A194=$F$1,Installment!C194,Installment!C194*GOOGLEFINANCE(""Currency:""&amp;A194&amp;""""&amp;$F$1&amp;""""))))"),"")</f>
        <v/>
      </c>
      <c r="E194" s="501" t="str">
        <f>IFERROR(__xludf.DUMMYFUNCTION("if(A194=""GBP"",if(B194="""","""",if(A194=$F$1,Installment!H194,Installment!H194*GOOGLEFINANCE(""Currency:""&amp;A194&amp;""""&amp;$F$1&amp;"""")))/100,if(B194="""","""",if(A194=$F$1,Installment!H194,Installment!H194*GOOGLEFINANCE(""Currency:""&amp;A194&amp;""""&amp;$F$1&amp;""""))))"),"")</f>
        <v/>
      </c>
      <c r="F194" s="501" t="str">
        <f>IFERROR(__xludf.DUMMYFUNCTION("if(A194=""GBP"",if(B194="""","""",if(A194=$F$1,Installment!I194,Installment!I194*GOOGLEFINANCE(""Currency:""&amp;A194&amp;""""&amp;$F$1&amp;"""")))/100,if(B194="""","""",if(A194=$F$1,Installment!I194,Installment!I194*GOOGLEFINANCE(""Currency:""&amp;A194&amp;""""&amp;$F$1&amp;""""))))"),"")</f>
        <v/>
      </c>
      <c r="G194" s="501" t="str">
        <f t="shared" si="1"/>
        <v/>
      </c>
      <c r="H194" s="501" t="str">
        <f t="shared" si="2"/>
        <v/>
      </c>
      <c r="I194" s="501" t="str">
        <f t="shared" si="3"/>
        <v/>
      </c>
    </row>
    <row r="195">
      <c r="A195" s="501" t="str">
        <f>IFERROR(__xludf.DUMMYFUNCTION("IFERROR(if(ISBLANK(Installment!A195),"""",if(GOOGLEFINANCE(Installment!A195,""Currency"")=""GBX"",""GBP"",GOOGLEFINANCE(Installment!A195,""Currency""))),$F$1)"),"")</f>
        <v/>
      </c>
      <c r="B195" s="501" t="str">
        <f>Installment!A195</f>
        <v/>
      </c>
      <c r="C195" s="501" t="str">
        <f>Installment!B195</f>
        <v/>
      </c>
      <c r="D195" s="501" t="str">
        <f>IFERROR(__xludf.DUMMYFUNCTION("if(A195=""GBP"",if(B195="""","""",if(A195=$F$1,Installment!C195,Installment!C195*GOOGLEFINANCE(""Currency:""&amp;A195&amp;""""&amp;$F$1&amp;"""")))/100,if(B195="""","""",if(A195=$F$1,Installment!C195,Installment!C195*GOOGLEFINANCE(""Currency:""&amp;A195&amp;""""&amp;$F$1&amp;""""))))"),"")</f>
        <v/>
      </c>
      <c r="E195" s="501" t="str">
        <f>IFERROR(__xludf.DUMMYFUNCTION("if(A195=""GBP"",if(B195="""","""",if(A195=$F$1,Installment!H195,Installment!H195*GOOGLEFINANCE(""Currency:""&amp;A195&amp;""""&amp;$F$1&amp;"""")))/100,if(B195="""","""",if(A195=$F$1,Installment!H195,Installment!H195*GOOGLEFINANCE(""Currency:""&amp;A195&amp;""""&amp;$F$1&amp;""""))))"),"")</f>
        <v/>
      </c>
      <c r="F195" s="501" t="str">
        <f>IFERROR(__xludf.DUMMYFUNCTION("if(A195=""GBP"",if(B195="""","""",if(A195=$F$1,Installment!I195,Installment!I195*GOOGLEFINANCE(""Currency:""&amp;A195&amp;""""&amp;$F$1&amp;"""")))/100,if(B195="""","""",if(A195=$F$1,Installment!I195,Installment!I195*GOOGLEFINANCE(""Currency:""&amp;A195&amp;""""&amp;$F$1&amp;""""))))"),"")</f>
        <v/>
      </c>
      <c r="G195" s="501" t="str">
        <f t="shared" si="1"/>
        <v/>
      </c>
      <c r="H195" s="501" t="str">
        <f t="shared" si="2"/>
        <v/>
      </c>
      <c r="I195" s="501" t="str">
        <f t="shared" si="3"/>
        <v/>
      </c>
    </row>
    <row r="196">
      <c r="A196" s="501" t="str">
        <f>IFERROR(__xludf.DUMMYFUNCTION("IFERROR(if(ISBLANK(Installment!A196),"""",if(GOOGLEFINANCE(Installment!A196,""Currency"")=""GBX"",""GBP"",GOOGLEFINANCE(Installment!A196,""Currency""))),$F$1)"),"")</f>
        <v/>
      </c>
      <c r="B196" s="501" t="str">
        <f>Installment!A196</f>
        <v/>
      </c>
      <c r="C196" s="501" t="str">
        <f>Installment!B196</f>
        <v/>
      </c>
      <c r="D196" s="501" t="str">
        <f>IFERROR(__xludf.DUMMYFUNCTION("if(A196=""GBP"",if(B196="""","""",if(A196=$F$1,Installment!C196,Installment!C196*GOOGLEFINANCE(""Currency:""&amp;A196&amp;""""&amp;$F$1&amp;"""")))/100,if(B196="""","""",if(A196=$F$1,Installment!C196,Installment!C196*GOOGLEFINANCE(""Currency:""&amp;A196&amp;""""&amp;$F$1&amp;""""))))"),"")</f>
        <v/>
      </c>
      <c r="E196" s="501" t="str">
        <f>IFERROR(__xludf.DUMMYFUNCTION("if(A196=""GBP"",if(B196="""","""",if(A196=$F$1,Installment!H196,Installment!H196*GOOGLEFINANCE(""Currency:""&amp;A196&amp;""""&amp;$F$1&amp;"""")))/100,if(B196="""","""",if(A196=$F$1,Installment!H196,Installment!H196*GOOGLEFINANCE(""Currency:""&amp;A196&amp;""""&amp;$F$1&amp;""""))))"),"")</f>
        <v/>
      </c>
      <c r="F196" s="501" t="str">
        <f>IFERROR(__xludf.DUMMYFUNCTION("if(A196=""GBP"",if(B196="""","""",if(A196=$F$1,Installment!I196,Installment!I196*GOOGLEFINANCE(""Currency:""&amp;A196&amp;""""&amp;$F$1&amp;"""")))/100,if(B196="""","""",if(A196=$F$1,Installment!I196,Installment!I196*GOOGLEFINANCE(""Currency:""&amp;A196&amp;""""&amp;$F$1&amp;""""))))"),"")</f>
        <v/>
      </c>
      <c r="G196" s="501" t="str">
        <f t="shared" si="1"/>
        <v/>
      </c>
      <c r="H196" s="501" t="str">
        <f t="shared" si="2"/>
        <v/>
      </c>
      <c r="I196" s="501" t="str">
        <f t="shared" si="3"/>
        <v/>
      </c>
    </row>
    <row r="197">
      <c r="A197" s="501" t="str">
        <f>IFERROR(__xludf.DUMMYFUNCTION("IFERROR(if(ISBLANK(Installment!A197),"""",if(GOOGLEFINANCE(Installment!A197,""Currency"")=""GBX"",""GBP"",GOOGLEFINANCE(Installment!A197,""Currency""))),$F$1)"),"")</f>
        <v/>
      </c>
      <c r="B197" s="501" t="str">
        <f>Installment!A197</f>
        <v/>
      </c>
      <c r="C197" s="501" t="str">
        <f>Installment!B197</f>
        <v/>
      </c>
      <c r="D197" s="501" t="str">
        <f>IFERROR(__xludf.DUMMYFUNCTION("if(A197=""GBP"",if(B197="""","""",if(A197=$F$1,Installment!C197,Installment!C197*GOOGLEFINANCE(""Currency:""&amp;A197&amp;""""&amp;$F$1&amp;"""")))/100,if(B197="""","""",if(A197=$F$1,Installment!C197,Installment!C197*GOOGLEFINANCE(""Currency:""&amp;A197&amp;""""&amp;$F$1&amp;""""))))"),"")</f>
        <v/>
      </c>
      <c r="E197" s="501" t="str">
        <f>IFERROR(__xludf.DUMMYFUNCTION("if(A197=""GBP"",if(B197="""","""",if(A197=$F$1,Installment!H197,Installment!H197*GOOGLEFINANCE(""Currency:""&amp;A197&amp;""""&amp;$F$1&amp;"""")))/100,if(B197="""","""",if(A197=$F$1,Installment!H197,Installment!H197*GOOGLEFINANCE(""Currency:""&amp;A197&amp;""""&amp;$F$1&amp;""""))))"),"")</f>
        <v/>
      </c>
      <c r="F197" s="501" t="str">
        <f>IFERROR(__xludf.DUMMYFUNCTION("if(A197=""GBP"",if(B197="""","""",if(A197=$F$1,Installment!I197,Installment!I197*GOOGLEFINANCE(""Currency:""&amp;A197&amp;""""&amp;$F$1&amp;"""")))/100,if(B197="""","""",if(A197=$F$1,Installment!I197,Installment!I197*GOOGLEFINANCE(""Currency:""&amp;A197&amp;""""&amp;$F$1&amp;""""))))"),"")</f>
        <v/>
      </c>
      <c r="G197" s="501" t="str">
        <f t="shared" si="1"/>
        <v/>
      </c>
      <c r="H197" s="501" t="str">
        <f t="shared" si="2"/>
        <v/>
      </c>
      <c r="I197" s="501" t="str">
        <f t="shared" si="3"/>
        <v/>
      </c>
    </row>
    <row r="198">
      <c r="A198" s="501" t="str">
        <f>IFERROR(__xludf.DUMMYFUNCTION("IFERROR(if(ISBLANK(Installment!A198),"""",if(GOOGLEFINANCE(Installment!A198,""Currency"")=""GBX"",""GBP"",GOOGLEFINANCE(Installment!A198,""Currency""))),$F$1)"),"")</f>
        <v/>
      </c>
      <c r="B198" s="501" t="str">
        <f>Installment!A198</f>
        <v/>
      </c>
      <c r="C198" s="501" t="str">
        <f>Installment!B198</f>
        <v/>
      </c>
      <c r="D198" s="501" t="str">
        <f>IFERROR(__xludf.DUMMYFUNCTION("if(A198=""GBP"",if(B198="""","""",if(A198=$F$1,Installment!C198,Installment!C198*GOOGLEFINANCE(""Currency:""&amp;A198&amp;""""&amp;$F$1&amp;"""")))/100,if(B198="""","""",if(A198=$F$1,Installment!C198,Installment!C198*GOOGLEFINANCE(""Currency:""&amp;A198&amp;""""&amp;$F$1&amp;""""))))"),"")</f>
        <v/>
      </c>
      <c r="E198" s="501" t="str">
        <f>IFERROR(__xludf.DUMMYFUNCTION("if(A198=""GBP"",if(B198="""","""",if(A198=$F$1,Installment!H198,Installment!H198*GOOGLEFINANCE(""Currency:""&amp;A198&amp;""""&amp;$F$1&amp;"""")))/100,if(B198="""","""",if(A198=$F$1,Installment!H198,Installment!H198*GOOGLEFINANCE(""Currency:""&amp;A198&amp;""""&amp;$F$1&amp;""""))))"),"")</f>
        <v/>
      </c>
      <c r="F198" s="501" t="str">
        <f>IFERROR(__xludf.DUMMYFUNCTION("if(A198=""GBP"",if(B198="""","""",if(A198=$F$1,Installment!I198,Installment!I198*GOOGLEFINANCE(""Currency:""&amp;A198&amp;""""&amp;$F$1&amp;"""")))/100,if(B198="""","""",if(A198=$F$1,Installment!I198,Installment!I198*GOOGLEFINANCE(""Currency:""&amp;A198&amp;""""&amp;$F$1&amp;""""))))"),"")</f>
        <v/>
      </c>
      <c r="G198" s="501" t="str">
        <f t="shared" si="1"/>
        <v/>
      </c>
      <c r="H198" s="501" t="str">
        <f t="shared" si="2"/>
        <v/>
      </c>
      <c r="I198" s="501" t="str">
        <f t="shared" si="3"/>
        <v/>
      </c>
    </row>
    <row r="199">
      <c r="A199" s="501" t="str">
        <f>IFERROR(__xludf.DUMMYFUNCTION("IFERROR(if(ISBLANK(Installment!A199),"""",if(GOOGLEFINANCE(Installment!A199,""Currency"")=""GBX"",""GBP"",GOOGLEFINANCE(Installment!A199,""Currency""))),$F$1)"),"")</f>
        <v/>
      </c>
      <c r="B199" s="501" t="str">
        <f>Installment!A199</f>
        <v/>
      </c>
      <c r="C199" s="501" t="str">
        <f>Installment!B199</f>
        <v/>
      </c>
      <c r="D199" s="501" t="str">
        <f>IFERROR(__xludf.DUMMYFUNCTION("if(A199=""GBP"",if(B199="""","""",if(A199=$F$1,Installment!C199,Installment!C199*GOOGLEFINANCE(""Currency:""&amp;A199&amp;""""&amp;$F$1&amp;"""")))/100,if(B199="""","""",if(A199=$F$1,Installment!C199,Installment!C199*GOOGLEFINANCE(""Currency:""&amp;A199&amp;""""&amp;$F$1&amp;""""))))"),"")</f>
        <v/>
      </c>
      <c r="E199" s="501" t="str">
        <f>IFERROR(__xludf.DUMMYFUNCTION("if(A199=""GBP"",if(B199="""","""",if(A199=$F$1,Installment!H199,Installment!H199*GOOGLEFINANCE(""Currency:""&amp;A199&amp;""""&amp;$F$1&amp;"""")))/100,if(B199="""","""",if(A199=$F$1,Installment!H199,Installment!H199*GOOGLEFINANCE(""Currency:""&amp;A199&amp;""""&amp;$F$1&amp;""""))))"),"")</f>
        <v/>
      </c>
      <c r="F199" s="501" t="str">
        <f>IFERROR(__xludf.DUMMYFUNCTION("if(A199=""GBP"",if(B199="""","""",if(A199=$F$1,Installment!I199,Installment!I199*GOOGLEFINANCE(""Currency:""&amp;A199&amp;""""&amp;$F$1&amp;"""")))/100,if(B199="""","""",if(A199=$F$1,Installment!I199,Installment!I199*GOOGLEFINANCE(""Currency:""&amp;A199&amp;""""&amp;$F$1&amp;""""))))"),"")</f>
        <v/>
      </c>
      <c r="G199" s="501" t="str">
        <f t="shared" si="1"/>
        <v/>
      </c>
      <c r="H199" s="501" t="str">
        <f t="shared" si="2"/>
        <v/>
      </c>
      <c r="I199" s="501" t="str">
        <f t="shared" si="3"/>
        <v/>
      </c>
    </row>
    <row r="200">
      <c r="A200" s="501" t="str">
        <f>IFERROR(__xludf.DUMMYFUNCTION("IFERROR(if(ISBLANK(Installment!A200),"""",if(GOOGLEFINANCE(Installment!A200,""Currency"")=""GBX"",""GBP"",GOOGLEFINANCE(Installment!A200,""Currency""))),$F$1)"),"")</f>
        <v/>
      </c>
      <c r="B200" s="501" t="str">
        <f>Installment!A200</f>
        <v/>
      </c>
      <c r="C200" s="501" t="str">
        <f>Installment!B200</f>
        <v/>
      </c>
      <c r="D200" s="501" t="str">
        <f>IFERROR(__xludf.DUMMYFUNCTION("if(A200=""GBP"",if(B200="""","""",if(A200=$F$1,Installment!C200,Installment!C200*GOOGLEFINANCE(""Currency:""&amp;A200&amp;""""&amp;$F$1&amp;"""")))/100,if(B200="""","""",if(A200=$F$1,Installment!C200,Installment!C200*GOOGLEFINANCE(""Currency:""&amp;A200&amp;""""&amp;$F$1&amp;""""))))"),"")</f>
        <v/>
      </c>
      <c r="E200" s="501" t="str">
        <f>IFERROR(__xludf.DUMMYFUNCTION("if(A200=""GBP"",if(B200="""","""",if(A200=$F$1,Installment!H200,Installment!H200*GOOGLEFINANCE(""Currency:""&amp;A200&amp;""""&amp;$F$1&amp;"""")))/100,if(B200="""","""",if(A200=$F$1,Installment!H200,Installment!H200*GOOGLEFINANCE(""Currency:""&amp;A200&amp;""""&amp;$F$1&amp;""""))))"),"")</f>
        <v/>
      </c>
      <c r="F200" s="501" t="str">
        <f>IFERROR(__xludf.DUMMYFUNCTION("if(A200=""GBP"",if(B200="""","""",if(A200=$F$1,Installment!I200,Installment!I200*GOOGLEFINANCE(""Currency:""&amp;A200&amp;""""&amp;$F$1&amp;"""")))/100,if(B200="""","""",if(A200=$F$1,Installment!I200,Installment!I200*GOOGLEFINANCE(""Currency:""&amp;A200&amp;""""&amp;$F$1&amp;""""))))"),"")</f>
        <v/>
      </c>
      <c r="G200" s="501" t="str">
        <f t="shared" si="1"/>
        <v/>
      </c>
      <c r="H200" s="501" t="str">
        <f t="shared" si="2"/>
        <v/>
      </c>
      <c r="I200" s="501" t="str">
        <f t="shared" si="3"/>
        <v/>
      </c>
    </row>
    <row r="201">
      <c r="A201" s="501" t="str">
        <f>IFERROR(__xludf.DUMMYFUNCTION("IFERROR(if(ISBLANK(Installment!A201),"""",if(GOOGLEFINANCE(Installment!A201,""Currency"")=""GBX"",""GBP"",GOOGLEFINANCE(Installment!A201,""Currency""))),$F$1)"),"")</f>
        <v/>
      </c>
      <c r="B201" s="501" t="str">
        <f>Installment!A201</f>
        <v/>
      </c>
      <c r="C201" s="501" t="str">
        <f>Installment!B201</f>
        <v/>
      </c>
      <c r="D201" s="501" t="str">
        <f>IFERROR(__xludf.DUMMYFUNCTION("if(A201=""GBP"",if(B201="""","""",if(A201=$F$1,Installment!C201,Installment!C201*GOOGLEFINANCE(""Currency:""&amp;A201&amp;""""&amp;$F$1&amp;"""")))/100,if(B201="""","""",if(A201=$F$1,Installment!C201,Installment!C201*GOOGLEFINANCE(""Currency:""&amp;A201&amp;""""&amp;$F$1&amp;""""))))"),"")</f>
        <v/>
      </c>
      <c r="E201" s="501" t="str">
        <f>IFERROR(__xludf.DUMMYFUNCTION("if(A201=""GBP"",if(B201="""","""",if(A201=$F$1,Installment!H201,Installment!H201*GOOGLEFINANCE(""Currency:""&amp;A201&amp;""""&amp;$F$1&amp;"""")))/100,if(B201="""","""",if(A201=$F$1,Installment!H201,Installment!H201*GOOGLEFINANCE(""Currency:""&amp;A201&amp;""""&amp;$F$1&amp;""""))))"),"")</f>
        <v/>
      </c>
      <c r="F201" s="501" t="str">
        <f>IFERROR(__xludf.DUMMYFUNCTION("if(A201=""GBP"",if(B201="""","""",if(A201=$F$1,Installment!I201,Installment!I201*GOOGLEFINANCE(""Currency:""&amp;A201&amp;""""&amp;$F$1&amp;"""")))/100,if(B201="""","""",if(A201=$F$1,Installment!I201,Installment!I201*GOOGLEFINANCE(""Currency:""&amp;A201&amp;""""&amp;$F$1&amp;""""))))"),"")</f>
        <v/>
      </c>
      <c r="G201" s="501" t="str">
        <f t="shared" si="1"/>
        <v/>
      </c>
      <c r="H201" s="501" t="str">
        <f t="shared" si="2"/>
        <v/>
      </c>
      <c r="I201" s="501" t="str">
        <f t="shared" si="3"/>
        <v/>
      </c>
    </row>
    <row r="202">
      <c r="A202" s="501" t="str">
        <f>IFERROR(__xludf.DUMMYFUNCTION("IFERROR(if(ISBLANK(Installment!A202),"""",if(GOOGLEFINANCE(Installment!A202,""Currency"")=""GBX"",""GBP"",GOOGLEFINANCE(Installment!A202,""Currency""))),$F$1)"),"")</f>
        <v/>
      </c>
      <c r="B202" s="501" t="str">
        <f>Installment!A202</f>
        <v/>
      </c>
      <c r="C202" s="501" t="str">
        <f>Installment!B202</f>
        <v/>
      </c>
      <c r="D202" s="501" t="str">
        <f>IFERROR(__xludf.DUMMYFUNCTION("if(A202=""GBP"",if(B202="""","""",if(A202=$F$1,Installment!C202,Installment!C202*GOOGLEFINANCE(""Currency:""&amp;A202&amp;""""&amp;$F$1&amp;"""")))/100,if(B202="""","""",if(A202=$F$1,Installment!C202,Installment!C202*GOOGLEFINANCE(""Currency:""&amp;A202&amp;""""&amp;$F$1&amp;""""))))"),"")</f>
        <v/>
      </c>
      <c r="E202" s="501" t="str">
        <f>IFERROR(__xludf.DUMMYFUNCTION("if(A202=""GBP"",if(B202="""","""",if(A202=$F$1,Installment!H202,Installment!H202*GOOGLEFINANCE(""Currency:""&amp;A202&amp;""""&amp;$F$1&amp;"""")))/100,if(B202="""","""",if(A202=$F$1,Installment!H202,Installment!H202*GOOGLEFINANCE(""Currency:""&amp;A202&amp;""""&amp;$F$1&amp;""""))))"),"")</f>
        <v/>
      </c>
      <c r="F202" s="501" t="str">
        <f>IFERROR(__xludf.DUMMYFUNCTION("if(A202=""GBP"",if(B202="""","""",if(A202=$F$1,Installment!I202,Installment!I202*GOOGLEFINANCE(""Currency:""&amp;A202&amp;""""&amp;$F$1&amp;"""")))/100,if(B202="""","""",if(A202=$F$1,Installment!I202,Installment!I202*GOOGLEFINANCE(""Currency:""&amp;A202&amp;""""&amp;$F$1&amp;""""))))"),"")</f>
        <v/>
      </c>
      <c r="G202" s="501" t="str">
        <f t="shared" si="1"/>
        <v/>
      </c>
      <c r="H202" s="501" t="str">
        <f t="shared" si="2"/>
        <v/>
      </c>
      <c r="I202" s="501" t="str">
        <f t="shared" si="3"/>
        <v/>
      </c>
    </row>
    <row r="203">
      <c r="A203" s="501" t="str">
        <f>IFERROR(__xludf.DUMMYFUNCTION("IFERROR(if(ISBLANK(Installment!A203),"""",if(GOOGLEFINANCE(Installment!A203,""Currency"")=""GBX"",""GBP"",GOOGLEFINANCE(Installment!A203,""Currency""))),$F$1)"),"")</f>
        <v/>
      </c>
      <c r="B203" s="501" t="str">
        <f>Installment!A203</f>
        <v/>
      </c>
      <c r="C203" s="501" t="str">
        <f>Installment!B203</f>
        <v/>
      </c>
      <c r="D203" s="501" t="str">
        <f>IFERROR(__xludf.DUMMYFUNCTION("if(A203=""GBP"",if(B203="""","""",if(A203=$F$1,Installment!C203,Installment!C203*GOOGLEFINANCE(""Currency:""&amp;A203&amp;""""&amp;$F$1&amp;"""")))/100,if(B203="""","""",if(A203=$F$1,Installment!C203,Installment!C203*GOOGLEFINANCE(""Currency:""&amp;A203&amp;""""&amp;$F$1&amp;""""))))"),"")</f>
        <v/>
      </c>
      <c r="E203" s="501" t="str">
        <f>IFERROR(__xludf.DUMMYFUNCTION("if(A203=""GBP"",if(B203="""","""",if(A203=$F$1,Installment!H203,Installment!H203*GOOGLEFINANCE(""Currency:""&amp;A203&amp;""""&amp;$F$1&amp;"""")))/100,if(B203="""","""",if(A203=$F$1,Installment!H203,Installment!H203*GOOGLEFINANCE(""Currency:""&amp;A203&amp;""""&amp;$F$1&amp;""""))))"),"")</f>
        <v/>
      </c>
      <c r="F203" s="501" t="str">
        <f>IFERROR(__xludf.DUMMYFUNCTION("if(A203=""GBP"",if(B203="""","""",if(A203=$F$1,Installment!I203,Installment!I203*GOOGLEFINANCE(""Currency:""&amp;A203&amp;""""&amp;$F$1&amp;"""")))/100,if(B203="""","""",if(A203=$F$1,Installment!I203,Installment!I203*GOOGLEFINANCE(""Currency:""&amp;A203&amp;""""&amp;$F$1&amp;""""))))"),"")</f>
        <v/>
      </c>
      <c r="G203" s="501" t="str">
        <f t="shared" si="1"/>
        <v/>
      </c>
      <c r="H203" s="501" t="str">
        <f t="shared" si="2"/>
        <v/>
      </c>
      <c r="I203" s="501" t="str">
        <f t="shared" si="3"/>
        <v/>
      </c>
    </row>
    <row r="204">
      <c r="A204" s="501" t="str">
        <f>IFERROR(__xludf.DUMMYFUNCTION("IFERROR(if(ISBLANK(Installment!A204),"""",if(GOOGLEFINANCE(Installment!A204,""Currency"")=""GBX"",""GBP"",GOOGLEFINANCE(Installment!A204,""Currency""))),$F$1)"),"")</f>
        <v/>
      </c>
      <c r="B204" s="501" t="str">
        <f>Installment!A204</f>
        <v/>
      </c>
      <c r="C204" s="501" t="str">
        <f>Installment!B204</f>
        <v/>
      </c>
      <c r="D204" s="501" t="str">
        <f>IFERROR(__xludf.DUMMYFUNCTION("if(A204=""GBP"",if(B204="""","""",if(A204=$F$1,Installment!C204,Installment!C204*GOOGLEFINANCE(""Currency:""&amp;A204&amp;""""&amp;$F$1&amp;"""")))/100,if(B204="""","""",if(A204=$F$1,Installment!C204,Installment!C204*GOOGLEFINANCE(""Currency:""&amp;A204&amp;""""&amp;$F$1&amp;""""))))"),"")</f>
        <v/>
      </c>
      <c r="E204" s="501" t="str">
        <f>IFERROR(__xludf.DUMMYFUNCTION("if(A204=""GBP"",if(B204="""","""",if(A204=$F$1,Installment!H204,Installment!H204*GOOGLEFINANCE(""Currency:""&amp;A204&amp;""""&amp;$F$1&amp;"""")))/100,if(B204="""","""",if(A204=$F$1,Installment!H204,Installment!H204*GOOGLEFINANCE(""Currency:""&amp;A204&amp;""""&amp;$F$1&amp;""""))))"),"")</f>
        <v/>
      </c>
      <c r="F204" s="501" t="str">
        <f>IFERROR(__xludf.DUMMYFUNCTION("if(A204=""GBP"",if(B204="""","""",if(A204=$F$1,Installment!I204,Installment!I204*GOOGLEFINANCE(""Currency:""&amp;A204&amp;""""&amp;$F$1&amp;"""")))/100,if(B204="""","""",if(A204=$F$1,Installment!I204,Installment!I204*GOOGLEFINANCE(""Currency:""&amp;A204&amp;""""&amp;$F$1&amp;""""))))"),"")</f>
        <v/>
      </c>
      <c r="G204" s="501" t="str">
        <f t="shared" si="1"/>
        <v/>
      </c>
      <c r="H204" s="501" t="str">
        <f t="shared" si="2"/>
        <v/>
      </c>
      <c r="I204" s="501" t="str">
        <f t="shared" si="3"/>
        <v/>
      </c>
    </row>
    <row r="205">
      <c r="A205" s="501" t="str">
        <f>IFERROR(__xludf.DUMMYFUNCTION("IFERROR(if(ISBLANK(Installment!A205),"""",if(GOOGLEFINANCE(Installment!A205,""Currency"")=""GBX"",""GBP"",GOOGLEFINANCE(Installment!A205,""Currency""))),$F$1)"),"")</f>
        <v/>
      </c>
      <c r="B205" s="501" t="str">
        <f>Installment!A205</f>
        <v/>
      </c>
      <c r="C205" s="501" t="str">
        <f>Installment!B205</f>
        <v/>
      </c>
      <c r="D205" s="501" t="str">
        <f>IFERROR(__xludf.DUMMYFUNCTION("if(A205=""GBP"",if(B205="""","""",if(A205=$F$1,Installment!C205,Installment!C205*GOOGLEFINANCE(""Currency:""&amp;A205&amp;""""&amp;$F$1&amp;"""")))/100,if(B205="""","""",if(A205=$F$1,Installment!C205,Installment!C205*GOOGLEFINANCE(""Currency:""&amp;A205&amp;""""&amp;$F$1&amp;""""))))"),"")</f>
        <v/>
      </c>
      <c r="E205" s="501" t="str">
        <f>IFERROR(__xludf.DUMMYFUNCTION("if(A205=""GBP"",if(B205="""","""",if(A205=$F$1,Installment!H205,Installment!H205*GOOGLEFINANCE(""Currency:""&amp;A205&amp;""""&amp;$F$1&amp;"""")))/100,if(B205="""","""",if(A205=$F$1,Installment!H205,Installment!H205*GOOGLEFINANCE(""Currency:""&amp;A205&amp;""""&amp;$F$1&amp;""""))))"),"")</f>
        <v/>
      </c>
      <c r="F205" s="501" t="str">
        <f>IFERROR(__xludf.DUMMYFUNCTION("if(A205=""GBP"",if(B205="""","""",if(A205=$F$1,Installment!I205,Installment!I205*GOOGLEFINANCE(""Currency:""&amp;A205&amp;""""&amp;$F$1&amp;"""")))/100,if(B205="""","""",if(A205=$F$1,Installment!I205,Installment!I205*GOOGLEFINANCE(""Currency:""&amp;A205&amp;""""&amp;$F$1&amp;""""))))"),"")</f>
        <v/>
      </c>
      <c r="G205" s="501" t="str">
        <f t="shared" si="1"/>
        <v/>
      </c>
      <c r="H205" s="501" t="str">
        <f t="shared" si="2"/>
        <v/>
      </c>
      <c r="I205" s="501" t="str">
        <f t="shared" si="3"/>
        <v/>
      </c>
    </row>
    <row r="206">
      <c r="A206" s="501" t="str">
        <f>IFERROR(__xludf.DUMMYFUNCTION("IFERROR(if(ISBLANK(Installment!A206),"""",if(GOOGLEFINANCE(Installment!A206,""Currency"")=""GBX"",""GBP"",GOOGLEFINANCE(Installment!A206,""Currency""))),$F$1)"),"")</f>
        <v/>
      </c>
      <c r="B206" s="501" t="str">
        <f>Installment!A206</f>
        <v/>
      </c>
      <c r="C206" s="501" t="str">
        <f>Installment!B206</f>
        <v/>
      </c>
      <c r="D206" s="501" t="str">
        <f>IFERROR(__xludf.DUMMYFUNCTION("if(A206=""GBP"",if(B206="""","""",if(A206=$F$1,Installment!C206,Installment!C206*GOOGLEFINANCE(""Currency:""&amp;A206&amp;""""&amp;$F$1&amp;"""")))/100,if(B206="""","""",if(A206=$F$1,Installment!C206,Installment!C206*GOOGLEFINANCE(""Currency:""&amp;A206&amp;""""&amp;$F$1&amp;""""))))"),"")</f>
        <v/>
      </c>
      <c r="E206" s="501" t="str">
        <f>IFERROR(__xludf.DUMMYFUNCTION("if(A206=""GBP"",if(B206="""","""",if(A206=$F$1,Installment!H206,Installment!H206*GOOGLEFINANCE(""Currency:""&amp;A206&amp;""""&amp;$F$1&amp;"""")))/100,if(B206="""","""",if(A206=$F$1,Installment!H206,Installment!H206*GOOGLEFINANCE(""Currency:""&amp;A206&amp;""""&amp;$F$1&amp;""""))))"),"")</f>
        <v/>
      </c>
      <c r="F206" s="501" t="str">
        <f>IFERROR(__xludf.DUMMYFUNCTION("if(A206=""GBP"",if(B206="""","""",if(A206=$F$1,Installment!I206,Installment!I206*GOOGLEFINANCE(""Currency:""&amp;A206&amp;""""&amp;$F$1&amp;"""")))/100,if(B206="""","""",if(A206=$F$1,Installment!I206,Installment!I206*GOOGLEFINANCE(""Currency:""&amp;A206&amp;""""&amp;$F$1&amp;""""))))"),"")</f>
        <v/>
      </c>
      <c r="G206" s="501" t="str">
        <f t="shared" si="1"/>
        <v/>
      </c>
      <c r="H206" s="501" t="str">
        <f t="shared" si="2"/>
        <v/>
      </c>
      <c r="I206" s="501" t="str">
        <f t="shared" si="3"/>
        <v/>
      </c>
    </row>
    <row r="207">
      <c r="A207" s="501" t="str">
        <f>IFERROR(__xludf.DUMMYFUNCTION("IFERROR(if(ISBLANK(Installment!A207),"""",if(GOOGLEFINANCE(Installment!A207,""Currency"")=""GBX"",""GBP"",GOOGLEFINANCE(Installment!A207,""Currency""))),$F$1)"),"")</f>
        <v/>
      </c>
      <c r="B207" s="501" t="str">
        <f>Installment!A207</f>
        <v/>
      </c>
      <c r="C207" s="501" t="str">
        <f>Installment!B207</f>
        <v/>
      </c>
      <c r="D207" s="501" t="str">
        <f>IFERROR(__xludf.DUMMYFUNCTION("if(A207=""GBP"",if(B207="""","""",if(A207=$F$1,Installment!C207,Installment!C207*GOOGLEFINANCE(""Currency:""&amp;A207&amp;""""&amp;$F$1&amp;"""")))/100,if(B207="""","""",if(A207=$F$1,Installment!C207,Installment!C207*GOOGLEFINANCE(""Currency:""&amp;A207&amp;""""&amp;$F$1&amp;""""))))"),"")</f>
        <v/>
      </c>
      <c r="E207" s="501" t="str">
        <f>IFERROR(__xludf.DUMMYFUNCTION("if(A207=""GBP"",if(B207="""","""",if(A207=$F$1,Installment!H207,Installment!H207*GOOGLEFINANCE(""Currency:""&amp;A207&amp;""""&amp;$F$1&amp;"""")))/100,if(B207="""","""",if(A207=$F$1,Installment!H207,Installment!H207*GOOGLEFINANCE(""Currency:""&amp;A207&amp;""""&amp;$F$1&amp;""""))))"),"")</f>
        <v/>
      </c>
      <c r="F207" s="501" t="str">
        <f>IFERROR(__xludf.DUMMYFUNCTION("if(A207=""GBP"",if(B207="""","""",if(A207=$F$1,Installment!I207,Installment!I207*GOOGLEFINANCE(""Currency:""&amp;A207&amp;""""&amp;$F$1&amp;"""")))/100,if(B207="""","""",if(A207=$F$1,Installment!I207,Installment!I207*GOOGLEFINANCE(""Currency:""&amp;A207&amp;""""&amp;$F$1&amp;""""))))"),"")</f>
        <v/>
      </c>
      <c r="G207" s="501" t="str">
        <f t="shared" si="1"/>
        <v/>
      </c>
      <c r="H207" s="501" t="str">
        <f t="shared" si="2"/>
        <v/>
      </c>
      <c r="I207" s="501" t="str">
        <f t="shared" si="3"/>
        <v/>
      </c>
    </row>
    <row r="208">
      <c r="A208" s="501" t="str">
        <f>IFERROR(__xludf.DUMMYFUNCTION("IFERROR(if(ISBLANK(Installment!A208),"""",if(GOOGLEFINANCE(Installment!A208,""Currency"")=""GBX"",""GBP"",GOOGLEFINANCE(Installment!A208,""Currency""))),$F$1)"),"")</f>
        <v/>
      </c>
      <c r="B208" s="501" t="str">
        <f>Installment!A208</f>
        <v/>
      </c>
      <c r="C208" s="501" t="str">
        <f>Installment!B208</f>
        <v/>
      </c>
      <c r="D208" s="501" t="str">
        <f>IFERROR(__xludf.DUMMYFUNCTION("if(A208=""GBP"",if(B208="""","""",if(A208=$F$1,Installment!C208,Installment!C208*GOOGLEFINANCE(""Currency:""&amp;A208&amp;""""&amp;$F$1&amp;"""")))/100,if(B208="""","""",if(A208=$F$1,Installment!C208,Installment!C208*GOOGLEFINANCE(""Currency:""&amp;A208&amp;""""&amp;$F$1&amp;""""))))"),"")</f>
        <v/>
      </c>
      <c r="E208" s="501" t="str">
        <f>IFERROR(__xludf.DUMMYFUNCTION("if(A208=""GBP"",if(B208="""","""",if(A208=$F$1,Installment!H208,Installment!H208*GOOGLEFINANCE(""Currency:""&amp;A208&amp;""""&amp;$F$1&amp;"""")))/100,if(B208="""","""",if(A208=$F$1,Installment!H208,Installment!H208*GOOGLEFINANCE(""Currency:""&amp;A208&amp;""""&amp;$F$1&amp;""""))))"),"")</f>
        <v/>
      </c>
      <c r="F208" s="501" t="str">
        <f>IFERROR(__xludf.DUMMYFUNCTION("if(A208=""GBP"",if(B208="""","""",if(A208=$F$1,Installment!I208,Installment!I208*GOOGLEFINANCE(""Currency:""&amp;A208&amp;""""&amp;$F$1&amp;"""")))/100,if(B208="""","""",if(A208=$F$1,Installment!I208,Installment!I208*GOOGLEFINANCE(""Currency:""&amp;A208&amp;""""&amp;$F$1&amp;""""))))"),"")</f>
        <v/>
      </c>
      <c r="G208" s="501" t="str">
        <f t="shared" si="1"/>
        <v/>
      </c>
      <c r="H208" s="501" t="str">
        <f t="shared" si="2"/>
        <v/>
      </c>
      <c r="I208" s="501" t="str">
        <f t="shared" si="3"/>
        <v/>
      </c>
    </row>
    <row r="209">
      <c r="A209" s="501" t="str">
        <f>IFERROR(__xludf.DUMMYFUNCTION("IFERROR(if(ISBLANK(Installment!A209),"""",if(GOOGLEFINANCE(Installment!A209,""Currency"")=""GBX"",""GBP"",GOOGLEFINANCE(Installment!A209,""Currency""))),$F$1)"),"")</f>
        <v/>
      </c>
      <c r="B209" s="501" t="str">
        <f>Installment!A209</f>
        <v/>
      </c>
      <c r="C209" s="501" t="str">
        <f>Installment!B209</f>
        <v/>
      </c>
      <c r="D209" s="501" t="str">
        <f>IFERROR(__xludf.DUMMYFUNCTION("if(A209=""GBP"",if(B209="""","""",if(A209=$F$1,Installment!C209,Installment!C209*GOOGLEFINANCE(""Currency:""&amp;A209&amp;""""&amp;$F$1&amp;"""")))/100,if(B209="""","""",if(A209=$F$1,Installment!C209,Installment!C209*GOOGLEFINANCE(""Currency:""&amp;A209&amp;""""&amp;$F$1&amp;""""))))"),"")</f>
        <v/>
      </c>
      <c r="E209" s="501" t="str">
        <f>IFERROR(__xludf.DUMMYFUNCTION("if(A209=""GBP"",if(B209="""","""",if(A209=$F$1,Installment!H209,Installment!H209*GOOGLEFINANCE(""Currency:""&amp;A209&amp;""""&amp;$F$1&amp;"""")))/100,if(B209="""","""",if(A209=$F$1,Installment!H209,Installment!H209*GOOGLEFINANCE(""Currency:""&amp;A209&amp;""""&amp;$F$1&amp;""""))))"),"")</f>
        <v/>
      </c>
      <c r="F209" s="501" t="str">
        <f>IFERROR(__xludf.DUMMYFUNCTION("if(A209=""GBP"",if(B209="""","""",if(A209=$F$1,Installment!I209,Installment!I209*GOOGLEFINANCE(""Currency:""&amp;A209&amp;""""&amp;$F$1&amp;"""")))/100,if(B209="""","""",if(A209=$F$1,Installment!I209,Installment!I209*GOOGLEFINANCE(""Currency:""&amp;A209&amp;""""&amp;$F$1&amp;""""))))"),"")</f>
        <v/>
      </c>
      <c r="G209" s="501" t="str">
        <f t="shared" si="1"/>
        <v/>
      </c>
      <c r="H209" s="501" t="str">
        <f t="shared" si="2"/>
        <v/>
      </c>
      <c r="I209" s="501" t="str">
        <f t="shared" si="3"/>
        <v/>
      </c>
    </row>
    <row r="210">
      <c r="A210" s="501" t="str">
        <f>IFERROR(__xludf.DUMMYFUNCTION("IFERROR(if(ISBLANK(Installment!A210),"""",if(GOOGLEFINANCE(Installment!A210,""Currency"")=""GBX"",""GBP"",GOOGLEFINANCE(Installment!A210,""Currency""))),$F$1)"),"")</f>
        <v/>
      </c>
      <c r="B210" s="501" t="str">
        <f>Installment!A210</f>
        <v/>
      </c>
      <c r="C210" s="501" t="str">
        <f>Installment!B210</f>
        <v/>
      </c>
      <c r="D210" s="501" t="str">
        <f>IFERROR(__xludf.DUMMYFUNCTION("if(A210=""GBP"",if(B210="""","""",if(A210=$F$1,Installment!C210,Installment!C210*GOOGLEFINANCE(""Currency:""&amp;A210&amp;""""&amp;$F$1&amp;"""")))/100,if(B210="""","""",if(A210=$F$1,Installment!C210,Installment!C210*GOOGLEFINANCE(""Currency:""&amp;A210&amp;""""&amp;$F$1&amp;""""))))"),"")</f>
        <v/>
      </c>
      <c r="E210" s="501" t="str">
        <f>IFERROR(__xludf.DUMMYFUNCTION("if(A210=""GBP"",if(B210="""","""",if(A210=$F$1,Installment!H210,Installment!H210*GOOGLEFINANCE(""Currency:""&amp;A210&amp;""""&amp;$F$1&amp;"""")))/100,if(B210="""","""",if(A210=$F$1,Installment!H210,Installment!H210*GOOGLEFINANCE(""Currency:""&amp;A210&amp;""""&amp;$F$1&amp;""""))))"),"")</f>
        <v/>
      </c>
      <c r="F210" s="501" t="str">
        <f>IFERROR(__xludf.DUMMYFUNCTION("if(A210=""GBP"",if(B210="""","""",if(A210=$F$1,Installment!I210,Installment!I210*GOOGLEFINANCE(""Currency:""&amp;A210&amp;""""&amp;$F$1&amp;"""")))/100,if(B210="""","""",if(A210=$F$1,Installment!I210,Installment!I210*GOOGLEFINANCE(""Currency:""&amp;A210&amp;""""&amp;$F$1&amp;""""))))"),"")</f>
        <v/>
      </c>
      <c r="G210" s="501" t="str">
        <f t="shared" si="1"/>
        <v/>
      </c>
      <c r="H210" s="501" t="str">
        <f t="shared" si="2"/>
        <v/>
      </c>
      <c r="I210" s="501" t="str">
        <f t="shared" si="3"/>
        <v/>
      </c>
    </row>
    <row r="211">
      <c r="A211" s="501" t="str">
        <f>IFERROR(__xludf.DUMMYFUNCTION("IFERROR(if(ISBLANK(Installment!A211),"""",if(GOOGLEFINANCE(Installment!A211,""Currency"")=""GBX"",""GBP"",GOOGLEFINANCE(Installment!A211,""Currency""))),$F$1)"),"")</f>
        <v/>
      </c>
      <c r="B211" s="501" t="str">
        <f>Installment!A211</f>
        <v/>
      </c>
      <c r="C211" s="501" t="str">
        <f>Installment!B211</f>
        <v/>
      </c>
      <c r="D211" s="501" t="str">
        <f>IFERROR(__xludf.DUMMYFUNCTION("if(A211=""GBP"",if(B211="""","""",if(A211=$F$1,Installment!C211,Installment!C211*GOOGLEFINANCE(""Currency:""&amp;A211&amp;""""&amp;$F$1&amp;"""")))/100,if(B211="""","""",if(A211=$F$1,Installment!C211,Installment!C211*GOOGLEFINANCE(""Currency:""&amp;A211&amp;""""&amp;$F$1&amp;""""))))"),"")</f>
        <v/>
      </c>
      <c r="E211" s="501" t="str">
        <f>IFERROR(__xludf.DUMMYFUNCTION("if(A211=""GBP"",if(B211="""","""",if(A211=$F$1,Installment!H211,Installment!H211*GOOGLEFINANCE(""Currency:""&amp;A211&amp;""""&amp;$F$1&amp;"""")))/100,if(B211="""","""",if(A211=$F$1,Installment!H211,Installment!H211*GOOGLEFINANCE(""Currency:""&amp;A211&amp;""""&amp;$F$1&amp;""""))))"),"")</f>
        <v/>
      </c>
      <c r="F211" s="501" t="str">
        <f>IFERROR(__xludf.DUMMYFUNCTION("if(A211=""GBP"",if(B211="""","""",if(A211=$F$1,Installment!I211,Installment!I211*GOOGLEFINANCE(""Currency:""&amp;A211&amp;""""&amp;$F$1&amp;"""")))/100,if(B211="""","""",if(A211=$F$1,Installment!I211,Installment!I211*GOOGLEFINANCE(""Currency:""&amp;A211&amp;""""&amp;$F$1&amp;""""))))"),"")</f>
        <v/>
      </c>
      <c r="G211" s="501" t="str">
        <f t="shared" si="1"/>
        <v/>
      </c>
      <c r="H211" s="501" t="str">
        <f t="shared" si="2"/>
        <v/>
      </c>
      <c r="I211" s="501" t="str">
        <f t="shared" si="3"/>
        <v/>
      </c>
    </row>
    <row r="212">
      <c r="A212" s="501" t="str">
        <f>IFERROR(__xludf.DUMMYFUNCTION("IFERROR(if(ISBLANK(Installment!A212),"""",if(GOOGLEFINANCE(Installment!A212,""Currency"")=""GBX"",""GBP"",GOOGLEFINANCE(Installment!A212,""Currency""))),$F$1)"),"")</f>
        <v/>
      </c>
      <c r="B212" s="501" t="str">
        <f>Installment!A212</f>
        <v/>
      </c>
      <c r="C212" s="501" t="str">
        <f>Installment!B212</f>
        <v/>
      </c>
      <c r="D212" s="501" t="str">
        <f>IFERROR(__xludf.DUMMYFUNCTION("if(A212=""GBP"",if(B212="""","""",if(A212=$F$1,Installment!C212,Installment!C212*GOOGLEFINANCE(""Currency:""&amp;A212&amp;""""&amp;$F$1&amp;"""")))/100,if(B212="""","""",if(A212=$F$1,Installment!C212,Installment!C212*GOOGLEFINANCE(""Currency:""&amp;A212&amp;""""&amp;$F$1&amp;""""))))"),"")</f>
        <v/>
      </c>
      <c r="E212" s="501" t="str">
        <f>IFERROR(__xludf.DUMMYFUNCTION("if(A212=""GBP"",if(B212="""","""",if(A212=$F$1,Installment!H212,Installment!H212*GOOGLEFINANCE(""Currency:""&amp;A212&amp;""""&amp;$F$1&amp;"""")))/100,if(B212="""","""",if(A212=$F$1,Installment!H212,Installment!H212*GOOGLEFINANCE(""Currency:""&amp;A212&amp;""""&amp;$F$1&amp;""""))))"),"")</f>
        <v/>
      </c>
      <c r="F212" s="501" t="str">
        <f>IFERROR(__xludf.DUMMYFUNCTION("if(A212=""GBP"",if(B212="""","""",if(A212=$F$1,Installment!I212,Installment!I212*GOOGLEFINANCE(""Currency:""&amp;A212&amp;""""&amp;$F$1&amp;"""")))/100,if(B212="""","""",if(A212=$F$1,Installment!I212,Installment!I212*GOOGLEFINANCE(""Currency:""&amp;A212&amp;""""&amp;$F$1&amp;""""))))"),"")</f>
        <v/>
      </c>
      <c r="G212" s="501" t="str">
        <f t="shared" si="1"/>
        <v/>
      </c>
      <c r="H212" s="501" t="str">
        <f t="shared" si="2"/>
        <v/>
      </c>
      <c r="I212" s="501" t="str">
        <f t="shared" si="3"/>
        <v/>
      </c>
    </row>
    <row r="213">
      <c r="A213" s="501" t="str">
        <f>IFERROR(__xludf.DUMMYFUNCTION("IFERROR(if(ISBLANK(Installment!A213),"""",if(GOOGLEFINANCE(Installment!A213,""Currency"")=""GBX"",""GBP"",GOOGLEFINANCE(Installment!A213,""Currency""))),$F$1)"),"")</f>
        <v/>
      </c>
      <c r="B213" s="501" t="str">
        <f>Installment!A213</f>
        <v/>
      </c>
      <c r="C213" s="501" t="str">
        <f>Installment!B213</f>
        <v/>
      </c>
      <c r="D213" s="501" t="str">
        <f>IFERROR(__xludf.DUMMYFUNCTION("if(A213=""GBP"",if(B213="""","""",if(A213=$F$1,Installment!C213,Installment!C213*GOOGLEFINANCE(""Currency:""&amp;A213&amp;""""&amp;$F$1&amp;"""")))/100,if(B213="""","""",if(A213=$F$1,Installment!C213,Installment!C213*GOOGLEFINANCE(""Currency:""&amp;A213&amp;""""&amp;$F$1&amp;""""))))"),"")</f>
        <v/>
      </c>
      <c r="E213" s="501" t="str">
        <f>IFERROR(__xludf.DUMMYFUNCTION("if(A213=""GBP"",if(B213="""","""",if(A213=$F$1,Installment!H213,Installment!H213*GOOGLEFINANCE(""Currency:""&amp;A213&amp;""""&amp;$F$1&amp;"""")))/100,if(B213="""","""",if(A213=$F$1,Installment!H213,Installment!H213*GOOGLEFINANCE(""Currency:""&amp;A213&amp;""""&amp;$F$1&amp;""""))))"),"")</f>
        <v/>
      </c>
      <c r="F213" s="501" t="str">
        <f>IFERROR(__xludf.DUMMYFUNCTION("if(A213=""GBP"",if(B213="""","""",if(A213=$F$1,Installment!I213,Installment!I213*GOOGLEFINANCE(""Currency:""&amp;A213&amp;""""&amp;$F$1&amp;"""")))/100,if(B213="""","""",if(A213=$F$1,Installment!I213,Installment!I213*GOOGLEFINANCE(""Currency:""&amp;A213&amp;""""&amp;$F$1&amp;""""))))"),"")</f>
        <v/>
      </c>
      <c r="G213" s="501" t="str">
        <f t="shared" si="1"/>
        <v/>
      </c>
      <c r="H213" s="501" t="str">
        <f t="shared" si="2"/>
        <v/>
      </c>
      <c r="I213" s="501" t="str">
        <f t="shared" si="3"/>
        <v/>
      </c>
    </row>
    <row r="214">
      <c r="A214" s="501" t="str">
        <f>IFERROR(__xludf.DUMMYFUNCTION("IFERROR(if(ISBLANK(Installment!A214),"""",if(GOOGLEFINANCE(Installment!A214,""Currency"")=""GBX"",""GBP"",GOOGLEFINANCE(Installment!A214,""Currency""))),$F$1)"),"")</f>
        <v/>
      </c>
      <c r="B214" s="501" t="str">
        <f>Installment!A214</f>
        <v/>
      </c>
      <c r="C214" s="501" t="str">
        <f>Installment!B214</f>
        <v/>
      </c>
      <c r="D214" s="501" t="str">
        <f>IFERROR(__xludf.DUMMYFUNCTION("if(A214=""GBP"",if(B214="""","""",if(A214=$F$1,Installment!C214,Installment!C214*GOOGLEFINANCE(""Currency:""&amp;A214&amp;""""&amp;$F$1&amp;"""")))/100,if(B214="""","""",if(A214=$F$1,Installment!C214,Installment!C214*GOOGLEFINANCE(""Currency:""&amp;A214&amp;""""&amp;$F$1&amp;""""))))"),"")</f>
        <v/>
      </c>
      <c r="E214" s="501" t="str">
        <f>IFERROR(__xludf.DUMMYFUNCTION("if(A214=""GBP"",if(B214="""","""",if(A214=$F$1,Installment!H214,Installment!H214*GOOGLEFINANCE(""Currency:""&amp;A214&amp;""""&amp;$F$1&amp;"""")))/100,if(B214="""","""",if(A214=$F$1,Installment!H214,Installment!H214*GOOGLEFINANCE(""Currency:""&amp;A214&amp;""""&amp;$F$1&amp;""""))))"),"")</f>
        <v/>
      </c>
      <c r="F214" s="501" t="str">
        <f>IFERROR(__xludf.DUMMYFUNCTION("if(A214=""GBP"",if(B214="""","""",if(A214=$F$1,Installment!I214,Installment!I214*GOOGLEFINANCE(""Currency:""&amp;A214&amp;""""&amp;$F$1&amp;"""")))/100,if(B214="""","""",if(A214=$F$1,Installment!I214,Installment!I214*GOOGLEFINANCE(""Currency:""&amp;A214&amp;""""&amp;$F$1&amp;""""))))"),"")</f>
        <v/>
      </c>
      <c r="G214" s="501" t="str">
        <f t="shared" si="1"/>
        <v/>
      </c>
      <c r="H214" s="501" t="str">
        <f t="shared" si="2"/>
        <v/>
      </c>
      <c r="I214" s="501" t="str">
        <f t="shared" si="3"/>
        <v/>
      </c>
    </row>
    <row r="215">
      <c r="A215" s="501" t="str">
        <f>IFERROR(__xludf.DUMMYFUNCTION("IFERROR(if(ISBLANK(Installment!A215),"""",if(GOOGLEFINANCE(Installment!A215,""Currency"")=""GBX"",""GBP"",GOOGLEFINANCE(Installment!A215,""Currency""))),$F$1)"),"")</f>
        <v/>
      </c>
      <c r="B215" s="501" t="str">
        <f>Installment!A215</f>
        <v/>
      </c>
      <c r="C215" s="501" t="str">
        <f>Installment!B215</f>
        <v/>
      </c>
      <c r="D215" s="501" t="str">
        <f>IFERROR(__xludf.DUMMYFUNCTION("if(A215=""GBP"",if(B215="""","""",if(A215=$F$1,Installment!C215,Installment!C215*GOOGLEFINANCE(""Currency:""&amp;A215&amp;""""&amp;$F$1&amp;"""")))/100,if(B215="""","""",if(A215=$F$1,Installment!C215,Installment!C215*GOOGLEFINANCE(""Currency:""&amp;A215&amp;""""&amp;$F$1&amp;""""))))"),"")</f>
        <v/>
      </c>
      <c r="E215" s="501" t="str">
        <f>IFERROR(__xludf.DUMMYFUNCTION("if(A215=""GBP"",if(B215="""","""",if(A215=$F$1,Installment!H215,Installment!H215*GOOGLEFINANCE(""Currency:""&amp;A215&amp;""""&amp;$F$1&amp;"""")))/100,if(B215="""","""",if(A215=$F$1,Installment!H215,Installment!H215*GOOGLEFINANCE(""Currency:""&amp;A215&amp;""""&amp;$F$1&amp;""""))))"),"")</f>
        <v/>
      </c>
      <c r="F215" s="501" t="str">
        <f>IFERROR(__xludf.DUMMYFUNCTION("if(A215=""GBP"",if(B215="""","""",if(A215=$F$1,Installment!I215,Installment!I215*GOOGLEFINANCE(""Currency:""&amp;A215&amp;""""&amp;$F$1&amp;"""")))/100,if(B215="""","""",if(A215=$F$1,Installment!I215,Installment!I215*GOOGLEFINANCE(""Currency:""&amp;A215&amp;""""&amp;$F$1&amp;""""))))"),"")</f>
        <v/>
      </c>
      <c r="G215" s="501" t="str">
        <f t="shared" si="1"/>
        <v/>
      </c>
      <c r="H215" s="501" t="str">
        <f t="shared" si="2"/>
        <v/>
      </c>
      <c r="I215" s="501" t="str">
        <f t="shared" si="3"/>
        <v/>
      </c>
    </row>
    <row r="216">
      <c r="A216" s="501" t="str">
        <f>IFERROR(__xludf.DUMMYFUNCTION("IFERROR(if(ISBLANK(Installment!A216),"""",if(GOOGLEFINANCE(Installment!A216,""Currency"")=""GBX"",""GBP"",GOOGLEFINANCE(Installment!A216,""Currency""))),$F$1)"),"")</f>
        <v/>
      </c>
      <c r="B216" s="501" t="str">
        <f>Installment!A216</f>
        <v/>
      </c>
      <c r="C216" s="501" t="str">
        <f>Installment!B216</f>
        <v/>
      </c>
      <c r="D216" s="501" t="str">
        <f>IFERROR(__xludf.DUMMYFUNCTION("if(A216=""GBP"",if(B216="""","""",if(A216=$F$1,Installment!C216,Installment!C216*GOOGLEFINANCE(""Currency:""&amp;A216&amp;""""&amp;$F$1&amp;"""")))/100,if(B216="""","""",if(A216=$F$1,Installment!C216,Installment!C216*GOOGLEFINANCE(""Currency:""&amp;A216&amp;""""&amp;$F$1&amp;""""))))"),"")</f>
        <v/>
      </c>
      <c r="E216" s="501" t="str">
        <f>IFERROR(__xludf.DUMMYFUNCTION("if(A216=""GBP"",if(B216="""","""",if(A216=$F$1,Installment!H216,Installment!H216*GOOGLEFINANCE(""Currency:""&amp;A216&amp;""""&amp;$F$1&amp;"""")))/100,if(B216="""","""",if(A216=$F$1,Installment!H216,Installment!H216*GOOGLEFINANCE(""Currency:""&amp;A216&amp;""""&amp;$F$1&amp;""""))))"),"")</f>
        <v/>
      </c>
      <c r="F216" s="501" t="str">
        <f>IFERROR(__xludf.DUMMYFUNCTION("if(A216=""GBP"",if(B216="""","""",if(A216=$F$1,Installment!I216,Installment!I216*GOOGLEFINANCE(""Currency:""&amp;A216&amp;""""&amp;$F$1&amp;"""")))/100,if(B216="""","""",if(A216=$F$1,Installment!I216,Installment!I216*GOOGLEFINANCE(""Currency:""&amp;A216&amp;""""&amp;$F$1&amp;""""))))"),"")</f>
        <v/>
      </c>
      <c r="G216" s="501" t="str">
        <f t="shared" si="1"/>
        <v/>
      </c>
      <c r="H216" s="501" t="str">
        <f t="shared" si="2"/>
        <v/>
      </c>
      <c r="I216" s="501" t="str">
        <f t="shared" si="3"/>
        <v/>
      </c>
    </row>
    <row r="217">
      <c r="A217" s="501" t="str">
        <f>IFERROR(__xludf.DUMMYFUNCTION("IFERROR(if(ISBLANK(Installment!A217),"""",if(GOOGLEFINANCE(Installment!A217,""Currency"")=""GBX"",""GBP"",GOOGLEFINANCE(Installment!A217,""Currency""))),$F$1)"),"")</f>
        <v/>
      </c>
      <c r="B217" s="501" t="str">
        <f>Installment!A217</f>
        <v/>
      </c>
      <c r="C217" s="501" t="str">
        <f>Installment!B217</f>
        <v/>
      </c>
      <c r="D217" s="501" t="str">
        <f>IFERROR(__xludf.DUMMYFUNCTION("if(A217=""GBP"",if(B217="""","""",if(A217=$F$1,Installment!C217,Installment!C217*GOOGLEFINANCE(""Currency:""&amp;A217&amp;""""&amp;$F$1&amp;"""")))/100,if(B217="""","""",if(A217=$F$1,Installment!C217,Installment!C217*GOOGLEFINANCE(""Currency:""&amp;A217&amp;""""&amp;$F$1&amp;""""))))"),"")</f>
        <v/>
      </c>
      <c r="E217" s="501" t="str">
        <f>IFERROR(__xludf.DUMMYFUNCTION("if(A217=""GBP"",if(B217="""","""",if(A217=$F$1,Installment!H217,Installment!H217*GOOGLEFINANCE(""Currency:""&amp;A217&amp;""""&amp;$F$1&amp;"""")))/100,if(B217="""","""",if(A217=$F$1,Installment!H217,Installment!H217*GOOGLEFINANCE(""Currency:""&amp;A217&amp;""""&amp;$F$1&amp;""""))))"),"")</f>
        <v/>
      </c>
      <c r="F217" s="501" t="str">
        <f>IFERROR(__xludf.DUMMYFUNCTION("if(A217=""GBP"",if(B217="""","""",if(A217=$F$1,Installment!I217,Installment!I217*GOOGLEFINANCE(""Currency:""&amp;A217&amp;""""&amp;$F$1&amp;"""")))/100,if(B217="""","""",if(A217=$F$1,Installment!I217,Installment!I217*GOOGLEFINANCE(""Currency:""&amp;A217&amp;""""&amp;$F$1&amp;""""))))"),"")</f>
        <v/>
      </c>
      <c r="G217" s="501" t="str">
        <f t="shared" si="1"/>
        <v/>
      </c>
      <c r="H217" s="501" t="str">
        <f t="shared" si="2"/>
        <v/>
      </c>
      <c r="I217" s="501" t="str">
        <f t="shared" si="3"/>
        <v/>
      </c>
    </row>
    <row r="218">
      <c r="A218" s="501" t="str">
        <f>IFERROR(__xludf.DUMMYFUNCTION("IFERROR(if(ISBLANK(Installment!A218),"""",if(GOOGLEFINANCE(Installment!A218,""Currency"")=""GBX"",""GBP"",GOOGLEFINANCE(Installment!A218,""Currency""))),$F$1)"),"")</f>
        <v/>
      </c>
      <c r="B218" s="501" t="str">
        <f>Installment!A218</f>
        <v/>
      </c>
      <c r="C218" s="501" t="str">
        <f>Installment!B218</f>
        <v/>
      </c>
      <c r="D218" s="501" t="str">
        <f>IFERROR(__xludf.DUMMYFUNCTION("if(A218=""GBP"",if(B218="""","""",if(A218=$F$1,Installment!C218,Installment!C218*GOOGLEFINANCE(""Currency:""&amp;A218&amp;""""&amp;$F$1&amp;"""")))/100,if(B218="""","""",if(A218=$F$1,Installment!C218,Installment!C218*GOOGLEFINANCE(""Currency:""&amp;A218&amp;""""&amp;$F$1&amp;""""))))"),"")</f>
        <v/>
      </c>
      <c r="E218" s="501" t="str">
        <f>IFERROR(__xludf.DUMMYFUNCTION("if(A218=""GBP"",if(B218="""","""",if(A218=$F$1,Installment!H218,Installment!H218*GOOGLEFINANCE(""Currency:""&amp;A218&amp;""""&amp;$F$1&amp;"""")))/100,if(B218="""","""",if(A218=$F$1,Installment!H218,Installment!H218*GOOGLEFINANCE(""Currency:""&amp;A218&amp;""""&amp;$F$1&amp;""""))))"),"")</f>
        <v/>
      </c>
      <c r="F218" s="501" t="str">
        <f>IFERROR(__xludf.DUMMYFUNCTION("if(A218=""GBP"",if(B218="""","""",if(A218=$F$1,Installment!I218,Installment!I218*GOOGLEFINANCE(""Currency:""&amp;A218&amp;""""&amp;$F$1&amp;"""")))/100,if(B218="""","""",if(A218=$F$1,Installment!I218,Installment!I218*GOOGLEFINANCE(""Currency:""&amp;A218&amp;""""&amp;$F$1&amp;""""))))"),"")</f>
        <v/>
      </c>
      <c r="G218" s="501" t="str">
        <f t="shared" si="1"/>
        <v/>
      </c>
      <c r="H218" s="501" t="str">
        <f t="shared" si="2"/>
        <v/>
      </c>
      <c r="I218" s="501" t="str">
        <f t="shared" si="3"/>
        <v/>
      </c>
    </row>
    <row r="219">
      <c r="A219" s="501" t="str">
        <f>IFERROR(__xludf.DUMMYFUNCTION("IFERROR(if(ISBLANK(Installment!A219),"""",if(GOOGLEFINANCE(Installment!A219,""Currency"")=""GBX"",""GBP"",GOOGLEFINANCE(Installment!A219,""Currency""))),$F$1)"),"")</f>
        <v/>
      </c>
      <c r="B219" s="501" t="str">
        <f>Installment!A219</f>
        <v/>
      </c>
      <c r="C219" s="501" t="str">
        <f>Installment!B219</f>
        <v/>
      </c>
      <c r="D219" s="501" t="str">
        <f>IFERROR(__xludf.DUMMYFUNCTION("if(A219=""GBP"",if(B219="""","""",if(A219=$F$1,Installment!C219,Installment!C219*GOOGLEFINANCE(""Currency:""&amp;A219&amp;""""&amp;$F$1&amp;"""")))/100,if(B219="""","""",if(A219=$F$1,Installment!C219,Installment!C219*GOOGLEFINANCE(""Currency:""&amp;A219&amp;""""&amp;$F$1&amp;""""))))"),"")</f>
        <v/>
      </c>
      <c r="E219" s="501" t="str">
        <f>IFERROR(__xludf.DUMMYFUNCTION("if(A219=""GBP"",if(B219="""","""",if(A219=$F$1,Installment!H219,Installment!H219*GOOGLEFINANCE(""Currency:""&amp;A219&amp;""""&amp;$F$1&amp;"""")))/100,if(B219="""","""",if(A219=$F$1,Installment!H219,Installment!H219*GOOGLEFINANCE(""Currency:""&amp;A219&amp;""""&amp;$F$1&amp;""""))))"),"")</f>
        <v/>
      </c>
      <c r="F219" s="501" t="str">
        <f>IFERROR(__xludf.DUMMYFUNCTION("if(A219=""GBP"",if(B219="""","""",if(A219=$F$1,Installment!I219,Installment!I219*GOOGLEFINANCE(""Currency:""&amp;A219&amp;""""&amp;$F$1&amp;"""")))/100,if(B219="""","""",if(A219=$F$1,Installment!I219,Installment!I219*GOOGLEFINANCE(""Currency:""&amp;A219&amp;""""&amp;$F$1&amp;""""))))"),"")</f>
        <v/>
      </c>
      <c r="G219" s="501" t="str">
        <f t="shared" si="1"/>
        <v/>
      </c>
      <c r="H219" s="501" t="str">
        <f t="shared" si="2"/>
        <v/>
      </c>
      <c r="I219" s="501" t="str">
        <f t="shared" si="3"/>
        <v/>
      </c>
    </row>
    <row r="220">
      <c r="A220" s="501" t="str">
        <f>IFERROR(__xludf.DUMMYFUNCTION("IFERROR(if(ISBLANK(Installment!A220),"""",if(GOOGLEFINANCE(Installment!A220,""Currency"")=""GBX"",""GBP"",GOOGLEFINANCE(Installment!A220,""Currency""))),$F$1)"),"")</f>
        <v/>
      </c>
      <c r="B220" s="501" t="str">
        <f>Installment!A220</f>
        <v/>
      </c>
      <c r="C220" s="501" t="str">
        <f>Installment!B220</f>
        <v/>
      </c>
      <c r="D220" s="501" t="str">
        <f>IFERROR(__xludf.DUMMYFUNCTION("if(A220=""GBP"",if(B220="""","""",if(A220=$F$1,Installment!C220,Installment!C220*GOOGLEFINANCE(""Currency:""&amp;A220&amp;""""&amp;$F$1&amp;"""")))/100,if(B220="""","""",if(A220=$F$1,Installment!C220,Installment!C220*GOOGLEFINANCE(""Currency:""&amp;A220&amp;""""&amp;$F$1&amp;""""))))"),"")</f>
        <v/>
      </c>
      <c r="E220" s="501" t="str">
        <f>IFERROR(__xludf.DUMMYFUNCTION("if(A220=""GBP"",if(B220="""","""",if(A220=$F$1,Installment!H220,Installment!H220*GOOGLEFINANCE(""Currency:""&amp;A220&amp;""""&amp;$F$1&amp;"""")))/100,if(B220="""","""",if(A220=$F$1,Installment!H220,Installment!H220*GOOGLEFINANCE(""Currency:""&amp;A220&amp;""""&amp;$F$1&amp;""""))))"),"")</f>
        <v/>
      </c>
      <c r="F220" s="501" t="str">
        <f>IFERROR(__xludf.DUMMYFUNCTION("if(A220=""GBP"",if(B220="""","""",if(A220=$F$1,Installment!I220,Installment!I220*GOOGLEFINANCE(""Currency:""&amp;A220&amp;""""&amp;$F$1&amp;"""")))/100,if(B220="""","""",if(A220=$F$1,Installment!I220,Installment!I220*GOOGLEFINANCE(""Currency:""&amp;A220&amp;""""&amp;$F$1&amp;""""))))"),"")</f>
        <v/>
      </c>
      <c r="G220" s="501" t="str">
        <f t="shared" si="1"/>
        <v/>
      </c>
      <c r="H220" s="501" t="str">
        <f t="shared" si="2"/>
        <v/>
      </c>
      <c r="I220" s="501" t="str">
        <f t="shared" si="3"/>
        <v/>
      </c>
    </row>
    <row r="221">
      <c r="A221" s="501" t="str">
        <f>IFERROR(__xludf.DUMMYFUNCTION("IFERROR(if(ISBLANK(Installment!A221),"""",if(GOOGLEFINANCE(Installment!A221,""Currency"")=""GBX"",""GBP"",GOOGLEFINANCE(Installment!A221,""Currency""))),$F$1)"),"")</f>
        <v/>
      </c>
      <c r="B221" s="501" t="str">
        <f>Installment!A221</f>
        <v/>
      </c>
      <c r="C221" s="501" t="str">
        <f>Installment!B221</f>
        <v/>
      </c>
      <c r="D221" s="501" t="str">
        <f>IFERROR(__xludf.DUMMYFUNCTION("if(A221=""GBP"",if(B221="""","""",if(A221=$F$1,Installment!C221,Installment!C221*GOOGLEFINANCE(""Currency:""&amp;A221&amp;""""&amp;$F$1&amp;"""")))/100,if(B221="""","""",if(A221=$F$1,Installment!C221,Installment!C221*GOOGLEFINANCE(""Currency:""&amp;A221&amp;""""&amp;$F$1&amp;""""))))"),"")</f>
        <v/>
      </c>
      <c r="E221" s="501" t="str">
        <f>IFERROR(__xludf.DUMMYFUNCTION("if(A221=""GBP"",if(B221="""","""",if(A221=$F$1,Installment!H221,Installment!H221*GOOGLEFINANCE(""Currency:""&amp;A221&amp;""""&amp;$F$1&amp;"""")))/100,if(B221="""","""",if(A221=$F$1,Installment!H221,Installment!H221*GOOGLEFINANCE(""Currency:""&amp;A221&amp;""""&amp;$F$1&amp;""""))))"),"")</f>
        <v/>
      </c>
      <c r="F221" s="501" t="str">
        <f>IFERROR(__xludf.DUMMYFUNCTION("if(A221=""GBP"",if(B221="""","""",if(A221=$F$1,Installment!I221,Installment!I221*GOOGLEFINANCE(""Currency:""&amp;A221&amp;""""&amp;$F$1&amp;"""")))/100,if(B221="""","""",if(A221=$F$1,Installment!I221,Installment!I221*GOOGLEFINANCE(""Currency:""&amp;A221&amp;""""&amp;$F$1&amp;""""))))"),"")</f>
        <v/>
      </c>
      <c r="G221" s="501" t="str">
        <f t="shared" si="1"/>
        <v/>
      </c>
      <c r="H221" s="501" t="str">
        <f t="shared" si="2"/>
        <v/>
      </c>
      <c r="I221" s="501" t="str">
        <f t="shared" si="3"/>
        <v/>
      </c>
    </row>
    <row r="222">
      <c r="A222" s="501" t="str">
        <f>IFERROR(__xludf.DUMMYFUNCTION("IFERROR(if(ISBLANK(Installment!A222),"""",if(GOOGLEFINANCE(Installment!A222,""Currency"")=""GBX"",""GBP"",GOOGLEFINANCE(Installment!A222,""Currency""))),$F$1)"),"")</f>
        <v/>
      </c>
      <c r="B222" s="501" t="str">
        <f>Installment!A222</f>
        <v/>
      </c>
      <c r="C222" s="501" t="str">
        <f>Installment!B222</f>
        <v/>
      </c>
      <c r="D222" s="501" t="str">
        <f>IFERROR(__xludf.DUMMYFUNCTION("if(A222=""GBP"",if(B222="""","""",if(A222=$F$1,Installment!C222,Installment!C222*GOOGLEFINANCE(""Currency:""&amp;A222&amp;""""&amp;$F$1&amp;"""")))/100,if(B222="""","""",if(A222=$F$1,Installment!C222,Installment!C222*GOOGLEFINANCE(""Currency:""&amp;A222&amp;""""&amp;$F$1&amp;""""))))"),"")</f>
        <v/>
      </c>
      <c r="E222" s="501" t="str">
        <f>IFERROR(__xludf.DUMMYFUNCTION("if(A222=""GBP"",if(B222="""","""",if(A222=$F$1,Installment!H222,Installment!H222*GOOGLEFINANCE(""Currency:""&amp;A222&amp;""""&amp;$F$1&amp;"""")))/100,if(B222="""","""",if(A222=$F$1,Installment!H222,Installment!H222*GOOGLEFINANCE(""Currency:""&amp;A222&amp;""""&amp;$F$1&amp;""""))))"),"")</f>
        <v/>
      </c>
      <c r="F222" s="501" t="str">
        <f>IFERROR(__xludf.DUMMYFUNCTION("if(A222=""GBP"",if(B222="""","""",if(A222=$F$1,Installment!I222,Installment!I222*GOOGLEFINANCE(""Currency:""&amp;A222&amp;""""&amp;$F$1&amp;"""")))/100,if(B222="""","""",if(A222=$F$1,Installment!I222,Installment!I222*GOOGLEFINANCE(""Currency:""&amp;A222&amp;""""&amp;$F$1&amp;""""))))"),"")</f>
        <v/>
      </c>
      <c r="G222" s="501" t="str">
        <f t="shared" si="1"/>
        <v/>
      </c>
      <c r="H222" s="501" t="str">
        <f t="shared" si="2"/>
        <v/>
      </c>
      <c r="I222" s="501" t="str">
        <f t="shared" si="3"/>
        <v/>
      </c>
    </row>
    <row r="223">
      <c r="A223" s="501" t="str">
        <f>IFERROR(__xludf.DUMMYFUNCTION("IFERROR(if(ISBLANK(Installment!A223),"""",if(GOOGLEFINANCE(Installment!A223,""Currency"")=""GBX"",""GBP"",GOOGLEFINANCE(Installment!A223,""Currency""))),$F$1)"),"")</f>
        <v/>
      </c>
      <c r="B223" s="501" t="str">
        <f>Installment!A223</f>
        <v/>
      </c>
      <c r="C223" s="501" t="str">
        <f>Installment!B223</f>
        <v/>
      </c>
      <c r="D223" s="501" t="str">
        <f>IFERROR(__xludf.DUMMYFUNCTION("if(A223=""GBP"",if(B223="""","""",if(A223=$F$1,Installment!C223,Installment!C223*GOOGLEFINANCE(""Currency:""&amp;A223&amp;""""&amp;$F$1&amp;"""")))/100,if(B223="""","""",if(A223=$F$1,Installment!C223,Installment!C223*GOOGLEFINANCE(""Currency:""&amp;A223&amp;""""&amp;$F$1&amp;""""))))"),"")</f>
        <v/>
      </c>
      <c r="E223" s="501" t="str">
        <f>IFERROR(__xludf.DUMMYFUNCTION("if(A223=""GBP"",if(B223="""","""",if(A223=$F$1,Installment!H223,Installment!H223*GOOGLEFINANCE(""Currency:""&amp;A223&amp;""""&amp;$F$1&amp;"""")))/100,if(B223="""","""",if(A223=$F$1,Installment!H223,Installment!H223*GOOGLEFINANCE(""Currency:""&amp;A223&amp;""""&amp;$F$1&amp;""""))))"),"")</f>
        <v/>
      </c>
      <c r="F223" s="501" t="str">
        <f>IFERROR(__xludf.DUMMYFUNCTION("if(A223=""GBP"",if(B223="""","""",if(A223=$F$1,Installment!I223,Installment!I223*GOOGLEFINANCE(""Currency:""&amp;A223&amp;""""&amp;$F$1&amp;"""")))/100,if(B223="""","""",if(A223=$F$1,Installment!I223,Installment!I223*GOOGLEFINANCE(""Currency:""&amp;A223&amp;""""&amp;$F$1&amp;""""))))"),"")</f>
        <v/>
      </c>
      <c r="G223" s="501" t="str">
        <f t="shared" si="1"/>
        <v/>
      </c>
      <c r="H223" s="501" t="str">
        <f t="shared" si="2"/>
        <v/>
      </c>
      <c r="I223" s="501" t="str">
        <f t="shared" si="3"/>
        <v/>
      </c>
    </row>
    <row r="224">
      <c r="A224" s="501" t="str">
        <f>IFERROR(__xludf.DUMMYFUNCTION("IFERROR(if(ISBLANK(Installment!A224),"""",if(GOOGLEFINANCE(Installment!A224,""Currency"")=""GBX"",""GBP"",GOOGLEFINANCE(Installment!A224,""Currency""))),$F$1)"),"")</f>
        <v/>
      </c>
      <c r="B224" s="501" t="str">
        <f>Installment!A224</f>
        <v/>
      </c>
      <c r="C224" s="501" t="str">
        <f>Installment!B224</f>
        <v/>
      </c>
      <c r="D224" s="501" t="str">
        <f>IFERROR(__xludf.DUMMYFUNCTION("if(A224=""GBP"",if(B224="""","""",if(A224=$F$1,Installment!C224,Installment!C224*GOOGLEFINANCE(""Currency:""&amp;A224&amp;""""&amp;$F$1&amp;"""")))/100,if(B224="""","""",if(A224=$F$1,Installment!C224,Installment!C224*GOOGLEFINANCE(""Currency:""&amp;A224&amp;""""&amp;$F$1&amp;""""))))"),"")</f>
        <v/>
      </c>
      <c r="E224" s="501" t="str">
        <f>IFERROR(__xludf.DUMMYFUNCTION("if(A224=""GBP"",if(B224="""","""",if(A224=$F$1,Installment!H224,Installment!H224*GOOGLEFINANCE(""Currency:""&amp;A224&amp;""""&amp;$F$1&amp;"""")))/100,if(B224="""","""",if(A224=$F$1,Installment!H224,Installment!H224*GOOGLEFINANCE(""Currency:""&amp;A224&amp;""""&amp;$F$1&amp;""""))))"),"")</f>
        <v/>
      </c>
      <c r="F224" s="501" t="str">
        <f>IFERROR(__xludf.DUMMYFUNCTION("if(A224=""GBP"",if(B224="""","""",if(A224=$F$1,Installment!I224,Installment!I224*GOOGLEFINANCE(""Currency:""&amp;A224&amp;""""&amp;$F$1&amp;"""")))/100,if(B224="""","""",if(A224=$F$1,Installment!I224,Installment!I224*GOOGLEFINANCE(""Currency:""&amp;A224&amp;""""&amp;$F$1&amp;""""))))"),"")</f>
        <v/>
      </c>
      <c r="G224" s="501" t="str">
        <f t="shared" si="1"/>
        <v/>
      </c>
      <c r="H224" s="501" t="str">
        <f t="shared" si="2"/>
        <v/>
      </c>
      <c r="I224" s="501" t="str">
        <f t="shared" si="3"/>
        <v/>
      </c>
    </row>
    <row r="225">
      <c r="A225" s="501" t="str">
        <f>IFERROR(__xludf.DUMMYFUNCTION("IFERROR(if(ISBLANK(Installment!A225),"""",if(GOOGLEFINANCE(Installment!A225,""Currency"")=""GBX"",""GBP"",GOOGLEFINANCE(Installment!A225,""Currency""))),$F$1)"),"")</f>
        <v/>
      </c>
      <c r="B225" s="501" t="str">
        <f>Installment!A225</f>
        <v/>
      </c>
      <c r="C225" s="501" t="str">
        <f>Installment!B225</f>
        <v/>
      </c>
      <c r="D225" s="501" t="str">
        <f>IFERROR(__xludf.DUMMYFUNCTION("if(A225=""GBP"",if(B225="""","""",if(A225=$F$1,Installment!C225,Installment!C225*GOOGLEFINANCE(""Currency:""&amp;A225&amp;""""&amp;$F$1&amp;"""")))/100,if(B225="""","""",if(A225=$F$1,Installment!C225,Installment!C225*GOOGLEFINANCE(""Currency:""&amp;A225&amp;""""&amp;$F$1&amp;""""))))"),"")</f>
        <v/>
      </c>
      <c r="E225" s="501" t="str">
        <f>IFERROR(__xludf.DUMMYFUNCTION("if(A225=""GBP"",if(B225="""","""",if(A225=$F$1,Installment!H225,Installment!H225*GOOGLEFINANCE(""Currency:""&amp;A225&amp;""""&amp;$F$1&amp;"""")))/100,if(B225="""","""",if(A225=$F$1,Installment!H225,Installment!H225*GOOGLEFINANCE(""Currency:""&amp;A225&amp;""""&amp;$F$1&amp;""""))))"),"")</f>
        <v/>
      </c>
      <c r="F225" s="501" t="str">
        <f>IFERROR(__xludf.DUMMYFUNCTION("if(A225=""GBP"",if(B225="""","""",if(A225=$F$1,Installment!I225,Installment!I225*GOOGLEFINANCE(""Currency:""&amp;A225&amp;""""&amp;$F$1&amp;"""")))/100,if(B225="""","""",if(A225=$F$1,Installment!I225,Installment!I225*GOOGLEFINANCE(""Currency:""&amp;A225&amp;""""&amp;$F$1&amp;""""))))"),"")</f>
        <v/>
      </c>
      <c r="G225" s="501" t="str">
        <f t="shared" si="1"/>
        <v/>
      </c>
      <c r="H225" s="501" t="str">
        <f t="shared" si="2"/>
        <v/>
      </c>
      <c r="I225" s="501" t="str">
        <f t="shared" si="3"/>
        <v/>
      </c>
    </row>
    <row r="226">
      <c r="A226" s="501" t="str">
        <f>IFERROR(__xludf.DUMMYFUNCTION("IFERROR(if(ISBLANK(Installment!A226),"""",if(GOOGLEFINANCE(Installment!A226,""Currency"")=""GBX"",""GBP"",GOOGLEFINANCE(Installment!A226,""Currency""))),$F$1)"),"")</f>
        <v/>
      </c>
      <c r="B226" s="501" t="str">
        <f>Installment!A226</f>
        <v/>
      </c>
      <c r="C226" s="501" t="str">
        <f>Installment!B226</f>
        <v/>
      </c>
      <c r="D226" s="501" t="str">
        <f>IFERROR(__xludf.DUMMYFUNCTION("if(A226=""GBP"",if(B226="""","""",if(A226=$F$1,Installment!C226,Installment!C226*GOOGLEFINANCE(""Currency:""&amp;A226&amp;""""&amp;$F$1&amp;"""")))/100,if(B226="""","""",if(A226=$F$1,Installment!C226,Installment!C226*GOOGLEFINANCE(""Currency:""&amp;A226&amp;""""&amp;$F$1&amp;""""))))"),"")</f>
        <v/>
      </c>
      <c r="E226" s="501" t="str">
        <f>IFERROR(__xludf.DUMMYFUNCTION("if(A226=""GBP"",if(B226="""","""",if(A226=$F$1,Installment!H226,Installment!H226*GOOGLEFINANCE(""Currency:""&amp;A226&amp;""""&amp;$F$1&amp;"""")))/100,if(B226="""","""",if(A226=$F$1,Installment!H226,Installment!H226*GOOGLEFINANCE(""Currency:""&amp;A226&amp;""""&amp;$F$1&amp;""""))))"),"")</f>
        <v/>
      </c>
      <c r="F226" s="501" t="str">
        <f>IFERROR(__xludf.DUMMYFUNCTION("if(A226=""GBP"",if(B226="""","""",if(A226=$F$1,Installment!I226,Installment!I226*GOOGLEFINANCE(""Currency:""&amp;A226&amp;""""&amp;$F$1&amp;"""")))/100,if(B226="""","""",if(A226=$F$1,Installment!I226,Installment!I226*GOOGLEFINANCE(""Currency:""&amp;A226&amp;""""&amp;$F$1&amp;""""))))"),"")</f>
        <v/>
      </c>
      <c r="G226" s="501" t="str">
        <f t="shared" si="1"/>
        <v/>
      </c>
      <c r="H226" s="501" t="str">
        <f t="shared" si="2"/>
        <v/>
      </c>
      <c r="I226" s="501" t="str">
        <f t="shared" si="3"/>
        <v/>
      </c>
    </row>
    <row r="227">
      <c r="A227" s="501" t="str">
        <f>IFERROR(__xludf.DUMMYFUNCTION("IFERROR(if(ISBLANK(Installment!A227),"""",if(GOOGLEFINANCE(Installment!A227,""Currency"")=""GBX"",""GBP"",GOOGLEFINANCE(Installment!A227,""Currency""))),$F$1)"),"")</f>
        <v/>
      </c>
      <c r="B227" s="501" t="str">
        <f>Installment!A227</f>
        <v/>
      </c>
      <c r="C227" s="501" t="str">
        <f>Installment!B227</f>
        <v/>
      </c>
      <c r="D227" s="501" t="str">
        <f>IFERROR(__xludf.DUMMYFUNCTION("if(A227=""GBP"",if(B227="""","""",if(A227=$F$1,Installment!C227,Installment!C227*GOOGLEFINANCE(""Currency:""&amp;A227&amp;""""&amp;$F$1&amp;"""")))/100,if(B227="""","""",if(A227=$F$1,Installment!C227,Installment!C227*GOOGLEFINANCE(""Currency:""&amp;A227&amp;""""&amp;$F$1&amp;""""))))"),"")</f>
        <v/>
      </c>
      <c r="E227" s="501" t="str">
        <f>IFERROR(__xludf.DUMMYFUNCTION("if(A227=""GBP"",if(B227="""","""",if(A227=$F$1,Installment!H227,Installment!H227*GOOGLEFINANCE(""Currency:""&amp;A227&amp;""""&amp;$F$1&amp;"""")))/100,if(B227="""","""",if(A227=$F$1,Installment!H227,Installment!H227*GOOGLEFINANCE(""Currency:""&amp;A227&amp;""""&amp;$F$1&amp;""""))))"),"")</f>
        <v/>
      </c>
      <c r="F227" s="501" t="str">
        <f>IFERROR(__xludf.DUMMYFUNCTION("if(A227=""GBP"",if(B227="""","""",if(A227=$F$1,Installment!I227,Installment!I227*GOOGLEFINANCE(""Currency:""&amp;A227&amp;""""&amp;$F$1&amp;"""")))/100,if(B227="""","""",if(A227=$F$1,Installment!I227,Installment!I227*GOOGLEFINANCE(""Currency:""&amp;A227&amp;""""&amp;$F$1&amp;""""))))"),"")</f>
        <v/>
      </c>
      <c r="G227" s="501" t="str">
        <f t="shared" si="1"/>
        <v/>
      </c>
      <c r="H227" s="501" t="str">
        <f t="shared" si="2"/>
        <v/>
      </c>
      <c r="I227" s="501" t="str">
        <f t="shared" si="3"/>
        <v/>
      </c>
    </row>
    <row r="228">
      <c r="A228" s="501" t="str">
        <f>IFERROR(__xludf.DUMMYFUNCTION("IFERROR(if(ISBLANK(Installment!A228),"""",if(GOOGLEFINANCE(Installment!A228,""Currency"")=""GBX"",""GBP"",GOOGLEFINANCE(Installment!A228,""Currency""))),$F$1)"),"")</f>
        <v/>
      </c>
      <c r="B228" s="501" t="str">
        <f>Installment!A228</f>
        <v/>
      </c>
      <c r="C228" s="501" t="str">
        <f>Installment!B228</f>
        <v/>
      </c>
      <c r="D228" s="501" t="str">
        <f>IFERROR(__xludf.DUMMYFUNCTION("if(A228=""GBP"",if(B228="""","""",if(A228=$F$1,Installment!C228,Installment!C228*GOOGLEFINANCE(""Currency:""&amp;A228&amp;""""&amp;$F$1&amp;"""")))/100,if(B228="""","""",if(A228=$F$1,Installment!C228,Installment!C228*GOOGLEFINANCE(""Currency:""&amp;A228&amp;""""&amp;$F$1&amp;""""))))"),"")</f>
        <v/>
      </c>
      <c r="E228" s="501" t="str">
        <f>IFERROR(__xludf.DUMMYFUNCTION("if(A228=""GBP"",if(B228="""","""",if(A228=$F$1,Installment!H228,Installment!H228*GOOGLEFINANCE(""Currency:""&amp;A228&amp;""""&amp;$F$1&amp;"""")))/100,if(B228="""","""",if(A228=$F$1,Installment!H228,Installment!H228*GOOGLEFINANCE(""Currency:""&amp;A228&amp;""""&amp;$F$1&amp;""""))))"),"")</f>
        <v/>
      </c>
      <c r="F228" s="501" t="str">
        <f>IFERROR(__xludf.DUMMYFUNCTION("if(A228=""GBP"",if(B228="""","""",if(A228=$F$1,Installment!I228,Installment!I228*GOOGLEFINANCE(""Currency:""&amp;A228&amp;""""&amp;$F$1&amp;"""")))/100,if(B228="""","""",if(A228=$F$1,Installment!I228,Installment!I228*GOOGLEFINANCE(""Currency:""&amp;A228&amp;""""&amp;$F$1&amp;""""))))"),"")</f>
        <v/>
      </c>
      <c r="G228" s="501" t="str">
        <f t="shared" si="1"/>
        <v/>
      </c>
      <c r="H228" s="501" t="str">
        <f t="shared" si="2"/>
        <v/>
      </c>
      <c r="I228" s="501" t="str">
        <f t="shared" si="3"/>
        <v/>
      </c>
    </row>
    <row r="229">
      <c r="A229" s="501" t="str">
        <f>IFERROR(__xludf.DUMMYFUNCTION("IFERROR(if(ISBLANK(Installment!A229),"""",if(GOOGLEFINANCE(Installment!A229,""Currency"")=""GBX"",""GBP"",GOOGLEFINANCE(Installment!A229,""Currency""))),$F$1)"),"")</f>
        <v/>
      </c>
      <c r="B229" s="501" t="str">
        <f>Installment!A229</f>
        <v/>
      </c>
      <c r="C229" s="501" t="str">
        <f>Installment!B229</f>
        <v/>
      </c>
      <c r="D229" s="501" t="str">
        <f>IFERROR(__xludf.DUMMYFUNCTION("if(A229=""GBP"",if(B229="""","""",if(A229=$F$1,Installment!C229,Installment!C229*GOOGLEFINANCE(""Currency:""&amp;A229&amp;""""&amp;$F$1&amp;"""")))/100,if(B229="""","""",if(A229=$F$1,Installment!C229,Installment!C229*GOOGLEFINANCE(""Currency:""&amp;A229&amp;""""&amp;$F$1&amp;""""))))"),"")</f>
        <v/>
      </c>
      <c r="E229" s="501" t="str">
        <f>IFERROR(__xludf.DUMMYFUNCTION("if(A229=""GBP"",if(B229="""","""",if(A229=$F$1,Installment!H229,Installment!H229*GOOGLEFINANCE(""Currency:""&amp;A229&amp;""""&amp;$F$1&amp;"""")))/100,if(B229="""","""",if(A229=$F$1,Installment!H229,Installment!H229*GOOGLEFINANCE(""Currency:""&amp;A229&amp;""""&amp;$F$1&amp;""""))))"),"")</f>
        <v/>
      </c>
      <c r="F229" s="501" t="str">
        <f>IFERROR(__xludf.DUMMYFUNCTION("if(A229=""GBP"",if(B229="""","""",if(A229=$F$1,Installment!I229,Installment!I229*GOOGLEFINANCE(""Currency:""&amp;A229&amp;""""&amp;$F$1&amp;"""")))/100,if(B229="""","""",if(A229=$F$1,Installment!I229,Installment!I229*GOOGLEFINANCE(""Currency:""&amp;A229&amp;""""&amp;$F$1&amp;""""))))"),"")</f>
        <v/>
      </c>
      <c r="G229" s="501" t="str">
        <f t="shared" si="1"/>
        <v/>
      </c>
      <c r="H229" s="501" t="str">
        <f t="shared" si="2"/>
        <v/>
      </c>
      <c r="I229" s="501" t="str">
        <f t="shared" si="3"/>
        <v/>
      </c>
    </row>
    <row r="230">
      <c r="A230" s="501" t="str">
        <f>IFERROR(__xludf.DUMMYFUNCTION("IFERROR(if(ISBLANK(Installment!A230),"""",if(GOOGLEFINANCE(Installment!A230,""Currency"")=""GBX"",""GBP"",GOOGLEFINANCE(Installment!A230,""Currency""))),$F$1)"),"")</f>
        <v/>
      </c>
      <c r="B230" s="501" t="str">
        <f>Installment!A230</f>
        <v/>
      </c>
      <c r="C230" s="501" t="str">
        <f>Installment!B230</f>
        <v/>
      </c>
      <c r="D230" s="501" t="str">
        <f>IFERROR(__xludf.DUMMYFUNCTION("if(A230=""GBP"",if(B230="""","""",if(A230=$F$1,Installment!C230,Installment!C230*GOOGLEFINANCE(""Currency:""&amp;A230&amp;""""&amp;$F$1&amp;"""")))/100,if(B230="""","""",if(A230=$F$1,Installment!C230,Installment!C230*GOOGLEFINANCE(""Currency:""&amp;A230&amp;""""&amp;$F$1&amp;""""))))"),"")</f>
        <v/>
      </c>
      <c r="E230" s="501" t="str">
        <f>IFERROR(__xludf.DUMMYFUNCTION("if(A230=""GBP"",if(B230="""","""",if(A230=$F$1,Installment!H230,Installment!H230*GOOGLEFINANCE(""Currency:""&amp;A230&amp;""""&amp;$F$1&amp;"""")))/100,if(B230="""","""",if(A230=$F$1,Installment!H230,Installment!H230*GOOGLEFINANCE(""Currency:""&amp;A230&amp;""""&amp;$F$1&amp;""""))))"),"")</f>
        <v/>
      </c>
      <c r="F230" s="501" t="str">
        <f>IFERROR(__xludf.DUMMYFUNCTION("if(A230=""GBP"",if(B230="""","""",if(A230=$F$1,Installment!I230,Installment!I230*GOOGLEFINANCE(""Currency:""&amp;A230&amp;""""&amp;$F$1&amp;"""")))/100,if(B230="""","""",if(A230=$F$1,Installment!I230,Installment!I230*GOOGLEFINANCE(""Currency:""&amp;A230&amp;""""&amp;$F$1&amp;""""))))"),"")</f>
        <v/>
      </c>
      <c r="G230" s="501" t="str">
        <f t="shared" si="1"/>
        <v/>
      </c>
      <c r="H230" s="501" t="str">
        <f t="shared" si="2"/>
        <v/>
      </c>
      <c r="I230" s="501" t="str">
        <f t="shared" si="3"/>
        <v/>
      </c>
    </row>
    <row r="231">
      <c r="A231" s="501" t="str">
        <f>IFERROR(__xludf.DUMMYFUNCTION("IFERROR(if(ISBLANK(Installment!A231),"""",if(GOOGLEFINANCE(Installment!A231,""Currency"")=""GBX"",""GBP"",GOOGLEFINANCE(Installment!A231,""Currency""))),$F$1)"),"")</f>
        <v/>
      </c>
      <c r="B231" s="501" t="str">
        <f>Installment!A231</f>
        <v/>
      </c>
      <c r="C231" s="501" t="str">
        <f>Installment!B231</f>
        <v/>
      </c>
      <c r="D231" s="501" t="str">
        <f>IFERROR(__xludf.DUMMYFUNCTION("if(A231=""GBP"",if(B231="""","""",if(A231=$F$1,Installment!C231,Installment!C231*GOOGLEFINANCE(""Currency:""&amp;A231&amp;""""&amp;$F$1&amp;"""")))/100,if(B231="""","""",if(A231=$F$1,Installment!C231,Installment!C231*GOOGLEFINANCE(""Currency:""&amp;A231&amp;""""&amp;$F$1&amp;""""))))"),"")</f>
        <v/>
      </c>
      <c r="E231" s="501" t="str">
        <f>IFERROR(__xludf.DUMMYFUNCTION("if(A231=""GBP"",if(B231="""","""",if(A231=$F$1,Installment!H231,Installment!H231*GOOGLEFINANCE(""Currency:""&amp;A231&amp;""""&amp;$F$1&amp;"""")))/100,if(B231="""","""",if(A231=$F$1,Installment!H231,Installment!H231*GOOGLEFINANCE(""Currency:""&amp;A231&amp;""""&amp;$F$1&amp;""""))))"),"")</f>
        <v/>
      </c>
      <c r="F231" s="501" t="str">
        <f>IFERROR(__xludf.DUMMYFUNCTION("if(A231=""GBP"",if(B231="""","""",if(A231=$F$1,Installment!I231,Installment!I231*GOOGLEFINANCE(""Currency:""&amp;A231&amp;""""&amp;$F$1&amp;"""")))/100,if(B231="""","""",if(A231=$F$1,Installment!I231,Installment!I231*GOOGLEFINANCE(""Currency:""&amp;A231&amp;""""&amp;$F$1&amp;""""))))"),"")</f>
        <v/>
      </c>
      <c r="G231" s="501" t="str">
        <f t="shared" si="1"/>
        <v/>
      </c>
      <c r="H231" s="501" t="str">
        <f t="shared" si="2"/>
        <v/>
      </c>
      <c r="I231" s="501" t="str">
        <f t="shared" si="3"/>
        <v/>
      </c>
    </row>
    <row r="232">
      <c r="A232" s="501" t="str">
        <f>IFERROR(__xludf.DUMMYFUNCTION("IFERROR(if(ISBLANK(Installment!A232),"""",if(GOOGLEFINANCE(Installment!A232,""Currency"")=""GBX"",""GBP"",GOOGLEFINANCE(Installment!A232,""Currency""))),$F$1)"),"")</f>
        <v/>
      </c>
      <c r="B232" s="501" t="str">
        <f>Installment!A232</f>
        <v/>
      </c>
      <c r="C232" s="501" t="str">
        <f>Installment!B232</f>
        <v/>
      </c>
      <c r="D232" s="501" t="str">
        <f>IFERROR(__xludf.DUMMYFUNCTION("if(A232=""GBP"",if(B232="""","""",if(A232=$F$1,Installment!C232,Installment!C232*GOOGLEFINANCE(""Currency:""&amp;A232&amp;""""&amp;$F$1&amp;"""")))/100,if(B232="""","""",if(A232=$F$1,Installment!C232,Installment!C232*GOOGLEFINANCE(""Currency:""&amp;A232&amp;""""&amp;$F$1&amp;""""))))"),"")</f>
        <v/>
      </c>
      <c r="E232" s="501" t="str">
        <f>IFERROR(__xludf.DUMMYFUNCTION("if(A232=""GBP"",if(B232="""","""",if(A232=$F$1,Installment!H232,Installment!H232*GOOGLEFINANCE(""Currency:""&amp;A232&amp;""""&amp;$F$1&amp;"""")))/100,if(B232="""","""",if(A232=$F$1,Installment!H232,Installment!H232*GOOGLEFINANCE(""Currency:""&amp;A232&amp;""""&amp;$F$1&amp;""""))))"),"")</f>
        <v/>
      </c>
      <c r="F232" s="501" t="str">
        <f>IFERROR(__xludf.DUMMYFUNCTION("if(A232=""GBP"",if(B232="""","""",if(A232=$F$1,Installment!I232,Installment!I232*GOOGLEFINANCE(""Currency:""&amp;A232&amp;""""&amp;$F$1&amp;"""")))/100,if(B232="""","""",if(A232=$F$1,Installment!I232,Installment!I232*GOOGLEFINANCE(""Currency:""&amp;A232&amp;""""&amp;$F$1&amp;""""))))"),"")</f>
        <v/>
      </c>
      <c r="G232" s="501" t="str">
        <f t="shared" si="1"/>
        <v/>
      </c>
      <c r="H232" s="501" t="str">
        <f t="shared" si="2"/>
        <v/>
      </c>
      <c r="I232" s="501" t="str">
        <f t="shared" si="3"/>
        <v/>
      </c>
    </row>
    <row r="233">
      <c r="A233" s="501" t="str">
        <f>IFERROR(__xludf.DUMMYFUNCTION("IFERROR(if(ISBLANK(Installment!A233),"""",if(GOOGLEFINANCE(Installment!A233,""Currency"")=""GBX"",""GBP"",GOOGLEFINANCE(Installment!A233,""Currency""))),$F$1)"),"")</f>
        <v/>
      </c>
      <c r="B233" s="501" t="str">
        <f>Installment!A233</f>
        <v/>
      </c>
      <c r="C233" s="501" t="str">
        <f>Installment!B233</f>
        <v/>
      </c>
      <c r="D233" s="501" t="str">
        <f>IFERROR(__xludf.DUMMYFUNCTION("if(A233=""GBP"",if(B233="""","""",if(A233=$F$1,Installment!C233,Installment!C233*GOOGLEFINANCE(""Currency:""&amp;A233&amp;""""&amp;$F$1&amp;"""")))/100,if(B233="""","""",if(A233=$F$1,Installment!C233,Installment!C233*GOOGLEFINANCE(""Currency:""&amp;A233&amp;""""&amp;$F$1&amp;""""))))"),"")</f>
        <v/>
      </c>
      <c r="E233" s="501" t="str">
        <f>IFERROR(__xludf.DUMMYFUNCTION("if(A233=""GBP"",if(B233="""","""",if(A233=$F$1,Installment!H233,Installment!H233*GOOGLEFINANCE(""Currency:""&amp;A233&amp;""""&amp;$F$1&amp;"""")))/100,if(B233="""","""",if(A233=$F$1,Installment!H233,Installment!H233*GOOGLEFINANCE(""Currency:""&amp;A233&amp;""""&amp;$F$1&amp;""""))))"),"")</f>
        <v/>
      </c>
      <c r="F233" s="501" t="str">
        <f>IFERROR(__xludf.DUMMYFUNCTION("if(A233=""GBP"",if(B233="""","""",if(A233=$F$1,Installment!I233,Installment!I233*GOOGLEFINANCE(""Currency:""&amp;A233&amp;""""&amp;$F$1&amp;"""")))/100,if(B233="""","""",if(A233=$F$1,Installment!I233,Installment!I233*GOOGLEFINANCE(""Currency:""&amp;A233&amp;""""&amp;$F$1&amp;""""))))"),"")</f>
        <v/>
      </c>
      <c r="G233" s="501" t="str">
        <f t="shared" si="1"/>
        <v/>
      </c>
      <c r="H233" s="501" t="str">
        <f t="shared" si="2"/>
        <v/>
      </c>
      <c r="I233" s="501" t="str">
        <f t="shared" si="3"/>
        <v/>
      </c>
    </row>
    <row r="234">
      <c r="A234" s="501" t="str">
        <f>IFERROR(__xludf.DUMMYFUNCTION("IFERROR(if(ISBLANK(Installment!A234),"""",if(GOOGLEFINANCE(Installment!A234,""Currency"")=""GBX"",""GBP"",GOOGLEFINANCE(Installment!A234,""Currency""))),$F$1)"),"")</f>
        <v/>
      </c>
      <c r="B234" s="501" t="str">
        <f>Installment!A234</f>
        <v/>
      </c>
      <c r="C234" s="501" t="str">
        <f>Installment!B234</f>
        <v/>
      </c>
      <c r="D234" s="501" t="str">
        <f>IFERROR(__xludf.DUMMYFUNCTION("if(A234=""GBP"",if(B234="""","""",if(A234=$F$1,Installment!C234,Installment!C234*GOOGLEFINANCE(""Currency:""&amp;A234&amp;""""&amp;$F$1&amp;"""")))/100,if(B234="""","""",if(A234=$F$1,Installment!C234,Installment!C234*GOOGLEFINANCE(""Currency:""&amp;A234&amp;""""&amp;$F$1&amp;""""))))"),"")</f>
        <v/>
      </c>
      <c r="E234" s="501" t="str">
        <f>IFERROR(__xludf.DUMMYFUNCTION("if(A234=""GBP"",if(B234="""","""",if(A234=$F$1,Installment!H234,Installment!H234*GOOGLEFINANCE(""Currency:""&amp;A234&amp;""""&amp;$F$1&amp;"""")))/100,if(B234="""","""",if(A234=$F$1,Installment!H234,Installment!H234*GOOGLEFINANCE(""Currency:""&amp;A234&amp;""""&amp;$F$1&amp;""""))))"),"")</f>
        <v/>
      </c>
      <c r="F234" s="501" t="str">
        <f>IFERROR(__xludf.DUMMYFUNCTION("if(A234=""GBP"",if(B234="""","""",if(A234=$F$1,Installment!I234,Installment!I234*GOOGLEFINANCE(""Currency:""&amp;A234&amp;""""&amp;$F$1&amp;"""")))/100,if(B234="""","""",if(A234=$F$1,Installment!I234,Installment!I234*GOOGLEFINANCE(""Currency:""&amp;A234&amp;""""&amp;$F$1&amp;""""))))"),"")</f>
        <v/>
      </c>
      <c r="G234" s="501" t="str">
        <f t="shared" si="1"/>
        <v/>
      </c>
      <c r="H234" s="501" t="str">
        <f t="shared" si="2"/>
        <v/>
      </c>
      <c r="I234" s="501" t="str">
        <f t="shared" si="3"/>
        <v/>
      </c>
    </row>
    <row r="235">
      <c r="A235" s="501" t="str">
        <f>IFERROR(__xludf.DUMMYFUNCTION("IFERROR(if(ISBLANK(Installment!A235),"""",if(GOOGLEFINANCE(Installment!A235,""Currency"")=""GBX"",""GBP"",GOOGLEFINANCE(Installment!A235,""Currency""))),$F$1)"),"")</f>
        <v/>
      </c>
      <c r="B235" s="501" t="str">
        <f>Installment!A235</f>
        <v/>
      </c>
      <c r="C235" s="501" t="str">
        <f>Installment!B235</f>
        <v/>
      </c>
      <c r="D235" s="501" t="str">
        <f>IFERROR(__xludf.DUMMYFUNCTION("if(A235=""GBP"",if(B235="""","""",if(A235=$F$1,Installment!C235,Installment!C235*GOOGLEFINANCE(""Currency:""&amp;A235&amp;""""&amp;$F$1&amp;"""")))/100,if(B235="""","""",if(A235=$F$1,Installment!C235,Installment!C235*GOOGLEFINANCE(""Currency:""&amp;A235&amp;""""&amp;$F$1&amp;""""))))"),"")</f>
        <v/>
      </c>
      <c r="E235" s="501" t="str">
        <f>IFERROR(__xludf.DUMMYFUNCTION("if(A235=""GBP"",if(B235="""","""",if(A235=$F$1,Installment!H235,Installment!H235*GOOGLEFINANCE(""Currency:""&amp;A235&amp;""""&amp;$F$1&amp;"""")))/100,if(B235="""","""",if(A235=$F$1,Installment!H235,Installment!H235*GOOGLEFINANCE(""Currency:""&amp;A235&amp;""""&amp;$F$1&amp;""""))))"),"")</f>
        <v/>
      </c>
      <c r="F235" s="501" t="str">
        <f>IFERROR(__xludf.DUMMYFUNCTION("if(A235=""GBP"",if(B235="""","""",if(A235=$F$1,Installment!I235,Installment!I235*GOOGLEFINANCE(""Currency:""&amp;A235&amp;""""&amp;$F$1&amp;"""")))/100,if(B235="""","""",if(A235=$F$1,Installment!I235,Installment!I235*GOOGLEFINANCE(""Currency:""&amp;A235&amp;""""&amp;$F$1&amp;""""))))"),"")</f>
        <v/>
      </c>
      <c r="G235" s="501" t="str">
        <f t="shared" si="1"/>
        <v/>
      </c>
      <c r="H235" s="501" t="str">
        <f t="shared" si="2"/>
        <v/>
      </c>
      <c r="I235" s="501" t="str">
        <f t="shared" si="3"/>
        <v/>
      </c>
    </row>
    <row r="236">
      <c r="A236" s="501" t="str">
        <f>IFERROR(__xludf.DUMMYFUNCTION("IFERROR(if(ISBLANK(Installment!A236),"""",if(GOOGLEFINANCE(Installment!A236,""Currency"")=""GBX"",""GBP"",GOOGLEFINANCE(Installment!A236,""Currency""))),$F$1)"),"")</f>
        <v/>
      </c>
      <c r="B236" s="501" t="str">
        <f>Installment!A236</f>
        <v/>
      </c>
      <c r="C236" s="501" t="str">
        <f>Installment!B236</f>
        <v/>
      </c>
      <c r="D236" s="501" t="str">
        <f>IFERROR(__xludf.DUMMYFUNCTION("if(A236=""GBP"",if(B236="""","""",if(A236=$F$1,Installment!C236,Installment!C236*GOOGLEFINANCE(""Currency:""&amp;A236&amp;""""&amp;$F$1&amp;"""")))/100,if(B236="""","""",if(A236=$F$1,Installment!C236,Installment!C236*GOOGLEFINANCE(""Currency:""&amp;A236&amp;""""&amp;$F$1&amp;""""))))"),"")</f>
        <v/>
      </c>
      <c r="E236" s="501" t="str">
        <f>IFERROR(__xludf.DUMMYFUNCTION("if(A236=""GBP"",if(B236="""","""",if(A236=$F$1,Installment!H236,Installment!H236*GOOGLEFINANCE(""Currency:""&amp;A236&amp;""""&amp;$F$1&amp;"""")))/100,if(B236="""","""",if(A236=$F$1,Installment!H236,Installment!H236*GOOGLEFINANCE(""Currency:""&amp;A236&amp;""""&amp;$F$1&amp;""""))))"),"")</f>
        <v/>
      </c>
      <c r="F236" s="501" t="str">
        <f>IFERROR(__xludf.DUMMYFUNCTION("if(A236=""GBP"",if(B236="""","""",if(A236=$F$1,Installment!I236,Installment!I236*GOOGLEFINANCE(""Currency:""&amp;A236&amp;""""&amp;$F$1&amp;"""")))/100,if(B236="""","""",if(A236=$F$1,Installment!I236,Installment!I236*GOOGLEFINANCE(""Currency:""&amp;A236&amp;""""&amp;$F$1&amp;""""))))"),"")</f>
        <v/>
      </c>
      <c r="G236" s="501" t="str">
        <f t="shared" si="1"/>
        <v/>
      </c>
      <c r="H236" s="501" t="str">
        <f t="shared" si="2"/>
        <v/>
      </c>
      <c r="I236" s="501" t="str">
        <f t="shared" si="3"/>
        <v/>
      </c>
    </row>
    <row r="237">
      <c r="A237" s="501" t="str">
        <f>IFERROR(__xludf.DUMMYFUNCTION("IFERROR(if(ISBLANK(Installment!A237),"""",if(GOOGLEFINANCE(Installment!A237,""Currency"")=""GBX"",""GBP"",GOOGLEFINANCE(Installment!A237,""Currency""))),$F$1)"),"")</f>
        <v/>
      </c>
      <c r="B237" s="501" t="str">
        <f>Installment!A237</f>
        <v/>
      </c>
      <c r="C237" s="501" t="str">
        <f>Installment!B237</f>
        <v/>
      </c>
      <c r="D237" s="501" t="str">
        <f>IFERROR(__xludf.DUMMYFUNCTION("if(A237=""GBP"",if(B237="""","""",if(A237=$F$1,Installment!C237,Installment!C237*GOOGLEFINANCE(""Currency:""&amp;A237&amp;""""&amp;$F$1&amp;"""")))/100,if(B237="""","""",if(A237=$F$1,Installment!C237,Installment!C237*GOOGLEFINANCE(""Currency:""&amp;A237&amp;""""&amp;$F$1&amp;""""))))"),"")</f>
        <v/>
      </c>
      <c r="E237" s="501" t="str">
        <f>IFERROR(__xludf.DUMMYFUNCTION("if(A237=""GBP"",if(B237="""","""",if(A237=$F$1,Installment!H237,Installment!H237*GOOGLEFINANCE(""Currency:""&amp;A237&amp;""""&amp;$F$1&amp;"""")))/100,if(B237="""","""",if(A237=$F$1,Installment!H237,Installment!H237*GOOGLEFINANCE(""Currency:""&amp;A237&amp;""""&amp;$F$1&amp;""""))))"),"")</f>
        <v/>
      </c>
      <c r="F237" s="501" t="str">
        <f>IFERROR(__xludf.DUMMYFUNCTION("if(A237=""GBP"",if(B237="""","""",if(A237=$F$1,Installment!I237,Installment!I237*GOOGLEFINANCE(""Currency:""&amp;A237&amp;""""&amp;$F$1&amp;"""")))/100,if(B237="""","""",if(A237=$F$1,Installment!I237,Installment!I237*GOOGLEFINANCE(""Currency:""&amp;A237&amp;""""&amp;$F$1&amp;""""))))"),"")</f>
        <v/>
      </c>
      <c r="G237" s="501" t="str">
        <f t="shared" si="1"/>
        <v/>
      </c>
      <c r="H237" s="501" t="str">
        <f t="shared" si="2"/>
        <v/>
      </c>
      <c r="I237" s="501" t="str">
        <f t="shared" si="3"/>
        <v/>
      </c>
    </row>
    <row r="238">
      <c r="A238" s="501" t="str">
        <f>IFERROR(__xludf.DUMMYFUNCTION("IFERROR(if(ISBLANK(Installment!A238),"""",if(GOOGLEFINANCE(Installment!A238,""Currency"")=""GBX"",""GBP"",GOOGLEFINANCE(Installment!A238,""Currency""))),$F$1)"),"")</f>
        <v/>
      </c>
      <c r="B238" s="501" t="str">
        <f>Installment!A238</f>
        <v/>
      </c>
      <c r="C238" s="501" t="str">
        <f>Installment!B238</f>
        <v/>
      </c>
      <c r="D238" s="501" t="str">
        <f>IFERROR(__xludf.DUMMYFUNCTION("if(A238=""GBP"",if(B238="""","""",if(A238=$F$1,Installment!C238,Installment!C238*GOOGLEFINANCE(""Currency:""&amp;A238&amp;""""&amp;$F$1&amp;"""")))/100,if(B238="""","""",if(A238=$F$1,Installment!C238,Installment!C238*GOOGLEFINANCE(""Currency:""&amp;A238&amp;""""&amp;$F$1&amp;""""))))"),"")</f>
        <v/>
      </c>
      <c r="E238" s="501" t="str">
        <f>IFERROR(__xludf.DUMMYFUNCTION("if(A238=""GBP"",if(B238="""","""",if(A238=$F$1,Installment!H238,Installment!H238*GOOGLEFINANCE(""Currency:""&amp;A238&amp;""""&amp;$F$1&amp;"""")))/100,if(B238="""","""",if(A238=$F$1,Installment!H238,Installment!H238*GOOGLEFINANCE(""Currency:""&amp;A238&amp;""""&amp;$F$1&amp;""""))))"),"")</f>
        <v/>
      </c>
      <c r="F238" s="501" t="str">
        <f>IFERROR(__xludf.DUMMYFUNCTION("if(A238=""GBP"",if(B238="""","""",if(A238=$F$1,Installment!I238,Installment!I238*GOOGLEFINANCE(""Currency:""&amp;A238&amp;""""&amp;$F$1&amp;"""")))/100,if(B238="""","""",if(A238=$F$1,Installment!I238,Installment!I238*GOOGLEFINANCE(""Currency:""&amp;A238&amp;""""&amp;$F$1&amp;""""))))"),"")</f>
        <v/>
      </c>
      <c r="G238" s="501" t="str">
        <f t="shared" si="1"/>
        <v/>
      </c>
      <c r="H238" s="501" t="str">
        <f t="shared" si="2"/>
        <v/>
      </c>
      <c r="I238" s="501" t="str">
        <f t="shared" si="3"/>
        <v/>
      </c>
    </row>
    <row r="239">
      <c r="A239" s="501" t="str">
        <f>IFERROR(__xludf.DUMMYFUNCTION("IFERROR(if(ISBLANK(Installment!A239),"""",if(GOOGLEFINANCE(Installment!A239,""Currency"")=""GBX"",""GBP"",GOOGLEFINANCE(Installment!A239,""Currency""))),$F$1)"),"")</f>
        <v/>
      </c>
      <c r="B239" s="501" t="str">
        <f>Installment!A239</f>
        <v/>
      </c>
      <c r="C239" s="501" t="str">
        <f>Installment!B239</f>
        <v/>
      </c>
      <c r="D239" s="501" t="str">
        <f>IFERROR(__xludf.DUMMYFUNCTION("if(A239=""GBP"",if(B239="""","""",if(A239=$F$1,Installment!C239,Installment!C239*GOOGLEFINANCE(""Currency:""&amp;A239&amp;""""&amp;$F$1&amp;"""")))/100,if(B239="""","""",if(A239=$F$1,Installment!C239,Installment!C239*GOOGLEFINANCE(""Currency:""&amp;A239&amp;""""&amp;$F$1&amp;""""))))"),"")</f>
        <v/>
      </c>
      <c r="E239" s="501" t="str">
        <f>IFERROR(__xludf.DUMMYFUNCTION("if(A239=""GBP"",if(B239="""","""",if(A239=$F$1,Installment!H239,Installment!H239*GOOGLEFINANCE(""Currency:""&amp;A239&amp;""""&amp;$F$1&amp;"""")))/100,if(B239="""","""",if(A239=$F$1,Installment!H239,Installment!H239*GOOGLEFINANCE(""Currency:""&amp;A239&amp;""""&amp;$F$1&amp;""""))))"),"")</f>
        <v/>
      </c>
      <c r="F239" s="501" t="str">
        <f>IFERROR(__xludf.DUMMYFUNCTION("if(A239=""GBP"",if(B239="""","""",if(A239=$F$1,Installment!I239,Installment!I239*GOOGLEFINANCE(""Currency:""&amp;A239&amp;""""&amp;$F$1&amp;"""")))/100,if(B239="""","""",if(A239=$F$1,Installment!I239,Installment!I239*GOOGLEFINANCE(""Currency:""&amp;A239&amp;""""&amp;$F$1&amp;""""))))"),"")</f>
        <v/>
      </c>
      <c r="G239" s="501" t="str">
        <f t="shared" si="1"/>
        <v/>
      </c>
      <c r="H239" s="501" t="str">
        <f t="shared" si="2"/>
        <v/>
      </c>
      <c r="I239" s="501" t="str">
        <f t="shared" si="3"/>
        <v/>
      </c>
    </row>
    <row r="240">
      <c r="A240" s="501" t="str">
        <f>IFERROR(__xludf.DUMMYFUNCTION("IFERROR(if(ISBLANK(Installment!A240),"""",if(GOOGLEFINANCE(Installment!A240,""Currency"")=""GBX"",""GBP"",GOOGLEFINANCE(Installment!A240,""Currency""))),$F$1)"),"")</f>
        <v/>
      </c>
      <c r="B240" s="501" t="str">
        <f>Installment!A240</f>
        <v/>
      </c>
      <c r="C240" s="501" t="str">
        <f>Installment!B240</f>
        <v/>
      </c>
      <c r="D240" s="501" t="str">
        <f>IFERROR(__xludf.DUMMYFUNCTION("if(A240=""GBP"",if(B240="""","""",if(A240=$F$1,Installment!C240,Installment!C240*GOOGLEFINANCE(""Currency:""&amp;A240&amp;""""&amp;$F$1&amp;"""")))/100,if(B240="""","""",if(A240=$F$1,Installment!C240,Installment!C240*GOOGLEFINANCE(""Currency:""&amp;A240&amp;""""&amp;$F$1&amp;""""))))"),"")</f>
        <v/>
      </c>
      <c r="E240" s="501" t="str">
        <f>IFERROR(__xludf.DUMMYFUNCTION("if(A240=""GBP"",if(B240="""","""",if(A240=$F$1,Installment!H240,Installment!H240*GOOGLEFINANCE(""Currency:""&amp;A240&amp;""""&amp;$F$1&amp;"""")))/100,if(B240="""","""",if(A240=$F$1,Installment!H240,Installment!H240*GOOGLEFINANCE(""Currency:""&amp;A240&amp;""""&amp;$F$1&amp;""""))))"),"")</f>
        <v/>
      </c>
      <c r="F240" s="501" t="str">
        <f>IFERROR(__xludf.DUMMYFUNCTION("if(A240=""GBP"",if(B240="""","""",if(A240=$F$1,Installment!I240,Installment!I240*GOOGLEFINANCE(""Currency:""&amp;A240&amp;""""&amp;$F$1&amp;"""")))/100,if(B240="""","""",if(A240=$F$1,Installment!I240,Installment!I240*GOOGLEFINANCE(""Currency:""&amp;A240&amp;""""&amp;$F$1&amp;""""))))"),"")</f>
        <v/>
      </c>
      <c r="G240" s="501" t="str">
        <f t="shared" si="1"/>
        <v/>
      </c>
      <c r="H240" s="501" t="str">
        <f t="shared" si="2"/>
        <v/>
      </c>
      <c r="I240" s="501" t="str">
        <f t="shared" si="3"/>
        <v/>
      </c>
    </row>
    <row r="241">
      <c r="A241" s="501" t="str">
        <f>IFERROR(__xludf.DUMMYFUNCTION("IFERROR(if(ISBLANK(Installment!A241),"""",if(GOOGLEFINANCE(Installment!A241,""Currency"")=""GBX"",""GBP"",GOOGLEFINANCE(Installment!A241,""Currency""))),$F$1)"),"")</f>
        <v/>
      </c>
      <c r="B241" s="501" t="str">
        <f>Installment!A241</f>
        <v/>
      </c>
      <c r="C241" s="501" t="str">
        <f>Installment!B241</f>
        <v/>
      </c>
      <c r="D241" s="501" t="str">
        <f>IFERROR(__xludf.DUMMYFUNCTION("if(A241=""GBP"",if(B241="""","""",if(A241=$F$1,Installment!C241,Installment!C241*GOOGLEFINANCE(""Currency:""&amp;A241&amp;""""&amp;$F$1&amp;"""")))/100,if(B241="""","""",if(A241=$F$1,Installment!C241,Installment!C241*GOOGLEFINANCE(""Currency:""&amp;A241&amp;""""&amp;$F$1&amp;""""))))"),"")</f>
        <v/>
      </c>
      <c r="E241" s="501" t="str">
        <f>IFERROR(__xludf.DUMMYFUNCTION("if(A241=""GBP"",if(B241="""","""",if(A241=$F$1,Installment!H241,Installment!H241*GOOGLEFINANCE(""Currency:""&amp;A241&amp;""""&amp;$F$1&amp;"""")))/100,if(B241="""","""",if(A241=$F$1,Installment!H241,Installment!H241*GOOGLEFINANCE(""Currency:""&amp;A241&amp;""""&amp;$F$1&amp;""""))))"),"")</f>
        <v/>
      </c>
      <c r="F241" s="501" t="str">
        <f>IFERROR(__xludf.DUMMYFUNCTION("if(A241=""GBP"",if(B241="""","""",if(A241=$F$1,Installment!I241,Installment!I241*GOOGLEFINANCE(""Currency:""&amp;A241&amp;""""&amp;$F$1&amp;"""")))/100,if(B241="""","""",if(A241=$F$1,Installment!I241,Installment!I241*GOOGLEFINANCE(""Currency:""&amp;A241&amp;""""&amp;$F$1&amp;""""))))"),"")</f>
        <v/>
      </c>
      <c r="G241" s="501" t="str">
        <f t="shared" si="1"/>
        <v/>
      </c>
      <c r="H241" s="501" t="str">
        <f t="shared" si="2"/>
        <v/>
      </c>
      <c r="I241" s="501" t="str">
        <f t="shared" si="3"/>
        <v/>
      </c>
    </row>
    <row r="242">
      <c r="A242" s="501" t="str">
        <f>IFERROR(__xludf.DUMMYFUNCTION("IFERROR(if(ISBLANK(Installment!A242),"""",if(GOOGLEFINANCE(Installment!A242,""Currency"")=""GBX"",""GBP"",GOOGLEFINANCE(Installment!A242,""Currency""))),$F$1)"),"")</f>
        <v/>
      </c>
      <c r="B242" s="501" t="str">
        <f>Installment!A242</f>
        <v/>
      </c>
      <c r="C242" s="501" t="str">
        <f>Installment!B242</f>
        <v/>
      </c>
      <c r="D242" s="501" t="str">
        <f>IFERROR(__xludf.DUMMYFUNCTION("if(A242=""GBP"",if(B242="""","""",if(A242=$F$1,Installment!C242,Installment!C242*GOOGLEFINANCE(""Currency:""&amp;A242&amp;""""&amp;$F$1&amp;"""")))/100,if(B242="""","""",if(A242=$F$1,Installment!C242,Installment!C242*GOOGLEFINANCE(""Currency:""&amp;A242&amp;""""&amp;$F$1&amp;""""))))"),"")</f>
        <v/>
      </c>
      <c r="E242" s="501" t="str">
        <f>IFERROR(__xludf.DUMMYFUNCTION("if(A242=""GBP"",if(B242="""","""",if(A242=$F$1,Installment!H242,Installment!H242*GOOGLEFINANCE(""Currency:""&amp;A242&amp;""""&amp;$F$1&amp;"""")))/100,if(B242="""","""",if(A242=$F$1,Installment!H242,Installment!H242*GOOGLEFINANCE(""Currency:""&amp;A242&amp;""""&amp;$F$1&amp;""""))))"),"")</f>
        <v/>
      </c>
      <c r="F242" s="501" t="str">
        <f>IFERROR(__xludf.DUMMYFUNCTION("if(A242=""GBP"",if(B242="""","""",if(A242=$F$1,Installment!I242,Installment!I242*GOOGLEFINANCE(""Currency:""&amp;A242&amp;""""&amp;$F$1&amp;"""")))/100,if(B242="""","""",if(A242=$F$1,Installment!I242,Installment!I242*GOOGLEFINANCE(""Currency:""&amp;A242&amp;""""&amp;$F$1&amp;""""))))"),"")</f>
        <v/>
      </c>
      <c r="G242" s="501" t="str">
        <f t="shared" si="1"/>
        <v/>
      </c>
      <c r="H242" s="501" t="str">
        <f t="shared" si="2"/>
        <v/>
      </c>
      <c r="I242" s="501" t="str">
        <f t="shared" si="3"/>
        <v/>
      </c>
    </row>
    <row r="243">
      <c r="A243" s="501" t="str">
        <f>IFERROR(__xludf.DUMMYFUNCTION("IFERROR(if(ISBLANK(Installment!A243),"""",if(GOOGLEFINANCE(Installment!A243,""Currency"")=""GBX"",""GBP"",GOOGLEFINANCE(Installment!A243,""Currency""))),$F$1)"),"")</f>
        <v/>
      </c>
      <c r="B243" s="501" t="str">
        <f>Installment!A243</f>
        <v/>
      </c>
      <c r="C243" s="501" t="str">
        <f>Installment!B243</f>
        <v/>
      </c>
      <c r="D243" s="501" t="str">
        <f>IFERROR(__xludf.DUMMYFUNCTION("if(A243=""GBP"",if(B243="""","""",if(A243=$F$1,Installment!C243,Installment!C243*GOOGLEFINANCE(""Currency:""&amp;A243&amp;""""&amp;$F$1&amp;"""")))/100,if(B243="""","""",if(A243=$F$1,Installment!C243,Installment!C243*GOOGLEFINANCE(""Currency:""&amp;A243&amp;""""&amp;$F$1&amp;""""))))"),"")</f>
        <v/>
      </c>
      <c r="E243" s="501" t="str">
        <f>IFERROR(__xludf.DUMMYFUNCTION("if(A243=""GBP"",if(B243="""","""",if(A243=$F$1,Installment!H243,Installment!H243*GOOGLEFINANCE(""Currency:""&amp;A243&amp;""""&amp;$F$1&amp;"""")))/100,if(B243="""","""",if(A243=$F$1,Installment!H243,Installment!H243*GOOGLEFINANCE(""Currency:""&amp;A243&amp;""""&amp;$F$1&amp;""""))))"),"")</f>
        <v/>
      </c>
      <c r="F243" s="501" t="str">
        <f>IFERROR(__xludf.DUMMYFUNCTION("if(A243=""GBP"",if(B243="""","""",if(A243=$F$1,Installment!I243,Installment!I243*GOOGLEFINANCE(""Currency:""&amp;A243&amp;""""&amp;$F$1&amp;"""")))/100,if(B243="""","""",if(A243=$F$1,Installment!I243,Installment!I243*GOOGLEFINANCE(""Currency:""&amp;A243&amp;""""&amp;$F$1&amp;""""))))"),"")</f>
        <v/>
      </c>
      <c r="G243" s="501" t="str">
        <f t="shared" si="1"/>
        <v/>
      </c>
      <c r="H243" s="501" t="str">
        <f t="shared" si="2"/>
        <v/>
      </c>
      <c r="I243" s="501" t="str">
        <f t="shared" si="3"/>
        <v/>
      </c>
    </row>
    <row r="244">
      <c r="A244" s="501" t="str">
        <f>IFERROR(__xludf.DUMMYFUNCTION("IFERROR(if(ISBLANK(Installment!A244),"""",if(GOOGLEFINANCE(Installment!A244,""Currency"")=""GBX"",""GBP"",GOOGLEFINANCE(Installment!A244,""Currency""))),$F$1)"),"")</f>
        <v/>
      </c>
      <c r="B244" s="501" t="str">
        <f>Installment!A244</f>
        <v/>
      </c>
      <c r="C244" s="501" t="str">
        <f>Installment!B244</f>
        <v/>
      </c>
      <c r="D244" s="501" t="str">
        <f>IFERROR(__xludf.DUMMYFUNCTION("if(A244=""GBP"",if(B244="""","""",if(A244=$F$1,Installment!C244,Installment!C244*GOOGLEFINANCE(""Currency:""&amp;A244&amp;""""&amp;$F$1&amp;"""")))/100,if(B244="""","""",if(A244=$F$1,Installment!C244,Installment!C244*GOOGLEFINANCE(""Currency:""&amp;A244&amp;""""&amp;$F$1&amp;""""))))"),"")</f>
        <v/>
      </c>
      <c r="E244" s="501" t="str">
        <f>IFERROR(__xludf.DUMMYFUNCTION("if(A244=""GBP"",if(B244="""","""",if(A244=$F$1,Installment!H244,Installment!H244*GOOGLEFINANCE(""Currency:""&amp;A244&amp;""""&amp;$F$1&amp;"""")))/100,if(B244="""","""",if(A244=$F$1,Installment!H244,Installment!H244*GOOGLEFINANCE(""Currency:""&amp;A244&amp;""""&amp;$F$1&amp;""""))))"),"")</f>
        <v/>
      </c>
      <c r="F244" s="501" t="str">
        <f>IFERROR(__xludf.DUMMYFUNCTION("if(A244=""GBP"",if(B244="""","""",if(A244=$F$1,Installment!I244,Installment!I244*GOOGLEFINANCE(""Currency:""&amp;A244&amp;""""&amp;$F$1&amp;"""")))/100,if(B244="""","""",if(A244=$F$1,Installment!I244,Installment!I244*GOOGLEFINANCE(""Currency:""&amp;A244&amp;""""&amp;$F$1&amp;""""))))"),"")</f>
        <v/>
      </c>
      <c r="G244" s="501" t="str">
        <f t="shared" si="1"/>
        <v/>
      </c>
      <c r="H244" s="501" t="str">
        <f t="shared" si="2"/>
        <v/>
      </c>
      <c r="I244" s="501" t="str">
        <f t="shared" si="3"/>
        <v/>
      </c>
    </row>
    <row r="245">
      <c r="A245" s="501" t="str">
        <f>IFERROR(__xludf.DUMMYFUNCTION("IFERROR(if(ISBLANK(Installment!A245),"""",if(GOOGLEFINANCE(Installment!A245,""Currency"")=""GBX"",""GBP"",GOOGLEFINANCE(Installment!A245,""Currency""))),$F$1)"),"")</f>
        <v/>
      </c>
      <c r="B245" s="501" t="str">
        <f>Installment!A245</f>
        <v/>
      </c>
      <c r="C245" s="501" t="str">
        <f>Installment!B245</f>
        <v/>
      </c>
      <c r="D245" s="501" t="str">
        <f>IFERROR(__xludf.DUMMYFUNCTION("if(A245=""GBP"",if(B245="""","""",if(A245=$F$1,Installment!C245,Installment!C245*GOOGLEFINANCE(""Currency:""&amp;A245&amp;""""&amp;$F$1&amp;"""")))/100,if(B245="""","""",if(A245=$F$1,Installment!C245,Installment!C245*GOOGLEFINANCE(""Currency:""&amp;A245&amp;""""&amp;$F$1&amp;""""))))"),"")</f>
        <v/>
      </c>
      <c r="E245" s="501" t="str">
        <f>IFERROR(__xludf.DUMMYFUNCTION("if(A245=""GBP"",if(B245="""","""",if(A245=$F$1,Installment!H245,Installment!H245*GOOGLEFINANCE(""Currency:""&amp;A245&amp;""""&amp;$F$1&amp;"""")))/100,if(B245="""","""",if(A245=$F$1,Installment!H245,Installment!H245*GOOGLEFINANCE(""Currency:""&amp;A245&amp;""""&amp;$F$1&amp;""""))))"),"")</f>
        <v/>
      </c>
      <c r="F245" s="501" t="str">
        <f>IFERROR(__xludf.DUMMYFUNCTION("if(A245=""GBP"",if(B245="""","""",if(A245=$F$1,Installment!I245,Installment!I245*GOOGLEFINANCE(""Currency:""&amp;A245&amp;""""&amp;$F$1&amp;"""")))/100,if(B245="""","""",if(A245=$F$1,Installment!I245,Installment!I245*GOOGLEFINANCE(""Currency:""&amp;A245&amp;""""&amp;$F$1&amp;""""))))"),"")</f>
        <v/>
      </c>
      <c r="G245" s="501" t="str">
        <f t="shared" si="1"/>
        <v/>
      </c>
      <c r="H245" s="501" t="str">
        <f t="shared" si="2"/>
        <v/>
      </c>
      <c r="I245" s="501" t="str">
        <f t="shared" si="3"/>
        <v/>
      </c>
    </row>
    <row r="246">
      <c r="A246" s="501" t="str">
        <f>IFERROR(__xludf.DUMMYFUNCTION("IFERROR(if(ISBLANK(Installment!A246),"""",if(GOOGLEFINANCE(Installment!A246,""Currency"")=""GBX"",""GBP"",GOOGLEFINANCE(Installment!A246,""Currency""))),$F$1)"),"")</f>
        <v/>
      </c>
      <c r="B246" s="501" t="str">
        <f>Installment!A246</f>
        <v/>
      </c>
      <c r="C246" s="501" t="str">
        <f>Installment!B246</f>
        <v/>
      </c>
      <c r="D246" s="501" t="str">
        <f>IFERROR(__xludf.DUMMYFUNCTION("if(A246=""GBP"",if(B246="""","""",if(A246=$F$1,Installment!C246,Installment!C246*GOOGLEFINANCE(""Currency:""&amp;A246&amp;""""&amp;$F$1&amp;"""")))/100,if(B246="""","""",if(A246=$F$1,Installment!C246,Installment!C246*GOOGLEFINANCE(""Currency:""&amp;A246&amp;""""&amp;$F$1&amp;""""))))"),"")</f>
        <v/>
      </c>
      <c r="E246" s="501" t="str">
        <f>IFERROR(__xludf.DUMMYFUNCTION("if(A246=""GBP"",if(B246="""","""",if(A246=$F$1,Installment!H246,Installment!H246*GOOGLEFINANCE(""Currency:""&amp;A246&amp;""""&amp;$F$1&amp;"""")))/100,if(B246="""","""",if(A246=$F$1,Installment!H246,Installment!H246*GOOGLEFINANCE(""Currency:""&amp;A246&amp;""""&amp;$F$1&amp;""""))))"),"")</f>
        <v/>
      </c>
      <c r="F246" s="501" t="str">
        <f>IFERROR(__xludf.DUMMYFUNCTION("if(A246=""GBP"",if(B246="""","""",if(A246=$F$1,Installment!I246,Installment!I246*GOOGLEFINANCE(""Currency:""&amp;A246&amp;""""&amp;$F$1&amp;"""")))/100,if(B246="""","""",if(A246=$F$1,Installment!I246,Installment!I246*GOOGLEFINANCE(""Currency:""&amp;A246&amp;""""&amp;$F$1&amp;""""))))"),"")</f>
        <v/>
      </c>
      <c r="G246" s="501" t="str">
        <f t="shared" si="1"/>
        <v/>
      </c>
      <c r="H246" s="501" t="str">
        <f t="shared" si="2"/>
        <v/>
      </c>
      <c r="I246" s="501" t="str">
        <f t="shared" si="3"/>
        <v/>
      </c>
    </row>
    <row r="247">
      <c r="A247" s="501" t="str">
        <f>IFERROR(__xludf.DUMMYFUNCTION("IFERROR(if(ISBLANK(Installment!A247),"""",if(GOOGLEFINANCE(Installment!A247,""Currency"")=""GBX"",""GBP"",GOOGLEFINANCE(Installment!A247,""Currency""))),$F$1)"),"")</f>
        <v/>
      </c>
      <c r="B247" s="501" t="str">
        <f>Installment!A247</f>
        <v/>
      </c>
      <c r="C247" s="501" t="str">
        <f>Installment!B247</f>
        <v/>
      </c>
      <c r="D247" s="501" t="str">
        <f>IFERROR(__xludf.DUMMYFUNCTION("if(A247=""GBP"",if(B247="""","""",if(A247=$F$1,Installment!C247,Installment!C247*GOOGLEFINANCE(""Currency:""&amp;A247&amp;""""&amp;$F$1&amp;"""")))/100,if(B247="""","""",if(A247=$F$1,Installment!C247,Installment!C247*GOOGLEFINANCE(""Currency:""&amp;A247&amp;""""&amp;$F$1&amp;""""))))"),"")</f>
        <v/>
      </c>
      <c r="E247" s="501" t="str">
        <f>IFERROR(__xludf.DUMMYFUNCTION("if(A247=""GBP"",if(B247="""","""",if(A247=$F$1,Installment!H247,Installment!H247*GOOGLEFINANCE(""Currency:""&amp;A247&amp;""""&amp;$F$1&amp;"""")))/100,if(B247="""","""",if(A247=$F$1,Installment!H247,Installment!H247*GOOGLEFINANCE(""Currency:""&amp;A247&amp;""""&amp;$F$1&amp;""""))))"),"")</f>
        <v/>
      </c>
      <c r="F247" s="501" t="str">
        <f>IFERROR(__xludf.DUMMYFUNCTION("if(A247=""GBP"",if(B247="""","""",if(A247=$F$1,Installment!I247,Installment!I247*GOOGLEFINANCE(""Currency:""&amp;A247&amp;""""&amp;$F$1&amp;"""")))/100,if(B247="""","""",if(A247=$F$1,Installment!I247,Installment!I247*GOOGLEFINANCE(""Currency:""&amp;A247&amp;""""&amp;$F$1&amp;""""))))"),"")</f>
        <v/>
      </c>
      <c r="G247" s="501" t="str">
        <f t="shared" si="1"/>
        <v/>
      </c>
      <c r="H247" s="501" t="str">
        <f t="shared" si="2"/>
        <v/>
      </c>
      <c r="I247" s="501" t="str">
        <f t="shared" si="3"/>
        <v/>
      </c>
    </row>
    <row r="248">
      <c r="A248" s="501" t="str">
        <f>IFERROR(__xludf.DUMMYFUNCTION("IFERROR(if(ISBLANK(Installment!A248),"""",if(GOOGLEFINANCE(Installment!A248,""Currency"")=""GBX"",""GBP"",GOOGLEFINANCE(Installment!A248,""Currency""))),$F$1)"),"")</f>
        <v/>
      </c>
      <c r="B248" s="501" t="str">
        <f>Installment!A248</f>
        <v/>
      </c>
      <c r="C248" s="501" t="str">
        <f>Installment!B248</f>
        <v/>
      </c>
      <c r="D248" s="501" t="str">
        <f>IFERROR(__xludf.DUMMYFUNCTION("if(A248=""GBP"",if(B248="""","""",if(A248=$F$1,Installment!C248,Installment!C248*GOOGLEFINANCE(""Currency:""&amp;A248&amp;""""&amp;$F$1&amp;"""")))/100,if(B248="""","""",if(A248=$F$1,Installment!C248,Installment!C248*GOOGLEFINANCE(""Currency:""&amp;A248&amp;""""&amp;$F$1&amp;""""))))"),"")</f>
        <v/>
      </c>
      <c r="E248" s="501" t="str">
        <f>IFERROR(__xludf.DUMMYFUNCTION("if(A248=""GBP"",if(B248="""","""",if(A248=$F$1,Installment!H248,Installment!H248*GOOGLEFINANCE(""Currency:""&amp;A248&amp;""""&amp;$F$1&amp;"""")))/100,if(B248="""","""",if(A248=$F$1,Installment!H248,Installment!H248*GOOGLEFINANCE(""Currency:""&amp;A248&amp;""""&amp;$F$1&amp;""""))))"),"")</f>
        <v/>
      </c>
      <c r="F248" s="501" t="str">
        <f>IFERROR(__xludf.DUMMYFUNCTION("if(A248=""GBP"",if(B248="""","""",if(A248=$F$1,Installment!I248,Installment!I248*GOOGLEFINANCE(""Currency:""&amp;A248&amp;""""&amp;$F$1&amp;"""")))/100,if(B248="""","""",if(A248=$F$1,Installment!I248,Installment!I248*GOOGLEFINANCE(""Currency:""&amp;A248&amp;""""&amp;$F$1&amp;""""))))"),"")</f>
        <v/>
      </c>
      <c r="G248" s="501" t="str">
        <f t="shared" si="1"/>
        <v/>
      </c>
      <c r="H248" s="501" t="str">
        <f t="shared" si="2"/>
        <v/>
      </c>
      <c r="I248" s="501" t="str">
        <f t="shared" si="3"/>
        <v/>
      </c>
    </row>
    <row r="249">
      <c r="A249" s="501" t="str">
        <f>IFERROR(__xludf.DUMMYFUNCTION("IFERROR(if(ISBLANK(Installment!A249),"""",if(GOOGLEFINANCE(Installment!A249,""Currency"")=""GBX"",""GBP"",GOOGLEFINANCE(Installment!A249,""Currency""))),$F$1)"),"")</f>
        <v/>
      </c>
      <c r="B249" s="501" t="str">
        <f>Installment!A249</f>
        <v/>
      </c>
      <c r="C249" s="501" t="str">
        <f>Installment!B249</f>
        <v/>
      </c>
      <c r="D249" s="501" t="str">
        <f>IFERROR(__xludf.DUMMYFUNCTION("if(A249=""GBP"",if(B249="""","""",if(A249=$F$1,Installment!C249,Installment!C249*GOOGLEFINANCE(""Currency:""&amp;A249&amp;""""&amp;$F$1&amp;"""")))/100,if(B249="""","""",if(A249=$F$1,Installment!C249,Installment!C249*GOOGLEFINANCE(""Currency:""&amp;A249&amp;""""&amp;$F$1&amp;""""))))"),"")</f>
        <v/>
      </c>
      <c r="E249" s="501" t="str">
        <f>IFERROR(__xludf.DUMMYFUNCTION("if(A249=""GBP"",if(B249="""","""",if(A249=$F$1,Installment!H249,Installment!H249*GOOGLEFINANCE(""Currency:""&amp;A249&amp;""""&amp;$F$1&amp;"""")))/100,if(B249="""","""",if(A249=$F$1,Installment!H249,Installment!H249*GOOGLEFINANCE(""Currency:""&amp;A249&amp;""""&amp;$F$1&amp;""""))))"),"")</f>
        <v/>
      </c>
      <c r="F249" s="501" t="str">
        <f>IFERROR(__xludf.DUMMYFUNCTION("if(A249=""GBP"",if(B249="""","""",if(A249=$F$1,Installment!I249,Installment!I249*GOOGLEFINANCE(""Currency:""&amp;A249&amp;""""&amp;$F$1&amp;"""")))/100,if(B249="""","""",if(A249=$F$1,Installment!I249,Installment!I249*GOOGLEFINANCE(""Currency:""&amp;A249&amp;""""&amp;$F$1&amp;""""))))"),"")</f>
        <v/>
      </c>
      <c r="G249" s="501" t="str">
        <f t="shared" si="1"/>
        <v/>
      </c>
      <c r="H249" s="501" t="str">
        <f t="shared" si="2"/>
        <v/>
      </c>
      <c r="I249" s="501" t="str">
        <f t="shared" si="3"/>
        <v/>
      </c>
    </row>
    <row r="250">
      <c r="A250" s="501" t="str">
        <f>IFERROR(__xludf.DUMMYFUNCTION("IFERROR(if(ISBLANK(Installment!A250),"""",if(GOOGLEFINANCE(Installment!A250,""Currency"")=""GBX"",""GBP"",GOOGLEFINANCE(Installment!A250,""Currency""))),$F$1)"),"")</f>
        <v/>
      </c>
      <c r="B250" s="501" t="str">
        <f>Installment!A250</f>
        <v/>
      </c>
      <c r="C250" s="501" t="str">
        <f>Installment!B250</f>
        <v/>
      </c>
      <c r="D250" s="501" t="str">
        <f>IFERROR(__xludf.DUMMYFUNCTION("if(A250=""GBP"",if(B250="""","""",if(A250=$F$1,Installment!C250,Installment!C250*GOOGLEFINANCE(""Currency:""&amp;A250&amp;""""&amp;$F$1&amp;"""")))/100,if(B250="""","""",if(A250=$F$1,Installment!C250,Installment!C250*GOOGLEFINANCE(""Currency:""&amp;A250&amp;""""&amp;$F$1&amp;""""))))"),"")</f>
        <v/>
      </c>
      <c r="E250" s="501" t="str">
        <f>IFERROR(__xludf.DUMMYFUNCTION("if(A250=""GBP"",if(B250="""","""",if(A250=$F$1,Installment!H250,Installment!H250*GOOGLEFINANCE(""Currency:""&amp;A250&amp;""""&amp;$F$1&amp;"""")))/100,if(B250="""","""",if(A250=$F$1,Installment!H250,Installment!H250*GOOGLEFINANCE(""Currency:""&amp;A250&amp;""""&amp;$F$1&amp;""""))))"),"")</f>
        <v/>
      </c>
      <c r="F250" s="501" t="str">
        <f>IFERROR(__xludf.DUMMYFUNCTION("if(A250=""GBP"",if(B250="""","""",if(A250=$F$1,Installment!I250,Installment!I250*GOOGLEFINANCE(""Currency:""&amp;A250&amp;""""&amp;$F$1&amp;"""")))/100,if(B250="""","""",if(A250=$F$1,Installment!I250,Installment!I250*GOOGLEFINANCE(""Currency:""&amp;A250&amp;""""&amp;$F$1&amp;""""))))"),"")</f>
        <v/>
      </c>
      <c r="G250" s="501" t="str">
        <f t="shared" si="1"/>
        <v/>
      </c>
      <c r="H250" s="501" t="str">
        <f t="shared" si="2"/>
        <v/>
      </c>
      <c r="I250" s="501" t="str">
        <f t="shared" si="3"/>
        <v/>
      </c>
    </row>
    <row r="251">
      <c r="A251" s="501" t="str">
        <f>IFERROR(__xludf.DUMMYFUNCTION("IFERROR(if(ISBLANK(Installment!A251),"""",if(GOOGLEFINANCE(Installment!A251,""Currency"")=""GBX"",""GBP"",GOOGLEFINANCE(Installment!A251,""Currency""))),$F$1)"),"")</f>
        <v/>
      </c>
      <c r="B251" s="501" t="str">
        <f>Installment!A251</f>
        <v/>
      </c>
      <c r="C251" s="501" t="str">
        <f>Installment!B251</f>
        <v/>
      </c>
      <c r="D251" s="501" t="str">
        <f>IFERROR(__xludf.DUMMYFUNCTION("if(A251=""GBP"",if(B251="""","""",if(A251=$F$1,Installment!C251,Installment!C251*GOOGLEFINANCE(""Currency:""&amp;A251&amp;""""&amp;$F$1&amp;"""")))/100,if(B251="""","""",if(A251=$F$1,Installment!C251,Installment!C251*GOOGLEFINANCE(""Currency:""&amp;A251&amp;""""&amp;$F$1&amp;""""))))"),"")</f>
        <v/>
      </c>
      <c r="E251" s="501" t="str">
        <f>IFERROR(__xludf.DUMMYFUNCTION("if(A251=""GBP"",if(B251="""","""",if(A251=$F$1,Installment!H251,Installment!H251*GOOGLEFINANCE(""Currency:""&amp;A251&amp;""""&amp;$F$1&amp;"""")))/100,if(B251="""","""",if(A251=$F$1,Installment!H251,Installment!H251*GOOGLEFINANCE(""Currency:""&amp;A251&amp;""""&amp;$F$1&amp;""""))))"),"")</f>
        <v/>
      </c>
      <c r="F251" s="501" t="str">
        <f>IFERROR(__xludf.DUMMYFUNCTION("if(A251=""GBP"",if(B251="""","""",if(A251=$F$1,Installment!I251,Installment!I251*GOOGLEFINANCE(""Currency:""&amp;A251&amp;""""&amp;$F$1&amp;"""")))/100,if(B251="""","""",if(A251=$F$1,Installment!I251,Installment!I251*GOOGLEFINANCE(""Currency:""&amp;A251&amp;""""&amp;$F$1&amp;""""))))"),"")</f>
        <v/>
      </c>
      <c r="G251" s="501" t="str">
        <f t="shared" si="1"/>
        <v/>
      </c>
      <c r="H251" s="501" t="str">
        <f t="shared" si="2"/>
        <v/>
      </c>
      <c r="I251" s="501" t="str">
        <f t="shared" si="3"/>
        <v/>
      </c>
    </row>
    <row r="252">
      <c r="A252" s="501" t="str">
        <f>IFERROR(__xludf.DUMMYFUNCTION("IFERROR(if(ISBLANK(Installment!A252),"""",if(GOOGLEFINANCE(Installment!A252,""Currency"")=""GBX"",""GBP"",GOOGLEFINANCE(Installment!A252,""Currency""))),$F$1)"),"")</f>
        <v/>
      </c>
      <c r="B252" s="501" t="str">
        <f>Installment!A252</f>
        <v/>
      </c>
      <c r="C252" s="501" t="str">
        <f>Installment!B252</f>
        <v/>
      </c>
      <c r="D252" s="501" t="str">
        <f>IFERROR(__xludf.DUMMYFUNCTION("if(A252=""GBP"",if(B252="""","""",if(A252=$F$1,Installment!C252,Installment!C252*GOOGLEFINANCE(""Currency:""&amp;A252&amp;""""&amp;$F$1&amp;"""")))/100,if(B252="""","""",if(A252=$F$1,Installment!C252,Installment!C252*GOOGLEFINANCE(""Currency:""&amp;A252&amp;""""&amp;$F$1&amp;""""))))"),"")</f>
        <v/>
      </c>
      <c r="E252" s="501" t="str">
        <f>IFERROR(__xludf.DUMMYFUNCTION("if(A252=""GBP"",if(B252="""","""",if(A252=$F$1,Installment!H252,Installment!H252*GOOGLEFINANCE(""Currency:""&amp;A252&amp;""""&amp;$F$1&amp;"""")))/100,if(B252="""","""",if(A252=$F$1,Installment!H252,Installment!H252*GOOGLEFINANCE(""Currency:""&amp;A252&amp;""""&amp;$F$1&amp;""""))))"),"")</f>
        <v/>
      </c>
      <c r="F252" s="501" t="str">
        <f>IFERROR(__xludf.DUMMYFUNCTION("if(A252=""GBP"",if(B252="""","""",if(A252=$F$1,Installment!I252,Installment!I252*GOOGLEFINANCE(""Currency:""&amp;A252&amp;""""&amp;$F$1&amp;"""")))/100,if(B252="""","""",if(A252=$F$1,Installment!I252,Installment!I252*GOOGLEFINANCE(""Currency:""&amp;A252&amp;""""&amp;$F$1&amp;""""))))"),"")</f>
        <v/>
      </c>
      <c r="G252" s="501" t="str">
        <f t="shared" si="1"/>
        <v/>
      </c>
      <c r="H252" s="501" t="str">
        <f t="shared" si="2"/>
        <v/>
      </c>
      <c r="I252" s="501" t="str">
        <f t="shared" si="3"/>
        <v/>
      </c>
    </row>
    <row r="253">
      <c r="A253" s="501" t="str">
        <f>IFERROR(__xludf.DUMMYFUNCTION("IFERROR(if(ISBLANK(Installment!A253),"""",if(GOOGLEFINANCE(Installment!A253,""Currency"")=""GBX"",""GBP"",GOOGLEFINANCE(Installment!A253,""Currency""))),$F$1)"),"")</f>
        <v/>
      </c>
      <c r="B253" s="501" t="str">
        <f>Installment!A253</f>
        <v/>
      </c>
      <c r="C253" s="501" t="str">
        <f>Installment!B253</f>
        <v/>
      </c>
      <c r="D253" s="501" t="str">
        <f>IFERROR(__xludf.DUMMYFUNCTION("if(A253=""GBP"",if(B253="""","""",if(A253=$F$1,Installment!C253,Installment!C253*GOOGLEFINANCE(""Currency:""&amp;A253&amp;""""&amp;$F$1&amp;"""")))/100,if(B253="""","""",if(A253=$F$1,Installment!C253,Installment!C253*GOOGLEFINANCE(""Currency:""&amp;A253&amp;""""&amp;$F$1&amp;""""))))"),"")</f>
        <v/>
      </c>
      <c r="E253" s="501" t="str">
        <f>IFERROR(__xludf.DUMMYFUNCTION("if(A253=""GBP"",if(B253="""","""",if(A253=$F$1,Installment!H253,Installment!H253*GOOGLEFINANCE(""Currency:""&amp;A253&amp;""""&amp;$F$1&amp;"""")))/100,if(B253="""","""",if(A253=$F$1,Installment!H253,Installment!H253*GOOGLEFINANCE(""Currency:""&amp;A253&amp;""""&amp;$F$1&amp;""""))))"),"")</f>
        <v/>
      </c>
      <c r="F253" s="501" t="str">
        <f>IFERROR(__xludf.DUMMYFUNCTION("if(A253=""GBP"",if(B253="""","""",if(A253=$F$1,Installment!I253,Installment!I253*GOOGLEFINANCE(""Currency:""&amp;A253&amp;""""&amp;$F$1&amp;"""")))/100,if(B253="""","""",if(A253=$F$1,Installment!I253,Installment!I253*GOOGLEFINANCE(""Currency:""&amp;A253&amp;""""&amp;$F$1&amp;""""))))"),"")</f>
        <v/>
      </c>
      <c r="G253" s="501" t="str">
        <f t="shared" si="1"/>
        <v/>
      </c>
      <c r="H253" s="501" t="str">
        <f t="shared" si="2"/>
        <v/>
      </c>
      <c r="I253" s="501" t="str">
        <f t="shared" si="3"/>
        <v/>
      </c>
    </row>
    <row r="254">
      <c r="A254" s="501" t="str">
        <f>IFERROR(__xludf.DUMMYFUNCTION("IFERROR(if(ISBLANK(Installment!A254),"""",if(GOOGLEFINANCE(Installment!A254,""Currency"")=""GBX"",""GBP"",GOOGLEFINANCE(Installment!A254,""Currency""))),$F$1)"),"")</f>
        <v/>
      </c>
      <c r="B254" s="501" t="str">
        <f>Installment!A254</f>
        <v/>
      </c>
      <c r="C254" s="501" t="str">
        <f>Installment!B254</f>
        <v/>
      </c>
      <c r="D254" s="501" t="str">
        <f>IFERROR(__xludf.DUMMYFUNCTION("if(A254=""GBP"",if(B254="""","""",if(A254=$F$1,Installment!C254,Installment!C254*GOOGLEFINANCE(""Currency:""&amp;A254&amp;""""&amp;$F$1&amp;"""")))/100,if(B254="""","""",if(A254=$F$1,Installment!C254,Installment!C254*GOOGLEFINANCE(""Currency:""&amp;A254&amp;""""&amp;$F$1&amp;""""))))"),"")</f>
        <v/>
      </c>
      <c r="E254" s="501" t="str">
        <f>IFERROR(__xludf.DUMMYFUNCTION("if(A254=""GBP"",if(B254="""","""",if(A254=$F$1,Installment!H254,Installment!H254*GOOGLEFINANCE(""Currency:""&amp;A254&amp;""""&amp;$F$1&amp;"""")))/100,if(B254="""","""",if(A254=$F$1,Installment!H254,Installment!H254*GOOGLEFINANCE(""Currency:""&amp;A254&amp;""""&amp;$F$1&amp;""""))))"),"")</f>
        <v/>
      </c>
      <c r="F254" s="501" t="str">
        <f>IFERROR(__xludf.DUMMYFUNCTION("if(A254=""GBP"",if(B254="""","""",if(A254=$F$1,Installment!I254,Installment!I254*GOOGLEFINANCE(""Currency:""&amp;A254&amp;""""&amp;$F$1&amp;"""")))/100,if(B254="""","""",if(A254=$F$1,Installment!I254,Installment!I254*GOOGLEFINANCE(""Currency:""&amp;A254&amp;""""&amp;$F$1&amp;""""))))"),"")</f>
        <v/>
      </c>
      <c r="G254" s="501" t="str">
        <f t="shared" si="1"/>
        <v/>
      </c>
      <c r="H254" s="501" t="str">
        <f t="shared" si="2"/>
        <v/>
      </c>
      <c r="I254" s="501" t="str">
        <f t="shared" si="3"/>
        <v/>
      </c>
    </row>
    <row r="255">
      <c r="A255" s="501" t="str">
        <f>IFERROR(__xludf.DUMMYFUNCTION("IFERROR(if(ISBLANK(Installment!A255),"""",if(GOOGLEFINANCE(Installment!A255,""Currency"")=""GBX"",""GBP"",GOOGLEFINANCE(Installment!A255,""Currency""))),$F$1)"),"")</f>
        <v/>
      </c>
      <c r="B255" s="501" t="str">
        <f>Installment!A255</f>
        <v/>
      </c>
      <c r="C255" s="501" t="str">
        <f>Installment!B255</f>
        <v/>
      </c>
      <c r="D255" s="501" t="str">
        <f>IFERROR(__xludf.DUMMYFUNCTION("if(A255=""GBP"",if(B255="""","""",if(A255=$F$1,Installment!C255,Installment!C255*GOOGLEFINANCE(""Currency:""&amp;A255&amp;""""&amp;$F$1&amp;"""")))/100,if(B255="""","""",if(A255=$F$1,Installment!C255,Installment!C255*GOOGLEFINANCE(""Currency:""&amp;A255&amp;""""&amp;$F$1&amp;""""))))"),"")</f>
        <v/>
      </c>
      <c r="E255" s="501" t="str">
        <f>IFERROR(__xludf.DUMMYFUNCTION("if(A255=""GBP"",if(B255="""","""",if(A255=$F$1,Installment!H255,Installment!H255*GOOGLEFINANCE(""Currency:""&amp;A255&amp;""""&amp;$F$1&amp;"""")))/100,if(B255="""","""",if(A255=$F$1,Installment!H255,Installment!H255*GOOGLEFINANCE(""Currency:""&amp;A255&amp;""""&amp;$F$1&amp;""""))))"),"")</f>
        <v/>
      </c>
      <c r="F255" s="501" t="str">
        <f>IFERROR(__xludf.DUMMYFUNCTION("if(A255=""GBP"",if(B255="""","""",if(A255=$F$1,Installment!I255,Installment!I255*GOOGLEFINANCE(""Currency:""&amp;A255&amp;""""&amp;$F$1&amp;"""")))/100,if(B255="""","""",if(A255=$F$1,Installment!I255,Installment!I255*GOOGLEFINANCE(""Currency:""&amp;A255&amp;""""&amp;$F$1&amp;""""))))"),"")</f>
        <v/>
      </c>
      <c r="G255" s="501" t="str">
        <f t="shared" si="1"/>
        <v/>
      </c>
      <c r="H255" s="501" t="str">
        <f t="shared" si="2"/>
        <v/>
      </c>
      <c r="I255" s="501" t="str">
        <f t="shared" si="3"/>
        <v/>
      </c>
    </row>
    <row r="256">
      <c r="A256" s="501" t="str">
        <f>IFERROR(__xludf.DUMMYFUNCTION("IFERROR(if(ISBLANK(Installment!A256),"""",if(GOOGLEFINANCE(Installment!A256,""Currency"")=""GBX"",""GBP"",GOOGLEFINANCE(Installment!A256,""Currency""))),$F$1)"),"")</f>
        <v/>
      </c>
      <c r="B256" s="501" t="str">
        <f>Installment!A256</f>
        <v/>
      </c>
      <c r="C256" s="501" t="str">
        <f>Installment!B256</f>
        <v/>
      </c>
      <c r="D256" s="501" t="str">
        <f>IFERROR(__xludf.DUMMYFUNCTION("if(A256=""GBP"",if(B256="""","""",if(A256=$F$1,Installment!C256,Installment!C256*GOOGLEFINANCE(""Currency:""&amp;A256&amp;""""&amp;$F$1&amp;"""")))/100,if(B256="""","""",if(A256=$F$1,Installment!C256,Installment!C256*GOOGLEFINANCE(""Currency:""&amp;A256&amp;""""&amp;$F$1&amp;""""))))"),"")</f>
        <v/>
      </c>
      <c r="E256" s="501" t="str">
        <f>IFERROR(__xludf.DUMMYFUNCTION("if(A256=""GBP"",if(B256="""","""",if(A256=$F$1,Installment!H256,Installment!H256*GOOGLEFINANCE(""Currency:""&amp;A256&amp;""""&amp;$F$1&amp;"""")))/100,if(B256="""","""",if(A256=$F$1,Installment!H256,Installment!H256*GOOGLEFINANCE(""Currency:""&amp;A256&amp;""""&amp;$F$1&amp;""""))))"),"")</f>
        <v/>
      </c>
      <c r="F256" s="501" t="str">
        <f>IFERROR(__xludf.DUMMYFUNCTION("if(A256=""GBP"",if(B256="""","""",if(A256=$F$1,Installment!I256,Installment!I256*GOOGLEFINANCE(""Currency:""&amp;A256&amp;""""&amp;$F$1&amp;"""")))/100,if(B256="""","""",if(A256=$F$1,Installment!I256,Installment!I256*GOOGLEFINANCE(""Currency:""&amp;A256&amp;""""&amp;$F$1&amp;""""))))"),"")</f>
        <v/>
      </c>
      <c r="G256" s="501" t="str">
        <f t="shared" si="1"/>
        <v/>
      </c>
      <c r="H256" s="501" t="str">
        <f t="shared" si="2"/>
        <v/>
      </c>
      <c r="I256" s="501" t="str">
        <f t="shared" si="3"/>
        <v/>
      </c>
    </row>
    <row r="257">
      <c r="A257" s="501" t="str">
        <f>IFERROR(__xludf.DUMMYFUNCTION("IFERROR(if(ISBLANK(Installment!A257),"""",if(GOOGLEFINANCE(Installment!A257,""Currency"")=""GBX"",""GBP"",GOOGLEFINANCE(Installment!A257,""Currency""))),$F$1)"),"")</f>
        <v/>
      </c>
      <c r="B257" s="501" t="str">
        <f>Installment!A257</f>
        <v/>
      </c>
      <c r="C257" s="501" t="str">
        <f>Installment!B257</f>
        <v/>
      </c>
      <c r="D257" s="501" t="str">
        <f>IFERROR(__xludf.DUMMYFUNCTION("if(A257=""GBP"",if(B257="""","""",if(A257=$F$1,Installment!C257,Installment!C257*GOOGLEFINANCE(""Currency:""&amp;A257&amp;""""&amp;$F$1&amp;"""")))/100,if(B257="""","""",if(A257=$F$1,Installment!C257,Installment!C257*GOOGLEFINANCE(""Currency:""&amp;A257&amp;""""&amp;$F$1&amp;""""))))"),"")</f>
        <v/>
      </c>
      <c r="E257" s="501" t="str">
        <f>IFERROR(__xludf.DUMMYFUNCTION("if(A257=""GBP"",if(B257="""","""",if(A257=$F$1,Installment!H257,Installment!H257*GOOGLEFINANCE(""Currency:""&amp;A257&amp;""""&amp;$F$1&amp;"""")))/100,if(B257="""","""",if(A257=$F$1,Installment!H257,Installment!H257*GOOGLEFINANCE(""Currency:""&amp;A257&amp;""""&amp;$F$1&amp;""""))))"),"")</f>
        <v/>
      </c>
      <c r="F257" s="501" t="str">
        <f>IFERROR(__xludf.DUMMYFUNCTION("if(A257=""GBP"",if(B257="""","""",if(A257=$F$1,Installment!I257,Installment!I257*GOOGLEFINANCE(""Currency:""&amp;A257&amp;""""&amp;$F$1&amp;"""")))/100,if(B257="""","""",if(A257=$F$1,Installment!I257,Installment!I257*GOOGLEFINANCE(""Currency:""&amp;A257&amp;""""&amp;$F$1&amp;""""))))"),"")</f>
        <v/>
      </c>
      <c r="G257" s="501" t="str">
        <f t="shared" si="1"/>
        <v/>
      </c>
      <c r="H257" s="501" t="str">
        <f t="shared" si="2"/>
        <v/>
      </c>
      <c r="I257" s="501" t="str">
        <f t="shared" si="3"/>
        <v/>
      </c>
    </row>
    <row r="258">
      <c r="A258" s="501" t="str">
        <f>IFERROR(__xludf.DUMMYFUNCTION("IFERROR(if(ISBLANK(Installment!A258),"""",if(GOOGLEFINANCE(Installment!A258,""Currency"")=""GBX"",""GBP"",GOOGLEFINANCE(Installment!A258,""Currency""))),$F$1)"),"")</f>
        <v/>
      </c>
      <c r="B258" s="501" t="str">
        <f>Installment!A258</f>
        <v/>
      </c>
      <c r="C258" s="501" t="str">
        <f>Installment!B258</f>
        <v/>
      </c>
      <c r="D258" s="501" t="str">
        <f>IFERROR(__xludf.DUMMYFUNCTION("if(A258=""GBP"",if(B258="""","""",if(A258=$F$1,Installment!C258,Installment!C258*GOOGLEFINANCE(""Currency:""&amp;A258&amp;""""&amp;$F$1&amp;"""")))/100,if(B258="""","""",if(A258=$F$1,Installment!C258,Installment!C258*GOOGLEFINANCE(""Currency:""&amp;A258&amp;""""&amp;$F$1&amp;""""))))"),"")</f>
        <v/>
      </c>
      <c r="E258" s="501" t="str">
        <f>IFERROR(__xludf.DUMMYFUNCTION("if(A258=""GBP"",if(B258="""","""",if(A258=$F$1,Installment!H258,Installment!H258*GOOGLEFINANCE(""Currency:""&amp;A258&amp;""""&amp;$F$1&amp;"""")))/100,if(B258="""","""",if(A258=$F$1,Installment!H258,Installment!H258*GOOGLEFINANCE(""Currency:""&amp;A258&amp;""""&amp;$F$1&amp;""""))))"),"")</f>
        <v/>
      </c>
      <c r="F258" s="501" t="str">
        <f>IFERROR(__xludf.DUMMYFUNCTION("if(A258=""GBP"",if(B258="""","""",if(A258=$F$1,Installment!I258,Installment!I258*GOOGLEFINANCE(""Currency:""&amp;A258&amp;""""&amp;$F$1&amp;"""")))/100,if(B258="""","""",if(A258=$F$1,Installment!I258,Installment!I258*GOOGLEFINANCE(""Currency:""&amp;A258&amp;""""&amp;$F$1&amp;""""))))"),"")</f>
        <v/>
      </c>
      <c r="G258" s="501" t="str">
        <f t="shared" si="1"/>
        <v/>
      </c>
      <c r="H258" s="501" t="str">
        <f t="shared" si="2"/>
        <v/>
      </c>
      <c r="I258" s="501" t="str">
        <f t="shared" si="3"/>
        <v/>
      </c>
    </row>
    <row r="259">
      <c r="A259" s="501" t="str">
        <f>IFERROR(__xludf.DUMMYFUNCTION("IFERROR(if(ISBLANK(Installment!A259),"""",if(GOOGLEFINANCE(Installment!A259,""Currency"")=""GBX"",""GBP"",GOOGLEFINANCE(Installment!A259,""Currency""))),$F$1)"),"")</f>
        <v/>
      </c>
      <c r="B259" s="501" t="str">
        <f>Installment!A259</f>
        <v/>
      </c>
      <c r="C259" s="501" t="str">
        <f>Installment!B259</f>
        <v/>
      </c>
      <c r="D259" s="501" t="str">
        <f>IFERROR(__xludf.DUMMYFUNCTION("if(A259=""GBP"",if(B259="""","""",if(A259=$F$1,Installment!C259,Installment!C259*GOOGLEFINANCE(""Currency:""&amp;A259&amp;""""&amp;$F$1&amp;"""")))/100,if(B259="""","""",if(A259=$F$1,Installment!C259,Installment!C259*GOOGLEFINANCE(""Currency:""&amp;A259&amp;""""&amp;$F$1&amp;""""))))"),"")</f>
        <v/>
      </c>
      <c r="E259" s="501" t="str">
        <f>IFERROR(__xludf.DUMMYFUNCTION("if(A259=""GBP"",if(B259="""","""",if(A259=$F$1,Installment!H259,Installment!H259*GOOGLEFINANCE(""Currency:""&amp;A259&amp;""""&amp;$F$1&amp;"""")))/100,if(B259="""","""",if(A259=$F$1,Installment!H259,Installment!H259*GOOGLEFINANCE(""Currency:""&amp;A259&amp;""""&amp;$F$1&amp;""""))))"),"")</f>
        <v/>
      </c>
      <c r="F259" s="501" t="str">
        <f>IFERROR(__xludf.DUMMYFUNCTION("if(A259=""GBP"",if(B259="""","""",if(A259=$F$1,Installment!I259,Installment!I259*GOOGLEFINANCE(""Currency:""&amp;A259&amp;""""&amp;$F$1&amp;"""")))/100,if(B259="""","""",if(A259=$F$1,Installment!I259,Installment!I259*GOOGLEFINANCE(""Currency:""&amp;A259&amp;""""&amp;$F$1&amp;""""))))"),"")</f>
        <v/>
      </c>
      <c r="G259" s="501" t="str">
        <f t="shared" si="1"/>
        <v/>
      </c>
      <c r="H259" s="501" t="str">
        <f t="shared" si="2"/>
        <v/>
      </c>
      <c r="I259" s="501" t="str">
        <f t="shared" si="3"/>
        <v/>
      </c>
    </row>
    <row r="260">
      <c r="A260" s="501" t="str">
        <f>IFERROR(__xludf.DUMMYFUNCTION("IFERROR(if(ISBLANK(Installment!A260),"""",if(GOOGLEFINANCE(Installment!A260,""Currency"")=""GBX"",""GBP"",GOOGLEFINANCE(Installment!A260,""Currency""))),$F$1)"),"")</f>
        <v/>
      </c>
      <c r="B260" s="501" t="str">
        <f>Installment!A260</f>
        <v/>
      </c>
      <c r="C260" s="501" t="str">
        <f>Installment!B260</f>
        <v/>
      </c>
      <c r="D260" s="501" t="str">
        <f>IFERROR(__xludf.DUMMYFUNCTION("if(A260=""GBP"",if(B260="""","""",if(A260=$F$1,Installment!C260,Installment!C260*GOOGLEFINANCE(""Currency:""&amp;A260&amp;""""&amp;$F$1&amp;"""")))/100,if(B260="""","""",if(A260=$F$1,Installment!C260,Installment!C260*GOOGLEFINANCE(""Currency:""&amp;A260&amp;""""&amp;$F$1&amp;""""))))"),"")</f>
        <v/>
      </c>
      <c r="E260" s="501" t="str">
        <f>IFERROR(__xludf.DUMMYFUNCTION("if(A260=""GBP"",if(B260="""","""",if(A260=$F$1,Installment!H260,Installment!H260*GOOGLEFINANCE(""Currency:""&amp;A260&amp;""""&amp;$F$1&amp;"""")))/100,if(B260="""","""",if(A260=$F$1,Installment!H260,Installment!H260*GOOGLEFINANCE(""Currency:""&amp;A260&amp;""""&amp;$F$1&amp;""""))))"),"")</f>
        <v/>
      </c>
      <c r="F260" s="501" t="str">
        <f>IFERROR(__xludf.DUMMYFUNCTION("if(A260=""GBP"",if(B260="""","""",if(A260=$F$1,Installment!I260,Installment!I260*GOOGLEFINANCE(""Currency:""&amp;A260&amp;""""&amp;$F$1&amp;"""")))/100,if(B260="""","""",if(A260=$F$1,Installment!I260,Installment!I260*GOOGLEFINANCE(""Currency:""&amp;A260&amp;""""&amp;$F$1&amp;""""))))"),"")</f>
        <v/>
      </c>
      <c r="G260" s="501" t="str">
        <f t="shared" si="1"/>
        <v/>
      </c>
      <c r="H260" s="501" t="str">
        <f t="shared" si="2"/>
        <v/>
      </c>
      <c r="I260" s="501" t="str">
        <f t="shared" si="3"/>
        <v/>
      </c>
    </row>
    <row r="261">
      <c r="A261" s="501" t="str">
        <f>IFERROR(__xludf.DUMMYFUNCTION("IFERROR(if(ISBLANK(Installment!A261),"""",if(GOOGLEFINANCE(Installment!A261,""Currency"")=""GBX"",""GBP"",GOOGLEFINANCE(Installment!A261,""Currency""))),$F$1)"),"")</f>
        <v/>
      </c>
      <c r="B261" s="501" t="str">
        <f>Installment!A261</f>
        <v/>
      </c>
      <c r="C261" s="501" t="str">
        <f>Installment!B261</f>
        <v/>
      </c>
      <c r="D261" s="501" t="str">
        <f>IFERROR(__xludf.DUMMYFUNCTION("if(A261=""GBP"",if(B261="""","""",if(A261=$F$1,Installment!C261,Installment!C261*GOOGLEFINANCE(""Currency:""&amp;A261&amp;""""&amp;$F$1&amp;"""")))/100,if(B261="""","""",if(A261=$F$1,Installment!C261,Installment!C261*GOOGLEFINANCE(""Currency:""&amp;A261&amp;""""&amp;$F$1&amp;""""))))"),"")</f>
        <v/>
      </c>
      <c r="E261" s="501" t="str">
        <f>IFERROR(__xludf.DUMMYFUNCTION("if(A261=""GBP"",if(B261="""","""",if(A261=$F$1,Installment!H261,Installment!H261*GOOGLEFINANCE(""Currency:""&amp;A261&amp;""""&amp;$F$1&amp;"""")))/100,if(B261="""","""",if(A261=$F$1,Installment!H261,Installment!H261*GOOGLEFINANCE(""Currency:""&amp;A261&amp;""""&amp;$F$1&amp;""""))))"),"")</f>
        <v/>
      </c>
      <c r="F261" s="501" t="str">
        <f>IFERROR(__xludf.DUMMYFUNCTION("if(A261=""GBP"",if(B261="""","""",if(A261=$F$1,Installment!I261,Installment!I261*GOOGLEFINANCE(""Currency:""&amp;A261&amp;""""&amp;$F$1&amp;"""")))/100,if(B261="""","""",if(A261=$F$1,Installment!I261,Installment!I261*GOOGLEFINANCE(""Currency:""&amp;A261&amp;""""&amp;$F$1&amp;""""))))"),"")</f>
        <v/>
      </c>
      <c r="G261" s="501" t="str">
        <f t="shared" si="1"/>
        <v/>
      </c>
      <c r="H261" s="501" t="str">
        <f t="shared" si="2"/>
        <v/>
      </c>
      <c r="I261" s="501" t="str">
        <f t="shared" si="3"/>
        <v/>
      </c>
    </row>
    <row r="262">
      <c r="A262" s="501" t="str">
        <f>IFERROR(__xludf.DUMMYFUNCTION("IFERROR(if(ISBLANK(Installment!A262),"""",if(GOOGLEFINANCE(Installment!A262,""Currency"")=""GBX"",""GBP"",GOOGLEFINANCE(Installment!A262,""Currency""))),$F$1)"),"")</f>
        <v/>
      </c>
      <c r="B262" s="501" t="str">
        <f>Installment!A262</f>
        <v/>
      </c>
      <c r="C262" s="501" t="str">
        <f>Installment!B262</f>
        <v/>
      </c>
      <c r="D262" s="501" t="str">
        <f>IFERROR(__xludf.DUMMYFUNCTION("if(A262=""GBP"",if(B262="""","""",if(A262=$F$1,Installment!C262,Installment!C262*GOOGLEFINANCE(""Currency:""&amp;A262&amp;""""&amp;$F$1&amp;"""")))/100,if(B262="""","""",if(A262=$F$1,Installment!C262,Installment!C262*GOOGLEFINANCE(""Currency:""&amp;A262&amp;""""&amp;$F$1&amp;""""))))"),"")</f>
        <v/>
      </c>
      <c r="E262" s="501" t="str">
        <f>IFERROR(__xludf.DUMMYFUNCTION("if(A262=""GBP"",if(B262="""","""",if(A262=$F$1,Installment!H262,Installment!H262*GOOGLEFINANCE(""Currency:""&amp;A262&amp;""""&amp;$F$1&amp;"""")))/100,if(B262="""","""",if(A262=$F$1,Installment!H262,Installment!H262*GOOGLEFINANCE(""Currency:""&amp;A262&amp;""""&amp;$F$1&amp;""""))))"),"")</f>
        <v/>
      </c>
      <c r="F262" s="501" t="str">
        <f>IFERROR(__xludf.DUMMYFUNCTION("if(A262=""GBP"",if(B262="""","""",if(A262=$F$1,Installment!I262,Installment!I262*GOOGLEFINANCE(""Currency:""&amp;A262&amp;""""&amp;$F$1&amp;"""")))/100,if(B262="""","""",if(A262=$F$1,Installment!I262,Installment!I262*GOOGLEFINANCE(""Currency:""&amp;A262&amp;""""&amp;$F$1&amp;""""))))"),"")</f>
        <v/>
      </c>
      <c r="G262" s="501" t="str">
        <f t="shared" si="1"/>
        <v/>
      </c>
      <c r="H262" s="501" t="str">
        <f t="shared" si="2"/>
        <v/>
      </c>
      <c r="I262" s="501" t="str">
        <f t="shared" si="3"/>
        <v/>
      </c>
    </row>
    <row r="263">
      <c r="A263" s="501" t="str">
        <f>IFERROR(__xludf.DUMMYFUNCTION("IFERROR(if(ISBLANK(Installment!A263),"""",if(GOOGLEFINANCE(Installment!A263,""Currency"")=""GBX"",""GBP"",GOOGLEFINANCE(Installment!A263,""Currency""))),$F$1)"),"")</f>
        <v/>
      </c>
      <c r="B263" s="501" t="str">
        <f>Installment!A263</f>
        <v/>
      </c>
      <c r="C263" s="501" t="str">
        <f>Installment!B263</f>
        <v/>
      </c>
      <c r="D263" s="501" t="str">
        <f>IFERROR(__xludf.DUMMYFUNCTION("if(A263=""GBP"",if(B263="""","""",if(A263=$F$1,Installment!C263,Installment!C263*GOOGLEFINANCE(""Currency:""&amp;A263&amp;""""&amp;$F$1&amp;"""")))/100,if(B263="""","""",if(A263=$F$1,Installment!C263,Installment!C263*GOOGLEFINANCE(""Currency:""&amp;A263&amp;""""&amp;$F$1&amp;""""))))"),"")</f>
        <v/>
      </c>
      <c r="E263" s="501" t="str">
        <f>IFERROR(__xludf.DUMMYFUNCTION("if(A263=""GBP"",if(B263="""","""",if(A263=$F$1,Installment!H263,Installment!H263*GOOGLEFINANCE(""Currency:""&amp;A263&amp;""""&amp;$F$1&amp;"""")))/100,if(B263="""","""",if(A263=$F$1,Installment!H263,Installment!H263*GOOGLEFINANCE(""Currency:""&amp;A263&amp;""""&amp;$F$1&amp;""""))))"),"")</f>
        <v/>
      </c>
      <c r="F263" s="501" t="str">
        <f>IFERROR(__xludf.DUMMYFUNCTION("if(A263=""GBP"",if(B263="""","""",if(A263=$F$1,Installment!I263,Installment!I263*GOOGLEFINANCE(""Currency:""&amp;A263&amp;""""&amp;$F$1&amp;"""")))/100,if(B263="""","""",if(A263=$F$1,Installment!I263,Installment!I263*GOOGLEFINANCE(""Currency:""&amp;A263&amp;""""&amp;$F$1&amp;""""))))"),"")</f>
        <v/>
      </c>
      <c r="G263" s="501" t="str">
        <f t="shared" si="1"/>
        <v/>
      </c>
      <c r="H263" s="501" t="str">
        <f t="shared" si="2"/>
        <v/>
      </c>
      <c r="I263" s="501" t="str">
        <f t="shared" si="3"/>
        <v/>
      </c>
    </row>
    <row r="264">
      <c r="A264" s="501" t="str">
        <f>IFERROR(__xludf.DUMMYFUNCTION("IFERROR(if(ISBLANK(Installment!A264),"""",if(GOOGLEFINANCE(Installment!A264,""Currency"")=""GBX"",""GBP"",GOOGLEFINANCE(Installment!A264,""Currency""))),$F$1)"),"")</f>
        <v/>
      </c>
      <c r="B264" s="501" t="str">
        <f>Installment!A264</f>
        <v/>
      </c>
      <c r="C264" s="501" t="str">
        <f>Installment!B264</f>
        <v/>
      </c>
      <c r="D264" s="501" t="str">
        <f>IFERROR(__xludf.DUMMYFUNCTION("if(A264=""GBP"",if(B264="""","""",if(A264=$F$1,Installment!C264,Installment!C264*GOOGLEFINANCE(""Currency:""&amp;A264&amp;""""&amp;$F$1&amp;"""")))/100,if(B264="""","""",if(A264=$F$1,Installment!C264,Installment!C264*GOOGLEFINANCE(""Currency:""&amp;A264&amp;""""&amp;$F$1&amp;""""))))"),"")</f>
        <v/>
      </c>
      <c r="E264" s="501" t="str">
        <f>IFERROR(__xludf.DUMMYFUNCTION("if(A264=""GBP"",if(B264="""","""",if(A264=$F$1,Installment!H264,Installment!H264*GOOGLEFINANCE(""Currency:""&amp;A264&amp;""""&amp;$F$1&amp;"""")))/100,if(B264="""","""",if(A264=$F$1,Installment!H264,Installment!H264*GOOGLEFINANCE(""Currency:""&amp;A264&amp;""""&amp;$F$1&amp;""""))))"),"")</f>
        <v/>
      </c>
      <c r="F264" s="501" t="str">
        <f>IFERROR(__xludf.DUMMYFUNCTION("if(A264=""GBP"",if(B264="""","""",if(A264=$F$1,Installment!I264,Installment!I264*GOOGLEFINANCE(""Currency:""&amp;A264&amp;""""&amp;$F$1&amp;"""")))/100,if(B264="""","""",if(A264=$F$1,Installment!I264,Installment!I264*GOOGLEFINANCE(""Currency:""&amp;A264&amp;""""&amp;$F$1&amp;""""))))"),"")</f>
        <v/>
      </c>
      <c r="G264" s="501" t="str">
        <f t="shared" si="1"/>
        <v/>
      </c>
      <c r="H264" s="501" t="str">
        <f t="shared" si="2"/>
        <v/>
      </c>
      <c r="I264" s="501" t="str">
        <f t="shared" si="3"/>
        <v/>
      </c>
    </row>
    <row r="265">
      <c r="A265" s="501" t="str">
        <f>IFERROR(__xludf.DUMMYFUNCTION("IFERROR(if(ISBLANK(Installment!A265),"""",if(GOOGLEFINANCE(Installment!A265,""Currency"")=""GBX"",""GBP"",GOOGLEFINANCE(Installment!A265,""Currency""))),$F$1)"),"")</f>
        <v/>
      </c>
      <c r="B265" s="501" t="str">
        <f>Installment!A265</f>
        <v/>
      </c>
      <c r="C265" s="501" t="str">
        <f>Installment!B265</f>
        <v/>
      </c>
      <c r="D265" s="501" t="str">
        <f>IFERROR(__xludf.DUMMYFUNCTION("if(A265=""GBP"",if(B265="""","""",if(A265=$F$1,Installment!C265,Installment!C265*GOOGLEFINANCE(""Currency:""&amp;A265&amp;""""&amp;$F$1&amp;"""")))/100,if(B265="""","""",if(A265=$F$1,Installment!C265,Installment!C265*GOOGLEFINANCE(""Currency:""&amp;A265&amp;""""&amp;$F$1&amp;""""))))"),"")</f>
        <v/>
      </c>
      <c r="E265" s="501" t="str">
        <f>IFERROR(__xludf.DUMMYFUNCTION("if(A265=""GBP"",if(B265="""","""",if(A265=$F$1,Installment!H265,Installment!H265*GOOGLEFINANCE(""Currency:""&amp;A265&amp;""""&amp;$F$1&amp;"""")))/100,if(B265="""","""",if(A265=$F$1,Installment!H265,Installment!H265*GOOGLEFINANCE(""Currency:""&amp;A265&amp;""""&amp;$F$1&amp;""""))))"),"")</f>
        <v/>
      </c>
      <c r="F265" s="501" t="str">
        <f>IFERROR(__xludf.DUMMYFUNCTION("if(A265=""GBP"",if(B265="""","""",if(A265=$F$1,Installment!I265,Installment!I265*GOOGLEFINANCE(""Currency:""&amp;A265&amp;""""&amp;$F$1&amp;"""")))/100,if(B265="""","""",if(A265=$F$1,Installment!I265,Installment!I265*GOOGLEFINANCE(""Currency:""&amp;A265&amp;""""&amp;$F$1&amp;""""))))"),"")</f>
        <v/>
      </c>
      <c r="G265" s="501" t="str">
        <f t="shared" si="1"/>
        <v/>
      </c>
      <c r="H265" s="501" t="str">
        <f t="shared" si="2"/>
        <v/>
      </c>
      <c r="I265" s="501" t="str">
        <f t="shared" si="3"/>
        <v/>
      </c>
    </row>
    <row r="266">
      <c r="A266" s="501" t="str">
        <f>IFERROR(__xludf.DUMMYFUNCTION("IFERROR(if(ISBLANK(Installment!A266),"""",if(GOOGLEFINANCE(Installment!A266,""Currency"")=""GBX"",""GBP"",GOOGLEFINANCE(Installment!A266,""Currency""))),$F$1)"),"")</f>
        <v/>
      </c>
      <c r="B266" s="501" t="str">
        <f>Installment!A266</f>
        <v/>
      </c>
      <c r="C266" s="501" t="str">
        <f>Installment!B266</f>
        <v/>
      </c>
      <c r="D266" s="501" t="str">
        <f>IFERROR(__xludf.DUMMYFUNCTION("if(A266=""GBP"",if(B266="""","""",if(A266=$F$1,Installment!C266,Installment!C266*GOOGLEFINANCE(""Currency:""&amp;A266&amp;""""&amp;$F$1&amp;"""")))/100,if(B266="""","""",if(A266=$F$1,Installment!C266,Installment!C266*GOOGLEFINANCE(""Currency:""&amp;A266&amp;""""&amp;$F$1&amp;""""))))"),"")</f>
        <v/>
      </c>
      <c r="E266" s="501" t="str">
        <f>IFERROR(__xludf.DUMMYFUNCTION("if(A266=""GBP"",if(B266="""","""",if(A266=$F$1,Installment!H266,Installment!H266*GOOGLEFINANCE(""Currency:""&amp;A266&amp;""""&amp;$F$1&amp;"""")))/100,if(B266="""","""",if(A266=$F$1,Installment!H266,Installment!H266*GOOGLEFINANCE(""Currency:""&amp;A266&amp;""""&amp;$F$1&amp;""""))))"),"")</f>
        <v/>
      </c>
      <c r="F266" s="501" t="str">
        <f>IFERROR(__xludf.DUMMYFUNCTION("if(A266=""GBP"",if(B266="""","""",if(A266=$F$1,Installment!I266,Installment!I266*GOOGLEFINANCE(""Currency:""&amp;A266&amp;""""&amp;$F$1&amp;"""")))/100,if(B266="""","""",if(A266=$F$1,Installment!I266,Installment!I266*GOOGLEFINANCE(""Currency:""&amp;A266&amp;""""&amp;$F$1&amp;""""))))"),"")</f>
        <v/>
      </c>
      <c r="G266" s="501" t="str">
        <f t="shared" si="1"/>
        <v/>
      </c>
      <c r="H266" s="501" t="str">
        <f t="shared" si="2"/>
        <v/>
      </c>
      <c r="I266" s="501" t="str">
        <f t="shared" si="3"/>
        <v/>
      </c>
    </row>
    <row r="267">
      <c r="A267" s="501" t="str">
        <f>IFERROR(__xludf.DUMMYFUNCTION("IFERROR(if(ISBLANK(Installment!A267),"""",if(GOOGLEFINANCE(Installment!A267,""Currency"")=""GBX"",""GBP"",GOOGLEFINANCE(Installment!A267,""Currency""))),$F$1)"),"")</f>
        <v/>
      </c>
      <c r="B267" s="501" t="str">
        <f>Installment!A267</f>
        <v/>
      </c>
      <c r="C267" s="501" t="str">
        <f>Installment!B267</f>
        <v/>
      </c>
      <c r="D267" s="501" t="str">
        <f>IFERROR(__xludf.DUMMYFUNCTION("if(A267=""GBP"",if(B267="""","""",if(A267=$F$1,Installment!C267,Installment!C267*GOOGLEFINANCE(""Currency:""&amp;A267&amp;""""&amp;$F$1&amp;"""")))/100,if(B267="""","""",if(A267=$F$1,Installment!C267,Installment!C267*GOOGLEFINANCE(""Currency:""&amp;A267&amp;""""&amp;$F$1&amp;""""))))"),"")</f>
        <v/>
      </c>
      <c r="E267" s="501" t="str">
        <f>IFERROR(__xludf.DUMMYFUNCTION("if(A267=""GBP"",if(B267="""","""",if(A267=$F$1,Installment!H267,Installment!H267*GOOGLEFINANCE(""Currency:""&amp;A267&amp;""""&amp;$F$1&amp;"""")))/100,if(B267="""","""",if(A267=$F$1,Installment!H267,Installment!H267*GOOGLEFINANCE(""Currency:""&amp;A267&amp;""""&amp;$F$1&amp;""""))))"),"")</f>
        <v/>
      </c>
      <c r="F267" s="501" t="str">
        <f>IFERROR(__xludf.DUMMYFUNCTION("if(A267=""GBP"",if(B267="""","""",if(A267=$F$1,Installment!I267,Installment!I267*GOOGLEFINANCE(""Currency:""&amp;A267&amp;""""&amp;$F$1&amp;"""")))/100,if(B267="""","""",if(A267=$F$1,Installment!I267,Installment!I267*GOOGLEFINANCE(""Currency:""&amp;A267&amp;""""&amp;$F$1&amp;""""))))"),"")</f>
        <v/>
      </c>
      <c r="G267" s="501" t="str">
        <f t="shared" si="1"/>
        <v/>
      </c>
      <c r="H267" s="501" t="str">
        <f t="shared" si="2"/>
        <v/>
      </c>
      <c r="I267" s="501" t="str">
        <f t="shared" si="3"/>
        <v/>
      </c>
    </row>
    <row r="268">
      <c r="A268" s="501" t="str">
        <f>IFERROR(__xludf.DUMMYFUNCTION("IFERROR(if(ISBLANK(Installment!A268),"""",if(GOOGLEFINANCE(Installment!A268,""Currency"")=""GBX"",""GBP"",GOOGLEFINANCE(Installment!A268,""Currency""))),$F$1)"),"")</f>
        <v/>
      </c>
      <c r="B268" s="501" t="str">
        <f>Installment!A268</f>
        <v/>
      </c>
      <c r="C268" s="501" t="str">
        <f>Installment!B268</f>
        <v/>
      </c>
      <c r="D268" s="501" t="str">
        <f>IFERROR(__xludf.DUMMYFUNCTION("if(A268=""GBP"",if(B268="""","""",if(A268=$F$1,Installment!C268,Installment!C268*GOOGLEFINANCE(""Currency:""&amp;A268&amp;""""&amp;$F$1&amp;"""")))/100,if(B268="""","""",if(A268=$F$1,Installment!C268,Installment!C268*GOOGLEFINANCE(""Currency:""&amp;A268&amp;""""&amp;$F$1&amp;""""))))"),"")</f>
        <v/>
      </c>
      <c r="E268" s="501" t="str">
        <f>IFERROR(__xludf.DUMMYFUNCTION("if(A268=""GBP"",if(B268="""","""",if(A268=$F$1,Installment!H268,Installment!H268*GOOGLEFINANCE(""Currency:""&amp;A268&amp;""""&amp;$F$1&amp;"""")))/100,if(B268="""","""",if(A268=$F$1,Installment!H268,Installment!H268*GOOGLEFINANCE(""Currency:""&amp;A268&amp;""""&amp;$F$1&amp;""""))))"),"")</f>
        <v/>
      </c>
      <c r="F268" s="501" t="str">
        <f>IFERROR(__xludf.DUMMYFUNCTION("if(A268=""GBP"",if(B268="""","""",if(A268=$F$1,Installment!I268,Installment!I268*GOOGLEFINANCE(""Currency:""&amp;A268&amp;""""&amp;$F$1&amp;"""")))/100,if(B268="""","""",if(A268=$F$1,Installment!I268,Installment!I268*GOOGLEFINANCE(""Currency:""&amp;A268&amp;""""&amp;$F$1&amp;""""))))"),"")</f>
        <v/>
      </c>
      <c r="G268" s="501" t="str">
        <f t="shared" si="1"/>
        <v/>
      </c>
      <c r="H268" s="501" t="str">
        <f t="shared" si="2"/>
        <v/>
      </c>
      <c r="I268" s="501" t="str">
        <f t="shared" si="3"/>
        <v/>
      </c>
    </row>
    <row r="269">
      <c r="A269" s="501" t="str">
        <f>IFERROR(__xludf.DUMMYFUNCTION("IFERROR(if(ISBLANK(Installment!A269),"""",if(GOOGLEFINANCE(Installment!A269,""Currency"")=""GBX"",""GBP"",GOOGLEFINANCE(Installment!A269,""Currency""))),$F$1)"),"")</f>
        <v/>
      </c>
      <c r="B269" s="501" t="str">
        <f>Installment!A269</f>
        <v/>
      </c>
      <c r="C269" s="501" t="str">
        <f>Installment!B269</f>
        <v/>
      </c>
      <c r="D269" s="501" t="str">
        <f>IFERROR(__xludf.DUMMYFUNCTION("if(A269=""GBP"",if(B269="""","""",if(A269=$F$1,Installment!C269,Installment!C269*GOOGLEFINANCE(""Currency:""&amp;A269&amp;""""&amp;$F$1&amp;"""")))/100,if(B269="""","""",if(A269=$F$1,Installment!C269,Installment!C269*GOOGLEFINANCE(""Currency:""&amp;A269&amp;""""&amp;$F$1&amp;""""))))"),"")</f>
        <v/>
      </c>
      <c r="E269" s="501" t="str">
        <f>IFERROR(__xludf.DUMMYFUNCTION("if(A269=""GBP"",if(B269="""","""",if(A269=$F$1,Installment!H269,Installment!H269*GOOGLEFINANCE(""Currency:""&amp;A269&amp;""""&amp;$F$1&amp;"""")))/100,if(B269="""","""",if(A269=$F$1,Installment!H269,Installment!H269*GOOGLEFINANCE(""Currency:""&amp;A269&amp;""""&amp;$F$1&amp;""""))))"),"")</f>
        <v/>
      </c>
      <c r="F269" s="501" t="str">
        <f>IFERROR(__xludf.DUMMYFUNCTION("if(A269=""GBP"",if(B269="""","""",if(A269=$F$1,Installment!I269,Installment!I269*GOOGLEFINANCE(""Currency:""&amp;A269&amp;""""&amp;$F$1&amp;"""")))/100,if(B269="""","""",if(A269=$F$1,Installment!I269,Installment!I269*GOOGLEFINANCE(""Currency:""&amp;A269&amp;""""&amp;$F$1&amp;""""))))"),"")</f>
        <v/>
      </c>
      <c r="G269" s="501" t="str">
        <f t="shared" si="1"/>
        <v/>
      </c>
      <c r="H269" s="501" t="str">
        <f t="shared" si="2"/>
        <v/>
      </c>
      <c r="I269" s="501" t="str">
        <f t="shared" si="3"/>
        <v/>
      </c>
    </row>
    <row r="270">
      <c r="A270" s="501" t="str">
        <f>IFERROR(__xludf.DUMMYFUNCTION("IFERROR(if(ISBLANK(Installment!A270),"""",if(GOOGLEFINANCE(Installment!A270,""Currency"")=""GBX"",""GBP"",GOOGLEFINANCE(Installment!A270,""Currency""))),$F$1)"),"")</f>
        <v/>
      </c>
      <c r="B270" s="501" t="str">
        <f>Installment!A270</f>
        <v/>
      </c>
      <c r="C270" s="501" t="str">
        <f>Installment!B270</f>
        <v/>
      </c>
      <c r="D270" s="501" t="str">
        <f>IFERROR(__xludf.DUMMYFUNCTION("if(A270=""GBP"",if(B270="""","""",if(A270=$F$1,Installment!C270,Installment!C270*GOOGLEFINANCE(""Currency:""&amp;A270&amp;""""&amp;$F$1&amp;"""")))/100,if(B270="""","""",if(A270=$F$1,Installment!C270,Installment!C270*GOOGLEFINANCE(""Currency:""&amp;A270&amp;""""&amp;$F$1&amp;""""))))"),"")</f>
        <v/>
      </c>
      <c r="E270" s="501" t="str">
        <f>IFERROR(__xludf.DUMMYFUNCTION("if(A270=""GBP"",if(B270="""","""",if(A270=$F$1,Installment!H270,Installment!H270*GOOGLEFINANCE(""Currency:""&amp;A270&amp;""""&amp;$F$1&amp;"""")))/100,if(B270="""","""",if(A270=$F$1,Installment!H270,Installment!H270*GOOGLEFINANCE(""Currency:""&amp;A270&amp;""""&amp;$F$1&amp;""""))))"),"")</f>
        <v/>
      </c>
      <c r="F270" s="501" t="str">
        <f>IFERROR(__xludf.DUMMYFUNCTION("if(A270=""GBP"",if(B270="""","""",if(A270=$F$1,Installment!I270,Installment!I270*GOOGLEFINANCE(""Currency:""&amp;A270&amp;""""&amp;$F$1&amp;"""")))/100,if(B270="""","""",if(A270=$F$1,Installment!I270,Installment!I270*GOOGLEFINANCE(""Currency:""&amp;A270&amp;""""&amp;$F$1&amp;""""))))"),"")</f>
        <v/>
      </c>
      <c r="G270" s="501" t="str">
        <f t="shared" si="1"/>
        <v/>
      </c>
      <c r="H270" s="501" t="str">
        <f t="shared" si="2"/>
        <v/>
      </c>
      <c r="I270" s="501" t="str">
        <f t="shared" si="3"/>
        <v/>
      </c>
    </row>
    <row r="271">
      <c r="A271" s="501" t="str">
        <f>IFERROR(__xludf.DUMMYFUNCTION("IFERROR(if(ISBLANK(Installment!A271),"""",if(GOOGLEFINANCE(Installment!A271,""Currency"")=""GBX"",""GBP"",GOOGLEFINANCE(Installment!A271,""Currency""))),$F$1)"),"")</f>
        <v/>
      </c>
      <c r="B271" s="501" t="str">
        <f>Installment!A271</f>
        <v/>
      </c>
      <c r="C271" s="501" t="str">
        <f>Installment!B271</f>
        <v/>
      </c>
      <c r="D271" s="501" t="str">
        <f>IFERROR(__xludf.DUMMYFUNCTION("if(A271=""GBP"",if(B271="""","""",if(A271=$F$1,Installment!C271,Installment!C271*GOOGLEFINANCE(""Currency:""&amp;A271&amp;""""&amp;$F$1&amp;"""")))/100,if(B271="""","""",if(A271=$F$1,Installment!C271,Installment!C271*GOOGLEFINANCE(""Currency:""&amp;A271&amp;""""&amp;$F$1&amp;""""))))"),"")</f>
        <v/>
      </c>
      <c r="E271" s="501" t="str">
        <f>IFERROR(__xludf.DUMMYFUNCTION("if(A271=""GBP"",if(B271="""","""",if(A271=$F$1,Installment!H271,Installment!H271*GOOGLEFINANCE(""Currency:""&amp;A271&amp;""""&amp;$F$1&amp;"""")))/100,if(B271="""","""",if(A271=$F$1,Installment!H271,Installment!H271*GOOGLEFINANCE(""Currency:""&amp;A271&amp;""""&amp;$F$1&amp;""""))))"),"")</f>
        <v/>
      </c>
      <c r="F271" s="501" t="str">
        <f>IFERROR(__xludf.DUMMYFUNCTION("if(A271=""GBP"",if(B271="""","""",if(A271=$F$1,Installment!I271,Installment!I271*GOOGLEFINANCE(""Currency:""&amp;A271&amp;""""&amp;$F$1&amp;"""")))/100,if(B271="""","""",if(A271=$F$1,Installment!I271,Installment!I271*GOOGLEFINANCE(""Currency:""&amp;A271&amp;""""&amp;$F$1&amp;""""))))"),"")</f>
        <v/>
      </c>
      <c r="G271" s="501" t="str">
        <f t="shared" si="1"/>
        <v/>
      </c>
      <c r="H271" s="501" t="str">
        <f t="shared" si="2"/>
        <v/>
      </c>
      <c r="I271" s="501" t="str">
        <f t="shared" si="3"/>
        <v/>
      </c>
    </row>
    <row r="272">
      <c r="A272" s="501" t="str">
        <f>IFERROR(__xludf.DUMMYFUNCTION("IFERROR(if(ISBLANK(Installment!A272),"""",if(GOOGLEFINANCE(Installment!A272,""Currency"")=""GBX"",""GBP"",GOOGLEFINANCE(Installment!A272,""Currency""))),$F$1)"),"")</f>
        <v/>
      </c>
      <c r="B272" s="501" t="str">
        <f>Installment!A272</f>
        <v/>
      </c>
      <c r="C272" s="501" t="str">
        <f>Installment!B272</f>
        <v/>
      </c>
      <c r="D272" s="501" t="str">
        <f>IFERROR(__xludf.DUMMYFUNCTION("if(A272=""GBP"",if(B272="""","""",if(A272=$F$1,Installment!C272,Installment!C272*GOOGLEFINANCE(""Currency:""&amp;A272&amp;""""&amp;$F$1&amp;"""")))/100,if(B272="""","""",if(A272=$F$1,Installment!C272,Installment!C272*GOOGLEFINANCE(""Currency:""&amp;A272&amp;""""&amp;$F$1&amp;""""))))"),"")</f>
        <v/>
      </c>
      <c r="E272" s="501" t="str">
        <f>IFERROR(__xludf.DUMMYFUNCTION("if(A272=""GBP"",if(B272="""","""",if(A272=$F$1,Installment!H272,Installment!H272*GOOGLEFINANCE(""Currency:""&amp;A272&amp;""""&amp;$F$1&amp;"""")))/100,if(B272="""","""",if(A272=$F$1,Installment!H272,Installment!H272*GOOGLEFINANCE(""Currency:""&amp;A272&amp;""""&amp;$F$1&amp;""""))))"),"")</f>
        <v/>
      </c>
      <c r="F272" s="501" t="str">
        <f>IFERROR(__xludf.DUMMYFUNCTION("if(A272=""GBP"",if(B272="""","""",if(A272=$F$1,Installment!I272,Installment!I272*GOOGLEFINANCE(""Currency:""&amp;A272&amp;""""&amp;$F$1&amp;"""")))/100,if(B272="""","""",if(A272=$F$1,Installment!I272,Installment!I272*GOOGLEFINANCE(""Currency:""&amp;A272&amp;""""&amp;$F$1&amp;""""))))"),"")</f>
        <v/>
      </c>
      <c r="G272" s="501" t="str">
        <f t="shared" si="1"/>
        <v/>
      </c>
      <c r="H272" s="501" t="str">
        <f t="shared" si="2"/>
        <v/>
      </c>
      <c r="I272" s="501" t="str">
        <f t="shared" si="3"/>
        <v/>
      </c>
    </row>
    <row r="273">
      <c r="A273" s="501" t="str">
        <f>IFERROR(__xludf.DUMMYFUNCTION("IFERROR(if(ISBLANK(Installment!A273),"""",if(GOOGLEFINANCE(Installment!A273,""Currency"")=""GBX"",""GBP"",GOOGLEFINANCE(Installment!A273,""Currency""))),$F$1)"),"")</f>
        <v/>
      </c>
      <c r="B273" s="501" t="str">
        <f>Installment!A273</f>
        <v/>
      </c>
      <c r="C273" s="501" t="str">
        <f>Installment!B273</f>
        <v/>
      </c>
      <c r="D273" s="501" t="str">
        <f>IFERROR(__xludf.DUMMYFUNCTION("if(A273=""GBP"",if(B273="""","""",if(A273=$F$1,Installment!C273,Installment!C273*GOOGLEFINANCE(""Currency:""&amp;A273&amp;""""&amp;$F$1&amp;"""")))/100,if(B273="""","""",if(A273=$F$1,Installment!C273,Installment!C273*GOOGLEFINANCE(""Currency:""&amp;A273&amp;""""&amp;$F$1&amp;""""))))"),"")</f>
        <v/>
      </c>
      <c r="E273" s="501" t="str">
        <f>IFERROR(__xludf.DUMMYFUNCTION("if(A273=""GBP"",if(B273="""","""",if(A273=$F$1,Installment!H273,Installment!H273*GOOGLEFINANCE(""Currency:""&amp;A273&amp;""""&amp;$F$1&amp;"""")))/100,if(B273="""","""",if(A273=$F$1,Installment!H273,Installment!H273*GOOGLEFINANCE(""Currency:""&amp;A273&amp;""""&amp;$F$1&amp;""""))))"),"")</f>
        <v/>
      </c>
      <c r="F273" s="501" t="str">
        <f>IFERROR(__xludf.DUMMYFUNCTION("if(A273=""GBP"",if(B273="""","""",if(A273=$F$1,Installment!I273,Installment!I273*GOOGLEFINANCE(""Currency:""&amp;A273&amp;""""&amp;$F$1&amp;"""")))/100,if(B273="""","""",if(A273=$F$1,Installment!I273,Installment!I273*GOOGLEFINANCE(""Currency:""&amp;A273&amp;""""&amp;$F$1&amp;""""))))"),"")</f>
        <v/>
      </c>
      <c r="G273" s="501" t="str">
        <f t="shared" si="1"/>
        <v/>
      </c>
      <c r="H273" s="501" t="str">
        <f t="shared" si="2"/>
        <v/>
      </c>
      <c r="I273" s="501" t="str">
        <f t="shared" si="3"/>
        <v/>
      </c>
    </row>
    <row r="274">
      <c r="A274" s="501" t="str">
        <f>IFERROR(__xludf.DUMMYFUNCTION("IFERROR(if(ISBLANK(Installment!A274),"""",if(GOOGLEFINANCE(Installment!A274,""Currency"")=""GBX"",""GBP"",GOOGLEFINANCE(Installment!A274,""Currency""))),$F$1)"),"")</f>
        <v/>
      </c>
      <c r="B274" s="501" t="str">
        <f>Installment!A274</f>
        <v/>
      </c>
      <c r="C274" s="501" t="str">
        <f>Installment!B274</f>
        <v/>
      </c>
      <c r="D274" s="501" t="str">
        <f>IFERROR(__xludf.DUMMYFUNCTION("if(A274=""GBP"",if(B274="""","""",if(A274=$F$1,Installment!C274,Installment!C274*GOOGLEFINANCE(""Currency:""&amp;A274&amp;""""&amp;$F$1&amp;"""")))/100,if(B274="""","""",if(A274=$F$1,Installment!C274,Installment!C274*GOOGLEFINANCE(""Currency:""&amp;A274&amp;""""&amp;$F$1&amp;""""))))"),"")</f>
        <v/>
      </c>
      <c r="E274" s="501" t="str">
        <f>IFERROR(__xludf.DUMMYFUNCTION("if(A274=""GBP"",if(B274="""","""",if(A274=$F$1,Installment!H274,Installment!H274*GOOGLEFINANCE(""Currency:""&amp;A274&amp;""""&amp;$F$1&amp;"""")))/100,if(B274="""","""",if(A274=$F$1,Installment!H274,Installment!H274*GOOGLEFINANCE(""Currency:""&amp;A274&amp;""""&amp;$F$1&amp;""""))))"),"")</f>
        <v/>
      </c>
      <c r="F274" s="501" t="str">
        <f>IFERROR(__xludf.DUMMYFUNCTION("if(A274=""GBP"",if(B274="""","""",if(A274=$F$1,Installment!I274,Installment!I274*GOOGLEFINANCE(""Currency:""&amp;A274&amp;""""&amp;$F$1&amp;"""")))/100,if(B274="""","""",if(A274=$F$1,Installment!I274,Installment!I274*GOOGLEFINANCE(""Currency:""&amp;A274&amp;""""&amp;$F$1&amp;""""))))"),"")</f>
        <v/>
      </c>
      <c r="G274" s="501" t="str">
        <f t="shared" si="1"/>
        <v/>
      </c>
      <c r="H274" s="501" t="str">
        <f t="shared" si="2"/>
        <v/>
      </c>
      <c r="I274" s="501" t="str">
        <f t="shared" si="3"/>
        <v/>
      </c>
    </row>
    <row r="275">
      <c r="A275" s="501" t="str">
        <f>IFERROR(__xludf.DUMMYFUNCTION("IFERROR(if(ISBLANK(Installment!A275),"""",if(GOOGLEFINANCE(Installment!A275,""Currency"")=""GBX"",""GBP"",GOOGLEFINANCE(Installment!A275,""Currency""))),$F$1)"),"")</f>
        <v/>
      </c>
      <c r="B275" s="501" t="str">
        <f>Installment!A275</f>
        <v/>
      </c>
      <c r="C275" s="501" t="str">
        <f>Installment!B275</f>
        <v/>
      </c>
      <c r="D275" s="501" t="str">
        <f>IFERROR(__xludf.DUMMYFUNCTION("if(A275=""GBP"",if(B275="""","""",if(A275=$F$1,Installment!C275,Installment!C275*GOOGLEFINANCE(""Currency:""&amp;A275&amp;""""&amp;$F$1&amp;"""")))/100,if(B275="""","""",if(A275=$F$1,Installment!C275,Installment!C275*GOOGLEFINANCE(""Currency:""&amp;A275&amp;""""&amp;$F$1&amp;""""))))"),"")</f>
        <v/>
      </c>
      <c r="E275" s="501" t="str">
        <f>IFERROR(__xludf.DUMMYFUNCTION("if(A275=""GBP"",if(B275="""","""",if(A275=$F$1,Installment!H275,Installment!H275*GOOGLEFINANCE(""Currency:""&amp;A275&amp;""""&amp;$F$1&amp;"""")))/100,if(B275="""","""",if(A275=$F$1,Installment!H275,Installment!H275*GOOGLEFINANCE(""Currency:""&amp;A275&amp;""""&amp;$F$1&amp;""""))))"),"")</f>
        <v/>
      </c>
      <c r="F275" s="501" t="str">
        <f>IFERROR(__xludf.DUMMYFUNCTION("if(A275=""GBP"",if(B275="""","""",if(A275=$F$1,Installment!I275,Installment!I275*GOOGLEFINANCE(""Currency:""&amp;A275&amp;""""&amp;$F$1&amp;"""")))/100,if(B275="""","""",if(A275=$F$1,Installment!I275,Installment!I275*GOOGLEFINANCE(""Currency:""&amp;A275&amp;""""&amp;$F$1&amp;""""))))"),"")</f>
        <v/>
      </c>
      <c r="G275" s="501" t="str">
        <f t="shared" si="1"/>
        <v/>
      </c>
      <c r="H275" s="501" t="str">
        <f t="shared" si="2"/>
        <v/>
      </c>
      <c r="I275" s="501" t="str">
        <f t="shared" si="3"/>
        <v/>
      </c>
    </row>
    <row r="276">
      <c r="A276" s="501" t="str">
        <f>IFERROR(__xludf.DUMMYFUNCTION("IFERROR(if(ISBLANK(Installment!A276),"""",if(GOOGLEFINANCE(Installment!A276,""Currency"")=""GBX"",""GBP"",GOOGLEFINANCE(Installment!A276,""Currency""))),$F$1)"),"")</f>
        <v/>
      </c>
      <c r="B276" s="501" t="str">
        <f>Installment!A276</f>
        <v/>
      </c>
      <c r="C276" s="501" t="str">
        <f>Installment!B276</f>
        <v/>
      </c>
      <c r="D276" s="501" t="str">
        <f>IFERROR(__xludf.DUMMYFUNCTION("if(A276=""GBP"",if(B276="""","""",if(A276=$F$1,Installment!C276,Installment!C276*GOOGLEFINANCE(""Currency:""&amp;A276&amp;""""&amp;$F$1&amp;"""")))/100,if(B276="""","""",if(A276=$F$1,Installment!C276,Installment!C276*GOOGLEFINANCE(""Currency:""&amp;A276&amp;""""&amp;$F$1&amp;""""))))"),"")</f>
        <v/>
      </c>
      <c r="E276" s="501" t="str">
        <f>IFERROR(__xludf.DUMMYFUNCTION("if(A276=""GBP"",if(B276="""","""",if(A276=$F$1,Installment!H276,Installment!H276*GOOGLEFINANCE(""Currency:""&amp;A276&amp;""""&amp;$F$1&amp;"""")))/100,if(B276="""","""",if(A276=$F$1,Installment!H276,Installment!H276*GOOGLEFINANCE(""Currency:""&amp;A276&amp;""""&amp;$F$1&amp;""""))))"),"")</f>
        <v/>
      </c>
      <c r="F276" s="501" t="str">
        <f>IFERROR(__xludf.DUMMYFUNCTION("if(A276=""GBP"",if(B276="""","""",if(A276=$F$1,Installment!I276,Installment!I276*GOOGLEFINANCE(""Currency:""&amp;A276&amp;""""&amp;$F$1&amp;"""")))/100,if(B276="""","""",if(A276=$F$1,Installment!I276,Installment!I276*GOOGLEFINANCE(""Currency:""&amp;A276&amp;""""&amp;$F$1&amp;""""))))"),"")</f>
        <v/>
      </c>
      <c r="G276" s="501" t="str">
        <f t="shared" si="1"/>
        <v/>
      </c>
      <c r="H276" s="501" t="str">
        <f t="shared" si="2"/>
        <v/>
      </c>
      <c r="I276" s="501" t="str">
        <f t="shared" si="3"/>
        <v/>
      </c>
    </row>
    <row r="277">
      <c r="A277" s="501" t="str">
        <f>IFERROR(__xludf.DUMMYFUNCTION("IFERROR(if(ISBLANK(Installment!A277),"""",if(GOOGLEFINANCE(Installment!A277,""Currency"")=""GBX"",""GBP"",GOOGLEFINANCE(Installment!A277,""Currency""))),$F$1)"),"")</f>
        <v/>
      </c>
      <c r="B277" s="501" t="str">
        <f>Installment!A277</f>
        <v/>
      </c>
      <c r="C277" s="501" t="str">
        <f>Installment!B277</f>
        <v/>
      </c>
      <c r="D277" s="501" t="str">
        <f>IFERROR(__xludf.DUMMYFUNCTION("if(A277=""GBP"",if(B277="""","""",if(A277=$F$1,Installment!C277,Installment!C277*GOOGLEFINANCE(""Currency:""&amp;A277&amp;""""&amp;$F$1&amp;"""")))/100,if(B277="""","""",if(A277=$F$1,Installment!C277,Installment!C277*GOOGLEFINANCE(""Currency:""&amp;A277&amp;""""&amp;$F$1&amp;""""))))"),"")</f>
        <v/>
      </c>
      <c r="E277" s="501" t="str">
        <f>IFERROR(__xludf.DUMMYFUNCTION("if(A277=""GBP"",if(B277="""","""",if(A277=$F$1,Installment!H277,Installment!H277*GOOGLEFINANCE(""Currency:""&amp;A277&amp;""""&amp;$F$1&amp;"""")))/100,if(B277="""","""",if(A277=$F$1,Installment!H277,Installment!H277*GOOGLEFINANCE(""Currency:""&amp;A277&amp;""""&amp;$F$1&amp;""""))))"),"")</f>
        <v/>
      </c>
      <c r="F277" s="501" t="str">
        <f>IFERROR(__xludf.DUMMYFUNCTION("if(A277=""GBP"",if(B277="""","""",if(A277=$F$1,Installment!I277,Installment!I277*GOOGLEFINANCE(""Currency:""&amp;A277&amp;""""&amp;$F$1&amp;"""")))/100,if(B277="""","""",if(A277=$F$1,Installment!I277,Installment!I277*GOOGLEFINANCE(""Currency:""&amp;A277&amp;""""&amp;$F$1&amp;""""))))"),"")</f>
        <v/>
      </c>
      <c r="G277" s="501" t="str">
        <f t="shared" si="1"/>
        <v/>
      </c>
      <c r="H277" s="501" t="str">
        <f t="shared" si="2"/>
        <v/>
      </c>
      <c r="I277" s="501" t="str">
        <f t="shared" si="3"/>
        <v/>
      </c>
    </row>
    <row r="278">
      <c r="A278" s="501" t="str">
        <f>IFERROR(__xludf.DUMMYFUNCTION("IFERROR(if(ISBLANK(Installment!A278),"""",if(GOOGLEFINANCE(Installment!A278,""Currency"")=""GBX"",""GBP"",GOOGLEFINANCE(Installment!A278,""Currency""))),$F$1)"),"")</f>
        <v/>
      </c>
      <c r="B278" s="501" t="str">
        <f>Installment!A278</f>
        <v/>
      </c>
      <c r="C278" s="501" t="str">
        <f>Installment!B278</f>
        <v/>
      </c>
      <c r="D278" s="501" t="str">
        <f>IFERROR(__xludf.DUMMYFUNCTION("if(A278=""GBP"",if(B278="""","""",if(A278=$F$1,Installment!C278,Installment!C278*GOOGLEFINANCE(""Currency:""&amp;A278&amp;""""&amp;$F$1&amp;"""")))/100,if(B278="""","""",if(A278=$F$1,Installment!C278,Installment!C278*GOOGLEFINANCE(""Currency:""&amp;A278&amp;""""&amp;$F$1&amp;""""))))"),"")</f>
        <v/>
      </c>
      <c r="E278" s="501" t="str">
        <f>IFERROR(__xludf.DUMMYFUNCTION("if(A278=""GBP"",if(B278="""","""",if(A278=$F$1,Installment!H278,Installment!H278*GOOGLEFINANCE(""Currency:""&amp;A278&amp;""""&amp;$F$1&amp;"""")))/100,if(B278="""","""",if(A278=$F$1,Installment!H278,Installment!H278*GOOGLEFINANCE(""Currency:""&amp;A278&amp;""""&amp;$F$1&amp;""""))))"),"")</f>
        <v/>
      </c>
      <c r="F278" s="501" t="str">
        <f>IFERROR(__xludf.DUMMYFUNCTION("if(A278=""GBP"",if(B278="""","""",if(A278=$F$1,Installment!I278,Installment!I278*GOOGLEFINANCE(""Currency:""&amp;A278&amp;""""&amp;$F$1&amp;"""")))/100,if(B278="""","""",if(A278=$F$1,Installment!I278,Installment!I278*GOOGLEFINANCE(""Currency:""&amp;A278&amp;""""&amp;$F$1&amp;""""))))"),"")</f>
        <v/>
      </c>
      <c r="G278" s="501" t="str">
        <f t="shared" si="1"/>
        <v/>
      </c>
      <c r="H278" s="501" t="str">
        <f t="shared" si="2"/>
        <v/>
      </c>
      <c r="I278" s="501" t="str">
        <f t="shared" si="3"/>
        <v/>
      </c>
    </row>
    <row r="279">
      <c r="A279" s="501" t="str">
        <f>IFERROR(__xludf.DUMMYFUNCTION("IFERROR(if(ISBLANK(Installment!A279),"""",if(GOOGLEFINANCE(Installment!A279,""Currency"")=""GBX"",""GBP"",GOOGLEFINANCE(Installment!A279,""Currency""))),$F$1)"),"")</f>
        <v/>
      </c>
      <c r="B279" s="501" t="str">
        <f>Installment!A279</f>
        <v/>
      </c>
      <c r="C279" s="501" t="str">
        <f>Installment!B279</f>
        <v/>
      </c>
      <c r="D279" s="501" t="str">
        <f>IFERROR(__xludf.DUMMYFUNCTION("if(A279=""GBP"",if(B279="""","""",if(A279=$F$1,Installment!C279,Installment!C279*GOOGLEFINANCE(""Currency:""&amp;A279&amp;""""&amp;$F$1&amp;"""")))/100,if(B279="""","""",if(A279=$F$1,Installment!C279,Installment!C279*GOOGLEFINANCE(""Currency:""&amp;A279&amp;""""&amp;$F$1&amp;""""))))"),"")</f>
        <v/>
      </c>
      <c r="E279" s="501" t="str">
        <f>IFERROR(__xludf.DUMMYFUNCTION("if(A279=""GBP"",if(B279="""","""",if(A279=$F$1,Installment!H279,Installment!H279*GOOGLEFINANCE(""Currency:""&amp;A279&amp;""""&amp;$F$1&amp;"""")))/100,if(B279="""","""",if(A279=$F$1,Installment!H279,Installment!H279*GOOGLEFINANCE(""Currency:""&amp;A279&amp;""""&amp;$F$1&amp;""""))))"),"")</f>
        <v/>
      </c>
      <c r="F279" s="501" t="str">
        <f>IFERROR(__xludf.DUMMYFUNCTION("if(A279=""GBP"",if(B279="""","""",if(A279=$F$1,Installment!I279,Installment!I279*GOOGLEFINANCE(""Currency:""&amp;A279&amp;""""&amp;$F$1&amp;"""")))/100,if(B279="""","""",if(A279=$F$1,Installment!I279,Installment!I279*GOOGLEFINANCE(""Currency:""&amp;A279&amp;""""&amp;$F$1&amp;""""))))"),"")</f>
        <v/>
      </c>
      <c r="G279" s="501" t="str">
        <f t="shared" si="1"/>
        <v/>
      </c>
      <c r="H279" s="501" t="str">
        <f t="shared" si="2"/>
        <v/>
      </c>
      <c r="I279" s="501" t="str">
        <f t="shared" si="3"/>
        <v/>
      </c>
    </row>
    <row r="280">
      <c r="A280" s="501" t="str">
        <f>IFERROR(__xludf.DUMMYFUNCTION("IFERROR(if(ISBLANK(Installment!A280),"""",if(GOOGLEFINANCE(Installment!A280,""Currency"")=""GBX"",""GBP"",GOOGLEFINANCE(Installment!A280,""Currency""))),$F$1)"),"")</f>
        <v/>
      </c>
      <c r="B280" s="501" t="str">
        <f>Installment!A280</f>
        <v/>
      </c>
      <c r="C280" s="501" t="str">
        <f>Installment!B280</f>
        <v/>
      </c>
      <c r="D280" s="501" t="str">
        <f>IFERROR(__xludf.DUMMYFUNCTION("if(A280=""GBP"",if(B280="""","""",if(A280=$F$1,Installment!C280,Installment!C280*GOOGLEFINANCE(""Currency:""&amp;A280&amp;""""&amp;$F$1&amp;"""")))/100,if(B280="""","""",if(A280=$F$1,Installment!C280,Installment!C280*GOOGLEFINANCE(""Currency:""&amp;A280&amp;""""&amp;$F$1&amp;""""))))"),"")</f>
        <v/>
      </c>
      <c r="E280" s="501" t="str">
        <f>IFERROR(__xludf.DUMMYFUNCTION("if(A280=""GBP"",if(B280="""","""",if(A280=$F$1,Installment!H280,Installment!H280*GOOGLEFINANCE(""Currency:""&amp;A280&amp;""""&amp;$F$1&amp;"""")))/100,if(B280="""","""",if(A280=$F$1,Installment!H280,Installment!H280*GOOGLEFINANCE(""Currency:""&amp;A280&amp;""""&amp;$F$1&amp;""""))))"),"")</f>
        <v/>
      </c>
      <c r="F280" s="501" t="str">
        <f>IFERROR(__xludf.DUMMYFUNCTION("if(A280=""GBP"",if(B280="""","""",if(A280=$F$1,Installment!I280,Installment!I280*GOOGLEFINANCE(""Currency:""&amp;A280&amp;""""&amp;$F$1&amp;"""")))/100,if(B280="""","""",if(A280=$F$1,Installment!I280,Installment!I280*GOOGLEFINANCE(""Currency:""&amp;A280&amp;""""&amp;$F$1&amp;""""))))"),"")</f>
        <v/>
      </c>
      <c r="G280" s="501" t="str">
        <f t="shared" si="1"/>
        <v/>
      </c>
      <c r="H280" s="501" t="str">
        <f t="shared" si="2"/>
        <v/>
      </c>
      <c r="I280" s="501" t="str">
        <f t="shared" si="3"/>
        <v/>
      </c>
    </row>
    <row r="281">
      <c r="A281" s="501" t="str">
        <f>IFERROR(__xludf.DUMMYFUNCTION("IFERROR(if(ISBLANK(Installment!A281),"""",if(GOOGLEFINANCE(Installment!A281,""Currency"")=""GBX"",""GBP"",GOOGLEFINANCE(Installment!A281,""Currency""))),$F$1)"),"")</f>
        <v/>
      </c>
      <c r="B281" s="501" t="str">
        <f>Installment!A281</f>
        <v/>
      </c>
      <c r="C281" s="501" t="str">
        <f>Installment!B281</f>
        <v/>
      </c>
      <c r="D281" s="501" t="str">
        <f>IFERROR(__xludf.DUMMYFUNCTION("if(A281=""GBP"",if(B281="""","""",if(A281=$F$1,Installment!C281,Installment!C281*GOOGLEFINANCE(""Currency:""&amp;A281&amp;""""&amp;$F$1&amp;"""")))/100,if(B281="""","""",if(A281=$F$1,Installment!C281,Installment!C281*GOOGLEFINANCE(""Currency:""&amp;A281&amp;""""&amp;$F$1&amp;""""))))"),"")</f>
        <v/>
      </c>
      <c r="E281" s="501" t="str">
        <f>IFERROR(__xludf.DUMMYFUNCTION("if(A281=""GBP"",if(B281="""","""",if(A281=$F$1,Installment!H281,Installment!H281*GOOGLEFINANCE(""Currency:""&amp;A281&amp;""""&amp;$F$1&amp;"""")))/100,if(B281="""","""",if(A281=$F$1,Installment!H281,Installment!H281*GOOGLEFINANCE(""Currency:""&amp;A281&amp;""""&amp;$F$1&amp;""""))))"),"")</f>
        <v/>
      </c>
      <c r="F281" s="501" t="str">
        <f>IFERROR(__xludf.DUMMYFUNCTION("if(A281=""GBP"",if(B281="""","""",if(A281=$F$1,Installment!I281,Installment!I281*GOOGLEFINANCE(""Currency:""&amp;A281&amp;""""&amp;$F$1&amp;"""")))/100,if(B281="""","""",if(A281=$F$1,Installment!I281,Installment!I281*GOOGLEFINANCE(""Currency:""&amp;A281&amp;""""&amp;$F$1&amp;""""))))"),"")</f>
        <v/>
      </c>
      <c r="G281" s="501" t="str">
        <f t="shared" si="1"/>
        <v/>
      </c>
      <c r="H281" s="501" t="str">
        <f t="shared" si="2"/>
        <v/>
      </c>
      <c r="I281" s="501" t="str">
        <f t="shared" si="3"/>
        <v/>
      </c>
    </row>
    <row r="282">
      <c r="A282" s="501" t="str">
        <f>IFERROR(__xludf.DUMMYFUNCTION("IFERROR(if(ISBLANK(Installment!A282),"""",if(GOOGLEFINANCE(Installment!A282,""Currency"")=""GBX"",""GBP"",GOOGLEFINANCE(Installment!A282,""Currency""))),$F$1)"),"")</f>
        <v/>
      </c>
      <c r="B282" s="501" t="str">
        <f>Installment!A282</f>
        <v/>
      </c>
      <c r="C282" s="501" t="str">
        <f>Installment!B282</f>
        <v/>
      </c>
      <c r="D282" s="501" t="str">
        <f>IFERROR(__xludf.DUMMYFUNCTION("if(A282=""GBP"",if(B282="""","""",if(A282=$F$1,Installment!C282,Installment!C282*GOOGLEFINANCE(""Currency:""&amp;A282&amp;""""&amp;$F$1&amp;"""")))/100,if(B282="""","""",if(A282=$F$1,Installment!C282,Installment!C282*GOOGLEFINANCE(""Currency:""&amp;A282&amp;""""&amp;$F$1&amp;""""))))"),"")</f>
        <v/>
      </c>
      <c r="E282" s="501" t="str">
        <f>IFERROR(__xludf.DUMMYFUNCTION("if(A282=""GBP"",if(B282="""","""",if(A282=$F$1,Installment!H282,Installment!H282*GOOGLEFINANCE(""Currency:""&amp;A282&amp;""""&amp;$F$1&amp;"""")))/100,if(B282="""","""",if(A282=$F$1,Installment!H282,Installment!H282*GOOGLEFINANCE(""Currency:""&amp;A282&amp;""""&amp;$F$1&amp;""""))))"),"")</f>
        <v/>
      </c>
      <c r="F282" s="501" t="str">
        <f>IFERROR(__xludf.DUMMYFUNCTION("if(A282=""GBP"",if(B282="""","""",if(A282=$F$1,Installment!I282,Installment!I282*GOOGLEFINANCE(""Currency:""&amp;A282&amp;""""&amp;$F$1&amp;"""")))/100,if(B282="""","""",if(A282=$F$1,Installment!I282,Installment!I282*GOOGLEFINANCE(""Currency:""&amp;A282&amp;""""&amp;$F$1&amp;""""))))"),"")</f>
        <v/>
      </c>
      <c r="G282" s="501" t="str">
        <f t="shared" si="1"/>
        <v/>
      </c>
      <c r="H282" s="501" t="str">
        <f t="shared" si="2"/>
        <v/>
      </c>
      <c r="I282" s="501" t="str">
        <f t="shared" si="3"/>
        <v/>
      </c>
    </row>
    <row r="283">
      <c r="A283" s="501" t="str">
        <f>IFERROR(__xludf.DUMMYFUNCTION("IFERROR(if(ISBLANK(Installment!A283),"""",if(GOOGLEFINANCE(Installment!A283,""Currency"")=""GBX"",""GBP"",GOOGLEFINANCE(Installment!A283,""Currency""))),$F$1)"),"")</f>
        <v/>
      </c>
      <c r="B283" s="501" t="str">
        <f>Installment!A283</f>
        <v/>
      </c>
      <c r="C283" s="501" t="str">
        <f>Installment!B283</f>
        <v/>
      </c>
      <c r="D283" s="501" t="str">
        <f>IFERROR(__xludf.DUMMYFUNCTION("if(A283=""GBP"",if(B283="""","""",if(A283=$F$1,Installment!C283,Installment!C283*GOOGLEFINANCE(""Currency:""&amp;A283&amp;""""&amp;$F$1&amp;"""")))/100,if(B283="""","""",if(A283=$F$1,Installment!C283,Installment!C283*GOOGLEFINANCE(""Currency:""&amp;A283&amp;""""&amp;$F$1&amp;""""))))"),"")</f>
        <v/>
      </c>
      <c r="E283" s="501" t="str">
        <f>IFERROR(__xludf.DUMMYFUNCTION("if(A283=""GBP"",if(B283="""","""",if(A283=$F$1,Installment!H283,Installment!H283*GOOGLEFINANCE(""Currency:""&amp;A283&amp;""""&amp;$F$1&amp;"""")))/100,if(B283="""","""",if(A283=$F$1,Installment!H283,Installment!H283*GOOGLEFINANCE(""Currency:""&amp;A283&amp;""""&amp;$F$1&amp;""""))))"),"")</f>
        <v/>
      </c>
      <c r="F283" s="501" t="str">
        <f>IFERROR(__xludf.DUMMYFUNCTION("if(A283=""GBP"",if(B283="""","""",if(A283=$F$1,Installment!I283,Installment!I283*GOOGLEFINANCE(""Currency:""&amp;A283&amp;""""&amp;$F$1&amp;"""")))/100,if(B283="""","""",if(A283=$F$1,Installment!I283,Installment!I283*GOOGLEFINANCE(""Currency:""&amp;A283&amp;""""&amp;$F$1&amp;""""))))"),"")</f>
        <v/>
      </c>
      <c r="G283" s="501" t="str">
        <f t="shared" si="1"/>
        <v/>
      </c>
      <c r="H283" s="501" t="str">
        <f t="shared" si="2"/>
        <v/>
      </c>
      <c r="I283" s="501" t="str">
        <f t="shared" si="3"/>
        <v/>
      </c>
    </row>
    <row r="284">
      <c r="A284" s="501" t="str">
        <f>IFERROR(__xludf.DUMMYFUNCTION("IFERROR(if(ISBLANK(Installment!A284),"""",if(GOOGLEFINANCE(Installment!A284,""Currency"")=""GBX"",""GBP"",GOOGLEFINANCE(Installment!A284,""Currency""))),$F$1)"),"")</f>
        <v/>
      </c>
      <c r="B284" s="501" t="str">
        <f>Installment!A284</f>
        <v/>
      </c>
      <c r="C284" s="501" t="str">
        <f>Installment!B284</f>
        <v/>
      </c>
      <c r="D284" s="501" t="str">
        <f>IFERROR(__xludf.DUMMYFUNCTION("if(A284=""GBP"",if(B284="""","""",if(A284=$F$1,Installment!C284,Installment!C284*GOOGLEFINANCE(""Currency:""&amp;A284&amp;""""&amp;$F$1&amp;"""")))/100,if(B284="""","""",if(A284=$F$1,Installment!C284,Installment!C284*GOOGLEFINANCE(""Currency:""&amp;A284&amp;""""&amp;$F$1&amp;""""))))"),"")</f>
        <v/>
      </c>
      <c r="E284" s="501" t="str">
        <f>IFERROR(__xludf.DUMMYFUNCTION("if(A284=""GBP"",if(B284="""","""",if(A284=$F$1,Installment!H284,Installment!H284*GOOGLEFINANCE(""Currency:""&amp;A284&amp;""""&amp;$F$1&amp;"""")))/100,if(B284="""","""",if(A284=$F$1,Installment!H284,Installment!H284*GOOGLEFINANCE(""Currency:""&amp;A284&amp;""""&amp;$F$1&amp;""""))))"),"")</f>
        <v/>
      </c>
      <c r="F284" s="501" t="str">
        <f>IFERROR(__xludf.DUMMYFUNCTION("if(A284=""GBP"",if(B284="""","""",if(A284=$F$1,Installment!I284,Installment!I284*GOOGLEFINANCE(""Currency:""&amp;A284&amp;""""&amp;$F$1&amp;"""")))/100,if(B284="""","""",if(A284=$F$1,Installment!I284,Installment!I284*GOOGLEFINANCE(""Currency:""&amp;A284&amp;""""&amp;$F$1&amp;""""))))"),"")</f>
        <v/>
      </c>
      <c r="G284" s="501" t="str">
        <f t="shared" si="1"/>
        <v/>
      </c>
      <c r="H284" s="501" t="str">
        <f t="shared" si="2"/>
        <v/>
      </c>
      <c r="I284" s="501" t="str">
        <f t="shared" si="3"/>
        <v/>
      </c>
    </row>
    <row r="285">
      <c r="A285" s="501" t="str">
        <f>IFERROR(__xludf.DUMMYFUNCTION("IFERROR(if(ISBLANK(Installment!A285),"""",if(GOOGLEFINANCE(Installment!A285,""Currency"")=""GBX"",""GBP"",GOOGLEFINANCE(Installment!A285,""Currency""))),$F$1)"),"")</f>
        <v/>
      </c>
      <c r="B285" s="501" t="str">
        <f>Installment!A285</f>
        <v/>
      </c>
      <c r="C285" s="501" t="str">
        <f>Installment!B285</f>
        <v/>
      </c>
      <c r="D285" s="501" t="str">
        <f>IFERROR(__xludf.DUMMYFUNCTION("if(A285=""GBP"",if(B285="""","""",if(A285=$F$1,Installment!C285,Installment!C285*GOOGLEFINANCE(""Currency:""&amp;A285&amp;""""&amp;$F$1&amp;"""")))/100,if(B285="""","""",if(A285=$F$1,Installment!C285,Installment!C285*GOOGLEFINANCE(""Currency:""&amp;A285&amp;""""&amp;$F$1&amp;""""))))"),"")</f>
        <v/>
      </c>
      <c r="E285" s="501" t="str">
        <f>IFERROR(__xludf.DUMMYFUNCTION("if(A285=""GBP"",if(B285="""","""",if(A285=$F$1,Installment!H285,Installment!H285*GOOGLEFINANCE(""Currency:""&amp;A285&amp;""""&amp;$F$1&amp;"""")))/100,if(B285="""","""",if(A285=$F$1,Installment!H285,Installment!H285*GOOGLEFINANCE(""Currency:""&amp;A285&amp;""""&amp;$F$1&amp;""""))))"),"")</f>
        <v/>
      </c>
      <c r="F285" s="501" t="str">
        <f>IFERROR(__xludf.DUMMYFUNCTION("if(A285=""GBP"",if(B285="""","""",if(A285=$F$1,Installment!I285,Installment!I285*GOOGLEFINANCE(""Currency:""&amp;A285&amp;""""&amp;$F$1&amp;"""")))/100,if(B285="""","""",if(A285=$F$1,Installment!I285,Installment!I285*GOOGLEFINANCE(""Currency:""&amp;A285&amp;""""&amp;$F$1&amp;""""))))"),"")</f>
        <v/>
      </c>
      <c r="G285" s="501" t="str">
        <f t="shared" si="1"/>
        <v/>
      </c>
      <c r="H285" s="501" t="str">
        <f t="shared" si="2"/>
        <v/>
      </c>
      <c r="I285" s="501" t="str">
        <f t="shared" si="3"/>
        <v/>
      </c>
    </row>
    <row r="286">
      <c r="A286" s="501" t="str">
        <f>IFERROR(__xludf.DUMMYFUNCTION("IFERROR(if(ISBLANK(Installment!A286),"""",if(GOOGLEFINANCE(Installment!A286,""Currency"")=""GBX"",""GBP"",GOOGLEFINANCE(Installment!A286,""Currency""))),$F$1)"),"")</f>
        <v/>
      </c>
      <c r="B286" s="501" t="str">
        <f>Installment!A286</f>
        <v/>
      </c>
      <c r="C286" s="501" t="str">
        <f>Installment!B286</f>
        <v/>
      </c>
      <c r="D286" s="501" t="str">
        <f>IFERROR(__xludf.DUMMYFUNCTION("if(A286=""GBP"",if(B286="""","""",if(A286=$F$1,Installment!C286,Installment!C286*GOOGLEFINANCE(""Currency:""&amp;A286&amp;""""&amp;$F$1&amp;"""")))/100,if(B286="""","""",if(A286=$F$1,Installment!C286,Installment!C286*GOOGLEFINANCE(""Currency:""&amp;A286&amp;""""&amp;$F$1&amp;""""))))"),"")</f>
        <v/>
      </c>
      <c r="E286" s="501" t="str">
        <f>IFERROR(__xludf.DUMMYFUNCTION("if(A286=""GBP"",if(B286="""","""",if(A286=$F$1,Installment!H286,Installment!H286*GOOGLEFINANCE(""Currency:""&amp;A286&amp;""""&amp;$F$1&amp;"""")))/100,if(B286="""","""",if(A286=$F$1,Installment!H286,Installment!H286*GOOGLEFINANCE(""Currency:""&amp;A286&amp;""""&amp;$F$1&amp;""""))))"),"")</f>
        <v/>
      </c>
      <c r="F286" s="501" t="str">
        <f>IFERROR(__xludf.DUMMYFUNCTION("if(A286=""GBP"",if(B286="""","""",if(A286=$F$1,Installment!I286,Installment!I286*GOOGLEFINANCE(""Currency:""&amp;A286&amp;""""&amp;$F$1&amp;"""")))/100,if(B286="""","""",if(A286=$F$1,Installment!I286,Installment!I286*GOOGLEFINANCE(""Currency:""&amp;A286&amp;""""&amp;$F$1&amp;""""))))"),"")</f>
        <v/>
      </c>
      <c r="G286" s="501" t="str">
        <f t="shared" si="1"/>
        <v/>
      </c>
      <c r="H286" s="501" t="str">
        <f t="shared" si="2"/>
        <v/>
      </c>
      <c r="I286" s="501" t="str">
        <f t="shared" si="3"/>
        <v/>
      </c>
    </row>
    <row r="287">
      <c r="A287" s="501" t="str">
        <f>IFERROR(__xludf.DUMMYFUNCTION("IFERROR(if(ISBLANK(Installment!A287),"""",if(GOOGLEFINANCE(Installment!A287,""Currency"")=""GBX"",""GBP"",GOOGLEFINANCE(Installment!A287,""Currency""))),$F$1)"),"")</f>
        <v/>
      </c>
      <c r="B287" s="501" t="str">
        <f>Installment!A287</f>
        <v/>
      </c>
      <c r="C287" s="501" t="str">
        <f>Installment!B287</f>
        <v/>
      </c>
      <c r="D287" s="501" t="str">
        <f>IFERROR(__xludf.DUMMYFUNCTION("if(A287=""GBP"",if(B287="""","""",if(A287=$F$1,Installment!C287,Installment!C287*GOOGLEFINANCE(""Currency:""&amp;A287&amp;""""&amp;$F$1&amp;"""")))/100,if(B287="""","""",if(A287=$F$1,Installment!C287,Installment!C287*GOOGLEFINANCE(""Currency:""&amp;A287&amp;""""&amp;$F$1&amp;""""))))"),"")</f>
        <v/>
      </c>
      <c r="E287" s="501" t="str">
        <f>IFERROR(__xludf.DUMMYFUNCTION("if(A287=""GBP"",if(B287="""","""",if(A287=$F$1,Installment!H287,Installment!H287*GOOGLEFINANCE(""Currency:""&amp;A287&amp;""""&amp;$F$1&amp;"""")))/100,if(B287="""","""",if(A287=$F$1,Installment!H287,Installment!H287*GOOGLEFINANCE(""Currency:""&amp;A287&amp;""""&amp;$F$1&amp;""""))))"),"")</f>
        <v/>
      </c>
      <c r="F287" s="501" t="str">
        <f>IFERROR(__xludf.DUMMYFUNCTION("if(A287=""GBP"",if(B287="""","""",if(A287=$F$1,Installment!I287,Installment!I287*GOOGLEFINANCE(""Currency:""&amp;A287&amp;""""&amp;$F$1&amp;"""")))/100,if(B287="""","""",if(A287=$F$1,Installment!I287,Installment!I287*GOOGLEFINANCE(""Currency:""&amp;A287&amp;""""&amp;$F$1&amp;""""))))"),"")</f>
        <v/>
      </c>
      <c r="G287" s="501" t="str">
        <f t="shared" si="1"/>
        <v/>
      </c>
      <c r="H287" s="501" t="str">
        <f t="shared" si="2"/>
        <v/>
      </c>
      <c r="I287" s="501" t="str">
        <f t="shared" si="3"/>
        <v/>
      </c>
    </row>
    <row r="288">
      <c r="A288" s="501" t="str">
        <f>IFERROR(__xludf.DUMMYFUNCTION("IFERROR(if(ISBLANK(Installment!A288),"""",if(GOOGLEFINANCE(Installment!A288,""Currency"")=""GBX"",""GBP"",GOOGLEFINANCE(Installment!A288,""Currency""))),$F$1)"),"")</f>
        <v/>
      </c>
      <c r="B288" s="501" t="str">
        <f>Installment!A288</f>
        <v/>
      </c>
      <c r="C288" s="501" t="str">
        <f>Installment!B288</f>
        <v/>
      </c>
      <c r="D288" s="501" t="str">
        <f>IFERROR(__xludf.DUMMYFUNCTION("if(A288=""GBP"",if(B288="""","""",if(A288=$F$1,Installment!C288,Installment!C288*GOOGLEFINANCE(""Currency:""&amp;A288&amp;""""&amp;$F$1&amp;"""")))/100,if(B288="""","""",if(A288=$F$1,Installment!C288,Installment!C288*GOOGLEFINANCE(""Currency:""&amp;A288&amp;""""&amp;$F$1&amp;""""))))"),"")</f>
        <v/>
      </c>
      <c r="E288" s="501" t="str">
        <f>IFERROR(__xludf.DUMMYFUNCTION("if(A288=""GBP"",if(B288="""","""",if(A288=$F$1,Installment!H288,Installment!H288*GOOGLEFINANCE(""Currency:""&amp;A288&amp;""""&amp;$F$1&amp;"""")))/100,if(B288="""","""",if(A288=$F$1,Installment!H288,Installment!H288*GOOGLEFINANCE(""Currency:""&amp;A288&amp;""""&amp;$F$1&amp;""""))))"),"")</f>
        <v/>
      </c>
      <c r="F288" s="501" t="str">
        <f>IFERROR(__xludf.DUMMYFUNCTION("if(A288=""GBP"",if(B288="""","""",if(A288=$F$1,Installment!I288,Installment!I288*GOOGLEFINANCE(""Currency:""&amp;A288&amp;""""&amp;$F$1&amp;"""")))/100,if(B288="""","""",if(A288=$F$1,Installment!I288,Installment!I288*GOOGLEFINANCE(""Currency:""&amp;A288&amp;""""&amp;$F$1&amp;""""))))"),"")</f>
        <v/>
      </c>
      <c r="G288" s="501" t="str">
        <f t="shared" si="1"/>
        <v/>
      </c>
      <c r="H288" s="501" t="str">
        <f t="shared" si="2"/>
        <v/>
      </c>
      <c r="I288" s="501" t="str">
        <f t="shared" si="3"/>
        <v/>
      </c>
    </row>
    <row r="289">
      <c r="A289" s="501" t="str">
        <f>IFERROR(__xludf.DUMMYFUNCTION("IFERROR(if(ISBLANK(Installment!A289),"""",if(GOOGLEFINANCE(Installment!A289,""Currency"")=""GBX"",""GBP"",GOOGLEFINANCE(Installment!A289,""Currency""))),$F$1)"),"")</f>
        <v/>
      </c>
      <c r="B289" s="501" t="str">
        <f>Installment!A289</f>
        <v/>
      </c>
      <c r="C289" s="501" t="str">
        <f>Installment!B289</f>
        <v/>
      </c>
      <c r="D289" s="501" t="str">
        <f>IFERROR(__xludf.DUMMYFUNCTION("if(A289=""GBP"",if(B289="""","""",if(A289=$F$1,Installment!C289,Installment!C289*GOOGLEFINANCE(""Currency:""&amp;A289&amp;""""&amp;$F$1&amp;"""")))/100,if(B289="""","""",if(A289=$F$1,Installment!C289,Installment!C289*GOOGLEFINANCE(""Currency:""&amp;A289&amp;""""&amp;$F$1&amp;""""))))"),"")</f>
        <v/>
      </c>
      <c r="E289" s="501" t="str">
        <f>IFERROR(__xludf.DUMMYFUNCTION("if(A289=""GBP"",if(B289="""","""",if(A289=$F$1,Installment!H289,Installment!H289*GOOGLEFINANCE(""Currency:""&amp;A289&amp;""""&amp;$F$1&amp;"""")))/100,if(B289="""","""",if(A289=$F$1,Installment!H289,Installment!H289*GOOGLEFINANCE(""Currency:""&amp;A289&amp;""""&amp;$F$1&amp;""""))))"),"")</f>
        <v/>
      </c>
      <c r="F289" s="501" t="str">
        <f>IFERROR(__xludf.DUMMYFUNCTION("if(A289=""GBP"",if(B289="""","""",if(A289=$F$1,Installment!I289,Installment!I289*GOOGLEFINANCE(""Currency:""&amp;A289&amp;""""&amp;$F$1&amp;"""")))/100,if(B289="""","""",if(A289=$F$1,Installment!I289,Installment!I289*GOOGLEFINANCE(""Currency:""&amp;A289&amp;""""&amp;$F$1&amp;""""))))"),"")</f>
        <v/>
      </c>
      <c r="G289" s="501" t="str">
        <f t="shared" si="1"/>
        <v/>
      </c>
      <c r="H289" s="501" t="str">
        <f t="shared" si="2"/>
        <v/>
      </c>
      <c r="I289" s="501" t="str">
        <f t="shared" si="3"/>
        <v/>
      </c>
    </row>
    <row r="290">
      <c r="A290" s="501" t="str">
        <f>IFERROR(__xludf.DUMMYFUNCTION("IFERROR(if(ISBLANK(Installment!A290),"""",if(GOOGLEFINANCE(Installment!A290,""Currency"")=""GBX"",""GBP"",GOOGLEFINANCE(Installment!A290,""Currency""))),$F$1)"),"")</f>
        <v/>
      </c>
      <c r="B290" s="501" t="str">
        <f>Installment!A290</f>
        <v/>
      </c>
      <c r="C290" s="501" t="str">
        <f>Installment!B290</f>
        <v/>
      </c>
      <c r="D290" s="501" t="str">
        <f>IFERROR(__xludf.DUMMYFUNCTION("if(A290=""GBP"",if(B290="""","""",if(A290=$F$1,Installment!C290,Installment!C290*GOOGLEFINANCE(""Currency:""&amp;A290&amp;""""&amp;$F$1&amp;"""")))/100,if(B290="""","""",if(A290=$F$1,Installment!C290,Installment!C290*GOOGLEFINANCE(""Currency:""&amp;A290&amp;""""&amp;$F$1&amp;""""))))"),"")</f>
        <v/>
      </c>
      <c r="E290" s="501" t="str">
        <f>IFERROR(__xludf.DUMMYFUNCTION("if(A290=""GBP"",if(B290="""","""",if(A290=$F$1,Installment!H290,Installment!H290*GOOGLEFINANCE(""Currency:""&amp;A290&amp;""""&amp;$F$1&amp;"""")))/100,if(B290="""","""",if(A290=$F$1,Installment!H290,Installment!H290*GOOGLEFINANCE(""Currency:""&amp;A290&amp;""""&amp;$F$1&amp;""""))))"),"")</f>
        <v/>
      </c>
      <c r="F290" s="501" t="str">
        <f>IFERROR(__xludf.DUMMYFUNCTION("if(A290=""GBP"",if(B290="""","""",if(A290=$F$1,Installment!I290,Installment!I290*GOOGLEFINANCE(""Currency:""&amp;A290&amp;""""&amp;$F$1&amp;"""")))/100,if(B290="""","""",if(A290=$F$1,Installment!I290,Installment!I290*GOOGLEFINANCE(""Currency:""&amp;A290&amp;""""&amp;$F$1&amp;""""))))"),"")</f>
        <v/>
      </c>
      <c r="G290" s="501" t="str">
        <f t="shared" si="1"/>
        <v/>
      </c>
      <c r="H290" s="501" t="str">
        <f t="shared" si="2"/>
        <v/>
      </c>
      <c r="I290" s="501" t="str">
        <f t="shared" si="3"/>
        <v/>
      </c>
    </row>
    <row r="291">
      <c r="A291" s="501" t="str">
        <f>IFERROR(__xludf.DUMMYFUNCTION("IFERROR(if(ISBLANK(Installment!A291),"""",if(GOOGLEFINANCE(Installment!A291,""Currency"")=""GBX"",""GBP"",GOOGLEFINANCE(Installment!A291,""Currency""))),$F$1)"),"")</f>
        <v/>
      </c>
      <c r="B291" s="501" t="str">
        <f>Installment!A291</f>
        <v/>
      </c>
      <c r="C291" s="501" t="str">
        <f>Installment!B291</f>
        <v/>
      </c>
      <c r="D291" s="501" t="str">
        <f>IFERROR(__xludf.DUMMYFUNCTION("if(A291=""GBP"",if(B291="""","""",if(A291=$F$1,Installment!C291,Installment!C291*GOOGLEFINANCE(""Currency:""&amp;A291&amp;""""&amp;$F$1&amp;"""")))/100,if(B291="""","""",if(A291=$F$1,Installment!C291,Installment!C291*GOOGLEFINANCE(""Currency:""&amp;A291&amp;""""&amp;$F$1&amp;""""))))"),"")</f>
        <v/>
      </c>
      <c r="E291" s="501" t="str">
        <f>IFERROR(__xludf.DUMMYFUNCTION("if(A291=""GBP"",if(B291="""","""",if(A291=$F$1,Installment!H291,Installment!H291*GOOGLEFINANCE(""Currency:""&amp;A291&amp;""""&amp;$F$1&amp;"""")))/100,if(B291="""","""",if(A291=$F$1,Installment!H291,Installment!H291*GOOGLEFINANCE(""Currency:""&amp;A291&amp;""""&amp;$F$1&amp;""""))))"),"")</f>
        <v/>
      </c>
      <c r="F291" s="501" t="str">
        <f>IFERROR(__xludf.DUMMYFUNCTION("if(A291=""GBP"",if(B291="""","""",if(A291=$F$1,Installment!I291,Installment!I291*GOOGLEFINANCE(""Currency:""&amp;A291&amp;""""&amp;$F$1&amp;"""")))/100,if(B291="""","""",if(A291=$F$1,Installment!I291,Installment!I291*GOOGLEFINANCE(""Currency:""&amp;A291&amp;""""&amp;$F$1&amp;""""))))"),"")</f>
        <v/>
      </c>
      <c r="G291" s="501" t="str">
        <f t="shared" si="1"/>
        <v/>
      </c>
      <c r="H291" s="501" t="str">
        <f t="shared" si="2"/>
        <v/>
      </c>
      <c r="I291" s="501" t="str">
        <f t="shared" si="3"/>
        <v/>
      </c>
    </row>
    <row r="292">
      <c r="A292" s="501" t="str">
        <f>IFERROR(__xludf.DUMMYFUNCTION("IFERROR(if(ISBLANK(Installment!A292),"""",if(GOOGLEFINANCE(Installment!A292,""Currency"")=""GBX"",""GBP"",GOOGLEFINANCE(Installment!A292,""Currency""))),$F$1)"),"")</f>
        <v/>
      </c>
      <c r="B292" s="501" t="str">
        <f>Installment!A292</f>
        <v/>
      </c>
      <c r="C292" s="501" t="str">
        <f>Installment!B292</f>
        <v/>
      </c>
      <c r="D292" s="501" t="str">
        <f>IFERROR(__xludf.DUMMYFUNCTION("if(A292=""GBP"",if(B292="""","""",if(A292=$F$1,Installment!C292,Installment!C292*GOOGLEFINANCE(""Currency:""&amp;A292&amp;""""&amp;$F$1&amp;"""")))/100,if(B292="""","""",if(A292=$F$1,Installment!C292,Installment!C292*GOOGLEFINANCE(""Currency:""&amp;A292&amp;""""&amp;$F$1&amp;""""))))"),"")</f>
        <v/>
      </c>
      <c r="E292" s="501" t="str">
        <f>IFERROR(__xludf.DUMMYFUNCTION("if(A292=""GBP"",if(B292="""","""",if(A292=$F$1,Installment!H292,Installment!H292*GOOGLEFINANCE(""Currency:""&amp;A292&amp;""""&amp;$F$1&amp;"""")))/100,if(B292="""","""",if(A292=$F$1,Installment!H292,Installment!H292*GOOGLEFINANCE(""Currency:""&amp;A292&amp;""""&amp;$F$1&amp;""""))))"),"")</f>
        <v/>
      </c>
      <c r="F292" s="501" t="str">
        <f>IFERROR(__xludf.DUMMYFUNCTION("if(A292=""GBP"",if(B292="""","""",if(A292=$F$1,Installment!I292,Installment!I292*GOOGLEFINANCE(""Currency:""&amp;A292&amp;""""&amp;$F$1&amp;"""")))/100,if(B292="""","""",if(A292=$F$1,Installment!I292,Installment!I292*GOOGLEFINANCE(""Currency:""&amp;A292&amp;""""&amp;$F$1&amp;""""))))"),"")</f>
        <v/>
      </c>
      <c r="G292" s="501" t="str">
        <f t="shared" si="1"/>
        <v/>
      </c>
      <c r="H292" s="501" t="str">
        <f t="shared" si="2"/>
        <v/>
      </c>
      <c r="I292" s="501" t="str">
        <f t="shared" si="3"/>
        <v/>
      </c>
    </row>
    <row r="293">
      <c r="A293" s="501" t="str">
        <f>IFERROR(__xludf.DUMMYFUNCTION("IFERROR(if(ISBLANK(Installment!A293),"""",if(GOOGLEFINANCE(Installment!A293,""Currency"")=""GBX"",""GBP"",GOOGLEFINANCE(Installment!A293,""Currency""))),$F$1)"),"")</f>
        <v/>
      </c>
      <c r="B293" s="501" t="str">
        <f>Installment!A293</f>
        <v/>
      </c>
      <c r="C293" s="501" t="str">
        <f>Installment!B293</f>
        <v/>
      </c>
      <c r="D293" s="501" t="str">
        <f>IFERROR(__xludf.DUMMYFUNCTION("if(A293=""GBP"",if(B293="""","""",if(A293=$F$1,Installment!C293,Installment!C293*GOOGLEFINANCE(""Currency:""&amp;A293&amp;""""&amp;$F$1&amp;"""")))/100,if(B293="""","""",if(A293=$F$1,Installment!C293,Installment!C293*GOOGLEFINANCE(""Currency:""&amp;A293&amp;""""&amp;$F$1&amp;""""))))"),"")</f>
        <v/>
      </c>
      <c r="E293" s="501" t="str">
        <f>IFERROR(__xludf.DUMMYFUNCTION("if(A293=""GBP"",if(B293="""","""",if(A293=$F$1,Installment!H293,Installment!H293*GOOGLEFINANCE(""Currency:""&amp;A293&amp;""""&amp;$F$1&amp;"""")))/100,if(B293="""","""",if(A293=$F$1,Installment!H293,Installment!H293*GOOGLEFINANCE(""Currency:""&amp;A293&amp;""""&amp;$F$1&amp;""""))))"),"")</f>
        <v/>
      </c>
      <c r="F293" s="501" t="str">
        <f>IFERROR(__xludf.DUMMYFUNCTION("if(A293=""GBP"",if(B293="""","""",if(A293=$F$1,Installment!I293,Installment!I293*GOOGLEFINANCE(""Currency:""&amp;A293&amp;""""&amp;$F$1&amp;"""")))/100,if(B293="""","""",if(A293=$F$1,Installment!I293,Installment!I293*GOOGLEFINANCE(""Currency:""&amp;A293&amp;""""&amp;$F$1&amp;""""))))"),"")</f>
        <v/>
      </c>
      <c r="G293" s="501" t="str">
        <f t="shared" si="1"/>
        <v/>
      </c>
      <c r="H293" s="501" t="str">
        <f t="shared" si="2"/>
        <v/>
      </c>
      <c r="I293" s="501" t="str">
        <f t="shared" si="3"/>
        <v/>
      </c>
    </row>
    <row r="294">
      <c r="A294" s="501" t="str">
        <f>IFERROR(__xludf.DUMMYFUNCTION("IFERROR(if(ISBLANK(Installment!A294),"""",if(GOOGLEFINANCE(Installment!A294,""Currency"")=""GBX"",""GBP"",GOOGLEFINANCE(Installment!A294,""Currency""))),$F$1)"),"")</f>
        <v/>
      </c>
      <c r="B294" s="501" t="str">
        <f>Installment!A294</f>
        <v/>
      </c>
      <c r="C294" s="501" t="str">
        <f>Installment!B294</f>
        <v/>
      </c>
      <c r="D294" s="501" t="str">
        <f>IFERROR(__xludf.DUMMYFUNCTION("if(A294=""GBP"",if(B294="""","""",if(A294=$F$1,Installment!C294,Installment!C294*GOOGLEFINANCE(""Currency:""&amp;A294&amp;""""&amp;$F$1&amp;"""")))/100,if(B294="""","""",if(A294=$F$1,Installment!C294,Installment!C294*GOOGLEFINANCE(""Currency:""&amp;A294&amp;""""&amp;$F$1&amp;""""))))"),"")</f>
        <v/>
      </c>
      <c r="E294" s="501" t="str">
        <f>IFERROR(__xludf.DUMMYFUNCTION("if(A294=""GBP"",if(B294="""","""",if(A294=$F$1,Installment!H294,Installment!H294*GOOGLEFINANCE(""Currency:""&amp;A294&amp;""""&amp;$F$1&amp;"""")))/100,if(B294="""","""",if(A294=$F$1,Installment!H294,Installment!H294*GOOGLEFINANCE(""Currency:""&amp;A294&amp;""""&amp;$F$1&amp;""""))))"),"")</f>
        <v/>
      </c>
      <c r="F294" s="501" t="str">
        <f>IFERROR(__xludf.DUMMYFUNCTION("if(A294=""GBP"",if(B294="""","""",if(A294=$F$1,Installment!I294,Installment!I294*GOOGLEFINANCE(""Currency:""&amp;A294&amp;""""&amp;$F$1&amp;"""")))/100,if(B294="""","""",if(A294=$F$1,Installment!I294,Installment!I294*GOOGLEFINANCE(""Currency:""&amp;A294&amp;""""&amp;$F$1&amp;""""))))"),"")</f>
        <v/>
      </c>
      <c r="G294" s="501" t="str">
        <f t="shared" si="1"/>
        <v/>
      </c>
      <c r="H294" s="501" t="str">
        <f t="shared" si="2"/>
        <v/>
      </c>
      <c r="I294" s="501" t="str">
        <f t="shared" si="3"/>
        <v/>
      </c>
    </row>
    <row r="295">
      <c r="A295" s="501" t="str">
        <f>IFERROR(__xludf.DUMMYFUNCTION("IFERROR(if(ISBLANK(Installment!A295),"""",if(GOOGLEFINANCE(Installment!A295,""Currency"")=""GBX"",""GBP"",GOOGLEFINANCE(Installment!A295,""Currency""))),$F$1)"),"")</f>
        <v/>
      </c>
      <c r="B295" s="501" t="str">
        <f>Installment!A295</f>
        <v/>
      </c>
      <c r="C295" s="501" t="str">
        <f>Installment!B295</f>
        <v/>
      </c>
      <c r="D295" s="501" t="str">
        <f>IFERROR(__xludf.DUMMYFUNCTION("if(A295=""GBP"",if(B295="""","""",if(A295=$F$1,Installment!C295,Installment!C295*GOOGLEFINANCE(""Currency:""&amp;A295&amp;""""&amp;$F$1&amp;"""")))/100,if(B295="""","""",if(A295=$F$1,Installment!C295,Installment!C295*GOOGLEFINANCE(""Currency:""&amp;A295&amp;""""&amp;$F$1&amp;""""))))"),"")</f>
        <v/>
      </c>
      <c r="E295" s="501" t="str">
        <f>IFERROR(__xludf.DUMMYFUNCTION("if(A295=""GBP"",if(B295="""","""",if(A295=$F$1,Installment!H295,Installment!H295*GOOGLEFINANCE(""Currency:""&amp;A295&amp;""""&amp;$F$1&amp;"""")))/100,if(B295="""","""",if(A295=$F$1,Installment!H295,Installment!H295*GOOGLEFINANCE(""Currency:""&amp;A295&amp;""""&amp;$F$1&amp;""""))))"),"")</f>
        <v/>
      </c>
      <c r="F295" s="501" t="str">
        <f>IFERROR(__xludf.DUMMYFUNCTION("if(A295=""GBP"",if(B295="""","""",if(A295=$F$1,Installment!I295,Installment!I295*GOOGLEFINANCE(""Currency:""&amp;A295&amp;""""&amp;$F$1&amp;"""")))/100,if(B295="""","""",if(A295=$F$1,Installment!I295,Installment!I295*GOOGLEFINANCE(""Currency:""&amp;A295&amp;""""&amp;$F$1&amp;""""))))"),"")</f>
        <v/>
      </c>
      <c r="G295" s="501" t="str">
        <f t="shared" si="1"/>
        <v/>
      </c>
      <c r="H295" s="501" t="str">
        <f t="shared" si="2"/>
        <v/>
      </c>
      <c r="I295" s="501" t="str">
        <f t="shared" si="3"/>
        <v/>
      </c>
    </row>
    <row r="296">
      <c r="A296" s="501" t="str">
        <f>IFERROR(__xludf.DUMMYFUNCTION("IFERROR(if(ISBLANK(Installment!A296),"""",if(GOOGLEFINANCE(Installment!A296,""Currency"")=""GBX"",""GBP"",GOOGLEFINANCE(Installment!A296,""Currency""))),$F$1)"),"")</f>
        <v/>
      </c>
      <c r="B296" s="501" t="str">
        <f>Installment!A296</f>
        <v/>
      </c>
      <c r="C296" s="501" t="str">
        <f>Installment!B296</f>
        <v/>
      </c>
      <c r="D296" s="501" t="str">
        <f>IFERROR(__xludf.DUMMYFUNCTION("if(A296=""GBP"",if(B296="""","""",if(A296=$F$1,Installment!C296,Installment!C296*GOOGLEFINANCE(""Currency:""&amp;A296&amp;""""&amp;$F$1&amp;"""")))/100,if(B296="""","""",if(A296=$F$1,Installment!C296,Installment!C296*GOOGLEFINANCE(""Currency:""&amp;A296&amp;""""&amp;$F$1&amp;""""))))"),"")</f>
        <v/>
      </c>
      <c r="E296" s="501" t="str">
        <f>IFERROR(__xludf.DUMMYFUNCTION("if(A296=""GBP"",if(B296="""","""",if(A296=$F$1,Installment!H296,Installment!H296*GOOGLEFINANCE(""Currency:""&amp;A296&amp;""""&amp;$F$1&amp;"""")))/100,if(B296="""","""",if(A296=$F$1,Installment!H296,Installment!H296*GOOGLEFINANCE(""Currency:""&amp;A296&amp;""""&amp;$F$1&amp;""""))))"),"")</f>
        <v/>
      </c>
      <c r="F296" s="501" t="str">
        <f>IFERROR(__xludf.DUMMYFUNCTION("if(A296=""GBP"",if(B296="""","""",if(A296=$F$1,Installment!I296,Installment!I296*GOOGLEFINANCE(""Currency:""&amp;A296&amp;""""&amp;$F$1&amp;"""")))/100,if(B296="""","""",if(A296=$F$1,Installment!I296,Installment!I296*GOOGLEFINANCE(""Currency:""&amp;A296&amp;""""&amp;$F$1&amp;""""))))"),"")</f>
        <v/>
      </c>
      <c r="G296" s="501" t="str">
        <f t="shared" si="1"/>
        <v/>
      </c>
      <c r="H296" s="501" t="str">
        <f t="shared" si="2"/>
        <v/>
      </c>
      <c r="I296" s="501" t="str">
        <f t="shared" si="3"/>
        <v/>
      </c>
    </row>
    <row r="297">
      <c r="A297" s="501" t="str">
        <f>IFERROR(__xludf.DUMMYFUNCTION("IFERROR(if(ISBLANK(Installment!A297),"""",if(GOOGLEFINANCE(Installment!A297,""Currency"")=""GBX"",""GBP"",GOOGLEFINANCE(Installment!A297,""Currency""))),$F$1)"),"")</f>
        <v/>
      </c>
      <c r="B297" s="501" t="str">
        <f>Installment!A297</f>
        <v/>
      </c>
      <c r="C297" s="501" t="str">
        <f>Installment!B297</f>
        <v/>
      </c>
      <c r="D297" s="501" t="str">
        <f>IFERROR(__xludf.DUMMYFUNCTION("if(A297=""GBP"",if(B297="""","""",if(A297=$F$1,Installment!C297,Installment!C297*GOOGLEFINANCE(""Currency:""&amp;A297&amp;""""&amp;$F$1&amp;"""")))/100,if(B297="""","""",if(A297=$F$1,Installment!C297,Installment!C297*GOOGLEFINANCE(""Currency:""&amp;A297&amp;""""&amp;$F$1&amp;""""))))"),"")</f>
        <v/>
      </c>
      <c r="E297" s="501" t="str">
        <f>IFERROR(__xludf.DUMMYFUNCTION("if(A297=""GBP"",if(B297="""","""",if(A297=$F$1,Installment!H297,Installment!H297*GOOGLEFINANCE(""Currency:""&amp;A297&amp;""""&amp;$F$1&amp;"""")))/100,if(B297="""","""",if(A297=$F$1,Installment!H297,Installment!H297*GOOGLEFINANCE(""Currency:""&amp;A297&amp;""""&amp;$F$1&amp;""""))))"),"")</f>
        <v/>
      </c>
      <c r="F297" s="501" t="str">
        <f>IFERROR(__xludf.DUMMYFUNCTION("if(A297=""GBP"",if(B297="""","""",if(A297=$F$1,Installment!I297,Installment!I297*GOOGLEFINANCE(""Currency:""&amp;A297&amp;""""&amp;$F$1&amp;"""")))/100,if(B297="""","""",if(A297=$F$1,Installment!I297,Installment!I297*GOOGLEFINANCE(""Currency:""&amp;A297&amp;""""&amp;$F$1&amp;""""))))"),"")</f>
        <v/>
      </c>
      <c r="G297" s="501" t="str">
        <f t="shared" si="1"/>
        <v/>
      </c>
      <c r="H297" s="501" t="str">
        <f t="shared" si="2"/>
        <v/>
      </c>
      <c r="I297" s="501" t="str">
        <f t="shared" si="3"/>
        <v/>
      </c>
    </row>
    <row r="298">
      <c r="A298" s="501" t="str">
        <f>IFERROR(__xludf.DUMMYFUNCTION("IFERROR(if(ISBLANK(Installment!A298),"""",if(GOOGLEFINANCE(Installment!A298,""Currency"")=""GBX"",""GBP"",GOOGLEFINANCE(Installment!A298,""Currency""))),$F$1)"),"")</f>
        <v/>
      </c>
      <c r="B298" s="501" t="str">
        <f>Installment!A298</f>
        <v/>
      </c>
      <c r="C298" s="501" t="str">
        <f>Installment!B298</f>
        <v/>
      </c>
      <c r="D298" s="501" t="str">
        <f>IFERROR(__xludf.DUMMYFUNCTION("if(A298=""GBP"",if(B298="""","""",if(A298=$F$1,Installment!C298,Installment!C298*GOOGLEFINANCE(""Currency:""&amp;A298&amp;""""&amp;$F$1&amp;"""")))/100,if(B298="""","""",if(A298=$F$1,Installment!C298,Installment!C298*GOOGLEFINANCE(""Currency:""&amp;A298&amp;""""&amp;$F$1&amp;""""))))"),"")</f>
        <v/>
      </c>
      <c r="E298" s="501" t="str">
        <f>IFERROR(__xludf.DUMMYFUNCTION("if(A298=""GBP"",if(B298="""","""",if(A298=$F$1,Installment!H298,Installment!H298*GOOGLEFINANCE(""Currency:""&amp;A298&amp;""""&amp;$F$1&amp;"""")))/100,if(B298="""","""",if(A298=$F$1,Installment!H298,Installment!H298*GOOGLEFINANCE(""Currency:""&amp;A298&amp;""""&amp;$F$1&amp;""""))))"),"")</f>
        <v/>
      </c>
      <c r="F298" s="501" t="str">
        <f>IFERROR(__xludf.DUMMYFUNCTION("if(A298=""GBP"",if(B298="""","""",if(A298=$F$1,Installment!I298,Installment!I298*GOOGLEFINANCE(""Currency:""&amp;A298&amp;""""&amp;$F$1&amp;"""")))/100,if(B298="""","""",if(A298=$F$1,Installment!I298,Installment!I298*GOOGLEFINANCE(""Currency:""&amp;A298&amp;""""&amp;$F$1&amp;""""))))"),"")</f>
        <v/>
      </c>
      <c r="G298" s="501" t="str">
        <f t="shared" si="1"/>
        <v/>
      </c>
      <c r="H298" s="501" t="str">
        <f t="shared" si="2"/>
        <v/>
      </c>
      <c r="I298" s="501" t="str">
        <f t="shared" si="3"/>
        <v/>
      </c>
    </row>
    <row r="299">
      <c r="A299" s="501" t="str">
        <f>IFERROR(__xludf.DUMMYFUNCTION("IFERROR(if(ISBLANK(Installment!A299),"""",if(GOOGLEFINANCE(Installment!A299,""Currency"")=""GBX"",""GBP"",GOOGLEFINANCE(Installment!A299,""Currency""))),$F$1)"),"")</f>
        <v/>
      </c>
      <c r="B299" s="501" t="str">
        <f>Installment!A299</f>
        <v/>
      </c>
      <c r="C299" s="501" t="str">
        <f>Installment!B299</f>
        <v/>
      </c>
      <c r="D299" s="501" t="str">
        <f>IFERROR(__xludf.DUMMYFUNCTION("if(A299=""GBP"",if(B299="""","""",if(A299=$F$1,Installment!C299,Installment!C299*GOOGLEFINANCE(""Currency:""&amp;A299&amp;""""&amp;$F$1&amp;"""")))/100,if(B299="""","""",if(A299=$F$1,Installment!C299,Installment!C299*GOOGLEFINANCE(""Currency:""&amp;A299&amp;""""&amp;$F$1&amp;""""))))"),"")</f>
        <v/>
      </c>
      <c r="E299" s="501" t="str">
        <f>IFERROR(__xludf.DUMMYFUNCTION("if(A299=""GBP"",if(B299="""","""",if(A299=$F$1,Installment!H299,Installment!H299*GOOGLEFINANCE(""Currency:""&amp;A299&amp;""""&amp;$F$1&amp;"""")))/100,if(B299="""","""",if(A299=$F$1,Installment!H299,Installment!H299*GOOGLEFINANCE(""Currency:""&amp;A299&amp;""""&amp;$F$1&amp;""""))))"),"")</f>
        <v/>
      </c>
      <c r="F299" s="501" t="str">
        <f>IFERROR(__xludf.DUMMYFUNCTION("if(A299=""GBP"",if(B299="""","""",if(A299=$F$1,Installment!I299,Installment!I299*GOOGLEFINANCE(""Currency:""&amp;A299&amp;""""&amp;$F$1&amp;"""")))/100,if(B299="""","""",if(A299=$F$1,Installment!I299,Installment!I299*GOOGLEFINANCE(""Currency:""&amp;A299&amp;""""&amp;$F$1&amp;""""))))"),"")</f>
        <v/>
      </c>
      <c r="G299" s="501" t="str">
        <f t="shared" si="1"/>
        <v/>
      </c>
      <c r="H299" s="501" t="str">
        <f t="shared" si="2"/>
        <v/>
      </c>
      <c r="I299" s="501" t="str">
        <f t="shared" si="3"/>
        <v/>
      </c>
    </row>
    <row r="300">
      <c r="A300" s="501" t="str">
        <f>IFERROR(__xludf.DUMMYFUNCTION("IFERROR(if(ISBLANK(Installment!A300),"""",if(GOOGLEFINANCE(Installment!A300,""Currency"")=""GBX"",""GBP"",GOOGLEFINANCE(Installment!A300,""Currency""))),$F$1)"),"")</f>
        <v/>
      </c>
      <c r="B300" s="501" t="str">
        <f>Installment!A300</f>
        <v/>
      </c>
      <c r="C300" s="501" t="str">
        <f>Installment!B300</f>
        <v/>
      </c>
      <c r="D300" s="501" t="str">
        <f>IFERROR(__xludf.DUMMYFUNCTION("if(A300=""GBP"",if(B300="""","""",if(A300=$F$1,Installment!C300,Installment!C300*GOOGLEFINANCE(""Currency:""&amp;A300&amp;""""&amp;$F$1&amp;"""")))/100,if(B300="""","""",if(A300=$F$1,Installment!C300,Installment!C300*GOOGLEFINANCE(""Currency:""&amp;A300&amp;""""&amp;$F$1&amp;""""))))"),"")</f>
        <v/>
      </c>
      <c r="E300" s="501" t="str">
        <f>IFERROR(__xludf.DUMMYFUNCTION("if(A300=""GBP"",if(B300="""","""",if(A300=$F$1,Installment!H300,Installment!H300*GOOGLEFINANCE(""Currency:""&amp;A300&amp;""""&amp;$F$1&amp;"""")))/100,if(B300="""","""",if(A300=$F$1,Installment!H300,Installment!H300*GOOGLEFINANCE(""Currency:""&amp;A300&amp;""""&amp;$F$1&amp;""""))))"),"")</f>
        <v/>
      </c>
      <c r="F300" s="501" t="str">
        <f>IFERROR(__xludf.DUMMYFUNCTION("if(A300=""GBP"",if(B300="""","""",if(A300=$F$1,Installment!I300,Installment!I300*GOOGLEFINANCE(""Currency:""&amp;A300&amp;""""&amp;$F$1&amp;"""")))/100,if(B300="""","""",if(A300=$F$1,Installment!I300,Installment!I300*GOOGLEFINANCE(""Currency:""&amp;A300&amp;""""&amp;$F$1&amp;""""))))"),"")</f>
        <v/>
      </c>
      <c r="G300" s="501" t="str">
        <f t="shared" si="1"/>
        <v/>
      </c>
      <c r="H300" s="501" t="str">
        <f t="shared" si="2"/>
        <v/>
      </c>
      <c r="I300" s="501" t="str">
        <f t="shared" si="3"/>
        <v/>
      </c>
    </row>
    <row r="301">
      <c r="A301" s="501" t="str">
        <f>IFERROR(__xludf.DUMMYFUNCTION("IFERROR(if(ISBLANK(Installment!A301),"""",if(GOOGLEFINANCE(Installment!A301,""Currency"")=""GBX"",""GBP"",GOOGLEFINANCE(Installment!A301,""Currency""))),$F$1)"),"")</f>
        <v/>
      </c>
      <c r="B301" s="501" t="str">
        <f>Installment!A301</f>
        <v/>
      </c>
      <c r="C301" s="501" t="str">
        <f>Installment!B301</f>
        <v/>
      </c>
      <c r="D301" s="501" t="str">
        <f>IFERROR(__xludf.DUMMYFUNCTION("if(A301=""GBP"",if(B301="""","""",if(A301=$F$1,Installment!C301,Installment!C301*GOOGLEFINANCE(""Currency:""&amp;A301&amp;""""&amp;$F$1&amp;"""")))/100,if(B301="""","""",if(A301=$F$1,Installment!C301,Installment!C301*GOOGLEFINANCE(""Currency:""&amp;A301&amp;""""&amp;$F$1&amp;""""))))"),"")</f>
        <v/>
      </c>
      <c r="E301" s="501" t="str">
        <f>IFERROR(__xludf.DUMMYFUNCTION("if(A301=""GBP"",if(B301="""","""",if(A301=$F$1,Installment!H301,Installment!H301*GOOGLEFINANCE(""Currency:""&amp;A301&amp;""""&amp;$F$1&amp;"""")))/100,if(B301="""","""",if(A301=$F$1,Installment!H301,Installment!H301*GOOGLEFINANCE(""Currency:""&amp;A301&amp;""""&amp;$F$1&amp;""""))))"),"")</f>
        <v/>
      </c>
      <c r="F301" s="501" t="str">
        <f>IFERROR(__xludf.DUMMYFUNCTION("if(A301=""GBP"",if(B301="""","""",if(A301=$F$1,Installment!I301,Installment!I301*GOOGLEFINANCE(""Currency:""&amp;A301&amp;""""&amp;$F$1&amp;"""")))/100,if(B301="""","""",if(A301=$F$1,Installment!I301,Installment!I301*GOOGLEFINANCE(""Currency:""&amp;A301&amp;""""&amp;$F$1&amp;""""))))"),"")</f>
        <v/>
      </c>
      <c r="G301" s="501" t="str">
        <f t="shared" si="1"/>
        <v/>
      </c>
      <c r="H301" s="501" t="str">
        <f t="shared" si="2"/>
        <v/>
      </c>
      <c r="I301" s="501" t="str">
        <f t="shared" si="3"/>
        <v/>
      </c>
    </row>
    <row r="302">
      <c r="A302" s="501" t="str">
        <f>IFERROR(__xludf.DUMMYFUNCTION("IFERROR(if(ISBLANK(Installment!A302),"""",if(GOOGLEFINANCE(Installment!A302,""Currency"")=""GBX"",""GBP"",GOOGLEFINANCE(Installment!A302,""Currency""))),$F$1)"),"")</f>
        <v/>
      </c>
      <c r="B302" s="501" t="str">
        <f>Installment!A302</f>
        <v/>
      </c>
      <c r="C302" s="501" t="str">
        <f>Installment!B302</f>
        <v/>
      </c>
      <c r="D302" s="501" t="str">
        <f>IFERROR(__xludf.DUMMYFUNCTION("if(A302=""GBP"",if(B302="""","""",if(A302=$F$1,Installment!C302,Installment!C302*GOOGLEFINANCE(""Currency:""&amp;A302&amp;""""&amp;$F$1&amp;"""")))/100,if(B302="""","""",if(A302=$F$1,Installment!C302,Installment!C302*GOOGLEFINANCE(""Currency:""&amp;A302&amp;""""&amp;$F$1&amp;""""))))"),"")</f>
        <v/>
      </c>
      <c r="E302" s="501" t="str">
        <f>IFERROR(__xludf.DUMMYFUNCTION("if(A302=""GBP"",if(B302="""","""",if(A302=$F$1,Installment!H302,Installment!H302*GOOGLEFINANCE(""Currency:""&amp;A302&amp;""""&amp;$F$1&amp;"""")))/100,if(B302="""","""",if(A302=$F$1,Installment!H302,Installment!H302*GOOGLEFINANCE(""Currency:""&amp;A302&amp;""""&amp;$F$1&amp;""""))))"),"")</f>
        <v/>
      </c>
      <c r="F302" s="501" t="str">
        <f>IFERROR(__xludf.DUMMYFUNCTION("if(A302=""GBP"",if(B302="""","""",if(A302=$F$1,Installment!I302,Installment!I302*GOOGLEFINANCE(""Currency:""&amp;A302&amp;""""&amp;$F$1&amp;"""")))/100,if(B302="""","""",if(A302=$F$1,Installment!I302,Installment!I302*GOOGLEFINANCE(""Currency:""&amp;A302&amp;""""&amp;$F$1&amp;""""))))"),"")</f>
        <v/>
      </c>
      <c r="G302" s="501" t="str">
        <f t="shared" si="1"/>
        <v/>
      </c>
      <c r="H302" s="501" t="str">
        <f t="shared" si="2"/>
        <v/>
      </c>
      <c r="I302" s="501" t="str">
        <f t="shared" si="3"/>
        <v/>
      </c>
    </row>
    <row r="303">
      <c r="A303" s="501" t="str">
        <f>IFERROR(__xludf.DUMMYFUNCTION("IFERROR(if(ISBLANK(Installment!A303),"""",if(GOOGLEFINANCE(Installment!A303,""Currency"")=""GBX"",""GBP"",GOOGLEFINANCE(Installment!A303,""Currency""))),$F$1)"),"")</f>
        <v/>
      </c>
      <c r="B303" s="501" t="str">
        <f>Installment!A303</f>
        <v/>
      </c>
      <c r="C303" s="501" t="str">
        <f>Installment!B303</f>
        <v/>
      </c>
      <c r="D303" s="501" t="str">
        <f>IFERROR(__xludf.DUMMYFUNCTION("if(A303=""GBP"",if(B303="""","""",if(A303=$F$1,Installment!C303,Installment!C303*GOOGLEFINANCE(""Currency:""&amp;A303&amp;""""&amp;$F$1&amp;"""")))/100,if(B303="""","""",if(A303=$F$1,Installment!C303,Installment!C303*GOOGLEFINANCE(""Currency:""&amp;A303&amp;""""&amp;$F$1&amp;""""))))"),"")</f>
        <v/>
      </c>
      <c r="E303" s="501" t="str">
        <f>IFERROR(__xludf.DUMMYFUNCTION("if(A303=""GBP"",if(B303="""","""",if(A303=$F$1,Installment!H303,Installment!H303*GOOGLEFINANCE(""Currency:""&amp;A303&amp;""""&amp;$F$1&amp;"""")))/100,if(B303="""","""",if(A303=$F$1,Installment!H303,Installment!H303*GOOGLEFINANCE(""Currency:""&amp;A303&amp;""""&amp;$F$1&amp;""""))))"),"")</f>
        <v/>
      </c>
      <c r="F303" s="501" t="str">
        <f>IFERROR(__xludf.DUMMYFUNCTION("if(A303=""GBP"",if(B303="""","""",if(A303=$F$1,Installment!I303,Installment!I303*GOOGLEFINANCE(""Currency:""&amp;A303&amp;""""&amp;$F$1&amp;"""")))/100,if(B303="""","""",if(A303=$F$1,Installment!I303,Installment!I303*GOOGLEFINANCE(""Currency:""&amp;A303&amp;""""&amp;$F$1&amp;""""))))"),"")</f>
        <v/>
      </c>
      <c r="G303" s="501" t="str">
        <f t="shared" si="1"/>
        <v/>
      </c>
      <c r="H303" s="501" t="str">
        <f t="shared" si="2"/>
        <v/>
      </c>
      <c r="I303" s="501" t="str">
        <f t="shared" si="3"/>
        <v/>
      </c>
    </row>
    <row r="304">
      <c r="A304" s="501" t="str">
        <f>IFERROR(__xludf.DUMMYFUNCTION("IFERROR(if(ISBLANK(Installment!A304),"""",if(GOOGLEFINANCE(Installment!A304,""Currency"")=""GBX"",""GBP"",GOOGLEFINANCE(Installment!A304,""Currency""))),$F$1)"),"")</f>
        <v/>
      </c>
      <c r="B304" s="501" t="str">
        <f>Installment!A304</f>
        <v/>
      </c>
      <c r="C304" s="501" t="str">
        <f>Installment!B304</f>
        <v/>
      </c>
      <c r="D304" s="501" t="str">
        <f>IFERROR(__xludf.DUMMYFUNCTION("if(A304=""GBP"",if(B304="""","""",if(A304=$F$1,Installment!C304,Installment!C304*GOOGLEFINANCE(""Currency:""&amp;A304&amp;""""&amp;$F$1&amp;"""")))/100,if(B304="""","""",if(A304=$F$1,Installment!C304,Installment!C304*GOOGLEFINANCE(""Currency:""&amp;A304&amp;""""&amp;$F$1&amp;""""))))"),"")</f>
        <v/>
      </c>
      <c r="E304" s="501" t="str">
        <f>IFERROR(__xludf.DUMMYFUNCTION("if(A304=""GBP"",if(B304="""","""",if(A304=$F$1,Installment!H304,Installment!H304*GOOGLEFINANCE(""Currency:""&amp;A304&amp;""""&amp;$F$1&amp;"""")))/100,if(B304="""","""",if(A304=$F$1,Installment!H304,Installment!H304*GOOGLEFINANCE(""Currency:""&amp;A304&amp;""""&amp;$F$1&amp;""""))))"),"")</f>
        <v/>
      </c>
      <c r="F304" s="501" t="str">
        <f>IFERROR(__xludf.DUMMYFUNCTION("if(A304=""GBP"",if(B304="""","""",if(A304=$F$1,Installment!I304,Installment!I304*GOOGLEFINANCE(""Currency:""&amp;A304&amp;""""&amp;$F$1&amp;"""")))/100,if(B304="""","""",if(A304=$F$1,Installment!I304,Installment!I304*GOOGLEFINANCE(""Currency:""&amp;A304&amp;""""&amp;$F$1&amp;""""))))"),"")</f>
        <v/>
      </c>
      <c r="G304" s="501" t="str">
        <f t="shared" si="1"/>
        <v/>
      </c>
      <c r="H304" s="501" t="str">
        <f t="shared" si="2"/>
        <v/>
      </c>
      <c r="I304" s="501" t="str">
        <f t="shared" si="3"/>
        <v/>
      </c>
    </row>
    <row r="305">
      <c r="A305" s="501" t="str">
        <f>IFERROR(__xludf.DUMMYFUNCTION("IFERROR(if(ISBLANK(Installment!A305),"""",if(GOOGLEFINANCE(Installment!A305,""Currency"")=""GBX"",""GBP"",GOOGLEFINANCE(Installment!A305,""Currency""))),$F$1)"),"")</f>
        <v/>
      </c>
      <c r="B305" s="501" t="str">
        <f>Installment!A305</f>
        <v/>
      </c>
      <c r="C305" s="501" t="str">
        <f>Installment!B305</f>
        <v/>
      </c>
      <c r="D305" s="501" t="str">
        <f>IFERROR(__xludf.DUMMYFUNCTION("if(A305=""GBP"",if(B305="""","""",if(A305=$F$1,Installment!C305,Installment!C305*GOOGLEFINANCE(""Currency:""&amp;A305&amp;""""&amp;$F$1&amp;"""")))/100,if(B305="""","""",if(A305=$F$1,Installment!C305,Installment!C305*GOOGLEFINANCE(""Currency:""&amp;A305&amp;""""&amp;$F$1&amp;""""))))"),"")</f>
        <v/>
      </c>
      <c r="E305" s="501" t="str">
        <f>IFERROR(__xludf.DUMMYFUNCTION("if(A305=""GBP"",if(B305="""","""",if(A305=$F$1,Installment!H305,Installment!H305*GOOGLEFINANCE(""Currency:""&amp;A305&amp;""""&amp;$F$1&amp;"""")))/100,if(B305="""","""",if(A305=$F$1,Installment!H305,Installment!H305*GOOGLEFINANCE(""Currency:""&amp;A305&amp;""""&amp;$F$1&amp;""""))))"),"")</f>
        <v/>
      </c>
      <c r="F305" s="501" t="str">
        <f>IFERROR(__xludf.DUMMYFUNCTION("if(A305=""GBP"",if(B305="""","""",if(A305=$F$1,Installment!I305,Installment!I305*GOOGLEFINANCE(""Currency:""&amp;A305&amp;""""&amp;$F$1&amp;"""")))/100,if(B305="""","""",if(A305=$F$1,Installment!I305,Installment!I305*GOOGLEFINANCE(""Currency:""&amp;A305&amp;""""&amp;$F$1&amp;""""))))"),"")</f>
        <v/>
      </c>
      <c r="G305" s="501" t="str">
        <f t="shared" si="1"/>
        <v/>
      </c>
      <c r="H305" s="501" t="str">
        <f t="shared" si="2"/>
        <v/>
      </c>
      <c r="I305" s="501" t="str">
        <f t="shared" si="3"/>
        <v/>
      </c>
    </row>
    <row r="306">
      <c r="A306" s="501" t="str">
        <f>IFERROR(__xludf.DUMMYFUNCTION("IFERROR(if(ISBLANK(Installment!A306),"""",if(GOOGLEFINANCE(Installment!A306,""Currency"")=""GBX"",""GBP"",GOOGLEFINANCE(Installment!A306,""Currency""))),$F$1)"),"")</f>
        <v/>
      </c>
      <c r="B306" s="501" t="str">
        <f>Installment!A306</f>
        <v/>
      </c>
      <c r="C306" s="501" t="str">
        <f>Installment!B306</f>
        <v/>
      </c>
      <c r="D306" s="501" t="str">
        <f>IFERROR(__xludf.DUMMYFUNCTION("if(A306=""GBP"",if(B306="""","""",if(A306=$F$1,Installment!C306,Installment!C306*GOOGLEFINANCE(""Currency:""&amp;A306&amp;""""&amp;$F$1&amp;"""")))/100,if(B306="""","""",if(A306=$F$1,Installment!C306,Installment!C306*GOOGLEFINANCE(""Currency:""&amp;A306&amp;""""&amp;$F$1&amp;""""))))"),"")</f>
        <v/>
      </c>
      <c r="E306" s="501" t="str">
        <f>IFERROR(__xludf.DUMMYFUNCTION("if(A306=""GBP"",if(B306="""","""",if(A306=$F$1,Installment!H306,Installment!H306*GOOGLEFINANCE(""Currency:""&amp;A306&amp;""""&amp;$F$1&amp;"""")))/100,if(B306="""","""",if(A306=$F$1,Installment!H306,Installment!H306*GOOGLEFINANCE(""Currency:""&amp;A306&amp;""""&amp;$F$1&amp;""""))))"),"")</f>
        <v/>
      </c>
      <c r="F306" s="501" t="str">
        <f>IFERROR(__xludf.DUMMYFUNCTION("if(A306=""GBP"",if(B306="""","""",if(A306=$F$1,Installment!I306,Installment!I306*GOOGLEFINANCE(""Currency:""&amp;A306&amp;""""&amp;$F$1&amp;"""")))/100,if(B306="""","""",if(A306=$F$1,Installment!I306,Installment!I306*GOOGLEFINANCE(""Currency:""&amp;A306&amp;""""&amp;$F$1&amp;""""))))"),"")</f>
        <v/>
      </c>
      <c r="G306" s="501" t="str">
        <f t="shared" si="1"/>
        <v/>
      </c>
      <c r="H306" s="501" t="str">
        <f t="shared" si="2"/>
        <v/>
      </c>
      <c r="I306" s="501" t="str">
        <f t="shared" si="3"/>
        <v/>
      </c>
    </row>
    <row r="307">
      <c r="A307" s="501" t="str">
        <f>IFERROR(__xludf.DUMMYFUNCTION("IFERROR(if(ISBLANK(Installment!A307),"""",if(GOOGLEFINANCE(Installment!A307,""Currency"")=""GBX"",""GBP"",GOOGLEFINANCE(Installment!A307,""Currency""))),$F$1)"),"")</f>
        <v/>
      </c>
      <c r="B307" s="501" t="str">
        <f>Installment!A307</f>
        <v/>
      </c>
      <c r="C307" s="501" t="str">
        <f>Installment!B307</f>
        <v/>
      </c>
      <c r="D307" s="501" t="str">
        <f>IFERROR(__xludf.DUMMYFUNCTION("if(A307=""GBP"",if(B307="""","""",if(A307=$F$1,Installment!C307,Installment!C307*GOOGLEFINANCE(""Currency:""&amp;A307&amp;""""&amp;$F$1&amp;"""")))/100,if(B307="""","""",if(A307=$F$1,Installment!C307,Installment!C307*GOOGLEFINANCE(""Currency:""&amp;A307&amp;""""&amp;$F$1&amp;""""))))"),"")</f>
        <v/>
      </c>
      <c r="E307" s="501" t="str">
        <f>IFERROR(__xludf.DUMMYFUNCTION("if(A307=""GBP"",if(B307="""","""",if(A307=$F$1,Installment!H307,Installment!H307*GOOGLEFINANCE(""Currency:""&amp;A307&amp;""""&amp;$F$1&amp;"""")))/100,if(B307="""","""",if(A307=$F$1,Installment!H307,Installment!H307*GOOGLEFINANCE(""Currency:""&amp;A307&amp;""""&amp;$F$1&amp;""""))))"),"")</f>
        <v/>
      </c>
      <c r="F307" s="501" t="str">
        <f>IFERROR(__xludf.DUMMYFUNCTION("if(A307=""GBP"",if(B307="""","""",if(A307=$F$1,Installment!I307,Installment!I307*GOOGLEFINANCE(""Currency:""&amp;A307&amp;""""&amp;$F$1&amp;"""")))/100,if(B307="""","""",if(A307=$F$1,Installment!I307,Installment!I307*GOOGLEFINANCE(""Currency:""&amp;A307&amp;""""&amp;$F$1&amp;""""))))"),"")</f>
        <v/>
      </c>
      <c r="G307" s="501" t="str">
        <f t="shared" si="1"/>
        <v/>
      </c>
      <c r="H307" s="501" t="str">
        <f t="shared" si="2"/>
        <v/>
      </c>
      <c r="I307" s="501" t="str">
        <f t="shared" si="3"/>
        <v/>
      </c>
    </row>
    <row r="308">
      <c r="A308" s="501" t="str">
        <f>IFERROR(__xludf.DUMMYFUNCTION("IFERROR(if(ISBLANK(Installment!A308),"""",if(GOOGLEFINANCE(Installment!A308,""Currency"")=""GBX"",""GBP"",GOOGLEFINANCE(Installment!A308,""Currency""))),$F$1)"),"")</f>
        <v/>
      </c>
      <c r="B308" s="501" t="str">
        <f>Installment!A308</f>
        <v/>
      </c>
      <c r="C308" s="501" t="str">
        <f>Installment!B308</f>
        <v/>
      </c>
      <c r="D308" s="501" t="str">
        <f>IFERROR(__xludf.DUMMYFUNCTION("if(A308=""GBP"",if(B308="""","""",if(A308=$F$1,Installment!C308,Installment!C308*GOOGLEFINANCE(""Currency:""&amp;A308&amp;""""&amp;$F$1&amp;"""")))/100,if(B308="""","""",if(A308=$F$1,Installment!C308,Installment!C308*GOOGLEFINANCE(""Currency:""&amp;A308&amp;""""&amp;$F$1&amp;""""))))"),"")</f>
        <v/>
      </c>
      <c r="E308" s="501" t="str">
        <f>IFERROR(__xludf.DUMMYFUNCTION("if(A308=""GBP"",if(B308="""","""",if(A308=$F$1,Installment!H308,Installment!H308*GOOGLEFINANCE(""Currency:""&amp;A308&amp;""""&amp;$F$1&amp;"""")))/100,if(B308="""","""",if(A308=$F$1,Installment!H308,Installment!H308*GOOGLEFINANCE(""Currency:""&amp;A308&amp;""""&amp;$F$1&amp;""""))))"),"")</f>
        <v/>
      </c>
      <c r="F308" s="501" t="str">
        <f>IFERROR(__xludf.DUMMYFUNCTION("if(A308=""GBP"",if(B308="""","""",if(A308=$F$1,Installment!I308,Installment!I308*GOOGLEFINANCE(""Currency:""&amp;A308&amp;""""&amp;$F$1&amp;"""")))/100,if(B308="""","""",if(A308=$F$1,Installment!I308,Installment!I308*GOOGLEFINANCE(""Currency:""&amp;A308&amp;""""&amp;$F$1&amp;""""))))"),"")</f>
        <v/>
      </c>
      <c r="G308" s="501" t="str">
        <f t="shared" si="1"/>
        <v/>
      </c>
      <c r="H308" s="501" t="str">
        <f t="shared" si="2"/>
        <v/>
      </c>
      <c r="I308" s="501" t="str">
        <f t="shared" si="3"/>
        <v/>
      </c>
    </row>
    <row r="309">
      <c r="A309" s="501" t="str">
        <f>IFERROR(__xludf.DUMMYFUNCTION("IFERROR(if(ISBLANK(Installment!A309),"""",if(GOOGLEFINANCE(Installment!A309,""Currency"")=""GBX"",""GBP"",GOOGLEFINANCE(Installment!A309,""Currency""))),$F$1)"),"")</f>
        <v/>
      </c>
      <c r="B309" s="501" t="str">
        <f>Installment!A309</f>
        <v/>
      </c>
      <c r="C309" s="501" t="str">
        <f>Installment!B309</f>
        <v/>
      </c>
      <c r="D309" s="501" t="str">
        <f>IFERROR(__xludf.DUMMYFUNCTION("if(A309=""GBP"",if(B309="""","""",if(A309=$F$1,Installment!C309,Installment!C309*GOOGLEFINANCE(""Currency:""&amp;A309&amp;""""&amp;$F$1&amp;"""")))/100,if(B309="""","""",if(A309=$F$1,Installment!C309,Installment!C309*GOOGLEFINANCE(""Currency:""&amp;A309&amp;""""&amp;$F$1&amp;""""))))"),"")</f>
        <v/>
      </c>
      <c r="E309" s="501" t="str">
        <f>IFERROR(__xludf.DUMMYFUNCTION("if(A309=""GBP"",if(B309="""","""",if(A309=$F$1,Installment!H309,Installment!H309*GOOGLEFINANCE(""Currency:""&amp;A309&amp;""""&amp;$F$1&amp;"""")))/100,if(B309="""","""",if(A309=$F$1,Installment!H309,Installment!H309*GOOGLEFINANCE(""Currency:""&amp;A309&amp;""""&amp;$F$1&amp;""""))))"),"")</f>
        <v/>
      </c>
      <c r="F309" s="501" t="str">
        <f>IFERROR(__xludf.DUMMYFUNCTION("if(A309=""GBP"",if(B309="""","""",if(A309=$F$1,Installment!I309,Installment!I309*GOOGLEFINANCE(""Currency:""&amp;A309&amp;""""&amp;$F$1&amp;"""")))/100,if(B309="""","""",if(A309=$F$1,Installment!I309,Installment!I309*GOOGLEFINANCE(""Currency:""&amp;A309&amp;""""&amp;$F$1&amp;""""))))"),"")</f>
        <v/>
      </c>
      <c r="G309" s="501" t="str">
        <f t="shared" si="1"/>
        <v/>
      </c>
      <c r="H309" s="501" t="str">
        <f t="shared" si="2"/>
        <v/>
      </c>
      <c r="I309" s="501" t="str">
        <f t="shared" si="3"/>
        <v/>
      </c>
    </row>
    <row r="310">
      <c r="A310" s="501" t="str">
        <f>IFERROR(__xludf.DUMMYFUNCTION("IFERROR(if(ISBLANK(Installment!A310),"""",if(GOOGLEFINANCE(Installment!A310,""Currency"")=""GBX"",""GBP"",GOOGLEFINANCE(Installment!A310,""Currency""))),$F$1)"),"")</f>
        <v/>
      </c>
      <c r="B310" s="501" t="str">
        <f>Installment!A310</f>
        <v/>
      </c>
      <c r="C310" s="501" t="str">
        <f>Installment!B310</f>
        <v/>
      </c>
      <c r="D310" s="501" t="str">
        <f>IFERROR(__xludf.DUMMYFUNCTION("if(A310=""GBP"",if(B310="""","""",if(A310=$F$1,Installment!C310,Installment!C310*GOOGLEFINANCE(""Currency:""&amp;A310&amp;""""&amp;$F$1&amp;"""")))/100,if(B310="""","""",if(A310=$F$1,Installment!C310,Installment!C310*GOOGLEFINANCE(""Currency:""&amp;A310&amp;""""&amp;$F$1&amp;""""))))"),"")</f>
        <v/>
      </c>
      <c r="E310" s="501" t="str">
        <f>IFERROR(__xludf.DUMMYFUNCTION("if(A310=""GBP"",if(B310="""","""",if(A310=$F$1,Installment!H310,Installment!H310*GOOGLEFINANCE(""Currency:""&amp;A310&amp;""""&amp;$F$1&amp;"""")))/100,if(B310="""","""",if(A310=$F$1,Installment!H310,Installment!H310*GOOGLEFINANCE(""Currency:""&amp;A310&amp;""""&amp;$F$1&amp;""""))))"),"")</f>
        <v/>
      </c>
      <c r="F310" s="501" t="str">
        <f>IFERROR(__xludf.DUMMYFUNCTION("if(A310=""GBP"",if(B310="""","""",if(A310=$F$1,Installment!I310,Installment!I310*GOOGLEFINANCE(""Currency:""&amp;A310&amp;""""&amp;$F$1&amp;"""")))/100,if(B310="""","""",if(A310=$F$1,Installment!I310,Installment!I310*GOOGLEFINANCE(""Currency:""&amp;A310&amp;""""&amp;$F$1&amp;""""))))"),"")</f>
        <v/>
      </c>
      <c r="G310" s="501" t="str">
        <f t="shared" si="1"/>
        <v/>
      </c>
      <c r="H310" s="501" t="str">
        <f t="shared" si="2"/>
        <v/>
      </c>
      <c r="I310" s="501" t="str">
        <f t="shared" si="3"/>
        <v/>
      </c>
    </row>
    <row r="311">
      <c r="A311" s="501" t="str">
        <f>IFERROR(__xludf.DUMMYFUNCTION("IFERROR(if(ISBLANK(Installment!A311),"""",if(GOOGLEFINANCE(Installment!A311,""Currency"")=""GBX"",""GBP"",GOOGLEFINANCE(Installment!A311,""Currency""))),$F$1)"),"")</f>
        <v/>
      </c>
      <c r="B311" s="501" t="str">
        <f>Installment!A311</f>
        <v/>
      </c>
      <c r="C311" s="501" t="str">
        <f>Installment!B311</f>
        <v/>
      </c>
      <c r="D311" s="501" t="str">
        <f>IFERROR(__xludf.DUMMYFUNCTION("if(A311=""GBP"",if(B311="""","""",if(A311=$F$1,Installment!C311,Installment!C311*GOOGLEFINANCE(""Currency:""&amp;A311&amp;""""&amp;$F$1&amp;"""")))/100,if(B311="""","""",if(A311=$F$1,Installment!C311,Installment!C311*GOOGLEFINANCE(""Currency:""&amp;A311&amp;""""&amp;$F$1&amp;""""))))"),"")</f>
        <v/>
      </c>
      <c r="E311" s="501" t="str">
        <f>IFERROR(__xludf.DUMMYFUNCTION("if(A311=""GBP"",if(B311="""","""",if(A311=$F$1,Installment!H311,Installment!H311*GOOGLEFINANCE(""Currency:""&amp;A311&amp;""""&amp;$F$1&amp;"""")))/100,if(B311="""","""",if(A311=$F$1,Installment!H311,Installment!H311*GOOGLEFINANCE(""Currency:""&amp;A311&amp;""""&amp;$F$1&amp;""""))))"),"")</f>
        <v/>
      </c>
      <c r="F311" s="501" t="str">
        <f>IFERROR(__xludf.DUMMYFUNCTION("if(A311=""GBP"",if(B311="""","""",if(A311=$F$1,Installment!I311,Installment!I311*GOOGLEFINANCE(""Currency:""&amp;A311&amp;""""&amp;$F$1&amp;"""")))/100,if(B311="""","""",if(A311=$F$1,Installment!I311,Installment!I311*GOOGLEFINANCE(""Currency:""&amp;A311&amp;""""&amp;$F$1&amp;""""))))"),"")</f>
        <v/>
      </c>
      <c r="G311" s="501" t="str">
        <f t="shared" si="1"/>
        <v/>
      </c>
      <c r="H311" s="501" t="str">
        <f t="shared" si="2"/>
        <v/>
      </c>
      <c r="I311" s="501" t="str">
        <f t="shared" si="3"/>
        <v/>
      </c>
    </row>
    <row r="312">
      <c r="A312" s="501" t="str">
        <f>IFERROR(__xludf.DUMMYFUNCTION("IFERROR(if(ISBLANK(Installment!A312),"""",if(GOOGLEFINANCE(Installment!A312,""Currency"")=""GBX"",""GBP"",GOOGLEFINANCE(Installment!A312,""Currency""))),$F$1)"),"")</f>
        <v/>
      </c>
      <c r="B312" s="501" t="str">
        <f>Installment!A312</f>
        <v/>
      </c>
      <c r="C312" s="501" t="str">
        <f>Installment!B312</f>
        <v/>
      </c>
      <c r="D312" s="501" t="str">
        <f>IFERROR(__xludf.DUMMYFUNCTION("if(A312=""GBP"",if(B312="""","""",if(A312=$F$1,Installment!C312,Installment!C312*GOOGLEFINANCE(""Currency:""&amp;A312&amp;""""&amp;$F$1&amp;"""")))/100,if(B312="""","""",if(A312=$F$1,Installment!C312,Installment!C312*GOOGLEFINANCE(""Currency:""&amp;A312&amp;""""&amp;$F$1&amp;""""))))"),"")</f>
        <v/>
      </c>
      <c r="E312" s="501" t="str">
        <f>IFERROR(__xludf.DUMMYFUNCTION("if(A312=""GBP"",if(B312="""","""",if(A312=$F$1,Installment!H312,Installment!H312*GOOGLEFINANCE(""Currency:""&amp;A312&amp;""""&amp;$F$1&amp;"""")))/100,if(B312="""","""",if(A312=$F$1,Installment!H312,Installment!H312*GOOGLEFINANCE(""Currency:""&amp;A312&amp;""""&amp;$F$1&amp;""""))))"),"")</f>
        <v/>
      </c>
      <c r="F312" s="501" t="str">
        <f>IFERROR(__xludf.DUMMYFUNCTION("if(A312=""GBP"",if(B312="""","""",if(A312=$F$1,Installment!I312,Installment!I312*GOOGLEFINANCE(""Currency:""&amp;A312&amp;""""&amp;$F$1&amp;"""")))/100,if(B312="""","""",if(A312=$F$1,Installment!I312,Installment!I312*GOOGLEFINANCE(""Currency:""&amp;A312&amp;""""&amp;$F$1&amp;""""))))"),"")</f>
        <v/>
      </c>
      <c r="G312" s="501" t="str">
        <f t="shared" si="1"/>
        <v/>
      </c>
      <c r="H312" s="501" t="str">
        <f t="shared" si="2"/>
        <v/>
      </c>
      <c r="I312" s="501" t="str">
        <f t="shared" si="3"/>
        <v/>
      </c>
    </row>
    <row r="313">
      <c r="A313" s="501" t="str">
        <f>IFERROR(__xludf.DUMMYFUNCTION("IFERROR(if(ISBLANK(Installment!A313),"""",if(GOOGLEFINANCE(Installment!A313,""Currency"")=""GBX"",""GBP"",GOOGLEFINANCE(Installment!A313,""Currency""))),$F$1)"),"")</f>
        <v/>
      </c>
      <c r="B313" s="501" t="str">
        <f>Installment!A313</f>
        <v/>
      </c>
      <c r="C313" s="501" t="str">
        <f>Installment!B313</f>
        <v/>
      </c>
      <c r="D313" s="501" t="str">
        <f>IFERROR(__xludf.DUMMYFUNCTION("if(A313=""GBP"",if(B313="""","""",if(A313=$F$1,Installment!C313,Installment!C313*GOOGLEFINANCE(""Currency:""&amp;A313&amp;""""&amp;$F$1&amp;"""")))/100,if(B313="""","""",if(A313=$F$1,Installment!C313,Installment!C313*GOOGLEFINANCE(""Currency:""&amp;A313&amp;""""&amp;$F$1&amp;""""))))"),"")</f>
        <v/>
      </c>
      <c r="E313" s="501" t="str">
        <f>IFERROR(__xludf.DUMMYFUNCTION("if(A313=""GBP"",if(B313="""","""",if(A313=$F$1,Installment!H313,Installment!H313*GOOGLEFINANCE(""Currency:""&amp;A313&amp;""""&amp;$F$1&amp;"""")))/100,if(B313="""","""",if(A313=$F$1,Installment!H313,Installment!H313*GOOGLEFINANCE(""Currency:""&amp;A313&amp;""""&amp;$F$1&amp;""""))))"),"")</f>
        <v/>
      </c>
      <c r="F313" s="501" t="str">
        <f>IFERROR(__xludf.DUMMYFUNCTION("if(A313=""GBP"",if(B313="""","""",if(A313=$F$1,Installment!I313,Installment!I313*GOOGLEFINANCE(""Currency:""&amp;A313&amp;""""&amp;$F$1&amp;"""")))/100,if(B313="""","""",if(A313=$F$1,Installment!I313,Installment!I313*GOOGLEFINANCE(""Currency:""&amp;A313&amp;""""&amp;$F$1&amp;""""))))"),"")</f>
        <v/>
      </c>
      <c r="G313" s="501" t="str">
        <f t="shared" si="1"/>
        <v/>
      </c>
      <c r="H313" s="501" t="str">
        <f t="shared" si="2"/>
        <v/>
      </c>
      <c r="I313" s="501" t="str">
        <f t="shared" si="3"/>
        <v/>
      </c>
    </row>
    <row r="314">
      <c r="A314" s="501" t="str">
        <f>IFERROR(__xludf.DUMMYFUNCTION("IFERROR(if(ISBLANK(Installment!A314),"""",if(GOOGLEFINANCE(Installment!A314,""Currency"")=""GBX"",""GBP"",GOOGLEFINANCE(Installment!A314,""Currency""))),$F$1)"),"")</f>
        <v/>
      </c>
      <c r="B314" s="501" t="str">
        <f>Installment!A314</f>
        <v/>
      </c>
      <c r="C314" s="501" t="str">
        <f>Installment!B314</f>
        <v/>
      </c>
      <c r="D314" s="501" t="str">
        <f>IFERROR(__xludf.DUMMYFUNCTION("if(A314=""GBP"",if(B314="""","""",if(A314=$F$1,Installment!C314,Installment!C314*GOOGLEFINANCE(""Currency:""&amp;A314&amp;""""&amp;$F$1&amp;"""")))/100,if(B314="""","""",if(A314=$F$1,Installment!C314,Installment!C314*GOOGLEFINANCE(""Currency:""&amp;A314&amp;""""&amp;$F$1&amp;""""))))"),"")</f>
        <v/>
      </c>
      <c r="E314" s="501" t="str">
        <f>IFERROR(__xludf.DUMMYFUNCTION("if(A314=""GBP"",if(B314="""","""",if(A314=$F$1,Installment!H314,Installment!H314*GOOGLEFINANCE(""Currency:""&amp;A314&amp;""""&amp;$F$1&amp;"""")))/100,if(B314="""","""",if(A314=$F$1,Installment!H314,Installment!H314*GOOGLEFINANCE(""Currency:""&amp;A314&amp;""""&amp;$F$1&amp;""""))))"),"")</f>
        <v/>
      </c>
      <c r="F314" s="501" t="str">
        <f>IFERROR(__xludf.DUMMYFUNCTION("if(A314=""GBP"",if(B314="""","""",if(A314=$F$1,Installment!I314,Installment!I314*GOOGLEFINANCE(""Currency:""&amp;A314&amp;""""&amp;$F$1&amp;"""")))/100,if(B314="""","""",if(A314=$F$1,Installment!I314,Installment!I314*GOOGLEFINANCE(""Currency:""&amp;A314&amp;""""&amp;$F$1&amp;""""))))"),"")</f>
        <v/>
      </c>
      <c r="G314" s="501" t="str">
        <f t="shared" si="1"/>
        <v/>
      </c>
      <c r="H314" s="501" t="str">
        <f t="shared" si="2"/>
        <v/>
      </c>
      <c r="I314" s="501" t="str">
        <f t="shared" si="3"/>
        <v/>
      </c>
    </row>
    <row r="315">
      <c r="A315" s="501" t="str">
        <f>IFERROR(__xludf.DUMMYFUNCTION("IFERROR(if(ISBLANK(Installment!A315),"""",if(GOOGLEFINANCE(Installment!A315,""Currency"")=""GBX"",""GBP"",GOOGLEFINANCE(Installment!A315,""Currency""))),$F$1)"),"")</f>
        <v/>
      </c>
      <c r="B315" s="501" t="str">
        <f>Installment!A315</f>
        <v/>
      </c>
      <c r="C315" s="501" t="str">
        <f>Installment!B315</f>
        <v/>
      </c>
      <c r="D315" s="501" t="str">
        <f>IFERROR(__xludf.DUMMYFUNCTION("if(A315=""GBP"",if(B315="""","""",if(A315=$F$1,Installment!C315,Installment!C315*GOOGLEFINANCE(""Currency:""&amp;A315&amp;""""&amp;$F$1&amp;"""")))/100,if(B315="""","""",if(A315=$F$1,Installment!C315,Installment!C315*GOOGLEFINANCE(""Currency:""&amp;A315&amp;""""&amp;$F$1&amp;""""))))"),"")</f>
        <v/>
      </c>
      <c r="E315" s="501" t="str">
        <f>IFERROR(__xludf.DUMMYFUNCTION("if(A315=""GBP"",if(B315="""","""",if(A315=$F$1,Installment!H315,Installment!H315*GOOGLEFINANCE(""Currency:""&amp;A315&amp;""""&amp;$F$1&amp;"""")))/100,if(B315="""","""",if(A315=$F$1,Installment!H315,Installment!H315*GOOGLEFINANCE(""Currency:""&amp;A315&amp;""""&amp;$F$1&amp;""""))))"),"")</f>
        <v/>
      </c>
      <c r="F315" s="501" t="str">
        <f>IFERROR(__xludf.DUMMYFUNCTION("if(A315=""GBP"",if(B315="""","""",if(A315=$F$1,Installment!I315,Installment!I315*GOOGLEFINANCE(""Currency:""&amp;A315&amp;""""&amp;$F$1&amp;"""")))/100,if(B315="""","""",if(A315=$F$1,Installment!I315,Installment!I315*GOOGLEFINANCE(""Currency:""&amp;A315&amp;""""&amp;$F$1&amp;""""))))"),"")</f>
        <v/>
      </c>
      <c r="G315" s="501" t="str">
        <f t="shared" si="1"/>
        <v/>
      </c>
      <c r="H315" s="501" t="str">
        <f t="shared" si="2"/>
        <v/>
      </c>
      <c r="I315" s="501" t="str">
        <f t="shared" si="3"/>
        <v/>
      </c>
    </row>
    <row r="316">
      <c r="A316" s="501" t="str">
        <f>IFERROR(__xludf.DUMMYFUNCTION("IFERROR(if(ISBLANK(Installment!A316),"""",if(GOOGLEFINANCE(Installment!A316,""Currency"")=""GBX"",""GBP"",GOOGLEFINANCE(Installment!A316,""Currency""))),$F$1)"),"")</f>
        <v/>
      </c>
      <c r="B316" s="501" t="str">
        <f>Installment!A316</f>
        <v/>
      </c>
      <c r="C316" s="501" t="str">
        <f>Installment!B316</f>
        <v/>
      </c>
      <c r="D316" s="501" t="str">
        <f>IFERROR(__xludf.DUMMYFUNCTION("if(A316=""GBP"",if(B316="""","""",if(A316=$F$1,Installment!C316,Installment!C316*GOOGLEFINANCE(""Currency:""&amp;A316&amp;""""&amp;$F$1&amp;"""")))/100,if(B316="""","""",if(A316=$F$1,Installment!C316,Installment!C316*GOOGLEFINANCE(""Currency:""&amp;A316&amp;""""&amp;$F$1&amp;""""))))"),"")</f>
        <v/>
      </c>
      <c r="E316" s="501" t="str">
        <f>IFERROR(__xludf.DUMMYFUNCTION("if(A316=""GBP"",if(B316="""","""",if(A316=$F$1,Installment!H316,Installment!H316*GOOGLEFINANCE(""Currency:""&amp;A316&amp;""""&amp;$F$1&amp;"""")))/100,if(B316="""","""",if(A316=$F$1,Installment!H316,Installment!H316*GOOGLEFINANCE(""Currency:""&amp;A316&amp;""""&amp;$F$1&amp;""""))))"),"")</f>
        <v/>
      </c>
      <c r="F316" s="501" t="str">
        <f>IFERROR(__xludf.DUMMYFUNCTION("if(A316=""GBP"",if(B316="""","""",if(A316=$F$1,Installment!I316,Installment!I316*GOOGLEFINANCE(""Currency:""&amp;A316&amp;""""&amp;$F$1&amp;"""")))/100,if(B316="""","""",if(A316=$F$1,Installment!I316,Installment!I316*GOOGLEFINANCE(""Currency:""&amp;A316&amp;""""&amp;$F$1&amp;""""))))"),"")</f>
        <v/>
      </c>
      <c r="G316" s="501" t="str">
        <f t="shared" si="1"/>
        <v/>
      </c>
      <c r="H316" s="501" t="str">
        <f t="shared" si="2"/>
        <v/>
      </c>
      <c r="I316" s="501" t="str">
        <f t="shared" si="3"/>
        <v/>
      </c>
    </row>
    <row r="317">
      <c r="A317" s="501" t="str">
        <f>IFERROR(__xludf.DUMMYFUNCTION("IFERROR(if(ISBLANK(Installment!A317),"""",if(GOOGLEFINANCE(Installment!A317,""Currency"")=""GBX"",""GBP"",GOOGLEFINANCE(Installment!A317,""Currency""))),$F$1)"),"")</f>
        <v/>
      </c>
      <c r="B317" s="501" t="str">
        <f>Installment!A317</f>
        <v/>
      </c>
      <c r="C317" s="501" t="str">
        <f>Installment!B317</f>
        <v/>
      </c>
      <c r="D317" s="501" t="str">
        <f>IFERROR(__xludf.DUMMYFUNCTION("if(A317=""GBP"",if(B317="""","""",if(A317=$F$1,Installment!C317,Installment!C317*GOOGLEFINANCE(""Currency:""&amp;A317&amp;""""&amp;$F$1&amp;"""")))/100,if(B317="""","""",if(A317=$F$1,Installment!C317,Installment!C317*GOOGLEFINANCE(""Currency:""&amp;A317&amp;""""&amp;$F$1&amp;""""))))"),"")</f>
        <v/>
      </c>
      <c r="E317" s="501" t="str">
        <f>IFERROR(__xludf.DUMMYFUNCTION("if(A317=""GBP"",if(B317="""","""",if(A317=$F$1,Installment!H317,Installment!H317*GOOGLEFINANCE(""Currency:""&amp;A317&amp;""""&amp;$F$1&amp;"""")))/100,if(B317="""","""",if(A317=$F$1,Installment!H317,Installment!H317*GOOGLEFINANCE(""Currency:""&amp;A317&amp;""""&amp;$F$1&amp;""""))))"),"")</f>
        <v/>
      </c>
      <c r="F317" s="501" t="str">
        <f>IFERROR(__xludf.DUMMYFUNCTION("if(A317=""GBP"",if(B317="""","""",if(A317=$F$1,Installment!I317,Installment!I317*GOOGLEFINANCE(""Currency:""&amp;A317&amp;""""&amp;$F$1&amp;"""")))/100,if(B317="""","""",if(A317=$F$1,Installment!I317,Installment!I317*GOOGLEFINANCE(""Currency:""&amp;A317&amp;""""&amp;$F$1&amp;""""))))"),"")</f>
        <v/>
      </c>
      <c r="G317" s="501" t="str">
        <f t="shared" si="1"/>
        <v/>
      </c>
      <c r="H317" s="501" t="str">
        <f t="shared" si="2"/>
        <v/>
      </c>
      <c r="I317" s="501" t="str">
        <f t="shared" si="3"/>
        <v/>
      </c>
    </row>
    <row r="318">
      <c r="A318" s="501" t="str">
        <f>IFERROR(__xludf.DUMMYFUNCTION("IFERROR(if(ISBLANK(Installment!A318),"""",if(GOOGLEFINANCE(Installment!A318,""Currency"")=""GBX"",""GBP"",GOOGLEFINANCE(Installment!A318,""Currency""))),$F$1)"),"")</f>
        <v/>
      </c>
      <c r="B318" s="501" t="str">
        <f>Installment!A318</f>
        <v/>
      </c>
      <c r="C318" s="501" t="str">
        <f>Installment!B318</f>
        <v/>
      </c>
      <c r="D318" s="501" t="str">
        <f>IFERROR(__xludf.DUMMYFUNCTION("if(A318=""GBP"",if(B318="""","""",if(A318=$F$1,Installment!C318,Installment!C318*GOOGLEFINANCE(""Currency:""&amp;A318&amp;""""&amp;$F$1&amp;"""")))/100,if(B318="""","""",if(A318=$F$1,Installment!C318,Installment!C318*GOOGLEFINANCE(""Currency:""&amp;A318&amp;""""&amp;$F$1&amp;""""))))"),"")</f>
        <v/>
      </c>
      <c r="E318" s="501" t="str">
        <f>IFERROR(__xludf.DUMMYFUNCTION("if(A318=""GBP"",if(B318="""","""",if(A318=$F$1,Installment!H318,Installment!H318*GOOGLEFINANCE(""Currency:""&amp;A318&amp;""""&amp;$F$1&amp;"""")))/100,if(B318="""","""",if(A318=$F$1,Installment!H318,Installment!H318*GOOGLEFINANCE(""Currency:""&amp;A318&amp;""""&amp;$F$1&amp;""""))))"),"")</f>
        <v/>
      </c>
      <c r="F318" s="501" t="str">
        <f>IFERROR(__xludf.DUMMYFUNCTION("if(A318=""GBP"",if(B318="""","""",if(A318=$F$1,Installment!I318,Installment!I318*GOOGLEFINANCE(""Currency:""&amp;A318&amp;""""&amp;$F$1&amp;"""")))/100,if(B318="""","""",if(A318=$F$1,Installment!I318,Installment!I318*GOOGLEFINANCE(""Currency:""&amp;A318&amp;""""&amp;$F$1&amp;""""))))"),"")</f>
        <v/>
      </c>
      <c r="G318" s="501" t="str">
        <f t="shared" si="1"/>
        <v/>
      </c>
      <c r="H318" s="501" t="str">
        <f t="shared" si="2"/>
        <v/>
      </c>
      <c r="I318" s="501" t="str">
        <f t="shared" si="3"/>
        <v/>
      </c>
    </row>
    <row r="319">
      <c r="A319" s="501" t="str">
        <f>IFERROR(__xludf.DUMMYFUNCTION("IFERROR(if(ISBLANK(Installment!A319),"""",if(GOOGLEFINANCE(Installment!A319,""Currency"")=""GBX"",""GBP"",GOOGLEFINANCE(Installment!A319,""Currency""))),$F$1)"),"")</f>
        <v/>
      </c>
      <c r="B319" s="501" t="str">
        <f>Installment!A319</f>
        <v/>
      </c>
      <c r="C319" s="501" t="str">
        <f>Installment!B319</f>
        <v/>
      </c>
      <c r="D319" s="501" t="str">
        <f>IFERROR(__xludf.DUMMYFUNCTION("if(A319=""GBP"",if(B319="""","""",if(A319=$F$1,Installment!C319,Installment!C319*GOOGLEFINANCE(""Currency:""&amp;A319&amp;""""&amp;$F$1&amp;"""")))/100,if(B319="""","""",if(A319=$F$1,Installment!C319,Installment!C319*GOOGLEFINANCE(""Currency:""&amp;A319&amp;""""&amp;$F$1&amp;""""))))"),"")</f>
        <v/>
      </c>
      <c r="E319" s="501" t="str">
        <f>IFERROR(__xludf.DUMMYFUNCTION("if(A319=""GBP"",if(B319="""","""",if(A319=$F$1,Installment!H319,Installment!H319*GOOGLEFINANCE(""Currency:""&amp;A319&amp;""""&amp;$F$1&amp;"""")))/100,if(B319="""","""",if(A319=$F$1,Installment!H319,Installment!H319*GOOGLEFINANCE(""Currency:""&amp;A319&amp;""""&amp;$F$1&amp;""""))))"),"")</f>
        <v/>
      </c>
      <c r="F319" s="501" t="str">
        <f>IFERROR(__xludf.DUMMYFUNCTION("if(A319=""GBP"",if(B319="""","""",if(A319=$F$1,Installment!I319,Installment!I319*GOOGLEFINANCE(""Currency:""&amp;A319&amp;""""&amp;$F$1&amp;"""")))/100,if(B319="""","""",if(A319=$F$1,Installment!I319,Installment!I319*GOOGLEFINANCE(""Currency:""&amp;A319&amp;""""&amp;$F$1&amp;""""))))"),"")</f>
        <v/>
      </c>
      <c r="G319" s="501" t="str">
        <f t="shared" si="1"/>
        <v/>
      </c>
      <c r="H319" s="501" t="str">
        <f t="shared" si="2"/>
        <v/>
      </c>
      <c r="I319" s="501" t="str">
        <f t="shared" si="3"/>
        <v/>
      </c>
    </row>
    <row r="320">
      <c r="A320" s="501" t="str">
        <f>IFERROR(__xludf.DUMMYFUNCTION("IFERROR(if(ISBLANK(Installment!A320),"""",if(GOOGLEFINANCE(Installment!A320,""Currency"")=""GBX"",""GBP"",GOOGLEFINANCE(Installment!A320,""Currency""))),$F$1)"),"")</f>
        <v/>
      </c>
      <c r="B320" s="501" t="str">
        <f>Installment!A320</f>
        <v/>
      </c>
      <c r="C320" s="501" t="str">
        <f>Installment!B320</f>
        <v/>
      </c>
      <c r="D320" s="501" t="str">
        <f>IFERROR(__xludf.DUMMYFUNCTION("if(A320=""GBP"",if(B320="""","""",if(A320=$F$1,Installment!C320,Installment!C320*GOOGLEFINANCE(""Currency:""&amp;A320&amp;""""&amp;$F$1&amp;"""")))/100,if(B320="""","""",if(A320=$F$1,Installment!C320,Installment!C320*GOOGLEFINANCE(""Currency:""&amp;A320&amp;""""&amp;$F$1&amp;""""))))"),"")</f>
        <v/>
      </c>
      <c r="E320" s="501" t="str">
        <f>IFERROR(__xludf.DUMMYFUNCTION("if(A320=""GBP"",if(B320="""","""",if(A320=$F$1,Installment!H320,Installment!H320*GOOGLEFINANCE(""Currency:""&amp;A320&amp;""""&amp;$F$1&amp;"""")))/100,if(B320="""","""",if(A320=$F$1,Installment!H320,Installment!H320*GOOGLEFINANCE(""Currency:""&amp;A320&amp;""""&amp;$F$1&amp;""""))))"),"")</f>
        <v/>
      </c>
      <c r="F320" s="501" t="str">
        <f>IFERROR(__xludf.DUMMYFUNCTION("if(A320=""GBP"",if(B320="""","""",if(A320=$F$1,Installment!I320,Installment!I320*GOOGLEFINANCE(""Currency:""&amp;A320&amp;""""&amp;$F$1&amp;"""")))/100,if(B320="""","""",if(A320=$F$1,Installment!I320,Installment!I320*GOOGLEFINANCE(""Currency:""&amp;A320&amp;""""&amp;$F$1&amp;""""))))"),"")</f>
        <v/>
      </c>
      <c r="G320" s="501" t="str">
        <f t="shared" si="1"/>
        <v/>
      </c>
      <c r="H320" s="501" t="str">
        <f t="shared" si="2"/>
        <v/>
      </c>
      <c r="I320" s="501" t="str">
        <f t="shared" si="3"/>
        <v/>
      </c>
    </row>
    <row r="321">
      <c r="A321" s="501" t="str">
        <f>IFERROR(__xludf.DUMMYFUNCTION("IFERROR(if(ISBLANK(Installment!A321),"""",if(GOOGLEFINANCE(Installment!A321,""Currency"")=""GBX"",""GBP"",GOOGLEFINANCE(Installment!A321,""Currency""))),$F$1)"),"")</f>
        <v/>
      </c>
      <c r="B321" s="501" t="str">
        <f>Installment!A321</f>
        <v/>
      </c>
      <c r="C321" s="501" t="str">
        <f>Installment!B321</f>
        <v/>
      </c>
      <c r="D321" s="501" t="str">
        <f>IFERROR(__xludf.DUMMYFUNCTION("if(A321=""GBP"",if(B321="""","""",if(A321=$F$1,Installment!C321,Installment!C321*GOOGLEFINANCE(""Currency:""&amp;A321&amp;""""&amp;$F$1&amp;"""")))/100,if(B321="""","""",if(A321=$F$1,Installment!C321,Installment!C321*GOOGLEFINANCE(""Currency:""&amp;A321&amp;""""&amp;$F$1&amp;""""))))"),"")</f>
        <v/>
      </c>
      <c r="E321" s="501" t="str">
        <f>IFERROR(__xludf.DUMMYFUNCTION("if(A321=""GBP"",if(B321="""","""",if(A321=$F$1,Installment!H321,Installment!H321*GOOGLEFINANCE(""Currency:""&amp;A321&amp;""""&amp;$F$1&amp;"""")))/100,if(B321="""","""",if(A321=$F$1,Installment!H321,Installment!H321*GOOGLEFINANCE(""Currency:""&amp;A321&amp;""""&amp;$F$1&amp;""""))))"),"")</f>
        <v/>
      </c>
      <c r="F321" s="501" t="str">
        <f>IFERROR(__xludf.DUMMYFUNCTION("if(A321=""GBP"",if(B321="""","""",if(A321=$F$1,Installment!I321,Installment!I321*GOOGLEFINANCE(""Currency:""&amp;A321&amp;""""&amp;$F$1&amp;"""")))/100,if(B321="""","""",if(A321=$F$1,Installment!I321,Installment!I321*GOOGLEFINANCE(""Currency:""&amp;A321&amp;""""&amp;$F$1&amp;""""))))"),"")</f>
        <v/>
      </c>
      <c r="G321" s="501" t="str">
        <f t="shared" si="1"/>
        <v/>
      </c>
      <c r="H321" s="501" t="str">
        <f t="shared" si="2"/>
        <v/>
      </c>
      <c r="I321" s="501" t="str">
        <f t="shared" si="3"/>
        <v/>
      </c>
    </row>
    <row r="322">
      <c r="A322" s="501" t="str">
        <f>IFERROR(__xludf.DUMMYFUNCTION("IFERROR(if(ISBLANK(Installment!A322),"""",if(GOOGLEFINANCE(Installment!A322,""Currency"")=""GBX"",""GBP"",GOOGLEFINANCE(Installment!A322,""Currency""))),$F$1)"),"")</f>
        <v/>
      </c>
      <c r="B322" s="501" t="str">
        <f>Installment!A322</f>
        <v/>
      </c>
      <c r="C322" s="501" t="str">
        <f>Installment!B322</f>
        <v/>
      </c>
      <c r="D322" s="501" t="str">
        <f>IFERROR(__xludf.DUMMYFUNCTION("if(A322=""GBP"",if(B322="""","""",if(A322=$F$1,Installment!C322,Installment!C322*GOOGLEFINANCE(""Currency:""&amp;A322&amp;""""&amp;$F$1&amp;"""")))/100,if(B322="""","""",if(A322=$F$1,Installment!C322,Installment!C322*GOOGLEFINANCE(""Currency:""&amp;A322&amp;""""&amp;$F$1&amp;""""))))"),"")</f>
        <v/>
      </c>
      <c r="E322" s="501" t="str">
        <f>IFERROR(__xludf.DUMMYFUNCTION("if(A322=""GBP"",if(B322="""","""",if(A322=$F$1,Installment!H322,Installment!H322*GOOGLEFINANCE(""Currency:""&amp;A322&amp;""""&amp;$F$1&amp;"""")))/100,if(B322="""","""",if(A322=$F$1,Installment!H322,Installment!H322*GOOGLEFINANCE(""Currency:""&amp;A322&amp;""""&amp;$F$1&amp;""""))))"),"")</f>
        <v/>
      </c>
      <c r="F322" s="501" t="str">
        <f>IFERROR(__xludf.DUMMYFUNCTION("if(A322=""GBP"",if(B322="""","""",if(A322=$F$1,Installment!I322,Installment!I322*GOOGLEFINANCE(""Currency:""&amp;A322&amp;""""&amp;$F$1&amp;"""")))/100,if(B322="""","""",if(A322=$F$1,Installment!I322,Installment!I322*GOOGLEFINANCE(""Currency:""&amp;A322&amp;""""&amp;$F$1&amp;""""))))"),"")</f>
        <v/>
      </c>
      <c r="G322" s="501" t="str">
        <f t="shared" si="1"/>
        <v/>
      </c>
      <c r="H322" s="501" t="str">
        <f t="shared" si="2"/>
        <v/>
      </c>
      <c r="I322" s="501" t="str">
        <f t="shared" si="3"/>
        <v/>
      </c>
    </row>
    <row r="323">
      <c r="A323" s="501" t="str">
        <f>IFERROR(__xludf.DUMMYFUNCTION("IFERROR(if(ISBLANK(Installment!A323),"""",if(GOOGLEFINANCE(Installment!A323,""Currency"")=""GBX"",""GBP"",GOOGLEFINANCE(Installment!A323,""Currency""))),$F$1)"),"")</f>
        <v/>
      </c>
      <c r="B323" s="501" t="str">
        <f>Installment!A323</f>
        <v/>
      </c>
      <c r="C323" s="501" t="str">
        <f>Installment!B323</f>
        <v/>
      </c>
      <c r="D323" s="501" t="str">
        <f>IFERROR(__xludf.DUMMYFUNCTION("if(A323=""GBP"",if(B323="""","""",if(A323=$F$1,Installment!C323,Installment!C323*GOOGLEFINANCE(""Currency:""&amp;A323&amp;""""&amp;$F$1&amp;"""")))/100,if(B323="""","""",if(A323=$F$1,Installment!C323,Installment!C323*GOOGLEFINANCE(""Currency:""&amp;A323&amp;""""&amp;$F$1&amp;""""))))"),"")</f>
        <v/>
      </c>
      <c r="E323" s="501" t="str">
        <f>IFERROR(__xludf.DUMMYFUNCTION("if(A323=""GBP"",if(B323="""","""",if(A323=$F$1,Installment!H323,Installment!H323*GOOGLEFINANCE(""Currency:""&amp;A323&amp;""""&amp;$F$1&amp;"""")))/100,if(B323="""","""",if(A323=$F$1,Installment!H323,Installment!H323*GOOGLEFINANCE(""Currency:""&amp;A323&amp;""""&amp;$F$1&amp;""""))))"),"")</f>
        <v/>
      </c>
      <c r="F323" s="501" t="str">
        <f>IFERROR(__xludf.DUMMYFUNCTION("if(A323=""GBP"",if(B323="""","""",if(A323=$F$1,Installment!I323,Installment!I323*GOOGLEFINANCE(""Currency:""&amp;A323&amp;""""&amp;$F$1&amp;"""")))/100,if(B323="""","""",if(A323=$F$1,Installment!I323,Installment!I323*GOOGLEFINANCE(""Currency:""&amp;A323&amp;""""&amp;$F$1&amp;""""))))"),"")</f>
        <v/>
      </c>
      <c r="G323" s="501" t="str">
        <f t="shared" si="1"/>
        <v/>
      </c>
      <c r="H323" s="501" t="str">
        <f t="shared" si="2"/>
        <v/>
      </c>
      <c r="I323" s="501" t="str">
        <f t="shared" si="3"/>
        <v/>
      </c>
    </row>
    <row r="324">
      <c r="A324" s="501" t="str">
        <f>IFERROR(__xludf.DUMMYFUNCTION("IFERROR(if(ISBLANK(Installment!A324),"""",if(GOOGLEFINANCE(Installment!A324,""Currency"")=""GBX"",""GBP"",GOOGLEFINANCE(Installment!A324,""Currency""))),$F$1)"),"")</f>
        <v/>
      </c>
      <c r="B324" s="501" t="str">
        <f>Installment!A324</f>
        <v/>
      </c>
      <c r="C324" s="501" t="str">
        <f>Installment!B324</f>
        <v/>
      </c>
      <c r="D324" s="501" t="str">
        <f>IFERROR(__xludf.DUMMYFUNCTION("if(A324=""GBP"",if(B324="""","""",if(A324=$F$1,Installment!C324,Installment!C324*GOOGLEFINANCE(""Currency:""&amp;A324&amp;""""&amp;$F$1&amp;"""")))/100,if(B324="""","""",if(A324=$F$1,Installment!C324,Installment!C324*GOOGLEFINANCE(""Currency:""&amp;A324&amp;""""&amp;$F$1&amp;""""))))"),"")</f>
        <v/>
      </c>
      <c r="E324" s="501" t="str">
        <f>IFERROR(__xludf.DUMMYFUNCTION("if(A324=""GBP"",if(B324="""","""",if(A324=$F$1,Installment!H324,Installment!H324*GOOGLEFINANCE(""Currency:""&amp;A324&amp;""""&amp;$F$1&amp;"""")))/100,if(B324="""","""",if(A324=$F$1,Installment!H324,Installment!H324*GOOGLEFINANCE(""Currency:""&amp;A324&amp;""""&amp;$F$1&amp;""""))))"),"")</f>
        <v/>
      </c>
      <c r="F324" s="501" t="str">
        <f>IFERROR(__xludf.DUMMYFUNCTION("if(A324=""GBP"",if(B324="""","""",if(A324=$F$1,Installment!I324,Installment!I324*GOOGLEFINANCE(""Currency:""&amp;A324&amp;""""&amp;$F$1&amp;"""")))/100,if(B324="""","""",if(A324=$F$1,Installment!I324,Installment!I324*GOOGLEFINANCE(""Currency:""&amp;A324&amp;""""&amp;$F$1&amp;""""))))"),"")</f>
        <v/>
      </c>
      <c r="G324" s="501" t="str">
        <f t="shared" si="1"/>
        <v/>
      </c>
      <c r="H324" s="501" t="str">
        <f t="shared" si="2"/>
        <v/>
      </c>
      <c r="I324" s="501" t="str">
        <f t="shared" si="3"/>
        <v/>
      </c>
    </row>
    <row r="325">
      <c r="A325" s="501" t="str">
        <f>IFERROR(__xludf.DUMMYFUNCTION("IFERROR(if(ISBLANK(Installment!A325),"""",if(GOOGLEFINANCE(Installment!A325,""Currency"")=""GBX"",""GBP"",GOOGLEFINANCE(Installment!A325,""Currency""))),$F$1)"),"")</f>
        <v/>
      </c>
      <c r="B325" s="501" t="str">
        <f>Installment!A325</f>
        <v/>
      </c>
      <c r="C325" s="501" t="str">
        <f>Installment!B325</f>
        <v/>
      </c>
      <c r="D325" s="501" t="str">
        <f>IFERROR(__xludf.DUMMYFUNCTION("if(A325=""GBP"",if(B325="""","""",if(A325=$F$1,Installment!C325,Installment!C325*GOOGLEFINANCE(""Currency:""&amp;A325&amp;""""&amp;$F$1&amp;"""")))/100,if(B325="""","""",if(A325=$F$1,Installment!C325,Installment!C325*GOOGLEFINANCE(""Currency:""&amp;A325&amp;""""&amp;$F$1&amp;""""))))"),"")</f>
        <v/>
      </c>
      <c r="E325" s="501" t="str">
        <f>IFERROR(__xludf.DUMMYFUNCTION("if(A325=""GBP"",if(B325="""","""",if(A325=$F$1,Installment!H325,Installment!H325*GOOGLEFINANCE(""Currency:""&amp;A325&amp;""""&amp;$F$1&amp;"""")))/100,if(B325="""","""",if(A325=$F$1,Installment!H325,Installment!H325*GOOGLEFINANCE(""Currency:""&amp;A325&amp;""""&amp;$F$1&amp;""""))))"),"")</f>
        <v/>
      </c>
      <c r="F325" s="501" t="str">
        <f>IFERROR(__xludf.DUMMYFUNCTION("if(A325=""GBP"",if(B325="""","""",if(A325=$F$1,Installment!I325,Installment!I325*GOOGLEFINANCE(""Currency:""&amp;A325&amp;""""&amp;$F$1&amp;"""")))/100,if(B325="""","""",if(A325=$F$1,Installment!I325,Installment!I325*GOOGLEFINANCE(""Currency:""&amp;A325&amp;""""&amp;$F$1&amp;""""))))"),"")</f>
        <v/>
      </c>
      <c r="G325" s="501" t="str">
        <f t="shared" si="1"/>
        <v/>
      </c>
      <c r="H325" s="501" t="str">
        <f t="shared" si="2"/>
        <v/>
      </c>
      <c r="I325" s="501" t="str">
        <f t="shared" si="3"/>
        <v/>
      </c>
    </row>
    <row r="326">
      <c r="A326" s="501" t="str">
        <f>IFERROR(__xludf.DUMMYFUNCTION("IFERROR(if(ISBLANK(Installment!A326),"""",if(GOOGLEFINANCE(Installment!A326,""Currency"")=""GBX"",""GBP"",GOOGLEFINANCE(Installment!A326,""Currency""))),$F$1)"),"")</f>
        <v/>
      </c>
      <c r="B326" s="501" t="str">
        <f>Installment!A326</f>
        <v/>
      </c>
      <c r="C326" s="501" t="str">
        <f>Installment!B326</f>
        <v/>
      </c>
      <c r="D326" s="501" t="str">
        <f>IFERROR(__xludf.DUMMYFUNCTION("if(A326=""GBP"",if(B326="""","""",if(A326=$F$1,Installment!C326,Installment!C326*GOOGLEFINANCE(""Currency:""&amp;A326&amp;""""&amp;$F$1&amp;"""")))/100,if(B326="""","""",if(A326=$F$1,Installment!C326,Installment!C326*GOOGLEFINANCE(""Currency:""&amp;A326&amp;""""&amp;$F$1&amp;""""))))"),"")</f>
        <v/>
      </c>
      <c r="E326" s="501" t="str">
        <f>IFERROR(__xludf.DUMMYFUNCTION("if(A326=""GBP"",if(B326="""","""",if(A326=$F$1,Installment!H326,Installment!H326*GOOGLEFINANCE(""Currency:""&amp;A326&amp;""""&amp;$F$1&amp;"""")))/100,if(B326="""","""",if(A326=$F$1,Installment!H326,Installment!H326*GOOGLEFINANCE(""Currency:""&amp;A326&amp;""""&amp;$F$1&amp;""""))))"),"")</f>
        <v/>
      </c>
      <c r="F326" s="501" t="str">
        <f>IFERROR(__xludf.DUMMYFUNCTION("if(A326=""GBP"",if(B326="""","""",if(A326=$F$1,Installment!I326,Installment!I326*GOOGLEFINANCE(""Currency:""&amp;A326&amp;""""&amp;$F$1&amp;"""")))/100,if(B326="""","""",if(A326=$F$1,Installment!I326,Installment!I326*GOOGLEFINANCE(""Currency:""&amp;A326&amp;""""&amp;$F$1&amp;""""))))"),"")</f>
        <v/>
      </c>
      <c r="G326" s="501" t="str">
        <f t="shared" si="1"/>
        <v/>
      </c>
      <c r="H326" s="501" t="str">
        <f t="shared" si="2"/>
        <v/>
      </c>
      <c r="I326" s="501" t="str">
        <f t="shared" si="3"/>
        <v/>
      </c>
    </row>
    <row r="327">
      <c r="A327" s="501" t="str">
        <f>IFERROR(__xludf.DUMMYFUNCTION("IFERROR(if(ISBLANK(Installment!A327),"""",if(GOOGLEFINANCE(Installment!A327,""Currency"")=""GBX"",""GBP"",GOOGLEFINANCE(Installment!A327,""Currency""))),$F$1)"),"")</f>
        <v/>
      </c>
      <c r="B327" s="501" t="str">
        <f>Installment!A327</f>
        <v/>
      </c>
      <c r="C327" s="501" t="str">
        <f>Installment!B327</f>
        <v/>
      </c>
      <c r="D327" s="501" t="str">
        <f>IFERROR(__xludf.DUMMYFUNCTION("if(A327=""GBP"",if(B327="""","""",if(A327=$F$1,Installment!C327,Installment!C327*GOOGLEFINANCE(""Currency:""&amp;A327&amp;""""&amp;$F$1&amp;"""")))/100,if(B327="""","""",if(A327=$F$1,Installment!C327,Installment!C327*GOOGLEFINANCE(""Currency:""&amp;A327&amp;""""&amp;$F$1&amp;""""))))"),"")</f>
        <v/>
      </c>
      <c r="E327" s="501" t="str">
        <f>IFERROR(__xludf.DUMMYFUNCTION("if(A327=""GBP"",if(B327="""","""",if(A327=$F$1,Installment!H327,Installment!H327*GOOGLEFINANCE(""Currency:""&amp;A327&amp;""""&amp;$F$1&amp;"""")))/100,if(B327="""","""",if(A327=$F$1,Installment!H327,Installment!H327*GOOGLEFINANCE(""Currency:""&amp;A327&amp;""""&amp;$F$1&amp;""""))))"),"")</f>
        <v/>
      </c>
      <c r="F327" s="501" t="str">
        <f>IFERROR(__xludf.DUMMYFUNCTION("if(A327=""GBP"",if(B327="""","""",if(A327=$F$1,Installment!I327,Installment!I327*GOOGLEFINANCE(""Currency:""&amp;A327&amp;""""&amp;$F$1&amp;"""")))/100,if(B327="""","""",if(A327=$F$1,Installment!I327,Installment!I327*GOOGLEFINANCE(""Currency:""&amp;A327&amp;""""&amp;$F$1&amp;""""))))"),"")</f>
        <v/>
      </c>
      <c r="G327" s="501" t="str">
        <f t="shared" si="1"/>
        <v/>
      </c>
      <c r="H327" s="501" t="str">
        <f t="shared" si="2"/>
        <v/>
      </c>
      <c r="I327" s="501" t="str">
        <f t="shared" si="3"/>
        <v/>
      </c>
    </row>
    <row r="328">
      <c r="A328" s="501" t="str">
        <f>IFERROR(__xludf.DUMMYFUNCTION("IFERROR(if(ISBLANK(Installment!A328),"""",if(GOOGLEFINANCE(Installment!A328,""Currency"")=""GBX"",""GBP"",GOOGLEFINANCE(Installment!A328,""Currency""))),$F$1)"),"")</f>
        <v/>
      </c>
      <c r="B328" s="501" t="str">
        <f>Installment!A328</f>
        <v/>
      </c>
      <c r="C328" s="501" t="str">
        <f>Installment!B328</f>
        <v/>
      </c>
      <c r="D328" s="501" t="str">
        <f>IFERROR(__xludf.DUMMYFUNCTION("if(A328=""GBP"",if(B328="""","""",if(A328=$F$1,Installment!C328,Installment!C328*GOOGLEFINANCE(""Currency:""&amp;A328&amp;""""&amp;$F$1&amp;"""")))/100,if(B328="""","""",if(A328=$F$1,Installment!C328,Installment!C328*GOOGLEFINANCE(""Currency:""&amp;A328&amp;""""&amp;$F$1&amp;""""))))"),"")</f>
        <v/>
      </c>
      <c r="E328" s="501" t="str">
        <f>IFERROR(__xludf.DUMMYFUNCTION("if(A328=""GBP"",if(B328="""","""",if(A328=$F$1,Installment!H328,Installment!H328*GOOGLEFINANCE(""Currency:""&amp;A328&amp;""""&amp;$F$1&amp;"""")))/100,if(B328="""","""",if(A328=$F$1,Installment!H328,Installment!H328*GOOGLEFINANCE(""Currency:""&amp;A328&amp;""""&amp;$F$1&amp;""""))))"),"")</f>
        <v/>
      </c>
      <c r="F328" s="501" t="str">
        <f>IFERROR(__xludf.DUMMYFUNCTION("if(A328=""GBP"",if(B328="""","""",if(A328=$F$1,Installment!I328,Installment!I328*GOOGLEFINANCE(""Currency:""&amp;A328&amp;""""&amp;$F$1&amp;"""")))/100,if(B328="""","""",if(A328=$F$1,Installment!I328,Installment!I328*GOOGLEFINANCE(""Currency:""&amp;A328&amp;""""&amp;$F$1&amp;""""))))"),"")</f>
        <v/>
      </c>
      <c r="G328" s="501" t="str">
        <f t="shared" si="1"/>
        <v/>
      </c>
      <c r="H328" s="501" t="str">
        <f t="shared" si="2"/>
        <v/>
      </c>
      <c r="I328" s="501" t="str">
        <f t="shared" si="3"/>
        <v/>
      </c>
    </row>
    <row r="329">
      <c r="A329" s="501" t="str">
        <f>IFERROR(__xludf.DUMMYFUNCTION("IFERROR(if(ISBLANK(Installment!A329),"""",if(GOOGLEFINANCE(Installment!A329,""Currency"")=""GBX"",""GBP"",GOOGLEFINANCE(Installment!A329,""Currency""))),$F$1)"),"")</f>
        <v/>
      </c>
      <c r="B329" s="501" t="str">
        <f>Installment!A329</f>
        <v/>
      </c>
      <c r="C329" s="501" t="str">
        <f>Installment!B329</f>
        <v/>
      </c>
      <c r="D329" s="501" t="str">
        <f>IFERROR(__xludf.DUMMYFUNCTION("if(A329=""GBP"",if(B329="""","""",if(A329=$F$1,Installment!C329,Installment!C329*GOOGLEFINANCE(""Currency:""&amp;A329&amp;""""&amp;$F$1&amp;"""")))/100,if(B329="""","""",if(A329=$F$1,Installment!C329,Installment!C329*GOOGLEFINANCE(""Currency:""&amp;A329&amp;""""&amp;$F$1&amp;""""))))"),"")</f>
        <v/>
      </c>
      <c r="E329" s="501" t="str">
        <f>IFERROR(__xludf.DUMMYFUNCTION("if(A329=""GBP"",if(B329="""","""",if(A329=$F$1,Installment!H329,Installment!H329*GOOGLEFINANCE(""Currency:""&amp;A329&amp;""""&amp;$F$1&amp;"""")))/100,if(B329="""","""",if(A329=$F$1,Installment!H329,Installment!H329*GOOGLEFINANCE(""Currency:""&amp;A329&amp;""""&amp;$F$1&amp;""""))))"),"")</f>
        <v/>
      </c>
      <c r="F329" s="501" t="str">
        <f>IFERROR(__xludf.DUMMYFUNCTION("if(A329=""GBP"",if(B329="""","""",if(A329=$F$1,Installment!I329,Installment!I329*GOOGLEFINANCE(""Currency:""&amp;A329&amp;""""&amp;$F$1&amp;"""")))/100,if(B329="""","""",if(A329=$F$1,Installment!I329,Installment!I329*GOOGLEFINANCE(""Currency:""&amp;A329&amp;""""&amp;$F$1&amp;""""))))"),"")</f>
        <v/>
      </c>
      <c r="G329" s="501" t="str">
        <f t="shared" si="1"/>
        <v/>
      </c>
      <c r="H329" s="501" t="str">
        <f t="shared" si="2"/>
        <v/>
      </c>
      <c r="I329" s="501" t="str">
        <f t="shared" si="3"/>
        <v/>
      </c>
    </row>
    <row r="330">
      <c r="A330" s="501" t="str">
        <f>IFERROR(__xludf.DUMMYFUNCTION("IFERROR(if(ISBLANK(Installment!A330),"""",if(GOOGLEFINANCE(Installment!A330,""Currency"")=""GBX"",""GBP"",GOOGLEFINANCE(Installment!A330,""Currency""))),$F$1)"),"")</f>
        <v/>
      </c>
      <c r="B330" s="501" t="str">
        <f>Installment!A330</f>
        <v/>
      </c>
      <c r="C330" s="501" t="str">
        <f>Installment!B330</f>
        <v/>
      </c>
      <c r="D330" s="501" t="str">
        <f>IFERROR(__xludf.DUMMYFUNCTION("if(A330=""GBP"",if(B330="""","""",if(A330=$F$1,Installment!C330,Installment!C330*GOOGLEFINANCE(""Currency:""&amp;A330&amp;""""&amp;$F$1&amp;"""")))/100,if(B330="""","""",if(A330=$F$1,Installment!C330,Installment!C330*GOOGLEFINANCE(""Currency:""&amp;A330&amp;""""&amp;$F$1&amp;""""))))"),"")</f>
        <v/>
      </c>
      <c r="E330" s="501" t="str">
        <f>IFERROR(__xludf.DUMMYFUNCTION("if(A330=""GBP"",if(B330="""","""",if(A330=$F$1,Installment!H330,Installment!H330*GOOGLEFINANCE(""Currency:""&amp;A330&amp;""""&amp;$F$1&amp;"""")))/100,if(B330="""","""",if(A330=$F$1,Installment!H330,Installment!H330*GOOGLEFINANCE(""Currency:""&amp;A330&amp;""""&amp;$F$1&amp;""""))))"),"")</f>
        <v/>
      </c>
      <c r="F330" s="501" t="str">
        <f>IFERROR(__xludf.DUMMYFUNCTION("if(A330=""GBP"",if(B330="""","""",if(A330=$F$1,Installment!I330,Installment!I330*GOOGLEFINANCE(""Currency:""&amp;A330&amp;""""&amp;$F$1&amp;"""")))/100,if(B330="""","""",if(A330=$F$1,Installment!I330,Installment!I330*GOOGLEFINANCE(""Currency:""&amp;A330&amp;""""&amp;$F$1&amp;""""))))"),"")</f>
        <v/>
      </c>
      <c r="G330" s="501" t="str">
        <f t="shared" si="1"/>
        <v/>
      </c>
      <c r="H330" s="501" t="str">
        <f t="shared" si="2"/>
        <v/>
      </c>
      <c r="I330" s="501" t="str">
        <f t="shared" si="3"/>
        <v/>
      </c>
    </row>
    <row r="331">
      <c r="A331" s="501" t="str">
        <f>IFERROR(__xludf.DUMMYFUNCTION("IFERROR(if(ISBLANK(Installment!A331),"""",if(GOOGLEFINANCE(Installment!A331,""Currency"")=""GBX"",""GBP"",GOOGLEFINANCE(Installment!A331,""Currency""))),$F$1)"),"")</f>
        <v/>
      </c>
      <c r="B331" s="501" t="str">
        <f>Installment!A331</f>
        <v/>
      </c>
      <c r="C331" s="501" t="str">
        <f>Installment!B331</f>
        <v/>
      </c>
      <c r="D331" s="501" t="str">
        <f>IFERROR(__xludf.DUMMYFUNCTION("if(A331=""GBP"",if(B331="""","""",if(A331=$F$1,Installment!C331,Installment!C331*GOOGLEFINANCE(""Currency:""&amp;A331&amp;""""&amp;$F$1&amp;"""")))/100,if(B331="""","""",if(A331=$F$1,Installment!C331,Installment!C331*GOOGLEFINANCE(""Currency:""&amp;A331&amp;""""&amp;$F$1&amp;""""))))"),"")</f>
        <v/>
      </c>
      <c r="E331" s="501" t="str">
        <f>IFERROR(__xludf.DUMMYFUNCTION("if(A331=""GBP"",if(B331="""","""",if(A331=$F$1,Installment!H331,Installment!H331*GOOGLEFINANCE(""Currency:""&amp;A331&amp;""""&amp;$F$1&amp;"""")))/100,if(B331="""","""",if(A331=$F$1,Installment!H331,Installment!H331*GOOGLEFINANCE(""Currency:""&amp;A331&amp;""""&amp;$F$1&amp;""""))))"),"")</f>
        <v/>
      </c>
      <c r="F331" s="501" t="str">
        <f>IFERROR(__xludf.DUMMYFUNCTION("if(A331=""GBP"",if(B331="""","""",if(A331=$F$1,Installment!I331,Installment!I331*GOOGLEFINANCE(""Currency:""&amp;A331&amp;""""&amp;$F$1&amp;"""")))/100,if(B331="""","""",if(A331=$F$1,Installment!I331,Installment!I331*GOOGLEFINANCE(""Currency:""&amp;A331&amp;""""&amp;$F$1&amp;""""))))"),"")</f>
        <v/>
      </c>
      <c r="G331" s="501" t="str">
        <f t="shared" si="1"/>
        <v/>
      </c>
      <c r="H331" s="501" t="str">
        <f t="shared" si="2"/>
        <v/>
      </c>
      <c r="I331" s="501" t="str">
        <f t="shared" si="3"/>
        <v/>
      </c>
    </row>
    <row r="332">
      <c r="A332" s="501" t="str">
        <f>IFERROR(__xludf.DUMMYFUNCTION("IFERROR(if(ISBLANK(Installment!A332),"""",if(GOOGLEFINANCE(Installment!A332,""Currency"")=""GBX"",""GBP"",GOOGLEFINANCE(Installment!A332,""Currency""))),$F$1)"),"")</f>
        <v/>
      </c>
      <c r="B332" s="501" t="str">
        <f>Installment!A332</f>
        <v/>
      </c>
      <c r="C332" s="501" t="str">
        <f>Installment!B332</f>
        <v/>
      </c>
      <c r="D332" s="501" t="str">
        <f>IFERROR(__xludf.DUMMYFUNCTION("if(A332=""GBP"",if(B332="""","""",if(A332=$F$1,Installment!C332,Installment!C332*GOOGLEFINANCE(""Currency:""&amp;A332&amp;""""&amp;$F$1&amp;"""")))/100,if(B332="""","""",if(A332=$F$1,Installment!C332,Installment!C332*GOOGLEFINANCE(""Currency:""&amp;A332&amp;""""&amp;$F$1&amp;""""))))"),"")</f>
        <v/>
      </c>
      <c r="E332" s="501" t="str">
        <f>IFERROR(__xludf.DUMMYFUNCTION("if(A332=""GBP"",if(B332="""","""",if(A332=$F$1,Installment!H332,Installment!H332*GOOGLEFINANCE(""Currency:""&amp;A332&amp;""""&amp;$F$1&amp;"""")))/100,if(B332="""","""",if(A332=$F$1,Installment!H332,Installment!H332*GOOGLEFINANCE(""Currency:""&amp;A332&amp;""""&amp;$F$1&amp;""""))))"),"")</f>
        <v/>
      </c>
      <c r="F332" s="501" t="str">
        <f>IFERROR(__xludf.DUMMYFUNCTION("if(A332=""GBP"",if(B332="""","""",if(A332=$F$1,Installment!I332,Installment!I332*GOOGLEFINANCE(""Currency:""&amp;A332&amp;""""&amp;$F$1&amp;"""")))/100,if(B332="""","""",if(A332=$F$1,Installment!I332,Installment!I332*GOOGLEFINANCE(""Currency:""&amp;A332&amp;""""&amp;$F$1&amp;""""))))"),"")</f>
        <v/>
      </c>
      <c r="G332" s="501" t="str">
        <f t="shared" si="1"/>
        <v/>
      </c>
      <c r="H332" s="501" t="str">
        <f t="shared" si="2"/>
        <v/>
      </c>
      <c r="I332" s="501" t="str">
        <f t="shared" si="3"/>
        <v/>
      </c>
    </row>
    <row r="333">
      <c r="A333" s="501" t="str">
        <f>IFERROR(__xludf.DUMMYFUNCTION("IFERROR(if(ISBLANK(Installment!A333),"""",if(GOOGLEFINANCE(Installment!A333,""Currency"")=""GBX"",""GBP"",GOOGLEFINANCE(Installment!A333,""Currency""))),$F$1)"),"")</f>
        <v/>
      </c>
      <c r="B333" s="501" t="str">
        <f>Installment!A333</f>
        <v/>
      </c>
      <c r="C333" s="501" t="str">
        <f>Installment!B333</f>
        <v/>
      </c>
      <c r="D333" s="501" t="str">
        <f>IFERROR(__xludf.DUMMYFUNCTION("if(A333=""GBP"",if(B333="""","""",if(A333=$F$1,Installment!C333,Installment!C333*GOOGLEFINANCE(""Currency:""&amp;A333&amp;""""&amp;$F$1&amp;"""")))/100,if(B333="""","""",if(A333=$F$1,Installment!C333,Installment!C333*GOOGLEFINANCE(""Currency:""&amp;A333&amp;""""&amp;$F$1&amp;""""))))"),"")</f>
        <v/>
      </c>
      <c r="E333" s="501" t="str">
        <f>IFERROR(__xludf.DUMMYFUNCTION("if(A333=""GBP"",if(B333="""","""",if(A333=$F$1,Installment!H333,Installment!H333*GOOGLEFINANCE(""Currency:""&amp;A333&amp;""""&amp;$F$1&amp;"""")))/100,if(B333="""","""",if(A333=$F$1,Installment!H333,Installment!H333*GOOGLEFINANCE(""Currency:""&amp;A333&amp;""""&amp;$F$1&amp;""""))))"),"")</f>
        <v/>
      </c>
      <c r="F333" s="501" t="str">
        <f>IFERROR(__xludf.DUMMYFUNCTION("if(A333=""GBP"",if(B333="""","""",if(A333=$F$1,Installment!I333,Installment!I333*GOOGLEFINANCE(""Currency:""&amp;A333&amp;""""&amp;$F$1&amp;"""")))/100,if(B333="""","""",if(A333=$F$1,Installment!I333,Installment!I333*GOOGLEFINANCE(""Currency:""&amp;A333&amp;""""&amp;$F$1&amp;""""))))"),"")</f>
        <v/>
      </c>
      <c r="G333" s="501" t="str">
        <f t="shared" si="1"/>
        <v/>
      </c>
      <c r="H333" s="501" t="str">
        <f t="shared" si="2"/>
        <v/>
      </c>
      <c r="I333" s="501" t="str">
        <f t="shared" si="3"/>
        <v/>
      </c>
    </row>
    <row r="334">
      <c r="A334" s="501" t="str">
        <f>IFERROR(__xludf.DUMMYFUNCTION("IFERROR(if(ISBLANK(Installment!A334),"""",if(GOOGLEFINANCE(Installment!A334,""Currency"")=""GBX"",""GBP"",GOOGLEFINANCE(Installment!A334,""Currency""))),$F$1)"),"")</f>
        <v/>
      </c>
      <c r="B334" s="501" t="str">
        <f>Installment!A334</f>
        <v/>
      </c>
      <c r="C334" s="501" t="str">
        <f>Installment!B334</f>
        <v/>
      </c>
      <c r="D334" s="501" t="str">
        <f>IFERROR(__xludf.DUMMYFUNCTION("if(A334=""GBP"",if(B334="""","""",if(A334=$F$1,Installment!C334,Installment!C334*GOOGLEFINANCE(""Currency:""&amp;A334&amp;""""&amp;$F$1&amp;"""")))/100,if(B334="""","""",if(A334=$F$1,Installment!C334,Installment!C334*GOOGLEFINANCE(""Currency:""&amp;A334&amp;""""&amp;$F$1&amp;""""))))"),"")</f>
        <v/>
      </c>
      <c r="E334" s="501" t="str">
        <f>IFERROR(__xludf.DUMMYFUNCTION("if(A334=""GBP"",if(B334="""","""",if(A334=$F$1,Installment!H334,Installment!H334*GOOGLEFINANCE(""Currency:""&amp;A334&amp;""""&amp;$F$1&amp;"""")))/100,if(B334="""","""",if(A334=$F$1,Installment!H334,Installment!H334*GOOGLEFINANCE(""Currency:""&amp;A334&amp;""""&amp;$F$1&amp;""""))))"),"")</f>
        <v/>
      </c>
      <c r="F334" s="501" t="str">
        <f>IFERROR(__xludf.DUMMYFUNCTION("if(A334=""GBP"",if(B334="""","""",if(A334=$F$1,Installment!I334,Installment!I334*GOOGLEFINANCE(""Currency:""&amp;A334&amp;""""&amp;$F$1&amp;"""")))/100,if(B334="""","""",if(A334=$F$1,Installment!I334,Installment!I334*GOOGLEFINANCE(""Currency:""&amp;A334&amp;""""&amp;$F$1&amp;""""))))"),"")</f>
        <v/>
      </c>
      <c r="G334" s="501" t="str">
        <f t="shared" si="1"/>
        <v/>
      </c>
      <c r="H334" s="501" t="str">
        <f t="shared" si="2"/>
        <v/>
      </c>
      <c r="I334" s="501" t="str">
        <f t="shared" si="3"/>
        <v/>
      </c>
    </row>
    <row r="335">
      <c r="A335" s="501" t="str">
        <f>IFERROR(__xludf.DUMMYFUNCTION("IFERROR(if(ISBLANK(Installment!A335),"""",if(GOOGLEFINANCE(Installment!A335,""Currency"")=""GBX"",""GBP"",GOOGLEFINANCE(Installment!A335,""Currency""))),$F$1)"),"")</f>
        <v/>
      </c>
      <c r="B335" s="501" t="str">
        <f>Installment!A335</f>
        <v/>
      </c>
      <c r="C335" s="501" t="str">
        <f>Installment!B335</f>
        <v/>
      </c>
      <c r="D335" s="501" t="str">
        <f>IFERROR(__xludf.DUMMYFUNCTION("if(A335=""GBP"",if(B335="""","""",if(A335=$F$1,Installment!C335,Installment!C335*GOOGLEFINANCE(""Currency:""&amp;A335&amp;""""&amp;$F$1&amp;"""")))/100,if(B335="""","""",if(A335=$F$1,Installment!C335,Installment!C335*GOOGLEFINANCE(""Currency:""&amp;A335&amp;""""&amp;$F$1&amp;""""))))"),"")</f>
        <v/>
      </c>
      <c r="E335" s="501" t="str">
        <f>IFERROR(__xludf.DUMMYFUNCTION("if(A335=""GBP"",if(B335="""","""",if(A335=$F$1,Installment!H335,Installment!H335*GOOGLEFINANCE(""Currency:""&amp;A335&amp;""""&amp;$F$1&amp;"""")))/100,if(B335="""","""",if(A335=$F$1,Installment!H335,Installment!H335*GOOGLEFINANCE(""Currency:""&amp;A335&amp;""""&amp;$F$1&amp;""""))))"),"")</f>
        <v/>
      </c>
      <c r="F335" s="501" t="str">
        <f>IFERROR(__xludf.DUMMYFUNCTION("if(A335=""GBP"",if(B335="""","""",if(A335=$F$1,Installment!I335,Installment!I335*GOOGLEFINANCE(""Currency:""&amp;A335&amp;""""&amp;$F$1&amp;"""")))/100,if(B335="""","""",if(A335=$F$1,Installment!I335,Installment!I335*GOOGLEFINANCE(""Currency:""&amp;A335&amp;""""&amp;$F$1&amp;""""))))"),"")</f>
        <v/>
      </c>
      <c r="G335" s="501" t="str">
        <f t="shared" si="1"/>
        <v/>
      </c>
      <c r="H335" s="501" t="str">
        <f t="shared" si="2"/>
        <v/>
      </c>
      <c r="I335" s="501" t="str">
        <f t="shared" si="3"/>
        <v/>
      </c>
    </row>
    <row r="336">
      <c r="A336" s="501" t="str">
        <f>IFERROR(__xludf.DUMMYFUNCTION("IFERROR(if(ISBLANK(Installment!A336),"""",if(GOOGLEFINANCE(Installment!A336,""Currency"")=""GBX"",""GBP"",GOOGLEFINANCE(Installment!A336,""Currency""))),$F$1)"),"")</f>
        <v/>
      </c>
      <c r="B336" s="501" t="str">
        <f>Installment!A336</f>
        <v/>
      </c>
      <c r="C336" s="501" t="str">
        <f>Installment!B336</f>
        <v/>
      </c>
      <c r="D336" s="501" t="str">
        <f>IFERROR(__xludf.DUMMYFUNCTION("if(A336=""GBP"",if(B336="""","""",if(A336=$F$1,Installment!C336,Installment!C336*GOOGLEFINANCE(""Currency:""&amp;A336&amp;""""&amp;$F$1&amp;"""")))/100,if(B336="""","""",if(A336=$F$1,Installment!C336,Installment!C336*GOOGLEFINANCE(""Currency:""&amp;A336&amp;""""&amp;$F$1&amp;""""))))"),"")</f>
        <v/>
      </c>
      <c r="E336" s="501" t="str">
        <f>IFERROR(__xludf.DUMMYFUNCTION("if(A336=""GBP"",if(B336="""","""",if(A336=$F$1,Installment!H336,Installment!H336*GOOGLEFINANCE(""Currency:""&amp;A336&amp;""""&amp;$F$1&amp;"""")))/100,if(B336="""","""",if(A336=$F$1,Installment!H336,Installment!H336*GOOGLEFINANCE(""Currency:""&amp;A336&amp;""""&amp;$F$1&amp;""""))))"),"")</f>
        <v/>
      </c>
      <c r="F336" s="501" t="str">
        <f>IFERROR(__xludf.DUMMYFUNCTION("if(A336=""GBP"",if(B336="""","""",if(A336=$F$1,Installment!I336,Installment!I336*GOOGLEFINANCE(""Currency:""&amp;A336&amp;""""&amp;$F$1&amp;"""")))/100,if(B336="""","""",if(A336=$F$1,Installment!I336,Installment!I336*GOOGLEFINANCE(""Currency:""&amp;A336&amp;""""&amp;$F$1&amp;""""))))"),"")</f>
        <v/>
      </c>
      <c r="G336" s="501" t="str">
        <f t="shared" si="1"/>
        <v/>
      </c>
      <c r="H336" s="501" t="str">
        <f t="shared" si="2"/>
        <v/>
      </c>
      <c r="I336" s="501" t="str">
        <f t="shared" si="3"/>
        <v/>
      </c>
    </row>
    <row r="337">
      <c r="A337" s="501" t="str">
        <f>IFERROR(__xludf.DUMMYFUNCTION("IFERROR(if(ISBLANK(Installment!A337),"""",if(GOOGLEFINANCE(Installment!A337,""Currency"")=""GBX"",""GBP"",GOOGLEFINANCE(Installment!A337,""Currency""))),$F$1)"),"")</f>
        <v/>
      </c>
      <c r="B337" s="501" t="str">
        <f>Installment!A337</f>
        <v/>
      </c>
      <c r="C337" s="501" t="str">
        <f>Installment!B337</f>
        <v/>
      </c>
      <c r="D337" s="501" t="str">
        <f>IFERROR(__xludf.DUMMYFUNCTION("if(A337=""GBP"",if(B337="""","""",if(A337=$F$1,Installment!C337,Installment!C337*GOOGLEFINANCE(""Currency:""&amp;A337&amp;""""&amp;$F$1&amp;"""")))/100,if(B337="""","""",if(A337=$F$1,Installment!C337,Installment!C337*GOOGLEFINANCE(""Currency:""&amp;A337&amp;""""&amp;$F$1&amp;""""))))"),"")</f>
        <v/>
      </c>
      <c r="E337" s="501" t="str">
        <f>IFERROR(__xludf.DUMMYFUNCTION("if(A337=""GBP"",if(B337="""","""",if(A337=$F$1,Installment!H337,Installment!H337*GOOGLEFINANCE(""Currency:""&amp;A337&amp;""""&amp;$F$1&amp;"""")))/100,if(B337="""","""",if(A337=$F$1,Installment!H337,Installment!H337*GOOGLEFINANCE(""Currency:""&amp;A337&amp;""""&amp;$F$1&amp;""""))))"),"")</f>
        <v/>
      </c>
      <c r="F337" s="501" t="str">
        <f>IFERROR(__xludf.DUMMYFUNCTION("if(A337=""GBP"",if(B337="""","""",if(A337=$F$1,Installment!I337,Installment!I337*GOOGLEFINANCE(""Currency:""&amp;A337&amp;""""&amp;$F$1&amp;"""")))/100,if(B337="""","""",if(A337=$F$1,Installment!I337,Installment!I337*GOOGLEFINANCE(""Currency:""&amp;A337&amp;""""&amp;$F$1&amp;""""))))"),"")</f>
        <v/>
      </c>
      <c r="G337" s="501" t="str">
        <f t="shared" si="1"/>
        <v/>
      </c>
      <c r="H337" s="501" t="str">
        <f t="shared" si="2"/>
        <v/>
      </c>
      <c r="I337" s="501" t="str">
        <f t="shared" si="3"/>
        <v/>
      </c>
    </row>
    <row r="338">
      <c r="A338" s="501" t="str">
        <f>IFERROR(__xludf.DUMMYFUNCTION("IFERROR(if(ISBLANK(Installment!A338),"""",if(GOOGLEFINANCE(Installment!A338,""Currency"")=""GBX"",""GBP"",GOOGLEFINANCE(Installment!A338,""Currency""))),$F$1)"),"")</f>
        <v/>
      </c>
      <c r="B338" s="501" t="str">
        <f>Installment!A338</f>
        <v/>
      </c>
      <c r="C338" s="501" t="str">
        <f>Installment!B338</f>
        <v/>
      </c>
      <c r="D338" s="501" t="str">
        <f>IFERROR(__xludf.DUMMYFUNCTION("if(A338=""GBP"",if(B338="""","""",if(A338=$F$1,Installment!C338,Installment!C338*GOOGLEFINANCE(""Currency:""&amp;A338&amp;""""&amp;$F$1&amp;"""")))/100,if(B338="""","""",if(A338=$F$1,Installment!C338,Installment!C338*GOOGLEFINANCE(""Currency:""&amp;A338&amp;""""&amp;$F$1&amp;""""))))"),"")</f>
        <v/>
      </c>
      <c r="E338" s="501" t="str">
        <f>IFERROR(__xludf.DUMMYFUNCTION("if(A338=""GBP"",if(B338="""","""",if(A338=$F$1,Installment!H338,Installment!H338*GOOGLEFINANCE(""Currency:""&amp;A338&amp;""""&amp;$F$1&amp;"""")))/100,if(B338="""","""",if(A338=$F$1,Installment!H338,Installment!H338*GOOGLEFINANCE(""Currency:""&amp;A338&amp;""""&amp;$F$1&amp;""""))))"),"")</f>
        <v/>
      </c>
      <c r="F338" s="501" t="str">
        <f>IFERROR(__xludf.DUMMYFUNCTION("if(A338=""GBP"",if(B338="""","""",if(A338=$F$1,Installment!I338,Installment!I338*GOOGLEFINANCE(""Currency:""&amp;A338&amp;""""&amp;$F$1&amp;"""")))/100,if(B338="""","""",if(A338=$F$1,Installment!I338,Installment!I338*GOOGLEFINANCE(""Currency:""&amp;A338&amp;""""&amp;$F$1&amp;""""))))"),"")</f>
        <v/>
      </c>
      <c r="G338" s="501" t="str">
        <f t="shared" si="1"/>
        <v/>
      </c>
      <c r="H338" s="501" t="str">
        <f t="shared" si="2"/>
        <v/>
      </c>
      <c r="I338" s="501" t="str">
        <f t="shared" si="3"/>
        <v/>
      </c>
    </row>
    <row r="339">
      <c r="A339" s="501" t="str">
        <f>IFERROR(__xludf.DUMMYFUNCTION("IFERROR(if(ISBLANK(Installment!A339),"""",if(GOOGLEFINANCE(Installment!A339,""Currency"")=""GBX"",""GBP"",GOOGLEFINANCE(Installment!A339,""Currency""))),$F$1)"),"")</f>
        <v/>
      </c>
      <c r="B339" s="501" t="str">
        <f>Installment!A339</f>
        <v/>
      </c>
      <c r="C339" s="501" t="str">
        <f>Installment!B339</f>
        <v/>
      </c>
      <c r="D339" s="501" t="str">
        <f>IFERROR(__xludf.DUMMYFUNCTION("if(A339=""GBP"",if(B339="""","""",if(A339=$F$1,Installment!C339,Installment!C339*GOOGLEFINANCE(""Currency:""&amp;A339&amp;""""&amp;$F$1&amp;"""")))/100,if(B339="""","""",if(A339=$F$1,Installment!C339,Installment!C339*GOOGLEFINANCE(""Currency:""&amp;A339&amp;""""&amp;$F$1&amp;""""))))"),"")</f>
        <v/>
      </c>
      <c r="E339" s="501" t="str">
        <f>IFERROR(__xludf.DUMMYFUNCTION("if(A339=""GBP"",if(B339="""","""",if(A339=$F$1,Installment!H339,Installment!H339*GOOGLEFINANCE(""Currency:""&amp;A339&amp;""""&amp;$F$1&amp;"""")))/100,if(B339="""","""",if(A339=$F$1,Installment!H339,Installment!H339*GOOGLEFINANCE(""Currency:""&amp;A339&amp;""""&amp;$F$1&amp;""""))))"),"")</f>
        <v/>
      </c>
      <c r="F339" s="501" t="str">
        <f>IFERROR(__xludf.DUMMYFUNCTION("if(A339=""GBP"",if(B339="""","""",if(A339=$F$1,Installment!I339,Installment!I339*GOOGLEFINANCE(""Currency:""&amp;A339&amp;""""&amp;$F$1&amp;"""")))/100,if(B339="""","""",if(A339=$F$1,Installment!I339,Installment!I339*GOOGLEFINANCE(""Currency:""&amp;A339&amp;""""&amp;$F$1&amp;""""))))"),"")</f>
        <v/>
      </c>
      <c r="G339" s="501" t="str">
        <f t="shared" si="1"/>
        <v/>
      </c>
      <c r="H339" s="501" t="str">
        <f t="shared" si="2"/>
        <v/>
      </c>
      <c r="I339" s="501" t="str">
        <f t="shared" si="3"/>
        <v/>
      </c>
    </row>
    <row r="340">
      <c r="A340" s="501" t="str">
        <f>IFERROR(__xludf.DUMMYFUNCTION("IFERROR(if(ISBLANK(Installment!A340),"""",if(GOOGLEFINANCE(Installment!A340,""Currency"")=""GBX"",""GBP"",GOOGLEFINANCE(Installment!A340,""Currency""))),$F$1)"),"")</f>
        <v/>
      </c>
      <c r="B340" s="501" t="str">
        <f>Installment!A340</f>
        <v/>
      </c>
      <c r="C340" s="501" t="str">
        <f>Installment!B340</f>
        <v/>
      </c>
      <c r="D340" s="501" t="str">
        <f>IFERROR(__xludf.DUMMYFUNCTION("if(A340=""GBP"",if(B340="""","""",if(A340=$F$1,Installment!C340,Installment!C340*GOOGLEFINANCE(""Currency:""&amp;A340&amp;""""&amp;$F$1&amp;"""")))/100,if(B340="""","""",if(A340=$F$1,Installment!C340,Installment!C340*GOOGLEFINANCE(""Currency:""&amp;A340&amp;""""&amp;$F$1&amp;""""))))"),"")</f>
        <v/>
      </c>
      <c r="E340" s="501" t="str">
        <f>IFERROR(__xludf.DUMMYFUNCTION("if(A340=""GBP"",if(B340="""","""",if(A340=$F$1,Installment!H340,Installment!H340*GOOGLEFINANCE(""Currency:""&amp;A340&amp;""""&amp;$F$1&amp;"""")))/100,if(B340="""","""",if(A340=$F$1,Installment!H340,Installment!H340*GOOGLEFINANCE(""Currency:""&amp;A340&amp;""""&amp;$F$1&amp;""""))))"),"")</f>
        <v/>
      </c>
      <c r="F340" s="501" t="str">
        <f>IFERROR(__xludf.DUMMYFUNCTION("if(A340=""GBP"",if(B340="""","""",if(A340=$F$1,Installment!I340,Installment!I340*GOOGLEFINANCE(""Currency:""&amp;A340&amp;""""&amp;$F$1&amp;"""")))/100,if(B340="""","""",if(A340=$F$1,Installment!I340,Installment!I340*GOOGLEFINANCE(""Currency:""&amp;A340&amp;""""&amp;$F$1&amp;""""))))"),"")</f>
        <v/>
      </c>
      <c r="G340" s="501" t="str">
        <f t="shared" si="1"/>
        <v/>
      </c>
      <c r="H340" s="501" t="str">
        <f t="shared" si="2"/>
        <v/>
      </c>
      <c r="I340" s="501" t="str">
        <f t="shared" si="3"/>
        <v/>
      </c>
    </row>
    <row r="341">
      <c r="A341" s="501" t="str">
        <f>IFERROR(__xludf.DUMMYFUNCTION("IFERROR(if(ISBLANK(Installment!A341),"""",if(GOOGLEFINANCE(Installment!A341,""Currency"")=""GBX"",""GBP"",GOOGLEFINANCE(Installment!A341,""Currency""))),$F$1)"),"")</f>
        <v/>
      </c>
      <c r="B341" s="501" t="str">
        <f>Installment!A341</f>
        <v/>
      </c>
      <c r="C341" s="501" t="str">
        <f>Installment!B341</f>
        <v/>
      </c>
      <c r="D341" s="501" t="str">
        <f>IFERROR(__xludf.DUMMYFUNCTION("if(A341=""GBP"",if(B341="""","""",if(A341=$F$1,Installment!C341,Installment!C341*GOOGLEFINANCE(""Currency:""&amp;A341&amp;""""&amp;$F$1&amp;"""")))/100,if(B341="""","""",if(A341=$F$1,Installment!C341,Installment!C341*GOOGLEFINANCE(""Currency:""&amp;A341&amp;""""&amp;$F$1&amp;""""))))"),"")</f>
        <v/>
      </c>
      <c r="E341" s="501" t="str">
        <f>IFERROR(__xludf.DUMMYFUNCTION("if(A341=""GBP"",if(B341="""","""",if(A341=$F$1,Installment!H341,Installment!H341*GOOGLEFINANCE(""Currency:""&amp;A341&amp;""""&amp;$F$1&amp;"""")))/100,if(B341="""","""",if(A341=$F$1,Installment!H341,Installment!H341*GOOGLEFINANCE(""Currency:""&amp;A341&amp;""""&amp;$F$1&amp;""""))))"),"")</f>
        <v/>
      </c>
      <c r="F341" s="501" t="str">
        <f>IFERROR(__xludf.DUMMYFUNCTION("if(A341=""GBP"",if(B341="""","""",if(A341=$F$1,Installment!I341,Installment!I341*GOOGLEFINANCE(""Currency:""&amp;A341&amp;""""&amp;$F$1&amp;"""")))/100,if(B341="""","""",if(A341=$F$1,Installment!I341,Installment!I341*GOOGLEFINANCE(""Currency:""&amp;A341&amp;""""&amp;$F$1&amp;""""))))"),"")</f>
        <v/>
      </c>
      <c r="G341" s="501" t="str">
        <f t="shared" si="1"/>
        <v/>
      </c>
      <c r="H341" s="501" t="str">
        <f t="shared" si="2"/>
        <v/>
      </c>
      <c r="I341" s="501" t="str">
        <f t="shared" si="3"/>
        <v/>
      </c>
    </row>
    <row r="342">
      <c r="A342" s="501" t="str">
        <f>IFERROR(__xludf.DUMMYFUNCTION("IFERROR(if(ISBLANK(Installment!A342),"""",if(GOOGLEFINANCE(Installment!A342,""Currency"")=""GBX"",""GBP"",GOOGLEFINANCE(Installment!A342,""Currency""))),$F$1)"),"")</f>
        <v/>
      </c>
      <c r="B342" s="501" t="str">
        <f>Installment!A342</f>
        <v/>
      </c>
      <c r="C342" s="501" t="str">
        <f>Installment!B342</f>
        <v/>
      </c>
      <c r="D342" s="501" t="str">
        <f>IFERROR(__xludf.DUMMYFUNCTION("if(A342=""GBP"",if(B342="""","""",if(A342=$F$1,Installment!C342,Installment!C342*GOOGLEFINANCE(""Currency:""&amp;A342&amp;""""&amp;$F$1&amp;"""")))/100,if(B342="""","""",if(A342=$F$1,Installment!C342,Installment!C342*GOOGLEFINANCE(""Currency:""&amp;A342&amp;""""&amp;$F$1&amp;""""))))"),"")</f>
        <v/>
      </c>
      <c r="E342" s="501" t="str">
        <f>IFERROR(__xludf.DUMMYFUNCTION("if(A342=""GBP"",if(B342="""","""",if(A342=$F$1,Installment!H342,Installment!H342*GOOGLEFINANCE(""Currency:""&amp;A342&amp;""""&amp;$F$1&amp;"""")))/100,if(B342="""","""",if(A342=$F$1,Installment!H342,Installment!H342*GOOGLEFINANCE(""Currency:""&amp;A342&amp;""""&amp;$F$1&amp;""""))))"),"")</f>
        <v/>
      </c>
      <c r="F342" s="501" t="str">
        <f>IFERROR(__xludf.DUMMYFUNCTION("if(A342=""GBP"",if(B342="""","""",if(A342=$F$1,Installment!I342,Installment!I342*GOOGLEFINANCE(""Currency:""&amp;A342&amp;""""&amp;$F$1&amp;"""")))/100,if(B342="""","""",if(A342=$F$1,Installment!I342,Installment!I342*GOOGLEFINANCE(""Currency:""&amp;A342&amp;""""&amp;$F$1&amp;""""))))"),"")</f>
        <v/>
      </c>
      <c r="G342" s="501" t="str">
        <f t="shared" si="1"/>
        <v/>
      </c>
      <c r="H342" s="501" t="str">
        <f t="shared" si="2"/>
        <v/>
      </c>
      <c r="I342" s="501" t="str">
        <f t="shared" si="3"/>
        <v/>
      </c>
    </row>
    <row r="343">
      <c r="A343" s="501" t="str">
        <f>IFERROR(__xludf.DUMMYFUNCTION("IFERROR(if(ISBLANK(Installment!A343),"""",if(GOOGLEFINANCE(Installment!A343,""Currency"")=""GBX"",""GBP"",GOOGLEFINANCE(Installment!A343,""Currency""))),$F$1)"),"")</f>
        <v/>
      </c>
      <c r="B343" s="501" t="str">
        <f>Installment!A343</f>
        <v/>
      </c>
      <c r="C343" s="501" t="str">
        <f>Installment!B343</f>
        <v/>
      </c>
      <c r="D343" s="501" t="str">
        <f>IFERROR(__xludf.DUMMYFUNCTION("if(A343=""GBP"",if(B343="""","""",if(A343=$F$1,Installment!C343,Installment!C343*GOOGLEFINANCE(""Currency:""&amp;A343&amp;""""&amp;$F$1&amp;"""")))/100,if(B343="""","""",if(A343=$F$1,Installment!C343,Installment!C343*GOOGLEFINANCE(""Currency:""&amp;A343&amp;""""&amp;$F$1&amp;""""))))"),"")</f>
        <v/>
      </c>
      <c r="E343" s="501" t="str">
        <f>IFERROR(__xludf.DUMMYFUNCTION("if(A343=""GBP"",if(B343="""","""",if(A343=$F$1,Installment!H343,Installment!H343*GOOGLEFINANCE(""Currency:""&amp;A343&amp;""""&amp;$F$1&amp;"""")))/100,if(B343="""","""",if(A343=$F$1,Installment!H343,Installment!H343*GOOGLEFINANCE(""Currency:""&amp;A343&amp;""""&amp;$F$1&amp;""""))))"),"")</f>
        <v/>
      </c>
      <c r="F343" s="501" t="str">
        <f>IFERROR(__xludf.DUMMYFUNCTION("if(A343=""GBP"",if(B343="""","""",if(A343=$F$1,Installment!I343,Installment!I343*GOOGLEFINANCE(""Currency:""&amp;A343&amp;""""&amp;$F$1&amp;"""")))/100,if(B343="""","""",if(A343=$F$1,Installment!I343,Installment!I343*GOOGLEFINANCE(""Currency:""&amp;A343&amp;""""&amp;$F$1&amp;""""))))"),"")</f>
        <v/>
      </c>
      <c r="G343" s="501" t="str">
        <f t="shared" si="1"/>
        <v/>
      </c>
      <c r="H343" s="501" t="str">
        <f t="shared" si="2"/>
        <v/>
      </c>
      <c r="I343" s="501" t="str">
        <f t="shared" si="3"/>
        <v/>
      </c>
    </row>
    <row r="344">
      <c r="A344" s="501" t="str">
        <f>IFERROR(__xludf.DUMMYFUNCTION("IFERROR(if(ISBLANK(Installment!A344),"""",if(GOOGLEFINANCE(Installment!A344,""Currency"")=""GBX"",""GBP"",GOOGLEFINANCE(Installment!A344,""Currency""))),$F$1)"),"")</f>
        <v/>
      </c>
      <c r="B344" s="501" t="str">
        <f>Installment!A344</f>
        <v/>
      </c>
      <c r="C344" s="501" t="str">
        <f>Installment!B344</f>
        <v/>
      </c>
      <c r="D344" s="501" t="str">
        <f>IFERROR(__xludf.DUMMYFUNCTION("if(A344=""GBP"",if(B344="""","""",if(A344=$F$1,Installment!C344,Installment!C344*GOOGLEFINANCE(""Currency:""&amp;A344&amp;""""&amp;$F$1&amp;"""")))/100,if(B344="""","""",if(A344=$F$1,Installment!C344,Installment!C344*GOOGLEFINANCE(""Currency:""&amp;A344&amp;""""&amp;$F$1&amp;""""))))"),"")</f>
        <v/>
      </c>
      <c r="E344" s="501" t="str">
        <f>IFERROR(__xludf.DUMMYFUNCTION("if(A344=""GBP"",if(B344="""","""",if(A344=$F$1,Installment!H344,Installment!H344*GOOGLEFINANCE(""Currency:""&amp;A344&amp;""""&amp;$F$1&amp;"""")))/100,if(B344="""","""",if(A344=$F$1,Installment!H344,Installment!H344*GOOGLEFINANCE(""Currency:""&amp;A344&amp;""""&amp;$F$1&amp;""""))))"),"")</f>
        <v/>
      </c>
      <c r="F344" s="501" t="str">
        <f>IFERROR(__xludf.DUMMYFUNCTION("if(A344=""GBP"",if(B344="""","""",if(A344=$F$1,Installment!I344,Installment!I344*GOOGLEFINANCE(""Currency:""&amp;A344&amp;""""&amp;$F$1&amp;"""")))/100,if(B344="""","""",if(A344=$F$1,Installment!I344,Installment!I344*GOOGLEFINANCE(""Currency:""&amp;A344&amp;""""&amp;$F$1&amp;""""))))"),"")</f>
        <v/>
      </c>
      <c r="G344" s="501" t="str">
        <f t="shared" si="1"/>
        <v/>
      </c>
      <c r="H344" s="501" t="str">
        <f t="shared" si="2"/>
        <v/>
      </c>
      <c r="I344" s="501" t="str">
        <f t="shared" si="3"/>
        <v/>
      </c>
    </row>
    <row r="345">
      <c r="A345" s="501" t="str">
        <f>IFERROR(__xludf.DUMMYFUNCTION("IFERROR(if(ISBLANK(Installment!A345),"""",if(GOOGLEFINANCE(Installment!A345,""Currency"")=""GBX"",""GBP"",GOOGLEFINANCE(Installment!A345,""Currency""))),$F$1)"),"")</f>
        <v/>
      </c>
      <c r="B345" s="501" t="str">
        <f>Installment!A345</f>
        <v/>
      </c>
      <c r="C345" s="501" t="str">
        <f>Installment!B345</f>
        <v/>
      </c>
      <c r="D345" s="501" t="str">
        <f>IFERROR(__xludf.DUMMYFUNCTION("if(A345=""GBP"",if(B345="""","""",if(A345=$F$1,Installment!C345,Installment!C345*GOOGLEFINANCE(""Currency:""&amp;A345&amp;""""&amp;$F$1&amp;"""")))/100,if(B345="""","""",if(A345=$F$1,Installment!C345,Installment!C345*GOOGLEFINANCE(""Currency:""&amp;A345&amp;""""&amp;$F$1&amp;""""))))"),"")</f>
        <v/>
      </c>
      <c r="E345" s="501" t="str">
        <f>IFERROR(__xludf.DUMMYFUNCTION("if(A345=""GBP"",if(B345="""","""",if(A345=$F$1,Installment!H345,Installment!H345*GOOGLEFINANCE(""Currency:""&amp;A345&amp;""""&amp;$F$1&amp;"""")))/100,if(B345="""","""",if(A345=$F$1,Installment!H345,Installment!H345*GOOGLEFINANCE(""Currency:""&amp;A345&amp;""""&amp;$F$1&amp;""""))))"),"")</f>
        <v/>
      </c>
      <c r="F345" s="501" t="str">
        <f>IFERROR(__xludf.DUMMYFUNCTION("if(A345=""GBP"",if(B345="""","""",if(A345=$F$1,Installment!I345,Installment!I345*GOOGLEFINANCE(""Currency:""&amp;A345&amp;""""&amp;$F$1&amp;"""")))/100,if(B345="""","""",if(A345=$F$1,Installment!I345,Installment!I345*GOOGLEFINANCE(""Currency:""&amp;A345&amp;""""&amp;$F$1&amp;""""))))"),"")</f>
        <v/>
      </c>
      <c r="G345" s="501" t="str">
        <f t="shared" si="1"/>
        <v/>
      </c>
      <c r="H345" s="501" t="str">
        <f t="shared" si="2"/>
        <v/>
      </c>
      <c r="I345" s="501" t="str">
        <f t="shared" si="3"/>
        <v/>
      </c>
    </row>
    <row r="346">
      <c r="A346" s="501" t="str">
        <f>IFERROR(__xludf.DUMMYFUNCTION("IFERROR(if(ISBLANK(Installment!A346),"""",if(GOOGLEFINANCE(Installment!A346,""Currency"")=""GBX"",""GBP"",GOOGLEFINANCE(Installment!A346,""Currency""))),$F$1)"),"")</f>
        <v/>
      </c>
      <c r="B346" s="501" t="str">
        <f>Installment!A346</f>
        <v/>
      </c>
      <c r="C346" s="501" t="str">
        <f>Installment!B346</f>
        <v/>
      </c>
      <c r="D346" s="501" t="str">
        <f>IFERROR(__xludf.DUMMYFUNCTION("if(A346=""GBP"",if(B346="""","""",if(A346=$F$1,Installment!C346,Installment!C346*GOOGLEFINANCE(""Currency:""&amp;A346&amp;""""&amp;$F$1&amp;"""")))/100,if(B346="""","""",if(A346=$F$1,Installment!C346,Installment!C346*GOOGLEFINANCE(""Currency:""&amp;A346&amp;""""&amp;$F$1&amp;""""))))"),"")</f>
        <v/>
      </c>
      <c r="E346" s="501" t="str">
        <f>IFERROR(__xludf.DUMMYFUNCTION("if(A346=""GBP"",if(B346="""","""",if(A346=$F$1,Installment!H346,Installment!H346*GOOGLEFINANCE(""Currency:""&amp;A346&amp;""""&amp;$F$1&amp;"""")))/100,if(B346="""","""",if(A346=$F$1,Installment!H346,Installment!H346*GOOGLEFINANCE(""Currency:""&amp;A346&amp;""""&amp;$F$1&amp;""""))))"),"")</f>
        <v/>
      </c>
      <c r="F346" s="501" t="str">
        <f>IFERROR(__xludf.DUMMYFUNCTION("if(A346=""GBP"",if(B346="""","""",if(A346=$F$1,Installment!I346,Installment!I346*GOOGLEFINANCE(""Currency:""&amp;A346&amp;""""&amp;$F$1&amp;"""")))/100,if(B346="""","""",if(A346=$F$1,Installment!I346,Installment!I346*GOOGLEFINANCE(""Currency:""&amp;A346&amp;""""&amp;$F$1&amp;""""))))"),"")</f>
        <v/>
      </c>
      <c r="G346" s="501" t="str">
        <f t="shared" si="1"/>
        <v/>
      </c>
      <c r="H346" s="501" t="str">
        <f t="shared" si="2"/>
        <v/>
      </c>
      <c r="I346" s="501" t="str">
        <f t="shared" si="3"/>
        <v/>
      </c>
    </row>
    <row r="347">
      <c r="A347" s="501" t="str">
        <f>IFERROR(__xludf.DUMMYFUNCTION("IFERROR(if(ISBLANK(Installment!A347),"""",if(GOOGLEFINANCE(Installment!A347,""Currency"")=""GBX"",""GBP"",GOOGLEFINANCE(Installment!A347,""Currency""))),$F$1)"),"")</f>
        <v/>
      </c>
      <c r="B347" s="501" t="str">
        <f>Installment!A347</f>
        <v/>
      </c>
      <c r="C347" s="501" t="str">
        <f>Installment!B347</f>
        <v/>
      </c>
      <c r="D347" s="501" t="str">
        <f>IFERROR(__xludf.DUMMYFUNCTION("if(A347=""GBP"",if(B347="""","""",if(A347=$F$1,Installment!C347,Installment!C347*GOOGLEFINANCE(""Currency:""&amp;A347&amp;""""&amp;$F$1&amp;"""")))/100,if(B347="""","""",if(A347=$F$1,Installment!C347,Installment!C347*GOOGLEFINANCE(""Currency:""&amp;A347&amp;""""&amp;$F$1&amp;""""))))"),"")</f>
        <v/>
      </c>
      <c r="E347" s="501" t="str">
        <f>IFERROR(__xludf.DUMMYFUNCTION("if(A347=""GBP"",if(B347="""","""",if(A347=$F$1,Installment!H347,Installment!H347*GOOGLEFINANCE(""Currency:""&amp;A347&amp;""""&amp;$F$1&amp;"""")))/100,if(B347="""","""",if(A347=$F$1,Installment!H347,Installment!H347*GOOGLEFINANCE(""Currency:""&amp;A347&amp;""""&amp;$F$1&amp;""""))))"),"")</f>
        <v/>
      </c>
      <c r="F347" s="501" t="str">
        <f>IFERROR(__xludf.DUMMYFUNCTION("if(A347=""GBP"",if(B347="""","""",if(A347=$F$1,Installment!I347,Installment!I347*GOOGLEFINANCE(""Currency:""&amp;A347&amp;""""&amp;$F$1&amp;"""")))/100,if(B347="""","""",if(A347=$F$1,Installment!I347,Installment!I347*GOOGLEFINANCE(""Currency:""&amp;A347&amp;""""&amp;$F$1&amp;""""))))"),"")</f>
        <v/>
      </c>
      <c r="G347" s="501" t="str">
        <f t="shared" si="1"/>
        <v/>
      </c>
      <c r="H347" s="501" t="str">
        <f t="shared" si="2"/>
        <v/>
      </c>
      <c r="I347" s="501" t="str">
        <f t="shared" si="3"/>
        <v/>
      </c>
    </row>
    <row r="348">
      <c r="A348" s="501" t="str">
        <f>IFERROR(__xludf.DUMMYFUNCTION("IFERROR(if(ISBLANK(Installment!A348),"""",if(GOOGLEFINANCE(Installment!A348,""Currency"")=""GBX"",""GBP"",GOOGLEFINANCE(Installment!A348,""Currency""))),$F$1)"),"")</f>
        <v/>
      </c>
      <c r="B348" s="501" t="str">
        <f>Installment!A348</f>
        <v/>
      </c>
      <c r="C348" s="501" t="str">
        <f>Installment!B348</f>
        <v/>
      </c>
      <c r="D348" s="501" t="str">
        <f>IFERROR(__xludf.DUMMYFUNCTION("if(A348=""GBP"",if(B348="""","""",if(A348=$F$1,Installment!C348,Installment!C348*GOOGLEFINANCE(""Currency:""&amp;A348&amp;""""&amp;$F$1&amp;"""")))/100,if(B348="""","""",if(A348=$F$1,Installment!C348,Installment!C348*GOOGLEFINANCE(""Currency:""&amp;A348&amp;""""&amp;$F$1&amp;""""))))"),"")</f>
        <v/>
      </c>
      <c r="E348" s="501" t="str">
        <f>IFERROR(__xludf.DUMMYFUNCTION("if(A348=""GBP"",if(B348="""","""",if(A348=$F$1,Installment!H348,Installment!H348*GOOGLEFINANCE(""Currency:""&amp;A348&amp;""""&amp;$F$1&amp;"""")))/100,if(B348="""","""",if(A348=$F$1,Installment!H348,Installment!H348*GOOGLEFINANCE(""Currency:""&amp;A348&amp;""""&amp;$F$1&amp;""""))))"),"")</f>
        <v/>
      </c>
      <c r="F348" s="501" t="str">
        <f>IFERROR(__xludf.DUMMYFUNCTION("if(A348=""GBP"",if(B348="""","""",if(A348=$F$1,Installment!I348,Installment!I348*GOOGLEFINANCE(""Currency:""&amp;A348&amp;""""&amp;$F$1&amp;"""")))/100,if(B348="""","""",if(A348=$F$1,Installment!I348,Installment!I348*GOOGLEFINANCE(""Currency:""&amp;A348&amp;""""&amp;$F$1&amp;""""))))"),"")</f>
        <v/>
      </c>
      <c r="G348" s="501" t="str">
        <f t="shared" si="1"/>
        <v/>
      </c>
      <c r="H348" s="501" t="str">
        <f t="shared" si="2"/>
        <v/>
      </c>
      <c r="I348" s="501" t="str">
        <f t="shared" si="3"/>
        <v/>
      </c>
    </row>
    <row r="349">
      <c r="A349" s="501" t="str">
        <f>IFERROR(__xludf.DUMMYFUNCTION("IFERROR(if(ISBLANK(Installment!A349),"""",if(GOOGLEFINANCE(Installment!A349,""Currency"")=""GBX"",""GBP"",GOOGLEFINANCE(Installment!A349,""Currency""))),$F$1)"),"")</f>
        <v/>
      </c>
      <c r="B349" s="501" t="str">
        <f>Installment!A349</f>
        <v/>
      </c>
      <c r="C349" s="501" t="str">
        <f>Installment!B349</f>
        <v/>
      </c>
      <c r="D349" s="501" t="str">
        <f>IFERROR(__xludf.DUMMYFUNCTION("if(A349=""GBP"",if(B349="""","""",if(A349=$F$1,Installment!C349,Installment!C349*GOOGLEFINANCE(""Currency:""&amp;A349&amp;""""&amp;$F$1&amp;"""")))/100,if(B349="""","""",if(A349=$F$1,Installment!C349,Installment!C349*GOOGLEFINANCE(""Currency:""&amp;A349&amp;""""&amp;$F$1&amp;""""))))"),"")</f>
        <v/>
      </c>
      <c r="E349" s="501" t="str">
        <f>IFERROR(__xludf.DUMMYFUNCTION("if(A349=""GBP"",if(B349="""","""",if(A349=$F$1,Installment!H349,Installment!H349*GOOGLEFINANCE(""Currency:""&amp;A349&amp;""""&amp;$F$1&amp;"""")))/100,if(B349="""","""",if(A349=$F$1,Installment!H349,Installment!H349*GOOGLEFINANCE(""Currency:""&amp;A349&amp;""""&amp;$F$1&amp;""""))))"),"")</f>
        <v/>
      </c>
      <c r="F349" s="501" t="str">
        <f>IFERROR(__xludf.DUMMYFUNCTION("if(A349=""GBP"",if(B349="""","""",if(A349=$F$1,Installment!I349,Installment!I349*GOOGLEFINANCE(""Currency:""&amp;A349&amp;""""&amp;$F$1&amp;"""")))/100,if(B349="""","""",if(A349=$F$1,Installment!I349,Installment!I349*GOOGLEFINANCE(""Currency:""&amp;A349&amp;""""&amp;$F$1&amp;""""))))"),"")</f>
        <v/>
      </c>
      <c r="G349" s="501" t="str">
        <f t="shared" si="1"/>
        <v/>
      </c>
      <c r="H349" s="501" t="str">
        <f t="shared" si="2"/>
        <v/>
      </c>
      <c r="I349" s="501" t="str">
        <f t="shared" si="3"/>
        <v/>
      </c>
    </row>
    <row r="350">
      <c r="A350" s="501" t="str">
        <f>IFERROR(__xludf.DUMMYFUNCTION("IFERROR(if(ISBLANK(Installment!A350),"""",if(GOOGLEFINANCE(Installment!A350,""Currency"")=""GBX"",""GBP"",GOOGLEFINANCE(Installment!A350,""Currency""))),$F$1)"),"")</f>
        <v/>
      </c>
      <c r="B350" s="501" t="str">
        <f>Installment!A350</f>
        <v/>
      </c>
      <c r="C350" s="501" t="str">
        <f>Installment!B350</f>
        <v/>
      </c>
      <c r="D350" s="501" t="str">
        <f>IFERROR(__xludf.DUMMYFUNCTION("if(A350=""GBP"",if(B350="""","""",if(A350=$F$1,Installment!C350,Installment!C350*GOOGLEFINANCE(""Currency:""&amp;A350&amp;""""&amp;$F$1&amp;"""")))/100,if(B350="""","""",if(A350=$F$1,Installment!C350,Installment!C350*GOOGLEFINANCE(""Currency:""&amp;A350&amp;""""&amp;$F$1&amp;""""))))"),"")</f>
        <v/>
      </c>
      <c r="E350" s="501" t="str">
        <f>IFERROR(__xludf.DUMMYFUNCTION("if(A350=""GBP"",if(B350="""","""",if(A350=$F$1,Installment!H350,Installment!H350*GOOGLEFINANCE(""Currency:""&amp;A350&amp;""""&amp;$F$1&amp;"""")))/100,if(B350="""","""",if(A350=$F$1,Installment!H350,Installment!H350*GOOGLEFINANCE(""Currency:""&amp;A350&amp;""""&amp;$F$1&amp;""""))))"),"")</f>
        <v/>
      </c>
      <c r="F350" s="501" t="str">
        <f>IFERROR(__xludf.DUMMYFUNCTION("if(A350=""GBP"",if(B350="""","""",if(A350=$F$1,Installment!I350,Installment!I350*GOOGLEFINANCE(""Currency:""&amp;A350&amp;""""&amp;$F$1&amp;"""")))/100,if(B350="""","""",if(A350=$F$1,Installment!I350,Installment!I350*GOOGLEFINANCE(""Currency:""&amp;A350&amp;""""&amp;$F$1&amp;""""))))"),"")</f>
        <v/>
      </c>
      <c r="G350" s="501" t="str">
        <f t="shared" si="1"/>
        <v/>
      </c>
      <c r="H350" s="501" t="str">
        <f t="shared" si="2"/>
        <v/>
      </c>
      <c r="I350" s="501" t="str">
        <f t="shared" si="3"/>
        <v/>
      </c>
    </row>
    <row r="351">
      <c r="A351" s="501" t="str">
        <f>IFERROR(__xludf.DUMMYFUNCTION("IFERROR(if(ISBLANK(Installment!A351),"""",if(GOOGLEFINANCE(Installment!A351,""Currency"")=""GBX"",""GBP"",GOOGLEFINANCE(Installment!A351,""Currency""))),$F$1)"),"")</f>
        <v/>
      </c>
      <c r="B351" s="501" t="str">
        <f>Installment!A351</f>
        <v/>
      </c>
      <c r="C351" s="501" t="str">
        <f>Installment!B351</f>
        <v/>
      </c>
      <c r="D351" s="501" t="str">
        <f>IFERROR(__xludf.DUMMYFUNCTION("if(A351=""GBP"",if(B351="""","""",if(A351=$F$1,Installment!C351,Installment!C351*GOOGLEFINANCE(""Currency:""&amp;A351&amp;""""&amp;$F$1&amp;"""")))/100,if(B351="""","""",if(A351=$F$1,Installment!C351,Installment!C351*GOOGLEFINANCE(""Currency:""&amp;A351&amp;""""&amp;$F$1&amp;""""))))"),"")</f>
        <v/>
      </c>
      <c r="E351" s="501" t="str">
        <f>IFERROR(__xludf.DUMMYFUNCTION("if(A351=""GBP"",if(B351="""","""",if(A351=$F$1,Installment!H351,Installment!H351*GOOGLEFINANCE(""Currency:""&amp;A351&amp;""""&amp;$F$1&amp;"""")))/100,if(B351="""","""",if(A351=$F$1,Installment!H351,Installment!H351*GOOGLEFINANCE(""Currency:""&amp;A351&amp;""""&amp;$F$1&amp;""""))))"),"")</f>
        <v/>
      </c>
      <c r="F351" s="501" t="str">
        <f>IFERROR(__xludf.DUMMYFUNCTION("if(A351=""GBP"",if(B351="""","""",if(A351=$F$1,Installment!I351,Installment!I351*GOOGLEFINANCE(""Currency:""&amp;A351&amp;""""&amp;$F$1&amp;"""")))/100,if(B351="""","""",if(A351=$F$1,Installment!I351,Installment!I351*GOOGLEFINANCE(""Currency:""&amp;A351&amp;""""&amp;$F$1&amp;""""))))"),"")</f>
        <v/>
      </c>
      <c r="G351" s="501" t="str">
        <f t="shared" si="1"/>
        <v/>
      </c>
      <c r="H351" s="501" t="str">
        <f t="shared" si="2"/>
        <v/>
      </c>
      <c r="I351" s="501" t="str">
        <f t="shared" si="3"/>
        <v/>
      </c>
    </row>
    <row r="352">
      <c r="A352" s="501" t="str">
        <f>IFERROR(__xludf.DUMMYFUNCTION("IFERROR(if(ISBLANK(Installment!A352),"""",if(GOOGLEFINANCE(Installment!A352,""Currency"")=""GBX"",""GBP"",GOOGLEFINANCE(Installment!A352,""Currency""))),$F$1)"),"")</f>
        <v/>
      </c>
      <c r="B352" s="501" t="str">
        <f>Installment!A352</f>
        <v/>
      </c>
      <c r="C352" s="501" t="str">
        <f>Installment!B352</f>
        <v/>
      </c>
      <c r="D352" s="501" t="str">
        <f>IFERROR(__xludf.DUMMYFUNCTION("if(A352=""GBP"",if(B352="""","""",if(A352=$F$1,Installment!C352,Installment!C352*GOOGLEFINANCE(""Currency:""&amp;A352&amp;""""&amp;$F$1&amp;"""")))/100,if(B352="""","""",if(A352=$F$1,Installment!C352,Installment!C352*GOOGLEFINANCE(""Currency:""&amp;A352&amp;""""&amp;$F$1&amp;""""))))"),"")</f>
        <v/>
      </c>
      <c r="E352" s="501" t="str">
        <f>IFERROR(__xludf.DUMMYFUNCTION("if(A352=""GBP"",if(B352="""","""",if(A352=$F$1,Installment!H352,Installment!H352*GOOGLEFINANCE(""Currency:""&amp;A352&amp;""""&amp;$F$1&amp;"""")))/100,if(B352="""","""",if(A352=$F$1,Installment!H352,Installment!H352*GOOGLEFINANCE(""Currency:""&amp;A352&amp;""""&amp;$F$1&amp;""""))))"),"")</f>
        <v/>
      </c>
      <c r="F352" s="501" t="str">
        <f>IFERROR(__xludf.DUMMYFUNCTION("if(A352=""GBP"",if(B352="""","""",if(A352=$F$1,Installment!I352,Installment!I352*GOOGLEFINANCE(""Currency:""&amp;A352&amp;""""&amp;$F$1&amp;"""")))/100,if(B352="""","""",if(A352=$F$1,Installment!I352,Installment!I352*GOOGLEFINANCE(""Currency:""&amp;A352&amp;""""&amp;$F$1&amp;""""))))"),"")</f>
        <v/>
      </c>
      <c r="G352" s="501" t="str">
        <f t="shared" si="1"/>
        <v/>
      </c>
      <c r="H352" s="501" t="str">
        <f t="shared" si="2"/>
        <v/>
      </c>
      <c r="I352" s="501" t="str">
        <f t="shared" si="3"/>
        <v/>
      </c>
    </row>
    <row r="353">
      <c r="A353" s="501" t="str">
        <f>IFERROR(__xludf.DUMMYFUNCTION("IFERROR(if(ISBLANK(Installment!A353),"""",if(GOOGLEFINANCE(Installment!A353,""Currency"")=""GBX"",""GBP"",GOOGLEFINANCE(Installment!A353,""Currency""))),$F$1)"),"")</f>
        <v/>
      </c>
      <c r="B353" s="501" t="str">
        <f>Installment!A353</f>
        <v/>
      </c>
      <c r="C353" s="501" t="str">
        <f>Installment!B353</f>
        <v/>
      </c>
      <c r="D353" s="501" t="str">
        <f>IFERROR(__xludf.DUMMYFUNCTION("if(A353=""GBP"",if(B353="""","""",if(A353=$F$1,Installment!C353,Installment!C353*GOOGLEFINANCE(""Currency:""&amp;A353&amp;""""&amp;$F$1&amp;"""")))/100,if(B353="""","""",if(A353=$F$1,Installment!C353,Installment!C353*GOOGLEFINANCE(""Currency:""&amp;A353&amp;""""&amp;$F$1&amp;""""))))"),"")</f>
        <v/>
      </c>
      <c r="E353" s="501" t="str">
        <f>IFERROR(__xludf.DUMMYFUNCTION("if(A353=""GBP"",if(B353="""","""",if(A353=$F$1,Installment!H353,Installment!H353*GOOGLEFINANCE(""Currency:""&amp;A353&amp;""""&amp;$F$1&amp;"""")))/100,if(B353="""","""",if(A353=$F$1,Installment!H353,Installment!H353*GOOGLEFINANCE(""Currency:""&amp;A353&amp;""""&amp;$F$1&amp;""""))))"),"")</f>
        <v/>
      </c>
      <c r="F353" s="501" t="str">
        <f>IFERROR(__xludf.DUMMYFUNCTION("if(A353=""GBP"",if(B353="""","""",if(A353=$F$1,Installment!I353,Installment!I353*GOOGLEFINANCE(""Currency:""&amp;A353&amp;""""&amp;$F$1&amp;"""")))/100,if(B353="""","""",if(A353=$F$1,Installment!I353,Installment!I353*GOOGLEFINANCE(""Currency:""&amp;A353&amp;""""&amp;$F$1&amp;""""))))"),"")</f>
        <v/>
      </c>
      <c r="G353" s="501" t="str">
        <f t="shared" si="1"/>
        <v/>
      </c>
      <c r="H353" s="501" t="str">
        <f t="shared" si="2"/>
        <v/>
      </c>
      <c r="I353" s="501" t="str">
        <f t="shared" si="3"/>
        <v/>
      </c>
    </row>
    <row r="354">
      <c r="A354" s="501" t="str">
        <f>IFERROR(__xludf.DUMMYFUNCTION("IFERROR(if(ISBLANK(Installment!A354),"""",if(GOOGLEFINANCE(Installment!A354,""Currency"")=""GBX"",""GBP"",GOOGLEFINANCE(Installment!A354,""Currency""))),$F$1)"),"")</f>
        <v/>
      </c>
      <c r="B354" s="501" t="str">
        <f>Installment!A354</f>
        <v/>
      </c>
      <c r="C354" s="501" t="str">
        <f>Installment!B354</f>
        <v/>
      </c>
      <c r="D354" s="501" t="str">
        <f>IFERROR(__xludf.DUMMYFUNCTION("if(A354=""GBP"",if(B354="""","""",if(A354=$F$1,Installment!C354,Installment!C354*GOOGLEFINANCE(""Currency:""&amp;A354&amp;""""&amp;$F$1&amp;"""")))/100,if(B354="""","""",if(A354=$F$1,Installment!C354,Installment!C354*GOOGLEFINANCE(""Currency:""&amp;A354&amp;""""&amp;$F$1&amp;""""))))"),"")</f>
        <v/>
      </c>
      <c r="E354" s="501" t="str">
        <f>IFERROR(__xludf.DUMMYFUNCTION("if(A354=""GBP"",if(B354="""","""",if(A354=$F$1,Installment!H354,Installment!H354*GOOGLEFINANCE(""Currency:""&amp;A354&amp;""""&amp;$F$1&amp;"""")))/100,if(B354="""","""",if(A354=$F$1,Installment!H354,Installment!H354*GOOGLEFINANCE(""Currency:""&amp;A354&amp;""""&amp;$F$1&amp;""""))))"),"")</f>
        <v/>
      </c>
      <c r="F354" s="501" t="str">
        <f>IFERROR(__xludf.DUMMYFUNCTION("if(A354=""GBP"",if(B354="""","""",if(A354=$F$1,Installment!I354,Installment!I354*GOOGLEFINANCE(""Currency:""&amp;A354&amp;""""&amp;$F$1&amp;"""")))/100,if(B354="""","""",if(A354=$F$1,Installment!I354,Installment!I354*GOOGLEFINANCE(""Currency:""&amp;A354&amp;""""&amp;$F$1&amp;""""))))"),"")</f>
        <v/>
      </c>
      <c r="G354" s="501" t="str">
        <f t="shared" si="1"/>
        <v/>
      </c>
      <c r="H354" s="501" t="str">
        <f t="shared" si="2"/>
        <v/>
      </c>
      <c r="I354" s="501" t="str">
        <f t="shared" si="3"/>
        <v/>
      </c>
    </row>
    <row r="355">
      <c r="A355" s="501" t="str">
        <f>IFERROR(__xludf.DUMMYFUNCTION("IFERROR(if(ISBLANK(Installment!A355),"""",if(GOOGLEFINANCE(Installment!A355,""Currency"")=""GBX"",""GBP"",GOOGLEFINANCE(Installment!A355,""Currency""))),$F$1)"),"")</f>
        <v/>
      </c>
      <c r="B355" s="501" t="str">
        <f>Installment!A355</f>
        <v/>
      </c>
      <c r="C355" s="501" t="str">
        <f>Installment!B355</f>
        <v/>
      </c>
      <c r="D355" s="501" t="str">
        <f>IFERROR(__xludf.DUMMYFUNCTION("if(A355=""GBP"",if(B355="""","""",if(A355=$F$1,Installment!C355,Installment!C355*GOOGLEFINANCE(""Currency:""&amp;A355&amp;""""&amp;$F$1&amp;"""")))/100,if(B355="""","""",if(A355=$F$1,Installment!C355,Installment!C355*GOOGLEFINANCE(""Currency:""&amp;A355&amp;""""&amp;$F$1&amp;""""))))"),"")</f>
        <v/>
      </c>
      <c r="E355" s="501" t="str">
        <f>IFERROR(__xludf.DUMMYFUNCTION("if(A355=""GBP"",if(B355="""","""",if(A355=$F$1,Installment!H355,Installment!H355*GOOGLEFINANCE(""Currency:""&amp;A355&amp;""""&amp;$F$1&amp;"""")))/100,if(B355="""","""",if(A355=$F$1,Installment!H355,Installment!H355*GOOGLEFINANCE(""Currency:""&amp;A355&amp;""""&amp;$F$1&amp;""""))))"),"")</f>
        <v/>
      </c>
      <c r="F355" s="501" t="str">
        <f>IFERROR(__xludf.DUMMYFUNCTION("if(A355=""GBP"",if(B355="""","""",if(A355=$F$1,Installment!I355,Installment!I355*GOOGLEFINANCE(""Currency:""&amp;A355&amp;""""&amp;$F$1&amp;"""")))/100,if(B355="""","""",if(A355=$F$1,Installment!I355,Installment!I355*GOOGLEFINANCE(""Currency:""&amp;A355&amp;""""&amp;$F$1&amp;""""))))"),"")</f>
        <v/>
      </c>
      <c r="G355" s="501" t="str">
        <f t="shared" si="1"/>
        <v/>
      </c>
      <c r="H355" s="501" t="str">
        <f t="shared" si="2"/>
        <v/>
      </c>
      <c r="I355" s="501" t="str">
        <f t="shared" si="3"/>
        <v/>
      </c>
    </row>
    <row r="356">
      <c r="A356" s="501" t="str">
        <f>IFERROR(__xludf.DUMMYFUNCTION("IFERROR(if(ISBLANK(Installment!A356),"""",if(GOOGLEFINANCE(Installment!A356,""Currency"")=""GBX"",""GBP"",GOOGLEFINANCE(Installment!A356,""Currency""))),$F$1)"),"")</f>
        <v/>
      </c>
      <c r="B356" s="501" t="str">
        <f>Installment!A356</f>
        <v/>
      </c>
      <c r="C356" s="501" t="str">
        <f>Installment!B356</f>
        <v/>
      </c>
      <c r="D356" s="501" t="str">
        <f>IFERROR(__xludf.DUMMYFUNCTION("if(A356=""GBP"",if(B356="""","""",if(A356=$F$1,Installment!C356,Installment!C356*GOOGLEFINANCE(""Currency:""&amp;A356&amp;""""&amp;$F$1&amp;"""")))/100,if(B356="""","""",if(A356=$F$1,Installment!C356,Installment!C356*GOOGLEFINANCE(""Currency:""&amp;A356&amp;""""&amp;$F$1&amp;""""))))"),"")</f>
        <v/>
      </c>
      <c r="E356" s="501" t="str">
        <f>IFERROR(__xludf.DUMMYFUNCTION("if(A356=""GBP"",if(B356="""","""",if(A356=$F$1,Installment!H356,Installment!H356*GOOGLEFINANCE(""Currency:""&amp;A356&amp;""""&amp;$F$1&amp;"""")))/100,if(B356="""","""",if(A356=$F$1,Installment!H356,Installment!H356*GOOGLEFINANCE(""Currency:""&amp;A356&amp;""""&amp;$F$1&amp;""""))))"),"")</f>
        <v/>
      </c>
      <c r="F356" s="501" t="str">
        <f>IFERROR(__xludf.DUMMYFUNCTION("if(A356=""GBP"",if(B356="""","""",if(A356=$F$1,Installment!I356,Installment!I356*GOOGLEFINANCE(""Currency:""&amp;A356&amp;""""&amp;$F$1&amp;"""")))/100,if(B356="""","""",if(A356=$F$1,Installment!I356,Installment!I356*GOOGLEFINANCE(""Currency:""&amp;A356&amp;""""&amp;$F$1&amp;""""))))"),"")</f>
        <v/>
      </c>
      <c r="G356" s="501" t="str">
        <f t="shared" si="1"/>
        <v/>
      </c>
      <c r="H356" s="501" t="str">
        <f t="shared" si="2"/>
        <v/>
      </c>
      <c r="I356" s="501" t="str">
        <f t="shared" si="3"/>
        <v/>
      </c>
    </row>
    <row r="357">
      <c r="A357" s="501" t="str">
        <f>IFERROR(__xludf.DUMMYFUNCTION("IFERROR(if(ISBLANK(Installment!A357),"""",if(GOOGLEFINANCE(Installment!A357,""Currency"")=""GBX"",""GBP"",GOOGLEFINANCE(Installment!A357,""Currency""))),$F$1)"),"")</f>
        <v/>
      </c>
      <c r="B357" s="501" t="str">
        <f>Installment!A357</f>
        <v/>
      </c>
      <c r="C357" s="501" t="str">
        <f>Installment!B357</f>
        <v/>
      </c>
      <c r="D357" s="501" t="str">
        <f>IFERROR(__xludf.DUMMYFUNCTION("if(A357=""GBP"",if(B357="""","""",if(A357=$F$1,Installment!C357,Installment!C357*GOOGLEFINANCE(""Currency:""&amp;A357&amp;""""&amp;$F$1&amp;"""")))/100,if(B357="""","""",if(A357=$F$1,Installment!C357,Installment!C357*GOOGLEFINANCE(""Currency:""&amp;A357&amp;""""&amp;$F$1&amp;""""))))"),"")</f>
        <v/>
      </c>
      <c r="E357" s="501" t="str">
        <f>IFERROR(__xludf.DUMMYFUNCTION("if(A357=""GBP"",if(B357="""","""",if(A357=$F$1,Installment!H357,Installment!H357*GOOGLEFINANCE(""Currency:""&amp;A357&amp;""""&amp;$F$1&amp;"""")))/100,if(B357="""","""",if(A357=$F$1,Installment!H357,Installment!H357*GOOGLEFINANCE(""Currency:""&amp;A357&amp;""""&amp;$F$1&amp;""""))))"),"")</f>
        <v/>
      </c>
      <c r="F357" s="501" t="str">
        <f>IFERROR(__xludf.DUMMYFUNCTION("if(A357=""GBP"",if(B357="""","""",if(A357=$F$1,Installment!I357,Installment!I357*GOOGLEFINANCE(""Currency:""&amp;A357&amp;""""&amp;$F$1&amp;"""")))/100,if(B357="""","""",if(A357=$F$1,Installment!I357,Installment!I357*GOOGLEFINANCE(""Currency:""&amp;A357&amp;""""&amp;$F$1&amp;""""))))"),"")</f>
        <v/>
      </c>
      <c r="G357" s="501" t="str">
        <f t="shared" si="1"/>
        <v/>
      </c>
      <c r="H357" s="501" t="str">
        <f t="shared" si="2"/>
        <v/>
      </c>
      <c r="I357" s="501" t="str">
        <f t="shared" si="3"/>
        <v/>
      </c>
    </row>
    <row r="358">
      <c r="A358" s="501" t="str">
        <f>IFERROR(__xludf.DUMMYFUNCTION("IFERROR(if(ISBLANK(Installment!A358),"""",if(GOOGLEFINANCE(Installment!A358,""Currency"")=""GBX"",""GBP"",GOOGLEFINANCE(Installment!A358,""Currency""))),$F$1)"),"")</f>
        <v/>
      </c>
      <c r="B358" s="501" t="str">
        <f>Installment!A358</f>
        <v/>
      </c>
      <c r="C358" s="501" t="str">
        <f>Installment!B358</f>
        <v/>
      </c>
      <c r="D358" s="501" t="str">
        <f>IFERROR(__xludf.DUMMYFUNCTION("if(A358=""GBP"",if(B358="""","""",if(A358=$F$1,Installment!C358,Installment!C358*GOOGLEFINANCE(""Currency:""&amp;A358&amp;""""&amp;$F$1&amp;"""")))/100,if(B358="""","""",if(A358=$F$1,Installment!C358,Installment!C358*GOOGLEFINANCE(""Currency:""&amp;A358&amp;""""&amp;$F$1&amp;""""))))"),"")</f>
        <v/>
      </c>
      <c r="E358" s="501" t="str">
        <f>IFERROR(__xludf.DUMMYFUNCTION("if(A358=""GBP"",if(B358="""","""",if(A358=$F$1,Installment!H358,Installment!H358*GOOGLEFINANCE(""Currency:""&amp;A358&amp;""""&amp;$F$1&amp;"""")))/100,if(B358="""","""",if(A358=$F$1,Installment!H358,Installment!H358*GOOGLEFINANCE(""Currency:""&amp;A358&amp;""""&amp;$F$1&amp;""""))))"),"")</f>
        <v/>
      </c>
      <c r="F358" s="501" t="str">
        <f>IFERROR(__xludf.DUMMYFUNCTION("if(A358=""GBP"",if(B358="""","""",if(A358=$F$1,Installment!I358,Installment!I358*GOOGLEFINANCE(""Currency:""&amp;A358&amp;""""&amp;$F$1&amp;"""")))/100,if(B358="""","""",if(A358=$F$1,Installment!I358,Installment!I358*GOOGLEFINANCE(""Currency:""&amp;A358&amp;""""&amp;$F$1&amp;""""))))"),"")</f>
        <v/>
      </c>
      <c r="G358" s="501" t="str">
        <f t="shared" si="1"/>
        <v/>
      </c>
      <c r="H358" s="501" t="str">
        <f t="shared" si="2"/>
        <v/>
      </c>
      <c r="I358" s="501" t="str">
        <f t="shared" si="3"/>
        <v/>
      </c>
    </row>
    <row r="359">
      <c r="A359" s="501" t="str">
        <f>IFERROR(__xludf.DUMMYFUNCTION("IFERROR(if(ISBLANK(Installment!A359),"""",if(GOOGLEFINANCE(Installment!A359,""Currency"")=""GBX"",""GBP"",GOOGLEFINANCE(Installment!A359,""Currency""))),$F$1)"),"")</f>
        <v/>
      </c>
      <c r="B359" s="501" t="str">
        <f>Installment!A359</f>
        <v/>
      </c>
      <c r="C359" s="501" t="str">
        <f>Installment!B359</f>
        <v/>
      </c>
      <c r="D359" s="501" t="str">
        <f>IFERROR(__xludf.DUMMYFUNCTION("if(A359=""GBP"",if(B359="""","""",if(A359=$F$1,Installment!C359,Installment!C359*GOOGLEFINANCE(""Currency:""&amp;A359&amp;""""&amp;$F$1&amp;"""")))/100,if(B359="""","""",if(A359=$F$1,Installment!C359,Installment!C359*GOOGLEFINANCE(""Currency:""&amp;A359&amp;""""&amp;$F$1&amp;""""))))"),"")</f>
        <v/>
      </c>
      <c r="E359" s="501" t="str">
        <f>IFERROR(__xludf.DUMMYFUNCTION("if(A359=""GBP"",if(B359="""","""",if(A359=$F$1,Installment!H359,Installment!H359*GOOGLEFINANCE(""Currency:""&amp;A359&amp;""""&amp;$F$1&amp;"""")))/100,if(B359="""","""",if(A359=$F$1,Installment!H359,Installment!H359*GOOGLEFINANCE(""Currency:""&amp;A359&amp;""""&amp;$F$1&amp;""""))))"),"")</f>
        <v/>
      </c>
      <c r="F359" s="501" t="str">
        <f>IFERROR(__xludf.DUMMYFUNCTION("if(A359=""GBP"",if(B359="""","""",if(A359=$F$1,Installment!I359,Installment!I359*GOOGLEFINANCE(""Currency:""&amp;A359&amp;""""&amp;$F$1&amp;"""")))/100,if(B359="""","""",if(A359=$F$1,Installment!I359,Installment!I359*GOOGLEFINANCE(""Currency:""&amp;A359&amp;""""&amp;$F$1&amp;""""))))"),"")</f>
        <v/>
      </c>
      <c r="G359" s="501" t="str">
        <f t="shared" si="1"/>
        <v/>
      </c>
      <c r="H359" s="501" t="str">
        <f t="shared" si="2"/>
        <v/>
      </c>
      <c r="I359" s="501" t="str">
        <f t="shared" si="3"/>
        <v/>
      </c>
    </row>
    <row r="360">
      <c r="A360" s="501" t="str">
        <f>IFERROR(__xludf.DUMMYFUNCTION("IFERROR(if(ISBLANK(Installment!A360),"""",if(GOOGLEFINANCE(Installment!A360,""Currency"")=""GBX"",""GBP"",GOOGLEFINANCE(Installment!A360,""Currency""))),$F$1)"),"")</f>
        <v/>
      </c>
      <c r="B360" s="501" t="str">
        <f>Installment!A360</f>
        <v/>
      </c>
      <c r="C360" s="501" t="str">
        <f>Installment!B360</f>
        <v/>
      </c>
      <c r="D360" s="501" t="str">
        <f>IFERROR(__xludf.DUMMYFUNCTION("if(A360=""GBP"",if(B360="""","""",if(A360=$F$1,Installment!C360,Installment!C360*GOOGLEFINANCE(""Currency:""&amp;A360&amp;""""&amp;$F$1&amp;"""")))/100,if(B360="""","""",if(A360=$F$1,Installment!C360,Installment!C360*GOOGLEFINANCE(""Currency:""&amp;A360&amp;""""&amp;$F$1&amp;""""))))"),"")</f>
        <v/>
      </c>
      <c r="E360" s="501" t="str">
        <f>IFERROR(__xludf.DUMMYFUNCTION("if(A360=""GBP"",if(B360="""","""",if(A360=$F$1,Installment!H360,Installment!H360*GOOGLEFINANCE(""Currency:""&amp;A360&amp;""""&amp;$F$1&amp;"""")))/100,if(B360="""","""",if(A360=$F$1,Installment!H360,Installment!H360*GOOGLEFINANCE(""Currency:""&amp;A360&amp;""""&amp;$F$1&amp;""""))))"),"")</f>
        <v/>
      </c>
      <c r="F360" s="501" t="str">
        <f>IFERROR(__xludf.DUMMYFUNCTION("if(A360=""GBP"",if(B360="""","""",if(A360=$F$1,Installment!I360,Installment!I360*GOOGLEFINANCE(""Currency:""&amp;A360&amp;""""&amp;$F$1&amp;"""")))/100,if(B360="""","""",if(A360=$F$1,Installment!I360,Installment!I360*GOOGLEFINANCE(""Currency:""&amp;A360&amp;""""&amp;$F$1&amp;""""))))"),"")</f>
        <v/>
      </c>
      <c r="G360" s="501" t="str">
        <f t="shared" si="1"/>
        <v/>
      </c>
      <c r="H360" s="501" t="str">
        <f t="shared" si="2"/>
        <v/>
      </c>
      <c r="I360" s="501" t="str">
        <f t="shared" si="3"/>
        <v/>
      </c>
    </row>
    <row r="361">
      <c r="A361" s="501" t="str">
        <f>IFERROR(__xludf.DUMMYFUNCTION("IFERROR(if(ISBLANK(Installment!A361),"""",if(GOOGLEFINANCE(Installment!A361,""Currency"")=""GBX"",""GBP"",GOOGLEFINANCE(Installment!A361,""Currency""))),$F$1)"),"")</f>
        <v/>
      </c>
      <c r="B361" s="501" t="str">
        <f>Installment!A361</f>
        <v/>
      </c>
      <c r="C361" s="501" t="str">
        <f>Installment!B361</f>
        <v/>
      </c>
      <c r="D361" s="501" t="str">
        <f>IFERROR(__xludf.DUMMYFUNCTION("if(A361=""GBP"",if(B361="""","""",if(A361=$F$1,Installment!C361,Installment!C361*GOOGLEFINANCE(""Currency:""&amp;A361&amp;""""&amp;$F$1&amp;"""")))/100,if(B361="""","""",if(A361=$F$1,Installment!C361,Installment!C361*GOOGLEFINANCE(""Currency:""&amp;A361&amp;""""&amp;$F$1&amp;""""))))"),"")</f>
        <v/>
      </c>
      <c r="E361" s="501" t="str">
        <f>IFERROR(__xludf.DUMMYFUNCTION("if(A361=""GBP"",if(B361="""","""",if(A361=$F$1,Installment!H361,Installment!H361*GOOGLEFINANCE(""Currency:""&amp;A361&amp;""""&amp;$F$1&amp;"""")))/100,if(B361="""","""",if(A361=$F$1,Installment!H361,Installment!H361*GOOGLEFINANCE(""Currency:""&amp;A361&amp;""""&amp;$F$1&amp;""""))))"),"")</f>
        <v/>
      </c>
      <c r="F361" s="501" t="str">
        <f>IFERROR(__xludf.DUMMYFUNCTION("if(A361=""GBP"",if(B361="""","""",if(A361=$F$1,Installment!I361,Installment!I361*GOOGLEFINANCE(""Currency:""&amp;A361&amp;""""&amp;$F$1&amp;"""")))/100,if(B361="""","""",if(A361=$F$1,Installment!I361,Installment!I361*GOOGLEFINANCE(""Currency:""&amp;A361&amp;""""&amp;$F$1&amp;""""))))"),"")</f>
        <v/>
      </c>
      <c r="G361" s="501" t="str">
        <f t="shared" si="1"/>
        <v/>
      </c>
      <c r="H361" s="501" t="str">
        <f t="shared" si="2"/>
        <v/>
      </c>
      <c r="I361" s="501" t="str">
        <f t="shared" si="3"/>
        <v/>
      </c>
    </row>
    <row r="362">
      <c r="A362" s="501" t="str">
        <f>IFERROR(__xludf.DUMMYFUNCTION("IFERROR(if(ISBLANK(Installment!A362),"""",if(GOOGLEFINANCE(Installment!A362,""Currency"")=""GBX"",""GBP"",GOOGLEFINANCE(Installment!A362,""Currency""))),$F$1)"),"")</f>
        <v/>
      </c>
      <c r="B362" s="501" t="str">
        <f>Installment!A362</f>
        <v/>
      </c>
      <c r="C362" s="501" t="str">
        <f>Installment!B362</f>
        <v/>
      </c>
      <c r="D362" s="501" t="str">
        <f>IFERROR(__xludf.DUMMYFUNCTION("if(A362=""GBP"",if(B362="""","""",if(A362=$F$1,Installment!C362,Installment!C362*GOOGLEFINANCE(""Currency:""&amp;A362&amp;""""&amp;$F$1&amp;"""")))/100,if(B362="""","""",if(A362=$F$1,Installment!C362,Installment!C362*GOOGLEFINANCE(""Currency:""&amp;A362&amp;""""&amp;$F$1&amp;""""))))"),"")</f>
        <v/>
      </c>
      <c r="E362" s="501" t="str">
        <f>IFERROR(__xludf.DUMMYFUNCTION("if(A362=""GBP"",if(B362="""","""",if(A362=$F$1,Installment!H362,Installment!H362*GOOGLEFINANCE(""Currency:""&amp;A362&amp;""""&amp;$F$1&amp;"""")))/100,if(B362="""","""",if(A362=$F$1,Installment!H362,Installment!H362*GOOGLEFINANCE(""Currency:""&amp;A362&amp;""""&amp;$F$1&amp;""""))))"),"")</f>
        <v/>
      </c>
      <c r="F362" s="501" t="str">
        <f>IFERROR(__xludf.DUMMYFUNCTION("if(A362=""GBP"",if(B362="""","""",if(A362=$F$1,Installment!I362,Installment!I362*GOOGLEFINANCE(""Currency:""&amp;A362&amp;""""&amp;$F$1&amp;"""")))/100,if(B362="""","""",if(A362=$F$1,Installment!I362,Installment!I362*GOOGLEFINANCE(""Currency:""&amp;A362&amp;""""&amp;$F$1&amp;""""))))"),"")</f>
        <v/>
      </c>
      <c r="G362" s="501" t="str">
        <f t="shared" si="1"/>
        <v/>
      </c>
      <c r="H362" s="501" t="str">
        <f t="shared" si="2"/>
        <v/>
      </c>
      <c r="I362" s="501" t="str">
        <f t="shared" si="3"/>
        <v/>
      </c>
    </row>
    <row r="363">
      <c r="A363" s="501" t="str">
        <f>IFERROR(__xludf.DUMMYFUNCTION("IFERROR(if(ISBLANK(Installment!A363),"""",if(GOOGLEFINANCE(Installment!A363,""Currency"")=""GBX"",""GBP"",GOOGLEFINANCE(Installment!A363,""Currency""))),$F$1)"),"")</f>
        <v/>
      </c>
      <c r="B363" s="501" t="str">
        <f>Installment!A363</f>
        <v/>
      </c>
      <c r="C363" s="501" t="str">
        <f>Installment!B363</f>
        <v/>
      </c>
      <c r="D363" s="501" t="str">
        <f>IFERROR(__xludf.DUMMYFUNCTION("if(A363=""GBP"",if(B363="""","""",if(A363=$F$1,Installment!C363,Installment!C363*GOOGLEFINANCE(""Currency:""&amp;A363&amp;""""&amp;$F$1&amp;"""")))/100,if(B363="""","""",if(A363=$F$1,Installment!C363,Installment!C363*GOOGLEFINANCE(""Currency:""&amp;A363&amp;""""&amp;$F$1&amp;""""))))"),"")</f>
        <v/>
      </c>
      <c r="E363" s="501" t="str">
        <f>IFERROR(__xludf.DUMMYFUNCTION("if(A363=""GBP"",if(B363="""","""",if(A363=$F$1,Installment!H363,Installment!H363*GOOGLEFINANCE(""Currency:""&amp;A363&amp;""""&amp;$F$1&amp;"""")))/100,if(B363="""","""",if(A363=$F$1,Installment!H363,Installment!H363*GOOGLEFINANCE(""Currency:""&amp;A363&amp;""""&amp;$F$1&amp;""""))))"),"")</f>
        <v/>
      </c>
      <c r="F363" s="501" t="str">
        <f>IFERROR(__xludf.DUMMYFUNCTION("if(A363=""GBP"",if(B363="""","""",if(A363=$F$1,Installment!I363,Installment!I363*GOOGLEFINANCE(""Currency:""&amp;A363&amp;""""&amp;$F$1&amp;"""")))/100,if(B363="""","""",if(A363=$F$1,Installment!I363,Installment!I363*GOOGLEFINANCE(""Currency:""&amp;A363&amp;""""&amp;$F$1&amp;""""))))"),"")</f>
        <v/>
      </c>
      <c r="G363" s="501" t="str">
        <f t="shared" si="1"/>
        <v/>
      </c>
      <c r="H363" s="501" t="str">
        <f t="shared" si="2"/>
        <v/>
      </c>
      <c r="I363" s="501" t="str">
        <f t="shared" si="3"/>
        <v/>
      </c>
    </row>
    <row r="364">
      <c r="A364" s="501" t="str">
        <f>IFERROR(__xludf.DUMMYFUNCTION("IFERROR(if(ISBLANK(Installment!A364),"""",if(GOOGLEFINANCE(Installment!A364,""Currency"")=""GBX"",""GBP"",GOOGLEFINANCE(Installment!A364,""Currency""))),$F$1)"),"")</f>
        <v/>
      </c>
      <c r="B364" s="501" t="str">
        <f>Installment!A364</f>
        <v/>
      </c>
      <c r="C364" s="501" t="str">
        <f>Installment!B364</f>
        <v/>
      </c>
      <c r="D364" s="501" t="str">
        <f>IFERROR(__xludf.DUMMYFUNCTION("if(A364=""GBP"",if(B364="""","""",if(A364=$F$1,Installment!C364,Installment!C364*GOOGLEFINANCE(""Currency:""&amp;A364&amp;""""&amp;$F$1&amp;"""")))/100,if(B364="""","""",if(A364=$F$1,Installment!C364,Installment!C364*GOOGLEFINANCE(""Currency:""&amp;A364&amp;""""&amp;$F$1&amp;""""))))"),"")</f>
        <v/>
      </c>
      <c r="E364" s="501" t="str">
        <f>IFERROR(__xludf.DUMMYFUNCTION("if(A364=""GBP"",if(B364="""","""",if(A364=$F$1,Installment!H364,Installment!H364*GOOGLEFINANCE(""Currency:""&amp;A364&amp;""""&amp;$F$1&amp;"""")))/100,if(B364="""","""",if(A364=$F$1,Installment!H364,Installment!H364*GOOGLEFINANCE(""Currency:""&amp;A364&amp;""""&amp;$F$1&amp;""""))))"),"")</f>
        <v/>
      </c>
      <c r="F364" s="501" t="str">
        <f>IFERROR(__xludf.DUMMYFUNCTION("if(A364=""GBP"",if(B364="""","""",if(A364=$F$1,Installment!I364,Installment!I364*GOOGLEFINANCE(""Currency:""&amp;A364&amp;""""&amp;$F$1&amp;"""")))/100,if(B364="""","""",if(A364=$F$1,Installment!I364,Installment!I364*GOOGLEFINANCE(""Currency:""&amp;A364&amp;""""&amp;$F$1&amp;""""))))"),"")</f>
        <v/>
      </c>
      <c r="G364" s="501" t="str">
        <f t="shared" si="1"/>
        <v/>
      </c>
      <c r="H364" s="501" t="str">
        <f t="shared" si="2"/>
        <v/>
      </c>
      <c r="I364" s="501" t="str">
        <f t="shared" si="3"/>
        <v/>
      </c>
    </row>
    <row r="365">
      <c r="A365" s="501" t="str">
        <f>IFERROR(__xludf.DUMMYFUNCTION("IFERROR(if(ISBLANK(Installment!A365),"""",if(GOOGLEFINANCE(Installment!A365,""Currency"")=""GBX"",""GBP"",GOOGLEFINANCE(Installment!A365,""Currency""))),$F$1)"),"")</f>
        <v/>
      </c>
      <c r="B365" s="501" t="str">
        <f>Installment!A365</f>
        <v/>
      </c>
      <c r="C365" s="501" t="str">
        <f>Installment!B365</f>
        <v/>
      </c>
      <c r="D365" s="501" t="str">
        <f>IFERROR(__xludf.DUMMYFUNCTION("if(A365=""GBP"",if(B365="""","""",if(A365=$F$1,Installment!C365,Installment!C365*GOOGLEFINANCE(""Currency:""&amp;A365&amp;""""&amp;$F$1&amp;"""")))/100,if(B365="""","""",if(A365=$F$1,Installment!C365,Installment!C365*GOOGLEFINANCE(""Currency:""&amp;A365&amp;""""&amp;$F$1&amp;""""))))"),"")</f>
        <v/>
      </c>
      <c r="E365" s="501" t="str">
        <f>IFERROR(__xludf.DUMMYFUNCTION("if(A365=""GBP"",if(B365="""","""",if(A365=$F$1,Installment!H365,Installment!H365*GOOGLEFINANCE(""Currency:""&amp;A365&amp;""""&amp;$F$1&amp;"""")))/100,if(B365="""","""",if(A365=$F$1,Installment!H365,Installment!H365*GOOGLEFINANCE(""Currency:""&amp;A365&amp;""""&amp;$F$1&amp;""""))))"),"")</f>
        <v/>
      </c>
      <c r="F365" s="501" t="str">
        <f>IFERROR(__xludf.DUMMYFUNCTION("if(A365=""GBP"",if(B365="""","""",if(A365=$F$1,Installment!I365,Installment!I365*GOOGLEFINANCE(""Currency:""&amp;A365&amp;""""&amp;$F$1&amp;"""")))/100,if(B365="""","""",if(A365=$F$1,Installment!I365,Installment!I365*GOOGLEFINANCE(""Currency:""&amp;A365&amp;""""&amp;$F$1&amp;""""))))"),"")</f>
        <v/>
      </c>
      <c r="G365" s="501" t="str">
        <f t="shared" si="1"/>
        <v/>
      </c>
      <c r="H365" s="501" t="str">
        <f t="shared" si="2"/>
        <v/>
      </c>
      <c r="I365" s="501" t="str">
        <f t="shared" si="3"/>
        <v/>
      </c>
    </row>
    <row r="366">
      <c r="A366" s="501" t="str">
        <f>IFERROR(__xludf.DUMMYFUNCTION("IFERROR(if(ISBLANK(Installment!A366),"""",if(GOOGLEFINANCE(Installment!A366,""Currency"")=""GBX"",""GBP"",GOOGLEFINANCE(Installment!A366,""Currency""))),$F$1)"),"")</f>
        <v/>
      </c>
      <c r="B366" s="501" t="str">
        <f>Installment!A366</f>
        <v/>
      </c>
      <c r="C366" s="501" t="str">
        <f>Installment!B366</f>
        <v/>
      </c>
      <c r="D366" s="501" t="str">
        <f>IFERROR(__xludf.DUMMYFUNCTION("if(A366=""GBP"",if(B366="""","""",if(A366=$F$1,Installment!C366,Installment!C366*GOOGLEFINANCE(""Currency:""&amp;A366&amp;""""&amp;$F$1&amp;"""")))/100,if(B366="""","""",if(A366=$F$1,Installment!C366,Installment!C366*GOOGLEFINANCE(""Currency:""&amp;A366&amp;""""&amp;$F$1&amp;""""))))"),"")</f>
        <v/>
      </c>
      <c r="E366" s="501" t="str">
        <f>IFERROR(__xludf.DUMMYFUNCTION("if(A366=""GBP"",if(B366="""","""",if(A366=$F$1,Installment!H366,Installment!H366*GOOGLEFINANCE(""Currency:""&amp;A366&amp;""""&amp;$F$1&amp;"""")))/100,if(B366="""","""",if(A366=$F$1,Installment!H366,Installment!H366*GOOGLEFINANCE(""Currency:""&amp;A366&amp;""""&amp;$F$1&amp;""""))))"),"")</f>
        <v/>
      </c>
      <c r="F366" s="501" t="str">
        <f>IFERROR(__xludf.DUMMYFUNCTION("if(A366=""GBP"",if(B366="""","""",if(A366=$F$1,Installment!I366,Installment!I366*GOOGLEFINANCE(""Currency:""&amp;A366&amp;""""&amp;$F$1&amp;"""")))/100,if(B366="""","""",if(A366=$F$1,Installment!I366,Installment!I366*GOOGLEFINANCE(""Currency:""&amp;A366&amp;""""&amp;$F$1&amp;""""))))"),"")</f>
        <v/>
      </c>
      <c r="G366" s="501" t="str">
        <f t="shared" si="1"/>
        <v/>
      </c>
      <c r="H366" s="501" t="str">
        <f t="shared" si="2"/>
        <v/>
      </c>
      <c r="I366" s="501" t="str">
        <f t="shared" si="3"/>
        <v/>
      </c>
    </row>
    <row r="367">
      <c r="A367" s="501" t="str">
        <f>IFERROR(__xludf.DUMMYFUNCTION("IFERROR(if(ISBLANK(Installment!A367),"""",if(GOOGLEFINANCE(Installment!A367,""Currency"")=""GBX"",""GBP"",GOOGLEFINANCE(Installment!A367,""Currency""))),$F$1)"),"")</f>
        <v/>
      </c>
      <c r="B367" s="501" t="str">
        <f>Installment!A367</f>
        <v/>
      </c>
      <c r="C367" s="501" t="str">
        <f>Installment!B367</f>
        <v/>
      </c>
      <c r="D367" s="501" t="str">
        <f>IFERROR(__xludf.DUMMYFUNCTION("if(A367=""GBP"",if(B367="""","""",if(A367=$F$1,Installment!C367,Installment!C367*GOOGLEFINANCE(""Currency:""&amp;A367&amp;""""&amp;$F$1&amp;"""")))/100,if(B367="""","""",if(A367=$F$1,Installment!C367,Installment!C367*GOOGLEFINANCE(""Currency:""&amp;A367&amp;""""&amp;$F$1&amp;""""))))"),"")</f>
        <v/>
      </c>
      <c r="E367" s="501" t="str">
        <f>IFERROR(__xludf.DUMMYFUNCTION("if(A367=""GBP"",if(B367="""","""",if(A367=$F$1,Installment!H367,Installment!H367*GOOGLEFINANCE(""Currency:""&amp;A367&amp;""""&amp;$F$1&amp;"""")))/100,if(B367="""","""",if(A367=$F$1,Installment!H367,Installment!H367*GOOGLEFINANCE(""Currency:""&amp;A367&amp;""""&amp;$F$1&amp;""""))))"),"")</f>
        <v/>
      </c>
      <c r="F367" s="501" t="str">
        <f>IFERROR(__xludf.DUMMYFUNCTION("if(A367=""GBP"",if(B367="""","""",if(A367=$F$1,Installment!I367,Installment!I367*GOOGLEFINANCE(""Currency:""&amp;A367&amp;""""&amp;$F$1&amp;"""")))/100,if(B367="""","""",if(A367=$F$1,Installment!I367,Installment!I367*GOOGLEFINANCE(""Currency:""&amp;A367&amp;""""&amp;$F$1&amp;""""))))"),"")</f>
        <v/>
      </c>
      <c r="G367" s="501" t="str">
        <f t="shared" si="1"/>
        <v/>
      </c>
      <c r="H367" s="501" t="str">
        <f t="shared" si="2"/>
        <v/>
      </c>
      <c r="I367" s="501" t="str">
        <f t="shared" si="3"/>
        <v/>
      </c>
    </row>
    <row r="368">
      <c r="A368" s="501" t="str">
        <f>IFERROR(__xludf.DUMMYFUNCTION("IFERROR(if(ISBLANK(Installment!A368),"""",if(GOOGLEFINANCE(Installment!A368,""Currency"")=""GBX"",""GBP"",GOOGLEFINANCE(Installment!A368,""Currency""))),$F$1)"),"")</f>
        <v/>
      </c>
      <c r="B368" s="501" t="str">
        <f>Installment!A368</f>
        <v/>
      </c>
      <c r="C368" s="501" t="str">
        <f>Installment!B368</f>
        <v/>
      </c>
      <c r="D368" s="501" t="str">
        <f>IFERROR(__xludf.DUMMYFUNCTION("if(A368=""GBP"",if(B368="""","""",if(A368=$F$1,Installment!C368,Installment!C368*GOOGLEFINANCE(""Currency:""&amp;A368&amp;""""&amp;$F$1&amp;"""")))/100,if(B368="""","""",if(A368=$F$1,Installment!C368,Installment!C368*GOOGLEFINANCE(""Currency:""&amp;A368&amp;""""&amp;$F$1&amp;""""))))"),"")</f>
        <v/>
      </c>
      <c r="E368" s="501" t="str">
        <f>IFERROR(__xludf.DUMMYFUNCTION("if(A368=""GBP"",if(B368="""","""",if(A368=$F$1,Installment!H368,Installment!H368*GOOGLEFINANCE(""Currency:""&amp;A368&amp;""""&amp;$F$1&amp;"""")))/100,if(B368="""","""",if(A368=$F$1,Installment!H368,Installment!H368*GOOGLEFINANCE(""Currency:""&amp;A368&amp;""""&amp;$F$1&amp;""""))))"),"")</f>
        <v/>
      </c>
      <c r="F368" s="501" t="str">
        <f>IFERROR(__xludf.DUMMYFUNCTION("if(A368=""GBP"",if(B368="""","""",if(A368=$F$1,Installment!I368,Installment!I368*GOOGLEFINANCE(""Currency:""&amp;A368&amp;""""&amp;$F$1&amp;"""")))/100,if(B368="""","""",if(A368=$F$1,Installment!I368,Installment!I368*GOOGLEFINANCE(""Currency:""&amp;A368&amp;""""&amp;$F$1&amp;""""))))"),"")</f>
        <v/>
      </c>
      <c r="G368" s="501" t="str">
        <f t="shared" si="1"/>
        <v/>
      </c>
      <c r="H368" s="501" t="str">
        <f t="shared" si="2"/>
        <v/>
      </c>
      <c r="I368" s="501" t="str">
        <f t="shared" si="3"/>
        <v/>
      </c>
    </row>
    <row r="369">
      <c r="A369" s="501" t="str">
        <f>IFERROR(__xludf.DUMMYFUNCTION("IFERROR(if(ISBLANK(Installment!A369),"""",if(GOOGLEFINANCE(Installment!A369,""Currency"")=""GBX"",""GBP"",GOOGLEFINANCE(Installment!A369,""Currency""))),$F$1)"),"")</f>
        <v/>
      </c>
      <c r="B369" s="501" t="str">
        <f>Installment!A369</f>
        <v/>
      </c>
      <c r="C369" s="501" t="str">
        <f>Installment!B369</f>
        <v/>
      </c>
      <c r="D369" s="501" t="str">
        <f>IFERROR(__xludf.DUMMYFUNCTION("if(A369=""GBP"",if(B369="""","""",if(A369=$F$1,Installment!C369,Installment!C369*GOOGLEFINANCE(""Currency:""&amp;A369&amp;""""&amp;$F$1&amp;"""")))/100,if(B369="""","""",if(A369=$F$1,Installment!C369,Installment!C369*GOOGLEFINANCE(""Currency:""&amp;A369&amp;""""&amp;$F$1&amp;""""))))"),"")</f>
        <v/>
      </c>
      <c r="E369" s="501" t="str">
        <f>IFERROR(__xludf.DUMMYFUNCTION("if(A369=""GBP"",if(B369="""","""",if(A369=$F$1,Installment!H369,Installment!H369*GOOGLEFINANCE(""Currency:""&amp;A369&amp;""""&amp;$F$1&amp;"""")))/100,if(B369="""","""",if(A369=$F$1,Installment!H369,Installment!H369*GOOGLEFINANCE(""Currency:""&amp;A369&amp;""""&amp;$F$1&amp;""""))))"),"")</f>
        <v/>
      </c>
      <c r="F369" s="501" t="str">
        <f>IFERROR(__xludf.DUMMYFUNCTION("if(A369=""GBP"",if(B369="""","""",if(A369=$F$1,Installment!I369,Installment!I369*GOOGLEFINANCE(""Currency:""&amp;A369&amp;""""&amp;$F$1&amp;"""")))/100,if(B369="""","""",if(A369=$F$1,Installment!I369,Installment!I369*GOOGLEFINANCE(""Currency:""&amp;A369&amp;""""&amp;$F$1&amp;""""))))"),"")</f>
        <v/>
      </c>
      <c r="G369" s="501" t="str">
        <f t="shared" si="1"/>
        <v/>
      </c>
      <c r="H369" s="501" t="str">
        <f t="shared" si="2"/>
        <v/>
      </c>
      <c r="I369" s="501" t="str">
        <f t="shared" si="3"/>
        <v/>
      </c>
    </row>
    <row r="370">
      <c r="A370" s="501" t="str">
        <f>IFERROR(__xludf.DUMMYFUNCTION("IFERROR(if(ISBLANK(Installment!A370),"""",if(GOOGLEFINANCE(Installment!A370,""Currency"")=""GBX"",""GBP"",GOOGLEFINANCE(Installment!A370,""Currency""))),$F$1)"),"")</f>
        <v/>
      </c>
      <c r="B370" s="501" t="str">
        <f>Installment!A370</f>
        <v/>
      </c>
      <c r="C370" s="501" t="str">
        <f>Installment!B370</f>
        <v/>
      </c>
      <c r="D370" s="501" t="str">
        <f>IFERROR(__xludf.DUMMYFUNCTION("if(A370=""GBP"",if(B370="""","""",if(A370=$F$1,Installment!C370,Installment!C370*GOOGLEFINANCE(""Currency:""&amp;A370&amp;""""&amp;$F$1&amp;"""")))/100,if(B370="""","""",if(A370=$F$1,Installment!C370,Installment!C370*GOOGLEFINANCE(""Currency:""&amp;A370&amp;""""&amp;$F$1&amp;""""))))"),"")</f>
        <v/>
      </c>
      <c r="E370" s="501" t="str">
        <f>IFERROR(__xludf.DUMMYFUNCTION("if(A370=""GBP"",if(B370="""","""",if(A370=$F$1,Installment!H370,Installment!H370*GOOGLEFINANCE(""Currency:""&amp;A370&amp;""""&amp;$F$1&amp;"""")))/100,if(B370="""","""",if(A370=$F$1,Installment!H370,Installment!H370*GOOGLEFINANCE(""Currency:""&amp;A370&amp;""""&amp;$F$1&amp;""""))))"),"")</f>
        <v/>
      </c>
      <c r="F370" s="501" t="str">
        <f>IFERROR(__xludf.DUMMYFUNCTION("if(A370=""GBP"",if(B370="""","""",if(A370=$F$1,Installment!I370,Installment!I370*GOOGLEFINANCE(""Currency:""&amp;A370&amp;""""&amp;$F$1&amp;"""")))/100,if(B370="""","""",if(A370=$F$1,Installment!I370,Installment!I370*GOOGLEFINANCE(""Currency:""&amp;A370&amp;""""&amp;$F$1&amp;""""))))"),"")</f>
        <v/>
      </c>
      <c r="G370" s="501" t="str">
        <f t="shared" si="1"/>
        <v/>
      </c>
      <c r="H370" s="501" t="str">
        <f t="shared" si="2"/>
        <v/>
      </c>
      <c r="I370" s="501" t="str">
        <f t="shared" si="3"/>
        <v/>
      </c>
    </row>
    <row r="371">
      <c r="A371" s="501" t="str">
        <f>IFERROR(__xludf.DUMMYFUNCTION("IFERROR(if(ISBLANK(Installment!A371),"""",if(GOOGLEFINANCE(Installment!A371,""Currency"")=""GBX"",""GBP"",GOOGLEFINANCE(Installment!A371,""Currency""))),$F$1)"),"")</f>
        <v/>
      </c>
      <c r="B371" s="501" t="str">
        <f>Installment!A371</f>
        <v/>
      </c>
      <c r="C371" s="501" t="str">
        <f>Installment!B371</f>
        <v/>
      </c>
      <c r="D371" s="501" t="str">
        <f>IFERROR(__xludf.DUMMYFUNCTION("if(A371=""GBP"",if(B371="""","""",if(A371=$F$1,Installment!C371,Installment!C371*GOOGLEFINANCE(""Currency:""&amp;A371&amp;""""&amp;$F$1&amp;"""")))/100,if(B371="""","""",if(A371=$F$1,Installment!C371,Installment!C371*GOOGLEFINANCE(""Currency:""&amp;A371&amp;""""&amp;$F$1&amp;""""))))"),"")</f>
        <v/>
      </c>
      <c r="E371" s="501" t="str">
        <f>IFERROR(__xludf.DUMMYFUNCTION("if(A371=""GBP"",if(B371="""","""",if(A371=$F$1,Installment!H371,Installment!H371*GOOGLEFINANCE(""Currency:""&amp;A371&amp;""""&amp;$F$1&amp;"""")))/100,if(B371="""","""",if(A371=$F$1,Installment!H371,Installment!H371*GOOGLEFINANCE(""Currency:""&amp;A371&amp;""""&amp;$F$1&amp;""""))))"),"")</f>
        <v/>
      </c>
      <c r="F371" s="501" t="str">
        <f>IFERROR(__xludf.DUMMYFUNCTION("if(A371=""GBP"",if(B371="""","""",if(A371=$F$1,Installment!I371,Installment!I371*GOOGLEFINANCE(""Currency:""&amp;A371&amp;""""&amp;$F$1&amp;"""")))/100,if(B371="""","""",if(A371=$F$1,Installment!I371,Installment!I371*GOOGLEFINANCE(""Currency:""&amp;A371&amp;""""&amp;$F$1&amp;""""))))"),"")</f>
        <v/>
      </c>
      <c r="G371" s="501" t="str">
        <f t="shared" si="1"/>
        <v/>
      </c>
      <c r="H371" s="501" t="str">
        <f t="shared" si="2"/>
        <v/>
      </c>
      <c r="I371" s="501" t="str">
        <f t="shared" si="3"/>
        <v/>
      </c>
    </row>
    <row r="372">
      <c r="A372" s="501" t="str">
        <f>IFERROR(__xludf.DUMMYFUNCTION("IFERROR(if(ISBLANK(Installment!A372),"""",if(GOOGLEFINANCE(Installment!A372,""Currency"")=""GBX"",""GBP"",GOOGLEFINANCE(Installment!A372,""Currency""))),$F$1)"),"")</f>
        <v/>
      </c>
      <c r="B372" s="501" t="str">
        <f>Installment!A372</f>
        <v/>
      </c>
      <c r="C372" s="501" t="str">
        <f>Installment!B372</f>
        <v/>
      </c>
      <c r="D372" s="501" t="str">
        <f>IFERROR(__xludf.DUMMYFUNCTION("if(A372=""GBP"",if(B372="""","""",if(A372=$F$1,Installment!C372,Installment!C372*GOOGLEFINANCE(""Currency:""&amp;A372&amp;""""&amp;$F$1&amp;"""")))/100,if(B372="""","""",if(A372=$F$1,Installment!C372,Installment!C372*GOOGLEFINANCE(""Currency:""&amp;A372&amp;""""&amp;$F$1&amp;""""))))"),"")</f>
        <v/>
      </c>
      <c r="E372" s="501" t="str">
        <f>IFERROR(__xludf.DUMMYFUNCTION("if(A372=""GBP"",if(B372="""","""",if(A372=$F$1,Installment!H372,Installment!H372*GOOGLEFINANCE(""Currency:""&amp;A372&amp;""""&amp;$F$1&amp;"""")))/100,if(B372="""","""",if(A372=$F$1,Installment!H372,Installment!H372*GOOGLEFINANCE(""Currency:""&amp;A372&amp;""""&amp;$F$1&amp;""""))))"),"")</f>
        <v/>
      </c>
      <c r="F372" s="501" t="str">
        <f>IFERROR(__xludf.DUMMYFUNCTION("if(A372=""GBP"",if(B372="""","""",if(A372=$F$1,Installment!I372,Installment!I372*GOOGLEFINANCE(""Currency:""&amp;A372&amp;""""&amp;$F$1&amp;"""")))/100,if(B372="""","""",if(A372=$F$1,Installment!I372,Installment!I372*GOOGLEFINANCE(""Currency:""&amp;A372&amp;""""&amp;$F$1&amp;""""))))"),"")</f>
        <v/>
      </c>
      <c r="G372" s="501" t="str">
        <f t="shared" si="1"/>
        <v/>
      </c>
      <c r="H372" s="501" t="str">
        <f t="shared" si="2"/>
        <v/>
      </c>
      <c r="I372" s="501" t="str">
        <f t="shared" si="3"/>
        <v/>
      </c>
    </row>
    <row r="373">
      <c r="A373" s="501" t="str">
        <f>IFERROR(__xludf.DUMMYFUNCTION("IFERROR(if(ISBLANK(Installment!A373),"""",if(GOOGLEFINANCE(Installment!A373,""Currency"")=""GBX"",""GBP"",GOOGLEFINANCE(Installment!A373,""Currency""))),$F$1)"),"")</f>
        <v/>
      </c>
      <c r="B373" s="501" t="str">
        <f>Installment!A373</f>
        <v/>
      </c>
      <c r="C373" s="501" t="str">
        <f>Installment!B373</f>
        <v/>
      </c>
      <c r="D373" s="501" t="str">
        <f>IFERROR(__xludf.DUMMYFUNCTION("if(A373=""GBP"",if(B373="""","""",if(A373=$F$1,Installment!C373,Installment!C373*GOOGLEFINANCE(""Currency:""&amp;A373&amp;""""&amp;$F$1&amp;"""")))/100,if(B373="""","""",if(A373=$F$1,Installment!C373,Installment!C373*GOOGLEFINANCE(""Currency:""&amp;A373&amp;""""&amp;$F$1&amp;""""))))"),"")</f>
        <v/>
      </c>
      <c r="E373" s="501" t="str">
        <f>IFERROR(__xludf.DUMMYFUNCTION("if(A373=""GBP"",if(B373="""","""",if(A373=$F$1,Installment!H373,Installment!H373*GOOGLEFINANCE(""Currency:""&amp;A373&amp;""""&amp;$F$1&amp;"""")))/100,if(B373="""","""",if(A373=$F$1,Installment!H373,Installment!H373*GOOGLEFINANCE(""Currency:""&amp;A373&amp;""""&amp;$F$1&amp;""""))))"),"")</f>
        <v/>
      </c>
      <c r="F373" s="501" t="str">
        <f>IFERROR(__xludf.DUMMYFUNCTION("if(A373=""GBP"",if(B373="""","""",if(A373=$F$1,Installment!I373,Installment!I373*GOOGLEFINANCE(""Currency:""&amp;A373&amp;""""&amp;$F$1&amp;"""")))/100,if(B373="""","""",if(A373=$F$1,Installment!I373,Installment!I373*GOOGLEFINANCE(""Currency:""&amp;A373&amp;""""&amp;$F$1&amp;""""))))"),"")</f>
        <v/>
      </c>
      <c r="G373" s="501" t="str">
        <f t="shared" si="1"/>
        <v/>
      </c>
      <c r="H373" s="501" t="str">
        <f t="shared" si="2"/>
        <v/>
      </c>
      <c r="I373" s="501" t="str">
        <f t="shared" si="3"/>
        <v/>
      </c>
    </row>
    <row r="374">
      <c r="A374" s="501" t="str">
        <f>IFERROR(__xludf.DUMMYFUNCTION("IFERROR(if(ISBLANK(Installment!A374),"""",if(GOOGLEFINANCE(Installment!A374,""Currency"")=""GBX"",""GBP"",GOOGLEFINANCE(Installment!A374,""Currency""))),$F$1)"),"")</f>
        <v/>
      </c>
      <c r="B374" s="501" t="str">
        <f>Installment!A374</f>
        <v/>
      </c>
      <c r="C374" s="501" t="str">
        <f>Installment!B374</f>
        <v/>
      </c>
      <c r="D374" s="501" t="str">
        <f>IFERROR(__xludf.DUMMYFUNCTION("if(A374=""GBP"",if(B374="""","""",if(A374=$F$1,Installment!C374,Installment!C374*GOOGLEFINANCE(""Currency:""&amp;A374&amp;""""&amp;$F$1&amp;"""")))/100,if(B374="""","""",if(A374=$F$1,Installment!C374,Installment!C374*GOOGLEFINANCE(""Currency:""&amp;A374&amp;""""&amp;$F$1&amp;""""))))"),"")</f>
        <v/>
      </c>
      <c r="E374" s="501" t="str">
        <f>IFERROR(__xludf.DUMMYFUNCTION("if(A374=""GBP"",if(B374="""","""",if(A374=$F$1,Installment!H374,Installment!H374*GOOGLEFINANCE(""Currency:""&amp;A374&amp;""""&amp;$F$1&amp;"""")))/100,if(B374="""","""",if(A374=$F$1,Installment!H374,Installment!H374*GOOGLEFINANCE(""Currency:""&amp;A374&amp;""""&amp;$F$1&amp;""""))))"),"")</f>
        <v/>
      </c>
      <c r="F374" s="501" t="str">
        <f>IFERROR(__xludf.DUMMYFUNCTION("if(A374=""GBP"",if(B374="""","""",if(A374=$F$1,Installment!I374,Installment!I374*GOOGLEFINANCE(""Currency:""&amp;A374&amp;""""&amp;$F$1&amp;"""")))/100,if(B374="""","""",if(A374=$F$1,Installment!I374,Installment!I374*GOOGLEFINANCE(""Currency:""&amp;A374&amp;""""&amp;$F$1&amp;""""))))"),"")</f>
        <v/>
      </c>
      <c r="G374" s="501" t="str">
        <f t="shared" si="1"/>
        <v/>
      </c>
      <c r="H374" s="501" t="str">
        <f t="shared" si="2"/>
        <v/>
      </c>
      <c r="I374" s="501" t="str">
        <f t="shared" si="3"/>
        <v/>
      </c>
    </row>
    <row r="375">
      <c r="A375" s="501" t="str">
        <f>IFERROR(__xludf.DUMMYFUNCTION("IFERROR(if(ISBLANK(Installment!A375),"""",if(GOOGLEFINANCE(Installment!A375,""Currency"")=""GBX"",""GBP"",GOOGLEFINANCE(Installment!A375,""Currency""))),$F$1)"),"")</f>
        <v/>
      </c>
      <c r="B375" s="501" t="str">
        <f>Installment!A375</f>
        <v/>
      </c>
      <c r="C375" s="501" t="str">
        <f>Installment!B375</f>
        <v/>
      </c>
      <c r="D375" s="501" t="str">
        <f>IFERROR(__xludf.DUMMYFUNCTION("if(A375=""GBP"",if(B375="""","""",if(A375=$F$1,Installment!C375,Installment!C375*GOOGLEFINANCE(""Currency:""&amp;A375&amp;""""&amp;$F$1&amp;"""")))/100,if(B375="""","""",if(A375=$F$1,Installment!C375,Installment!C375*GOOGLEFINANCE(""Currency:""&amp;A375&amp;""""&amp;$F$1&amp;""""))))"),"")</f>
        <v/>
      </c>
      <c r="E375" s="501" t="str">
        <f>IFERROR(__xludf.DUMMYFUNCTION("if(A375=""GBP"",if(B375="""","""",if(A375=$F$1,Installment!H375,Installment!H375*GOOGLEFINANCE(""Currency:""&amp;A375&amp;""""&amp;$F$1&amp;"""")))/100,if(B375="""","""",if(A375=$F$1,Installment!H375,Installment!H375*GOOGLEFINANCE(""Currency:""&amp;A375&amp;""""&amp;$F$1&amp;""""))))"),"")</f>
        <v/>
      </c>
      <c r="F375" s="501" t="str">
        <f>IFERROR(__xludf.DUMMYFUNCTION("if(A375=""GBP"",if(B375="""","""",if(A375=$F$1,Installment!I375,Installment!I375*GOOGLEFINANCE(""Currency:""&amp;A375&amp;""""&amp;$F$1&amp;"""")))/100,if(B375="""","""",if(A375=$F$1,Installment!I375,Installment!I375*GOOGLEFINANCE(""Currency:""&amp;A375&amp;""""&amp;$F$1&amp;""""))))"),"")</f>
        <v/>
      </c>
      <c r="G375" s="501" t="str">
        <f t="shared" si="1"/>
        <v/>
      </c>
      <c r="H375" s="501" t="str">
        <f t="shared" si="2"/>
        <v/>
      </c>
      <c r="I375" s="501" t="str">
        <f t="shared" si="3"/>
        <v/>
      </c>
    </row>
    <row r="376">
      <c r="A376" s="501" t="str">
        <f>IFERROR(__xludf.DUMMYFUNCTION("IFERROR(if(ISBLANK(Installment!A376),"""",if(GOOGLEFINANCE(Installment!A376,""Currency"")=""GBX"",""GBP"",GOOGLEFINANCE(Installment!A376,""Currency""))),$F$1)"),"")</f>
        <v/>
      </c>
      <c r="B376" s="501" t="str">
        <f>Installment!A376</f>
        <v/>
      </c>
      <c r="C376" s="501" t="str">
        <f>Installment!B376</f>
        <v/>
      </c>
      <c r="D376" s="501" t="str">
        <f>IFERROR(__xludf.DUMMYFUNCTION("if(A376=""GBP"",if(B376="""","""",if(A376=$F$1,Installment!C376,Installment!C376*GOOGLEFINANCE(""Currency:""&amp;A376&amp;""""&amp;$F$1&amp;"""")))/100,if(B376="""","""",if(A376=$F$1,Installment!C376,Installment!C376*GOOGLEFINANCE(""Currency:""&amp;A376&amp;""""&amp;$F$1&amp;""""))))"),"")</f>
        <v/>
      </c>
      <c r="E376" s="501" t="str">
        <f>IFERROR(__xludf.DUMMYFUNCTION("if(A376=""GBP"",if(B376="""","""",if(A376=$F$1,Installment!H376,Installment!H376*GOOGLEFINANCE(""Currency:""&amp;A376&amp;""""&amp;$F$1&amp;"""")))/100,if(B376="""","""",if(A376=$F$1,Installment!H376,Installment!H376*GOOGLEFINANCE(""Currency:""&amp;A376&amp;""""&amp;$F$1&amp;""""))))"),"")</f>
        <v/>
      </c>
      <c r="F376" s="501" t="str">
        <f>IFERROR(__xludf.DUMMYFUNCTION("if(A376=""GBP"",if(B376="""","""",if(A376=$F$1,Installment!I376,Installment!I376*GOOGLEFINANCE(""Currency:""&amp;A376&amp;""""&amp;$F$1&amp;"""")))/100,if(B376="""","""",if(A376=$F$1,Installment!I376,Installment!I376*GOOGLEFINANCE(""Currency:""&amp;A376&amp;""""&amp;$F$1&amp;""""))))"),"")</f>
        <v/>
      </c>
      <c r="G376" s="501" t="str">
        <f t="shared" si="1"/>
        <v/>
      </c>
      <c r="H376" s="501" t="str">
        <f t="shared" si="2"/>
        <v/>
      </c>
      <c r="I376" s="501" t="str">
        <f t="shared" si="3"/>
        <v/>
      </c>
    </row>
    <row r="377">
      <c r="A377" s="501" t="str">
        <f>IFERROR(__xludf.DUMMYFUNCTION("IFERROR(if(ISBLANK(Installment!A377),"""",if(GOOGLEFINANCE(Installment!A377,""Currency"")=""GBX"",""GBP"",GOOGLEFINANCE(Installment!A377,""Currency""))),$F$1)"),"")</f>
        <v/>
      </c>
      <c r="B377" s="501" t="str">
        <f>Installment!A377</f>
        <v/>
      </c>
      <c r="C377" s="501" t="str">
        <f>Installment!B377</f>
        <v/>
      </c>
      <c r="D377" s="501" t="str">
        <f>IFERROR(__xludf.DUMMYFUNCTION("if(A377=""GBP"",if(B377="""","""",if(A377=$F$1,Installment!C377,Installment!C377*GOOGLEFINANCE(""Currency:""&amp;A377&amp;""""&amp;$F$1&amp;"""")))/100,if(B377="""","""",if(A377=$F$1,Installment!C377,Installment!C377*GOOGLEFINANCE(""Currency:""&amp;A377&amp;""""&amp;$F$1&amp;""""))))"),"")</f>
        <v/>
      </c>
      <c r="E377" s="501" t="str">
        <f>IFERROR(__xludf.DUMMYFUNCTION("if(A377=""GBP"",if(B377="""","""",if(A377=$F$1,Installment!H377,Installment!H377*GOOGLEFINANCE(""Currency:""&amp;A377&amp;""""&amp;$F$1&amp;"""")))/100,if(B377="""","""",if(A377=$F$1,Installment!H377,Installment!H377*GOOGLEFINANCE(""Currency:""&amp;A377&amp;""""&amp;$F$1&amp;""""))))"),"")</f>
        <v/>
      </c>
      <c r="F377" s="501" t="str">
        <f>IFERROR(__xludf.DUMMYFUNCTION("if(A377=""GBP"",if(B377="""","""",if(A377=$F$1,Installment!I377,Installment!I377*GOOGLEFINANCE(""Currency:""&amp;A377&amp;""""&amp;$F$1&amp;"""")))/100,if(B377="""","""",if(A377=$F$1,Installment!I377,Installment!I377*GOOGLEFINANCE(""Currency:""&amp;A377&amp;""""&amp;$F$1&amp;""""))))"),"")</f>
        <v/>
      </c>
      <c r="G377" s="501" t="str">
        <f t="shared" si="1"/>
        <v/>
      </c>
      <c r="H377" s="501" t="str">
        <f t="shared" si="2"/>
        <v/>
      </c>
      <c r="I377" s="501" t="str">
        <f t="shared" si="3"/>
        <v/>
      </c>
    </row>
    <row r="378">
      <c r="A378" s="501" t="str">
        <f>IFERROR(__xludf.DUMMYFUNCTION("IFERROR(if(ISBLANK(Installment!A378),"""",if(GOOGLEFINANCE(Installment!A378,""Currency"")=""GBX"",""GBP"",GOOGLEFINANCE(Installment!A378,""Currency""))),$F$1)"),"")</f>
        <v/>
      </c>
      <c r="B378" s="501" t="str">
        <f>Installment!A378</f>
        <v/>
      </c>
      <c r="C378" s="501" t="str">
        <f>Installment!B378</f>
        <v/>
      </c>
      <c r="D378" s="501" t="str">
        <f>IFERROR(__xludf.DUMMYFUNCTION("if(A378=""GBP"",if(B378="""","""",if(A378=$F$1,Installment!C378,Installment!C378*GOOGLEFINANCE(""Currency:""&amp;A378&amp;""""&amp;$F$1&amp;"""")))/100,if(B378="""","""",if(A378=$F$1,Installment!C378,Installment!C378*GOOGLEFINANCE(""Currency:""&amp;A378&amp;""""&amp;$F$1&amp;""""))))"),"")</f>
        <v/>
      </c>
      <c r="E378" s="501" t="str">
        <f>IFERROR(__xludf.DUMMYFUNCTION("if(A378=""GBP"",if(B378="""","""",if(A378=$F$1,Installment!H378,Installment!H378*GOOGLEFINANCE(""Currency:""&amp;A378&amp;""""&amp;$F$1&amp;"""")))/100,if(B378="""","""",if(A378=$F$1,Installment!H378,Installment!H378*GOOGLEFINANCE(""Currency:""&amp;A378&amp;""""&amp;$F$1&amp;""""))))"),"")</f>
        <v/>
      </c>
      <c r="F378" s="501" t="str">
        <f>IFERROR(__xludf.DUMMYFUNCTION("if(A378=""GBP"",if(B378="""","""",if(A378=$F$1,Installment!I378,Installment!I378*GOOGLEFINANCE(""Currency:""&amp;A378&amp;""""&amp;$F$1&amp;"""")))/100,if(B378="""","""",if(A378=$F$1,Installment!I378,Installment!I378*GOOGLEFINANCE(""Currency:""&amp;A378&amp;""""&amp;$F$1&amp;""""))))"),"")</f>
        <v/>
      </c>
      <c r="G378" s="501" t="str">
        <f t="shared" si="1"/>
        <v/>
      </c>
      <c r="H378" s="501" t="str">
        <f t="shared" si="2"/>
        <v/>
      </c>
      <c r="I378" s="501" t="str">
        <f t="shared" si="3"/>
        <v/>
      </c>
    </row>
    <row r="379">
      <c r="A379" s="501" t="str">
        <f>IFERROR(__xludf.DUMMYFUNCTION("IFERROR(if(ISBLANK(Installment!A379),"""",if(GOOGLEFINANCE(Installment!A379,""Currency"")=""GBX"",""GBP"",GOOGLEFINANCE(Installment!A379,""Currency""))),$F$1)"),"")</f>
        <v/>
      </c>
      <c r="B379" s="501" t="str">
        <f>Installment!A379</f>
        <v/>
      </c>
      <c r="C379" s="501" t="str">
        <f>Installment!B379</f>
        <v/>
      </c>
      <c r="D379" s="501" t="str">
        <f>IFERROR(__xludf.DUMMYFUNCTION("if(A379=""GBP"",if(B379="""","""",if(A379=$F$1,Installment!C379,Installment!C379*GOOGLEFINANCE(""Currency:""&amp;A379&amp;""""&amp;$F$1&amp;"""")))/100,if(B379="""","""",if(A379=$F$1,Installment!C379,Installment!C379*GOOGLEFINANCE(""Currency:""&amp;A379&amp;""""&amp;$F$1&amp;""""))))"),"")</f>
        <v/>
      </c>
      <c r="E379" s="501" t="str">
        <f>IFERROR(__xludf.DUMMYFUNCTION("if(A379=""GBP"",if(B379="""","""",if(A379=$F$1,Installment!H379,Installment!H379*GOOGLEFINANCE(""Currency:""&amp;A379&amp;""""&amp;$F$1&amp;"""")))/100,if(B379="""","""",if(A379=$F$1,Installment!H379,Installment!H379*GOOGLEFINANCE(""Currency:""&amp;A379&amp;""""&amp;$F$1&amp;""""))))"),"")</f>
        <v/>
      </c>
      <c r="F379" s="501" t="str">
        <f>IFERROR(__xludf.DUMMYFUNCTION("if(A379=""GBP"",if(B379="""","""",if(A379=$F$1,Installment!I379,Installment!I379*GOOGLEFINANCE(""Currency:""&amp;A379&amp;""""&amp;$F$1&amp;"""")))/100,if(B379="""","""",if(A379=$F$1,Installment!I379,Installment!I379*GOOGLEFINANCE(""Currency:""&amp;A379&amp;""""&amp;$F$1&amp;""""))))"),"")</f>
        <v/>
      </c>
      <c r="G379" s="501" t="str">
        <f t="shared" si="1"/>
        <v/>
      </c>
      <c r="H379" s="501" t="str">
        <f t="shared" si="2"/>
        <v/>
      </c>
      <c r="I379" s="501" t="str">
        <f t="shared" si="3"/>
        <v/>
      </c>
    </row>
    <row r="380">
      <c r="A380" s="501" t="str">
        <f>IFERROR(__xludf.DUMMYFUNCTION("IFERROR(if(ISBLANK(Installment!A380),"""",if(GOOGLEFINANCE(Installment!A380,""Currency"")=""GBX"",""GBP"",GOOGLEFINANCE(Installment!A380,""Currency""))),$F$1)"),"")</f>
        <v/>
      </c>
      <c r="B380" s="501" t="str">
        <f>Installment!A380</f>
        <v/>
      </c>
      <c r="C380" s="501" t="str">
        <f>Installment!B380</f>
        <v/>
      </c>
      <c r="D380" s="501" t="str">
        <f>IFERROR(__xludf.DUMMYFUNCTION("if(A380=""GBP"",if(B380="""","""",if(A380=$F$1,Installment!C380,Installment!C380*GOOGLEFINANCE(""Currency:""&amp;A380&amp;""""&amp;$F$1&amp;"""")))/100,if(B380="""","""",if(A380=$F$1,Installment!C380,Installment!C380*GOOGLEFINANCE(""Currency:""&amp;A380&amp;""""&amp;$F$1&amp;""""))))"),"")</f>
        <v/>
      </c>
      <c r="E380" s="501" t="str">
        <f>IFERROR(__xludf.DUMMYFUNCTION("if(A380=""GBP"",if(B380="""","""",if(A380=$F$1,Installment!H380,Installment!H380*GOOGLEFINANCE(""Currency:""&amp;A380&amp;""""&amp;$F$1&amp;"""")))/100,if(B380="""","""",if(A380=$F$1,Installment!H380,Installment!H380*GOOGLEFINANCE(""Currency:""&amp;A380&amp;""""&amp;$F$1&amp;""""))))"),"")</f>
        <v/>
      </c>
      <c r="F380" s="501" t="str">
        <f>IFERROR(__xludf.DUMMYFUNCTION("if(A380=""GBP"",if(B380="""","""",if(A380=$F$1,Installment!I380,Installment!I380*GOOGLEFINANCE(""Currency:""&amp;A380&amp;""""&amp;$F$1&amp;"""")))/100,if(B380="""","""",if(A380=$F$1,Installment!I380,Installment!I380*GOOGLEFINANCE(""Currency:""&amp;A380&amp;""""&amp;$F$1&amp;""""))))"),"")</f>
        <v/>
      </c>
      <c r="G380" s="501" t="str">
        <f t="shared" si="1"/>
        <v/>
      </c>
      <c r="H380" s="501" t="str">
        <f t="shared" si="2"/>
        <v/>
      </c>
      <c r="I380" s="501" t="str">
        <f t="shared" si="3"/>
        <v/>
      </c>
    </row>
    <row r="381">
      <c r="A381" s="501" t="str">
        <f>IFERROR(__xludf.DUMMYFUNCTION("IFERROR(if(ISBLANK(Installment!A381),"""",if(GOOGLEFINANCE(Installment!A381,""Currency"")=""GBX"",""GBP"",GOOGLEFINANCE(Installment!A381,""Currency""))),$F$1)"),"")</f>
        <v/>
      </c>
      <c r="B381" s="501" t="str">
        <f>Installment!A381</f>
        <v/>
      </c>
      <c r="C381" s="501" t="str">
        <f>Installment!B381</f>
        <v/>
      </c>
      <c r="D381" s="501" t="str">
        <f>IFERROR(__xludf.DUMMYFUNCTION("if(A381=""GBP"",if(B381="""","""",if(A381=$F$1,Installment!C381,Installment!C381*GOOGLEFINANCE(""Currency:""&amp;A381&amp;""""&amp;$F$1&amp;"""")))/100,if(B381="""","""",if(A381=$F$1,Installment!C381,Installment!C381*GOOGLEFINANCE(""Currency:""&amp;A381&amp;""""&amp;$F$1&amp;""""))))"),"")</f>
        <v/>
      </c>
      <c r="E381" s="501" t="str">
        <f>IFERROR(__xludf.DUMMYFUNCTION("if(A381=""GBP"",if(B381="""","""",if(A381=$F$1,Installment!H381,Installment!H381*GOOGLEFINANCE(""Currency:""&amp;A381&amp;""""&amp;$F$1&amp;"""")))/100,if(B381="""","""",if(A381=$F$1,Installment!H381,Installment!H381*GOOGLEFINANCE(""Currency:""&amp;A381&amp;""""&amp;$F$1&amp;""""))))"),"")</f>
        <v/>
      </c>
      <c r="F381" s="501" t="str">
        <f>IFERROR(__xludf.DUMMYFUNCTION("if(A381=""GBP"",if(B381="""","""",if(A381=$F$1,Installment!I381,Installment!I381*GOOGLEFINANCE(""Currency:""&amp;A381&amp;""""&amp;$F$1&amp;"""")))/100,if(B381="""","""",if(A381=$F$1,Installment!I381,Installment!I381*GOOGLEFINANCE(""Currency:""&amp;A381&amp;""""&amp;$F$1&amp;""""))))"),"")</f>
        <v/>
      </c>
      <c r="G381" s="501" t="str">
        <f t="shared" si="1"/>
        <v/>
      </c>
      <c r="H381" s="501" t="str">
        <f t="shared" si="2"/>
        <v/>
      </c>
      <c r="I381" s="501" t="str">
        <f t="shared" si="3"/>
        <v/>
      </c>
    </row>
    <row r="382">
      <c r="A382" s="501" t="str">
        <f>IFERROR(__xludf.DUMMYFUNCTION("IFERROR(if(ISBLANK(Installment!A382),"""",if(GOOGLEFINANCE(Installment!A382,""Currency"")=""GBX"",""GBP"",GOOGLEFINANCE(Installment!A382,""Currency""))),$F$1)"),"")</f>
        <v/>
      </c>
      <c r="B382" s="501" t="str">
        <f>Installment!A382</f>
        <v/>
      </c>
      <c r="C382" s="501" t="str">
        <f>Installment!B382</f>
        <v/>
      </c>
      <c r="D382" s="501" t="str">
        <f>IFERROR(__xludf.DUMMYFUNCTION("if(A382=""GBP"",if(B382="""","""",if(A382=$F$1,Installment!C382,Installment!C382*GOOGLEFINANCE(""Currency:""&amp;A382&amp;""""&amp;$F$1&amp;"""")))/100,if(B382="""","""",if(A382=$F$1,Installment!C382,Installment!C382*GOOGLEFINANCE(""Currency:""&amp;A382&amp;""""&amp;$F$1&amp;""""))))"),"")</f>
        <v/>
      </c>
      <c r="E382" s="501" t="str">
        <f>IFERROR(__xludf.DUMMYFUNCTION("if(A382=""GBP"",if(B382="""","""",if(A382=$F$1,Installment!H382,Installment!H382*GOOGLEFINANCE(""Currency:""&amp;A382&amp;""""&amp;$F$1&amp;"""")))/100,if(B382="""","""",if(A382=$F$1,Installment!H382,Installment!H382*GOOGLEFINANCE(""Currency:""&amp;A382&amp;""""&amp;$F$1&amp;""""))))"),"")</f>
        <v/>
      </c>
      <c r="F382" s="501" t="str">
        <f>IFERROR(__xludf.DUMMYFUNCTION("if(A382=""GBP"",if(B382="""","""",if(A382=$F$1,Installment!I382,Installment!I382*GOOGLEFINANCE(""Currency:""&amp;A382&amp;""""&amp;$F$1&amp;"""")))/100,if(B382="""","""",if(A382=$F$1,Installment!I382,Installment!I382*GOOGLEFINANCE(""Currency:""&amp;A382&amp;""""&amp;$F$1&amp;""""))))"),"")</f>
        <v/>
      </c>
      <c r="G382" s="501" t="str">
        <f t="shared" si="1"/>
        <v/>
      </c>
      <c r="H382" s="501" t="str">
        <f t="shared" si="2"/>
        <v/>
      </c>
      <c r="I382" s="501" t="str">
        <f t="shared" si="3"/>
        <v/>
      </c>
    </row>
    <row r="383">
      <c r="A383" s="501" t="str">
        <f>IFERROR(__xludf.DUMMYFUNCTION("IFERROR(if(ISBLANK(Installment!A383),"""",if(GOOGLEFINANCE(Installment!A383,""Currency"")=""GBX"",""GBP"",GOOGLEFINANCE(Installment!A383,""Currency""))),$F$1)"),"")</f>
        <v/>
      </c>
      <c r="B383" s="501" t="str">
        <f>Installment!A383</f>
        <v/>
      </c>
      <c r="C383" s="501" t="str">
        <f>Installment!B383</f>
        <v/>
      </c>
      <c r="D383" s="501" t="str">
        <f>IFERROR(__xludf.DUMMYFUNCTION("if(A383=""GBP"",if(B383="""","""",if(A383=$F$1,Installment!C383,Installment!C383*GOOGLEFINANCE(""Currency:""&amp;A383&amp;""""&amp;$F$1&amp;"""")))/100,if(B383="""","""",if(A383=$F$1,Installment!C383,Installment!C383*GOOGLEFINANCE(""Currency:""&amp;A383&amp;""""&amp;$F$1&amp;""""))))"),"")</f>
        <v/>
      </c>
      <c r="E383" s="501" t="str">
        <f>IFERROR(__xludf.DUMMYFUNCTION("if(A383=""GBP"",if(B383="""","""",if(A383=$F$1,Installment!H383,Installment!H383*GOOGLEFINANCE(""Currency:""&amp;A383&amp;""""&amp;$F$1&amp;"""")))/100,if(B383="""","""",if(A383=$F$1,Installment!H383,Installment!H383*GOOGLEFINANCE(""Currency:""&amp;A383&amp;""""&amp;$F$1&amp;""""))))"),"")</f>
        <v/>
      </c>
      <c r="F383" s="501" t="str">
        <f>IFERROR(__xludf.DUMMYFUNCTION("if(A383=""GBP"",if(B383="""","""",if(A383=$F$1,Installment!I383,Installment!I383*GOOGLEFINANCE(""Currency:""&amp;A383&amp;""""&amp;$F$1&amp;"""")))/100,if(B383="""","""",if(A383=$F$1,Installment!I383,Installment!I383*GOOGLEFINANCE(""Currency:""&amp;A383&amp;""""&amp;$F$1&amp;""""))))"),"")</f>
        <v/>
      </c>
      <c r="G383" s="501" t="str">
        <f t="shared" si="1"/>
        <v/>
      </c>
      <c r="H383" s="501" t="str">
        <f t="shared" si="2"/>
        <v/>
      </c>
      <c r="I383" s="501" t="str">
        <f t="shared" si="3"/>
        <v/>
      </c>
    </row>
    <row r="384">
      <c r="A384" s="501" t="str">
        <f>IFERROR(__xludf.DUMMYFUNCTION("IFERROR(if(ISBLANK(Installment!A384),"""",if(GOOGLEFINANCE(Installment!A384,""Currency"")=""GBX"",""GBP"",GOOGLEFINANCE(Installment!A384,""Currency""))),$F$1)"),"")</f>
        <v/>
      </c>
      <c r="B384" s="501" t="str">
        <f>Installment!A384</f>
        <v/>
      </c>
      <c r="C384" s="501" t="str">
        <f>Installment!B384</f>
        <v/>
      </c>
      <c r="D384" s="501" t="str">
        <f>IFERROR(__xludf.DUMMYFUNCTION("if(A384=""GBP"",if(B384="""","""",if(A384=$F$1,Installment!C384,Installment!C384*GOOGLEFINANCE(""Currency:""&amp;A384&amp;""""&amp;$F$1&amp;"""")))/100,if(B384="""","""",if(A384=$F$1,Installment!C384,Installment!C384*GOOGLEFINANCE(""Currency:""&amp;A384&amp;""""&amp;$F$1&amp;""""))))"),"")</f>
        <v/>
      </c>
      <c r="E384" s="501" t="str">
        <f>IFERROR(__xludf.DUMMYFUNCTION("if(A384=""GBP"",if(B384="""","""",if(A384=$F$1,Installment!H384,Installment!H384*GOOGLEFINANCE(""Currency:""&amp;A384&amp;""""&amp;$F$1&amp;"""")))/100,if(B384="""","""",if(A384=$F$1,Installment!H384,Installment!H384*GOOGLEFINANCE(""Currency:""&amp;A384&amp;""""&amp;$F$1&amp;""""))))"),"")</f>
        <v/>
      </c>
      <c r="F384" s="501" t="str">
        <f>IFERROR(__xludf.DUMMYFUNCTION("if(A384=""GBP"",if(B384="""","""",if(A384=$F$1,Installment!I384,Installment!I384*GOOGLEFINANCE(""Currency:""&amp;A384&amp;""""&amp;$F$1&amp;"""")))/100,if(B384="""","""",if(A384=$F$1,Installment!I384,Installment!I384*GOOGLEFINANCE(""Currency:""&amp;A384&amp;""""&amp;$F$1&amp;""""))))"),"")</f>
        <v/>
      </c>
      <c r="G384" s="501" t="str">
        <f t="shared" si="1"/>
        <v/>
      </c>
      <c r="H384" s="501" t="str">
        <f t="shared" si="2"/>
        <v/>
      </c>
      <c r="I384" s="501" t="str">
        <f t="shared" si="3"/>
        <v/>
      </c>
    </row>
    <row r="385">
      <c r="A385" s="501" t="str">
        <f>IFERROR(__xludf.DUMMYFUNCTION("IFERROR(if(ISBLANK(Installment!A385),"""",if(GOOGLEFINANCE(Installment!A385,""Currency"")=""GBX"",""GBP"",GOOGLEFINANCE(Installment!A385,""Currency""))),$F$1)"),"")</f>
        <v/>
      </c>
      <c r="B385" s="501" t="str">
        <f>Installment!A385</f>
        <v/>
      </c>
      <c r="C385" s="501" t="str">
        <f>Installment!B385</f>
        <v/>
      </c>
      <c r="D385" s="501" t="str">
        <f>IFERROR(__xludf.DUMMYFUNCTION("if(A385=""GBP"",if(B385="""","""",if(A385=$F$1,Installment!C385,Installment!C385*GOOGLEFINANCE(""Currency:""&amp;A385&amp;""""&amp;$F$1&amp;"""")))/100,if(B385="""","""",if(A385=$F$1,Installment!C385,Installment!C385*GOOGLEFINANCE(""Currency:""&amp;A385&amp;""""&amp;$F$1&amp;""""))))"),"")</f>
        <v/>
      </c>
      <c r="E385" s="501" t="str">
        <f>IFERROR(__xludf.DUMMYFUNCTION("if(A385=""GBP"",if(B385="""","""",if(A385=$F$1,Installment!H385,Installment!H385*GOOGLEFINANCE(""Currency:""&amp;A385&amp;""""&amp;$F$1&amp;"""")))/100,if(B385="""","""",if(A385=$F$1,Installment!H385,Installment!H385*GOOGLEFINANCE(""Currency:""&amp;A385&amp;""""&amp;$F$1&amp;""""))))"),"")</f>
        <v/>
      </c>
      <c r="F385" s="501" t="str">
        <f>IFERROR(__xludf.DUMMYFUNCTION("if(A385=""GBP"",if(B385="""","""",if(A385=$F$1,Installment!I385,Installment!I385*GOOGLEFINANCE(""Currency:""&amp;A385&amp;""""&amp;$F$1&amp;"""")))/100,if(B385="""","""",if(A385=$F$1,Installment!I385,Installment!I385*GOOGLEFINANCE(""Currency:""&amp;A385&amp;""""&amp;$F$1&amp;""""))))"),"")</f>
        <v/>
      </c>
      <c r="G385" s="501" t="str">
        <f t="shared" si="1"/>
        <v/>
      </c>
      <c r="H385" s="501" t="str">
        <f t="shared" si="2"/>
        <v/>
      </c>
      <c r="I385" s="501" t="str">
        <f t="shared" si="3"/>
        <v/>
      </c>
    </row>
    <row r="386">
      <c r="A386" s="501" t="str">
        <f>IFERROR(__xludf.DUMMYFUNCTION("IFERROR(if(ISBLANK(Installment!A386),"""",if(GOOGLEFINANCE(Installment!A386,""Currency"")=""GBX"",""GBP"",GOOGLEFINANCE(Installment!A386,""Currency""))),$F$1)"),"")</f>
        <v/>
      </c>
      <c r="B386" s="501" t="str">
        <f>Installment!A386</f>
        <v/>
      </c>
      <c r="C386" s="501" t="str">
        <f>Installment!B386</f>
        <v/>
      </c>
      <c r="D386" s="501" t="str">
        <f>IFERROR(__xludf.DUMMYFUNCTION("if(A386=""GBP"",if(B386="""","""",if(A386=$F$1,Installment!C386,Installment!C386*GOOGLEFINANCE(""Currency:""&amp;A386&amp;""""&amp;$F$1&amp;"""")))/100,if(B386="""","""",if(A386=$F$1,Installment!C386,Installment!C386*GOOGLEFINANCE(""Currency:""&amp;A386&amp;""""&amp;$F$1&amp;""""))))"),"")</f>
        <v/>
      </c>
      <c r="E386" s="501" t="str">
        <f>IFERROR(__xludf.DUMMYFUNCTION("if(A386=""GBP"",if(B386="""","""",if(A386=$F$1,Installment!H386,Installment!H386*GOOGLEFINANCE(""Currency:""&amp;A386&amp;""""&amp;$F$1&amp;"""")))/100,if(B386="""","""",if(A386=$F$1,Installment!H386,Installment!H386*GOOGLEFINANCE(""Currency:""&amp;A386&amp;""""&amp;$F$1&amp;""""))))"),"")</f>
        <v/>
      </c>
      <c r="F386" s="501" t="str">
        <f>IFERROR(__xludf.DUMMYFUNCTION("if(A386=""GBP"",if(B386="""","""",if(A386=$F$1,Installment!I386,Installment!I386*GOOGLEFINANCE(""Currency:""&amp;A386&amp;""""&amp;$F$1&amp;"""")))/100,if(B386="""","""",if(A386=$F$1,Installment!I386,Installment!I386*GOOGLEFINANCE(""Currency:""&amp;A386&amp;""""&amp;$F$1&amp;""""))))"),"")</f>
        <v/>
      </c>
      <c r="G386" s="501" t="str">
        <f t="shared" si="1"/>
        <v/>
      </c>
      <c r="H386" s="501" t="str">
        <f t="shared" si="2"/>
        <v/>
      </c>
      <c r="I386" s="501" t="str">
        <f t="shared" si="3"/>
        <v/>
      </c>
    </row>
    <row r="387">
      <c r="A387" s="501" t="str">
        <f>IFERROR(__xludf.DUMMYFUNCTION("IFERROR(if(ISBLANK(Installment!A387),"""",if(GOOGLEFINANCE(Installment!A387,""Currency"")=""GBX"",""GBP"",GOOGLEFINANCE(Installment!A387,""Currency""))),$F$1)"),"")</f>
        <v/>
      </c>
      <c r="B387" s="501" t="str">
        <f>Installment!A387</f>
        <v/>
      </c>
      <c r="C387" s="501" t="str">
        <f>Installment!B387</f>
        <v/>
      </c>
      <c r="D387" s="501" t="str">
        <f>IFERROR(__xludf.DUMMYFUNCTION("if(A387=""GBP"",if(B387="""","""",if(A387=$F$1,Installment!C387,Installment!C387*GOOGLEFINANCE(""Currency:""&amp;A387&amp;""""&amp;$F$1&amp;"""")))/100,if(B387="""","""",if(A387=$F$1,Installment!C387,Installment!C387*GOOGLEFINANCE(""Currency:""&amp;A387&amp;""""&amp;$F$1&amp;""""))))"),"")</f>
        <v/>
      </c>
      <c r="E387" s="501" t="str">
        <f>IFERROR(__xludf.DUMMYFUNCTION("if(A387=""GBP"",if(B387="""","""",if(A387=$F$1,Installment!H387,Installment!H387*GOOGLEFINANCE(""Currency:""&amp;A387&amp;""""&amp;$F$1&amp;"""")))/100,if(B387="""","""",if(A387=$F$1,Installment!H387,Installment!H387*GOOGLEFINANCE(""Currency:""&amp;A387&amp;""""&amp;$F$1&amp;""""))))"),"")</f>
        <v/>
      </c>
      <c r="F387" s="501" t="str">
        <f>IFERROR(__xludf.DUMMYFUNCTION("if(A387=""GBP"",if(B387="""","""",if(A387=$F$1,Installment!I387,Installment!I387*GOOGLEFINANCE(""Currency:""&amp;A387&amp;""""&amp;$F$1&amp;"""")))/100,if(B387="""","""",if(A387=$F$1,Installment!I387,Installment!I387*GOOGLEFINANCE(""Currency:""&amp;A387&amp;""""&amp;$F$1&amp;""""))))"),"")</f>
        <v/>
      </c>
      <c r="G387" s="501" t="str">
        <f t="shared" si="1"/>
        <v/>
      </c>
      <c r="H387" s="501" t="str">
        <f t="shared" si="2"/>
        <v/>
      </c>
      <c r="I387" s="501" t="str">
        <f t="shared" si="3"/>
        <v/>
      </c>
    </row>
    <row r="388">
      <c r="A388" s="501" t="str">
        <f>IFERROR(__xludf.DUMMYFUNCTION("IFERROR(if(ISBLANK(Installment!A388),"""",if(GOOGLEFINANCE(Installment!A388,""Currency"")=""GBX"",""GBP"",GOOGLEFINANCE(Installment!A388,""Currency""))),$F$1)"),"")</f>
        <v/>
      </c>
      <c r="B388" s="501" t="str">
        <f>Installment!A388</f>
        <v/>
      </c>
      <c r="C388" s="501" t="str">
        <f>Installment!B388</f>
        <v/>
      </c>
      <c r="D388" s="501" t="str">
        <f>IFERROR(__xludf.DUMMYFUNCTION("if(A388=""GBP"",if(B388="""","""",if(A388=$F$1,Installment!C388,Installment!C388*GOOGLEFINANCE(""Currency:""&amp;A388&amp;""""&amp;$F$1&amp;"""")))/100,if(B388="""","""",if(A388=$F$1,Installment!C388,Installment!C388*GOOGLEFINANCE(""Currency:""&amp;A388&amp;""""&amp;$F$1&amp;""""))))"),"")</f>
        <v/>
      </c>
      <c r="E388" s="501" t="str">
        <f>IFERROR(__xludf.DUMMYFUNCTION("if(A388=""GBP"",if(B388="""","""",if(A388=$F$1,Installment!H388,Installment!H388*GOOGLEFINANCE(""Currency:""&amp;A388&amp;""""&amp;$F$1&amp;"""")))/100,if(B388="""","""",if(A388=$F$1,Installment!H388,Installment!H388*GOOGLEFINANCE(""Currency:""&amp;A388&amp;""""&amp;$F$1&amp;""""))))"),"")</f>
        <v/>
      </c>
      <c r="F388" s="501" t="str">
        <f>IFERROR(__xludf.DUMMYFUNCTION("if(A388=""GBP"",if(B388="""","""",if(A388=$F$1,Installment!I388,Installment!I388*GOOGLEFINANCE(""Currency:""&amp;A388&amp;""""&amp;$F$1&amp;"""")))/100,if(B388="""","""",if(A388=$F$1,Installment!I388,Installment!I388*GOOGLEFINANCE(""Currency:""&amp;A388&amp;""""&amp;$F$1&amp;""""))))"),"")</f>
        <v/>
      </c>
      <c r="G388" s="501" t="str">
        <f t="shared" si="1"/>
        <v/>
      </c>
      <c r="H388" s="501" t="str">
        <f t="shared" si="2"/>
        <v/>
      </c>
      <c r="I388" s="501" t="str">
        <f t="shared" si="3"/>
        <v/>
      </c>
    </row>
    <row r="389">
      <c r="A389" s="501" t="str">
        <f>IFERROR(__xludf.DUMMYFUNCTION("IFERROR(if(ISBLANK(Installment!A389),"""",if(GOOGLEFINANCE(Installment!A389,""Currency"")=""GBX"",""GBP"",GOOGLEFINANCE(Installment!A389,""Currency""))),$F$1)"),"")</f>
        <v/>
      </c>
      <c r="B389" s="501" t="str">
        <f>Installment!A389</f>
        <v/>
      </c>
      <c r="C389" s="501" t="str">
        <f>Installment!B389</f>
        <v/>
      </c>
      <c r="D389" s="501" t="str">
        <f>IFERROR(__xludf.DUMMYFUNCTION("if(A389=""GBP"",if(B389="""","""",if(A389=$F$1,Installment!C389,Installment!C389*GOOGLEFINANCE(""Currency:""&amp;A389&amp;""""&amp;$F$1&amp;"""")))/100,if(B389="""","""",if(A389=$F$1,Installment!C389,Installment!C389*GOOGLEFINANCE(""Currency:""&amp;A389&amp;""""&amp;$F$1&amp;""""))))"),"")</f>
        <v/>
      </c>
      <c r="E389" s="501" t="str">
        <f>IFERROR(__xludf.DUMMYFUNCTION("if(A389=""GBP"",if(B389="""","""",if(A389=$F$1,Installment!H389,Installment!H389*GOOGLEFINANCE(""Currency:""&amp;A389&amp;""""&amp;$F$1&amp;"""")))/100,if(B389="""","""",if(A389=$F$1,Installment!H389,Installment!H389*GOOGLEFINANCE(""Currency:""&amp;A389&amp;""""&amp;$F$1&amp;""""))))"),"")</f>
        <v/>
      </c>
      <c r="F389" s="501" t="str">
        <f>IFERROR(__xludf.DUMMYFUNCTION("if(A389=""GBP"",if(B389="""","""",if(A389=$F$1,Installment!I389,Installment!I389*GOOGLEFINANCE(""Currency:""&amp;A389&amp;""""&amp;$F$1&amp;"""")))/100,if(B389="""","""",if(A389=$F$1,Installment!I389,Installment!I389*GOOGLEFINANCE(""Currency:""&amp;A389&amp;""""&amp;$F$1&amp;""""))))"),"")</f>
        <v/>
      </c>
      <c r="G389" s="501" t="str">
        <f t="shared" si="1"/>
        <v/>
      </c>
      <c r="H389" s="501" t="str">
        <f t="shared" si="2"/>
        <v/>
      </c>
      <c r="I389" s="501" t="str">
        <f t="shared" si="3"/>
        <v/>
      </c>
    </row>
    <row r="390">
      <c r="A390" s="501" t="str">
        <f>IFERROR(__xludf.DUMMYFUNCTION("IFERROR(if(ISBLANK(Installment!A390),"""",if(GOOGLEFINANCE(Installment!A390,""Currency"")=""GBX"",""GBP"",GOOGLEFINANCE(Installment!A390,""Currency""))),$F$1)"),"")</f>
        <v/>
      </c>
      <c r="B390" s="501" t="str">
        <f>Installment!A390</f>
        <v/>
      </c>
      <c r="C390" s="501" t="str">
        <f>Installment!B390</f>
        <v/>
      </c>
      <c r="D390" s="501" t="str">
        <f>IFERROR(__xludf.DUMMYFUNCTION("if(A390=""GBP"",if(B390="""","""",if(A390=$F$1,Installment!C390,Installment!C390*GOOGLEFINANCE(""Currency:""&amp;A390&amp;""""&amp;$F$1&amp;"""")))/100,if(B390="""","""",if(A390=$F$1,Installment!C390,Installment!C390*GOOGLEFINANCE(""Currency:""&amp;A390&amp;""""&amp;$F$1&amp;""""))))"),"")</f>
        <v/>
      </c>
      <c r="E390" s="501" t="str">
        <f>IFERROR(__xludf.DUMMYFUNCTION("if(A390=""GBP"",if(B390="""","""",if(A390=$F$1,Installment!H390,Installment!H390*GOOGLEFINANCE(""Currency:""&amp;A390&amp;""""&amp;$F$1&amp;"""")))/100,if(B390="""","""",if(A390=$F$1,Installment!H390,Installment!H390*GOOGLEFINANCE(""Currency:""&amp;A390&amp;""""&amp;$F$1&amp;""""))))"),"")</f>
        <v/>
      </c>
      <c r="F390" s="501" t="str">
        <f>IFERROR(__xludf.DUMMYFUNCTION("if(A390=""GBP"",if(B390="""","""",if(A390=$F$1,Installment!I390,Installment!I390*GOOGLEFINANCE(""Currency:""&amp;A390&amp;""""&amp;$F$1&amp;"""")))/100,if(B390="""","""",if(A390=$F$1,Installment!I390,Installment!I390*GOOGLEFINANCE(""Currency:""&amp;A390&amp;""""&amp;$F$1&amp;""""))))"),"")</f>
        <v/>
      </c>
      <c r="G390" s="501" t="str">
        <f t="shared" si="1"/>
        <v/>
      </c>
      <c r="H390" s="501" t="str">
        <f t="shared" si="2"/>
        <v/>
      </c>
      <c r="I390" s="501" t="str">
        <f t="shared" si="3"/>
        <v/>
      </c>
    </row>
    <row r="391">
      <c r="A391" s="501" t="str">
        <f>IFERROR(__xludf.DUMMYFUNCTION("IFERROR(if(ISBLANK(Installment!A391),"""",if(GOOGLEFINANCE(Installment!A391,""Currency"")=""GBX"",""GBP"",GOOGLEFINANCE(Installment!A391,""Currency""))),$F$1)"),"")</f>
        <v/>
      </c>
      <c r="B391" s="501" t="str">
        <f>Installment!A391</f>
        <v/>
      </c>
      <c r="C391" s="501" t="str">
        <f>Installment!B391</f>
        <v/>
      </c>
      <c r="D391" s="501" t="str">
        <f>IFERROR(__xludf.DUMMYFUNCTION("if(A391=""GBP"",if(B391="""","""",if(A391=$F$1,Installment!C391,Installment!C391*GOOGLEFINANCE(""Currency:""&amp;A391&amp;""""&amp;$F$1&amp;"""")))/100,if(B391="""","""",if(A391=$F$1,Installment!C391,Installment!C391*GOOGLEFINANCE(""Currency:""&amp;A391&amp;""""&amp;$F$1&amp;""""))))"),"")</f>
        <v/>
      </c>
      <c r="E391" s="501" t="str">
        <f>IFERROR(__xludf.DUMMYFUNCTION("if(A391=""GBP"",if(B391="""","""",if(A391=$F$1,Installment!H391,Installment!H391*GOOGLEFINANCE(""Currency:""&amp;A391&amp;""""&amp;$F$1&amp;"""")))/100,if(B391="""","""",if(A391=$F$1,Installment!H391,Installment!H391*GOOGLEFINANCE(""Currency:""&amp;A391&amp;""""&amp;$F$1&amp;""""))))"),"")</f>
        <v/>
      </c>
      <c r="F391" s="501" t="str">
        <f>IFERROR(__xludf.DUMMYFUNCTION("if(A391=""GBP"",if(B391="""","""",if(A391=$F$1,Installment!I391,Installment!I391*GOOGLEFINANCE(""Currency:""&amp;A391&amp;""""&amp;$F$1&amp;"""")))/100,if(B391="""","""",if(A391=$F$1,Installment!I391,Installment!I391*GOOGLEFINANCE(""Currency:""&amp;A391&amp;""""&amp;$F$1&amp;""""))))"),"")</f>
        <v/>
      </c>
      <c r="G391" s="501" t="str">
        <f t="shared" si="1"/>
        <v/>
      </c>
      <c r="H391" s="501" t="str">
        <f t="shared" si="2"/>
        <v/>
      </c>
      <c r="I391" s="501" t="str">
        <f t="shared" si="3"/>
        <v/>
      </c>
    </row>
    <row r="392">
      <c r="A392" s="501" t="str">
        <f>IFERROR(__xludf.DUMMYFUNCTION("IFERROR(if(ISBLANK(Installment!A392),"""",if(GOOGLEFINANCE(Installment!A392,""Currency"")=""GBX"",""GBP"",GOOGLEFINANCE(Installment!A392,""Currency""))),$F$1)"),"")</f>
        <v/>
      </c>
      <c r="B392" s="501" t="str">
        <f>Installment!A392</f>
        <v/>
      </c>
      <c r="C392" s="501" t="str">
        <f>Installment!B392</f>
        <v/>
      </c>
      <c r="D392" s="501" t="str">
        <f>IFERROR(__xludf.DUMMYFUNCTION("if(A392=""GBP"",if(B392="""","""",if(A392=$F$1,Installment!C392,Installment!C392*GOOGLEFINANCE(""Currency:""&amp;A392&amp;""""&amp;$F$1&amp;"""")))/100,if(B392="""","""",if(A392=$F$1,Installment!C392,Installment!C392*GOOGLEFINANCE(""Currency:""&amp;A392&amp;""""&amp;$F$1&amp;""""))))"),"")</f>
        <v/>
      </c>
      <c r="E392" s="501" t="str">
        <f>IFERROR(__xludf.DUMMYFUNCTION("if(A392=""GBP"",if(B392="""","""",if(A392=$F$1,Installment!H392,Installment!H392*GOOGLEFINANCE(""Currency:""&amp;A392&amp;""""&amp;$F$1&amp;"""")))/100,if(B392="""","""",if(A392=$F$1,Installment!H392,Installment!H392*GOOGLEFINANCE(""Currency:""&amp;A392&amp;""""&amp;$F$1&amp;""""))))"),"")</f>
        <v/>
      </c>
      <c r="F392" s="501" t="str">
        <f>IFERROR(__xludf.DUMMYFUNCTION("if(A392=""GBP"",if(B392="""","""",if(A392=$F$1,Installment!I392,Installment!I392*GOOGLEFINANCE(""Currency:""&amp;A392&amp;""""&amp;$F$1&amp;"""")))/100,if(B392="""","""",if(A392=$F$1,Installment!I392,Installment!I392*GOOGLEFINANCE(""Currency:""&amp;A392&amp;""""&amp;$F$1&amp;""""))))"),"")</f>
        <v/>
      </c>
      <c r="G392" s="501" t="str">
        <f t="shared" si="1"/>
        <v/>
      </c>
      <c r="H392" s="501" t="str">
        <f t="shared" si="2"/>
        <v/>
      </c>
      <c r="I392" s="501" t="str">
        <f t="shared" si="3"/>
        <v/>
      </c>
    </row>
    <row r="393">
      <c r="A393" s="501" t="str">
        <f>IFERROR(__xludf.DUMMYFUNCTION("IFERROR(if(ISBLANK(Installment!A393),"""",if(GOOGLEFINANCE(Installment!A393,""Currency"")=""GBX"",""GBP"",GOOGLEFINANCE(Installment!A393,""Currency""))),$F$1)"),"")</f>
        <v/>
      </c>
      <c r="B393" s="501" t="str">
        <f>Installment!A393</f>
        <v/>
      </c>
      <c r="C393" s="501" t="str">
        <f>Installment!B393</f>
        <v/>
      </c>
      <c r="D393" s="501" t="str">
        <f>IFERROR(__xludf.DUMMYFUNCTION("if(A393=""GBP"",if(B393="""","""",if(A393=$F$1,Installment!C393,Installment!C393*GOOGLEFINANCE(""Currency:""&amp;A393&amp;""""&amp;$F$1&amp;"""")))/100,if(B393="""","""",if(A393=$F$1,Installment!C393,Installment!C393*GOOGLEFINANCE(""Currency:""&amp;A393&amp;""""&amp;$F$1&amp;""""))))"),"")</f>
        <v/>
      </c>
      <c r="E393" s="501" t="str">
        <f>IFERROR(__xludf.DUMMYFUNCTION("if(A393=""GBP"",if(B393="""","""",if(A393=$F$1,Installment!H393,Installment!H393*GOOGLEFINANCE(""Currency:""&amp;A393&amp;""""&amp;$F$1&amp;"""")))/100,if(B393="""","""",if(A393=$F$1,Installment!H393,Installment!H393*GOOGLEFINANCE(""Currency:""&amp;A393&amp;""""&amp;$F$1&amp;""""))))"),"")</f>
        <v/>
      </c>
      <c r="F393" s="501" t="str">
        <f>IFERROR(__xludf.DUMMYFUNCTION("if(A393=""GBP"",if(B393="""","""",if(A393=$F$1,Installment!I393,Installment!I393*GOOGLEFINANCE(""Currency:""&amp;A393&amp;""""&amp;$F$1&amp;"""")))/100,if(B393="""","""",if(A393=$F$1,Installment!I393,Installment!I393*GOOGLEFINANCE(""Currency:""&amp;A393&amp;""""&amp;$F$1&amp;""""))))"),"")</f>
        <v/>
      </c>
      <c r="G393" s="501" t="str">
        <f t="shared" si="1"/>
        <v/>
      </c>
      <c r="H393" s="501" t="str">
        <f t="shared" si="2"/>
        <v/>
      </c>
      <c r="I393" s="501" t="str">
        <f t="shared" si="3"/>
        <v/>
      </c>
    </row>
    <row r="394">
      <c r="A394" s="501" t="str">
        <f>IFERROR(__xludf.DUMMYFUNCTION("IFERROR(if(ISBLANK(Installment!A394),"""",if(GOOGLEFINANCE(Installment!A394,""Currency"")=""GBX"",""GBP"",GOOGLEFINANCE(Installment!A394,""Currency""))),$F$1)"),"")</f>
        <v/>
      </c>
      <c r="B394" s="501" t="str">
        <f>Installment!A394</f>
        <v/>
      </c>
      <c r="C394" s="501" t="str">
        <f>Installment!B394</f>
        <v/>
      </c>
      <c r="D394" s="501" t="str">
        <f>IFERROR(__xludf.DUMMYFUNCTION("if(A394=""GBP"",if(B394="""","""",if(A394=$F$1,Installment!C394,Installment!C394*GOOGLEFINANCE(""Currency:""&amp;A394&amp;""""&amp;$F$1&amp;"""")))/100,if(B394="""","""",if(A394=$F$1,Installment!C394,Installment!C394*GOOGLEFINANCE(""Currency:""&amp;A394&amp;""""&amp;$F$1&amp;""""))))"),"")</f>
        <v/>
      </c>
      <c r="E394" s="501" t="str">
        <f>IFERROR(__xludf.DUMMYFUNCTION("if(A394=""GBP"",if(B394="""","""",if(A394=$F$1,Installment!H394,Installment!H394*GOOGLEFINANCE(""Currency:""&amp;A394&amp;""""&amp;$F$1&amp;"""")))/100,if(B394="""","""",if(A394=$F$1,Installment!H394,Installment!H394*GOOGLEFINANCE(""Currency:""&amp;A394&amp;""""&amp;$F$1&amp;""""))))"),"")</f>
        <v/>
      </c>
      <c r="F394" s="501" t="str">
        <f>IFERROR(__xludf.DUMMYFUNCTION("if(A394=""GBP"",if(B394="""","""",if(A394=$F$1,Installment!I394,Installment!I394*GOOGLEFINANCE(""Currency:""&amp;A394&amp;""""&amp;$F$1&amp;"""")))/100,if(B394="""","""",if(A394=$F$1,Installment!I394,Installment!I394*GOOGLEFINANCE(""Currency:""&amp;A394&amp;""""&amp;$F$1&amp;""""))))"),"")</f>
        <v/>
      </c>
      <c r="G394" s="501" t="str">
        <f t="shared" si="1"/>
        <v/>
      </c>
      <c r="H394" s="501" t="str">
        <f t="shared" si="2"/>
        <v/>
      </c>
      <c r="I394" s="501" t="str">
        <f t="shared" si="3"/>
        <v/>
      </c>
    </row>
    <row r="395">
      <c r="A395" s="501" t="str">
        <f>IFERROR(__xludf.DUMMYFUNCTION("IFERROR(if(ISBLANK(Installment!A395),"""",if(GOOGLEFINANCE(Installment!A395,""Currency"")=""GBX"",""GBP"",GOOGLEFINANCE(Installment!A395,""Currency""))),$F$1)"),"")</f>
        <v/>
      </c>
      <c r="B395" s="501" t="str">
        <f>Installment!A395</f>
        <v/>
      </c>
      <c r="C395" s="501" t="str">
        <f>Installment!B395</f>
        <v/>
      </c>
      <c r="D395" s="501" t="str">
        <f>IFERROR(__xludf.DUMMYFUNCTION("if(A395=""GBP"",if(B395="""","""",if(A395=$F$1,Installment!C395,Installment!C395*GOOGLEFINANCE(""Currency:""&amp;A395&amp;""""&amp;$F$1&amp;"""")))/100,if(B395="""","""",if(A395=$F$1,Installment!C395,Installment!C395*GOOGLEFINANCE(""Currency:""&amp;A395&amp;""""&amp;$F$1&amp;""""))))"),"")</f>
        <v/>
      </c>
      <c r="E395" s="501" t="str">
        <f>IFERROR(__xludf.DUMMYFUNCTION("if(A395=""GBP"",if(B395="""","""",if(A395=$F$1,Installment!H395,Installment!H395*GOOGLEFINANCE(""Currency:""&amp;A395&amp;""""&amp;$F$1&amp;"""")))/100,if(B395="""","""",if(A395=$F$1,Installment!H395,Installment!H395*GOOGLEFINANCE(""Currency:""&amp;A395&amp;""""&amp;$F$1&amp;""""))))"),"")</f>
        <v/>
      </c>
      <c r="F395" s="501" t="str">
        <f>IFERROR(__xludf.DUMMYFUNCTION("if(A395=""GBP"",if(B395="""","""",if(A395=$F$1,Installment!I395,Installment!I395*GOOGLEFINANCE(""Currency:""&amp;A395&amp;""""&amp;$F$1&amp;"""")))/100,if(B395="""","""",if(A395=$F$1,Installment!I395,Installment!I395*GOOGLEFINANCE(""Currency:""&amp;A395&amp;""""&amp;$F$1&amp;""""))))"),"")</f>
        <v/>
      </c>
      <c r="G395" s="501" t="str">
        <f t="shared" si="1"/>
        <v/>
      </c>
      <c r="H395" s="501" t="str">
        <f t="shared" si="2"/>
        <v/>
      </c>
      <c r="I395" s="501" t="str">
        <f t="shared" si="3"/>
        <v/>
      </c>
    </row>
    <row r="396">
      <c r="A396" s="501" t="str">
        <f>IFERROR(__xludf.DUMMYFUNCTION("IFERROR(if(ISBLANK(Installment!A396),"""",if(GOOGLEFINANCE(Installment!A396,""Currency"")=""GBX"",""GBP"",GOOGLEFINANCE(Installment!A396,""Currency""))),$F$1)"),"")</f>
        <v/>
      </c>
      <c r="B396" s="501" t="str">
        <f>Installment!A396</f>
        <v/>
      </c>
      <c r="C396" s="501" t="str">
        <f>Installment!B396</f>
        <v/>
      </c>
      <c r="D396" s="501" t="str">
        <f>IFERROR(__xludf.DUMMYFUNCTION("if(A396=""GBP"",if(B396="""","""",if(A396=$F$1,Installment!C396,Installment!C396*GOOGLEFINANCE(""Currency:""&amp;A396&amp;""""&amp;$F$1&amp;"""")))/100,if(B396="""","""",if(A396=$F$1,Installment!C396,Installment!C396*GOOGLEFINANCE(""Currency:""&amp;A396&amp;""""&amp;$F$1&amp;""""))))"),"")</f>
        <v/>
      </c>
      <c r="E396" s="501" t="str">
        <f>IFERROR(__xludf.DUMMYFUNCTION("if(A396=""GBP"",if(B396="""","""",if(A396=$F$1,Installment!H396,Installment!H396*GOOGLEFINANCE(""Currency:""&amp;A396&amp;""""&amp;$F$1&amp;"""")))/100,if(B396="""","""",if(A396=$F$1,Installment!H396,Installment!H396*GOOGLEFINANCE(""Currency:""&amp;A396&amp;""""&amp;$F$1&amp;""""))))"),"")</f>
        <v/>
      </c>
      <c r="F396" s="501" t="str">
        <f>IFERROR(__xludf.DUMMYFUNCTION("if(A396=""GBP"",if(B396="""","""",if(A396=$F$1,Installment!I396,Installment!I396*GOOGLEFINANCE(""Currency:""&amp;A396&amp;""""&amp;$F$1&amp;"""")))/100,if(B396="""","""",if(A396=$F$1,Installment!I396,Installment!I396*GOOGLEFINANCE(""Currency:""&amp;A396&amp;""""&amp;$F$1&amp;""""))))"),"")</f>
        <v/>
      </c>
      <c r="G396" s="501" t="str">
        <f t="shared" si="1"/>
        <v/>
      </c>
      <c r="H396" s="501" t="str">
        <f t="shared" si="2"/>
        <v/>
      </c>
      <c r="I396" s="501" t="str">
        <f t="shared" si="3"/>
        <v/>
      </c>
    </row>
    <row r="397">
      <c r="A397" s="501" t="str">
        <f>IFERROR(__xludf.DUMMYFUNCTION("IFERROR(if(ISBLANK(Installment!A397),"""",if(GOOGLEFINANCE(Installment!A397,""Currency"")=""GBX"",""GBP"",GOOGLEFINANCE(Installment!A397,""Currency""))),$F$1)"),"")</f>
        <v/>
      </c>
      <c r="B397" s="501" t="str">
        <f>Installment!A397</f>
        <v/>
      </c>
      <c r="C397" s="501" t="str">
        <f>Installment!B397</f>
        <v/>
      </c>
      <c r="D397" s="501" t="str">
        <f>IFERROR(__xludf.DUMMYFUNCTION("if(A397=""GBP"",if(B397="""","""",if(A397=$F$1,Installment!C397,Installment!C397*GOOGLEFINANCE(""Currency:""&amp;A397&amp;""""&amp;$F$1&amp;"""")))/100,if(B397="""","""",if(A397=$F$1,Installment!C397,Installment!C397*GOOGLEFINANCE(""Currency:""&amp;A397&amp;""""&amp;$F$1&amp;""""))))"),"")</f>
        <v/>
      </c>
      <c r="E397" s="501" t="str">
        <f>IFERROR(__xludf.DUMMYFUNCTION("if(A397=""GBP"",if(B397="""","""",if(A397=$F$1,Installment!H397,Installment!H397*GOOGLEFINANCE(""Currency:""&amp;A397&amp;""""&amp;$F$1&amp;"""")))/100,if(B397="""","""",if(A397=$F$1,Installment!H397,Installment!H397*GOOGLEFINANCE(""Currency:""&amp;A397&amp;""""&amp;$F$1&amp;""""))))"),"")</f>
        <v/>
      </c>
      <c r="F397" s="501" t="str">
        <f>IFERROR(__xludf.DUMMYFUNCTION("if(A397=""GBP"",if(B397="""","""",if(A397=$F$1,Installment!I397,Installment!I397*GOOGLEFINANCE(""Currency:""&amp;A397&amp;""""&amp;$F$1&amp;"""")))/100,if(B397="""","""",if(A397=$F$1,Installment!I397,Installment!I397*GOOGLEFINANCE(""Currency:""&amp;A397&amp;""""&amp;$F$1&amp;""""))))"),"")</f>
        <v/>
      </c>
      <c r="G397" s="501" t="str">
        <f t="shared" si="1"/>
        <v/>
      </c>
      <c r="H397" s="501" t="str">
        <f t="shared" si="2"/>
        <v/>
      </c>
      <c r="I397" s="501" t="str">
        <f t="shared" si="3"/>
        <v/>
      </c>
    </row>
    <row r="398">
      <c r="A398" s="501" t="str">
        <f>IFERROR(__xludf.DUMMYFUNCTION("IFERROR(if(ISBLANK(Installment!A398),"""",if(GOOGLEFINANCE(Installment!A398,""Currency"")=""GBX"",""GBP"",GOOGLEFINANCE(Installment!A398,""Currency""))),$F$1)"),"")</f>
        <v/>
      </c>
      <c r="B398" s="501" t="str">
        <f>Installment!A398</f>
        <v/>
      </c>
      <c r="C398" s="501" t="str">
        <f>Installment!B398</f>
        <v/>
      </c>
      <c r="D398" s="501" t="str">
        <f>IFERROR(__xludf.DUMMYFUNCTION("if(A398=""GBP"",if(B398="""","""",if(A398=$F$1,Installment!C398,Installment!C398*GOOGLEFINANCE(""Currency:""&amp;A398&amp;""""&amp;$F$1&amp;"""")))/100,if(B398="""","""",if(A398=$F$1,Installment!C398,Installment!C398*GOOGLEFINANCE(""Currency:""&amp;A398&amp;""""&amp;$F$1&amp;""""))))"),"")</f>
        <v/>
      </c>
      <c r="E398" s="501" t="str">
        <f>IFERROR(__xludf.DUMMYFUNCTION("if(A398=""GBP"",if(B398="""","""",if(A398=$F$1,Installment!H398,Installment!H398*GOOGLEFINANCE(""Currency:""&amp;A398&amp;""""&amp;$F$1&amp;"""")))/100,if(B398="""","""",if(A398=$F$1,Installment!H398,Installment!H398*GOOGLEFINANCE(""Currency:""&amp;A398&amp;""""&amp;$F$1&amp;""""))))"),"")</f>
        <v/>
      </c>
      <c r="F398" s="501" t="str">
        <f>IFERROR(__xludf.DUMMYFUNCTION("if(A398=""GBP"",if(B398="""","""",if(A398=$F$1,Installment!I398,Installment!I398*GOOGLEFINANCE(""Currency:""&amp;A398&amp;""""&amp;$F$1&amp;"""")))/100,if(B398="""","""",if(A398=$F$1,Installment!I398,Installment!I398*GOOGLEFINANCE(""Currency:""&amp;A398&amp;""""&amp;$F$1&amp;""""))))"),"")</f>
        <v/>
      </c>
      <c r="G398" s="501" t="str">
        <f t="shared" si="1"/>
        <v/>
      </c>
      <c r="H398" s="501" t="str">
        <f t="shared" si="2"/>
        <v/>
      </c>
      <c r="I398" s="501" t="str">
        <f t="shared" si="3"/>
        <v/>
      </c>
    </row>
    <row r="399">
      <c r="A399" s="501" t="str">
        <f>IFERROR(__xludf.DUMMYFUNCTION("IFERROR(if(ISBLANK(Installment!A399),"""",if(GOOGLEFINANCE(Installment!A399,""Currency"")=""GBX"",""GBP"",GOOGLEFINANCE(Installment!A399,""Currency""))),$F$1)"),"")</f>
        <v/>
      </c>
      <c r="B399" s="501" t="str">
        <f>Installment!A399</f>
        <v/>
      </c>
      <c r="C399" s="501" t="str">
        <f>Installment!B399</f>
        <v/>
      </c>
      <c r="D399" s="501" t="str">
        <f>IFERROR(__xludf.DUMMYFUNCTION("if(A399=""GBP"",if(B399="""","""",if(A399=$F$1,Installment!C399,Installment!C399*GOOGLEFINANCE(""Currency:""&amp;A399&amp;""""&amp;$F$1&amp;"""")))/100,if(B399="""","""",if(A399=$F$1,Installment!C399,Installment!C399*GOOGLEFINANCE(""Currency:""&amp;A399&amp;""""&amp;$F$1&amp;""""))))"),"")</f>
        <v/>
      </c>
      <c r="E399" s="501" t="str">
        <f>IFERROR(__xludf.DUMMYFUNCTION("if(A399=""GBP"",if(B399="""","""",if(A399=$F$1,Installment!H399,Installment!H399*GOOGLEFINANCE(""Currency:""&amp;A399&amp;""""&amp;$F$1&amp;"""")))/100,if(B399="""","""",if(A399=$F$1,Installment!H399,Installment!H399*GOOGLEFINANCE(""Currency:""&amp;A399&amp;""""&amp;$F$1&amp;""""))))"),"")</f>
        <v/>
      </c>
      <c r="F399" s="501" t="str">
        <f>IFERROR(__xludf.DUMMYFUNCTION("if(A399=""GBP"",if(B399="""","""",if(A399=$F$1,Installment!I399,Installment!I399*GOOGLEFINANCE(""Currency:""&amp;A399&amp;""""&amp;$F$1&amp;"""")))/100,if(B399="""","""",if(A399=$F$1,Installment!I399,Installment!I399*GOOGLEFINANCE(""Currency:""&amp;A399&amp;""""&amp;$F$1&amp;""""))))"),"")</f>
        <v/>
      </c>
      <c r="G399" s="501" t="str">
        <f t="shared" si="1"/>
        <v/>
      </c>
      <c r="H399" s="501" t="str">
        <f t="shared" si="2"/>
        <v/>
      </c>
      <c r="I399" s="501" t="str">
        <f t="shared" si="3"/>
        <v/>
      </c>
    </row>
    <row r="400">
      <c r="A400" s="501" t="str">
        <f>IFERROR(__xludf.DUMMYFUNCTION("IFERROR(if(ISBLANK(Installment!A400),"""",if(GOOGLEFINANCE(Installment!A400,""Currency"")=""GBX"",""GBP"",GOOGLEFINANCE(Installment!A400,""Currency""))),$F$1)"),"")</f>
        <v/>
      </c>
      <c r="B400" s="501" t="str">
        <f>Installment!A400</f>
        <v/>
      </c>
      <c r="C400" s="501" t="str">
        <f>Installment!B400</f>
        <v/>
      </c>
      <c r="D400" s="501" t="str">
        <f>IFERROR(__xludf.DUMMYFUNCTION("if(A400=""GBP"",if(B400="""","""",if(A400=$F$1,Installment!C400,Installment!C400*GOOGLEFINANCE(""Currency:""&amp;A400&amp;""""&amp;$F$1&amp;"""")))/100,if(B400="""","""",if(A400=$F$1,Installment!C400,Installment!C400*GOOGLEFINANCE(""Currency:""&amp;A400&amp;""""&amp;$F$1&amp;""""))))"),"")</f>
        <v/>
      </c>
      <c r="E400" s="501" t="str">
        <f>IFERROR(__xludf.DUMMYFUNCTION("if(A400=""GBP"",if(B400="""","""",if(A400=$F$1,Installment!H400,Installment!H400*GOOGLEFINANCE(""Currency:""&amp;A400&amp;""""&amp;$F$1&amp;"""")))/100,if(B400="""","""",if(A400=$F$1,Installment!H400,Installment!H400*GOOGLEFINANCE(""Currency:""&amp;A400&amp;""""&amp;$F$1&amp;""""))))"),"")</f>
        <v/>
      </c>
      <c r="F400" s="501" t="str">
        <f>IFERROR(__xludf.DUMMYFUNCTION("if(A400=""GBP"",if(B400="""","""",if(A400=$F$1,Installment!I400,Installment!I400*GOOGLEFINANCE(""Currency:""&amp;A400&amp;""""&amp;$F$1&amp;"""")))/100,if(B400="""","""",if(A400=$F$1,Installment!I400,Installment!I400*GOOGLEFINANCE(""Currency:""&amp;A400&amp;""""&amp;$F$1&amp;""""))))"),"")</f>
        <v/>
      </c>
      <c r="G400" s="501" t="str">
        <f t="shared" si="1"/>
        <v/>
      </c>
      <c r="H400" s="501" t="str">
        <f t="shared" si="2"/>
        <v/>
      </c>
      <c r="I400" s="501" t="str">
        <f t="shared" si="3"/>
        <v/>
      </c>
    </row>
    <row r="401">
      <c r="A401" s="501" t="str">
        <f>IFERROR(__xludf.DUMMYFUNCTION("IFERROR(if(ISBLANK(Installment!A401),"""",if(GOOGLEFINANCE(Installment!A401,""Currency"")=""GBX"",""GBP"",GOOGLEFINANCE(Installment!A401,""Currency""))),$F$1)"),"")</f>
        <v/>
      </c>
      <c r="B401" s="501" t="str">
        <f>Installment!A401</f>
        <v/>
      </c>
      <c r="C401" s="501" t="str">
        <f>Installment!B401</f>
        <v/>
      </c>
      <c r="D401" s="501" t="str">
        <f>IFERROR(__xludf.DUMMYFUNCTION("if(A401=""GBP"",if(B401="""","""",if(A401=$F$1,Installment!C401,Installment!C401*GOOGLEFINANCE(""Currency:""&amp;A401&amp;""""&amp;$F$1&amp;"""")))/100,if(B401="""","""",if(A401=$F$1,Installment!C401,Installment!C401*GOOGLEFINANCE(""Currency:""&amp;A401&amp;""""&amp;$F$1&amp;""""))))"),"")</f>
        <v/>
      </c>
      <c r="E401" s="501" t="str">
        <f>IFERROR(__xludf.DUMMYFUNCTION("if(A401=""GBP"",if(B401="""","""",if(A401=$F$1,Installment!H401,Installment!H401*GOOGLEFINANCE(""Currency:""&amp;A401&amp;""""&amp;$F$1&amp;"""")))/100,if(B401="""","""",if(A401=$F$1,Installment!H401,Installment!H401*GOOGLEFINANCE(""Currency:""&amp;A401&amp;""""&amp;$F$1&amp;""""))))"),"")</f>
        <v/>
      </c>
      <c r="F401" s="501" t="str">
        <f>IFERROR(__xludf.DUMMYFUNCTION("if(A401=""GBP"",if(B401="""","""",if(A401=$F$1,Installment!I401,Installment!I401*GOOGLEFINANCE(""Currency:""&amp;A401&amp;""""&amp;$F$1&amp;"""")))/100,if(B401="""","""",if(A401=$F$1,Installment!I401,Installment!I401*GOOGLEFINANCE(""Currency:""&amp;A401&amp;""""&amp;$F$1&amp;""""))))"),"")</f>
        <v/>
      </c>
      <c r="G401" s="501" t="str">
        <f t="shared" si="1"/>
        <v/>
      </c>
      <c r="H401" s="501" t="str">
        <f t="shared" si="2"/>
        <v/>
      </c>
      <c r="I401" s="501" t="str">
        <f t="shared" si="3"/>
        <v/>
      </c>
    </row>
    <row r="402">
      <c r="A402" s="501" t="str">
        <f>IFERROR(__xludf.DUMMYFUNCTION("IFERROR(if(ISBLANK(Installment!A402),"""",if(GOOGLEFINANCE(Installment!A402,""Currency"")=""GBX"",""GBP"",GOOGLEFINANCE(Installment!A402,""Currency""))),$F$1)"),"")</f>
        <v/>
      </c>
      <c r="B402" s="501" t="str">
        <f>Installment!A402</f>
        <v/>
      </c>
      <c r="C402" s="501" t="str">
        <f>Installment!B402</f>
        <v/>
      </c>
      <c r="D402" s="501" t="str">
        <f>IFERROR(__xludf.DUMMYFUNCTION("if(A402=""GBP"",if(B402="""","""",if(A402=$F$1,Installment!C402,Installment!C402*GOOGLEFINANCE(""Currency:""&amp;A402&amp;""""&amp;$F$1&amp;"""")))/100,if(B402="""","""",if(A402=$F$1,Installment!C402,Installment!C402*GOOGLEFINANCE(""Currency:""&amp;A402&amp;""""&amp;$F$1&amp;""""))))"),"")</f>
        <v/>
      </c>
      <c r="E402" s="501" t="str">
        <f>IFERROR(__xludf.DUMMYFUNCTION("if(A402=""GBP"",if(B402="""","""",if(A402=$F$1,Installment!H402,Installment!H402*GOOGLEFINANCE(""Currency:""&amp;A402&amp;""""&amp;$F$1&amp;"""")))/100,if(B402="""","""",if(A402=$F$1,Installment!H402,Installment!H402*GOOGLEFINANCE(""Currency:""&amp;A402&amp;""""&amp;$F$1&amp;""""))))"),"")</f>
        <v/>
      </c>
      <c r="F402" s="501" t="str">
        <f>IFERROR(__xludf.DUMMYFUNCTION("if(A402=""GBP"",if(B402="""","""",if(A402=$F$1,Installment!I402,Installment!I402*GOOGLEFINANCE(""Currency:""&amp;A402&amp;""""&amp;$F$1&amp;"""")))/100,if(B402="""","""",if(A402=$F$1,Installment!I402,Installment!I402*GOOGLEFINANCE(""Currency:""&amp;A402&amp;""""&amp;$F$1&amp;""""))))"),"")</f>
        <v/>
      </c>
      <c r="G402" s="501" t="str">
        <f t="shared" si="1"/>
        <v/>
      </c>
      <c r="H402" s="501" t="str">
        <f t="shared" si="2"/>
        <v/>
      </c>
      <c r="I402" s="501" t="str">
        <f t="shared" si="3"/>
        <v/>
      </c>
    </row>
    <row r="403">
      <c r="A403" s="501" t="str">
        <f>IFERROR(__xludf.DUMMYFUNCTION("IFERROR(if(ISBLANK(Installment!A403),"""",if(GOOGLEFINANCE(Installment!A403,""Currency"")=""GBX"",""GBP"",GOOGLEFINANCE(Installment!A403,""Currency""))),$F$1)"),"")</f>
        <v/>
      </c>
      <c r="B403" s="501" t="str">
        <f>Installment!A403</f>
        <v/>
      </c>
      <c r="C403" s="501" t="str">
        <f>Installment!B403</f>
        <v/>
      </c>
      <c r="D403" s="501" t="str">
        <f>IFERROR(__xludf.DUMMYFUNCTION("if(A403=""GBP"",if(B403="""","""",if(A403=$F$1,Installment!C403,Installment!C403*GOOGLEFINANCE(""Currency:""&amp;A403&amp;""""&amp;$F$1&amp;"""")))/100,if(B403="""","""",if(A403=$F$1,Installment!C403,Installment!C403*GOOGLEFINANCE(""Currency:""&amp;A403&amp;""""&amp;$F$1&amp;""""))))"),"")</f>
        <v/>
      </c>
      <c r="E403" s="501" t="str">
        <f>IFERROR(__xludf.DUMMYFUNCTION("if(A403=""GBP"",if(B403="""","""",if(A403=$F$1,Installment!H403,Installment!H403*GOOGLEFINANCE(""Currency:""&amp;A403&amp;""""&amp;$F$1&amp;"""")))/100,if(B403="""","""",if(A403=$F$1,Installment!H403,Installment!H403*GOOGLEFINANCE(""Currency:""&amp;A403&amp;""""&amp;$F$1&amp;""""))))"),"")</f>
        <v/>
      </c>
      <c r="F403" s="501" t="str">
        <f>IFERROR(__xludf.DUMMYFUNCTION("if(A403=""GBP"",if(B403="""","""",if(A403=$F$1,Installment!I403,Installment!I403*GOOGLEFINANCE(""Currency:""&amp;A403&amp;""""&amp;$F$1&amp;"""")))/100,if(B403="""","""",if(A403=$F$1,Installment!I403,Installment!I403*GOOGLEFINANCE(""Currency:""&amp;A403&amp;""""&amp;$F$1&amp;""""))))"),"")</f>
        <v/>
      </c>
      <c r="G403" s="501" t="str">
        <f t="shared" si="1"/>
        <v/>
      </c>
      <c r="H403" s="501" t="str">
        <f t="shared" si="2"/>
        <v/>
      </c>
      <c r="I403" s="501" t="str">
        <f t="shared" si="3"/>
        <v/>
      </c>
    </row>
    <row r="404">
      <c r="A404" s="501" t="str">
        <f>IFERROR(__xludf.DUMMYFUNCTION("IFERROR(if(ISBLANK(Installment!A404),"""",if(GOOGLEFINANCE(Installment!A404,""Currency"")=""GBX"",""GBP"",GOOGLEFINANCE(Installment!A404,""Currency""))),$F$1)"),"")</f>
        <v/>
      </c>
      <c r="B404" s="501" t="str">
        <f>Installment!A404</f>
        <v/>
      </c>
      <c r="C404" s="501" t="str">
        <f>Installment!B404</f>
        <v/>
      </c>
      <c r="D404" s="501" t="str">
        <f>IFERROR(__xludf.DUMMYFUNCTION("if(A404=""GBP"",if(B404="""","""",if(A404=$F$1,Installment!C404,Installment!C404*GOOGLEFINANCE(""Currency:""&amp;A404&amp;""""&amp;$F$1&amp;"""")))/100,if(B404="""","""",if(A404=$F$1,Installment!C404,Installment!C404*GOOGLEFINANCE(""Currency:""&amp;A404&amp;""""&amp;$F$1&amp;""""))))"),"")</f>
        <v/>
      </c>
      <c r="E404" s="501" t="str">
        <f>IFERROR(__xludf.DUMMYFUNCTION("if(A404=""GBP"",if(B404="""","""",if(A404=$F$1,Installment!H404,Installment!H404*GOOGLEFINANCE(""Currency:""&amp;A404&amp;""""&amp;$F$1&amp;"""")))/100,if(B404="""","""",if(A404=$F$1,Installment!H404,Installment!H404*GOOGLEFINANCE(""Currency:""&amp;A404&amp;""""&amp;$F$1&amp;""""))))"),"")</f>
        <v/>
      </c>
      <c r="F404" s="501" t="str">
        <f>IFERROR(__xludf.DUMMYFUNCTION("if(A404=""GBP"",if(B404="""","""",if(A404=$F$1,Installment!I404,Installment!I404*GOOGLEFINANCE(""Currency:""&amp;A404&amp;""""&amp;$F$1&amp;"""")))/100,if(B404="""","""",if(A404=$F$1,Installment!I404,Installment!I404*GOOGLEFINANCE(""Currency:""&amp;A404&amp;""""&amp;$F$1&amp;""""))))"),"")</f>
        <v/>
      </c>
      <c r="G404" s="501" t="str">
        <f t="shared" si="1"/>
        <v/>
      </c>
      <c r="H404" s="501" t="str">
        <f t="shared" si="2"/>
        <v/>
      </c>
      <c r="I404" s="501" t="str">
        <f t="shared" si="3"/>
        <v/>
      </c>
    </row>
    <row r="405">
      <c r="A405" s="501" t="str">
        <f>IFERROR(__xludf.DUMMYFUNCTION("IFERROR(if(ISBLANK(Installment!A405),"""",if(GOOGLEFINANCE(Installment!A405,""Currency"")=""GBX"",""GBP"",GOOGLEFINANCE(Installment!A405,""Currency""))),$F$1)"),"")</f>
        <v/>
      </c>
      <c r="B405" s="501" t="str">
        <f>Installment!A405</f>
        <v/>
      </c>
      <c r="C405" s="501" t="str">
        <f>Installment!B405</f>
        <v/>
      </c>
      <c r="D405" s="501" t="str">
        <f>IFERROR(__xludf.DUMMYFUNCTION("if(A405=""GBP"",if(B405="""","""",if(A405=$F$1,Installment!C405,Installment!C405*GOOGLEFINANCE(""Currency:""&amp;A405&amp;""""&amp;$F$1&amp;"""")))/100,if(B405="""","""",if(A405=$F$1,Installment!C405,Installment!C405*GOOGLEFINANCE(""Currency:""&amp;A405&amp;""""&amp;$F$1&amp;""""))))"),"")</f>
        <v/>
      </c>
      <c r="E405" s="501" t="str">
        <f>IFERROR(__xludf.DUMMYFUNCTION("if(A405=""GBP"",if(B405="""","""",if(A405=$F$1,Installment!H405,Installment!H405*GOOGLEFINANCE(""Currency:""&amp;A405&amp;""""&amp;$F$1&amp;"""")))/100,if(B405="""","""",if(A405=$F$1,Installment!H405,Installment!H405*GOOGLEFINANCE(""Currency:""&amp;A405&amp;""""&amp;$F$1&amp;""""))))"),"")</f>
        <v/>
      </c>
      <c r="F405" s="501" t="str">
        <f>IFERROR(__xludf.DUMMYFUNCTION("if(A405=""GBP"",if(B405="""","""",if(A405=$F$1,Installment!I405,Installment!I405*GOOGLEFINANCE(""Currency:""&amp;A405&amp;""""&amp;$F$1&amp;"""")))/100,if(B405="""","""",if(A405=$F$1,Installment!I405,Installment!I405*GOOGLEFINANCE(""Currency:""&amp;A405&amp;""""&amp;$F$1&amp;""""))))"),"")</f>
        <v/>
      </c>
      <c r="G405" s="501" t="str">
        <f t="shared" si="1"/>
        <v/>
      </c>
      <c r="H405" s="501" t="str">
        <f t="shared" si="2"/>
        <v/>
      </c>
      <c r="I405" s="501" t="str">
        <f t="shared" si="3"/>
        <v/>
      </c>
    </row>
    <row r="406">
      <c r="A406" s="501" t="str">
        <f>IFERROR(__xludf.DUMMYFUNCTION("IFERROR(if(ISBLANK(Installment!A406),"""",if(GOOGLEFINANCE(Installment!A406,""Currency"")=""GBX"",""GBP"",GOOGLEFINANCE(Installment!A406,""Currency""))),$F$1)"),"")</f>
        <v/>
      </c>
      <c r="B406" s="501" t="str">
        <f>Installment!A406</f>
        <v/>
      </c>
      <c r="C406" s="501" t="str">
        <f>Installment!B406</f>
        <v/>
      </c>
      <c r="D406" s="501" t="str">
        <f>IFERROR(__xludf.DUMMYFUNCTION("if(A406=""GBP"",if(B406="""","""",if(A406=$F$1,Installment!C406,Installment!C406*GOOGLEFINANCE(""Currency:""&amp;A406&amp;""""&amp;$F$1&amp;"""")))/100,if(B406="""","""",if(A406=$F$1,Installment!C406,Installment!C406*GOOGLEFINANCE(""Currency:""&amp;A406&amp;""""&amp;$F$1&amp;""""))))"),"")</f>
        <v/>
      </c>
      <c r="E406" s="501" t="str">
        <f>IFERROR(__xludf.DUMMYFUNCTION("if(A406=""GBP"",if(B406="""","""",if(A406=$F$1,Installment!H406,Installment!H406*GOOGLEFINANCE(""Currency:""&amp;A406&amp;""""&amp;$F$1&amp;"""")))/100,if(B406="""","""",if(A406=$F$1,Installment!H406,Installment!H406*GOOGLEFINANCE(""Currency:""&amp;A406&amp;""""&amp;$F$1&amp;""""))))"),"")</f>
        <v/>
      </c>
      <c r="F406" s="501" t="str">
        <f>IFERROR(__xludf.DUMMYFUNCTION("if(A406=""GBP"",if(B406="""","""",if(A406=$F$1,Installment!I406,Installment!I406*GOOGLEFINANCE(""Currency:""&amp;A406&amp;""""&amp;$F$1&amp;"""")))/100,if(B406="""","""",if(A406=$F$1,Installment!I406,Installment!I406*GOOGLEFINANCE(""Currency:""&amp;A406&amp;""""&amp;$F$1&amp;""""))))"),"")</f>
        <v/>
      </c>
      <c r="G406" s="501" t="str">
        <f t="shared" si="1"/>
        <v/>
      </c>
      <c r="H406" s="501" t="str">
        <f t="shared" si="2"/>
        <v/>
      </c>
      <c r="I406" s="501" t="str">
        <f t="shared" si="3"/>
        <v/>
      </c>
    </row>
    <row r="407">
      <c r="A407" s="501" t="str">
        <f>IFERROR(__xludf.DUMMYFUNCTION("IFERROR(if(ISBLANK(Installment!A407),"""",if(GOOGLEFINANCE(Installment!A407,""Currency"")=""GBX"",""GBP"",GOOGLEFINANCE(Installment!A407,""Currency""))),$F$1)"),"")</f>
        <v/>
      </c>
      <c r="B407" s="501" t="str">
        <f>Installment!A407</f>
        <v/>
      </c>
      <c r="C407" s="501" t="str">
        <f>Installment!B407</f>
        <v/>
      </c>
      <c r="D407" s="501" t="str">
        <f>IFERROR(__xludf.DUMMYFUNCTION("if(A407=""GBP"",if(B407="""","""",if(A407=$F$1,Installment!C407,Installment!C407*GOOGLEFINANCE(""Currency:""&amp;A407&amp;""""&amp;$F$1&amp;"""")))/100,if(B407="""","""",if(A407=$F$1,Installment!C407,Installment!C407*GOOGLEFINANCE(""Currency:""&amp;A407&amp;""""&amp;$F$1&amp;""""))))"),"")</f>
        <v/>
      </c>
      <c r="E407" s="501" t="str">
        <f>IFERROR(__xludf.DUMMYFUNCTION("if(A407=""GBP"",if(B407="""","""",if(A407=$F$1,Installment!H407,Installment!H407*GOOGLEFINANCE(""Currency:""&amp;A407&amp;""""&amp;$F$1&amp;"""")))/100,if(B407="""","""",if(A407=$F$1,Installment!H407,Installment!H407*GOOGLEFINANCE(""Currency:""&amp;A407&amp;""""&amp;$F$1&amp;""""))))"),"")</f>
        <v/>
      </c>
      <c r="F407" s="501" t="str">
        <f>IFERROR(__xludf.DUMMYFUNCTION("if(A407=""GBP"",if(B407="""","""",if(A407=$F$1,Installment!I407,Installment!I407*GOOGLEFINANCE(""Currency:""&amp;A407&amp;""""&amp;$F$1&amp;"""")))/100,if(B407="""","""",if(A407=$F$1,Installment!I407,Installment!I407*GOOGLEFINANCE(""Currency:""&amp;A407&amp;""""&amp;$F$1&amp;""""))))"),"")</f>
        <v/>
      </c>
      <c r="G407" s="501" t="str">
        <f t="shared" si="1"/>
        <v/>
      </c>
      <c r="H407" s="501" t="str">
        <f t="shared" si="2"/>
        <v/>
      </c>
      <c r="I407" s="501" t="str">
        <f t="shared" si="3"/>
        <v/>
      </c>
    </row>
    <row r="408">
      <c r="A408" s="501" t="str">
        <f>IFERROR(__xludf.DUMMYFUNCTION("IFERROR(if(ISBLANK(Installment!A408),"""",if(GOOGLEFINANCE(Installment!A408,""Currency"")=""GBX"",""GBP"",GOOGLEFINANCE(Installment!A408,""Currency""))),$F$1)"),"")</f>
        <v/>
      </c>
      <c r="B408" s="501" t="str">
        <f>Installment!A408</f>
        <v/>
      </c>
      <c r="C408" s="501" t="str">
        <f>Installment!B408</f>
        <v/>
      </c>
      <c r="D408" s="501" t="str">
        <f>IFERROR(__xludf.DUMMYFUNCTION("if(A408=""GBP"",if(B408="""","""",if(A408=$F$1,Installment!C408,Installment!C408*GOOGLEFINANCE(""Currency:""&amp;A408&amp;""""&amp;$F$1&amp;"""")))/100,if(B408="""","""",if(A408=$F$1,Installment!C408,Installment!C408*GOOGLEFINANCE(""Currency:""&amp;A408&amp;""""&amp;$F$1&amp;""""))))"),"")</f>
        <v/>
      </c>
      <c r="E408" s="501" t="str">
        <f>IFERROR(__xludf.DUMMYFUNCTION("if(A408=""GBP"",if(B408="""","""",if(A408=$F$1,Installment!H408,Installment!H408*GOOGLEFINANCE(""Currency:""&amp;A408&amp;""""&amp;$F$1&amp;"""")))/100,if(B408="""","""",if(A408=$F$1,Installment!H408,Installment!H408*GOOGLEFINANCE(""Currency:""&amp;A408&amp;""""&amp;$F$1&amp;""""))))"),"")</f>
        <v/>
      </c>
      <c r="F408" s="501" t="str">
        <f>IFERROR(__xludf.DUMMYFUNCTION("if(A408=""GBP"",if(B408="""","""",if(A408=$F$1,Installment!I408,Installment!I408*GOOGLEFINANCE(""Currency:""&amp;A408&amp;""""&amp;$F$1&amp;"""")))/100,if(B408="""","""",if(A408=$F$1,Installment!I408,Installment!I408*GOOGLEFINANCE(""Currency:""&amp;A408&amp;""""&amp;$F$1&amp;""""))))"),"")</f>
        <v/>
      </c>
      <c r="G408" s="501" t="str">
        <f t="shared" si="1"/>
        <v/>
      </c>
      <c r="H408" s="501" t="str">
        <f t="shared" si="2"/>
        <v/>
      </c>
      <c r="I408" s="501" t="str">
        <f t="shared" si="3"/>
        <v/>
      </c>
    </row>
    <row r="409">
      <c r="A409" s="501" t="str">
        <f>IFERROR(__xludf.DUMMYFUNCTION("IFERROR(if(ISBLANK(Installment!A409),"""",if(GOOGLEFINANCE(Installment!A409,""Currency"")=""GBX"",""GBP"",GOOGLEFINANCE(Installment!A409,""Currency""))),$F$1)"),"")</f>
        <v/>
      </c>
      <c r="B409" s="501" t="str">
        <f>Installment!A409</f>
        <v/>
      </c>
      <c r="C409" s="501" t="str">
        <f>Installment!B409</f>
        <v/>
      </c>
      <c r="D409" s="501" t="str">
        <f>IFERROR(__xludf.DUMMYFUNCTION("if(A409=""GBP"",if(B409="""","""",if(A409=$F$1,Installment!C409,Installment!C409*GOOGLEFINANCE(""Currency:""&amp;A409&amp;""""&amp;$F$1&amp;"""")))/100,if(B409="""","""",if(A409=$F$1,Installment!C409,Installment!C409*GOOGLEFINANCE(""Currency:""&amp;A409&amp;""""&amp;$F$1&amp;""""))))"),"")</f>
        <v/>
      </c>
      <c r="E409" s="501" t="str">
        <f>IFERROR(__xludf.DUMMYFUNCTION("if(A409=""GBP"",if(B409="""","""",if(A409=$F$1,Installment!H409,Installment!H409*GOOGLEFINANCE(""Currency:""&amp;A409&amp;""""&amp;$F$1&amp;"""")))/100,if(B409="""","""",if(A409=$F$1,Installment!H409,Installment!H409*GOOGLEFINANCE(""Currency:""&amp;A409&amp;""""&amp;$F$1&amp;""""))))"),"")</f>
        <v/>
      </c>
      <c r="F409" s="501" t="str">
        <f>IFERROR(__xludf.DUMMYFUNCTION("if(A409=""GBP"",if(B409="""","""",if(A409=$F$1,Installment!I409,Installment!I409*GOOGLEFINANCE(""Currency:""&amp;A409&amp;""""&amp;$F$1&amp;"""")))/100,if(B409="""","""",if(A409=$F$1,Installment!I409,Installment!I409*GOOGLEFINANCE(""Currency:""&amp;A409&amp;""""&amp;$F$1&amp;""""))))"),"")</f>
        <v/>
      </c>
      <c r="G409" s="501" t="str">
        <f t="shared" si="1"/>
        <v/>
      </c>
      <c r="H409" s="501" t="str">
        <f t="shared" si="2"/>
        <v/>
      </c>
      <c r="I409" s="501" t="str">
        <f t="shared" si="3"/>
        <v/>
      </c>
    </row>
    <row r="410">
      <c r="A410" s="501" t="str">
        <f>IFERROR(__xludf.DUMMYFUNCTION("IFERROR(if(ISBLANK(Installment!A410),"""",if(GOOGLEFINANCE(Installment!A410,""Currency"")=""GBX"",""GBP"",GOOGLEFINANCE(Installment!A410,""Currency""))),$F$1)"),"")</f>
        <v/>
      </c>
      <c r="B410" s="501" t="str">
        <f>Installment!A410</f>
        <v/>
      </c>
      <c r="C410" s="501" t="str">
        <f>Installment!B410</f>
        <v/>
      </c>
      <c r="D410" s="501" t="str">
        <f>IFERROR(__xludf.DUMMYFUNCTION("if(A410=""GBP"",if(B410="""","""",if(A410=$F$1,Installment!C410,Installment!C410*GOOGLEFINANCE(""Currency:""&amp;A410&amp;""""&amp;$F$1&amp;"""")))/100,if(B410="""","""",if(A410=$F$1,Installment!C410,Installment!C410*GOOGLEFINANCE(""Currency:""&amp;A410&amp;""""&amp;$F$1&amp;""""))))"),"")</f>
        <v/>
      </c>
      <c r="E410" s="501" t="str">
        <f>IFERROR(__xludf.DUMMYFUNCTION("if(A410=""GBP"",if(B410="""","""",if(A410=$F$1,Installment!H410,Installment!H410*GOOGLEFINANCE(""Currency:""&amp;A410&amp;""""&amp;$F$1&amp;"""")))/100,if(B410="""","""",if(A410=$F$1,Installment!H410,Installment!H410*GOOGLEFINANCE(""Currency:""&amp;A410&amp;""""&amp;$F$1&amp;""""))))"),"")</f>
        <v/>
      </c>
      <c r="F410" s="501" t="str">
        <f>IFERROR(__xludf.DUMMYFUNCTION("if(A410=""GBP"",if(B410="""","""",if(A410=$F$1,Installment!I410,Installment!I410*GOOGLEFINANCE(""Currency:""&amp;A410&amp;""""&amp;$F$1&amp;"""")))/100,if(B410="""","""",if(A410=$F$1,Installment!I410,Installment!I410*GOOGLEFINANCE(""Currency:""&amp;A410&amp;""""&amp;$F$1&amp;""""))))"),"")</f>
        <v/>
      </c>
      <c r="G410" s="501" t="str">
        <f t="shared" si="1"/>
        <v/>
      </c>
      <c r="H410" s="501" t="str">
        <f t="shared" si="2"/>
        <v/>
      </c>
      <c r="I410" s="501" t="str">
        <f t="shared" si="3"/>
        <v/>
      </c>
    </row>
    <row r="411">
      <c r="A411" s="501" t="str">
        <f>IFERROR(__xludf.DUMMYFUNCTION("IFERROR(if(ISBLANK(Installment!A411),"""",if(GOOGLEFINANCE(Installment!A411,""Currency"")=""GBX"",""GBP"",GOOGLEFINANCE(Installment!A411,""Currency""))),$F$1)"),"")</f>
        <v/>
      </c>
      <c r="B411" s="501" t="str">
        <f>Installment!A411</f>
        <v/>
      </c>
      <c r="C411" s="501" t="str">
        <f>Installment!B411</f>
        <v/>
      </c>
      <c r="D411" s="501" t="str">
        <f>IFERROR(__xludf.DUMMYFUNCTION("if(A411=""GBP"",if(B411="""","""",if(A411=$F$1,Installment!C411,Installment!C411*GOOGLEFINANCE(""Currency:""&amp;A411&amp;""""&amp;$F$1&amp;"""")))/100,if(B411="""","""",if(A411=$F$1,Installment!C411,Installment!C411*GOOGLEFINANCE(""Currency:""&amp;A411&amp;""""&amp;$F$1&amp;""""))))"),"")</f>
        <v/>
      </c>
      <c r="E411" s="501" t="str">
        <f>IFERROR(__xludf.DUMMYFUNCTION("if(A411=""GBP"",if(B411="""","""",if(A411=$F$1,Installment!H411,Installment!H411*GOOGLEFINANCE(""Currency:""&amp;A411&amp;""""&amp;$F$1&amp;"""")))/100,if(B411="""","""",if(A411=$F$1,Installment!H411,Installment!H411*GOOGLEFINANCE(""Currency:""&amp;A411&amp;""""&amp;$F$1&amp;""""))))"),"")</f>
        <v/>
      </c>
      <c r="F411" s="501" t="str">
        <f>IFERROR(__xludf.DUMMYFUNCTION("if(A411=""GBP"",if(B411="""","""",if(A411=$F$1,Installment!I411,Installment!I411*GOOGLEFINANCE(""Currency:""&amp;A411&amp;""""&amp;$F$1&amp;"""")))/100,if(B411="""","""",if(A411=$F$1,Installment!I411,Installment!I411*GOOGLEFINANCE(""Currency:""&amp;A411&amp;""""&amp;$F$1&amp;""""))))"),"")</f>
        <v/>
      </c>
      <c r="G411" s="501" t="str">
        <f t="shared" si="1"/>
        <v/>
      </c>
      <c r="H411" s="501" t="str">
        <f t="shared" si="2"/>
        <v/>
      </c>
      <c r="I411" s="501" t="str">
        <f t="shared" si="3"/>
        <v/>
      </c>
    </row>
    <row r="412">
      <c r="A412" s="501" t="str">
        <f>IFERROR(__xludf.DUMMYFUNCTION("IFERROR(if(ISBLANK(Installment!A412),"""",if(GOOGLEFINANCE(Installment!A412,""Currency"")=""GBX"",""GBP"",GOOGLEFINANCE(Installment!A412,""Currency""))),$F$1)"),"")</f>
        <v/>
      </c>
      <c r="B412" s="501" t="str">
        <f>Installment!A412</f>
        <v/>
      </c>
      <c r="C412" s="501" t="str">
        <f>Installment!B412</f>
        <v/>
      </c>
      <c r="D412" s="501" t="str">
        <f>IFERROR(__xludf.DUMMYFUNCTION("if(A412=""GBP"",if(B412="""","""",if(A412=$F$1,Installment!C412,Installment!C412*GOOGLEFINANCE(""Currency:""&amp;A412&amp;""""&amp;$F$1&amp;"""")))/100,if(B412="""","""",if(A412=$F$1,Installment!C412,Installment!C412*GOOGLEFINANCE(""Currency:""&amp;A412&amp;""""&amp;$F$1&amp;""""))))"),"")</f>
        <v/>
      </c>
      <c r="E412" s="501" t="str">
        <f>IFERROR(__xludf.DUMMYFUNCTION("if(A412=""GBP"",if(B412="""","""",if(A412=$F$1,Installment!H412,Installment!H412*GOOGLEFINANCE(""Currency:""&amp;A412&amp;""""&amp;$F$1&amp;"""")))/100,if(B412="""","""",if(A412=$F$1,Installment!H412,Installment!H412*GOOGLEFINANCE(""Currency:""&amp;A412&amp;""""&amp;$F$1&amp;""""))))"),"")</f>
        <v/>
      </c>
      <c r="F412" s="501" t="str">
        <f>IFERROR(__xludf.DUMMYFUNCTION("if(A412=""GBP"",if(B412="""","""",if(A412=$F$1,Installment!I412,Installment!I412*GOOGLEFINANCE(""Currency:""&amp;A412&amp;""""&amp;$F$1&amp;"""")))/100,if(B412="""","""",if(A412=$F$1,Installment!I412,Installment!I412*GOOGLEFINANCE(""Currency:""&amp;A412&amp;""""&amp;$F$1&amp;""""))))"),"")</f>
        <v/>
      </c>
      <c r="G412" s="501" t="str">
        <f t="shared" si="1"/>
        <v/>
      </c>
      <c r="H412" s="501" t="str">
        <f t="shared" si="2"/>
        <v/>
      </c>
      <c r="I412" s="501" t="str">
        <f t="shared" si="3"/>
        <v/>
      </c>
    </row>
    <row r="413">
      <c r="A413" s="501" t="str">
        <f>IFERROR(__xludf.DUMMYFUNCTION("IFERROR(if(ISBLANK(Installment!A413),"""",if(GOOGLEFINANCE(Installment!A413,""Currency"")=""GBX"",""GBP"",GOOGLEFINANCE(Installment!A413,""Currency""))),$F$1)"),"")</f>
        <v/>
      </c>
      <c r="B413" s="501" t="str">
        <f>Installment!A413</f>
        <v/>
      </c>
      <c r="C413" s="501" t="str">
        <f>Installment!B413</f>
        <v/>
      </c>
      <c r="D413" s="501" t="str">
        <f>IFERROR(__xludf.DUMMYFUNCTION("if(A413=""GBP"",if(B413="""","""",if(A413=$F$1,Installment!C413,Installment!C413*GOOGLEFINANCE(""Currency:""&amp;A413&amp;""""&amp;$F$1&amp;"""")))/100,if(B413="""","""",if(A413=$F$1,Installment!C413,Installment!C413*GOOGLEFINANCE(""Currency:""&amp;A413&amp;""""&amp;$F$1&amp;""""))))"),"")</f>
        <v/>
      </c>
      <c r="E413" s="501" t="str">
        <f>IFERROR(__xludf.DUMMYFUNCTION("if(A413=""GBP"",if(B413="""","""",if(A413=$F$1,Installment!H413,Installment!H413*GOOGLEFINANCE(""Currency:""&amp;A413&amp;""""&amp;$F$1&amp;"""")))/100,if(B413="""","""",if(A413=$F$1,Installment!H413,Installment!H413*GOOGLEFINANCE(""Currency:""&amp;A413&amp;""""&amp;$F$1&amp;""""))))"),"")</f>
        <v/>
      </c>
      <c r="F413" s="501" t="str">
        <f>IFERROR(__xludf.DUMMYFUNCTION("if(A413=""GBP"",if(B413="""","""",if(A413=$F$1,Installment!I413,Installment!I413*GOOGLEFINANCE(""Currency:""&amp;A413&amp;""""&amp;$F$1&amp;"""")))/100,if(B413="""","""",if(A413=$F$1,Installment!I413,Installment!I413*GOOGLEFINANCE(""Currency:""&amp;A413&amp;""""&amp;$F$1&amp;""""))))"),"")</f>
        <v/>
      </c>
      <c r="G413" s="501" t="str">
        <f t="shared" si="1"/>
        <v/>
      </c>
      <c r="H413" s="501" t="str">
        <f t="shared" si="2"/>
        <v/>
      </c>
      <c r="I413" s="501" t="str">
        <f t="shared" si="3"/>
        <v/>
      </c>
    </row>
    <row r="414">
      <c r="A414" s="501" t="str">
        <f>IFERROR(__xludf.DUMMYFUNCTION("IFERROR(if(ISBLANK(Installment!A414),"""",if(GOOGLEFINANCE(Installment!A414,""Currency"")=""GBX"",""GBP"",GOOGLEFINANCE(Installment!A414,""Currency""))),$F$1)"),"")</f>
        <v/>
      </c>
      <c r="B414" s="501" t="str">
        <f>Installment!A414</f>
        <v/>
      </c>
      <c r="C414" s="501" t="str">
        <f>Installment!B414</f>
        <v/>
      </c>
      <c r="D414" s="501" t="str">
        <f>IFERROR(__xludf.DUMMYFUNCTION("if(A414=""GBP"",if(B414="""","""",if(A414=$F$1,Installment!C414,Installment!C414*GOOGLEFINANCE(""Currency:""&amp;A414&amp;""""&amp;$F$1&amp;"""")))/100,if(B414="""","""",if(A414=$F$1,Installment!C414,Installment!C414*GOOGLEFINANCE(""Currency:""&amp;A414&amp;""""&amp;$F$1&amp;""""))))"),"")</f>
        <v/>
      </c>
      <c r="E414" s="501" t="str">
        <f>IFERROR(__xludf.DUMMYFUNCTION("if(A414=""GBP"",if(B414="""","""",if(A414=$F$1,Installment!H414,Installment!H414*GOOGLEFINANCE(""Currency:""&amp;A414&amp;""""&amp;$F$1&amp;"""")))/100,if(B414="""","""",if(A414=$F$1,Installment!H414,Installment!H414*GOOGLEFINANCE(""Currency:""&amp;A414&amp;""""&amp;$F$1&amp;""""))))"),"")</f>
        <v/>
      </c>
      <c r="F414" s="501" t="str">
        <f>IFERROR(__xludf.DUMMYFUNCTION("if(A414=""GBP"",if(B414="""","""",if(A414=$F$1,Installment!I414,Installment!I414*GOOGLEFINANCE(""Currency:""&amp;A414&amp;""""&amp;$F$1&amp;"""")))/100,if(B414="""","""",if(A414=$F$1,Installment!I414,Installment!I414*GOOGLEFINANCE(""Currency:""&amp;A414&amp;""""&amp;$F$1&amp;""""))))"),"")</f>
        <v/>
      </c>
      <c r="G414" s="501" t="str">
        <f t="shared" si="1"/>
        <v/>
      </c>
      <c r="H414" s="501" t="str">
        <f t="shared" si="2"/>
        <v/>
      </c>
      <c r="I414" s="501" t="str">
        <f t="shared" si="3"/>
        <v/>
      </c>
    </row>
    <row r="415">
      <c r="A415" s="501" t="str">
        <f>IFERROR(__xludf.DUMMYFUNCTION("IFERROR(if(ISBLANK(Installment!A415),"""",if(GOOGLEFINANCE(Installment!A415,""Currency"")=""GBX"",""GBP"",GOOGLEFINANCE(Installment!A415,""Currency""))),$F$1)"),"")</f>
        <v/>
      </c>
      <c r="B415" s="501" t="str">
        <f>Installment!A415</f>
        <v/>
      </c>
      <c r="C415" s="501" t="str">
        <f>Installment!B415</f>
        <v/>
      </c>
      <c r="D415" s="501" t="str">
        <f>IFERROR(__xludf.DUMMYFUNCTION("if(A415=""GBP"",if(B415="""","""",if(A415=$F$1,Installment!C415,Installment!C415*GOOGLEFINANCE(""Currency:""&amp;A415&amp;""""&amp;$F$1&amp;"""")))/100,if(B415="""","""",if(A415=$F$1,Installment!C415,Installment!C415*GOOGLEFINANCE(""Currency:""&amp;A415&amp;""""&amp;$F$1&amp;""""))))"),"")</f>
        <v/>
      </c>
      <c r="E415" s="501" t="str">
        <f>IFERROR(__xludf.DUMMYFUNCTION("if(A415=""GBP"",if(B415="""","""",if(A415=$F$1,Installment!H415,Installment!H415*GOOGLEFINANCE(""Currency:""&amp;A415&amp;""""&amp;$F$1&amp;"""")))/100,if(B415="""","""",if(A415=$F$1,Installment!H415,Installment!H415*GOOGLEFINANCE(""Currency:""&amp;A415&amp;""""&amp;$F$1&amp;""""))))"),"")</f>
        <v/>
      </c>
      <c r="F415" s="501" t="str">
        <f>IFERROR(__xludf.DUMMYFUNCTION("if(A415=""GBP"",if(B415="""","""",if(A415=$F$1,Installment!I415,Installment!I415*GOOGLEFINANCE(""Currency:""&amp;A415&amp;""""&amp;$F$1&amp;"""")))/100,if(B415="""","""",if(A415=$F$1,Installment!I415,Installment!I415*GOOGLEFINANCE(""Currency:""&amp;A415&amp;""""&amp;$F$1&amp;""""))))"),"")</f>
        <v/>
      </c>
      <c r="G415" s="501" t="str">
        <f t="shared" si="1"/>
        <v/>
      </c>
      <c r="H415" s="501" t="str">
        <f t="shared" si="2"/>
        <v/>
      </c>
      <c r="I415" s="501" t="str">
        <f t="shared" si="3"/>
        <v/>
      </c>
    </row>
    <row r="416">
      <c r="A416" s="501" t="str">
        <f>IFERROR(__xludf.DUMMYFUNCTION("IFERROR(if(ISBLANK(Installment!A416),"""",if(GOOGLEFINANCE(Installment!A416,""Currency"")=""GBX"",""GBP"",GOOGLEFINANCE(Installment!A416,""Currency""))),$F$1)"),"")</f>
        <v/>
      </c>
      <c r="B416" s="501" t="str">
        <f>Installment!A416</f>
        <v/>
      </c>
      <c r="C416" s="501" t="str">
        <f>Installment!B416</f>
        <v/>
      </c>
      <c r="D416" s="501" t="str">
        <f>IFERROR(__xludf.DUMMYFUNCTION("if(A416=""GBP"",if(B416="""","""",if(A416=$F$1,Installment!C416,Installment!C416*GOOGLEFINANCE(""Currency:""&amp;A416&amp;""""&amp;$F$1&amp;"""")))/100,if(B416="""","""",if(A416=$F$1,Installment!C416,Installment!C416*GOOGLEFINANCE(""Currency:""&amp;A416&amp;""""&amp;$F$1&amp;""""))))"),"")</f>
        <v/>
      </c>
      <c r="E416" s="501" t="str">
        <f>IFERROR(__xludf.DUMMYFUNCTION("if(A416=""GBP"",if(B416="""","""",if(A416=$F$1,Installment!H416,Installment!H416*GOOGLEFINANCE(""Currency:""&amp;A416&amp;""""&amp;$F$1&amp;"""")))/100,if(B416="""","""",if(A416=$F$1,Installment!H416,Installment!H416*GOOGLEFINANCE(""Currency:""&amp;A416&amp;""""&amp;$F$1&amp;""""))))"),"")</f>
        <v/>
      </c>
      <c r="F416" s="501" t="str">
        <f>IFERROR(__xludf.DUMMYFUNCTION("if(A416=""GBP"",if(B416="""","""",if(A416=$F$1,Installment!I416,Installment!I416*GOOGLEFINANCE(""Currency:""&amp;A416&amp;""""&amp;$F$1&amp;"""")))/100,if(B416="""","""",if(A416=$F$1,Installment!I416,Installment!I416*GOOGLEFINANCE(""Currency:""&amp;A416&amp;""""&amp;$F$1&amp;""""))))"),"")</f>
        <v/>
      </c>
      <c r="G416" s="501" t="str">
        <f t="shared" si="1"/>
        <v/>
      </c>
      <c r="H416" s="501" t="str">
        <f t="shared" si="2"/>
        <v/>
      </c>
      <c r="I416" s="501" t="str">
        <f t="shared" si="3"/>
        <v/>
      </c>
    </row>
    <row r="417">
      <c r="A417" s="501" t="str">
        <f>IFERROR(__xludf.DUMMYFUNCTION("IFERROR(if(ISBLANK(Installment!A417),"""",if(GOOGLEFINANCE(Installment!A417,""Currency"")=""GBX"",""GBP"",GOOGLEFINANCE(Installment!A417,""Currency""))),$F$1)"),"")</f>
        <v/>
      </c>
      <c r="B417" s="501" t="str">
        <f>Installment!A417</f>
        <v/>
      </c>
      <c r="C417" s="501" t="str">
        <f>Installment!B417</f>
        <v/>
      </c>
      <c r="D417" s="501" t="str">
        <f>IFERROR(__xludf.DUMMYFUNCTION("if(A417=""GBP"",if(B417="""","""",if(A417=$F$1,Installment!C417,Installment!C417*GOOGLEFINANCE(""Currency:""&amp;A417&amp;""""&amp;$F$1&amp;"""")))/100,if(B417="""","""",if(A417=$F$1,Installment!C417,Installment!C417*GOOGLEFINANCE(""Currency:""&amp;A417&amp;""""&amp;$F$1&amp;""""))))"),"")</f>
        <v/>
      </c>
      <c r="E417" s="501" t="str">
        <f>IFERROR(__xludf.DUMMYFUNCTION("if(A417=""GBP"",if(B417="""","""",if(A417=$F$1,Installment!H417,Installment!H417*GOOGLEFINANCE(""Currency:""&amp;A417&amp;""""&amp;$F$1&amp;"""")))/100,if(B417="""","""",if(A417=$F$1,Installment!H417,Installment!H417*GOOGLEFINANCE(""Currency:""&amp;A417&amp;""""&amp;$F$1&amp;""""))))"),"")</f>
        <v/>
      </c>
      <c r="F417" s="501" t="str">
        <f>IFERROR(__xludf.DUMMYFUNCTION("if(A417=""GBP"",if(B417="""","""",if(A417=$F$1,Installment!I417,Installment!I417*GOOGLEFINANCE(""Currency:""&amp;A417&amp;""""&amp;$F$1&amp;"""")))/100,if(B417="""","""",if(A417=$F$1,Installment!I417,Installment!I417*GOOGLEFINANCE(""Currency:""&amp;A417&amp;""""&amp;$F$1&amp;""""))))"),"")</f>
        <v/>
      </c>
      <c r="G417" s="501" t="str">
        <f t="shared" si="1"/>
        <v/>
      </c>
      <c r="H417" s="501" t="str">
        <f t="shared" si="2"/>
        <v/>
      </c>
      <c r="I417" s="501" t="str">
        <f t="shared" si="3"/>
        <v/>
      </c>
    </row>
    <row r="418">
      <c r="A418" s="501" t="str">
        <f>IFERROR(__xludf.DUMMYFUNCTION("IFERROR(if(ISBLANK(Installment!A418),"""",if(GOOGLEFINANCE(Installment!A418,""Currency"")=""GBX"",""GBP"",GOOGLEFINANCE(Installment!A418,""Currency""))),$F$1)"),"")</f>
        <v/>
      </c>
      <c r="B418" s="501" t="str">
        <f>Installment!A418</f>
        <v/>
      </c>
      <c r="C418" s="501" t="str">
        <f>Installment!B418</f>
        <v/>
      </c>
      <c r="D418" s="501" t="str">
        <f>IFERROR(__xludf.DUMMYFUNCTION("if(A418=""GBP"",if(B418="""","""",if(A418=$F$1,Installment!C418,Installment!C418*GOOGLEFINANCE(""Currency:""&amp;A418&amp;""""&amp;$F$1&amp;"""")))/100,if(B418="""","""",if(A418=$F$1,Installment!C418,Installment!C418*GOOGLEFINANCE(""Currency:""&amp;A418&amp;""""&amp;$F$1&amp;""""))))"),"")</f>
        <v/>
      </c>
      <c r="E418" s="501" t="str">
        <f>IFERROR(__xludf.DUMMYFUNCTION("if(A418=""GBP"",if(B418="""","""",if(A418=$F$1,Installment!H418,Installment!H418*GOOGLEFINANCE(""Currency:""&amp;A418&amp;""""&amp;$F$1&amp;"""")))/100,if(B418="""","""",if(A418=$F$1,Installment!H418,Installment!H418*GOOGLEFINANCE(""Currency:""&amp;A418&amp;""""&amp;$F$1&amp;""""))))"),"")</f>
        <v/>
      </c>
      <c r="F418" s="501" t="str">
        <f>IFERROR(__xludf.DUMMYFUNCTION("if(A418=""GBP"",if(B418="""","""",if(A418=$F$1,Installment!I418,Installment!I418*GOOGLEFINANCE(""Currency:""&amp;A418&amp;""""&amp;$F$1&amp;"""")))/100,if(B418="""","""",if(A418=$F$1,Installment!I418,Installment!I418*GOOGLEFINANCE(""Currency:""&amp;A418&amp;""""&amp;$F$1&amp;""""))))"),"")</f>
        <v/>
      </c>
      <c r="G418" s="501" t="str">
        <f t="shared" si="1"/>
        <v/>
      </c>
      <c r="H418" s="501" t="str">
        <f t="shared" si="2"/>
        <v/>
      </c>
      <c r="I418" s="501" t="str">
        <f t="shared" si="3"/>
        <v/>
      </c>
    </row>
    <row r="419">
      <c r="A419" s="501" t="str">
        <f>IFERROR(__xludf.DUMMYFUNCTION("IFERROR(if(ISBLANK(Installment!A419),"""",if(GOOGLEFINANCE(Installment!A419,""Currency"")=""GBX"",""GBP"",GOOGLEFINANCE(Installment!A419,""Currency""))),$F$1)"),"")</f>
        <v/>
      </c>
      <c r="B419" s="501" t="str">
        <f>Installment!A419</f>
        <v/>
      </c>
      <c r="C419" s="501" t="str">
        <f>Installment!B419</f>
        <v/>
      </c>
      <c r="D419" s="501" t="str">
        <f>IFERROR(__xludf.DUMMYFUNCTION("if(A419=""GBP"",if(B419="""","""",if(A419=$F$1,Installment!C419,Installment!C419*GOOGLEFINANCE(""Currency:""&amp;A419&amp;""""&amp;$F$1&amp;"""")))/100,if(B419="""","""",if(A419=$F$1,Installment!C419,Installment!C419*GOOGLEFINANCE(""Currency:""&amp;A419&amp;""""&amp;$F$1&amp;""""))))"),"")</f>
        <v/>
      </c>
      <c r="E419" s="501" t="str">
        <f>IFERROR(__xludf.DUMMYFUNCTION("if(A419=""GBP"",if(B419="""","""",if(A419=$F$1,Installment!H419,Installment!H419*GOOGLEFINANCE(""Currency:""&amp;A419&amp;""""&amp;$F$1&amp;"""")))/100,if(B419="""","""",if(A419=$F$1,Installment!H419,Installment!H419*GOOGLEFINANCE(""Currency:""&amp;A419&amp;""""&amp;$F$1&amp;""""))))"),"")</f>
        <v/>
      </c>
      <c r="F419" s="501" t="str">
        <f>IFERROR(__xludf.DUMMYFUNCTION("if(A419=""GBP"",if(B419="""","""",if(A419=$F$1,Installment!I419,Installment!I419*GOOGLEFINANCE(""Currency:""&amp;A419&amp;""""&amp;$F$1&amp;"""")))/100,if(B419="""","""",if(A419=$F$1,Installment!I419,Installment!I419*GOOGLEFINANCE(""Currency:""&amp;A419&amp;""""&amp;$F$1&amp;""""))))"),"")</f>
        <v/>
      </c>
      <c r="G419" s="501" t="str">
        <f t="shared" si="1"/>
        <v/>
      </c>
      <c r="H419" s="501" t="str">
        <f t="shared" si="2"/>
        <v/>
      </c>
      <c r="I419" s="501" t="str">
        <f t="shared" si="3"/>
        <v/>
      </c>
    </row>
    <row r="420">
      <c r="A420" s="501" t="str">
        <f>IFERROR(__xludf.DUMMYFUNCTION("IFERROR(if(ISBLANK(Installment!A420),"""",if(GOOGLEFINANCE(Installment!A420,""Currency"")=""GBX"",""GBP"",GOOGLEFINANCE(Installment!A420,""Currency""))),$F$1)"),"")</f>
        <v/>
      </c>
      <c r="B420" s="501" t="str">
        <f>Installment!A420</f>
        <v/>
      </c>
      <c r="C420" s="501" t="str">
        <f>Installment!B420</f>
        <v/>
      </c>
      <c r="D420" s="501" t="str">
        <f>IFERROR(__xludf.DUMMYFUNCTION("if(A420=""GBP"",if(B420="""","""",if(A420=$F$1,Installment!C420,Installment!C420*GOOGLEFINANCE(""Currency:""&amp;A420&amp;""""&amp;$F$1&amp;"""")))/100,if(B420="""","""",if(A420=$F$1,Installment!C420,Installment!C420*GOOGLEFINANCE(""Currency:""&amp;A420&amp;""""&amp;$F$1&amp;""""))))"),"")</f>
        <v/>
      </c>
      <c r="E420" s="501" t="str">
        <f>IFERROR(__xludf.DUMMYFUNCTION("if(A420=""GBP"",if(B420="""","""",if(A420=$F$1,Installment!H420,Installment!H420*GOOGLEFINANCE(""Currency:""&amp;A420&amp;""""&amp;$F$1&amp;"""")))/100,if(B420="""","""",if(A420=$F$1,Installment!H420,Installment!H420*GOOGLEFINANCE(""Currency:""&amp;A420&amp;""""&amp;$F$1&amp;""""))))"),"")</f>
        <v/>
      </c>
      <c r="F420" s="501" t="str">
        <f>IFERROR(__xludf.DUMMYFUNCTION("if(A420=""GBP"",if(B420="""","""",if(A420=$F$1,Installment!I420,Installment!I420*GOOGLEFINANCE(""Currency:""&amp;A420&amp;""""&amp;$F$1&amp;"""")))/100,if(B420="""","""",if(A420=$F$1,Installment!I420,Installment!I420*GOOGLEFINANCE(""Currency:""&amp;A420&amp;""""&amp;$F$1&amp;""""))))"),"")</f>
        <v/>
      </c>
      <c r="G420" s="501" t="str">
        <f t="shared" si="1"/>
        <v/>
      </c>
      <c r="H420" s="501" t="str">
        <f t="shared" si="2"/>
        <v/>
      </c>
      <c r="I420" s="501" t="str">
        <f t="shared" si="3"/>
        <v/>
      </c>
    </row>
    <row r="421">
      <c r="A421" s="501" t="str">
        <f>IFERROR(__xludf.DUMMYFUNCTION("IFERROR(if(ISBLANK(Installment!A421),"""",if(GOOGLEFINANCE(Installment!A421,""Currency"")=""GBX"",""GBP"",GOOGLEFINANCE(Installment!A421,""Currency""))),$F$1)"),"")</f>
        <v/>
      </c>
      <c r="B421" s="501" t="str">
        <f>Installment!A421</f>
        <v/>
      </c>
      <c r="C421" s="501" t="str">
        <f>Installment!B421</f>
        <v/>
      </c>
      <c r="D421" s="501" t="str">
        <f>IFERROR(__xludf.DUMMYFUNCTION("if(A421=""GBP"",if(B421="""","""",if(A421=$F$1,Installment!C421,Installment!C421*GOOGLEFINANCE(""Currency:""&amp;A421&amp;""""&amp;$F$1&amp;"""")))/100,if(B421="""","""",if(A421=$F$1,Installment!C421,Installment!C421*GOOGLEFINANCE(""Currency:""&amp;A421&amp;""""&amp;$F$1&amp;""""))))"),"")</f>
        <v/>
      </c>
      <c r="E421" s="501" t="str">
        <f>IFERROR(__xludf.DUMMYFUNCTION("if(A421=""GBP"",if(B421="""","""",if(A421=$F$1,Installment!H421,Installment!H421*GOOGLEFINANCE(""Currency:""&amp;A421&amp;""""&amp;$F$1&amp;"""")))/100,if(B421="""","""",if(A421=$F$1,Installment!H421,Installment!H421*GOOGLEFINANCE(""Currency:""&amp;A421&amp;""""&amp;$F$1&amp;""""))))"),"")</f>
        <v/>
      </c>
      <c r="F421" s="501" t="str">
        <f>IFERROR(__xludf.DUMMYFUNCTION("if(A421=""GBP"",if(B421="""","""",if(A421=$F$1,Installment!I421,Installment!I421*GOOGLEFINANCE(""Currency:""&amp;A421&amp;""""&amp;$F$1&amp;"""")))/100,if(B421="""","""",if(A421=$F$1,Installment!I421,Installment!I421*GOOGLEFINANCE(""Currency:""&amp;A421&amp;""""&amp;$F$1&amp;""""))))"),"")</f>
        <v/>
      </c>
      <c r="G421" s="501" t="str">
        <f t="shared" si="1"/>
        <v/>
      </c>
      <c r="H421" s="501" t="str">
        <f t="shared" si="2"/>
        <v/>
      </c>
      <c r="I421" s="501" t="str">
        <f t="shared" si="3"/>
        <v/>
      </c>
    </row>
    <row r="422">
      <c r="A422" s="501" t="str">
        <f>IFERROR(__xludf.DUMMYFUNCTION("IFERROR(if(ISBLANK(Installment!A422),"""",if(GOOGLEFINANCE(Installment!A422,""Currency"")=""GBX"",""GBP"",GOOGLEFINANCE(Installment!A422,""Currency""))),$F$1)"),"")</f>
        <v/>
      </c>
      <c r="B422" s="501" t="str">
        <f>Installment!A422</f>
        <v/>
      </c>
      <c r="C422" s="501" t="str">
        <f>Installment!B422</f>
        <v/>
      </c>
      <c r="D422" s="501" t="str">
        <f>IFERROR(__xludf.DUMMYFUNCTION("if(A422=""GBP"",if(B422="""","""",if(A422=$F$1,Installment!C422,Installment!C422*GOOGLEFINANCE(""Currency:""&amp;A422&amp;""""&amp;$F$1&amp;"""")))/100,if(B422="""","""",if(A422=$F$1,Installment!C422,Installment!C422*GOOGLEFINANCE(""Currency:""&amp;A422&amp;""""&amp;$F$1&amp;""""))))"),"")</f>
        <v/>
      </c>
      <c r="E422" s="501" t="str">
        <f>IFERROR(__xludf.DUMMYFUNCTION("if(A422=""GBP"",if(B422="""","""",if(A422=$F$1,Installment!H422,Installment!H422*GOOGLEFINANCE(""Currency:""&amp;A422&amp;""""&amp;$F$1&amp;"""")))/100,if(B422="""","""",if(A422=$F$1,Installment!H422,Installment!H422*GOOGLEFINANCE(""Currency:""&amp;A422&amp;""""&amp;$F$1&amp;""""))))"),"")</f>
        <v/>
      </c>
      <c r="F422" s="501" t="str">
        <f>IFERROR(__xludf.DUMMYFUNCTION("if(A422=""GBP"",if(B422="""","""",if(A422=$F$1,Installment!I422,Installment!I422*GOOGLEFINANCE(""Currency:""&amp;A422&amp;""""&amp;$F$1&amp;"""")))/100,if(B422="""","""",if(A422=$F$1,Installment!I422,Installment!I422*GOOGLEFINANCE(""Currency:""&amp;A422&amp;""""&amp;$F$1&amp;""""))))"),"")</f>
        <v/>
      </c>
      <c r="G422" s="501" t="str">
        <f t="shared" si="1"/>
        <v/>
      </c>
      <c r="H422" s="501" t="str">
        <f t="shared" si="2"/>
        <v/>
      </c>
      <c r="I422" s="501" t="str">
        <f t="shared" si="3"/>
        <v/>
      </c>
    </row>
    <row r="423">
      <c r="A423" s="501" t="str">
        <f>IFERROR(__xludf.DUMMYFUNCTION("IFERROR(if(ISBLANK(Installment!A423),"""",if(GOOGLEFINANCE(Installment!A423,""Currency"")=""GBX"",""GBP"",GOOGLEFINANCE(Installment!A423,""Currency""))),$F$1)"),"")</f>
        <v/>
      </c>
      <c r="B423" s="501" t="str">
        <f>Installment!A423</f>
        <v/>
      </c>
      <c r="C423" s="501" t="str">
        <f>Installment!B423</f>
        <v/>
      </c>
      <c r="D423" s="501" t="str">
        <f>IFERROR(__xludf.DUMMYFUNCTION("if(A423=""GBP"",if(B423="""","""",if(A423=$F$1,Installment!C423,Installment!C423*GOOGLEFINANCE(""Currency:""&amp;A423&amp;""""&amp;$F$1&amp;"""")))/100,if(B423="""","""",if(A423=$F$1,Installment!C423,Installment!C423*GOOGLEFINANCE(""Currency:""&amp;A423&amp;""""&amp;$F$1&amp;""""))))"),"")</f>
        <v/>
      </c>
      <c r="E423" s="501" t="str">
        <f>IFERROR(__xludf.DUMMYFUNCTION("if(A423=""GBP"",if(B423="""","""",if(A423=$F$1,Installment!H423,Installment!H423*GOOGLEFINANCE(""Currency:""&amp;A423&amp;""""&amp;$F$1&amp;"""")))/100,if(B423="""","""",if(A423=$F$1,Installment!H423,Installment!H423*GOOGLEFINANCE(""Currency:""&amp;A423&amp;""""&amp;$F$1&amp;""""))))"),"")</f>
        <v/>
      </c>
      <c r="F423" s="501" t="str">
        <f>IFERROR(__xludf.DUMMYFUNCTION("if(A423=""GBP"",if(B423="""","""",if(A423=$F$1,Installment!I423,Installment!I423*GOOGLEFINANCE(""Currency:""&amp;A423&amp;""""&amp;$F$1&amp;"""")))/100,if(B423="""","""",if(A423=$F$1,Installment!I423,Installment!I423*GOOGLEFINANCE(""Currency:""&amp;A423&amp;""""&amp;$F$1&amp;""""))))"),"")</f>
        <v/>
      </c>
      <c r="G423" s="501" t="str">
        <f t="shared" si="1"/>
        <v/>
      </c>
      <c r="H423" s="501" t="str">
        <f t="shared" si="2"/>
        <v/>
      </c>
      <c r="I423" s="501" t="str">
        <f t="shared" si="3"/>
        <v/>
      </c>
    </row>
    <row r="424">
      <c r="A424" s="501" t="str">
        <f>IFERROR(__xludf.DUMMYFUNCTION("IFERROR(if(ISBLANK(Installment!A424),"""",if(GOOGLEFINANCE(Installment!A424,""Currency"")=""GBX"",""GBP"",GOOGLEFINANCE(Installment!A424,""Currency""))),$F$1)"),"")</f>
        <v/>
      </c>
      <c r="B424" s="501" t="str">
        <f>Installment!A424</f>
        <v/>
      </c>
      <c r="C424" s="501" t="str">
        <f>Installment!B424</f>
        <v/>
      </c>
      <c r="D424" s="501" t="str">
        <f>IFERROR(__xludf.DUMMYFUNCTION("if(A424=""GBP"",if(B424="""","""",if(A424=$F$1,Installment!C424,Installment!C424*GOOGLEFINANCE(""Currency:""&amp;A424&amp;""""&amp;$F$1&amp;"""")))/100,if(B424="""","""",if(A424=$F$1,Installment!C424,Installment!C424*GOOGLEFINANCE(""Currency:""&amp;A424&amp;""""&amp;$F$1&amp;""""))))"),"")</f>
        <v/>
      </c>
      <c r="E424" s="501" t="str">
        <f>IFERROR(__xludf.DUMMYFUNCTION("if(A424=""GBP"",if(B424="""","""",if(A424=$F$1,Installment!H424,Installment!H424*GOOGLEFINANCE(""Currency:""&amp;A424&amp;""""&amp;$F$1&amp;"""")))/100,if(B424="""","""",if(A424=$F$1,Installment!H424,Installment!H424*GOOGLEFINANCE(""Currency:""&amp;A424&amp;""""&amp;$F$1&amp;""""))))"),"")</f>
        <v/>
      </c>
      <c r="F424" s="501" t="str">
        <f>IFERROR(__xludf.DUMMYFUNCTION("if(A424=""GBP"",if(B424="""","""",if(A424=$F$1,Installment!I424,Installment!I424*GOOGLEFINANCE(""Currency:""&amp;A424&amp;""""&amp;$F$1&amp;"""")))/100,if(B424="""","""",if(A424=$F$1,Installment!I424,Installment!I424*GOOGLEFINANCE(""Currency:""&amp;A424&amp;""""&amp;$F$1&amp;""""))))"),"")</f>
        <v/>
      </c>
      <c r="G424" s="501" t="str">
        <f t="shared" si="1"/>
        <v/>
      </c>
      <c r="H424" s="501" t="str">
        <f t="shared" si="2"/>
        <v/>
      </c>
      <c r="I424" s="501" t="str">
        <f t="shared" si="3"/>
        <v/>
      </c>
    </row>
    <row r="425">
      <c r="A425" s="501" t="str">
        <f>IFERROR(__xludf.DUMMYFUNCTION("IFERROR(if(ISBLANK(Installment!A425),"""",if(GOOGLEFINANCE(Installment!A425,""Currency"")=""GBX"",""GBP"",GOOGLEFINANCE(Installment!A425,""Currency""))),$F$1)"),"")</f>
        <v/>
      </c>
      <c r="B425" s="501" t="str">
        <f>Installment!A425</f>
        <v/>
      </c>
      <c r="C425" s="501" t="str">
        <f>Installment!B425</f>
        <v/>
      </c>
      <c r="D425" s="501" t="str">
        <f>IFERROR(__xludf.DUMMYFUNCTION("if(A425=""GBP"",if(B425="""","""",if(A425=$F$1,Installment!C425,Installment!C425*GOOGLEFINANCE(""Currency:""&amp;A425&amp;""""&amp;$F$1&amp;"""")))/100,if(B425="""","""",if(A425=$F$1,Installment!C425,Installment!C425*GOOGLEFINANCE(""Currency:""&amp;A425&amp;""""&amp;$F$1&amp;""""))))"),"")</f>
        <v/>
      </c>
      <c r="E425" s="501" t="str">
        <f>IFERROR(__xludf.DUMMYFUNCTION("if(A425=""GBP"",if(B425="""","""",if(A425=$F$1,Installment!H425,Installment!H425*GOOGLEFINANCE(""Currency:""&amp;A425&amp;""""&amp;$F$1&amp;"""")))/100,if(B425="""","""",if(A425=$F$1,Installment!H425,Installment!H425*GOOGLEFINANCE(""Currency:""&amp;A425&amp;""""&amp;$F$1&amp;""""))))"),"")</f>
        <v/>
      </c>
      <c r="F425" s="501" t="str">
        <f>IFERROR(__xludf.DUMMYFUNCTION("if(A425=""GBP"",if(B425="""","""",if(A425=$F$1,Installment!I425,Installment!I425*GOOGLEFINANCE(""Currency:""&amp;A425&amp;""""&amp;$F$1&amp;"""")))/100,if(B425="""","""",if(A425=$F$1,Installment!I425,Installment!I425*GOOGLEFINANCE(""Currency:""&amp;A425&amp;""""&amp;$F$1&amp;""""))))"),"")</f>
        <v/>
      </c>
      <c r="G425" s="501" t="str">
        <f t="shared" si="1"/>
        <v/>
      </c>
      <c r="H425" s="501" t="str">
        <f t="shared" si="2"/>
        <v/>
      </c>
      <c r="I425" s="501" t="str">
        <f t="shared" si="3"/>
        <v/>
      </c>
    </row>
    <row r="426">
      <c r="A426" s="501" t="str">
        <f>IFERROR(__xludf.DUMMYFUNCTION("IFERROR(if(ISBLANK(Installment!A426),"""",if(GOOGLEFINANCE(Installment!A426,""Currency"")=""GBX"",""GBP"",GOOGLEFINANCE(Installment!A426,""Currency""))),$F$1)"),"")</f>
        <v/>
      </c>
      <c r="B426" s="501" t="str">
        <f>Installment!A426</f>
        <v/>
      </c>
      <c r="C426" s="501" t="str">
        <f>Installment!B426</f>
        <v/>
      </c>
      <c r="D426" s="501" t="str">
        <f>IFERROR(__xludf.DUMMYFUNCTION("if(A426=""GBP"",if(B426="""","""",if(A426=$F$1,Installment!C426,Installment!C426*GOOGLEFINANCE(""Currency:""&amp;A426&amp;""""&amp;$F$1&amp;"""")))/100,if(B426="""","""",if(A426=$F$1,Installment!C426,Installment!C426*GOOGLEFINANCE(""Currency:""&amp;A426&amp;""""&amp;$F$1&amp;""""))))"),"")</f>
        <v/>
      </c>
      <c r="E426" s="501" t="str">
        <f>IFERROR(__xludf.DUMMYFUNCTION("if(A426=""GBP"",if(B426="""","""",if(A426=$F$1,Installment!H426,Installment!H426*GOOGLEFINANCE(""Currency:""&amp;A426&amp;""""&amp;$F$1&amp;"""")))/100,if(B426="""","""",if(A426=$F$1,Installment!H426,Installment!H426*GOOGLEFINANCE(""Currency:""&amp;A426&amp;""""&amp;$F$1&amp;""""))))"),"")</f>
        <v/>
      </c>
      <c r="F426" s="501" t="str">
        <f>IFERROR(__xludf.DUMMYFUNCTION("if(A426=""GBP"",if(B426="""","""",if(A426=$F$1,Installment!I426,Installment!I426*GOOGLEFINANCE(""Currency:""&amp;A426&amp;""""&amp;$F$1&amp;"""")))/100,if(B426="""","""",if(A426=$F$1,Installment!I426,Installment!I426*GOOGLEFINANCE(""Currency:""&amp;A426&amp;""""&amp;$F$1&amp;""""))))"),"")</f>
        <v/>
      </c>
      <c r="G426" s="501" t="str">
        <f t="shared" si="1"/>
        <v/>
      </c>
      <c r="H426" s="501" t="str">
        <f t="shared" si="2"/>
        <v/>
      </c>
      <c r="I426" s="501" t="str">
        <f t="shared" si="3"/>
        <v/>
      </c>
    </row>
    <row r="427">
      <c r="A427" s="501" t="str">
        <f>IFERROR(__xludf.DUMMYFUNCTION("IFERROR(if(ISBLANK(Installment!A427),"""",if(GOOGLEFINANCE(Installment!A427,""Currency"")=""GBX"",""GBP"",GOOGLEFINANCE(Installment!A427,""Currency""))),$F$1)"),"")</f>
        <v/>
      </c>
      <c r="B427" s="501" t="str">
        <f>Installment!A427</f>
        <v/>
      </c>
      <c r="C427" s="501" t="str">
        <f>Installment!B427</f>
        <v/>
      </c>
      <c r="D427" s="501" t="str">
        <f>IFERROR(__xludf.DUMMYFUNCTION("if(A427=""GBP"",if(B427="""","""",if(A427=$F$1,Installment!C427,Installment!C427*GOOGLEFINANCE(""Currency:""&amp;A427&amp;""""&amp;$F$1&amp;"""")))/100,if(B427="""","""",if(A427=$F$1,Installment!C427,Installment!C427*GOOGLEFINANCE(""Currency:""&amp;A427&amp;""""&amp;$F$1&amp;""""))))"),"")</f>
        <v/>
      </c>
      <c r="E427" s="501" t="str">
        <f>IFERROR(__xludf.DUMMYFUNCTION("if(A427=""GBP"",if(B427="""","""",if(A427=$F$1,Installment!H427,Installment!H427*GOOGLEFINANCE(""Currency:""&amp;A427&amp;""""&amp;$F$1&amp;"""")))/100,if(B427="""","""",if(A427=$F$1,Installment!H427,Installment!H427*GOOGLEFINANCE(""Currency:""&amp;A427&amp;""""&amp;$F$1&amp;""""))))"),"")</f>
        <v/>
      </c>
      <c r="F427" s="501" t="str">
        <f>IFERROR(__xludf.DUMMYFUNCTION("if(A427=""GBP"",if(B427="""","""",if(A427=$F$1,Installment!I427,Installment!I427*GOOGLEFINANCE(""Currency:""&amp;A427&amp;""""&amp;$F$1&amp;"""")))/100,if(B427="""","""",if(A427=$F$1,Installment!I427,Installment!I427*GOOGLEFINANCE(""Currency:""&amp;A427&amp;""""&amp;$F$1&amp;""""))))"),"")</f>
        <v/>
      </c>
      <c r="G427" s="501" t="str">
        <f t="shared" si="1"/>
        <v/>
      </c>
      <c r="H427" s="501" t="str">
        <f t="shared" si="2"/>
        <v/>
      </c>
      <c r="I427" s="501" t="str">
        <f t="shared" si="3"/>
        <v/>
      </c>
    </row>
    <row r="428">
      <c r="A428" s="501" t="str">
        <f>IFERROR(__xludf.DUMMYFUNCTION("IFERROR(if(ISBLANK(Installment!A428),"""",if(GOOGLEFINANCE(Installment!A428,""Currency"")=""GBX"",""GBP"",GOOGLEFINANCE(Installment!A428,""Currency""))),$F$1)"),"")</f>
        <v/>
      </c>
      <c r="B428" s="501" t="str">
        <f>Installment!A428</f>
        <v/>
      </c>
      <c r="C428" s="501" t="str">
        <f>Installment!B428</f>
        <v/>
      </c>
      <c r="D428" s="501" t="str">
        <f>IFERROR(__xludf.DUMMYFUNCTION("if(A428=""GBP"",if(B428="""","""",if(A428=$F$1,Installment!C428,Installment!C428*GOOGLEFINANCE(""Currency:""&amp;A428&amp;""""&amp;$F$1&amp;"""")))/100,if(B428="""","""",if(A428=$F$1,Installment!C428,Installment!C428*GOOGLEFINANCE(""Currency:""&amp;A428&amp;""""&amp;$F$1&amp;""""))))"),"")</f>
        <v/>
      </c>
      <c r="E428" s="501" t="str">
        <f>IFERROR(__xludf.DUMMYFUNCTION("if(A428=""GBP"",if(B428="""","""",if(A428=$F$1,Installment!H428,Installment!H428*GOOGLEFINANCE(""Currency:""&amp;A428&amp;""""&amp;$F$1&amp;"""")))/100,if(B428="""","""",if(A428=$F$1,Installment!H428,Installment!H428*GOOGLEFINANCE(""Currency:""&amp;A428&amp;""""&amp;$F$1&amp;""""))))"),"")</f>
        <v/>
      </c>
      <c r="F428" s="501" t="str">
        <f>IFERROR(__xludf.DUMMYFUNCTION("if(A428=""GBP"",if(B428="""","""",if(A428=$F$1,Installment!I428,Installment!I428*GOOGLEFINANCE(""Currency:""&amp;A428&amp;""""&amp;$F$1&amp;"""")))/100,if(B428="""","""",if(A428=$F$1,Installment!I428,Installment!I428*GOOGLEFINANCE(""Currency:""&amp;A428&amp;""""&amp;$F$1&amp;""""))))"),"")</f>
        <v/>
      </c>
      <c r="G428" s="501" t="str">
        <f t="shared" si="1"/>
        <v/>
      </c>
      <c r="H428" s="501" t="str">
        <f t="shared" si="2"/>
        <v/>
      </c>
      <c r="I428" s="501" t="str">
        <f t="shared" si="3"/>
        <v/>
      </c>
    </row>
    <row r="429">
      <c r="A429" s="501" t="str">
        <f>IFERROR(__xludf.DUMMYFUNCTION("IFERROR(if(ISBLANK(Installment!A429),"""",if(GOOGLEFINANCE(Installment!A429,""Currency"")=""GBX"",""GBP"",GOOGLEFINANCE(Installment!A429,""Currency""))),$F$1)"),"")</f>
        <v/>
      </c>
      <c r="B429" s="501" t="str">
        <f>Installment!A429</f>
        <v/>
      </c>
      <c r="C429" s="501" t="str">
        <f>Installment!B429</f>
        <v/>
      </c>
      <c r="D429" s="501" t="str">
        <f>IFERROR(__xludf.DUMMYFUNCTION("if(A429=""GBP"",if(B429="""","""",if(A429=$F$1,Installment!C429,Installment!C429*GOOGLEFINANCE(""Currency:""&amp;A429&amp;""""&amp;$F$1&amp;"""")))/100,if(B429="""","""",if(A429=$F$1,Installment!C429,Installment!C429*GOOGLEFINANCE(""Currency:""&amp;A429&amp;""""&amp;$F$1&amp;""""))))"),"")</f>
        <v/>
      </c>
      <c r="E429" s="501" t="str">
        <f>IFERROR(__xludf.DUMMYFUNCTION("if(A429=""GBP"",if(B429="""","""",if(A429=$F$1,Installment!H429,Installment!H429*GOOGLEFINANCE(""Currency:""&amp;A429&amp;""""&amp;$F$1&amp;"""")))/100,if(B429="""","""",if(A429=$F$1,Installment!H429,Installment!H429*GOOGLEFINANCE(""Currency:""&amp;A429&amp;""""&amp;$F$1&amp;""""))))"),"")</f>
        <v/>
      </c>
      <c r="F429" s="501" t="str">
        <f>IFERROR(__xludf.DUMMYFUNCTION("if(A429=""GBP"",if(B429="""","""",if(A429=$F$1,Installment!I429,Installment!I429*GOOGLEFINANCE(""Currency:""&amp;A429&amp;""""&amp;$F$1&amp;"""")))/100,if(B429="""","""",if(A429=$F$1,Installment!I429,Installment!I429*GOOGLEFINANCE(""Currency:""&amp;A429&amp;""""&amp;$F$1&amp;""""))))"),"")</f>
        <v/>
      </c>
      <c r="G429" s="501" t="str">
        <f t="shared" si="1"/>
        <v/>
      </c>
      <c r="H429" s="501" t="str">
        <f t="shared" si="2"/>
        <v/>
      </c>
      <c r="I429" s="501" t="str">
        <f t="shared" si="3"/>
        <v/>
      </c>
    </row>
    <row r="430">
      <c r="A430" s="501" t="str">
        <f>IFERROR(__xludf.DUMMYFUNCTION("IFERROR(if(ISBLANK(Installment!A430),"""",if(GOOGLEFINANCE(Installment!A430,""Currency"")=""GBX"",""GBP"",GOOGLEFINANCE(Installment!A430,""Currency""))),$F$1)"),"")</f>
        <v/>
      </c>
      <c r="B430" s="501" t="str">
        <f>Installment!A430</f>
        <v/>
      </c>
      <c r="C430" s="501" t="str">
        <f>Installment!B430</f>
        <v/>
      </c>
      <c r="D430" s="501" t="str">
        <f>IFERROR(__xludf.DUMMYFUNCTION("if(A430=""GBP"",if(B430="""","""",if(A430=$F$1,Installment!C430,Installment!C430*GOOGLEFINANCE(""Currency:""&amp;A430&amp;""""&amp;$F$1&amp;"""")))/100,if(B430="""","""",if(A430=$F$1,Installment!C430,Installment!C430*GOOGLEFINANCE(""Currency:""&amp;A430&amp;""""&amp;$F$1&amp;""""))))"),"")</f>
        <v/>
      </c>
      <c r="E430" s="501" t="str">
        <f>IFERROR(__xludf.DUMMYFUNCTION("if(A430=""GBP"",if(B430="""","""",if(A430=$F$1,Installment!H430,Installment!H430*GOOGLEFINANCE(""Currency:""&amp;A430&amp;""""&amp;$F$1&amp;"""")))/100,if(B430="""","""",if(A430=$F$1,Installment!H430,Installment!H430*GOOGLEFINANCE(""Currency:""&amp;A430&amp;""""&amp;$F$1&amp;""""))))"),"")</f>
        <v/>
      </c>
      <c r="F430" s="501" t="str">
        <f>IFERROR(__xludf.DUMMYFUNCTION("if(A430=""GBP"",if(B430="""","""",if(A430=$F$1,Installment!I430,Installment!I430*GOOGLEFINANCE(""Currency:""&amp;A430&amp;""""&amp;$F$1&amp;"""")))/100,if(B430="""","""",if(A430=$F$1,Installment!I430,Installment!I430*GOOGLEFINANCE(""Currency:""&amp;A430&amp;""""&amp;$F$1&amp;""""))))"),"")</f>
        <v/>
      </c>
      <c r="G430" s="501" t="str">
        <f t="shared" si="1"/>
        <v/>
      </c>
      <c r="H430" s="501" t="str">
        <f t="shared" si="2"/>
        <v/>
      </c>
      <c r="I430" s="501" t="str">
        <f t="shared" si="3"/>
        <v/>
      </c>
    </row>
    <row r="431">
      <c r="A431" s="501" t="str">
        <f>IFERROR(__xludf.DUMMYFUNCTION("IFERROR(if(ISBLANK(Installment!A431),"""",if(GOOGLEFINANCE(Installment!A431,""Currency"")=""GBX"",""GBP"",GOOGLEFINANCE(Installment!A431,""Currency""))),$F$1)"),"")</f>
        <v/>
      </c>
      <c r="B431" s="501" t="str">
        <f>Installment!A431</f>
        <v/>
      </c>
      <c r="C431" s="501" t="str">
        <f>Installment!B431</f>
        <v/>
      </c>
      <c r="D431" s="501" t="str">
        <f>IFERROR(__xludf.DUMMYFUNCTION("if(A431=""GBP"",if(B431="""","""",if(A431=$F$1,Installment!C431,Installment!C431*GOOGLEFINANCE(""Currency:""&amp;A431&amp;""""&amp;$F$1&amp;"""")))/100,if(B431="""","""",if(A431=$F$1,Installment!C431,Installment!C431*GOOGLEFINANCE(""Currency:""&amp;A431&amp;""""&amp;$F$1&amp;""""))))"),"")</f>
        <v/>
      </c>
      <c r="E431" s="501" t="str">
        <f>IFERROR(__xludf.DUMMYFUNCTION("if(A431=""GBP"",if(B431="""","""",if(A431=$F$1,Installment!H431,Installment!H431*GOOGLEFINANCE(""Currency:""&amp;A431&amp;""""&amp;$F$1&amp;"""")))/100,if(B431="""","""",if(A431=$F$1,Installment!H431,Installment!H431*GOOGLEFINANCE(""Currency:""&amp;A431&amp;""""&amp;$F$1&amp;""""))))"),"")</f>
        <v/>
      </c>
      <c r="F431" s="501" t="str">
        <f>IFERROR(__xludf.DUMMYFUNCTION("if(A431=""GBP"",if(B431="""","""",if(A431=$F$1,Installment!I431,Installment!I431*GOOGLEFINANCE(""Currency:""&amp;A431&amp;""""&amp;$F$1&amp;"""")))/100,if(B431="""","""",if(A431=$F$1,Installment!I431,Installment!I431*GOOGLEFINANCE(""Currency:""&amp;A431&amp;""""&amp;$F$1&amp;""""))))"),"")</f>
        <v/>
      </c>
      <c r="G431" s="501" t="str">
        <f t="shared" si="1"/>
        <v/>
      </c>
      <c r="H431" s="501" t="str">
        <f t="shared" si="2"/>
        <v/>
      </c>
      <c r="I431" s="501" t="str">
        <f t="shared" si="3"/>
        <v/>
      </c>
    </row>
    <row r="432">
      <c r="A432" s="501" t="str">
        <f>IFERROR(__xludf.DUMMYFUNCTION("IFERROR(if(ISBLANK(Installment!A432),"""",if(GOOGLEFINANCE(Installment!A432,""Currency"")=""GBX"",""GBP"",GOOGLEFINANCE(Installment!A432,""Currency""))),$F$1)"),"")</f>
        <v/>
      </c>
      <c r="B432" s="501" t="str">
        <f>Installment!A432</f>
        <v/>
      </c>
      <c r="C432" s="501" t="str">
        <f>Installment!B432</f>
        <v/>
      </c>
      <c r="D432" s="501" t="str">
        <f>IFERROR(__xludf.DUMMYFUNCTION("if(A432=""GBP"",if(B432="""","""",if(A432=$F$1,Installment!C432,Installment!C432*GOOGLEFINANCE(""Currency:""&amp;A432&amp;""""&amp;$F$1&amp;"""")))/100,if(B432="""","""",if(A432=$F$1,Installment!C432,Installment!C432*GOOGLEFINANCE(""Currency:""&amp;A432&amp;""""&amp;$F$1&amp;""""))))"),"")</f>
        <v/>
      </c>
      <c r="E432" s="501" t="str">
        <f>IFERROR(__xludf.DUMMYFUNCTION("if(A432=""GBP"",if(B432="""","""",if(A432=$F$1,Installment!H432,Installment!H432*GOOGLEFINANCE(""Currency:""&amp;A432&amp;""""&amp;$F$1&amp;"""")))/100,if(B432="""","""",if(A432=$F$1,Installment!H432,Installment!H432*GOOGLEFINANCE(""Currency:""&amp;A432&amp;""""&amp;$F$1&amp;""""))))"),"")</f>
        <v/>
      </c>
      <c r="F432" s="501" t="str">
        <f>IFERROR(__xludf.DUMMYFUNCTION("if(A432=""GBP"",if(B432="""","""",if(A432=$F$1,Installment!I432,Installment!I432*GOOGLEFINANCE(""Currency:""&amp;A432&amp;""""&amp;$F$1&amp;"""")))/100,if(B432="""","""",if(A432=$F$1,Installment!I432,Installment!I432*GOOGLEFINANCE(""Currency:""&amp;A432&amp;""""&amp;$F$1&amp;""""))))"),"")</f>
        <v/>
      </c>
      <c r="G432" s="501" t="str">
        <f t="shared" si="1"/>
        <v/>
      </c>
      <c r="H432" s="501" t="str">
        <f t="shared" si="2"/>
        <v/>
      </c>
      <c r="I432" s="501" t="str">
        <f t="shared" si="3"/>
        <v/>
      </c>
    </row>
    <row r="433">
      <c r="A433" s="501" t="str">
        <f>IFERROR(__xludf.DUMMYFUNCTION("IFERROR(if(ISBLANK(Installment!A433),"""",if(GOOGLEFINANCE(Installment!A433,""Currency"")=""GBX"",""GBP"",GOOGLEFINANCE(Installment!A433,""Currency""))),$F$1)"),"")</f>
        <v/>
      </c>
      <c r="B433" s="501" t="str">
        <f>Installment!A433</f>
        <v/>
      </c>
      <c r="C433" s="501" t="str">
        <f>Installment!B433</f>
        <v/>
      </c>
      <c r="D433" s="501" t="str">
        <f>IFERROR(__xludf.DUMMYFUNCTION("if(A433=""GBP"",if(B433="""","""",if(A433=$F$1,Installment!C433,Installment!C433*GOOGLEFINANCE(""Currency:""&amp;A433&amp;""""&amp;$F$1&amp;"""")))/100,if(B433="""","""",if(A433=$F$1,Installment!C433,Installment!C433*GOOGLEFINANCE(""Currency:""&amp;A433&amp;""""&amp;$F$1&amp;""""))))"),"")</f>
        <v/>
      </c>
      <c r="E433" s="501" t="str">
        <f>IFERROR(__xludf.DUMMYFUNCTION("if(A433=""GBP"",if(B433="""","""",if(A433=$F$1,Installment!H433,Installment!H433*GOOGLEFINANCE(""Currency:""&amp;A433&amp;""""&amp;$F$1&amp;"""")))/100,if(B433="""","""",if(A433=$F$1,Installment!H433,Installment!H433*GOOGLEFINANCE(""Currency:""&amp;A433&amp;""""&amp;$F$1&amp;""""))))"),"")</f>
        <v/>
      </c>
      <c r="F433" s="501" t="str">
        <f>IFERROR(__xludf.DUMMYFUNCTION("if(A433=""GBP"",if(B433="""","""",if(A433=$F$1,Installment!I433,Installment!I433*GOOGLEFINANCE(""Currency:""&amp;A433&amp;""""&amp;$F$1&amp;"""")))/100,if(B433="""","""",if(A433=$F$1,Installment!I433,Installment!I433*GOOGLEFINANCE(""Currency:""&amp;A433&amp;""""&amp;$F$1&amp;""""))))"),"")</f>
        <v/>
      </c>
      <c r="G433" s="501" t="str">
        <f t="shared" si="1"/>
        <v/>
      </c>
      <c r="H433" s="501" t="str">
        <f t="shared" si="2"/>
        <v/>
      </c>
      <c r="I433" s="501" t="str">
        <f t="shared" si="3"/>
        <v/>
      </c>
    </row>
    <row r="434">
      <c r="A434" s="501" t="str">
        <f>IFERROR(__xludf.DUMMYFUNCTION("IFERROR(if(ISBLANK(Installment!A434),"""",if(GOOGLEFINANCE(Installment!A434,""Currency"")=""GBX"",""GBP"",GOOGLEFINANCE(Installment!A434,""Currency""))),$F$1)"),"")</f>
        <v/>
      </c>
      <c r="B434" s="501" t="str">
        <f>Installment!A434</f>
        <v/>
      </c>
      <c r="C434" s="501" t="str">
        <f>Installment!B434</f>
        <v/>
      </c>
      <c r="D434" s="501" t="str">
        <f>IFERROR(__xludf.DUMMYFUNCTION("if(A434=""GBP"",if(B434="""","""",if(A434=$F$1,Installment!C434,Installment!C434*GOOGLEFINANCE(""Currency:""&amp;A434&amp;""""&amp;$F$1&amp;"""")))/100,if(B434="""","""",if(A434=$F$1,Installment!C434,Installment!C434*GOOGLEFINANCE(""Currency:""&amp;A434&amp;""""&amp;$F$1&amp;""""))))"),"")</f>
        <v/>
      </c>
      <c r="E434" s="501" t="str">
        <f>IFERROR(__xludf.DUMMYFUNCTION("if(A434=""GBP"",if(B434="""","""",if(A434=$F$1,Installment!H434,Installment!H434*GOOGLEFINANCE(""Currency:""&amp;A434&amp;""""&amp;$F$1&amp;"""")))/100,if(B434="""","""",if(A434=$F$1,Installment!H434,Installment!H434*GOOGLEFINANCE(""Currency:""&amp;A434&amp;""""&amp;$F$1&amp;""""))))"),"")</f>
        <v/>
      </c>
      <c r="F434" s="501" t="str">
        <f>IFERROR(__xludf.DUMMYFUNCTION("if(A434=""GBP"",if(B434="""","""",if(A434=$F$1,Installment!I434,Installment!I434*GOOGLEFINANCE(""Currency:""&amp;A434&amp;""""&amp;$F$1&amp;"""")))/100,if(B434="""","""",if(A434=$F$1,Installment!I434,Installment!I434*GOOGLEFINANCE(""Currency:""&amp;A434&amp;""""&amp;$F$1&amp;""""))))"),"")</f>
        <v/>
      </c>
      <c r="G434" s="501" t="str">
        <f t="shared" si="1"/>
        <v/>
      </c>
      <c r="H434" s="501" t="str">
        <f t="shared" si="2"/>
        <v/>
      </c>
      <c r="I434" s="501" t="str">
        <f t="shared" si="3"/>
        <v/>
      </c>
    </row>
    <row r="435">
      <c r="A435" s="501" t="str">
        <f>IFERROR(__xludf.DUMMYFUNCTION("IFERROR(if(ISBLANK(Installment!A435),"""",if(GOOGLEFINANCE(Installment!A435,""Currency"")=""GBX"",""GBP"",GOOGLEFINANCE(Installment!A435,""Currency""))),$F$1)"),"")</f>
        <v/>
      </c>
      <c r="B435" s="501" t="str">
        <f>Installment!A435</f>
        <v/>
      </c>
      <c r="C435" s="501" t="str">
        <f>Installment!B435</f>
        <v/>
      </c>
      <c r="D435" s="501" t="str">
        <f>IFERROR(__xludf.DUMMYFUNCTION("if(A435=""GBP"",if(B435="""","""",if(A435=$F$1,Installment!C435,Installment!C435*GOOGLEFINANCE(""Currency:""&amp;A435&amp;""""&amp;$F$1&amp;"""")))/100,if(B435="""","""",if(A435=$F$1,Installment!C435,Installment!C435*GOOGLEFINANCE(""Currency:""&amp;A435&amp;""""&amp;$F$1&amp;""""))))"),"")</f>
        <v/>
      </c>
      <c r="E435" s="501" t="str">
        <f>IFERROR(__xludf.DUMMYFUNCTION("if(A435=""GBP"",if(B435="""","""",if(A435=$F$1,Installment!H435,Installment!H435*GOOGLEFINANCE(""Currency:""&amp;A435&amp;""""&amp;$F$1&amp;"""")))/100,if(B435="""","""",if(A435=$F$1,Installment!H435,Installment!H435*GOOGLEFINANCE(""Currency:""&amp;A435&amp;""""&amp;$F$1&amp;""""))))"),"")</f>
        <v/>
      </c>
      <c r="F435" s="501" t="str">
        <f>IFERROR(__xludf.DUMMYFUNCTION("if(A435=""GBP"",if(B435="""","""",if(A435=$F$1,Installment!I435,Installment!I435*GOOGLEFINANCE(""Currency:""&amp;A435&amp;""""&amp;$F$1&amp;"""")))/100,if(B435="""","""",if(A435=$F$1,Installment!I435,Installment!I435*GOOGLEFINANCE(""Currency:""&amp;A435&amp;""""&amp;$F$1&amp;""""))))"),"")</f>
        <v/>
      </c>
      <c r="G435" s="501" t="str">
        <f t="shared" si="1"/>
        <v/>
      </c>
      <c r="H435" s="501" t="str">
        <f t="shared" si="2"/>
        <v/>
      </c>
      <c r="I435" s="501" t="str">
        <f t="shared" si="3"/>
        <v/>
      </c>
    </row>
    <row r="436">
      <c r="A436" s="501" t="str">
        <f>IFERROR(__xludf.DUMMYFUNCTION("IFERROR(if(ISBLANK(Installment!A436),"""",if(GOOGLEFINANCE(Installment!A436,""Currency"")=""GBX"",""GBP"",GOOGLEFINANCE(Installment!A436,""Currency""))),$F$1)"),"")</f>
        <v/>
      </c>
      <c r="B436" s="501" t="str">
        <f>Installment!A436</f>
        <v/>
      </c>
      <c r="C436" s="501" t="str">
        <f>Installment!B436</f>
        <v/>
      </c>
      <c r="D436" s="501" t="str">
        <f>IFERROR(__xludf.DUMMYFUNCTION("if(A436=""GBP"",if(B436="""","""",if(A436=$F$1,Installment!C436,Installment!C436*GOOGLEFINANCE(""Currency:""&amp;A436&amp;""""&amp;$F$1&amp;"""")))/100,if(B436="""","""",if(A436=$F$1,Installment!C436,Installment!C436*GOOGLEFINANCE(""Currency:""&amp;A436&amp;""""&amp;$F$1&amp;""""))))"),"")</f>
        <v/>
      </c>
      <c r="E436" s="501" t="str">
        <f>IFERROR(__xludf.DUMMYFUNCTION("if(A436=""GBP"",if(B436="""","""",if(A436=$F$1,Installment!H436,Installment!H436*GOOGLEFINANCE(""Currency:""&amp;A436&amp;""""&amp;$F$1&amp;"""")))/100,if(B436="""","""",if(A436=$F$1,Installment!H436,Installment!H436*GOOGLEFINANCE(""Currency:""&amp;A436&amp;""""&amp;$F$1&amp;""""))))"),"")</f>
        <v/>
      </c>
      <c r="F436" s="501" t="str">
        <f>IFERROR(__xludf.DUMMYFUNCTION("if(A436=""GBP"",if(B436="""","""",if(A436=$F$1,Installment!I436,Installment!I436*GOOGLEFINANCE(""Currency:""&amp;A436&amp;""""&amp;$F$1&amp;"""")))/100,if(B436="""","""",if(A436=$F$1,Installment!I436,Installment!I436*GOOGLEFINANCE(""Currency:""&amp;A436&amp;""""&amp;$F$1&amp;""""))))"),"")</f>
        <v/>
      </c>
      <c r="G436" s="501" t="str">
        <f t="shared" si="1"/>
        <v/>
      </c>
      <c r="H436" s="501" t="str">
        <f t="shared" si="2"/>
        <v/>
      </c>
      <c r="I436" s="501" t="str">
        <f t="shared" si="3"/>
        <v/>
      </c>
    </row>
    <row r="437">
      <c r="A437" s="501" t="str">
        <f>IFERROR(__xludf.DUMMYFUNCTION("IFERROR(if(ISBLANK(Installment!A437),"""",if(GOOGLEFINANCE(Installment!A437,""Currency"")=""GBX"",""GBP"",GOOGLEFINANCE(Installment!A437,""Currency""))),$F$1)"),"")</f>
        <v/>
      </c>
      <c r="B437" s="501" t="str">
        <f>Installment!A437</f>
        <v/>
      </c>
      <c r="C437" s="501" t="str">
        <f>Installment!B437</f>
        <v/>
      </c>
      <c r="D437" s="501" t="str">
        <f>IFERROR(__xludf.DUMMYFUNCTION("if(A437=""GBP"",if(B437="""","""",if(A437=$F$1,Installment!C437,Installment!C437*GOOGLEFINANCE(""Currency:""&amp;A437&amp;""""&amp;$F$1&amp;"""")))/100,if(B437="""","""",if(A437=$F$1,Installment!C437,Installment!C437*GOOGLEFINANCE(""Currency:""&amp;A437&amp;""""&amp;$F$1&amp;""""))))"),"")</f>
        <v/>
      </c>
      <c r="E437" s="501" t="str">
        <f>IFERROR(__xludf.DUMMYFUNCTION("if(A437=""GBP"",if(B437="""","""",if(A437=$F$1,Installment!H437,Installment!H437*GOOGLEFINANCE(""Currency:""&amp;A437&amp;""""&amp;$F$1&amp;"""")))/100,if(B437="""","""",if(A437=$F$1,Installment!H437,Installment!H437*GOOGLEFINANCE(""Currency:""&amp;A437&amp;""""&amp;$F$1&amp;""""))))"),"")</f>
        <v/>
      </c>
      <c r="F437" s="501" t="str">
        <f>IFERROR(__xludf.DUMMYFUNCTION("if(A437=""GBP"",if(B437="""","""",if(A437=$F$1,Installment!I437,Installment!I437*GOOGLEFINANCE(""Currency:""&amp;A437&amp;""""&amp;$F$1&amp;"""")))/100,if(B437="""","""",if(A437=$F$1,Installment!I437,Installment!I437*GOOGLEFINANCE(""Currency:""&amp;A437&amp;""""&amp;$F$1&amp;""""))))"),"")</f>
        <v/>
      </c>
      <c r="G437" s="501" t="str">
        <f t="shared" si="1"/>
        <v/>
      </c>
      <c r="H437" s="501" t="str">
        <f t="shared" si="2"/>
        <v/>
      </c>
      <c r="I437" s="501" t="str">
        <f t="shared" si="3"/>
        <v/>
      </c>
    </row>
    <row r="438">
      <c r="A438" s="501" t="str">
        <f>IFERROR(__xludf.DUMMYFUNCTION("IFERROR(if(ISBLANK(Installment!A438),"""",if(GOOGLEFINANCE(Installment!A438,""Currency"")=""GBX"",""GBP"",GOOGLEFINANCE(Installment!A438,""Currency""))),$F$1)"),"")</f>
        <v/>
      </c>
      <c r="B438" s="501" t="str">
        <f>Installment!A438</f>
        <v/>
      </c>
      <c r="C438" s="501" t="str">
        <f>Installment!B438</f>
        <v/>
      </c>
      <c r="D438" s="501" t="str">
        <f>IFERROR(__xludf.DUMMYFUNCTION("if(A438=""GBP"",if(B438="""","""",if(A438=$F$1,Installment!C438,Installment!C438*GOOGLEFINANCE(""Currency:""&amp;A438&amp;""""&amp;$F$1&amp;"""")))/100,if(B438="""","""",if(A438=$F$1,Installment!C438,Installment!C438*GOOGLEFINANCE(""Currency:""&amp;A438&amp;""""&amp;$F$1&amp;""""))))"),"")</f>
        <v/>
      </c>
      <c r="E438" s="501" t="str">
        <f>IFERROR(__xludf.DUMMYFUNCTION("if(A438=""GBP"",if(B438="""","""",if(A438=$F$1,Installment!H438,Installment!H438*GOOGLEFINANCE(""Currency:""&amp;A438&amp;""""&amp;$F$1&amp;"""")))/100,if(B438="""","""",if(A438=$F$1,Installment!H438,Installment!H438*GOOGLEFINANCE(""Currency:""&amp;A438&amp;""""&amp;$F$1&amp;""""))))"),"")</f>
        <v/>
      </c>
      <c r="F438" s="501" t="str">
        <f>IFERROR(__xludf.DUMMYFUNCTION("if(A438=""GBP"",if(B438="""","""",if(A438=$F$1,Installment!I438,Installment!I438*GOOGLEFINANCE(""Currency:""&amp;A438&amp;""""&amp;$F$1&amp;"""")))/100,if(B438="""","""",if(A438=$F$1,Installment!I438,Installment!I438*GOOGLEFINANCE(""Currency:""&amp;A438&amp;""""&amp;$F$1&amp;""""))))"),"")</f>
        <v/>
      </c>
      <c r="G438" s="501" t="str">
        <f t="shared" si="1"/>
        <v/>
      </c>
      <c r="H438" s="501" t="str">
        <f t="shared" si="2"/>
        <v/>
      </c>
      <c r="I438" s="501" t="str">
        <f t="shared" si="3"/>
        <v/>
      </c>
    </row>
    <row r="439">
      <c r="A439" s="501" t="str">
        <f>IFERROR(__xludf.DUMMYFUNCTION("IFERROR(if(ISBLANK(Installment!A439),"""",if(GOOGLEFINANCE(Installment!A439,""Currency"")=""GBX"",""GBP"",GOOGLEFINANCE(Installment!A439,""Currency""))),$F$1)"),"")</f>
        <v/>
      </c>
      <c r="B439" s="501" t="str">
        <f>Installment!A439</f>
        <v/>
      </c>
      <c r="C439" s="501" t="str">
        <f>Installment!B439</f>
        <v/>
      </c>
      <c r="D439" s="501" t="str">
        <f>IFERROR(__xludf.DUMMYFUNCTION("if(A439=""GBP"",if(B439="""","""",if(A439=$F$1,Installment!C439,Installment!C439*GOOGLEFINANCE(""Currency:""&amp;A439&amp;""""&amp;$F$1&amp;"""")))/100,if(B439="""","""",if(A439=$F$1,Installment!C439,Installment!C439*GOOGLEFINANCE(""Currency:""&amp;A439&amp;""""&amp;$F$1&amp;""""))))"),"")</f>
        <v/>
      </c>
      <c r="E439" s="501" t="str">
        <f>IFERROR(__xludf.DUMMYFUNCTION("if(A439=""GBP"",if(B439="""","""",if(A439=$F$1,Installment!H439,Installment!H439*GOOGLEFINANCE(""Currency:""&amp;A439&amp;""""&amp;$F$1&amp;"""")))/100,if(B439="""","""",if(A439=$F$1,Installment!H439,Installment!H439*GOOGLEFINANCE(""Currency:""&amp;A439&amp;""""&amp;$F$1&amp;""""))))"),"")</f>
        <v/>
      </c>
      <c r="F439" s="501" t="str">
        <f>IFERROR(__xludf.DUMMYFUNCTION("if(A439=""GBP"",if(B439="""","""",if(A439=$F$1,Installment!I439,Installment!I439*GOOGLEFINANCE(""Currency:""&amp;A439&amp;""""&amp;$F$1&amp;"""")))/100,if(B439="""","""",if(A439=$F$1,Installment!I439,Installment!I439*GOOGLEFINANCE(""Currency:""&amp;A439&amp;""""&amp;$F$1&amp;""""))))"),"")</f>
        <v/>
      </c>
      <c r="G439" s="501" t="str">
        <f t="shared" si="1"/>
        <v/>
      </c>
      <c r="H439" s="501" t="str">
        <f t="shared" si="2"/>
        <v/>
      </c>
      <c r="I439" s="501" t="str">
        <f t="shared" si="3"/>
        <v/>
      </c>
    </row>
    <row r="440">
      <c r="A440" s="501" t="str">
        <f>IFERROR(__xludf.DUMMYFUNCTION("IFERROR(if(ISBLANK(Installment!A440),"""",if(GOOGLEFINANCE(Installment!A440,""Currency"")=""GBX"",""GBP"",GOOGLEFINANCE(Installment!A440,""Currency""))),$F$1)"),"")</f>
        <v/>
      </c>
      <c r="B440" s="501" t="str">
        <f>Installment!A440</f>
        <v/>
      </c>
      <c r="C440" s="501" t="str">
        <f>Installment!B440</f>
        <v/>
      </c>
      <c r="D440" s="501" t="str">
        <f>IFERROR(__xludf.DUMMYFUNCTION("if(A440=""GBP"",if(B440="""","""",if(A440=$F$1,Installment!C440,Installment!C440*GOOGLEFINANCE(""Currency:""&amp;A440&amp;""""&amp;$F$1&amp;"""")))/100,if(B440="""","""",if(A440=$F$1,Installment!C440,Installment!C440*GOOGLEFINANCE(""Currency:""&amp;A440&amp;""""&amp;$F$1&amp;""""))))"),"")</f>
        <v/>
      </c>
      <c r="E440" s="501" t="str">
        <f>IFERROR(__xludf.DUMMYFUNCTION("if(A440=""GBP"",if(B440="""","""",if(A440=$F$1,Installment!H440,Installment!H440*GOOGLEFINANCE(""Currency:""&amp;A440&amp;""""&amp;$F$1&amp;"""")))/100,if(B440="""","""",if(A440=$F$1,Installment!H440,Installment!H440*GOOGLEFINANCE(""Currency:""&amp;A440&amp;""""&amp;$F$1&amp;""""))))"),"")</f>
        <v/>
      </c>
      <c r="F440" s="501" t="str">
        <f>IFERROR(__xludf.DUMMYFUNCTION("if(A440=""GBP"",if(B440="""","""",if(A440=$F$1,Installment!I440,Installment!I440*GOOGLEFINANCE(""Currency:""&amp;A440&amp;""""&amp;$F$1&amp;"""")))/100,if(B440="""","""",if(A440=$F$1,Installment!I440,Installment!I440*GOOGLEFINANCE(""Currency:""&amp;A440&amp;""""&amp;$F$1&amp;""""))))"),"")</f>
        <v/>
      </c>
      <c r="G440" s="501" t="str">
        <f t="shared" si="1"/>
        <v/>
      </c>
      <c r="H440" s="501" t="str">
        <f t="shared" si="2"/>
        <v/>
      </c>
      <c r="I440" s="501" t="str">
        <f t="shared" si="3"/>
        <v/>
      </c>
    </row>
    <row r="441">
      <c r="A441" s="501" t="str">
        <f>IFERROR(__xludf.DUMMYFUNCTION("IFERROR(if(ISBLANK(Installment!A441),"""",if(GOOGLEFINANCE(Installment!A441,""Currency"")=""GBX"",""GBP"",GOOGLEFINANCE(Installment!A441,""Currency""))),$F$1)"),"")</f>
        <v/>
      </c>
      <c r="B441" s="501" t="str">
        <f>Installment!A441</f>
        <v/>
      </c>
      <c r="C441" s="501" t="str">
        <f>Installment!B441</f>
        <v/>
      </c>
      <c r="D441" s="501" t="str">
        <f>IFERROR(__xludf.DUMMYFUNCTION("if(A441=""GBP"",if(B441="""","""",if(A441=$F$1,Installment!C441,Installment!C441*GOOGLEFINANCE(""Currency:""&amp;A441&amp;""""&amp;$F$1&amp;"""")))/100,if(B441="""","""",if(A441=$F$1,Installment!C441,Installment!C441*GOOGLEFINANCE(""Currency:""&amp;A441&amp;""""&amp;$F$1&amp;""""))))"),"")</f>
        <v/>
      </c>
      <c r="E441" s="501" t="str">
        <f>IFERROR(__xludf.DUMMYFUNCTION("if(A441=""GBP"",if(B441="""","""",if(A441=$F$1,Installment!H441,Installment!H441*GOOGLEFINANCE(""Currency:""&amp;A441&amp;""""&amp;$F$1&amp;"""")))/100,if(B441="""","""",if(A441=$F$1,Installment!H441,Installment!H441*GOOGLEFINANCE(""Currency:""&amp;A441&amp;""""&amp;$F$1&amp;""""))))"),"")</f>
        <v/>
      </c>
      <c r="F441" s="501" t="str">
        <f>IFERROR(__xludf.DUMMYFUNCTION("if(A441=""GBP"",if(B441="""","""",if(A441=$F$1,Installment!I441,Installment!I441*GOOGLEFINANCE(""Currency:""&amp;A441&amp;""""&amp;$F$1&amp;"""")))/100,if(B441="""","""",if(A441=$F$1,Installment!I441,Installment!I441*GOOGLEFINANCE(""Currency:""&amp;A441&amp;""""&amp;$F$1&amp;""""))))"),"")</f>
        <v/>
      </c>
      <c r="G441" s="501" t="str">
        <f t="shared" si="1"/>
        <v/>
      </c>
      <c r="H441" s="501" t="str">
        <f t="shared" si="2"/>
        <v/>
      </c>
      <c r="I441" s="501" t="str">
        <f t="shared" si="3"/>
        <v/>
      </c>
    </row>
    <row r="442">
      <c r="A442" s="501" t="str">
        <f>IFERROR(__xludf.DUMMYFUNCTION("IFERROR(if(ISBLANK(Installment!A442),"""",if(GOOGLEFINANCE(Installment!A442,""Currency"")=""GBX"",""GBP"",GOOGLEFINANCE(Installment!A442,""Currency""))),$F$1)"),"")</f>
        <v/>
      </c>
      <c r="B442" s="501" t="str">
        <f>Installment!A442</f>
        <v/>
      </c>
      <c r="C442" s="501" t="str">
        <f>Installment!B442</f>
        <v/>
      </c>
      <c r="D442" s="501" t="str">
        <f>IFERROR(__xludf.DUMMYFUNCTION("if(A442=""GBP"",if(B442="""","""",if(A442=$F$1,Installment!C442,Installment!C442*GOOGLEFINANCE(""Currency:""&amp;A442&amp;""""&amp;$F$1&amp;"""")))/100,if(B442="""","""",if(A442=$F$1,Installment!C442,Installment!C442*GOOGLEFINANCE(""Currency:""&amp;A442&amp;""""&amp;$F$1&amp;""""))))"),"")</f>
        <v/>
      </c>
      <c r="E442" s="501" t="str">
        <f>IFERROR(__xludf.DUMMYFUNCTION("if(A442=""GBP"",if(B442="""","""",if(A442=$F$1,Installment!H442,Installment!H442*GOOGLEFINANCE(""Currency:""&amp;A442&amp;""""&amp;$F$1&amp;"""")))/100,if(B442="""","""",if(A442=$F$1,Installment!H442,Installment!H442*GOOGLEFINANCE(""Currency:""&amp;A442&amp;""""&amp;$F$1&amp;""""))))"),"")</f>
        <v/>
      </c>
      <c r="F442" s="501" t="str">
        <f>IFERROR(__xludf.DUMMYFUNCTION("if(A442=""GBP"",if(B442="""","""",if(A442=$F$1,Installment!I442,Installment!I442*GOOGLEFINANCE(""Currency:""&amp;A442&amp;""""&amp;$F$1&amp;"""")))/100,if(B442="""","""",if(A442=$F$1,Installment!I442,Installment!I442*GOOGLEFINANCE(""Currency:""&amp;A442&amp;""""&amp;$F$1&amp;""""))))"),"")</f>
        <v/>
      </c>
      <c r="G442" s="501" t="str">
        <f t="shared" si="1"/>
        <v/>
      </c>
      <c r="H442" s="501" t="str">
        <f t="shared" si="2"/>
        <v/>
      </c>
      <c r="I442" s="501" t="str">
        <f t="shared" si="3"/>
        <v/>
      </c>
    </row>
    <row r="443">
      <c r="A443" s="501" t="str">
        <f>IFERROR(__xludf.DUMMYFUNCTION("IFERROR(if(ISBLANK(Installment!A443),"""",if(GOOGLEFINANCE(Installment!A443,""Currency"")=""GBX"",""GBP"",GOOGLEFINANCE(Installment!A443,""Currency""))),$F$1)"),"")</f>
        <v/>
      </c>
      <c r="B443" s="501" t="str">
        <f>Installment!A443</f>
        <v/>
      </c>
      <c r="C443" s="501" t="str">
        <f>Installment!B443</f>
        <v/>
      </c>
      <c r="D443" s="501" t="str">
        <f>IFERROR(__xludf.DUMMYFUNCTION("if(A443=""GBP"",if(B443="""","""",if(A443=$F$1,Installment!C443,Installment!C443*GOOGLEFINANCE(""Currency:""&amp;A443&amp;""""&amp;$F$1&amp;"""")))/100,if(B443="""","""",if(A443=$F$1,Installment!C443,Installment!C443*GOOGLEFINANCE(""Currency:""&amp;A443&amp;""""&amp;$F$1&amp;""""))))"),"")</f>
        <v/>
      </c>
      <c r="E443" s="501" t="str">
        <f>IFERROR(__xludf.DUMMYFUNCTION("if(A443=""GBP"",if(B443="""","""",if(A443=$F$1,Installment!H443,Installment!H443*GOOGLEFINANCE(""Currency:""&amp;A443&amp;""""&amp;$F$1&amp;"""")))/100,if(B443="""","""",if(A443=$F$1,Installment!H443,Installment!H443*GOOGLEFINANCE(""Currency:""&amp;A443&amp;""""&amp;$F$1&amp;""""))))"),"")</f>
        <v/>
      </c>
      <c r="F443" s="501" t="str">
        <f>IFERROR(__xludf.DUMMYFUNCTION("if(A443=""GBP"",if(B443="""","""",if(A443=$F$1,Installment!I443,Installment!I443*GOOGLEFINANCE(""Currency:""&amp;A443&amp;""""&amp;$F$1&amp;"""")))/100,if(B443="""","""",if(A443=$F$1,Installment!I443,Installment!I443*GOOGLEFINANCE(""Currency:""&amp;A443&amp;""""&amp;$F$1&amp;""""))))"),"")</f>
        <v/>
      </c>
      <c r="G443" s="501" t="str">
        <f t="shared" si="1"/>
        <v/>
      </c>
      <c r="H443" s="501" t="str">
        <f t="shared" si="2"/>
        <v/>
      </c>
      <c r="I443" s="501" t="str">
        <f t="shared" si="3"/>
        <v/>
      </c>
    </row>
    <row r="444">
      <c r="A444" s="501" t="str">
        <f>IFERROR(__xludf.DUMMYFUNCTION("IFERROR(if(ISBLANK(Installment!A444),"""",if(GOOGLEFINANCE(Installment!A444,""Currency"")=""GBX"",""GBP"",GOOGLEFINANCE(Installment!A444,""Currency""))),$F$1)"),"")</f>
        <v/>
      </c>
      <c r="B444" s="501" t="str">
        <f>Installment!A444</f>
        <v/>
      </c>
      <c r="C444" s="501" t="str">
        <f>Installment!B444</f>
        <v/>
      </c>
      <c r="D444" s="501" t="str">
        <f>IFERROR(__xludf.DUMMYFUNCTION("if(A444=""GBP"",if(B444="""","""",if(A444=$F$1,Installment!C444,Installment!C444*GOOGLEFINANCE(""Currency:""&amp;A444&amp;""""&amp;$F$1&amp;"""")))/100,if(B444="""","""",if(A444=$F$1,Installment!C444,Installment!C444*GOOGLEFINANCE(""Currency:""&amp;A444&amp;""""&amp;$F$1&amp;""""))))"),"")</f>
        <v/>
      </c>
      <c r="E444" s="501" t="str">
        <f>IFERROR(__xludf.DUMMYFUNCTION("if(A444=""GBP"",if(B444="""","""",if(A444=$F$1,Installment!H444,Installment!H444*GOOGLEFINANCE(""Currency:""&amp;A444&amp;""""&amp;$F$1&amp;"""")))/100,if(B444="""","""",if(A444=$F$1,Installment!H444,Installment!H444*GOOGLEFINANCE(""Currency:""&amp;A444&amp;""""&amp;$F$1&amp;""""))))"),"")</f>
        <v/>
      </c>
      <c r="F444" s="501" t="str">
        <f>IFERROR(__xludf.DUMMYFUNCTION("if(A444=""GBP"",if(B444="""","""",if(A444=$F$1,Installment!I444,Installment!I444*GOOGLEFINANCE(""Currency:""&amp;A444&amp;""""&amp;$F$1&amp;"""")))/100,if(B444="""","""",if(A444=$F$1,Installment!I444,Installment!I444*GOOGLEFINANCE(""Currency:""&amp;A444&amp;""""&amp;$F$1&amp;""""))))"),"")</f>
        <v/>
      </c>
      <c r="G444" s="501" t="str">
        <f t="shared" si="1"/>
        <v/>
      </c>
      <c r="H444" s="501" t="str">
        <f t="shared" si="2"/>
        <v/>
      </c>
      <c r="I444" s="501" t="str">
        <f t="shared" si="3"/>
        <v/>
      </c>
    </row>
    <row r="445">
      <c r="A445" s="501" t="str">
        <f>IFERROR(__xludf.DUMMYFUNCTION("IFERROR(if(ISBLANK(Installment!A445),"""",if(GOOGLEFINANCE(Installment!A445,""Currency"")=""GBX"",""GBP"",GOOGLEFINANCE(Installment!A445,""Currency""))),$F$1)"),"")</f>
        <v/>
      </c>
      <c r="B445" s="501" t="str">
        <f>Installment!A445</f>
        <v/>
      </c>
      <c r="C445" s="501" t="str">
        <f>Installment!B445</f>
        <v/>
      </c>
      <c r="D445" s="501" t="str">
        <f>IFERROR(__xludf.DUMMYFUNCTION("if(A445=""GBP"",if(B445="""","""",if(A445=$F$1,Installment!C445,Installment!C445*GOOGLEFINANCE(""Currency:""&amp;A445&amp;""""&amp;$F$1&amp;"""")))/100,if(B445="""","""",if(A445=$F$1,Installment!C445,Installment!C445*GOOGLEFINANCE(""Currency:""&amp;A445&amp;""""&amp;$F$1&amp;""""))))"),"")</f>
        <v/>
      </c>
      <c r="E445" s="501" t="str">
        <f>IFERROR(__xludf.DUMMYFUNCTION("if(A445=""GBP"",if(B445="""","""",if(A445=$F$1,Installment!H445,Installment!H445*GOOGLEFINANCE(""Currency:""&amp;A445&amp;""""&amp;$F$1&amp;"""")))/100,if(B445="""","""",if(A445=$F$1,Installment!H445,Installment!H445*GOOGLEFINANCE(""Currency:""&amp;A445&amp;""""&amp;$F$1&amp;""""))))"),"")</f>
        <v/>
      </c>
      <c r="F445" s="501" t="str">
        <f>IFERROR(__xludf.DUMMYFUNCTION("if(A445=""GBP"",if(B445="""","""",if(A445=$F$1,Installment!I445,Installment!I445*GOOGLEFINANCE(""Currency:""&amp;A445&amp;""""&amp;$F$1&amp;"""")))/100,if(B445="""","""",if(A445=$F$1,Installment!I445,Installment!I445*GOOGLEFINANCE(""Currency:""&amp;A445&amp;""""&amp;$F$1&amp;""""))))"),"")</f>
        <v/>
      </c>
      <c r="G445" s="501" t="str">
        <f t="shared" si="1"/>
        <v/>
      </c>
      <c r="H445" s="501" t="str">
        <f t="shared" si="2"/>
        <v/>
      </c>
      <c r="I445" s="501" t="str">
        <f t="shared" si="3"/>
        <v/>
      </c>
    </row>
    <row r="446">
      <c r="A446" s="501" t="str">
        <f>IFERROR(__xludf.DUMMYFUNCTION("IFERROR(if(ISBLANK(Installment!A446),"""",if(GOOGLEFINANCE(Installment!A446,""Currency"")=""GBX"",""GBP"",GOOGLEFINANCE(Installment!A446,""Currency""))),$F$1)"),"")</f>
        <v/>
      </c>
      <c r="B446" s="501" t="str">
        <f>Installment!A446</f>
        <v/>
      </c>
      <c r="C446" s="501" t="str">
        <f>Installment!B446</f>
        <v/>
      </c>
      <c r="D446" s="501" t="str">
        <f>IFERROR(__xludf.DUMMYFUNCTION("if(A446=""GBP"",if(B446="""","""",if(A446=$F$1,Installment!C446,Installment!C446*GOOGLEFINANCE(""Currency:""&amp;A446&amp;""""&amp;$F$1&amp;"""")))/100,if(B446="""","""",if(A446=$F$1,Installment!C446,Installment!C446*GOOGLEFINANCE(""Currency:""&amp;A446&amp;""""&amp;$F$1&amp;""""))))"),"")</f>
        <v/>
      </c>
      <c r="E446" s="501" t="str">
        <f>IFERROR(__xludf.DUMMYFUNCTION("if(A446=""GBP"",if(B446="""","""",if(A446=$F$1,Installment!H446,Installment!H446*GOOGLEFINANCE(""Currency:""&amp;A446&amp;""""&amp;$F$1&amp;"""")))/100,if(B446="""","""",if(A446=$F$1,Installment!H446,Installment!H446*GOOGLEFINANCE(""Currency:""&amp;A446&amp;""""&amp;$F$1&amp;""""))))"),"")</f>
        <v/>
      </c>
      <c r="F446" s="501" t="str">
        <f>IFERROR(__xludf.DUMMYFUNCTION("if(A446=""GBP"",if(B446="""","""",if(A446=$F$1,Installment!I446,Installment!I446*GOOGLEFINANCE(""Currency:""&amp;A446&amp;""""&amp;$F$1&amp;"""")))/100,if(B446="""","""",if(A446=$F$1,Installment!I446,Installment!I446*GOOGLEFINANCE(""Currency:""&amp;A446&amp;""""&amp;$F$1&amp;""""))))"),"")</f>
        <v/>
      </c>
      <c r="G446" s="501" t="str">
        <f t="shared" si="1"/>
        <v/>
      </c>
      <c r="H446" s="501" t="str">
        <f t="shared" si="2"/>
        <v/>
      </c>
      <c r="I446" s="501" t="str">
        <f t="shared" si="3"/>
        <v/>
      </c>
    </row>
    <row r="447">
      <c r="A447" s="501" t="str">
        <f>IFERROR(__xludf.DUMMYFUNCTION("IFERROR(if(ISBLANK(Installment!A447),"""",if(GOOGLEFINANCE(Installment!A447,""Currency"")=""GBX"",""GBP"",GOOGLEFINANCE(Installment!A447,""Currency""))),$F$1)"),"")</f>
        <v/>
      </c>
      <c r="B447" s="501" t="str">
        <f>Installment!A447</f>
        <v/>
      </c>
      <c r="C447" s="501" t="str">
        <f>Installment!B447</f>
        <v/>
      </c>
      <c r="D447" s="501" t="str">
        <f>IFERROR(__xludf.DUMMYFUNCTION("if(A447=""GBP"",if(B447="""","""",if(A447=$F$1,Installment!C447,Installment!C447*GOOGLEFINANCE(""Currency:""&amp;A447&amp;""""&amp;$F$1&amp;"""")))/100,if(B447="""","""",if(A447=$F$1,Installment!C447,Installment!C447*GOOGLEFINANCE(""Currency:""&amp;A447&amp;""""&amp;$F$1&amp;""""))))"),"")</f>
        <v/>
      </c>
      <c r="E447" s="501" t="str">
        <f>IFERROR(__xludf.DUMMYFUNCTION("if(A447=""GBP"",if(B447="""","""",if(A447=$F$1,Installment!H447,Installment!H447*GOOGLEFINANCE(""Currency:""&amp;A447&amp;""""&amp;$F$1&amp;"""")))/100,if(B447="""","""",if(A447=$F$1,Installment!H447,Installment!H447*GOOGLEFINANCE(""Currency:""&amp;A447&amp;""""&amp;$F$1&amp;""""))))"),"")</f>
        <v/>
      </c>
      <c r="F447" s="501" t="str">
        <f>IFERROR(__xludf.DUMMYFUNCTION("if(A447=""GBP"",if(B447="""","""",if(A447=$F$1,Installment!I447,Installment!I447*GOOGLEFINANCE(""Currency:""&amp;A447&amp;""""&amp;$F$1&amp;"""")))/100,if(B447="""","""",if(A447=$F$1,Installment!I447,Installment!I447*GOOGLEFINANCE(""Currency:""&amp;A447&amp;""""&amp;$F$1&amp;""""))))"),"")</f>
        <v/>
      </c>
      <c r="G447" s="501" t="str">
        <f t="shared" si="1"/>
        <v/>
      </c>
      <c r="H447" s="501" t="str">
        <f t="shared" si="2"/>
        <v/>
      </c>
      <c r="I447" s="501" t="str">
        <f t="shared" si="3"/>
        <v/>
      </c>
    </row>
    <row r="448">
      <c r="A448" s="501" t="str">
        <f>IFERROR(__xludf.DUMMYFUNCTION("IFERROR(if(ISBLANK(Installment!A448),"""",if(GOOGLEFINANCE(Installment!A448,""Currency"")=""GBX"",""GBP"",GOOGLEFINANCE(Installment!A448,""Currency""))),$F$1)"),"")</f>
        <v/>
      </c>
      <c r="B448" s="501" t="str">
        <f>Installment!A448</f>
        <v/>
      </c>
      <c r="C448" s="501" t="str">
        <f>Installment!B448</f>
        <v/>
      </c>
      <c r="D448" s="501" t="str">
        <f>IFERROR(__xludf.DUMMYFUNCTION("if(A448=""GBP"",if(B448="""","""",if(A448=$F$1,Installment!C448,Installment!C448*GOOGLEFINANCE(""Currency:""&amp;A448&amp;""""&amp;$F$1&amp;"""")))/100,if(B448="""","""",if(A448=$F$1,Installment!C448,Installment!C448*GOOGLEFINANCE(""Currency:""&amp;A448&amp;""""&amp;$F$1&amp;""""))))"),"")</f>
        <v/>
      </c>
      <c r="E448" s="501" t="str">
        <f>IFERROR(__xludf.DUMMYFUNCTION("if(A448=""GBP"",if(B448="""","""",if(A448=$F$1,Installment!H448,Installment!H448*GOOGLEFINANCE(""Currency:""&amp;A448&amp;""""&amp;$F$1&amp;"""")))/100,if(B448="""","""",if(A448=$F$1,Installment!H448,Installment!H448*GOOGLEFINANCE(""Currency:""&amp;A448&amp;""""&amp;$F$1&amp;""""))))"),"")</f>
        <v/>
      </c>
      <c r="F448" s="501" t="str">
        <f>IFERROR(__xludf.DUMMYFUNCTION("if(A448=""GBP"",if(B448="""","""",if(A448=$F$1,Installment!I448,Installment!I448*GOOGLEFINANCE(""Currency:""&amp;A448&amp;""""&amp;$F$1&amp;"""")))/100,if(B448="""","""",if(A448=$F$1,Installment!I448,Installment!I448*GOOGLEFINANCE(""Currency:""&amp;A448&amp;""""&amp;$F$1&amp;""""))))"),"")</f>
        <v/>
      </c>
      <c r="G448" s="501" t="str">
        <f t="shared" si="1"/>
        <v/>
      </c>
      <c r="H448" s="501" t="str">
        <f t="shared" si="2"/>
        <v/>
      </c>
      <c r="I448" s="501" t="str">
        <f t="shared" si="3"/>
        <v/>
      </c>
    </row>
    <row r="449">
      <c r="A449" s="501" t="str">
        <f>IFERROR(__xludf.DUMMYFUNCTION("IFERROR(if(ISBLANK(Installment!A449),"""",if(GOOGLEFINANCE(Installment!A449,""Currency"")=""GBX"",""GBP"",GOOGLEFINANCE(Installment!A449,""Currency""))),$F$1)"),"")</f>
        <v/>
      </c>
      <c r="B449" s="501" t="str">
        <f>Installment!A449</f>
        <v/>
      </c>
      <c r="C449" s="501" t="str">
        <f>Installment!B449</f>
        <v/>
      </c>
      <c r="D449" s="501" t="str">
        <f>IFERROR(__xludf.DUMMYFUNCTION("if(A449=""GBP"",if(B449="""","""",if(A449=$F$1,Installment!C449,Installment!C449*GOOGLEFINANCE(""Currency:""&amp;A449&amp;""""&amp;$F$1&amp;"""")))/100,if(B449="""","""",if(A449=$F$1,Installment!C449,Installment!C449*GOOGLEFINANCE(""Currency:""&amp;A449&amp;""""&amp;$F$1&amp;""""))))"),"")</f>
        <v/>
      </c>
      <c r="E449" s="501" t="str">
        <f>IFERROR(__xludf.DUMMYFUNCTION("if(A449=""GBP"",if(B449="""","""",if(A449=$F$1,Installment!H449,Installment!H449*GOOGLEFINANCE(""Currency:""&amp;A449&amp;""""&amp;$F$1&amp;"""")))/100,if(B449="""","""",if(A449=$F$1,Installment!H449,Installment!H449*GOOGLEFINANCE(""Currency:""&amp;A449&amp;""""&amp;$F$1&amp;""""))))"),"")</f>
        <v/>
      </c>
      <c r="F449" s="501" t="str">
        <f>IFERROR(__xludf.DUMMYFUNCTION("if(A449=""GBP"",if(B449="""","""",if(A449=$F$1,Installment!I449,Installment!I449*GOOGLEFINANCE(""Currency:""&amp;A449&amp;""""&amp;$F$1&amp;"""")))/100,if(B449="""","""",if(A449=$F$1,Installment!I449,Installment!I449*GOOGLEFINANCE(""Currency:""&amp;A449&amp;""""&amp;$F$1&amp;""""))))"),"")</f>
        <v/>
      </c>
      <c r="G449" s="501" t="str">
        <f t="shared" si="1"/>
        <v/>
      </c>
      <c r="H449" s="501" t="str">
        <f t="shared" si="2"/>
        <v/>
      </c>
      <c r="I449" s="501" t="str">
        <f t="shared" si="3"/>
        <v/>
      </c>
    </row>
    <row r="450">
      <c r="A450" s="501" t="str">
        <f>IFERROR(__xludf.DUMMYFUNCTION("IFERROR(if(ISBLANK(Installment!A450),"""",if(GOOGLEFINANCE(Installment!A450,""Currency"")=""GBX"",""GBP"",GOOGLEFINANCE(Installment!A450,""Currency""))),$F$1)"),"")</f>
        <v/>
      </c>
      <c r="B450" s="501" t="str">
        <f>Installment!A450</f>
        <v/>
      </c>
      <c r="C450" s="501" t="str">
        <f>Installment!B450</f>
        <v/>
      </c>
      <c r="D450" s="501" t="str">
        <f>IFERROR(__xludf.DUMMYFUNCTION("if(A450=""GBP"",if(B450="""","""",if(A450=$F$1,Installment!C450,Installment!C450*GOOGLEFINANCE(""Currency:""&amp;A450&amp;""""&amp;$F$1&amp;"""")))/100,if(B450="""","""",if(A450=$F$1,Installment!C450,Installment!C450*GOOGLEFINANCE(""Currency:""&amp;A450&amp;""""&amp;$F$1&amp;""""))))"),"")</f>
        <v/>
      </c>
      <c r="E450" s="501" t="str">
        <f>IFERROR(__xludf.DUMMYFUNCTION("if(A450=""GBP"",if(B450="""","""",if(A450=$F$1,Installment!H450,Installment!H450*GOOGLEFINANCE(""Currency:""&amp;A450&amp;""""&amp;$F$1&amp;"""")))/100,if(B450="""","""",if(A450=$F$1,Installment!H450,Installment!H450*GOOGLEFINANCE(""Currency:""&amp;A450&amp;""""&amp;$F$1&amp;""""))))"),"")</f>
        <v/>
      </c>
      <c r="F450" s="501" t="str">
        <f>IFERROR(__xludf.DUMMYFUNCTION("if(A450=""GBP"",if(B450="""","""",if(A450=$F$1,Installment!I450,Installment!I450*GOOGLEFINANCE(""Currency:""&amp;A450&amp;""""&amp;$F$1&amp;"""")))/100,if(B450="""","""",if(A450=$F$1,Installment!I450,Installment!I450*GOOGLEFINANCE(""Currency:""&amp;A450&amp;""""&amp;$F$1&amp;""""))))"),"")</f>
        <v/>
      </c>
      <c r="G450" s="501" t="str">
        <f t="shared" si="1"/>
        <v/>
      </c>
      <c r="H450" s="501" t="str">
        <f t="shared" si="2"/>
        <v/>
      </c>
      <c r="I450" s="501" t="str">
        <f t="shared" si="3"/>
        <v/>
      </c>
    </row>
    <row r="451">
      <c r="A451" s="501" t="str">
        <f>IFERROR(__xludf.DUMMYFUNCTION("IFERROR(if(ISBLANK(Installment!A451),"""",if(GOOGLEFINANCE(Installment!A451,""Currency"")=""GBX"",""GBP"",GOOGLEFINANCE(Installment!A451,""Currency""))),$F$1)"),"")</f>
        <v/>
      </c>
      <c r="B451" s="501" t="str">
        <f>Installment!A451</f>
        <v/>
      </c>
      <c r="C451" s="501" t="str">
        <f>Installment!B451</f>
        <v/>
      </c>
      <c r="D451" s="501" t="str">
        <f>IFERROR(__xludf.DUMMYFUNCTION("if(A451=""GBP"",if(B451="""","""",if(A451=$F$1,Installment!C451,Installment!C451*GOOGLEFINANCE(""Currency:""&amp;A451&amp;""""&amp;$F$1&amp;"""")))/100,if(B451="""","""",if(A451=$F$1,Installment!C451,Installment!C451*GOOGLEFINANCE(""Currency:""&amp;A451&amp;""""&amp;$F$1&amp;""""))))"),"")</f>
        <v/>
      </c>
      <c r="E451" s="501" t="str">
        <f>IFERROR(__xludf.DUMMYFUNCTION("if(A451=""GBP"",if(B451="""","""",if(A451=$F$1,Installment!H451,Installment!H451*GOOGLEFINANCE(""Currency:""&amp;A451&amp;""""&amp;$F$1&amp;"""")))/100,if(B451="""","""",if(A451=$F$1,Installment!H451,Installment!H451*GOOGLEFINANCE(""Currency:""&amp;A451&amp;""""&amp;$F$1&amp;""""))))"),"")</f>
        <v/>
      </c>
      <c r="F451" s="501" t="str">
        <f>IFERROR(__xludf.DUMMYFUNCTION("if(A451=""GBP"",if(B451="""","""",if(A451=$F$1,Installment!I451,Installment!I451*GOOGLEFINANCE(""Currency:""&amp;A451&amp;""""&amp;$F$1&amp;"""")))/100,if(B451="""","""",if(A451=$F$1,Installment!I451,Installment!I451*GOOGLEFINANCE(""Currency:""&amp;A451&amp;""""&amp;$F$1&amp;""""))))"),"")</f>
        <v/>
      </c>
      <c r="G451" s="501" t="str">
        <f t="shared" si="1"/>
        <v/>
      </c>
      <c r="H451" s="501" t="str">
        <f t="shared" si="2"/>
        <v/>
      </c>
      <c r="I451" s="501" t="str">
        <f t="shared" si="3"/>
        <v/>
      </c>
    </row>
    <row r="452">
      <c r="A452" s="501" t="str">
        <f>IFERROR(__xludf.DUMMYFUNCTION("IFERROR(if(ISBLANK(Installment!A452),"""",if(GOOGLEFINANCE(Installment!A452,""Currency"")=""GBX"",""GBP"",GOOGLEFINANCE(Installment!A452,""Currency""))),$F$1)"),"")</f>
        <v/>
      </c>
      <c r="B452" s="501" t="str">
        <f>Installment!A452</f>
        <v/>
      </c>
      <c r="C452" s="501" t="str">
        <f>Installment!B452</f>
        <v/>
      </c>
      <c r="D452" s="501" t="str">
        <f>IFERROR(__xludf.DUMMYFUNCTION("if(A452=""GBP"",if(B452="""","""",if(A452=$F$1,Installment!C452,Installment!C452*GOOGLEFINANCE(""Currency:""&amp;A452&amp;""""&amp;$F$1&amp;"""")))/100,if(B452="""","""",if(A452=$F$1,Installment!C452,Installment!C452*GOOGLEFINANCE(""Currency:""&amp;A452&amp;""""&amp;$F$1&amp;""""))))"),"")</f>
        <v/>
      </c>
      <c r="E452" s="501" t="str">
        <f>IFERROR(__xludf.DUMMYFUNCTION("if(A452=""GBP"",if(B452="""","""",if(A452=$F$1,Installment!H452,Installment!H452*GOOGLEFINANCE(""Currency:""&amp;A452&amp;""""&amp;$F$1&amp;"""")))/100,if(B452="""","""",if(A452=$F$1,Installment!H452,Installment!H452*GOOGLEFINANCE(""Currency:""&amp;A452&amp;""""&amp;$F$1&amp;""""))))"),"")</f>
        <v/>
      </c>
      <c r="F452" s="501" t="str">
        <f>IFERROR(__xludf.DUMMYFUNCTION("if(A452=""GBP"",if(B452="""","""",if(A452=$F$1,Installment!I452,Installment!I452*GOOGLEFINANCE(""Currency:""&amp;A452&amp;""""&amp;$F$1&amp;"""")))/100,if(B452="""","""",if(A452=$F$1,Installment!I452,Installment!I452*GOOGLEFINANCE(""Currency:""&amp;A452&amp;""""&amp;$F$1&amp;""""))))"),"")</f>
        <v/>
      </c>
      <c r="G452" s="501" t="str">
        <f t="shared" si="1"/>
        <v/>
      </c>
      <c r="H452" s="501" t="str">
        <f t="shared" si="2"/>
        <v/>
      </c>
      <c r="I452" s="501" t="str">
        <f t="shared" si="3"/>
        <v/>
      </c>
    </row>
    <row r="453">
      <c r="A453" s="501" t="str">
        <f>IFERROR(__xludf.DUMMYFUNCTION("IFERROR(if(ISBLANK(Installment!A453),"""",if(GOOGLEFINANCE(Installment!A453,""Currency"")=""GBX"",""GBP"",GOOGLEFINANCE(Installment!A453,""Currency""))),$F$1)"),"")</f>
        <v/>
      </c>
      <c r="B453" s="501" t="str">
        <f>Installment!A453</f>
        <v/>
      </c>
      <c r="C453" s="501" t="str">
        <f>Installment!B453</f>
        <v/>
      </c>
      <c r="D453" s="501" t="str">
        <f>IFERROR(__xludf.DUMMYFUNCTION("if(A453=""GBP"",if(B453="""","""",if(A453=$F$1,Installment!C453,Installment!C453*GOOGLEFINANCE(""Currency:""&amp;A453&amp;""""&amp;$F$1&amp;"""")))/100,if(B453="""","""",if(A453=$F$1,Installment!C453,Installment!C453*GOOGLEFINANCE(""Currency:""&amp;A453&amp;""""&amp;$F$1&amp;""""))))"),"")</f>
        <v/>
      </c>
      <c r="E453" s="501" t="str">
        <f>IFERROR(__xludf.DUMMYFUNCTION("if(A453=""GBP"",if(B453="""","""",if(A453=$F$1,Installment!H453,Installment!H453*GOOGLEFINANCE(""Currency:""&amp;A453&amp;""""&amp;$F$1&amp;"""")))/100,if(B453="""","""",if(A453=$F$1,Installment!H453,Installment!H453*GOOGLEFINANCE(""Currency:""&amp;A453&amp;""""&amp;$F$1&amp;""""))))"),"")</f>
        <v/>
      </c>
      <c r="F453" s="501" t="str">
        <f>IFERROR(__xludf.DUMMYFUNCTION("if(A453=""GBP"",if(B453="""","""",if(A453=$F$1,Installment!I453,Installment!I453*GOOGLEFINANCE(""Currency:""&amp;A453&amp;""""&amp;$F$1&amp;"""")))/100,if(B453="""","""",if(A453=$F$1,Installment!I453,Installment!I453*GOOGLEFINANCE(""Currency:""&amp;A453&amp;""""&amp;$F$1&amp;""""))))"),"")</f>
        <v/>
      </c>
      <c r="G453" s="501" t="str">
        <f t="shared" si="1"/>
        <v/>
      </c>
      <c r="H453" s="501" t="str">
        <f t="shared" si="2"/>
        <v/>
      </c>
      <c r="I453" s="501" t="str">
        <f t="shared" si="3"/>
        <v/>
      </c>
    </row>
    <row r="454">
      <c r="A454" s="501" t="str">
        <f>IFERROR(__xludf.DUMMYFUNCTION("IFERROR(if(ISBLANK(Installment!A454),"""",if(GOOGLEFINANCE(Installment!A454,""Currency"")=""GBX"",""GBP"",GOOGLEFINANCE(Installment!A454,""Currency""))),$F$1)"),"")</f>
        <v/>
      </c>
      <c r="B454" s="501" t="str">
        <f>Installment!A454</f>
        <v/>
      </c>
      <c r="C454" s="501" t="str">
        <f>Installment!B454</f>
        <v/>
      </c>
      <c r="D454" s="501" t="str">
        <f>IFERROR(__xludf.DUMMYFUNCTION("if(A454=""GBP"",if(B454="""","""",if(A454=$F$1,Installment!C454,Installment!C454*GOOGLEFINANCE(""Currency:""&amp;A454&amp;""""&amp;$F$1&amp;"""")))/100,if(B454="""","""",if(A454=$F$1,Installment!C454,Installment!C454*GOOGLEFINANCE(""Currency:""&amp;A454&amp;""""&amp;$F$1&amp;""""))))"),"")</f>
        <v/>
      </c>
      <c r="E454" s="501" t="str">
        <f>IFERROR(__xludf.DUMMYFUNCTION("if(A454=""GBP"",if(B454="""","""",if(A454=$F$1,Installment!H454,Installment!H454*GOOGLEFINANCE(""Currency:""&amp;A454&amp;""""&amp;$F$1&amp;"""")))/100,if(B454="""","""",if(A454=$F$1,Installment!H454,Installment!H454*GOOGLEFINANCE(""Currency:""&amp;A454&amp;""""&amp;$F$1&amp;""""))))"),"")</f>
        <v/>
      </c>
      <c r="F454" s="501" t="str">
        <f>IFERROR(__xludf.DUMMYFUNCTION("if(A454=""GBP"",if(B454="""","""",if(A454=$F$1,Installment!I454,Installment!I454*GOOGLEFINANCE(""Currency:""&amp;A454&amp;""""&amp;$F$1&amp;"""")))/100,if(B454="""","""",if(A454=$F$1,Installment!I454,Installment!I454*GOOGLEFINANCE(""Currency:""&amp;A454&amp;""""&amp;$F$1&amp;""""))))"),"")</f>
        <v/>
      </c>
      <c r="G454" s="501" t="str">
        <f t="shared" si="1"/>
        <v/>
      </c>
      <c r="H454" s="501" t="str">
        <f t="shared" si="2"/>
        <v/>
      </c>
      <c r="I454" s="501" t="str">
        <f t="shared" si="3"/>
        <v/>
      </c>
    </row>
    <row r="455">
      <c r="A455" s="501" t="str">
        <f>IFERROR(__xludf.DUMMYFUNCTION("IFERROR(if(ISBLANK(Installment!A455),"""",if(GOOGLEFINANCE(Installment!A455,""Currency"")=""GBX"",""GBP"",GOOGLEFINANCE(Installment!A455,""Currency""))),$F$1)"),"")</f>
        <v/>
      </c>
      <c r="B455" s="501" t="str">
        <f>Installment!A455</f>
        <v/>
      </c>
      <c r="C455" s="501" t="str">
        <f>Installment!B455</f>
        <v/>
      </c>
      <c r="D455" s="501" t="str">
        <f>IFERROR(__xludf.DUMMYFUNCTION("if(A455=""GBP"",if(B455="""","""",if(A455=$F$1,Installment!C455,Installment!C455*GOOGLEFINANCE(""Currency:""&amp;A455&amp;""""&amp;$F$1&amp;"""")))/100,if(B455="""","""",if(A455=$F$1,Installment!C455,Installment!C455*GOOGLEFINANCE(""Currency:""&amp;A455&amp;""""&amp;$F$1&amp;""""))))"),"")</f>
        <v/>
      </c>
      <c r="E455" s="501" t="str">
        <f>IFERROR(__xludf.DUMMYFUNCTION("if(A455=""GBP"",if(B455="""","""",if(A455=$F$1,Installment!H455,Installment!H455*GOOGLEFINANCE(""Currency:""&amp;A455&amp;""""&amp;$F$1&amp;"""")))/100,if(B455="""","""",if(A455=$F$1,Installment!H455,Installment!H455*GOOGLEFINANCE(""Currency:""&amp;A455&amp;""""&amp;$F$1&amp;""""))))"),"")</f>
        <v/>
      </c>
      <c r="F455" s="501" t="str">
        <f>IFERROR(__xludf.DUMMYFUNCTION("if(A455=""GBP"",if(B455="""","""",if(A455=$F$1,Installment!I455,Installment!I455*GOOGLEFINANCE(""Currency:""&amp;A455&amp;""""&amp;$F$1&amp;"""")))/100,if(B455="""","""",if(A455=$F$1,Installment!I455,Installment!I455*GOOGLEFINANCE(""Currency:""&amp;A455&amp;""""&amp;$F$1&amp;""""))))"),"")</f>
        <v/>
      </c>
      <c r="G455" s="501" t="str">
        <f t="shared" si="1"/>
        <v/>
      </c>
      <c r="H455" s="501" t="str">
        <f t="shared" si="2"/>
        <v/>
      </c>
      <c r="I455" s="501" t="str">
        <f t="shared" si="3"/>
        <v/>
      </c>
    </row>
    <row r="456">
      <c r="A456" s="501" t="str">
        <f>IFERROR(__xludf.DUMMYFUNCTION("IFERROR(if(ISBLANK(Installment!A456),"""",if(GOOGLEFINANCE(Installment!A456,""Currency"")=""GBX"",""GBP"",GOOGLEFINANCE(Installment!A456,""Currency""))),$F$1)"),"")</f>
        <v/>
      </c>
      <c r="B456" s="501" t="str">
        <f>Installment!A456</f>
        <v/>
      </c>
      <c r="C456" s="501" t="str">
        <f>Installment!B456</f>
        <v/>
      </c>
      <c r="D456" s="501" t="str">
        <f>IFERROR(__xludf.DUMMYFUNCTION("if(A456=""GBP"",if(B456="""","""",if(A456=$F$1,Installment!C456,Installment!C456*GOOGLEFINANCE(""Currency:""&amp;A456&amp;""""&amp;$F$1&amp;"""")))/100,if(B456="""","""",if(A456=$F$1,Installment!C456,Installment!C456*GOOGLEFINANCE(""Currency:""&amp;A456&amp;""""&amp;$F$1&amp;""""))))"),"")</f>
        <v/>
      </c>
      <c r="E456" s="501" t="str">
        <f>IFERROR(__xludf.DUMMYFUNCTION("if(A456=""GBP"",if(B456="""","""",if(A456=$F$1,Installment!H456,Installment!H456*GOOGLEFINANCE(""Currency:""&amp;A456&amp;""""&amp;$F$1&amp;"""")))/100,if(B456="""","""",if(A456=$F$1,Installment!H456,Installment!H456*GOOGLEFINANCE(""Currency:""&amp;A456&amp;""""&amp;$F$1&amp;""""))))"),"")</f>
        <v/>
      </c>
      <c r="F456" s="501" t="str">
        <f>IFERROR(__xludf.DUMMYFUNCTION("if(A456=""GBP"",if(B456="""","""",if(A456=$F$1,Installment!I456,Installment!I456*GOOGLEFINANCE(""Currency:""&amp;A456&amp;""""&amp;$F$1&amp;"""")))/100,if(B456="""","""",if(A456=$F$1,Installment!I456,Installment!I456*GOOGLEFINANCE(""Currency:""&amp;A456&amp;""""&amp;$F$1&amp;""""))))"),"")</f>
        <v/>
      </c>
      <c r="G456" s="501" t="str">
        <f t="shared" si="1"/>
        <v/>
      </c>
      <c r="H456" s="501" t="str">
        <f t="shared" si="2"/>
        <v/>
      </c>
      <c r="I456" s="501" t="str">
        <f t="shared" si="3"/>
        <v/>
      </c>
    </row>
    <row r="457">
      <c r="A457" s="501" t="str">
        <f>IFERROR(__xludf.DUMMYFUNCTION("IFERROR(if(ISBLANK(Installment!A457),"""",if(GOOGLEFINANCE(Installment!A457,""Currency"")=""GBX"",""GBP"",GOOGLEFINANCE(Installment!A457,""Currency""))),$F$1)"),"")</f>
        <v/>
      </c>
      <c r="B457" s="501" t="str">
        <f>Installment!A457</f>
        <v/>
      </c>
      <c r="C457" s="501" t="str">
        <f>Installment!B457</f>
        <v/>
      </c>
      <c r="D457" s="501" t="str">
        <f>IFERROR(__xludf.DUMMYFUNCTION("if(A457=""GBP"",if(B457="""","""",if(A457=$F$1,Installment!C457,Installment!C457*GOOGLEFINANCE(""Currency:""&amp;A457&amp;""""&amp;$F$1&amp;"""")))/100,if(B457="""","""",if(A457=$F$1,Installment!C457,Installment!C457*GOOGLEFINANCE(""Currency:""&amp;A457&amp;""""&amp;$F$1&amp;""""))))"),"")</f>
        <v/>
      </c>
      <c r="E457" s="501" t="str">
        <f>IFERROR(__xludf.DUMMYFUNCTION("if(A457=""GBP"",if(B457="""","""",if(A457=$F$1,Installment!H457,Installment!H457*GOOGLEFINANCE(""Currency:""&amp;A457&amp;""""&amp;$F$1&amp;"""")))/100,if(B457="""","""",if(A457=$F$1,Installment!H457,Installment!H457*GOOGLEFINANCE(""Currency:""&amp;A457&amp;""""&amp;$F$1&amp;""""))))"),"")</f>
        <v/>
      </c>
      <c r="F457" s="501" t="str">
        <f>IFERROR(__xludf.DUMMYFUNCTION("if(A457=""GBP"",if(B457="""","""",if(A457=$F$1,Installment!I457,Installment!I457*GOOGLEFINANCE(""Currency:""&amp;A457&amp;""""&amp;$F$1&amp;"""")))/100,if(B457="""","""",if(A457=$F$1,Installment!I457,Installment!I457*GOOGLEFINANCE(""Currency:""&amp;A457&amp;""""&amp;$F$1&amp;""""))))"),"")</f>
        <v/>
      </c>
      <c r="G457" s="501" t="str">
        <f t="shared" si="1"/>
        <v/>
      </c>
      <c r="H457" s="501" t="str">
        <f t="shared" si="2"/>
        <v/>
      </c>
      <c r="I457" s="501" t="str">
        <f t="shared" si="3"/>
        <v/>
      </c>
    </row>
    <row r="458">
      <c r="A458" s="501" t="str">
        <f>IFERROR(__xludf.DUMMYFUNCTION("IFERROR(if(ISBLANK(Installment!A458),"""",if(GOOGLEFINANCE(Installment!A458,""Currency"")=""GBX"",""GBP"",GOOGLEFINANCE(Installment!A458,""Currency""))),$F$1)"),"")</f>
        <v/>
      </c>
      <c r="B458" s="501" t="str">
        <f>Installment!A458</f>
        <v/>
      </c>
      <c r="C458" s="501" t="str">
        <f>Installment!B458</f>
        <v/>
      </c>
      <c r="D458" s="501" t="str">
        <f>IFERROR(__xludf.DUMMYFUNCTION("if(A458=""GBP"",if(B458="""","""",if(A458=$F$1,Installment!C458,Installment!C458*GOOGLEFINANCE(""Currency:""&amp;A458&amp;""""&amp;$F$1&amp;"""")))/100,if(B458="""","""",if(A458=$F$1,Installment!C458,Installment!C458*GOOGLEFINANCE(""Currency:""&amp;A458&amp;""""&amp;$F$1&amp;""""))))"),"")</f>
        <v/>
      </c>
      <c r="E458" s="501" t="str">
        <f>IFERROR(__xludf.DUMMYFUNCTION("if(A458=""GBP"",if(B458="""","""",if(A458=$F$1,Installment!H458,Installment!H458*GOOGLEFINANCE(""Currency:""&amp;A458&amp;""""&amp;$F$1&amp;"""")))/100,if(B458="""","""",if(A458=$F$1,Installment!H458,Installment!H458*GOOGLEFINANCE(""Currency:""&amp;A458&amp;""""&amp;$F$1&amp;""""))))"),"")</f>
        <v/>
      </c>
      <c r="F458" s="501" t="str">
        <f>IFERROR(__xludf.DUMMYFUNCTION("if(A458=""GBP"",if(B458="""","""",if(A458=$F$1,Installment!I458,Installment!I458*GOOGLEFINANCE(""Currency:""&amp;A458&amp;""""&amp;$F$1&amp;"""")))/100,if(B458="""","""",if(A458=$F$1,Installment!I458,Installment!I458*GOOGLEFINANCE(""Currency:""&amp;A458&amp;""""&amp;$F$1&amp;""""))))"),"")</f>
        <v/>
      </c>
      <c r="G458" s="501" t="str">
        <f t="shared" si="1"/>
        <v/>
      </c>
      <c r="H458" s="501" t="str">
        <f t="shared" si="2"/>
        <v/>
      </c>
      <c r="I458" s="501" t="str">
        <f t="shared" si="3"/>
        <v/>
      </c>
    </row>
    <row r="459">
      <c r="A459" s="501" t="str">
        <f>IFERROR(__xludf.DUMMYFUNCTION("IFERROR(if(ISBLANK(Installment!A459),"""",if(GOOGLEFINANCE(Installment!A459,""Currency"")=""GBX"",""GBP"",GOOGLEFINANCE(Installment!A459,""Currency""))),$F$1)"),"")</f>
        <v/>
      </c>
      <c r="B459" s="501" t="str">
        <f>Installment!A459</f>
        <v/>
      </c>
      <c r="C459" s="501" t="str">
        <f>Installment!B459</f>
        <v/>
      </c>
      <c r="D459" s="501" t="str">
        <f>IFERROR(__xludf.DUMMYFUNCTION("if(A459=""GBP"",if(B459="""","""",if(A459=$F$1,Installment!C459,Installment!C459*GOOGLEFINANCE(""Currency:""&amp;A459&amp;""""&amp;$F$1&amp;"""")))/100,if(B459="""","""",if(A459=$F$1,Installment!C459,Installment!C459*GOOGLEFINANCE(""Currency:""&amp;A459&amp;""""&amp;$F$1&amp;""""))))"),"")</f>
        <v/>
      </c>
      <c r="E459" s="501" t="str">
        <f>IFERROR(__xludf.DUMMYFUNCTION("if(A459=""GBP"",if(B459="""","""",if(A459=$F$1,Installment!H459,Installment!H459*GOOGLEFINANCE(""Currency:""&amp;A459&amp;""""&amp;$F$1&amp;"""")))/100,if(B459="""","""",if(A459=$F$1,Installment!H459,Installment!H459*GOOGLEFINANCE(""Currency:""&amp;A459&amp;""""&amp;$F$1&amp;""""))))"),"")</f>
        <v/>
      </c>
      <c r="F459" s="501" t="str">
        <f>IFERROR(__xludf.DUMMYFUNCTION("if(A459=""GBP"",if(B459="""","""",if(A459=$F$1,Installment!I459,Installment!I459*GOOGLEFINANCE(""Currency:""&amp;A459&amp;""""&amp;$F$1&amp;"""")))/100,if(B459="""","""",if(A459=$F$1,Installment!I459,Installment!I459*GOOGLEFINANCE(""Currency:""&amp;A459&amp;""""&amp;$F$1&amp;""""))))"),"")</f>
        <v/>
      </c>
      <c r="G459" s="501" t="str">
        <f t="shared" si="1"/>
        <v/>
      </c>
      <c r="H459" s="501" t="str">
        <f t="shared" si="2"/>
        <v/>
      </c>
      <c r="I459" s="501" t="str">
        <f t="shared" si="3"/>
        <v/>
      </c>
    </row>
    <row r="460">
      <c r="A460" s="501" t="str">
        <f>IFERROR(__xludf.DUMMYFUNCTION("IFERROR(if(ISBLANK(Installment!A460),"""",if(GOOGLEFINANCE(Installment!A460,""Currency"")=""GBX"",""GBP"",GOOGLEFINANCE(Installment!A460,""Currency""))),$F$1)"),"")</f>
        <v/>
      </c>
      <c r="B460" s="501" t="str">
        <f>Installment!A460</f>
        <v/>
      </c>
      <c r="C460" s="501" t="str">
        <f>Installment!B460</f>
        <v/>
      </c>
      <c r="D460" s="501" t="str">
        <f>IFERROR(__xludf.DUMMYFUNCTION("if(A460=""GBP"",if(B460="""","""",if(A460=$F$1,Installment!C460,Installment!C460*GOOGLEFINANCE(""Currency:""&amp;A460&amp;""""&amp;$F$1&amp;"""")))/100,if(B460="""","""",if(A460=$F$1,Installment!C460,Installment!C460*GOOGLEFINANCE(""Currency:""&amp;A460&amp;""""&amp;$F$1&amp;""""))))"),"")</f>
        <v/>
      </c>
      <c r="E460" s="501" t="str">
        <f>IFERROR(__xludf.DUMMYFUNCTION("if(A460=""GBP"",if(B460="""","""",if(A460=$F$1,Installment!H460,Installment!H460*GOOGLEFINANCE(""Currency:""&amp;A460&amp;""""&amp;$F$1&amp;"""")))/100,if(B460="""","""",if(A460=$F$1,Installment!H460,Installment!H460*GOOGLEFINANCE(""Currency:""&amp;A460&amp;""""&amp;$F$1&amp;""""))))"),"")</f>
        <v/>
      </c>
      <c r="F460" s="501" t="str">
        <f>IFERROR(__xludf.DUMMYFUNCTION("if(A460=""GBP"",if(B460="""","""",if(A460=$F$1,Installment!I460,Installment!I460*GOOGLEFINANCE(""Currency:""&amp;A460&amp;""""&amp;$F$1&amp;"""")))/100,if(B460="""","""",if(A460=$F$1,Installment!I460,Installment!I460*GOOGLEFINANCE(""Currency:""&amp;A460&amp;""""&amp;$F$1&amp;""""))))"),"")</f>
        <v/>
      </c>
      <c r="G460" s="501" t="str">
        <f t="shared" si="1"/>
        <v/>
      </c>
      <c r="H460" s="501" t="str">
        <f t="shared" si="2"/>
        <v/>
      </c>
      <c r="I460" s="501" t="str">
        <f t="shared" si="3"/>
        <v/>
      </c>
    </row>
    <row r="461">
      <c r="A461" s="501" t="str">
        <f>IFERROR(__xludf.DUMMYFUNCTION("IFERROR(if(ISBLANK(Installment!A461),"""",if(GOOGLEFINANCE(Installment!A461,""Currency"")=""GBX"",""GBP"",GOOGLEFINANCE(Installment!A461,""Currency""))),$F$1)"),"")</f>
        <v/>
      </c>
      <c r="B461" s="501" t="str">
        <f>Installment!A461</f>
        <v/>
      </c>
      <c r="C461" s="501" t="str">
        <f>Installment!B461</f>
        <v/>
      </c>
      <c r="D461" s="501" t="str">
        <f>IFERROR(__xludf.DUMMYFUNCTION("if(A461=""GBP"",if(B461="""","""",if(A461=$F$1,Installment!C461,Installment!C461*GOOGLEFINANCE(""Currency:""&amp;A461&amp;""""&amp;$F$1&amp;"""")))/100,if(B461="""","""",if(A461=$F$1,Installment!C461,Installment!C461*GOOGLEFINANCE(""Currency:""&amp;A461&amp;""""&amp;$F$1&amp;""""))))"),"")</f>
        <v/>
      </c>
      <c r="E461" s="501" t="str">
        <f>IFERROR(__xludf.DUMMYFUNCTION("if(A461=""GBP"",if(B461="""","""",if(A461=$F$1,Installment!H461,Installment!H461*GOOGLEFINANCE(""Currency:""&amp;A461&amp;""""&amp;$F$1&amp;"""")))/100,if(B461="""","""",if(A461=$F$1,Installment!H461,Installment!H461*GOOGLEFINANCE(""Currency:""&amp;A461&amp;""""&amp;$F$1&amp;""""))))"),"")</f>
        <v/>
      </c>
      <c r="F461" s="501" t="str">
        <f>IFERROR(__xludf.DUMMYFUNCTION("if(A461=""GBP"",if(B461="""","""",if(A461=$F$1,Installment!I461,Installment!I461*GOOGLEFINANCE(""Currency:""&amp;A461&amp;""""&amp;$F$1&amp;"""")))/100,if(B461="""","""",if(A461=$F$1,Installment!I461,Installment!I461*GOOGLEFINANCE(""Currency:""&amp;A461&amp;""""&amp;$F$1&amp;""""))))"),"")</f>
        <v/>
      </c>
      <c r="G461" s="501" t="str">
        <f t="shared" si="1"/>
        <v/>
      </c>
      <c r="H461" s="501" t="str">
        <f t="shared" si="2"/>
        <v/>
      </c>
      <c r="I461" s="501" t="str">
        <f t="shared" si="3"/>
        <v/>
      </c>
    </row>
    <row r="462">
      <c r="A462" s="501" t="str">
        <f>IFERROR(__xludf.DUMMYFUNCTION("IFERROR(if(ISBLANK(Installment!A462),"""",if(GOOGLEFINANCE(Installment!A462,""Currency"")=""GBX"",""GBP"",GOOGLEFINANCE(Installment!A462,""Currency""))),$F$1)"),"")</f>
        <v/>
      </c>
      <c r="B462" s="501" t="str">
        <f>Installment!A462</f>
        <v/>
      </c>
      <c r="C462" s="501" t="str">
        <f>Installment!B462</f>
        <v/>
      </c>
      <c r="D462" s="501" t="str">
        <f>IFERROR(__xludf.DUMMYFUNCTION("if(A462=""GBP"",if(B462="""","""",if(A462=$F$1,Installment!C462,Installment!C462*GOOGLEFINANCE(""Currency:""&amp;A462&amp;""""&amp;$F$1&amp;"""")))/100,if(B462="""","""",if(A462=$F$1,Installment!C462,Installment!C462*GOOGLEFINANCE(""Currency:""&amp;A462&amp;""""&amp;$F$1&amp;""""))))"),"")</f>
        <v/>
      </c>
      <c r="E462" s="501" t="str">
        <f>IFERROR(__xludf.DUMMYFUNCTION("if(A462=""GBP"",if(B462="""","""",if(A462=$F$1,Installment!H462,Installment!H462*GOOGLEFINANCE(""Currency:""&amp;A462&amp;""""&amp;$F$1&amp;"""")))/100,if(B462="""","""",if(A462=$F$1,Installment!H462,Installment!H462*GOOGLEFINANCE(""Currency:""&amp;A462&amp;""""&amp;$F$1&amp;""""))))"),"")</f>
        <v/>
      </c>
      <c r="F462" s="501" t="str">
        <f>IFERROR(__xludf.DUMMYFUNCTION("if(A462=""GBP"",if(B462="""","""",if(A462=$F$1,Installment!I462,Installment!I462*GOOGLEFINANCE(""Currency:""&amp;A462&amp;""""&amp;$F$1&amp;"""")))/100,if(B462="""","""",if(A462=$F$1,Installment!I462,Installment!I462*GOOGLEFINANCE(""Currency:""&amp;A462&amp;""""&amp;$F$1&amp;""""))))"),"")</f>
        <v/>
      </c>
      <c r="G462" s="501" t="str">
        <f t="shared" si="1"/>
        <v/>
      </c>
      <c r="H462" s="501" t="str">
        <f t="shared" si="2"/>
        <v/>
      </c>
      <c r="I462" s="501" t="str">
        <f t="shared" si="3"/>
        <v/>
      </c>
    </row>
    <row r="463">
      <c r="A463" s="501" t="str">
        <f>IFERROR(__xludf.DUMMYFUNCTION("IFERROR(if(ISBLANK(Installment!A463),"""",if(GOOGLEFINANCE(Installment!A463,""Currency"")=""GBX"",""GBP"",GOOGLEFINANCE(Installment!A463,""Currency""))),$F$1)"),"")</f>
        <v/>
      </c>
      <c r="B463" s="501" t="str">
        <f>Installment!A463</f>
        <v/>
      </c>
      <c r="C463" s="501" t="str">
        <f>Installment!B463</f>
        <v/>
      </c>
      <c r="D463" s="501" t="str">
        <f>IFERROR(__xludf.DUMMYFUNCTION("if(A463=""GBP"",if(B463="""","""",if(A463=$F$1,Installment!C463,Installment!C463*GOOGLEFINANCE(""Currency:""&amp;A463&amp;""""&amp;$F$1&amp;"""")))/100,if(B463="""","""",if(A463=$F$1,Installment!C463,Installment!C463*GOOGLEFINANCE(""Currency:""&amp;A463&amp;""""&amp;$F$1&amp;""""))))"),"")</f>
        <v/>
      </c>
      <c r="E463" s="501" t="str">
        <f>IFERROR(__xludf.DUMMYFUNCTION("if(A463=""GBP"",if(B463="""","""",if(A463=$F$1,Installment!H463,Installment!H463*GOOGLEFINANCE(""Currency:""&amp;A463&amp;""""&amp;$F$1&amp;"""")))/100,if(B463="""","""",if(A463=$F$1,Installment!H463,Installment!H463*GOOGLEFINANCE(""Currency:""&amp;A463&amp;""""&amp;$F$1&amp;""""))))"),"")</f>
        <v/>
      </c>
      <c r="F463" s="501" t="str">
        <f>IFERROR(__xludf.DUMMYFUNCTION("if(A463=""GBP"",if(B463="""","""",if(A463=$F$1,Installment!I463,Installment!I463*GOOGLEFINANCE(""Currency:""&amp;A463&amp;""""&amp;$F$1&amp;"""")))/100,if(B463="""","""",if(A463=$F$1,Installment!I463,Installment!I463*GOOGLEFINANCE(""Currency:""&amp;A463&amp;""""&amp;$F$1&amp;""""))))"),"")</f>
        <v/>
      </c>
      <c r="G463" s="501" t="str">
        <f t="shared" si="1"/>
        <v/>
      </c>
      <c r="H463" s="501" t="str">
        <f t="shared" si="2"/>
        <v/>
      </c>
      <c r="I463" s="501" t="str">
        <f t="shared" si="3"/>
        <v/>
      </c>
    </row>
    <row r="464">
      <c r="A464" s="501" t="str">
        <f>IFERROR(__xludf.DUMMYFUNCTION("IFERROR(if(ISBLANK(Installment!A464),"""",if(GOOGLEFINANCE(Installment!A464,""Currency"")=""GBX"",""GBP"",GOOGLEFINANCE(Installment!A464,""Currency""))),$F$1)"),"")</f>
        <v/>
      </c>
      <c r="B464" s="501" t="str">
        <f>Installment!A464</f>
        <v/>
      </c>
      <c r="C464" s="501" t="str">
        <f>Installment!B464</f>
        <v/>
      </c>
      <c r="D464" s="501" t="str">
        <f>IFERROR(__xludf.DUMMYFUNCTION("if(A464=""GBP"",if(B464="""","""",if(A464=$F$1,Installment!C464,Installment!C464*GOOGLEFINANCE(""Currency:""&amp;A464&amp;""""&amp;$F$1&amp;"""")))/100,if(B464="""","""",if(A464=$F$1,Installment!C464,Installment!C464*GOOGLEFINANCE(""Currency:""&amp;A464&amp;""""&amp;$F$1&amp;""""))))"),"")</f>
        <v/>
      </c>
      <c r="E464" s="501" t="str">
        <f>IFERROR(__xludf.DUMMYFUNCTION("if(A464=""GBP"",if(B464="""","""",if(A464=$F$1,Installment!H464,Installment!H464*GOOGLEFINANCE(""Currency:""&amp;A464&amp;""""&amp;$F$1&amp;"""")))/100,if(B464="""","""",if(A464=$F$1,Installment!H464,Installment!H464*GOOGLEFINANCE(""Currency:""&amp;A464&amp;""""&amp;$F$1&amp;""""))))"),"")</f>
        <v/>
      </c>
      <c r="F464" s="501" t="str">
        <f>IFERROR(__xludf.DUMMYFUNCTION("if(A464=""GBP"",if(B464="""","""",if(A464=$F$1,Installment!I464,Installment!I464*GOOGLEFINANCE(""Currency:""&amp;A464&amp;""""&amp;$F$1&amp;"""")))/100,if(B464="""","""",if(A464=$F$1,Installment!I464,Installment!I464*GOOGLEFINANCE(""Currency:""&amp;A464&amp;""""&amp;$F$1&amp;""""))))"),"")</f>
        <v/>
      </c>
      <c r="G464" s="501" t="str">
        <f t="shared" si="1"/>
        <v/>
      </c>
      <c r="H464" s="501" t="str">
        <f t="shared" si="2"/>
        <v/>
      </c>
      <c r="I464" s="501" t="str">
        <f t="shared" si="3"/>
        <v/>
      </c>
    </row>
    <row r="465">
      <c r="A465" s="501" t="str">
        <f>IFERROR(__xludf.DUMMYFUNCTION("IFERROR(if(ISBLANK(Installment!A465),"""",if(GOOGLEFINANCE(Installment!A465,""Currency"")=""GBX"",""GBP"",GOOGLEFINANCE(Installment!A465,""Currency""))),$F$1)"),"")</f>
        <v/>
      </c>
      <c r="B465" s="501" t="str">
        <f>Installment!A465</f>
        <v/>
      </c>
      <c r="C465" s="501" t="str">
        <f>Installment!B465</f>
        <v/>
      </c>
      <c r="D465" s="501" t="str">
        <f>IFERROR(__xludf.DUMMYFUNCTION("if(A465=""GBP"",if(B465="""","""",if(A465=$F$1,Installment!C465,Installment!C465*GOOGLEFINANCE(""Currency:""&amp;A465&amp;""""&amp;$F$1&amp;"""")))/100,if(B465="""","""",if(A465=$F$1,Installment!C465,Installment!C465*GOOGLEFINANCE(""Currency:""&amp;A465&amp;""""&amp;$F$1&amp;""""))))"),"")</f>
        <v/>
      </c>
      <c r="E465" s="501" t="str">
        <f>IFERROR(__xludf.DUMMYFUNCTION("if(A465=""GBP"",if(B465="""","""",if(A465=$F$1,Installment!H465,Installment!H465*GOOGLEFINANCE(""Currency:""&amp;A465&amp;""""&amp;$F$1&amp;"""")))/100,if(B465="""","""",if(A465=$F$1,Installment!H465,Installment!H465*GOOGLEFINANCE(""Currency:""&amp;A465&amp;""""&amp;$F$1&amp;""""))))"),"")</f>
        <v/>
      </c>
      <c r="F465" s="501" t="str">
        <f>IFERROR(__xludf.DUMMYFUNCTION("if(A465=""GBP"",if(B465="""","""",if(A465=$F$1,Installment!I465,Installment!I465*GOOGLEFINANCE(""Currency:""&amp;A465&amp;""""&amp;$F$1&amp;"""")))/100,if(B465="""","""",if(A465=$F$1,Installment!I465,Installment!I465*GOOGLEFINANCE(""Currency:""&amp;A465&amp;""""&amp;$F$1&amp;""""))))"),"")</f>
        <v/>
      </c>
      <c r="G465" s="501" t="str">
        <f t="shared" si="1"/>
        <v/>
      </c>
      <c r="H465" s="501" t="str">
        <f t="shared" si="2"/>
        <v/>
      </c>
      <c r="I465" s="501" t="str">
        <f t="shared" si="3"/>
        <v/>
      </c>
    </row>
    <row r="466">
      <c r="A466" s="501" t="str">
        <f>IFERROR(__xludf.DUMMYFUNCTION("IFERROR(if(ISBLANK(Installment!A466),"""",if(GOOGLEFINANCE(Installment!A466,""Currency"")=""GBX"",""GBP"",GOOGLEFINANCE(Installment!A466,""Currency""))),$F$1)"),"")</f>
        <v/>
      </c>
      <c r="B466" s="501" t="str">
        <f>Installment!A466</f>
        <v/>
      </c>
      <c r="C466" s="501" t="str">
        <f>Installment!B466</f>
        <v/>
      </c>
      <c r="D466" s="501" t="str">
        <f>IFERROR(__xludf.DUMMYFUNCTION("if(A466=""GBP"",if(B466="""","""",if(A466=$F$1,Installment!C466,Installment!C466*GOOGLEFINANCE(""Currency:""&amp;A466&amp;""""&amp;$F$1&amp;"""")))/100,if(B466="""","""",if(A466=$F$1,Installment!C466,Installment!C466*GOOGLEFINANCE(""Currency:""&amp;A466&amp;""""&amp;$F$1&amp;""""))))"),"")</f>
        <v/>
      </c>
      <c r="E466" s="501" t="str">
        <f>IFERROR(__xludf.DUMMYFUNCTION("if(A466=""GBP"",if(B466="""","""",if(A466=$F$1,Installment!H466,Installment!H466*GOOGLEFINANCE(""Currency:""&amp;A466&amp;""""&amp;$F$1&amp;"""")))/100,if(B466="""","""",if(A466=$F$1,Installment!H466,Installment!H466*GOOGLEFINANCE(""Currency:""&amp;A466&amp;""""&amp;$F$1&amp;""""))))"),"")</f>
        <v/>
      </c>
      <c r="F466" s="501" t="str">
        <f>IFERROR(__xludf.DUMMYFUNCTION("if(A466=""GBP"",if(B466="""","""",if(A466=$F$1,Installment!I466,Installment!I466*GOOGLEFINANCE(""Currency:""&amp;A466&amp;""""&amp;$F$1&amp;"""")))/100,if(B466="""","""",if(A466=$F$1,Installment!I466,Installment!I466*GOOGLEFINANCE(""Currency:""&amp;A466&amp;""""&amp;$F$1&amp;""""))))"),"")</f>
        <v/>
      </c>
      <c r="G466" s="501" t="str">
        <f t="shared" si="1"/>
        <v/>
      </c>
      <c r="H466" s="501" t="str">
        <f t="shared" si="2"/>
        <v/>
      </c>
      <c r="I466" s="501" t="str">
        <f t="shared" si="3"/>
        <v/>
      </c>
    </row>
    <row r="467">
      <c r="A467" s="501" t="str">
        <f>IFERROR(__xludf.DUMMYFUNCTION("IFERROR(if(ISBLANK(Installment!A467),"""",if(GOOGLEFINANCE(Installment!A467,""Currency"")=""GBX"",""GBP"",GOOGLEFINANCE(Installment!A467,""Currency""))),$F$1)"),"")</f>
        <v/>
      </c>
      <c r="B467" s="501" t="str">
        <f>Installment!A467</f>
        <v/>
      </c>
      <c r="C467" s="501" t="str">
        <f>Installment!B467</f>
        <v/>
      </c>
      <c r="D467" s="501" t="str">
        <f>IFERROR(__xludf.DUMMYFUNCTION("if(A467=""GBP"",if(B467="""","""",if(A467=$F$1,Installment!C467,Installment!C467*GOOGLEFINANCE(""Currency:""&amp;A467&amp;""""&amp;$F$1&amp;"""")))/100,if(B467="""","""",if(A467=$F$1,Installment!C467,Installment!C467*GOOGLEFINANCE(""Currency:""&amp;A467&amp;""""&amp;$F$1&amp;""""))))"),"")</f>
        <v/>
      </c>
      <c r="E467" s="501" t="str">
        <f>IFERROR(__xludf.DUMMYFUNCTION("if(A467=""GBP"",if(B467="""","""",if(A467=$F$1,Installment!H467,Installment!H467*GOOGLEFINANCE(""Currency:""&amp;A467&amp;""""&amp;$F$1&amp;"""")))/100,if(B467="""","""",if(A467=$F$1,Installment!H467,Installment!H467*GOOGLEFINANCE(""Currency:""&amp;A467&amp;""""&amp;$F$1&amp;""""))))"),"")</f>
        <v/>
      </c>
      <c r="F467" s="501" t="str">
        <f>IFERROR(__xludf.DUMMYFUNCTION("if(A467=""GBP"",if(B467="""","""",if(A467=$F$1,Installment!I467,Installment!I467*GOOGLEFINANCE(""Currency:""&amp;A467&amp;""""&amp;$F$1&amp;"""")))/100,if(B467="""","""",if(A467=$F$1,Installment!I467,Installment!I467*GOOGLEFINANCE(""Currency:""&amp;A467&amp;""""&amp;$F$1&amp;""""))))"),"")</f>
        <v/>
      </c>
      <c r="G467" s="501" t="str">
        <f t="shared" si="1"/>
        <v/>
      </c>
      <c r="H467" s="501" t="str">
        <f t="shared" si="2"/>
        <v/>
      </c>
      <c r="I467" s="501" t="str">
        <f t="shared" si="3"/>
        <v/>
      </c>
    </row>
    <row r="468">
      <c r="A468" s="501" t="str">
        <f>IFERROR(__xludf.DUMMYFUNCTION("IFERROR(if(ISBLANK(Installment!A468),"""",if(GOOGLEFINANCE(Installment!A468,""Currency"")=""GBX"",""GBP"",GOOGLEFINANCE(Installment!A468,""Currency""))),$F$1)"),"")</f>
        <v/>
      </c>
      <c r="B468" s="501" t="str">
        <f>Installment!A468</f>
        <v/>
      </c>
      <c r="C468" s="501" t="str">
        <f>Installment!B468</f>
        <v/>
      </c>
      <c r="D468" s="501" t="str">
        <f>IFERROR(__xludf.DUMMYFUNCTION("if(A468=""GBP"",if(B468="""","""",if(A468=$F$1,Installment!C468,Installment!C468*GOOGLEFINANCE(""Currency:""&amp;A468&amp;""""&amp;$F$1&amp;"""")))/100,if(B468="""","""",if(A468=$F$1,Installment!C468,Installment!C468*GOOGLEFINANCE(""Currency:""&amp;A468&amp;""""&amp;$F$1&amp;""""))))"),"")</f>
        <v/>
      </c>
      <c r="E468" s="501" t="str">
        <f>IFERROR(__xludf.DUMMYFUNCTION("if(A468=""GBP"",if(B468="""","""",if(A468=$F$1,Installment!H468,Installment!H468*GOOGLEFINANCE(""Currency:""&amp;A468&amp;""""&amp;$F$1&amp;"""")))/100,if(B468="""","""",if(A468=$F$1,Installment!H468,Installment!H468*GOOGLEFINANCE(""Currency:""&amp;A468&amp;""""&amp;$F$1&amp;""""))))"),"")</f>
        <v/>
      </c>
      <c r="F468" s="501" t="str">
        <f>IFERROR(__xludf.DUMMYFUNCTION("if(A468=""GBP"",if(B468="""","""",if(A468=$F$1,Installment!I468,Installment!I468*GOOGLEFINANCE(""Currency:""&amp;A468&amp;""""&amp;$F$1&amp;"""")))/100,if(B468="""","""",if(A468=$F$1,Installment!I468,Installment!I468*GOOGLEFINANCE(""Currency:""&amp;A468&amp;""""&amp;$F$1&amp;""""))))"),"")</f>
        <v/>
      </c>
      <c r="G468" s="501" t="str">
        <f t="shared" si="1"/>
        <v/>
      </c>
      <c r="H468" s="501" t="str">
        <f t="shared" si="2"/>
        <v/>
      </c>
      <c r="I468" s="501" t="str">
        <f t="shared" si="3"/>
        <v/>
      </c>
    </row>
    <row r="469">
      <c r="A469" s="501" t="str">
        <f>IFERROR(__xludf.DUMMYFUNCTION("IFERROR(if(ISBLANK(Installment!A469),"""",if(GOOGLEFINANCE(Installment!A469,""Currency"")=""GBX"",""GBP"",GOOGLEFINANCE(Installment!A469,""Currency""))),$F$1)"),"")</f>
        <v/>
      </c>
      <c r="B469" s="501" t="str">
        <f>Installment!A469</f>
        <v/>
      </c>
      <c r="C469" s="501" t="str">
        <f>Installment!B469</f>
        <v/>
      </c>
      <c r="D469" s="501" t="str">
        <f>IFERROR(__xludf.DUMMYFUNCTION("if(A469=""GBP"",if(B469="""","""",if(A469=$F$1,Installment!C469,Installment!C469*GOOGLEFINANCE(""Currency:""&amp;A469&amp;""""&amp;$F$1&amp;"""")))/100,if(B469="""","""",if(A469=$F$1,Installment!C469,Installment!C469*GOOGLEFINANCE(""Currency:""&amp;A469&amp;""""&amp;$F$1&amp;""""))))"),"")</f>
        <v/>
      </c>
      <c r="E469" s="501" t="str">
        <f>IFERROR(__xludf.DUMMYFUNCTION("if(A469=""GBP"",if(B469="""","""",if(A469=$F$1,Installment!H469,Installment!H469*GOOGLEFINANCE(""Currency:""&amp;A469&amp;""""&amp;$F$1&amp;"""")))/100,if(B469="""","""",if(A469=$F$1,Installment!H469,Installment!H469*GOOGLEFINANCE(""Currency:""&amp;A469&amp;""""&amp;$F$1&amp;""""))))"),"")</f>
        <v/>
      </c>
      <c r="F469" s="501" t="str">
        <f>IFERROR(__xludf.DUMMYFUNCTION("if(A469=""GBP"",if(B469="""","""",if(A469=$F$1,Installment!I469,Installment!I469*GOOGLEFINANCE(""Currency:""&amp;A469&amp;""""&amp;$F$1&amp;"""")))/100,if(B469="""","""",if(A469=$F$1,Installment!I469,Installment!I469*GOOGLEFINANCE(""Currency:""&amp;A469&amp;""""&amp;$F$1&amp;""""))))"),"")</f>
        <v/>
      </c>
      <c r="G469" s="501" t="str">
        <f t="shared" si="1"/>
        <v/>
      </c>
      <c r="H469" s="501" t="str">
        <f t="shared" si="2"/>
        <v/>
      </c>
      <c r="I469" s="501" t="str">
        <f t="shared" si="3"/>
        <v/>
      </c>
    </row>
    <row r="470">
      <c r="A470" s="501" t="str">
        <f>IFERROR(__xludf.DUMMYFUNCTION("IFERROR(if(ISBLANK(Installment!A470),"""",if(GOOGLEFINANCE(Installment!A470,""Currency"")=""GBX"",""GBP"",GOOGLEFINANCE(Installment!A470,""Currency""))),$F$1)"),"")</f>
        <v/>
      </c>
      <c r="B470" s="501" t="str">
        <f>Installment!A470</f>
        <v/>
      </c>
      <c r="C470" s="501" t="str">
        <f>Installment!B470</f>
        <v/>
      </c>
      <c r="D470" s="501" t="str">
        <f>IFERROR(__xludf.DUMMYFUNCTION("if(A470=""GBP"",if(B470="""","""",if(A470=$F$1,Installment!C470,Installment!C470*GOOGLEFINANCE(""Currency:""&amp;A470&amp;""""&amp;$F$1&amp;"""")))/100,if(B470="""","""",if(A470=$F$1,Installment!C470,Installment!C470*GOOGLEFINANCE(""Currency:""&amp;A470&amp;""""&amp;$F$1&amp;""""))))"),"")</f>
        <v/>
      </c>
      <c r="E470" s="501" t="str">
        <f>IFERROR(__xludf.DUMMYFUNCTION("if(A470=""GBP"",if(B470="""","""",if(A470=$F$1,Installment!H470,Installment!H470*GOOGLEFINANCE(""Currency:""&amp;A470&amp;""""&amp;$F$1&amp;"""")))/100,if(B470="""","""",if(A470=$F$1,Installment!H470,Installment!H470*GOOGLEFINANCE(""Currency:""&amp;A470&amp;""""&amp;$F$1&amp;""""))))"),"")</f>
        <v/>
      </c>
      <c r="F470" s="501" t="str">
        <f>IFERROR(__xludf.DUMMYFUNCTION("if(A470=""GBP"",if(B470="""","""",if(A470=$F$1,Installment!I470,Installment!I470*GOOGLEFINANCE(""Currency:""&amp;A470&amp;""""&amp;$F$1&amp;"""")))/100,if(B470="""","""",if(A470=$F$1,Installment!I470,Installment!I470*GOOGLEFINANCE(""Currency:""&amp;A470&amp;""""&amp;$F$1&amp;""""))))"),"")</f>
        <v/>
      </c>
      <c r="G470" s="501" t="str">
        <f t="shared" si="1"/>
        <v/>
      </c>
      <c r="H470" s="501" t="str">
        <f t="shared" si="2"/>
        <v/>
      </c>
      <c r="I470" s="501" t="str">
        <f t="shared" si="3"/>
        <v/>
      </c>
    </row>
    <row r="471">
      <c r="A471" s="501" t="str">
        <f>IFERROR(__xludf.DUMMYFUNCTION("IFERROR(if(ISBLANK(Installment!A471),"""",if(GOOGLEFINANCE(Installment!A471,""Currency"")=""GBX"",""GBP"",GOOGLEFINANCE(Installment!A471,""Currency""))),$F$1)"),"")</f>
        <v/>
      </c>
      <c r="B471" s="501" t="str">
        <f>Installment!A471</f>
        <v/>
      </c>
      <c r="C471" s="501" t="str">
        <f>Installment!B471</f>
        <v/>
      </c>
      <c r="D471" s="501" t="str">
        <f>IFERROR(__xludf.DUMMYFUNCTION("if(A471=""GBP"",if(B471="""","""",if(A471=$F$1,Installment!C471,Installment!C471*GOOGLEFINANCE(""Currency:""&amp;A471&amp;""""&amp;$F$1&amp;"""")))/100,if(B471="""","""",if(A471=$F$1,Installment!C471,Installment!C471*GOOGLEFINANCE(""Currency:""&amp;A471&amp;""""&amp;$F$1&amp;""""))))"),"")</f>
        <v/>
      </c>
      <c r="E471" s="501" t="str">
        <f>IFERROR(__xludf.DUMMYFUNCTION("if(A471=""GBP"",if(B471="""","""",if(A471=$F$1,Installment!H471,Installment!H471*GOOGLEFINANCE(""Currency:""&amp;A471&amp;""""&amp;$F$1&amp;"""")))/100,if(B471="""","""",if(A471=$F$1,Installment!H471,Installment!H471*GOOGLEFINANCE(""Currency:""&amp;A471&amp;""""&amp;$F$1&amp;""""))))"),"")</f>
        <v/>
      </c>
      <c r="F471" s="501" t="str">
        <f>IFERROR(__xludf.DUMMYFUNCTION("if(A471=""GBP"",if(B471="""","""",if(A471=$F$1,Installment!I471,Installment!I471*GOOGLEFINANCE(""Currency:""&amp;A471&amp;""""&amp;$F$1&amp;"""")))/100,if(B471="""","""",if(A471=$F$1,Installment!I471,Installment!I471*GOOGLEFINANCE(""Currency:""&amp;A471&amp;""""&amp;$F$1&amp;""""))))"),"")</f>
        <v/>
      </c>
      <c r="G471" s="501" t="str">
        <f t="shared" si="1"/>
        <v/>
      </c>
      <c r="H471" s="501" t="str">
        <f t="shared" si="2"/>
        <v/>
      </c>
      <c r="I471" s="501" t="str">
        <f t="shared" si="3"/>
        <v/>
      </c>
    </row>
    <row r="472">
      <c r="A472" s="501" t="str">
        <f>IFERROR(__xludf.DUMMYFUNCTION("IFERROR(if(ISBLANK(Installment!A472),"""",if(GOOGLEFINANCE(Installment!A472,""Currency"")=""GBX"",""GBP"",GOOGLEFINANCE(Installment!A472,""Currency""))),$F$1)"),"")</f>
        <v/>
      </c>
      <c r="B472" s="501" t="str">
        <f>Installment!A472</f>
        <v/>
      </c>
      <c r="C472" s="501" t="str">
        <f>Installment!B472</f>
        <v/>
      </c>
      <c r="D472" s="501" t="str">
        <f>IFERROR(__xludf.DUMMYFUNCTION("if(A472=""GBP"",if(B472="""","""",if(A472=$F$1,Installment!C472,Installment!C472*GOOGLEFINANCE(""Currency:""&amp;A472&amp;""""&amp;$F$1&amp;"""")))/100,if(B472="""","""",if(A472=$F$1,Installment!C472,Installment!C472*GOOGLEFINANCE(""Currency:""&amp;A472&amp;""""&amp;$F$1&amp;""""))))"),"")</f>
        <v/>
      </c>
      <c r="E472" s="501" t="str">
        <f>IFERROR(__xludf.DUMMYFUNCTION("if(A472=""GBP"",if(B472="""","""",if(A472=$F$1,Installment!H472,Installment!H472*GOOGLEFINANCE(""Currency:""&amp;A472&amp;""""&amp;$F$1&amp;"""")))/100,if(B472="""","""",if(A472=$F$1,Installment!H472,Installment!H472*GOOGLEFINANCE(""Currency:""&amp;A472&amp;""""&amp;$F$1&amp;""""))))"),"")</f>
        <v/>
      </c>
      <c r="F472" s="501" t="str">
        <f>IFERROR(__xludf.DUMMYFUNCTION("if(A472=""GBP"",if(B472="""","""",if(A472=$F$1,Installment!I472,Installment!I472*GOOGLEFINANCE(""Currency:""&amp;A472&amp;""""&amp;$F$1&amp;"""")))/100,if(B472="""","""",if(A472=$F$1,Installment!I472,Installment!I472*GOOGLEFINANCE(""Currency:""&amp;A472&amp;""""&amp;$F$1&amp;""""))))"),"")</f>
        <v/>
      </c>
      <c r="G472" s="501" t="str">
        <f t="shared" si="1"/>
        <v/>
      </c>
      <c r="H472" s="501" t="str">
        <f t="shared" si="2"/>
        <v/>
      </c>
      <c r="I472" s="501" t="str">
        <f t="shared" si="3"/>
        <v/>
      </c>
    </row>
    <row r="473">
      <c r="A473" s="501" t="str">
        <f>IFERROR(__xludf.DUMMYFUNCTION("IFERROR(if(ISBLANK(Installment!A473),"""",if(GOOGLEFINANCE(Installment!A473,""Currency"")=""GBX"",""GBP"",GOOGLEFINANCE(Installment!A473,""Currency""))),$F$1)"),"")</f>
        <v/>
      </c>
      <c r="B473" s="501" t="str">
        <f>Installment!A473</f>
        <v/>
      </c>
      <c r="C473" s="501" t="str">
        <f>Installment!B473</f>
        <v/>
      </c>
      <c r="D473" s="501" t="str">
        <f>IFERROR(__xludf.DUMMYFUNCTION("if(A473=""GBP"",if(B473="""","""",if(A473=$F$1,Installment!C473,Installment!C473*GOOGLEFINANCE(""Currency:""&amp;A473&amp;""""&amp;$F$1&amp;"""")))/100,if(B473="""","""",if(A473=$F$1,Installment!C473,Installment!C473*GOOGLEFINANCE(""Currency:""&amp;A473&amp;""""&amp;$F$1&amp;""""))))"),"")</f>
        <v/>
      </c>
      <c r="E473" s="501" t="str">
        <f>IFERROR(__xludf.DUMMYFUNCTION("if(A473=""GBP"",if(B473="""","""",if(A473=$F$1,Installment!H473,Installment!H473*GOOGLEFINANCE(""Currency:""&amp;A473&amp;""""&amp;$F$1&amp;"""")))/100,if(B473="""","""",if(A473=$F$1,Installment!H473,Installment!H473*GOOGLEFINANCE(""Currency:""&amp;A473&amp;""""&amp;$F$1&amp;""""))))"),"")</f>
        <v/>
      </c>
      <c r="F473" s="501" t="str">
        <f>IFERROR(__xludf.DUMMYFUNCTION("if(A473=""GBP"",if(B473="""","""",if(A473=$F$1,Installment!I473,Installment!I473*GOOGLEFINANCE(""Currency:""&amp;A473&amp;""""&amp;$F$1&amp;"""")))/100,if(B473="""","""",if(A473=$F$1,Installment!I473,Installment!I473*GOOGLEFINANCE(""Currency:""&amp;A473&amp;""""&amp;$F$1&amp;""""))))"),"")</f>
        <v/>
      </c>
      <c r="G473" s="501" t="str">
        <f t="shared" si="1"/>
        <v/>
      </c>
      <c r="H473" s="501" t="str">
        <f t="shared" si="2"/>
        <v/>
      </c>
      <c r="I473" s="501" t="str">
        <f t="shared" si="3"/>
        <v/>
      </c>
    </row>
    <row r="474">
      <c r="A474" s="501" t="str">
        <f>IFERROR(__xludf.DUMMYFUNCTION("IFERROR(if(ISBLANK(Installment!A474),"""",if(GOOGLEFINANCE(Installment!A474,""Currency"")=""GBX"",""GBP"",GOOGLEFINANCE(Installment!A474,""Currency""))),$F$1)"),"")</f>
        <v/>
      </c>
      <c r="B474" s="501" t="str">
        <f>Installment!A474</f>
        <v/>
      </c>
      <c r="C474" s="501" t="str">
        <f>Installment!B474</f>
        <v/>
      </c>
      <c r="D474" s="501" t="str">
        <f>IFERROR(__xludf.DUMMYFUNCTION("if(A474=""GBP"",if(B474="""","""",if(A474=$F$1,Installment!C474,Installment!C474*GOOGLEFINANCE(""Currency:""&amp;A474&amp;""""&amp;$F$1&amp;"""")))/100,if(B474="""","""",if(A474=$F$1,Installment!C474,Installment!C474*GOOGLEFINANCE(""Currency:""&amp;A474&amp;""""&amp;$F$1&amp;""""))))"),"")</f>
        <v/>
      </c>
      <c r="E474" s="501" t="str">
        <f>IFERROR(__xludf.DUMMYFUNCTION("if(A474=""GBP"",if(B474="""","""",if(A474=$F$1,Installment!H474,Installment!H474*GOOGLEFINANCE(""Currency:""&amp;A474&amp;""""&amp;$F$1&amp;"""")))/100,if(B474="""","""",if(A474=$F$1,Installment!H474,Installment!H474*GOOGLEFINANCE(""Currency:""&amp;A474&amp;""""&amp;$F$1&amp;""""))))"),"")</f>
        <v/>
      </c>
      <c r="F474" s="501" t="str">
        <f>IFERROR(__xludf.DUMMYFUNCTION("if(A474=""GBP"",if(B474="""","""",if(A474=$F$1,Installment!I474,Installment!I474*GOOGLEFINANCE(""Currency:""&amp;A474&amp;""""&amp;$F$1&amp;"""")))/100,if(B474="""","""",if(A474=$F$1,Installment!I474,Installment!I474*GOOGLEFINANCE(""Currency:""&amp;A474&amp;""""&amp;$F$1&amp;""""))))"),"")</f>
        <v/>
      </c>
      <c r="G474" s="501" t="str">
        <f t="shared" si="1"/>
        <v/>
      </c>
      <c r="H474" s="501" t="str">
        <f t="shared" si="2"/>
        <v/>
      </c>
      <c r="I474" s="501" t="str">
        <f t="shared" si="3"/>
        <v/>
      </c>
    </row>
    <row r="475">
      <c r="A475" s="501" t="str">
        <f>IFERROR(__xludf.DUMMYFUNCTION("IFERROR(if(ISBLANK(Installment!A475),"""",if(GOOGLEFINANCE(Installment!A475,""Currency"")=""GBX"",""GBP"",GOOGLEFINANCE(Installment!A475,""Currency""))),$F$1)"),"")</f>
        <v/>
      </c>
      <c r="B475" s="501" t="str">
        <f>Installment!A475</f>
        <v/>
      </c>
      <c r="C475" s="501" t="str">
        <f>Installment!B475</f>
        <v/>
      </c>
      <c r="D475" s="501" t="str">
        <f>IFERROR(__xludf.DUMMYFUNCTION("if(A475=""GBP"",if(B475="""","""",if(A475=$F$1,Installment!C475,Installment!C475*GOOGLEFINANCE(""Currency:""&amp;A475&amp;""""&amp;$F$1&amp;"""")))/100,if(B475="""","""",if(A475=$F$1,Installment!C475,Installment!C475*GOOGLEFINANCE(""Currency:""&amp;A475&amp;""""&amp;$F$1&amp;""""))))"),"")</f>
        <v/>
      </c>
      <c r="E475" s="501" t="str">
        <f>IFERROR(__xludf.DUMMYFUNCTION("if(A475=""GBP"",if(B475="""","""",if(A475=$F$1,Installment!H475,Installment!H475*GOOGLEFINANCE(""Currency:""&amp;A475&amp;""""&amp;$F$1&amp;"""")))/100,if(B475="""","""",if(A475=$F$1,Installment!H475,Installment!H475*GOOGLEFINANCE(""Currency:""&amp;A475&amp;""""&amp;$F$1&amp;""""))))"),"")</f>
        <v/>
      </c>
      <c r="F475" s="501" t="str">
        <f>IFERROR(__xludf.DUMMYFUNCTION("if(A475=""GBP"",if(B475="""","""",if(A475=$F$1,Installment!I475,Installment!I475*GOOGLEFINANCE(""Currency:""&amp;A475&amp;""""&amp;$F$1&amp;"""")))/100,if(B475="""","""",if(A475=$F$1,Installment!I475,Installment!I475*GOOGLEFINANCE(""Currency:""&amp;A475&amp;""""&amp;$F$1&amp;""""))))"),"")</f>
        <v/>
      </c>
      <c r="G475" s="501" t="str">
        <f t="shared" si="1"/>
        <v/>
      </c>
      <c r="H475" s="501" t="str">
        <f t="shared" si="2"/>
        <v/>
      </c>
      <c r="I475" s="501" t="str">
        <f t="shared" si="3"/>
        <v/>
      </c>
    </row>
    <row r="476">
      <c r="A476" s="501" t="str">
        <f>IFERROR(__xludf.DUMMYFUNCTION("IFERROR(if(ISBLANK(Installment!A476),"""",if(GOOGLEFINANCE(Installment!A476,""Currency"")=""GBX"",""GBP"",GOOGLEFINANCE(Installment!A476,""Currency""))),$F$1)"),"")</f>
        <v/>
      </c>
      <c r="B476" s="501" t="str">
        <f>Installment!A476</f>
        <v/>
      </c>
      <c r="C476" s="501" t="str">
        <f>Installment!B476</f>
        <v/>
      </c>
      <c r="D476" s="501" t="str">
        <f>IFERROR(__xludf.DUMMYFUNCTION("if(A476=""GBP"",if(B476="""","""",if(A476=$F$1,Installment!C476,Installment!C476*GOOGLEFINANCE(""Currency:""&amp;A476&amp;""""&amp;$F$1&amp;"""")))/100,if(B476="""","""",if(A476=$F$1,Installment!C476,Installment!C476*GOOGLEFINANCE(""Currency:""&amp;A476&amp;""""&amp;$F$1&amp;""""))))"),"")</f>
        <v/>
      </c>
      <c r="E476" s="501" t="str">
        <f>IFERROR(__xludf.DUMMYFUNCTION("if(A476=""GBP"",if(B476="""","""",if(A476=$F$1,Installment!H476,Installment!H476*GOOGLEFINANCE(""Currency:""&amp;A476&amp;""""&amp;$F$1&amp;"""")))/100,if(B476="""","""",if(A476=$F$1,Installment!H476,Installment!H476*GOOGLEFINANCE(""Currency:""&amp;A476&amp;""""&amp;$F$1&amp;""""))))"),"")</f>
        <v/>
      </c>
      <c r="F476" s="501" t="str">
        <f>IFERROR(__xludf.DUMMYFUNCTION("if(A476=""GBP"",if(B476="""","""",if(A476=$F$1,Installment!I476,Installment!I476*GOOGLEFINANCE(""Currency:""&amp;A476&amp;""""&amp;$F$1&amp;"""")))/100,if(B476="""","""",if(A476=$F$1,Installment!I476,Installment!I476*GOOGLEFINANCE(""Currency:""&amp;A476&amp;""""&amp;$F$1&amp;""""))))"),"")</f>
        <v/>
      </c>
      <c r="G476" s="501" t="str">
        <f t="shared" si="1"/>
        <v/>
      </c>
      <c r="H476" s="501" t="str">
        <f t="shared" si="2"/>
        <v/>
      </c>
      <c r="I476" s="501" t="str">
        <f t="shared" si="3"/>
        <v/>
      </c>
    </row>
    <row r="477">
      <c r="A477" s="501" t="str">
        <f>IFERROR(__xludf.DUMMYFUNCTION("IFERROR(if(ISBLANK(Installment!A477),"""",if(GOOGLEFINANCE(Installment!A477,""Currency"")=""GBX"",""GBP"",GOOGLEFINANCE(Installment!A477,""Currency""))),$F$1)"),"")</f>
        <v/>
      </c>
      <c r="B477" s="501" t="str">
        <f>Installment!A477</f>
        <v/>
      </c>
      <c r="C477" s="501" t="str">
        <f>Installment!B477</f>
        <v/>
      </c>
      <c r="D477" s="501" t="str">
        <f>IFERROR(__xludf.DUMMYFUNCTION("if(A477=""GBP"",if(B477="""","""",if(A477=$F$1,Installment!C477,Installment!C477*GOOGLEFINANCE(""Currency:""&amp;A477&amp;""""&amp;$F$1&amp;"""")))/100,if(B477="""","""",if(A477=$F$1,Installment!C477,Installment!C477*GOOGLEFINANCE(""Currency:""&amp;A477&amp;""""&amp;$F$1&amp;""""))))"),"")</f>
        <v/>
      </c>
      <c r="E477" s="501" t="str">
        <f>IFERROR(__xludf.DUMMYFUNCTION("if(A477=""GBP"",if(B477="""","""",if(A477=$F$1,Installment!H477,Installment!H477*GOOGLEFINANCE(""Currency:""&amp;A477&amp;""""&amp;$F$1&amp;"""")))/100,if(B477="""","""",if(A477=$F$1,Installment!H477,Installment!H477*GOOGLEFINANCE(""Currency:""&amp;A477&amp;""""&amp;$F$1&amp;""""))))"),"")</f>
        <v/>
      </c>
      <c r="F477" s="501" t="str">
        <f>IFERROR(__xludf.DUMMYFUNCTION("if(A477=""GBP"",if(B477="""","""",if(A477=$F$1,Installment!I477,Installment!I477*GOOGLEFINANCE(""Currency:""&amp;A477&amp;""""&amp;$F$1&amp;"""")))/100,if(B477="""","""",if(A477=$F$1,Installment!I477,Installment!I477*GOOGLEFINANCE(""Currency:""&amp;A477&amp;""""&amp;$F$1&amp;""""))))"),"")</f>
        <v/>
      </c>
      <c r="G477" s="501" t="str">
        <f t="shared" si="1"/>
        <v/>
      </c>
      <c r="H477" s="501" t="str">
        <f t="shared" si="2"/>
        <v/>
      </c>
      <c r="I477" s="501" t="str">
        <f t="shared" si="3"/>
        <v/>
      </c>
    </row>
    <row r="478">
      <c r="A478" s="501" t="str">
        <f>IFERROR(__xludf.DUMMYFUNCTION("IFERROR(if(ISBLANK(Installment!A478),"""",if(GOOGLEFINANCE(Installment!A478,""Currency"")=""GBX"",""GBP"",GOOGLEFINANCE(Installment!A478,""Currency""))),$F$1)"),"")</f>
        <v/>
      </c>
      <c r="B478" s="501" t="str">
        <f>Installment!A478</f>
        <v/>
      </c>
      <c r="C478" s="501" t="str">
        <f>Installment!B478</f>
        <v/>
      </c>
      <c r="D478" s="501" t="str">
        <f>IFERROR(__xludf.DUMMYFUNCTION("if(A478=""GBP"",if(B478="""","""",if(A478=$F$1,Installment!C478,Installment!C478*GOOGLEFINANCE(""Currency:""&amp;A478&amp;""""&amp;$F$1&amp;"""")))/100,if(B478="""","""",if(A478=$F$1,Installment!C478,Installment!C478*GOOGLEFINANCE(""Currency:""&amp;A478&amp;""""&amp;$F$1&amp;""""))))"),"")</f>
        <v/>
      </c>
      <c r="E478" s="501" t="str">
        <f>IFERROR(__xludf.DUMMYFUNCTION("if(A478=""GBP"",if(B478="""","""",if(A478=$F$1,Installment!H478,Installment!H478*GOOGLEFINANCE(""Currency:""&amp;A478&amp;""""&amp;$F$1&amp;"""")))/100,if(B478="""","""",if(A478=$F$1,Installment!H478,Installment!H478*GOOGLEFINANCE(""Currency:""&amp;A478&amp;""""&amp;$F$1&amp;""""))))"),"")</f>
        <v/>
      </c>
      <c r="F478" s="501" t="str">
        <f>IFERROR(__xludf.DUMMYFUNCTION("if(A478=""GBP"",if(B478="""","""",if(A478=$F$1,Installment!I478,Installment!I478*GOOGLEFINANCE(""Currency:""&amp;A478&amp;""""&amp;$F$1&amp;"""")))/100,if(B478="""","""",if(A478=$F$1,Installment!I478,Installment!I478*GOOGLEFINANCE(""Currency:""&amp;A478&amp;""""&amp;$F$1&amp;""""))))"),"")</f>
        <v/>
      </c>
      <c r="G478" s="501" t="str">
        <f t="shared" si="1"/>
        <v/>
      </c>
      <c r="H478" s="501" t="str">
        <f t="shared" si="2"/>
        <v/>
      </c>
      <c r="I478" s="501" t="str">
        <f t="shared" si="3"/>
        <v/>
      </c>
    </row>
    <row r="479">
      <c r="A479" s="501" t="str">
        <f>IFERROR(__xludf.DUMMYFUNCTION("IFERROR(if(ISBLANK(Installment!A479),"""",if(GOOGLEFINANCE(Installment!A479,""Currency"")=""GBX"",""GBP"",GOOGLEFINANCE(Installment!A479,""Currency""))),$F$1)"),"")</f>
        <v/>
      </c>
      <c r="B479" s="501" t="str">
        <f>Installment!A479</f>
        <v/>
      </c>
      <c r="C479" s="501" t="str">
        <f>Installment!B479</f>
        <v/>
      </c>
      <c r="D479" s="501" t="str">
        <f>IFERROR(__xludf.DUMMYFUNCTION("if(A479=""GBP"",if(B479="""","""",if(A479=$F$1,Installment!C479,Installment!C479*GOOGLEFINANCE(""Currency:""&amp;A479&amp;""""&amp;$F$1&amp;"""")))/100,if(B479="""","""",if(A479=$F$1,Installment!C479,Installment!C479*GOOGLEFINANCE(""Currency:""&amp;A479&amp;""""&amp;$F$1&amp;""""))))"),"")</f>
        <v/>
      </c>
      <c r="E479" s="501" t="str">
        <f>IFERROR(__xludf.DUMMYFUNCTION("if(A479=""GBP"",if(B479="""","""",if(A479=$F$1,Installment!H479,Installment!H479*GOOGLEFINANCE(""Currency:""&amp;A479&amp;""""&amp;$F$1&amp;"""")))/100,if(B479="""","""",if(A479=$F$1,Installment!H479,Installment!H479*GOOGLEFINANCE(""Currency:""&amp;A479&amp;""""&amp;$F$1&amp;""""))))"),"")</f>
        <v/>
      </c>
      <c r="F479" s="501" t="str">
        <f>IFERROR(__xludf.DUMMYFUNCTION("if(A479=""GBP"",if(B479="""","""",if(A479=$F$1,Installment!I479,Installment!I479*GOOGLEFINANCE(""Currency:""&amp;A479&amp;""""&amp;$F$1&amp;"""")))/100,if(B479="""","""",if(A479=$F$1,Installment!I479,Installment!I479*GOOGLEFINANCE(""Currency:""&amp;A479&amp;""""&amp;$F$1&amp;""""))))"),"")</f>
        <v/>
      </c>
      <c r="G479" s="501" t="str">
        <f t="shared" si="1"/>
        <v/>
      </c>
      <c r="H479" s="501" t="str">
        <f t="shared" si="2"/>
        <v/>
      </c>
      <c r="I479" s="501" t="str">
        <f t="shared" si="3"/>
        <v/>
      </c>
    </row>
    <row r="480">
      <c r="A480" s="501" t="str">
        <f>IFERROR(__xludf.DUMMYFUNCTION("IFERROR(if(ISBLANK(Installment!A480),"""",if(GOOGLEFINANCE(Installment!A480,""Currency"")=""GBX"",""GBP"",GOOGLEFINANCE(Installment!A480,""Currency""))),$F$1)"),"")</f>
        <v/>
      </c>
      <c r="B480" s="501" t="str">
        <f>Installment!A480</f>
        <v/>
      </c>
      <c r="C480" s="501" t="str">
        <f>Installment!B480</f>
        <v/>
      </c>
      <c r="D480" s="501" t="str">
        <f>IFERROR(__xludf.DUMMYFUNCTION("if(A480=""GBP"",if(B480="""","""",if(A480=$F$1,Installment!C480,Installment!C480*GOOGLEFINANCE(""Currency:""&amp;A480&amp;""""&amp;$F$1&amp;"""")))/100,if(B480="""","""",if(A480=$F$1,Installment!C480,Installment!C480*GOOGLEFINANCE(""Currency:""&amp;A480&amp;""""&amp;$F$1&amp;""""))))"),"")</f>
        <v/>
      </c>
      <c r="E480" s="501" t="str">
        <f>IFERROR(__xludf.DUMMYFUNCTION("if(A480=""GBP"",if(B480="""","""",if(A480=$F$1,Installment!H480,Installment!H480*GOOGLEFINANCE(""Currency:""&amp;A480&amp;""""&amp;$F$1&amp;"""")))/100,if(B480="""","""",if(A480=$F$1,Installment!H480,Installment!H480*GOOGLEFINANCE(""Currency:""&amp;A480&amp;""""&amp;$F$1&amp;""""))))"),"")</f>
        <v/>
      </c>
      <c r="F480" s="501" t="str">
        <f>IFERROR(__xludf.DUMMYFUNCTION("if(A480=""GBP"",if(B480="""","""",if(A480=$F$1,Installment!I480,Installment!I480*GOOGLEFINANCE(""Currency:""&amp;A480&amp;""""&amp;$F$1&amp;"""")))/100,if(B480="""","""",if(A480=$F$1,Installment!I480,Installment!I480*GOOGLEFINANCE(""Currency:""&amp;A480&amp;""""&amp;$F$1&amp;""""))))"),"")</f>
        <v/>
      </c>
      <c r="G480" s="501" t="str">
        <f t="shared" si="1"/>
        <v/>
      </c>
      <c r="H480" s="501" t="str">
        <f t="shared" si="2"/>
        <v/>
      </c>
      <c r="I480" s="501" t="str">
        <f t="shared" si="3"/>
        <v/>
      </c>
    </row>
    <row r="481">
      <c r="A481" s="501" t="str">
        <f>IFERROR(__xludf.DUMMYFUNCTION("IFERROR(if(ISBLANK(Installment!A481),"""",if(GOOGLEFINANCE(Installment!A481,""Currency"")=""GBX"",""GBP"",GOOGLEFINANCE(Installment!A481,""Currency""))),$F$1)"),"")</f>
        <v/>
      </c>
      <c r="B481" s="501" t="str">
        <f>Installment!A481</f>
        <v/>
      </c>
      <c r="C481" s="501" t="str">
        <f>Installment!B481</f>
        <v/>
      </c>
      <c r="D481" s="501" t="str">
        <f>IFERROR(__xludf.DUMMYFUNCTION("if(A481=""GBP"",if(B481="""","""",if(A481=$F$1,Installment!C481,Installment!C481*GOOGLEFINANCE(""Currency:""&amp;A481&amp;""""&amp;$F$1&amp;"""")))/100,if(B481="""","""",if(A481=$F$1,Installment!C481,Installment!C481*GOOGLEFINANCE(""Currency:""&amp;A481&amp;""""&amp;$F$1&amp;""""))))"),"")</f>
        <v/>
      </c>
      <c r="E481" s="501" t="str">
        <f>IFERROR(__xludf.DUMMYFUNCTION("if(A481=""GBP"",if(B481="""","""",if(A481=$F$1,Installment!H481,Installment!H481*GOOGLEFINANCE(""Currency:""&amp;A481&amp;""""&amp;$F$1&amp;"""")))/100,if(B481="""","""",if(A481=$F$1,Installment!H481,Installment!H481*GOOGLEFINANCE(""Currency:""&amp;A481&amp;""""&amp;$F$1&amp;""""))))"),"")</f>
        <v/>
      </c>
      <c r="F481" s="501" t="str">
        <f>IFERROR(__xludf.DUMMYFUNCTION("if(A481=""GBP"",if(B481="""","""",if(A481=$F$1,Installment!I481,Installment!I481*GOOGLEFINANCE(""Currency:""&amp;A481&amp;""""&amp;$F$1&amp;"""")))/100,if(B481="""","""",if(A481=$F$1,Installment!I481,Installment!I481*GOOGLEFINANCE(""Currency:""&amp;A481&amp;""""&amp;$F$1&amp;""""))))"),"")</f>
        <v/>
      </c>
      <c r="G481" s="501" t="str">
        <f t="shared" si="1"/>
        <v/>
      </c>
      <c r="H481" s="501" t="str">
        <f t="shared" si="2"/>
        <v/>
      </c>
      <c r="I481" s="501" t="str">
        <f t="shared" si="3"/>
        <v/>
      </c>
    </row>
    <row r="482">
      <c r="A482" s="501" t="str">
        <f>IFERROR(__xludf.DUMMYFUNCTION("IFERROR(if(ISBLANK(Installment!A482),"""",if(GOOGLEFINANCE(Installment!A482,""Currency"")=""GBX"",""GBP"",GOOGLEFINANCE(Installment!A482,""Currency""))),$F$1)"),"")</f>
        <v/>
      </c>
      <c r="B482" s="501" t="str">
        <f>Installment!A482</f>
        <v/>
      </c>
      <c r="C482" s="501" t="str">
        <f>Installment!B482</f>
        <v/>
      </c>
      <c r="D482" s="501" t="str">
        <f>IFERROR(__xludf.DUMMYFUNCTION("if(A482=""GBP"",if(B482="""","""",if(A482=$F$1,Installment!C482,Installment!C482*GOOGLEFINANCE(""Currency:""&amp;A482&amp;""""&amp;$F$1&amp;"""")))/100,if(B482="""","""",if(A482=$F$1,Installment!C482,Installment!C482*GOOGLEFINANCE(""Currency:""&amp;A482&amp;""""&amp;$F$1&amp;""""))))"),"")</f>
        <v/>
      </c>
      <c r="E482" s="501" t="str">
        <f>IFERROR(__xludf.DUMMYFUNCTION("if(A482=""GBP"",if(B482="""","""",if(A482=$F$1,Installment!H482,Installment!H482*GOOGLEFINANCE(""Currency:""&amp;A482&amp;""""&amp;$F$1&amp;"""")))/100,if(B482="""","""",if(A482=$F$1,Installment!H482,Installment!H482*GOOGLEFINANCE(""Currency:""&amp;A482&amp;""""&amp;$F$1&amp;""""))))"),"")</f>
        <v/>
      </c>
      <c r="F482" s="501" t="str">
        <f>IFERROR(__xludf.DUMMYFUNCTION("if(A482=""GBP"",if(B482="""","""",if(A482=$F$1,Installment!I482,Installment!I482*GOOGLEFINANCE(""Currency:""&amp;A482&amp;""""&amp;$F$1&amp;"""")))/100,if(B482="""","""",if(A482=$F$1,Installment!I482,Installment!I482*GOOGLEFINANCE(""Currency:""&amp;A482&amp;""""&amp;$F$1&amp;""""))))"),"")</f>
        <v/>
      </c>
      <c r="G482" s="501" t="str">
        <f t="shared" si="1"/>
        <v/>
      </c>
      <c r="H482" s="501" t="str">
        <f t="shared" si="2"/>
        <v/>
      </c>
      <c r="I482" s="501" t="str">
        <f t="shared" si="3"/>
        <v/>
      </c>
    </row>
    <row r="483">
      <c r="A483" s="501" t="str">
        <f>IFERROR(__xludf.DUMMYFUNCTION("IFERROR(if(ISBLANK(Installment!A483),"""",if(GOOGLEFINANCE(Installment!A483,""Currency"")=""GBX"",""GBP"",GOOGLEFINANCE(Installment!A483,""Currency""))),$F$1)"),"")</f>
        <v/>
      </c>
      <c r="B483" s="501" t="str">
        <f>Installment!A483</f>
        <v/>
      </c>
      <c r="C483" s="501" t="str">
        <f>Installment!B483</f>
        <v/>
      </c>
      <c r="D483" s="501" t="str">
        <f>IFERROR(__xludf.DUMMYFUNCTION("if(A483=""GBP"",if(B483="""","""",if(A483=$F$1,Installment!C483,Installment!C483*GOOGLEFINANCE(""Currency:""&amp;A483&amp;""""&amp;$F$1&amp;"""")))/100,if(B483="""","""",if(A483=$F$1,Installment!C483,Installment!C483*GOOGLEFINANCE(""Currency:""&amp;A483&amp;""""&amp;$F$1&amp;""""))))"),"")</f>
        <v/>
      </c>
      <c r="E483" s="501" t="str">
        <f>IFERROR(__xludf.DUMMYFUNCTION("if(A483=""GBP"",if(B483="""","""",if(A483=$F$1,Installment!H483,Installment!H483*GOOGLEFINANCE(""Currency:""&amp;A483&amp;""""&amp;$F$1&amp;"""")))/100,if(B483="""","""",if(A483=$F$1,Installment!H483,Installment!H483*GOOGLEFINANCE(""Currency:""&amp;A483&amp;""""&amp;$F$1&amp;""""))))"),"")</f>
        <v/>
      </c>
      <c r="F483" s="501" t="str">
        <f>IFERROR(__xludf.DUMMYFUNCTION("if(A483=""GBP"",if(B483="""","""",if(A483=$F$1,Installment!I483,Installment!I483*GOOGLEFINANCE(""Currency:""&amp;A483&amp;""""&amp;$F$1&amp;"""")))/100,if(B483="""","""",if(A483=$F$1,Installment!I483,Installment!I483*GOOGLEFINANCE(""Currency:""&amp;A483&amp;""""&amp;$F$1&amp;""""))))"),"")</f>
        <v/>
      </c>
      <c r="G483" s="501" t="str">
        <f t="shared" si="1"/>
        <v/>
      </c>
      <c r="H483" s="501" t="str">
        <f t="shared" si="2"/>
        <v/>
      </c>
      <c r="I483" s="501" t="str">
        <f t="shared" si="3"/>
        <v/>
      </c>
    </row>
    <row r="484">
      <c r="A484" s="501" t="str">
        <f>IFERROR(__xludf.DUMMYFUNCTION("IFERROR(if(ISBLANK(Installment!A484),"""",if(GOOGLEFINANCE(Installment!A484,""Currency"")=""GBX"",""GBP"",GOOGLEFINANCE(Installment!A484,""Currency""))),$F$1)"),"")</f>
        <v/>
      </c>
      <c r="B484" s="501" t="str">
        <f>Installment!A484</f>
        <v/>
      </c>
      <c r="C484" s="501" t="str">
        <f>Installment!B484</f>
        <v/>
      </c>
      <c r="D484" s="501" t="str">
        <f>IFERROR(__xludf.DUMMYFUNCTION("if(A484=""GBP"",if(B484="""","""",if(A484=$F$1,Installment!C484,Installment!C484*GOOGLEFINANCE(""Currency:""&amp;A484&amp;""""&amp;$F$1&amp;"""")))/100,if(B484="""","""",if(A484=$F$1,Installment!C484,Installment!C484*GOOGLEFINANCE(""Currency:""&amp;A484&amp;""""&amp;$F$1&amp;""""))))"),"")</f>
        <v/>
      </c>
      <c r="E484" s="501" t="str">
        <f>IFERROR(__xludf.DUMMYFUNCTION("if(A484=""GBP"",if(B484="""","""",if(A484=$F$1,Installment!H484,Installment!H484*GOOGLEFINANCE(""Currency:""&amp;A484&amp;""""&amp;$F$1&amp;"""")))/100,if(B484="""","""",if(A484=$F$1,Installment!H484,Installment!H484*GOOGLEFINANCE(""Currency:""&amp;A484&amp;""""&amp;$F$1&amp;""""))))"),"")</f>
        <v/>
      </c>
      <c r="F484" s="501" t="str">
        <f>IFERROR(__xludf.DUMMYFUNCTION("if(A484=""GBP"",if(B484="""","""",if(A484=$F$1,Installment!I484,Installment!I484*GOOGLEFINANCE(""Currency:""&amp;A484&amp;""""&amp;$F$1&amp;"""")))/100,if(B484="""","""",if(A484=$F$1,Installment!I484,Installment!I484*GOOGLEFINANCE(""Currency:""&amp;A484&amp;""""&amp;$F$1&amp;""""))))"),"")</f>
        <v/>
      </c>
      <c r="G484" s="501" t="str">
        <f t="shared" si="1"/>
        <v/>
      </c>
      <c r="H484" s="501" t="str">
        <f t="shared" si="2"/>
        <v/>
      </c>
      <c r="I484" s="501" t="str">
        <f t="shared" si="3"/>
        <v/>
      </c>
    </row>
    <row r="485">
      <c r="A485" s="501" t="str">
        <f>IFERROR(__xludf.DUMMYFUNCTION("IFERROR(if(ISBLANK(Installment!A485),"""",if(GOOGLEFINANCE(Installment!A485,""Currency"")=""GBX"",""GBP"",GOOGLEFINANCE(Installment!A485,""Currency""))),$F$1)"),"")</f>
        <v/>
      </c>
      <c r="B485" s="501" t="str">
        <f>Installment!A485</f>
        <v/>
      </c>
      <c r="C485" s="501" t="str">
        <f>Installment!B485</f>
        <v/>
      </c>
      <c r="D485" s="501" t="str">
        <f>IFERROR(__xludf.DUMMYFUNCTION("if(A485=""GBP"",if(B485="""","""",if(A485=$F$1,Installment!C485,Installment!C485*GOOGLEFINANCE(""Currency:""&amp;A485&amp;""""&amp;$F$1&amp;"""")))/100,if(B485="""","""",if(A485=$F$1,Installment!C485,Installment!C485*GOOGLEFINANCE(""Currency:""&amp;A485&amp;""""&amp;$F$1&amp;""""))))"),"")</f>
        <v/>
      </c>
      <c r="E485" s="501" t="str">
        <f>IFERROR(__xludf.DUMMYFUNCTION("if(A485=""GBP"",if(B485="""","""",if(A485=$F$1,Installment!H485,Installment!H485*GOOGLEFINANCE(""Currency:""&amp;A485&amp;""""&amp;$F$1&amp;"""")))/100,if(B485="""","""",if(A485=$F$1,Installment!H485,Installment!H485*GOOGLEFINANCE(""Currency:""&amp;A485&amp;""""&amp;$F$1&amp;""""))))"),"")</f>
        <v/>
      </c>
      <c r="F485" s="501" t="str">
        <f>IFERROR(__xludf.DUMMYFUNCTION("if(A485=""GBP"",if(B485="""","""",if(A485=$F$1,Installment!I485,Installment!I485*GOOGLEFINANCE(""Currency:""&amp;A485&amp;""""&amp;$F$1&amp;"""")))/100,if(B485="""","""",if(A485=$F$1,Installment!I485,Installment!I485*GOOGLEFINANCE(""Currency:""&amp;A485&amp;""""&amp;$F$1&amp;""""))))"),"")</f>
        <v/>
      </c>
      <c r="G485" s="501" t="str">
        <f t="shared" si="1"/>
        <v/>
      </c>
      <c r="H485" s="501" t="str">
        <f t="shared" si="2"/>
        <v/>
      </c>
      <c r="I485" s="501" t="str">
        <f t="shared" si="3"/>
        <v/>
      </c>
    </row>
    <row r="486">
      <c r="A486" s="501" t="str">
        <f>IFERROR(__xludf.DUMMYFUNCTION("IFERROR(if(ISBLANK(Installment!A486),"""",if(GOOGLEFINANCE(Installment!A486,""Currency"")=""GBX"",""GBP"",GOOGLEFINANCE(Installment!A486,""Currency""))),$F$1)"),"")</f>
        <v/>
      </c>
      <c r="B486" s="501" t="str">
        <f>Installment!A486</f>
        <v/>
      </c>
      <c r="C486" s="501" t="str">
        <f>Installment!B486</f>
        <v/>
      </c>
      <c r="D486" s="501" t="str">
        <f>IFERROR(__xludf.DUMMYFUNCTION("if(A486=""GBP"",if(B486="""","""",if(A486=$F$1,Installment!C486,Installment!C486*GOOGLEFINANCE(""Currency:""&amp;A486&amp;""""&amp;$F$1&amp;"""")))/100,if(B486="""","""",if(A486=$F$1,Installment!C486,Installment!C486*GOOGLEFINANCE(""Currency:""&amp;A486&amp;""""&amp;$F$1&amp;""""))))"),"")</f>
        <v/>
      </c>
      <c r="E486" s="501" t="str">
        <f>IFERROR(__xludf.DUMMYFUNCTION("if(A486=""GBP"",if(B486="""","""",if(A486=$F$1,Installment!H486,Installment!H486*GOOGLEFINANCE(""Currency:""&amp;A486&amp;""""&amp;$F$1&amp;"""")))/100,if(B486="""","""",if(A486=$F$1,Installment!H486,Installment!H486*GOOGLEFINANCE(""Currency:""&amp;A486&amp;""""&amp;$F$1&amp;""""))))"),"")</f>
        <v/>
      </c>
      <c r="F486" s="501" t="str">
        <f>IFERROR(__xludf.DUMMYFUNCTION("if(A486=""GBP"",if(B486="""","""",if(A486=$F$1,Installment!I486,Installment!I486*GOOGLEFINANCE(""Currency:""&amp;A486&amp;""""&amp;$F$1&amp;"""")))/100,if(B486="""","""",if(A486=$F$1,Installment!I486,Installment!I486*GOOGLEFINANCE(""Currency:""&amp;A486&amp;""""&amp;$F$1&amp;""""))))"),"")</f>
        <v/>
      </c>
      <c r="G486" s="501" t="str">
        <f t="shared" si="1"/>
        <v/>
      </c>
      <c r="H486" s="501" t="str">
        <f t="shared" si="2"/>
        <v/>
      </c>
      <c r="I486" s="501" t="str">
        <f t="shared" si="3"/>
        <v/>
      </c>
    </row>
    <row r="487">
      <c r="A487" s="501" t="str">
        <f>IFERROR(__xludf.DUMMYFUNCTION("IFERROR(if(ISBLANK(Installment!A487),"""",if(GOOGLEFINANCE(Installment!A487,""Currency"")=""GBX"",""GBP"",GOOGLEFINANCE(Installment!A487,""Currency""))),$F$1)"),"")</f>
        <v/>
      </c>
      <c r="B487" s="501" t="str">
        <f>Installment!A487</f>
        <v/>
      </c>
      <c r="C487" s="501" t="str">
        <f>Installment!B487</f>
        <v/>
      </c>
      <c r="D487" s="501" t="str">
        <f>IFERROR(__xludf.DUMMYFUNCTION("if(A487=""GBP"",if(B487="""","""",if(A487=$F$1,Installment!C487,Installment!C487*GOOGLEFINANCE(""Currency:""&amp;A487&amp;""""&amp;$F$1&amp;"""")))/100,if(B487="""","""",if(A487=$F$1,Installment!C487,Installment!C487*GOOGLEFINANCE(""Currency:""&amp;A487&amp;""""&amp;$F$1&amp;""""))))"),"")</f>
        <v/>
      </c>
      <c r="E487" s="501" t="str">
        <f>IFERROR(__xludf.DUMMYFUNCTION("if(A487=""GBP"",if(B487="""","""",if(A487=$F$1,Installment!H487,Installment!H487*GOOGLEFINANCE(""Currency:""&amp;A487&amp;""""&amp;$F$1&amp;"""")))/100,if(B487="""","""",if(A487=$F$1,Installment!H487,Installment!H487*GOOGLEFINANCE(""Currency:""&amp;A487&amp;""""&amp;$F$1&amp;""""))))"),"")</f>
        <v/>
      </c>
      <c r="F487" s="501" t="str">
        <f>IFERROR(__xludf.DUMMYFUNCTION("if(A487=""GBP"",if(B487="""","""",if(A487=$F$1,Installment!I487,Installment!I487*GOOGLEFINANCE(""Currency:""&amp;A487&amp;""""&amp;$F$1&amp;"""")))/100,if(B487="""","""",if(A487=$F$1,Installment!I487,Installment!I487*GOOGLEFINANCE(""Currency:""&amp;A487&amp;""""&amp;$F$1&amp;""""))))"),"")</f>
        <v/>
      </c>
      <c r="G487" s="501" t="str">
        <f t="shared" si="1"/>
        <v/>
      </c>
      <c r="H487" s="501" t="str">
        <f t="shared" si="2"/>
        <v/>
      </c>
      <c r="I487" s="501" t="str">
        <f t="shared" si="3"/>
        <v/>
      </c>
    </row>
    <row r="488">
      <c r="A488" s="501" t="str">
        <f>IFERROR(__xludf.DUMMYFUNCTION("IFERROR(if(ISBLANK(Installment!A488),"""",if(GOOGLEFINANCE(Installment!A488,""Currency"")=""GBX"",""GBP"",GOOGLEFINANCE(Installment!A488,""Currency""))),$F$1)"),"")</f>
        <v/>
      </c>
      <c r="B488" s="501" t="str">
        <f>Installment!A488</f>
        <v/>
      </c>
      <c r="C488" s="501" t="str">
        <f>Installment!B488</f>
        <v/>
      </c>
      <c r="D488" s="501" t="str">
        <f>IFERROR(__xludf.DUMMYFUNCTION("if(A488=""GBP"",if(B488="""","""",if(A488=$F$1,Installment!C488,Installment!C488*GOOGLEFINANCE(""Currency:""&amp;A488&amp;""""&amp;$F$1&amp;"""")))/100,if(B488="""","""",if(A488=$F$1,Installment!C488,Installment!C488*GOOGLEFINANCE(""Currency:""&amp;A488&amp;""""&amp;$F$1&amp;""""))))"),"")</f>
        <v/>
      </c>
      <c r="E488" s="501" t="str">
        <f>IFERROR(__xludf.DUMMYFUNCTION("if(A488=""GBP"",if(B488="""","""",if(A488=$F$1,Installment!H488,Installment!H488*GOOGLEFINANCE(""Currency:""&amp;A488&amp;""""&amp;$F$1&amp;"""")))/100,if(B488="""","""",if(A488=$F$1,Installment!H488,Installment!H488*GOOGLEFINANCE(""Currency:""&amp;A488&amp;""""&amp;$F$1&amp;""""))))"),"")</f>
        <v/>
      </c>
      <c r="F488" s="501" t="str">
        <f>IFERROR(__xludf.DUMMYFUNCTION("if(A488=""GBP"",if(B488="""","""",if(A488=$F$1,Installment!I488,Installment!I488*GOOGLEFINANCE(""Currency:""&amp;A488&amp;""""&amp;$F$1&amp;"""")))/100,if(B488="""","""",if(A488=$F$1,Installment!I488,Installment!I488*GOOGLEFINANCE(""Currency:""&amp;A488&amp;""""&amp;$F$1&amp;""""))))"),"")</f>
        <v/>
      </c>
      <c r="G488" s="501" t="str">
        <f t="shared" si="1"/>
        <v/>
      </c>
      <c r="H488" s="501" t="str">
        <f t="shared" si="2"/>
        <v/>
      </c>
      <c r="I488" s="501" t="str">
        <f t="shared" si="3"/>
        <v/>
      </c>
    </row>
    <row r="489">
      <c r="A489" s="501" t="str">
        <f>IFERROR(__xludf.DUMMYFUNCTION("IFERROR(if(ISBLANK(Installment!A489),"""",if(GOOGLEFINANCE(Installment!A489,""Currency"")=""GBX"",""GBP"",GOOGLEFINANCE(Installment!A489,""Currency""))),$F$1)"),"")</f>
        <v/>
      </c>
      <c r="B489" s="501" t="str">
        <f>Installment!A489</f>
        <v/>
      </c>
      <c r="C489" s="501" t="str">
        <f>Installment!B489</f>
        <v/>
      </c>
      <c r="D489" s="501" t="str">
        <f>IFERROR(__xludf.DUMMYFUNCTION("if(A489=""GBP"",if(B489="""","""",if(A489=$F$1,Installment!C489,Installment!C489*GOOGLEFINANCE(""Currency:""&amp;A489&amp;""""&amp;$F$1&amp;"""")))/100,if(B489="""","""",if(A489=$F$1,Installment!C489,Installment!C489*GOOGLEFINANCE(""Currency:""&amp;A489&amp;""""&amp;$F$1&amp;""""))))"),"")</f>
        <v/>
      </c>
      <c r="E489" s="501" t="str">
        <f>IFERROR(__xludf.DUMMYFUNCTION("if(A489=""GBP"",if(B489="""","""",if(A489=$F$1,Installment!H489,Installment!H489*GOOGLEFINANCE(""Currency:""&amp;A489&amp;""""&amp;$F$1&amp;"""")))/100,if(B489="""","""",if(A489=$F$1,Installment!H489,Installment!H489*GOOGLEFINANCE(""Currency:""&amp;A489&amp;""""&amp;$F$1&amp;""""))))"),"")</f>
        <v/>
      </c>
      <c r="F489" s="501" t="str">
        <f>IFERROR(__xludf.DUMMYFUNCTION("if(A489=""GBP"",if(B489="""","""",if(A489=$F$1,Installment!I489,Installment!I489*GOOGLEFINANCE(""Currency:""&amp;A489&amp;""""&amp;$F$1&amp;"""")))/100,if(B489="""","""",if(A489=$F$1,Installment!I489,Installment!I489*GOOGLEFINANCE(""Currency:""&amp;A489&amp;""""&amp;$F$1&amp;""""))))"),"")</f>
        <v/>
      </c>
      <c r="G489" s="501" t="str">
        <f t="shared" si="1"/>
        <v/>
      </c>
      <c r="H489" s="501" t="str">
        <f t="shared" si="2"/>
        <v/>
      </c>
      <c r="I489" s="501" t="str">
        <f t="shared" si="3"/>
        <v/>
      </c>
    </row>
    <row r="490">
      <c r="A490" s="501" t="str">
        <f>IFERROR(__xludf.DUMMYFUNCTION("IFERROR(if(ISBLANK(Installment!A490),"""",if(GOOGLEFINANCE(Installment!A490,""Currency"")=""GBX"",""GBP"",GOOGLEFINANCE(Installment!A490,""Currency""))),$F$1)"),"")</f>
        <v/>
      </c>
      <c r="B490" s="501" t="str">
        <f>Installment!A490</f>
        <v/>
      </c>
      <c r="C490" s="501" t="str">
        <f>Installment!B490</f>
        <v/>
      </c>
      <c r="D490" s="501" t="str">
        <f>IFERROR(__xludf.DUMMYFUNCTION("if(A490=""GBP"",if(B490="""","""",if(A490=$F$1,Installment!C490,Installment!C490*GOOGLEFINANCE(""Currency:""&amp;A490&amp;""""&amp;$F$1&amp;"""")))/100,if(B490="""","""",if(A490=$F$1,Installment!C490,Installment!C490*GOOGLEFINANCE(""Currency:""&amp;A490&amp;""""&amp;$F$1&amp;""""))))"),"")</f>
        <v/>
      </c>
      <c r="E490" s="501" t="str">
        <f>IFERROR(__xludf.DUMMYFUNCTION("if(A490=""GBP"",if(B490="""","""",if(A490=$F$1,Installment!H490,Installment!H490*GOOGLEFINANCE(""Currency:""&amp;A490&amp;""""&amp;$F$1&amp;"""")))/100,if(B490="""","""",if(A490=$F$1,Installment!H490,Installment!H490*GOOGLEFINANCE(""Currency:""&amp;A490&amp;""""&amp;$F$1&amp;""""))))"),"")</f>
        <v/>
      </c>
      <c r="F490" s="501" t="str">
        <f>IFERROR(__xludf.DUMMYFUNCTION("if(A490=""GBP"",if(B490="""","""",if(A490=$F$1,Installment!I490,Installment!I490*GOOGLEFINANCE(""Currency:""&amp;A490&amp;""""&amp;$F$1&amp;"""")))/100,if(B490="""","""",if(A490=$F$1,Installment!I490,Installment!I490*GOOGLEFINANCE(""Currency:""&amp;A490&amp;""""&amp;$F$1&amp;""""))))"),"")</f>
        <v/>
      </c>
      <c r="G490" s="501" t="str">
        <f t="shared" si="1"/>
        <v/>
      </c>
      <c r="H490" s="501" t="str">
        <f t="shared" si="2"/>
        <v/>
      </c>
      <c r="I490" s="501" t="str">
        <f t="shared" si="3"/>
        <v/>
      </c>
    </row>
    <row r="491">
      <c r="A491" s="501" t="str">
        <f>IFERROR(__xludf.DUMMYFUNCTION("IFERROR(if(ISBLANK(Installment!A491),"""",if(GOOGLEFINANCE(Installment!A491,""Currency"")=""GBX"",""GBP"",GOOGLEFINANCE(Installment!A491,""Currency""))),$F$1)"),"")</f>
        <v/>
      </c>
      <c r="B491" s="501" t="str">
        <f>Installment!A491</f>
        <v/>
      </c>
      <c r="C491" s="501" t="str">
        <f>Installment!B491</f>
        <v/>
      </c>
      <c r="D491" s="501" t="str">
        <f>IFERROR(__xludf.DUMMYFUNCTION("if(A491=""GBP"",if(B491="""","""",if(A491=$F$1,Installment!C491,Installment!C491*GOOGLEFINANCE(""Currency:""&amp;A491&amp;""""&amp;$F$1&amp;"""")))/100,if(B491="""","""",if(A491=$F$1,Installment!C491,Installment!C491*GOOGLEFINANCE(""Currency:""&amp;A491&amp;""""&amp;$F$1&amp;""""))))"),"")</f>
        <v/>
      </c>
      <c r="E491" s="501" t="str">
        <f>IFERROR(__xludf.DUMMYFUNCTION("if(A491=""GBP"",if(B491="""","""",if(A491=$F$1,Installment!H491,Installment!H491*GOOGLEFINANCE(""Currency:""&amp;A491&amp;""""&amp;$F$1&amp;"""")))/100,if(B491="""","""",if(A491=$F$1,Installment!H491,Installment!H491*GOOGLEFINANCE(""Currency:""&amp;A491&amp;""""&amp;$F$1&amp;""""))))"),"")</f>
        <v/>
      </c>
      <c r="F491" s="501" t="str">
        <f>IFERROR(__xludf.DUMMYFUNCTION("if(A491=""GBP"",if(B491="""","""",if(A491=$F$1,Installment!I491,Installment!I491*GOOGLEFINANCE(""Currency:""&amp;A491&amp;""""&amp;$F$1&amp;"""")))/100,if(B491="""","""",if(A491=$F$1,Installment!I491,Installment!I491*GOOGLEFINANCE(""Currency:""&amp;A491&amp;""""&amp;$F$1&amp;""""))))"),"")</f>
        <v/>
      </c>
      <c r="G491" s="501" t="str">
        <f t="shared" si="1"/>
        <v/>
      </c>
      <c r="H491" s="501" t="str">
        <f t="shared" si="2"/>
        <v/>
      </c>
      <c r="I491" s="501" t="str">
        <f t="shared" si="3"/>
        <v/>
      </c>
    </row>
    <row r="492">
      <c r="A492" s="501" t="str">
        <f>IFERROR(__xludf.DUMMYFUNCTION("IFERROR(if(ISBLANK(Installment!A492),"""",if(GOOGLEFINANCE(Installment!A492,""Currency"")=""GBX"",""GBP"",GOOGLEFINANCE(Installment!A492,""Currency""))),$F$1)"),"")</f>
        <v/>
      </c>
      <c r="B492" s="501" t="str">
        <f>Installment!A492</f>
        <v/>
      </c>
      <c r="C492" s="501" t="str">
        <f>Installment!B492</f>
        <v/>
      </c>
      <c r="D492" s="501" t="str">
        <f>IFERROR(__xludf.DUMMYFUNCTION("if(A492=""GBP"",if(B492="""","""",if(A492=$F$1,Installment!C492,Installment!C492*GOOGLEFINANCE(""Currency:""&amp;A492&amp;""""&amp;$F$1&amp;"""")))/100,if(B492="""","""",if(A492=$F$1,Installment!C492,Installment!C492*GOOGLEFINANCE(""Currency:""&amp;A492&amp;""""&amp;$F$1&amp;""""))))"),"")</f>
        <v/>
      </c>
      <c r="E492" s="501" t="str">
        <f>IFERROR(__xludf.DUMMYFUNCTION("if(A492=""GBP"",if(B492="""","""",if(A492=$F$1,Installment!H492,Installment!H492*GOOGLEFINANCE(""Currency:""&amp;A492&amp;""""&amp;$F$1&amp;"""")))/100,if(B492="""","""",if(A492=$F$1,Installment!H492,Installment!H492*GOOGLEFINANCE(""Currency:""&amp;A492&amp;""""&amp;$F$1&amp;""""))))"),"")</f>
        <v/>
      </c>
      <c r="F492" s="501" t="str">
        <f>IFERROR(__xludf.DUMMYFUNCTION("if(A492=""GBP"",if(B492="""","""",if(A492=$F$1,Installment!I492,Installment!I492*GOOGLEFINANCE(""Currency:""&amp;A492&amp;""""&amp;$F$1&amp;"""")))/100,if(B492="""","""",if(A492=$F$1,Installment!I492,Installment!I492*GOOGLEFINANCE(""Currency:""&amp;A492&amp;""""&amp;$F$1&amp;""""))))"),"")</f>
        <v/>
      </c>
      <c r="G492" s="501" t="str">
        <f t="shared" si="1"/>
        <v/>
      </c>
      <c r="H492" s="501" t="str">
        <f t="shared" si="2"/>
        <v/>
      </c>
      <c r="I492" s="501" t="str">
        <f t="shared" si="3"/>
        <v/>
      </c>
    </row>
    <row r="493">
      <c r="A493" s="501" t="str">
        <f>IFERROR(__xludf.DUMMYFUNCTION("IFERROR(if(ISBLANK(Installment!A493),"""",if(GOOGLEFINANCE(Installment!A493,""Currency"")=""GBX"",""GBP"",GOOGLEFINANCE(Installment!A493,""Currency""))),$F$1)"),"")</f>
        <v/>
      </c>
      <c r="B493" s="501" t="str">
        <f>Installment!A493</f>
        <v/>
      </c>
      <c r="C493" s="501" t="str">
        <f>Installment!B493</f>
        <v/>
      </c>
      <c r="D493" s="501" t="str">
        <f>IFERROR(__xludf.DUMMYFUNCTION("if(A493=""GBP"",if(B493="""","""",if(A493=$F$1,Installment!C493,Installment!C493*GOOGLEFINANCE(""Currency:""&amp;A493&amp;""""&amp;$F$1&amp;"""")))/100,if(B493="""","""",if(A493=$F$1,Installment!C493,Installment!C493*GOOGLEFINANCE(""Currency:""&amp;A493&amp;""""&amp;$F$1&amp;""""))))"),"")</f>
        <v/>
      </c>
      <c r="E493" s="501" t="str">
        <f>IFERROR(__xludf.DUMMYFUNCTION("if(A493=""GBP"",if(B493="""","""",if(A493=$F$1,Installment!H493,Installment!H493*GOOGLEFINANCE(""Currency:""&amp;A493&amp;""""&amp;$F$1&amp;"""")))/100,if(B493="""","""",if(A493=$F$1,Installment!H493,Installment!H493*GOOGLEFINANCE(""Currency:""&amp;A493&amp;""""&amp;$F$1&amp;""""))))"),"")</f>
        <v/>
      </c>
      <c r="F493" s="501" t="str">
        <f>IFERROR(__xludf.DUMMYFUNCTION("if(A493=""GBP"",if(B493="""","""",if(A493=$F$1,Installment!I493,Installment!I493*GOOGLEFINANCE(""Currency:""&amp;A493&amp;""""&amp;$F$1&amp;"""")))/100,if(B493="""","""",if(A493=$F$1,Installment!I493,Installment!I493*GOOGLEFINANCE(""Currency:""&amp;A493&amp;""""&amp;$F$1&amp;""""))))"),"")</f>
        <v/>
      </c>
      <c r="G493" s="501" t="str">
        <f t="shared" si="1"/>
        <v/>
      </c>
      <c r="H493" s="501" t="str">
        <f t="shared" si="2"/>
        <v/>
      </c>
      <c r="I493" s="501" t="str">
        <f t="shared" si="3"/>
        <v/>
      </c>
    </row>
    <row r="494">
      <c r="A494" s="501" t="str">
        <f>IFERROR(__xludf.DUMMYFUNCTION("IFERROR(if(ISBLANK(Installment!A494),"""",if(GOOGLEFINANCE(Installment!A494,""Currency"")=""GBX"",""GBP"",GOOGLEFINANCE(Installment!A494,""Currency""))),$F$1)"),"")</f>
        <v/>
      </c>
      <c r="B494" s="501" t="str">
        <f>Installment!A494</f>
        <v/>
      </c>
      <c r="C494" s="501" t="str">
        <f>Installment!B494</f>
        <v/>
      </c>
      <c r="D494" s="501" t="str">
        <f>IFERROR(__xludf.DUMMYFUNCTION("if(A494=""GBP"",if(B494="""","""",if(A494=$F$1,Installment!C494,Installment!C494*GOOGLEFINANCE(""Currency:""&amp;A494&amp;""""&amp;$F$1&amp;"""")))/100,if(B494="""","""",if(A494=$F$1,Installment!C494,Installment!C494*GOOGLEFINANCE(""Currency:""&amp;A494&amp;""""&amp;$F$1&amp;""""))))"),"")</f>
        <v/>
      </c>
      <c r="E494" s="501" t="str">
        <f>IFERROR(__xludf.DUMMYFUNCTION("if(A494=""GBP"",if(B494="""","""",if(A494=$F$1,Installment!H494,Installment!H494*GOOGLEFINANCE(""Currency:""&amp;A494&amp;""""&amp;$F$1&amp;"""")))/100,if(B494="""","""",if(A494=$F$1,Installment!H494,Installment!H494*GOOGLEFINANCE(""Currency:""&amp;A494&amp;""""&amp;$F$1&amp;""""))))"),"")</f>
        <v/>
      </c>
      <c r="F494" s="501" t="str">
        <f>IFERROR(__xludf.DUMMYFUNCTION("if(A494=""GBP"",if(B494="""","""",if(A494=$F$1,Installment!I494,Installment!I494*GOOGLEFINANCE(""Currency:""&amp;A494&amp;""""&amp;$F$1&amp;"""")))/100,if(B494="""","""",if(A494=$F$1,Installment!I494,Installment!I494*GOOGLEFINANCE(""Currency:""&amp;A494&amp;""""&amp;$F$1&amp;""""))))"),"")</f>
        <v/>
      </c>
      <c r="G494" s="501" t="str">
        <f t="shared" si="1"/>
        <v/>
      </c>
      <c r="H494" s="501" t="str">
        <f t="shared" si="2"/>
        <v/>
      </c>
      <c r="I494" s="501" t="str">
        <f t="shared" si="3"/>
        <v/>
      </c>
    </row>
    <row r="495">
      <c r="A495" s="501" t="str">
        <f>IFERROR(__xludf.DUMMYFUNCTION("IFERROR(if(ISBLANK(Installment!A495),"""",if(GOOGLEFINANCE(Installment!A495,""Currency"")=""GBX"",""GBP"",GOOGLEFINANCE(Installment!A495,""Currency""))),$F$1)"),"")</f>
        <v/>
      </c>
      <c r="B495" s="501" t="str">
        <f>Installment!A495</f>
        <v/>
      </c>
      <c r="C495" s="501" t="str">
        <f>Installment!B495</f>
        <v/>
      </c>
      <c r="D495" s="501" t="str">
        <f>IFERROR(__xludf.DUMMYFUNCTION("if(A495=""GBP"",if(B495="""","""",if(A495=$F$1,Installment!C495,Installment!C495*GOOGLEFINANCE(""Currency:""&amp;A495&amp;""""&amp;$F$1&amp;"""")))/100,if(B495="""","""",if(A495=$F$1,Installment!C495,Installment!C495*GOOGLEFINANCE(""Currency:""&amp;A495&amp;""""&amp;$F$1&amp;""""))))"),"")</f>
        <v/>
      </c>
      <c r="E495" s="501" t="str">
        <f>IFERROR(__xludf.DUMMYFUNCTION("if(A495=""GBP"",if(B495="""","""",if(A495=$F$1,Installment!H495,Installment!H495*GOOGLEFINANCE(""Currency:""&amp;A495&amp;""""&amp;$F$1&amp;"""")))/100,if(B495="""","""",if(A495=$F$1,Installment!H495,Installment!H495*GOOGLEFINANCE(""Currency:""&amp;A495&amp;""""&amp;$F$1&amp;""""))))"),"")</f>
        <v/>
      </c>
      <c r="F495" s="501" t="str">
        <f>IFERROR(__xludf.DUMMYFUNCTION("if(A495=""GBP"",if(B495="""","""",if(A495=$F$1,Installment!I495,Installment!I495*GOOGLEFINANCE(""Currency:""&amp;A495&amp;""""&amp;$F$1&amp;"""")))/100,if(B495="""","""",if(A495=$F$1,Installment!I495,Installment!I495*GOOGLEFINANCE(""Currency:""&amp;A495&amp;""""&amp;$F$1&amp;""""))))"),"")</f>
        <v/>
      </c>
      <c r="G495" s="501" t="str">
        <f t="shared" si="1"/>
        <v/>
      </c>
      <c r="H495" s="501" t="str">
        <f t="shared" si="2"/>
        <v/>
      </c>
      <c r="I495" s="501" t="str">
        <f t="shared" si="3"/>
        <v/>
      </c>
    </row>
    <row r="496">
      <c r="A496" s="501" t="str">
        <f>IFERROR(__xludf.DUMMYFUNCTION("IFERROR(if(ISBLANK(Installment!A496),"""",if(GOOGLEFINANCE(Installment!A496,""Currency"")=""GBX"",""GBP"",GOOGLEFINANCE(Installment!A496,""Currency""))),$F$1)"),"")</f>
        <v/>
      </c>
      <c r="B496" s="501" t="str">
        <f>Installment!A496</f>
        <v/>
      </c>
      <c r="C496" s="501" t="str">
        <f>Installment!B496</f>
        <v/>
      </c>
      <c r="D496" s="501" t="str">
        <f>IFERROR(__xludf.DUMMYFUNCTION("if(A496=""GBP"",if(B496="""","""",if(A496=$F$1,Installment!C496,Installment!C496*GOOGLEFINANCE(""Currency:""&amp;A496&amp;""""&amp;$F$1&amp;"""")))/100,if(B496="""","""",if(A496=$F$1,Installment!C496,Installment!C496*GOOGLEFINANCE(""Currency:""&amp;A496&amp;""""&amp;$F$1&amp;""""))))"),"")</f>
        <v/>
      </c>
      <c r="E496" s="501" t="str">
        <f>IFERROR(__xludf.DUMMYFUNCTION("if(A496=""GBP"",if(B496="""","""",if(A496=$F$1,Installment!H496,Installment!H496*GOOGLEFINANCE(""Currency:""&amp;A496&amp;""""&amp;$F$1&amp;"""")))/100,if(B496="""","""",if(A496=$F$1,Installment!H496,Installment!H496*GOOGLEFINANCE(""Currency:""&amp;A496&amp;""""&amp;$F$1&amp;""""))))"),"")</f>
        <v/>
      </c>
      <c r="F496" s="501" t="str">
        <f>IFERROR(__xludf.DUMMYFUNCTION("if(A496=""GBP"",if(B496="""","""",if(A496=$F$1,Installment!I496,Installment!I496*GOOGLEFINANCE(""Currency:""&amp;A496&amp;""""&amp;$F$1&amp;"""")))/100,if(B496="""","""",if(A496=$F$1,Installment!I496,Installment!I496*GOOGLEFINANCE(""Currency:""&amp;A496&amp;""""&amp;$F$1&amp;""""))))"),"")</f>
        <v/>
      </c>
      <c r="G496" s="501" t="str">
        <f t="shared" si="1"/>
        <v/>
      </c>
      <c r="H496" s="501" t="str">
        <f t="shared" si="2"/>
        <v/>
      </c>
      <c r="I496" s="501" t="str">
        <f t="shared" si="3"/>
        <v/>
      </c>
    </row>
    <row r="497">
      <c r="A497" s="501" t="str">
        <f>IFERROR(__xludf.DUMMYFUNCTION("IFERROR(if(ISBLANK(Installment!A497),"""",if(GOOGLEFINANCE(Installment!A497,""Currency"")=""GBX"",""GBP"",GOOGLEFINANCE(Installment!A497,""Currency""))),$F$1)"),"")</f>
        <v/>
      </c>
      <c r="B497" s="501" t="str">
        <f>Installment!A497</f>
        <v/>
      </c>
      <c r="C497" s="501" t="str">
        <f>Installment!B497</f>
        <v/>
      </c>
      <c r="D497" s="501" t="str">
        <f>IFERROR(__xludf.DUMMYFUNCTION("if(A497=""GBP"",if(B497="""","""",if(A497=$F$1,Installment!C497,Installment!C497*GOOGLEFINANCE(""Currency:""&amp;A497&amp;""""&amp;$F$1&amp;"""")))/100,if(B497="""","""",if(A497=$F$1,Installment!C497,Installment!C497*GOOGLEFINANCE(""Currency:""&amp;A497&amp;""""&amp;$F$1&amp;""""))))"),"")</f>
        <v/>
      </c>
      <c r="E497" s="501" t="str">
        <f>IFERROR(__xludf.DUMMYFUNCTION("if(A497=""GBP"",if(B497="""","""",if(A497=$F$1,Installment!H497,Installment!H497*GOOGLEFINANCE(""Currency:""&amp;A497&amp;""""&amp;$F$1&amp;"""")))/100,if(B497="""","""",if(A497=$F$1,Installment!H497,Installment!H497*GOOGLEFINANCE(""Currency:""&amp;A497&amp;""""&amp;$F$1&amp;""""))))"),"")</f>
        <v/>
      </c>
      <c r="F497" s="501" t="str">
        <f>IFERROR(__xludf.DUMMYFUNCTION("if(A497=""GBP"",if(B497="""","""",if(A497=$F$1,Installment!I497,Installment!I497*GOOGLEFINANCE(""Currency:""&amp;A497&amp;""""&amp;$F$1&amp;"""")))/100,if(B497="""","""",if(A497=$F$1,Installment!I497,Installment!I497*GOOGLEFINANCE(""Currency:""&amp;A497&amp;""""&amp;$F$1&amp;""""))))"),"")</f>
        <v/>
      </c>
      <c r="G497" s="501" t="str">
        <f t="shared" si="1"/>
        <v/>
      </c>
      <c r="H497" s="501" t="str">
        <f t="shared" si="2"/>
        <v/>
      </c>
      <c r="I497" s="501" t="str">
        <f t="shared" si="3"/>
        <v/>
      </c>
    </row>
    <row r="498">
      <c r="A498" s="501" t="str">
        <f>IFERROR(__xludf.DUMMYFUNCTION("IFERROR(if(ISBLANK(Installment!A498),"""",if(GOOGLEFINANCE(Installment!A498,""Currency"")=""GBX"",""GBP"",GOOGLEFINANCE(Installment!A498,""Currency""))),$F$1)"),"")</f>
        <v/>
      </c>
      <c r="B498" s="501" t="str">
        <f>Installment!A498</f>
        <v/>
      </c>
      <c r="C498" s="501" t="str">
        <f>Installment!B498</f>
        <v/>
      </c>
      <c r="D498" s="501" t="str">
        <f>IFERROR(__xludf.DUMMYFUNCTION("if(A498=""GBP"",if(B498="""","""",if(A498=$F$1,Installment!C498,Installment!C498*GOOGLEFINANCE(""Currency:""&amp;A498&amp;""""&amp;$F$1&amp;"""")))/100,if(B498="""","""",if(A498=$F$1,Installment!C498,Installment!C498*GOOGLEFINANCE(""Currency:""&amp;A498&amp;""""&amp;$F$1&amp;""""))))"),"")</f>
        <v/>
      </c>
      <c r="E498" s="501" t="str">
        <f>IFERROR(__xludf.DUMMYFUNCTION("if(A498=""GBP"",if(B498="""","""",if(A498=$F$1,Installment!H498,Installment!H498*GOOGLEFINANCE(""Currency:""&amp;A498&amp;""""&amp;$F$1&amp;"""")))/100,if(B498="""","""",if(A498=$F$1,Installment!H498,Installment!H498*GOOGLEFINANCE(""Currency:""&amp;A498&amp;""""&amp;$F$1&amp;""""))))"),"")</f>
        <v/>
      </c>
      <c r="F498" s="501" t="str">
        <f>IFERROR(__xludf.DUMMYFUNCTION("if(A498=""GBP"",if(B498="""","""",if(A498=$F$1,Installment!I498,Installment!I498*GOOGLEFINANCE(""Currency:""&amp;A498&amp;""""&amp;$F$1&amp;"""")))/100,if(B498="""","""",if(A498=$F$1,Installment!I498,Installment!I498*GOOGLEFINANCE(""Currency:""&amp;A498&amp;""""&amp;$F$1&amp;""""))))"),"")</f>
        <v/>
      </c>
      <c r="G498" s="501" t="str">
        <f t="shared" si="1"/>
        <v/>
      </c>
      <c r="H498" s="501" t="str">
        <f t="shared" si="2"/>
        <v/>
      </c>
      <c r="I498" s="501" t="str">
        <f t="shared" si="3"/>
        <v/>
      </c>
    </row>
    <row r="499">
      <c r="A499" s="501" t="str">
        <f>IFERROR(__xludf.DUMMYFUNCTION("IFERROR(if(ISBLANK(Installment!A499),"""",if(GOOGLEFINANCE(Installment!A499,""Currency"")=""GBX"",""GBP"",GOOGLEFINANCE(Installment!A499,""Currency""))),$F$1)"),"")</f>
        <v/>
      </c>
      <c r="B499" s="501" t="str">
        <f>Installment!A499</f>
        <v/>
      </c>
      <c r="C499" s="501" t="str">
        <f>Installment!B499</f>
        <v/>
      </c>
      <c r="D499" s="501" t="str">
        <f>IFERROR(__xludf.DUMMYFUNCTION("if(A499=""GBP"",if(B499="""","""",if(A499=$F$1,Installment!C499,Installment!C499*GOOGLEFINANCE(""Currency:""&amp;A499&amp;""""&amp;$F$1&amp;"""")))/100,if(B499="""","""",if(A499=$F$1,Installment!C499,Installment!C499*GOOGLEFINANCE(""Currency:""&amp;A499&amp;""""&amp;$F$1&amp;""""))))"),"")</f>
        <v/>
      </c>
      <c r="E499" s="501" t="str">
        <f>IFERROR(__xludf.DUMMYFUNCTION("if(A499=""GBP"",if(B499="""","""",if(A499=$F$1,Installment!H499,Installment!H499*GOOGLEFINANCE(""Currency:""&amp;A499&amp;""""&amp;$F$1&amp;"""")))/100,if(B499="""","""",if(A499=$F$1,Installment!H499,Installment!H499*GOOGLEFINANCE(""Currency:""&amp;A499&amp;""""&amp;$F$1&amp;""""))))"),"")</f>
        <v/>
      </c>
      <c r="F499" s="501" t="str">
        <f>IFERROR(__xludf.DUMMYFUNCTION("if(A499=""GBP"",if(B499="""","""",if(A499=$F$1,Installment!I499,Installment!I499*GOOGLEFINANCE(""Currency:""&amp;A499&amp;""""&amp;$F$1&amp;"""")))/100,if(B499="""","""",if(A499=$F$1,Installment!I499,Installment!I499*GOOGLEFINANCE(""Currency:""&amp;A499&amp;""""&amp;$F$1&amp;""""))))"),"")</f>
        <v/>
      </c>
      <c r="G499" s="501" t="str">
        <f t="shared" si="1"/>
        <v/>
      </c>
      <c r="H499" s="501" t="str">
        <f t="shared" si="2"/>
        <v/>
      </c>
      <c r="I499" s="501" t="str">
        <f t="shared" si="3"/>
        <v/>
      </c>
    </row>
    <row r="500">
      <c r="A500" s="501" t="str">
        <f>IFERROR(__xludf.DUMMYFUNCTION("IFERROR(if(ISBLANK(Installment!A500),"""",if(GOOGLEFINANCE(Installment!A500,""Currency"")=""GBX"",""GBP"",GOOGLEFINANCE(Installment!A500,""Currency""))),$F$1)"),"")</f>
        <v/>
      </c>
      <c r="B500" s="501" t="str">
        <f>Installment!A500</f>
        <v/>
      </c>
      <c r="C500" s="501" t="str">
        <f>Installment!B500</f>
        <v/>
      </c>
      <c r="D500" s="501" t="str">
        <f>IFERROR(__xludf.DUMMYFUNCTION("if(A500=""GBP"",if(B500="""","""",if(A500=$F$1,Installment!C500,Installment!C500*GOOGLEFINANCE(""Currency:""&amp;A500&amp;""""&amp;$F$1&amp;"""")))/100,if(B500="""","""",if(A500=$F$1,Installment!C500,Installment!C500*GOOGLEFINANCE(""Currency:""&amp;A500&amp;""""&amp;$F$1&amp;""""))))"),"")</f>
        <v/>
      </c>
      <c r="E500" s="501" t="str">
        <f>IFERROR(__xludf.DUMMYFUNCTION("if(A500=""GBP"",if(B500="""","""",if(A500=$F$1,Installment!H500,Installment!H500*GOOGLEFINANCE(""Currency:""&amp;A500&amp;""""&amp;$F$1&amp;"""")))/100,if(B500="""","""",if(A500=$F$1,Installment!H500,Installment!H500*GOOGLEFINANCE(""Currency:""&amp;A500&amp;""""&amp;$F$1&amp;""""))))"),"")</f>
        <v/>
      </c>
      <c r="F500" s="501" t="str">
        <f>IFERROR(__xludf.DUMMYFUNCTION("if(A500=""GBP"",if(B500="""","""",if(A500=$F$1,Installment!I500,Installment!I500*GOOGLEFINANCE(""Currency:""&amp;A500&amp;""""&amp;$F$1&amp;"""")))/100,if(B500="""","""",if(A500=$F$1,Installment!I500,Installment!I500*GOOGLEFINANCE(""Currency:""&amp;A500&amp;""""&amp;$F$1&amp;""""))))"),"")</f>
        <v/>
      </c>
      <c r="G500" s="501" t="str">
        <f t="shared" si="1"/>
        <v/>
      </c>
      <c r="H500" s="501" t="str">
        <f t="shared" si="2"/>
        <v/>
      </c>
      <c r="I500" s="501" t="str">
        <f t="shared" si="3"/>
        <v/>
      </c>
    </row>
    <row r="501">
      <c r="A501" s="501" t="str">
        <f>IFERROR(__xludf.DUMMYFUNCTION("IFERROR(if(ISBLANK(Installment!A501),"""",if(GOOGLEFINANCE(Installment!A501,""Currency"")=""GBX"",""GBP"",GOOGLEFINANCE(Installment!A501,""Currency""))),$F$1)"),"")</f>
        <v/>
      </c>
      <c r="B501" s="501" t="str">
        <f>Installment!A501</f>
        <v/>
      </c>
      <c r="C501" s="501" t="str">
        <f>Installment!B501</f>
        <v/>
      </c>
      <c r="D501" s="501" t="str">
        <f>IFERROR(__xludf.DUMMYFUNCTION("if(A501=""GBP"",if(B501="""","""",if(A501=$F$1,Installment!C501,Installment!C501*GOOGLEFINANCE(""Currency:""&amp;A501&amp;""""&amp;$F$1&amp;"""")))/100,if(B501="""","""",if(A501=$F$1,Installment!C501,Installment!C501*GOOGLEFINANCE(""Currency:""&amp;A501&amp;""""&amp;$F$1&amp;""""))))"),"")</f>
        <v/>
      </c>
      <c r="E501" s="501" t="str">
        <f>IFERROR(__xludf.DUMMYFUNCTION("if(A501=""GBP"",if(B501="""","""",if(A501=$F$1,Installment!H501,Installment!H501*GOOGLEFINANCE(""Currency:""&amp;A501&amp;""""&amp;$F$1&amp;"""")))/100,if(B501="""","""",if(A501=$F$1,Installment!H501,Installment!H501*GOOGLEFINANCE(""Currency:""&amp;A501&amp;""""&amp;$F$1&amp;""""))))"),"")</f>
        <v/>
      </c>
      <c r="F501" s="501" t="str">
        <f>IFERROR(__xludf.DUMMYFUNCTION("if(A501=""GBP"",if(B501="""","""",if(A501=$F$1,Installment!I501,Installment!I501*GOOGLEFINANCE(""Currency:""&amp;A501&amp;""""&amp;$F$1&amp;"""")))/100,if(B501="""","""",if(A501=$F$1,Installment!I501,Installment!I501*GOOGLEFINANCE(""Currency:""&amp;A501&amp;""""&amp;$F$1&amp;""""))))"),"")</f>
        <v/>
      </c>
      <c r="G501" s="501" t="str">
        <f t="shared" si="1"/>
        <v/>
      </c>
      <c r="H501" s="501" t="str">
        <f t="shared" si="2"/>
        <v/>
      </c>
      <c r="I501" s="501" t="str">
        <f t="shared" si="3"/>
        <v/>
      </c>
    </row>
    <row r="502">
      <c r="A502" s="501" t="str">
        <f>IFERROR(__xludf.DUMMYFUNCTION("IFERROR(if(ISBLANK(Installment!A502),"""",if(GOOGLEFINANCE(Installment!A502,""Currency"")=""GBX"",""GBP"",GOOGLEFINANCE(Installment!A502,""Currency""))),$F$1)"),"")</f>
        <v/>
      </c>
      <c r="B502" s="501" t="str">
        <f>Installment!A502</f>
        <v/>
      </c>
      <c r="C502" s="501" t="str">
        <f>Installment!B502</f>
        <v/>
      </c>
      <c r="D502" s="501" t="str">
        <f>IFERROR(__xludf.DUMMYFUNCTION("if(A502=""GBP"",if(B502="""","""",if(A502=$F$1,Installment!C502,Installment!C502*GOOGLEFINANCE(""Currency:""&amp;A502&amp;""""&amp;$F$1&amp;"""")))/100,if(B502="""","""",if(A502=$F$1,Installment!C502,Installment!C502*GOOGLEFINANCE(""Currency:""&amp;A502&amp;""""&amp;$F$1&amp;""""))))"),"")</f>
        <v/>
      </c>
      <c r="E502" s="501" t="str">
        <f>IFERROR(__xludf.DUMMYFUNCTION("if(A502=""GBP"",if(B502="""","""",if(A502=$F$1,Installment!H502,Installment!H502*GOOGLEFINANCE(""Currency:""&amp;A502&amp;""""&amp;$F$1&amp;"""")))/100,if(B502="""","""",if(A502=$F$1,Installment!H502,Installment!H502*GOOGLEFINANCE(""Currency:""&amp;A502&amp;""""&amp;$F$1&amp;""""))))"),"")</f>
        <v/>
      </c>
      <c r="F502" s="501" t="str">
        <f>IFERROR(__xludf.DUMMYFUNCTION("if(A502=""GBP"",if(B502="""","""",if(A502=$F$1,Installment!I502,Installment!I502*GOOGLEFINANCE(""Currency:""&amp;A502&amp;""""&amp;$F$1&amp;"""")))/100,if(B502="""","""",if(A502=$F$1,Installment!I502,Installment!I502*GOOGLEFINANCE(""Currency:""&amp;A502&amp;""""&amp;$F$1&amp;""""))))"),"")</f>
        <v/>
      </c>
      <c r="G502" s="501" t="str">
        <f t="shared" si="1"/>
        <v/>
      </c>
      <c r="H502" s="501" t="str">
        <f t="shared" si="2"/>
        <v/>
      </c>
      <c r="I502" s="501" t="str">
        <f t="shared" si="3"/>
        <v/>
      </c>
    </row>
    <row r="503">
      <c r="A503" s="501" t="str">
        <f>IFERROR(__xludf.DUMMYFUNCTION("IFERROR(if(ISBLANK(Installment!A503),"""",if(GOOGLEFINANCE(Installment!A503,""Currency"")=""GBX"",""GBP"",GOOGLEFINANCE(Installment!A503,""Currency""))),$F$1)"),"")</f>
        <v/>
      </c>
      <c r="B503" s="501" t="str">
        <f>Installment!A503</f>
        <v/>
      </c>
      <c r="C503" s="501" t="str">
        <f>Installment!B503</f>
        <v/>
      </c>
      <c r="D503" s="501" t="str">
        <f>IFERROR(__xludf.DUMMYFUNCTION("if(A503=""GBP"",if(B503="""","""",if(A503=$F$1,Installment!C503,Installment!C503*GOOGLEFINANCE(""Currency:""&amp;A503&amp;""""&amp;$F$1&amp;"""")))/100,if(B503="""","""",if(A503=$F$1,Installment!C503,Installment!C503*GOOGLEFINANCE(""Currency:""&amp;A503&amp;""""&amp;$F$1&amp;""""))))"),"")</f>
        <v/>
      </c>
      <c r="E503" s="501" t="str">
        <f>IFERROR(__xludf.DUMMYFUNCTION("if(A503=""GBP"",if(B503="""","""",if(A503=$F$1,Installment!H503,Installment!H503*GOOGLEFINANCE(""Currency:""&amp;A503&amp;""""&amp;$F$1&amp;"""")))/100,if(B503="""","""",if(A503=$F$1,Installment!H503,Installment!H503*GOOGLEFINANCE(""Currency:""&amp;A503&amp;""""&amp;$F$1&amp;""""))))"),"")</f>
        <v/>
      </c>
      <c r="F503" s="501" t="str">
        <f>IFERROR(__xludf.DUMMYFUNCTION("if(A503=""GBP"",if(B503="""","""",if(A503=$F$1,Installment!I503,Installment!I503*GOOGLEFINANCE(""Currency:""&amp;A503&amp;""""&amp;$F$1&amp;"""")))/100,if(B503="""","""",if(A503=$F$1,Installment!I503,Installment!I503*GOOGLEFINANCE(""Currency:""&amp;A503&amp;""""&amp;$F$1&amp;""""))))"),"")</f>
        <v/>
      </c>
      <c r="G503" s="501" t="str">
        <f t="shared" si="1"/>
        <v/>
      </c>
      <c r="H503" s="501" t="str">
        <f t="shared" si="2"/>
        <v/>
      </c>
      <c r="I503" s="501" t="str">
        <f t="shared" si="3"/>
        <v/>
      </c>
    </row>
    <row r="504">
      <c r="A504" s="501" t="str">
        <f>IFERROR(__xludf.DUMMYFUNCTION("IFERROR(if(ISBLANK(Installment!A504),"""",if(GOOGLEFINANCE(Installment!A504,""Currency"")=""GBX"",""GBP"",GOOGLEFINANCE(Installment!A504,""Currency""))),$F$1)"),"")</f>
        <v/>
      </c>
      <c r="B504" s="501" t="str">
        <f>Installment!A504</f>
        <v/>
      </c>
      <c r="C504" s="501" t="str">
        <f>Installment!B504</f>
        <v/>
      </c>
      <c r="D504" s="501" t="str">
        <f>IFERROR(__xludf.DUMMYFUNCTION("if(A504=""GBP"",if(B504="""","""",if(A504=$F$1,Installment!C504,Installment!C504*GOOGLEFINANCE(""Currency:""&amp;A504&amp;""""&amp;$F$1&amp;"""")))/100,if(B504="""","""",if(A504=$F$1,Installment!C504,Installment!C504*GOOGLEFINANCE(""Currency:""&amp;A504&amp;""""&amp;$F$1&amp;""""))))"),"")</f>
        <v/>
      </c>
      <c r="E504" s="501" t="str">
        <f>IFERROR(__xludf.DUMMYFUNCTION("if(A504=""GBP"",if(B504="""","""",if(A504=$F$1,Installment!H504,Installment!H504*GOOGLEFINANCE(""Currency:""&amp;A504&amp;""""&amp;$F$1&amp;"""")))/100,if(B504="""","""",if(A504=$F$1,Installment!H504,Installment!H504*GOOGLEFINANCE(""Currency:""&amp;A504&amp;""""&amp;$F$1&amp;""""))))"),"")</f>
        <v/>
      </c>
      <c r="F504" s="501" t="str">
        <f>IFERROR(__xludf.DUMMYFUNCTION("if(A504=""GBP"",if(B504="""","""",if(A504=$F$1,Installment!I504,Installment!I504*GOOGLEFINANCE(""Currency:""&amp;A504&amp;""""&amp;$F$1&amp;"""")))/100,if(B504="""","""",if(A504=$F$1,Installment!I504,Installment!I504*GOOGLEFINANCE(""Currency:""&amp;A504&amp;""""&amp;$F$1&amp;""""))))"),"")</f>
        <v/>
      </c>
      <c r="G504" s="501" t="str">
        <f t="shared" si="1"/>
        <v/>
      </c>
      <c r="H504" s="501" t="str">
        <f t="shared" si="2"/>
        <v/>
      </c>
      <c r="I504" s="501" t="str">
        <f t="shared" si="3"/>
        <v/>
      </c>
    </row>
    <row r="505">
      <c r="A505" s="501" t="str">
        <f>IFERROR(__xludf.DUMMYFUNCTION("IFERROR(if(ISBLANK(Installment!A505),"""",if(GOOGLEFINANCE(Installment!A505,""Currency"")=""GBX"",""GBP"",GOOGLEFINANCE(Installment!A505,""Currency""))),$F$1)"),"")</f>
        <v/>
      </c>
      <c r="B505" s="501" t="str">
        <f>Installment!A505</f>
        <v/>
      </c>
      <c r="C505" s="501" t="str">
        <f>Installment!B505</f>
        <v/>
      </c>
      <c r="D505" s="501" t="str">
        <f>IFERROR(__xludf.DUMMYFUNCTION("if(A505=""GBP"",if(B505="""","""",if(A505=$F$1,Installment!C505,Installment!C505*GOOGLEFINANCE(""Currency:""&amp;A505&amp;""""&amp;$F$1&amp;"""")))/100,if(B505="""","""",if(A505=$F$1,Installment!C505,Installment!C505*GOOGLEFINANCE(""Currency:""&amp;A505&amp;""""&amp;$F$1&amp;""""))))"),"")</f>
        <v/>
      </c>
      <c r="E505" s="501" t="str">
        <f>IFERROR(__xludf.DUMMYFUNCTION("if(A505=""GBP"",if(B505="""","""",if(A505=$F$1,Installment!H505,Installment!H505*GOOGLEFINANCE(""Currency:""&amp;A505&amp;""""&amp;$F$1&amp;"""")))/100,if(B505="""","""",if(A505=$F$1,Installment!H505,Installment!H505*GOOGLEFINANCE(""Currency:""&amp;A505&amp;""""&amp;$F$1&amp;""""))))"),"")</f>
        <v/>
      </c>
      <c r="F505" s="501" t="str">
        <f>IFERROR(__xludf.DUMMYFUNCTION("if(A505=""GBP"",if(B505="""","""",if(A505=$F$1,Installment!I505,Installment!I505*GOOGLEFINANCE(""Currency:""&amp;A505&amp;""""&amp;$F$1&amp;"""")))/100,if(B505="""","""",if(A505=$F$1,Installment!I505,Installment!I505*GOOGLEFINANCE(""Currency:""&amp;A505&amp;""""&amp;$F$1&amp;""""))))"),"")</f>
        <v/>
      </c>
      <c r="G505" s="501" t="str">
        <f t="shared" si="1"/>
        <v/>
      </c>
      <c r="H505" s="501" t="str">
        <f t="shared" si="2"/>
        <v/>
      </c>
      <c r="I505" s="501" t="str">
        <f t="shared" si="3"/>
        <v/>
      </c>
    </row>
    <row r="506">
      <c r="A506" s="501"/>
      <c r="B506" s="501"/>
      <c r="C506" s="501"/>
      <c r="D506" s="501"/>
      <c r="E506" s="501"/>
      <c r="F506" s="501"/>
      <c r="G506" s="501"/>
      <c r="H506" s="501"/>
      <c r="I506" s="501"/>
    </row>
    <row r="507">
      <c r="A507" s="501"/>
      <c r="B507" s="501"/>
      <c r="C507" s="501"/>
      <c r="D507" s="501"/>
      <c r="E507" s="501"/>
      <c r="F507" s="501"/>
      <c r="G507" s="501"/>
      <c r="H507" s="501"/>
      <c r="I507" s="501"/>
    </row>
    <row r="508">
      <c r="A508" s="501"/>
      <c r="B508" s="501"/>
      <c r="C508" s="501"/>
      <c r="D508" s="501"/>
      <c r="E508" s="501"/>
      <c r="F508" s="501"/>
      <c r="G508" s="501"/>
      <c r="H508" s="501"/>
      <c r="I508" s="501"/>
    </row>
    <row r="509">
      <c r="A509" s="501"/>
      <c r="B509" s="501"/>
      <c r="C509" s="501"/>
      <c r="D509" s="501"/>
      <c r="E509" s="501"/>
      <c r="F509" s="501"/>
      <c r="G509" s="501"/>
      <c r="H509" s="501"/>
      <c r="I509" s="501"/>
    </row>
    <row r="510">
      <c r="A510" s="501"/>
      <c r="B510" s="501"/>
      <c r="C510" s="501"/>
      <c r="D510" s="501"/>
      <c r="E510" s="501"/>
      <c r="F510" s="501"/>
      <c r="G510" s="501"/>
      <c r="H510" s="501"/>
      <c r="I510" s="501"/>
    </row>
    <row r="511">
      <c r="A511" s="501"/>
      <c r="B511" s="501"/>
      <c r="C511" s="501"/>
      <c r="D511" s="501"/>
      <c r="E511" s="501"/>
      <c r="F511" s="501"/>
      <c r="G511" s="501"/>
      <c r="H511" s="501"/>
      <c r="I511" s="501"/>
    </row>
    <row r="512">
      <c r="A512" s="501"/>
      <c r="B512" s="501"/>
      <c r="C512" s="501"/>
      <c r="D512" s="501"/>
      <c r="E512" s="501"/>
      <c r="F512" s="501"/>
      <c r="G512" s="501"/>
      <c r="H512" s="501"/>
      <c r="I512" s="501"/>
    </row>
    <row r="513">
      <c r="A513" s="501"/>
      <c r="B513" s="501"/>
      <c r="C513" s="501"/>
      <c r="D513" s="501"/>
      <c r="E513" s="501"/>
      <c r="F513" s="501"/>
      <c r="G513" s="501"/>
      <c r="H513" s="501"/>
      <c r="I513" s="501"/>
    </row>
    <row r="514">
      <c r="A514" s="501"/>
      <c r="B514" s="501"/>
      <c r="C514" s="501"/>
      <c r="D514" s="501"/>
      <c r="E514" s="501"/>
      <c r="F514" s="501"/>
      <c r="G514" s="501"/>
      <c r="H514" s="501"/>
      <c r="I514" s="501"/>
    </row>
    <row r="515">
      <c r="A515" s="501"/>
      <c r="B515" s="501"/>
      <c r="C515" s="501"/>
      <c r="D515" s="501"/>
      <c r="E515" s="501"/>
      <c r="F515" s="501"/>
      <c r="G515" s="501"/>
      <c r="H515" s="501"/>
      <c r="I515" s="501"/>
    </row>
    <row r="516">
      <c r="A516" s="501"/>
      <c r="B516" s="501"/>
      <c r="C516" s="501"/>
      <c r="D516" s="501"/>
      <c r="E516" s="501"/>
      <c r="F516" s="501"/>
      <c r="G516" s="501"/>
      <c r="H516" s="501"/>
      <c r="I516" s="501"/>
    </row>
    <row r="517">
      <c r="A517" s="501"/>
      <c r="B517" s="501"/>
      <c r="C517" s="501"/>
      <c r="D517" s="501"/>
      <c r="E517" s="501"/>
      <c r="F517" s="501"/>
      <c r="G517" s="501"/>
      <c r="H517" s="501"/>
      <c r="I517" s="501"/>
    </row>
    <row r="518">
      <c r="A518" s="501"/>
      <c r="B518" s="501"/>
      <c r="C518" s="501"/>
      <c r="D518" s="501"/>
      <c r="E518" s="501"/>
      <c r="F518" s="501"/>
      <c r="G518" s="501"/>
      <c r="H518" s="501"/>
      <c r="I518" s="501"/>
    </row>
    <row r="519">
      <c r="A519" s="501"/>
      <c r="B519" s="501"/>
      <c r="C519" s="501"/>
      <c r="D519" s="501"/>
      <c r="E519" s="501"/>
      <c r="F519" s="501"/>
      <c r="G519" s="501"/>
      <c r="H519" s="501"/>
      <c r="I519" s="501"/>
    </row>
    <row r="520">
      <c r="A520" s="501"/>
      <c r="B520" s="501"/>
      <c r="C520" s="501"/>
      <c r="D520" s="501"/>
      <c r="E520" s="501"/>
      <c r="F520" s="501"/>
      <c r="G520" s="501"/>
      <c r="H520" s="501"/>
      <c r="I520" s="501"/>
    </row>
    <row r="521">
      <c r="A521" s="501"/>
      <c r="B521" s="501"/>
      <c r="C521" s="501"/>
      <c r="D521" s="501"/>
      <c r="E521" s="501"/>
      <c r="F521" s="501"/>
      <c r="G521" s="501"/>
      <c r="H521" s="501"/>
      <c r="I521" s="501"/>
    </row>
    <row r="522">
      <c r="A522" s="501"/>
      <c r="B522" s="501"/>
      <c r="C522" s="501"/>
      <c r="D522" s="501"/>
      <c r="E522" s="501"/>
      <c r="F522" s="501"/>
      <c r="G522" s="501"/>
      <c r="H522" s="501"/>
      <c r="I522" s="501"/>
    </row>
    <row r="523">
      <c r="A523" s="501"/>
      <c r="B523" s="501"/>
      <c r="C523" s="501"/>
      <c r="D523" s="501"/>
      <c r="E523" s="501"/>
      <c r="F523" s="501"/>
      <c r="G523" s="501"/>
      <c r="H523" s="501"/>
      <c r="I523" s="501"/>
    </row>
    <row r="524">
      <c r="A524" s="501"/>
      <c r="B524" s="501"/>
      <c r="C524" s="501"/>
      <c r="D524" s="501"/>
      <c r="E524" s="501"/>
      <c r="F524" s="501"/>
      <c r="G524" s="501"/>
      <c r="H524" s="501"/>
      <c r="I524" s="501"/>
    </row>
    <row r="525">
      <c r="A525" s="501"/>
      <c r="B525" s="501"/>
      <c r="C525" s="501"/>
      <c r="D525" s="501"/>
      <c r="E525" s="501"/>
      <c r="F525" s="501"/>
      <c r="G525" s="501"/>
      <c r="H525" s="501"/>
      <c r="I525" s="501"/>
    </row>
    <row r="526">
      <c r="A526" s="501"/>
      <c r="B526" s="501"/>
      <c r="C526" s="501"/>
      <c r="D526" s="501"/>
      <c r="E526" s="501"/>
      <c r="F526" s="501"/>
      <c r="G526" s="501"/>
      <c r="H526" s="501"/>
      <c r="I526" s="501"/>
    </row>
    <row r="527">
      <c r="A527" s="501"/>
      <c r="B527" s="501"/>
      <c r="C527" s="501"/>
      <c r="D527" s="501"/>
      <c r="E527" s="501"/>
      <c r="F527" s="501"/>
      <c r="G527" s="501"/>
      <c r="H527" s="501"/>
      <c r="I527" s="501"/>
    </row>
    <row r="528">
      <c r="A528" s="501"/>
      <c r="B528" s="501"/>
      <c r="C528" s="501"/>
      <c r="D528" s="501"/>
      <c r="E528" s="501"/>
      <c r="F528" s="501"/>
      <c r="G528" s="501"/>
      <c r="H528" s="501"/>
      <c r="I528" s="501"/>
    </row>
    <row r="529">
      <c r="A529" s="501"/>
      <c r="B529" s="501"/>
      <c r="C529" s="501"/>
      <c r="D529" s="501"/>
      <c r="E529" s="501"/>
      <c r="F529" s="501"/>
      <c r="G529" s="501"/>
      <c r="H529" s="501"/>
      <c r="I529" s="501"/>
    </row>
    <row r="530">
      <c r="A530" s="501"/>
      <c r="B530" s="501"/>
      <c r="C530" s="501"/>
      <c r="D530" s="501"/>
      <c r="E530" s="501"/>
      <c r="F530" s="501"/>
      <c r="G530" s="501"/>
      <c r="H530" s="501"/>
      <c r="I530" s="501"/>
    </row>
    <row r="531">
      <c r="A531" s="501"/>
      <c r="B531" s="501"/>
      <c r="C531" s="501"/>
      <c r="D531" s="501"/>
      <c r="E531" s="501"/>
      <c r="F531" s="501"/>
      <c r="G531" s="501"/>
      <c r="H531" s="501"/>
      <c r="I531" s="501"/>
    </row>
    <row r="532">
      <c r="A532" s="501"/>
      <c r="B532" s="501"/>
      <c r="C532" s="501"/>
      <c r="D532" s="501"/>
      <c r="E532" s="501"/>
      <c r="F532" s="501"/>
      <c r="G532" s="501"/>
      <c r="H532" s="501"/>
      <c r="I532" s="501"/>
    </row>
    <row r="533">
      <c r="A533" s="501"/>
      <c r="B533" s="501"/>
      <c r="C533" s="501"/>
      <c r="D533" s="501"/>
      <c r="E533" s="501"/>
      <c r="F533" s="501"/>
      <c r="G533" s="501"/>
      <c r="H533" s="501"/>
      <c r="I533" s="501"/>
    </row>
    <row r="534">
      <c r="A534" s="501"/>
      <c r="B534" s="501"/>
      <c r="C534" s="501"/>
      <c r="D534" s="501"/>
      <c r="E534" s="501"/>
      <c r="F534" s="501"/>
      <c r="G534" s="501"/>
      <c r="H534" s="501"/>
      <c r="I534" s="501"/>
    </row>
    <row r="535">
      <c r="A535" s="501"/>
      <c r="B535" s="501"/>
      <c r="C535" s="501"/>
      <c r="D535" s="501"/>
      <c r="E535" s="501"/>
      <c r="F535" s="501"/>
      <c r="G535" s="501"/>
      <c r="H535" s="501"/>
      <c r="I535" s="501"/>
    </row>
    <row r="536">
      <c r="A536" s="501"/>
      <c r="B536" s="501"/>
      <c r="C536" s="501"/>
      <c r="D536" s="501"/>
      <c r="E536" s="501"/>
      <c r="F536" s="501"/>
      <c r="G536" s="501"/>
      <c r="H536" s="501"/>
      <c r="I536" s="501"/>
    </row>
    <row r="537">
      <c r="A537" s="501"/>
      <c r="B537" s="501"/>
      <c r="C537" s="501"/>
      <c r="D537" s="501"/>
      <c r="E537" s="501"/>
      <c r="F537" s="501"/>
      <c r="G537" s="501"/>
      <c r="H537" s="501"/>
      <c r="I537" s="501"/>
    </row>
    <row r="538">
      <c r="A538" s="501"/>
      <c r="B538" s="501"/>
      <c r="C538" s="501"/>
      <c r="D538" s="501"/>
      <c r="E538" s="501"/>
      <c r="F538" s="501"/>
      <c r="G538" s="501"/>
      <c r="H538" s="501"/>
      <c r="I538" s="501"/>
    </row>
    <row r="539">
      <c r="A539" s="501"/>
      <c r="B539" s="501"/>
      <c r="C539" s="501"/>
      <c r="D539" s="501"/>
      <c r="E539" s="501"/>
      <c r="F539" s="501"/>
      <c r="G539" s="501"/>
      <c r="H539" s="501"/>
      <c r="I539" s="501"/>
    </row>
    <row r="540">
      <c r="A540" s="501"/>
      <c r="B540" s="501"/>
      <c r="C540" s="501"/>
      <c r="D540" s="501"/>
      <c r="E540" s="501"/>
      <c r="F540" s="501"/>
      <c r="G540" s="501"/>
      <c r="H540" s="501"/>
      <c r="I540" s="501"/>
    </row>
    <row r="541">
      <c r="A541" s="501"/>
      <c r="B541" s="501"/>
      <c r="C541" s="501"/>
      <c r="D541" s="501"/>
      <c r="E541" s="501"/>
      <c r="F541" s="501"/>
      <c r="G541" s="501"/>
      <c r="H541" s="501"/>
      <c r="I541" s="501"/>
    </row>
    <row r="542">
      <c r="A542" s="501"/>
      <c r="B542" s="501"/>
      <c r="C542" s="501"/>
      <c r="D542" s="501"/>
      <c r="E542" s="501"/>
      <c r="F542" s="501"/>
      <c r="G542" s="501"/>
      <c r="H542" s="501"/>
      <c r="I542" s="501"/>
    </row>
    <row r="543">
      <c r="A543" s="501"/>
      <c r="B543" s="501"/>
      <c r="C543" s="501"/>
      <c r="D543" s="501"/>
      <c r="E543" s="501"/>
      <c r="F543" s="501"/>
      <c r="G543" s="501"/>
      <c r="H543" s="501"/>
      <c r="I543" s="501"/>
    </row>
    <row r="544">
      <c r="A544" s="501"/>
      <c r="B544" s="501"/>
      <c r="C544" s="501"/>
      <c r="D544" s="501"/>
      <c r="E544" s="501"/>
      <c r="F544" s="501"/>
      <c r="G544" s="501"/>
      <c r="H544" s="501"/>
      <c r="I544" s="501"/>
    </row>
    <row r="545">
      <c r="A545" s="501"/>
      <c r="B545" s="501"/>
      <c r="C545" s="501"/>
      <c r="D545" s="501"/>
      <c r="E545" s="501"/>
      <c r="F545" s="501"/>
      <c r="G545" s="501"/>
      <c r="H545" s="501"/>
      <c r="I545" s="501"/>
    </row>
    <row r="546">
      <c r="A546" s="501"/>
      <c r="B546" s="501"/>
      <c r="C546" s="501"/>
      <c r="D546" s="501"/>
      <c r="E546" s="501"/>
      <c r="F546" s="501"/>
      <c r="G546" s="501"/>
      <c r="H546" s="501"/>
      <c r="I546" s="501"/>
    </row>
    <row r="547">
      <c r="A547" s="501"/>
      <c r="B547" s="501"/>
      <c r="C547" s="501"/>
      <c r="D547" s="501"/>
      <c r="E547" s="501"/>
      <c r="F547" s="501"/>
      <c r="G547" s="501"/>
      <c r="H547" s="501"/>
      <c r="I547" s="501"/>
    </row>
    <row r="548">
      <c r="A548" s="501"/>
      <c r="B548" s="501"/>
      <c r="C548" s="501"/>
      <c r="D548" s="501"/>
      <c r="E548" s="501"/>
      <c r="F548" s="501"/>
      <c r="G548" s="501"/>
      <c r="H548" s="501"/>
      <c r="I548" s="501"/>
    </row>
    <row r="549">
      <c r="A549" s="501"/>
      <c r="B549" s="501"/>
      <c r="C549" s="501"/>
      <c r="D549" s="501"/>
      <c r="E549" s="501"/>
      <c r="F549" s="501"/>
      <c r="G549" s="501"/>
      <c r="H549" s="501"/>
      <c r="I549" s="501"/>
    </row>
    <row r="550">
      <c r="A550" s="501"/>
      <c r="B550" s="501"/>
      <c r="C550" s="501"/>
      <c r="D550" s="501"/>
      <c r="E550" s="501"/>
      <c r="F550" s="501"/>
      <c r="G550" s="501"/>
      <c r="H550" s="501"/>
      <c r="I550" s="501"/>
    </row>
    <row r="551">
      <c r="A551" s="501"/>
      <c r="B551" s="501"/>
      <c r="C551" s="501"/>
      <c r="D551" s="501"/>
      <c r="E551" s="501"/>
      <c r="F551" s="501"/>
      <c r="G551" s="501"/>
      <c r="H551" s="501"/>
      <c r="I551" s="501"/>
    </row>
    <row r="552">
      <c r="A552" s="501"/>
      <c r="B552" s="501"/>
      <c r="C552" s="501"/>
      <c r="D552" s="501"/>
      <c r="E552" s="501"/>
      <c r="F552" s="501"/>
      <c r="G552" s="501"/>
      <c r="H552" s="501"/>
      <c r="I552" s="501"/>
    </row>
    <row r="553">
      <c r="A553" s="501"/>
      <c r="B553" s="501"/>
      <c r="C553" s="501"/>
      <c r="D553" s="501"/>
      <c r="E553" s="501"/>
      <c r="F553" s="501"/>
      <c r="G553" s="501"/>
      <c r="H553" s="501"/>
      <c r="I553" s="501"/>
    </row>
    <row r="554">
      <c r="A554" s="501"/>
      <c r="B554" s="501"/>
      <c r="C554" s="501"/>
      <c r="D554" s="501"/>
      <c r="E554" s="501"/>
      <c r="F554" s="501"/>
      <c r="G554" s="501"/>
      <c r="H554" s="501"/>
      <c r="I554" s="501"/>
    </row>
    <row r="555">
      <c r="A555" s="501"/>
      <c r="B555" s="501"/>
      <c r="C555" s="501"/>
      <c r="D555" s="501"/>
      <c r="E555" s="501"/>
      <c r="F555" s="501"/>
      <c r="G555" s="501"/>
      <c r="H555" s="501"/>
      <c r="I555" s="501"/>
    </row>
    <row r="556">
      <c r="A556" s="501"/>
      <c r="B556" s="501"/>
      <c r="C556" s="501"/>
      <c r="D556" s="501"/>
      <c r="E556" s="501"/>
      <c r="F556" s="501"/>
      <c r="G556" s="501"/>
      <c r="H556" s="501"/>
      <c r="I556" s="501"/>
    </row>
    <row r="557">
      <c r="A557" s="501"/>
      <c r="B557" s="501"/>
      <c r="C557" s="501"/>
      <c r="D557" s="501"/>
      <c r="E557" s="501"/>
      <c r="F557" s="501"/>
      <c r="G557" s="501"/>
      <c r="H557" s="501"/>
      <c r="I557" s="501"/>
    </row>
    <row r="558">
      <c r="A558" s="501"/>
      <c r="B558" s="501"/>
      <c r="C558" s="501"/>
      <c r="D558" s="501"/>
      <c r="E558" s="501"/>
      <c r="F558" s="501"/>
      <c r="G558" s="501"/>
      <c r="H558" s="501"/>
      <c r="I558" s="501"/>
    </row>
    <row r="559">
      <c r="A559" s="501"/>
      <c r="B559" s="501"/>
      <c r="C559" s="501"/>
      <c r="D559" s="501"/>
      <c r="E559" s="501"/>
      <c r="F559" s="501"/>
      <c r="G559" s="501"/>
      <c r="H559" s="501"/>
      <c r="I559" s="501"/>
    </row>
    <row r="560">
      <c r="A560" s="501"/>
      <c r="B560" s="501"/>
      <c r="C560" s="501"/>
      <c r="D560" s="501"/>
      <c r="E560" s="501"/>
      <c r="F560" s="501"/>
      <c r="G560" s="501"/>
      <c r="H560" s="501"/>
      <c r="I560" s="501"/>
    </row>
    <row r="561">
      <c r="A561" s="501"/>
      <c r="B561" s="501"/>
      <c r="C561" s="501"/>
      <c r="D561" s="501"/>
      <c r="E561" s="501"/>
      <c r="F561" s="501"/>
      <c r="G561" s="501"/>
      <c r="H561" s="501"/>
      <c r="I561" s="501"/>
    </row>
    <row r="562">
      <c r="A562" s="501"/>
      <c r="B562" s="501"/>
      <c r="C562" s="501"/>
      <c r="D562" s="501"/>
      <c r="E562" s="501"/>
      <c r="F562" s="501"/>
      <c r="G562" s="501"/>
      <c r="H562" s="501"/>
      <c r="I562" s="501"/>
    </row>
    <row r="563">
      <c r="A563" s="501"/>
      <c r="B563" s="501"/>
      <c r="C563" s="501"/>
      <c r="D563" s="501"/>
      <c r="E563" s="501"/>
      <c r="F563" s="501"/>
      <c r="G563" s="501"/>
      <c r="H563" s="501"/>
      <c r="I563" s="501"/>
    </row>
    <row r="564">
      <c r="A564" s="501"/>
      <c r="B564" s="501"/>
      <c r="C564" s="501"/>
      <c r="D564" s="501"/>
      <c r="E564" s="501"/>
      <c r="F564" s="501"/>
      <c r="G564" s="501"/>
      <c r="H564" s="501"/>
      <c r="I564" s="501"/>
    </row>
    <row r="565">
      <c r="A565" s="501"/>
      <c r="B565" s="501"/>
      <c r="C565" s="501"/>
      <c r="D565" s="501"/>
      <c r="E565" s="501"/>
      <c r="F565" s="501"/>
      <c r="G565" s="501"/>
      <c r="H565" s="501"/>
      <c r="I565" s="501"/>
    </row>
    <row r="566">
      <c r="A566" s="501"/>
      <c r="B566" s="501"/>
      <c r="C566" s="501"/>
      <c r="D566" s="501"/>
      <c r="E566" s="501"/>
      <c r="F566" s="501"/>
      <c r="G566" s="501"/>
      <c r="H566" s="501"/>
      <c r="I566" s="501"/>
    </row>
    <row r="567">
      <c r="A567" s="501"/>
      <c r="B567" s="501"/>
      <c r="C567" s="501"/>
      <c r="D567" s="501"/>
      <c r="E567" s="501"/>
      <c r="F567" s="501"/>
      <c r="G567" s="501"/>
      <c r="H567" s="501"/>
      <c r="I567" s="501"/>
    </row>
    <row r="568">
      <c r="A568" s="501"/>
      <c r="B568" s="501"/>
      <c r="C568" s="501"/>
      <c r="D568" s="501"/>
      <c r="E568" s="501"/>
      <c r="F568" s="501"/>
      <c r="G568" s="501"/>
      <c r="H568" s="501"/>
      <c r="I568" s="501"/>
    </row>
    <row r="569">
      <c r="A569" s="501"/>
      <c r="B569" s="501"/>
      <c r="C569" s="501"/>
      <c r="D569" s="501"/>
      <c r="E569" s="501"/>
      <c r="F569" s="501"/>
      <c r="G569" s="501"/>
      <c r="H569" s="501"/>
      <c r="I569" s="501"/>
    </row>
    <row r="570">
      <c r="A570" s="501"/>
      <c r="B570" s="501"/>
      <c r="C570" s="501"/>
      <c r="D570" s="501"/>
      <c r="E570" s="501"/>
      <c r="F570" s="501"/>
      <c r="G570" s="501"/>
      <c r="H570" s="501"/>
      <c r="I570" s="501"/>
    </row>
    <row r="571">
      <c r="A571" s="501"/>
      <c r="B571" s="501"/>
      <c r="C571" s="501"/>
      <c r="D571" s="501"/>
      <c r="E571" s="501"/>
      <c r="F571" s="501"/>
      <c r="G571" s="501"/>
      <c r="H571" s="501"/>
      <c r="I571" s="501"/>
    </row>
    <row r="572">
      <c r="A572" s="501"/>
      <c r="B572" s="501"/>
      <c r="C572" s="501"/>
      <c r="D572" s="501"/>
      <c r="E572" s="501"/>
      <c r="F572" s="501"/>
      <c r="G572" s="501"/>
      <c r="H572" s="501"/>
      <c r="I572" s="501"/>
    </row>
    <row r="573">
      <c r="A573" s="501"/>
      <c r="B573" s="501"/>
      <c r="C573" s="501"/>
      <c r="D573" s="501"/>
      <c r="E573" s="501"/>
      <c r="F573" s="501"/>
      <c r="G573" s="501"/>
      <c r="H573" s="501"/>
      <c r="I573" s="501"/>
    </row>
    <row r="574">
      <c r="A574" s="501"/>
      <c r="B574" s="501"/>
      <c r="C574" s="501"/>
      <c r="D574" s="501"/>
      <c r="E574" s="501"/>
      <c r="F574" s="501"/>
      <c r="G574" s="501"/>
      <c r="H574" s="501"/>
      <c r="I574" s="501"/>
    </row>
    <row r="575">
      <c r="A575" s="501"/>
      <c r="B575" s="501"/>
      <c r="C575" s="501"/>
      <c r="D575" s="501"/>
      <c r="E575" s="501"/>
      <c r="F575" s="501"/>
      <c r="G575" s="501"/>
      <c r="H575" s="501"/>
      <c r="I575" s="501"/>
    </row>
    <row r="576">
      <c r="A576" s="501"/>
      <c r="B576" s="501"/>
      <c r="C576" s="501"/>
      <c r="D576" s="501"/>
      <c r="E576" s="501"/>
      <c r="F576" s="501"/>
      <c r="G576" s="501"/>
      <c r="H576" s="501"/>
      <c r="I576" s="501"/>
    </row>
    <row r="577">
      <c r="A577" s="501"/>
      <c r="B577" s="501"/>
      <c r="C577" s="501"/>
      <c r="D577" s="501"/>
      <c r="E577" s="501"/>
      <c r="F577" s="501"/>
      <c r="G577" s="501"/>
      <c r="H577" s="501"/>
      <c r="I577" s="501"/>
    </row>
    <row r="578">
      <c r="A578" s="501"/>
      <c r="B578" s="501"/>
      <c r="C578" s="501"/>
      <c r="D578" s="501"/>
      <c r="E578" s="501"/>
      <c r="F578" s="501"/>
      <c r="G578" s="501"/>
      <c r="H578" s="501"/>
      <c r="I578" s="501"/>
    </row>
    <row r="579">
      <c r="A579" s="501"/>
      <c r="B579" s="501"/>
      <c r="C579" s="501"/>
      <c r="D579" s="501"/>
      <c r="E579" s="501"/>
      <c r="F579" s="501"/>
      <c r="G579" s="501"/>
      <c r="H579" s="501"/>
      <c r="I579" s="501"/>
    </row>
    <row r="580">
      <c r="A580" s="501"/>
      <c r="B580" s="501"/>
      <c r="C580" s="501"/>
      <c r="D580" s="501"/>
      <c r="E580" s="501"/>
      <c r="F580" s="501"/>
      <c r="G580" s="501"/>
      <c r="H580" s="501"/>
      <c r="I580" s="501"/>
    </row>
    <row r="581">
      <c r="A581" s="501"/>
      <c r="B581" s="501"/>
      <c r="C581" s="501"/>
      <c r="D581" s="501"/>
      <c r="E581" s="501"/>
      <c r="F581" s="501"/>
      <c r="G581" s="501"/>
      <c r="H581" s="501"/>
      <c r="I581" s="501"/>
    </row>
    <row r="582">
      <c r="A582" s="501"/>
      <c r="B582" s="501"/>
      <c r="C582" s="501"/>
      <c r="D582" s="501"/>
      <c r="E582" s="501"/>
      <c r="F582" s="501"/>
      <c r="G582" s="501"/>
      <c r="H582" s="501"/>
      <c r="I582" s="501"/>
    </row>
    <row r="583">
      <c r="A583" s="501"/>
      <c r="B583" s="501"/>
      <c r="C583" s="501"/>
      <c r="D583" s="501"/>
      <c r="E583" s="501"/>
      <c r="F583" s="501"/>
      <c r="G583" s="501"/>
      <c r="H583" s="501"/>
      <c r="I583" s="501"/>
    </row>
    <row r="584">
      <c r="A584" s="501"/>
      <c r="B584" s="501"/>
      <c r="C584" s="501"/>
      <c r="D584" s="501"/>
      <c r="E584" s="501"/>
      <c r="F584" s="501"/>
      <c r="G584" s="501"/>
      <c r="H584" s="501"/>
      <c r="I584" s="501"/>
    </row>
    <row r="585">
      <c r="A585" s="501"/>
      <c r="B585" s="501"/>
      <c r="C585" s="501"/>
      <c r="D585" s="501"/>
      <c r="E585" s="501"/>
      <c r="F585" s="501"/>
      <c r="G585" s="501"/>
      <c r="H585" s="501"/>
      <c r="I585" s="501"/>
    </row>
    <row r="586">
      <c r="A586" s="501"/>
      <c r="B586" s="501"/>
      <c r="C586" s="501"/>
      <c r="D586" s="501"/>
      <c r="E586" s="501"/>
      <c r="F586" s="501"/>
      <c r="G586" s="501"/>
      <c r="H586" s="501"/>
      <c r="I586" s="501"/>
    </row>
    <row r="587">
      <c r="A587" s="501"/>
      <c r="B587" s="501"/>
      <c r="C587" s="501"/>
      <c r="D587" s="501"/>
      <c r="E587" s="501"/>
      <c r="F587" s="501"/>
      <c r="G587" s="501"/>
      <c r="H587" s="501"/>
      <c r="I587" s="501"/>
    </row>
    <row r="588">
      <c r="A588" s="501"/>
      <c r="B588" s="501"/>
      <c r="C588" s="501"/>
      <c r="D588" s="501"/>
      <c r="E588" s="501"/>
      <c r="F588" s="501"/>
      <c r="G588" s="501"/>
      <c r="H588" s="501"/>
      <c r="I588" s="501"/>
    </row>
    <row r="589">
      <c r="A589" s="501"/>
      <c r="B589" s="501"/>
      <c r="C589" s="501"/>
      <c r="D589" s="501"/>
      <c r="E589" s="501"/>
      <c r="F589" s="501"/>
      <c r="G589" s="501"/>
      <c r="H589" s="501"/>
      <c r="I589" s="501"/>
    </row>
    <row r="590">
      <c r="A590" s="501"/>
      <c r="B590" s="501"/>
      <c r="C590" s="501"/>
      <c r="D590" s="501"/>
      <c r="E590" s="501"/>
      <c r="F590" s="501"/>
      <c r="G590" s="501"/>
      <c r="H590" s="501"/>
      <c r="I590" s="501"/>
    </row>
    <row r="591">
      <c r="A591" s="501"/>
      <c r="B591" s="501"/>
      <c r="C591" s="501"/>
      <c r="D591" s="501"/>
      <c r="E591" s="501"/>
      <c r="F591" s="501"/>
      <c r="G591" s="501"/>
      <c r="H591" s="501"/>
      <c r="I591" s="501"/>
    </row>
    <row r="592">
      <c r="A592" s="501"/>
      <c r="B592" s="501"/>
      <c r="C592" s="501"/>
      <c r="D592" s="501"/>
      <c r="E592" s="501"/>
      <c r="F592" s="501"/>
      <c r="G592" s="501"/>
      <c r="H592" s="501"/>
      <c r="I592" s="501"/>
    </row>
    <row r="593">
      <c r="A593" s="501"/>
      <c r="B593" s="501"/>
      <c r="C593" s="501"/>
      <c r="D593" s="501"/>
      <c r="E593" s="501"/>
      <c r="F593" s="501"/>
      <c r="G593" s="501"/>
      <c r="H593" s="501"/>
      <c r="I593" s="501"/>
    </row>
    <row r="594">
      <c r="A594" s="501"/>
      <c r="B594" s="501"/>
      <c r="C594" s="501"/>
      <c r="D594" s="501"/>
      <c r="E594" s="501"/>
      <c r="F594" s="501"/>
      <c r="G594" s="501"/>
      <c r="H594" s="501"/>
      <c r="I594" s="501"/>
    </row>
    <row r="595">
      <c r="A595" s="501"/>
      <c r="B595" s="501"/>
      <c r="C595" s="501"/>
      <c r="D595" s="501"/>
      <c r="E595" s="501"/>
      <c r="F595" s="501"/>
      <c r="G595" s="501"/>
      <c r="H595" s="501"/>
      <c r="I595" s="501"/>
    </row>
    <row r="596">
      <c r="A596" s="501"/>
      <c r="B596" s="501"/>
      <c r="C596" s="501"/>
      <c r="D596" s="501"/>
      <c r="E596" s="501"/>
      <c r="F596" s="501"/>
      <c r="G596" s="501"/>
      <c r="H596" s="501"/>
      <c r="I596" s="501"/>
    </row>
    <row r="597">
      <c r="A597" s="501"/>
      <c r="B597" s="501"/>
      <c r="C597" s="501"/>
      <c r="D597" s="501"/>
      <c r="E597" s="501"/>
      <c r="F597" s="501"/>
      <c r="G597" s="501"/>
      <c r="H597" s="501"/>
      <c r="I597" s="501"/>
    </row>
    <row r="598">
      <c r="A598" s="501"/>
      <c r="B598" s="501"/>
      <c r="C598" s="501"/>
      <c r="D598" s="501"/>
      <c r="E598" s="501"/>
      <c r="F598" s="501"/>
      <c r="G598" s="501"/>
      <c r="H598" s="501"/>
      <c r="I598" s="501"/>
    </row>
    <row r="599">
      <c r="A599" s="501"/>
      <c r="B599" s="501"/>
      <c r="C599" s="501"/>
      <c r="D599" s="501"/>
      <c r="E599" s="501"/>
      <c r="F599" s="501"/>
      <c r="G599" s="501"/>
      <c r="H599" s="501"/>
      <c r="I599" s="501"/>
    </row>
    <row r="600">
      <c r="A600" s="501"/>
      <c r="B600" s="501"/>
      <c r="C600" s="501"/>
      <c r="D600" s="501"/>
      <c r="E600" s="501"/>
      <c r="F600" s="501"/>
      <c r="G600" s="501"/>
      <c r="H600" s="501"/>
      <c r="I600" s="501"/>
    </row>
    <row r="601">
      <c r="A601" s="501"/>
      <c r="B601" s="501"/>
      <c r="C601" s="501"/>
      <c r="D601" s="501"/>
      <c r="E601" s="501"/>
      <c r="F601" s="501"/>
      <c r="G601" s="501"/>
      <c r="H601" s="501"/>
      <c r="I601" s="501"/>
    </row>
    <row r="602">
      <c r="A602" s="501"/>
      <c r="B602" s="501"/>
      <c r="C602" s="501"/>
      <c r="D602" s="501"/>
      <c r="E602" s="501"/>
      <c r="F602" s="501"/>
      <c r="G602" s="501"/>
      <c r="H602" s="501"/>
      <c r="I602" s="501"/>
    </row>
    <row r="603">
      <c r="A603" s="501"/>
      <c r="B603" s="501"/>
      <c r="C603" s="501"/>
      <c r="D603" s="501"/>
      <c r="E603" s="501"/>
      <c r="F603" s="501"/>
      <c r="G603" s="501"/>
      <c r="H603" s="501"/>
      <c r="I603" s="501"/>
    </row>
    <row r="604">
      <c r="A604" s="501"/>
      <c r="B604" s="501"/>
      <c r="C604" s="501"/>
      <c r="D604" s="501"/>
      <c r="E604" s="501"/>
      <c r="F604" s="501"/>
      <c r="G604" s="501"/>
      <c r="H604" s="501"/>
      <c r="I604" s="501"/>
    </row>
    <row r="605">
      <c r="A605" s="501"/>
      <c r="B605" s="501"/>
      <c r="C605" s="501"/>
      <c r="D605" s="501"/>
      <c r="E605" s="501"/>
      <c r="F605" s="501"/>
      <c r="G605" s="501"/>
      <c r="H605" s="501"/>
      <c r="I605" s="501"/>
    </row>
    <row r="606">
      <c r="A606" s="501"/>
      <c r="B606" s="501"/>
      <c r="C606" s="501"/>
      <c r="D606" s="501"/>
      <c r="E606" s="501"/>
      <c r="F606" s="501"/>
      <c r="G606" s="501"/>
      <c r="H606" s="501"/>
      <c r="I606" s="501"/>
    </row>
    <row r="607">
      <c r="A607" s="501"/>
      <c r="B607" s="501"/>
      <c r="C607" s="501"/>
      <c r="D607" s="501"/>
      <c r="E607" s="501"/>
      <c r="F607" s="501"/>
      <c r="G607" s="501"/>
      <c r="H607" s="501"/>
      <c r="I607" s="501"/>
    </row>
    <row r="608">
      <c r="A608" s="501"/>
      <c r="B608" s="501"/>
      <c r="C608" s="501"/>
      <c r="D608" s="501"/>
      <c r="E608" s="501"/>
      <c r="F608" s="501"/>
      <c r="G608" s="501"/>
      <c r="H608" s="501"/>
      <c r="I608" s="501"/>
    </row>
    <row r="609">
      <c r="A609" s="501"/>
      <c r="B609" s="501"/>
      <c r="C609" s="501"/>
      <c r="D609" s="501"/>
      <c r="E609" s="501"/>
      <c r="F609" s="501"/>
      <c r="G609" s="501"/>
      <c r="H609" s="501"/>
      <c r="I609" s="501"/>
    </row>
    <row r="610">
      <c r="A610" s="501"/>
      <c r="B610" s="501"/>
      <c r="C610" s="501"/>
      <c r="D610" s="501"/>
      <c r="E610" s="501"/>
      <c r="F610" s="501"/>
      <c r="G610" s="501"/>
      <c r="H610" s="501"/>
      <c r="I610" s="501"/>
    </row>
    <row r="611">
      <c r="A611" s="501"/>
      <c r="B611" s="501"/>
      <c r="C611" s="501"/>
      <c r="D611" s="501"/>
      <c r="E611" s="501"/>
      <c r="F611" s="501"/>
      <c r="G611" s="501"/>
      <c r="H611" s="501"/>
      <c r="I611" s="501"/>
    </row>
    <row r="612">
      <c r="A612" s="501"/>
      <c r="B612" s="501"/>
      <c r="C612" s="501"/>
      <c r="D612" s="501"/>
      <c r="E612" s="501"/>
      <c r="F612" s="501"/>
      <c r="G612" s="501"/>
      <c r="H612" s="501"/>
      <c r="I612" s="501"/>
    </row>
    <row r="613">
      <c r="A613" s="501"/>
      <c r="B613" s="501"/>
      <c r="C613" s="501"/>
      <c r="D613" s="501"/>
      <c r="E613" s="501"/>
      <c r="F613" s="501"/>
      <c r="G613" s="501"/>
      <c r="H613" s="501"/>
      <c r="I613" s="501"/>
    </row>
    <row r="614">
      <c r="A614" s="501"/>
      <c r="B614" s="501"/>
      <c r="C614" s="501"/>
      <c r="D614" s="501"/>
      <c r="E614" s="501"/>
      <c r="F614" s="501"/>
      <c r="G614" s="501"/>
      <c r="H614" s="501"/>
      <c r="I614" s="501"/>
    </row>
    <row r="615">
      <c r="A615" s="501"/>
      <c r="B615" s="501"/>
      <c r="C615" s="501"/>
      <c r="D615" s="501"/>
      <c r="E615" s="501"/>
      <c r="F615" s="501"/>
      <c r="G615" s="501"/>
      <c r="H615" s="501"/>
      <c r="I615" s="501"/>
    </row>
    <row r="616">
      <c r="A616" s="501"/>
      <c r="B616" s="501"/>
      <c r="C616" s="501"/>
      <c r="D616" s="501"/>
      <c r="E616" s="501"/>
      <c r="F616" s="501"/>
      <c r="G616" s="501"/>
      <c r="H616" s="501"/>
      <c r="I616" s="501"/>
    </row>
    <row r="617">
      <c r="A617" s="501"/>
      <c r="B617" s="501"/>
      <c r="C617" s="501"/>
      <c r="D617" s="501"/>
      <c r="E617" s="501"/>
      <c r="F617" s="501"/>
      <c r="G617" s="501"/>
      <c r="H617" s="501"/>
      <c r="I617" s="501"/>
    </row>
    <row r="618">
      <c r="A618" s="501"/>
      <c r="B618" s="501"/>
      <c r="C618" s="501"/>
      <c r="D618" s="501"/>
      <c r="E618" s="501"/>
      <c r="F618" s="501"/>
      <c r="G618" s="501"/>
      <c r="H618" s="501"/>
      <c r="I618" s="501"/>
    </row>
    <row r="619">
      <c r="A619" s="501"/>
      <c r="B619" s="501"/>
      <c r="C619" s="501"/>
      <c r="D619" s="501"/>
      <c r="E619" s="501"/>
      <c r="F619" s="501"/>
      <c r="G619" s="501"/>
      <c r="H619" s="501"/>
      <c r="I619" s="501"/>
    </row>
    <row r="620">
      <c r="A620" s="501"/>
      <c r="B620" s="501"/>
      <c r="C620" s="501"/>
      <c r="D620" s="501"/>
      <c r="E620" s="501"/>
      <c r="F620" s="501"/>
      <c r="G620" s="501"/>
      <c r="H620" s="501"/>
      <c r="I620" s="501"/>
    </row>
    <row r="621">
      <c r="A621" s="501"/>
      <c r="B621" s="501"/>
      <c r="C621" s="501"/>
      <c r="D621" s="501"/>
      <c r="E621" s="501"/>
      <c r="F621" s="501"/>
      <c r="G621" s="501"/>
      <c r="H621" s="501"/>
      <c r="I621" s="501"/>
    </row>
    <row r="622">
      <c r="A622" s="501"/>
      <c r="B622" s="501"/>
      <c r="C622" s="501"/>
      <c r="D622" s="501"/>
      <c r="E622" s="501"/>
      <c r="F622" s="501"/>
      <c r="G622" s="501"/>
      <c r="H622" s="501"/>
      <c r="I622" s="501"/>
    </row>
    <row r="623">
      <c r="A623" s="501"/>
      <c r="B623" s="501"/>
      <c r="C623" s="501"/>
      <c r="D623" s="501"/>
      <c r="E623" s="501"/>
      <c r="F623" s="501"/>
      <c r="G623" s="501"/>
      <c r="H623" s="501"/>
      <c r="I623" s="501"/>
    </row>
    <row r="624">
      <c r="A624" s="501"/>
      <c r="B624" s="501"/>
      <c r="C624" s="501"/>
      <c r="D624" s="501"/>
      <c r="E624" s="501"/>
      <c r="F624" s="501"/>
      <c r="G624" s="501"/>
      <c r="H624" s="501"/>
      <c r="I624" s="501"/>
    </row>
    <row r="625">
      <c r="A625" s="501"/>
      <c r="B625" s="501"/>
      <c r="C625" s="501"/>
      <c r="D625" s="501"/>
      <c r="E625" s="501"/>
      <c r="F625" s="501"/>
      <c r="G625" s="501"/>
      <c r="H625" s="501"/>
      <c r="I625" s="501"/>
    </row>
    <row r="626">
      <c r="A626" s="501"/>
      <c r="B626" s="501"/>
      <c r="C626" s="501"/>
      <c r="D626" s="501"/>
      <c r="E626" s="501"/>
      <c r="F626" s="501"/>
      <c r="G626" s="501"/>
      <c r="H626" s="501"/>
      <c r="I626" s="501"/>
    </row>
    <row r="627">
      <c r="A627" s="501"/>
      <c r="B627" s="501"/>
      <c r="C627" s="501"/>
      <c r="D627" s="501"/>
      <c r="E627" s="501"/>
      <c r="F627" s="501"/>
      <c r="G627" s="501"/>
      <c r="H627" s="501"/>
      <c r="I627" s="501"/>
    </row>
    <row r="628">
      <c r="A628" s="501"/>
      <c r="B628" s="501"/>
      <c r="C628" s="501"/>
      <c r="D628" s="501"/>
      <c r="E628" s="501"/>
      <c r="F628" s="501"/>
      <c r="G628" s="501"/>
      <c r="H628" s="501"/>
      <c r="I628" s="501"/>
    </row>
    <row r="629">
      <c r="A629" s="501"/>
      <c r="B629" s="501"/>
      <c r="C629" s="501"/>
      <c r="D629" s="501"/>
      <c r="E629" s="501"/>
      <c r="F629" s="501"/>
      <c r="G629" s="501"/>
      <c r="H629" s="501"/>
      <c r="I629" s="501"/>
    </row>
    <row r="630">
      <c r="A630" s="501"/>
      <c r="B630" s="501"/>
      <c r="C630" s="501"/>
      <c r="D630" s="501"/>
      <c r="E630" s="501"/>
      <c r="F630" s="501"/>
      <c r="G630" s="501"/>
      <c r="H630" s="501"/>
      <c r="I630" s="501"/>
    </row>
    <row r="631">
      <c r="A631" s="501"/>
      <c r="B631" s="501"/>
      <c r="C631" s="501"/>
      <c r="D631" s="501"/>
      <c r="E631" s="501"/>
      <c r="F631" s="501"/>
      <c r="G631" s="501"/>
      <c r="H631" s="501"/>
      <c r="I631" s="501"/>
    </row>
    <row r="632">
      <c r="A632" s="501"/>
      <c r="B632" s="501"/>
      <c r="C632" s="501"/>
      <c r="D632" s="501"/>
      <c r="E632" s="501"/>
      <c r="F632" s="501"/>
      <c r="G632" s="501"/>
      <c r="H632" s="501"/>
      <c r="I632" s="501"/>
    </row>
    <row r="633">
      <c r="A633" s="501"/>
      <c r="B633" s="501"/>
      <c r="C633" s="501"/>
      <c r="D633" s="501"/>
      <c r="E633" s="501"/>
      <c r="F633" s="501"/>
      <c r="G633" s="501"/>
      <c r="H633" s="501"/>
      <c r="I633" s="501"/>
    </row>
    <row r="634">
      <c r="A634" s="501"/>
      <c r="B634" s="501"/>
      <c r="C634" s="501"/>
      <c r="D634" s="501"/>
      <c r="E634" s="501"/>
      <c r="F634" s="501"/>
      <c r="G634" s="501"/>
      <c r="H634" s="501"/>
      <c r="I634" s="501"/>
    </row>
    <row r="635">
      <c r="A635" s="501"/>
      <c r="B635" s="501"/>
      <c r="C635" s="501"/>
      <c r="D635" s="501"/>
      <c r="E635" s="501"/>
      <c r="F635" s="501"/>
      <c r="G635" s="501"/>
      <c r="H635" s="501"/>
      <c r="I635" s="501"/>
    </row>
    <row r="636">
      <c r="A636" s="501"/>
      <c r="B636" s="501"/>
      <c r="C636" s="501"/>
      <c r="D636" s="501"/>
      <c r="E636" s="501"/>
      <c r="F636" s="501"/>
      <c r="G636" s="501"/>
      <c r="H636" s="501"/>
      <c r="I636" s="501"/>
    </row>
    <row r="637">
      <c r="A637" s="501"/>
      <c r="B637" s="501"/>
      <c r="C637" s="501"/>
      <c r="D637" s="501"/>
      <c r="E637" s="501"/>
      <c r="F637" s="501"/>
      <c r="G637" s="501"/>
      <c r="H637" s="501"/>
      <c r="I637" s="501"/>
    </row>
    <row r="638">
      <c r="A638" s="501"/>
      <c r="B638" s="501"/>
      <c r="C638" s="501"/>
      <c r="D638" s="501"/>
      <c r="E638" s="501"/>
      <c r="F638" s="501"/>
      <c r="G638" s="501"/>
      <c r="H638" s="501"/>
      <c r="I638" s="501"/>
    </row>
    <row r="639">
      <c r="A639" s="501"/>
      <c r="B639" s="501"/>
      <c r="C639" s="501"/>
      <c r="D639" s="501"/>
      <c r="E639" s="501"/>
      <c r="F639" s="501"/>
      <c r="G639" s="501"/>
      <c r="H639" s="501"/>
      <c r="I639" s="501"/>
    </row>
    <row r="640">
      <c r="A640" s="501"/>
      <c r="B640" s="501"/>
      <c r="C640" s="501"/>
      <c r="D640" s="501"/>
      <c r="E640" s="501"/>
      <c r="F640" s="501"/>
      <c r="G640" s="501"/>
      <c r="H640" s="501"/>
      <c r="I640" s="501"/>
    </row>
    <row r="641">
      <c r="A641" s="501"/>
      <c r="B641" s="501"/>
      <c r="C641" s="501"/>
      <c r="D641" s="501"/>
      <c r="E641" s="501"/>
      <c r="F641" s="501"/>
      <c r="G641" s="501"/>
      <c r="H641" s="501"/>
      <c r="I641" s="501"/>
    </row>
    <row r="642">
      <c r="A642" s="501"/>
      <c r="B642" s="501"/>
      <c r="C642" s="501"/>
      <c r="D642" s="501"/>
      <c r="E642" s="501"/>
      <c r="F642" s="501"/>
      <c r="G642" s="501"/>
      <c r="H642" s="501"/>
      <c r="I642" s="501"/>
    </row>
    <row r="643">
      <c r="A643" s="501"/>
      <c r="B643" s="501"/>
      <c r="C643" s="501"/>
      <c r="D643" s="501"/>
      <c r="E643" s="501"/>
      <c r="F643" s="501"/>
      <c r="G643" s="501"/>
      <c r="H643" s="501"/>
      <c r="I643" s="501"/>
    </row>
    <row r="644">
      <c r="A644" s="501"/>
      <c r="B644" s="501"/>
      <c r="C644" s="501"/>
      <c r="D644" s="501"/>
      <c r="E644" s="501"/>
      <c r="F644" s="501"/>
      <c r="G644" s="501"/>
      <c r="H644" s="501"/>
      <c r="I644" s="501"/>
    </row>
    <row r="645">
      <c r="A645" s="501"/>
      <c r="B645" s="501"/>
      <c r="C645" s="501"/>
      <c r="D645" s="501"/>
      <c r="E645" s="501"/>
      <c r="F645" s="501"/>
      <c r="G645" s="501"/>
      <c r="H645" s="501"/>
      <c r="I645" s="501"/>
    </row>
    <row r="646">
      <c r="A646" s="501"/>
      <c r="B646" s="501"/>
      <c r="C646" s="501"/>
      <c r="D646" s="501"/>
      <c r="E646" s="501"/>
      <c r="F646" s="501"/>
      <c r="G646" s="501"/>
      <c r="H646" s="501"/>
      <c r="I646" s="501"/>
    </row>
    <row r="647">
      <c r="A647" s="501"/>
      <c r="B647" s="501"/>
      <c r="C647" s="501"/>
      <c r="D647" s="501"/>
      <c r="E647" s="501"/>
      <c r="F647" s="501"/>
      <c r="G647" s="501"/>
      <c r="H647" s="501"/>
      <c r="I647" s="501"/>
    </row>
    <row r="648">
      <c r="A648" s="501"/>
      <c r="B648" s="501"/>
      <c r="C648" s="501"/>
      <c r="D648" s="501"/>
      <c r="E648" s="501"/>
      <c r="F648" s="501"/>
      <c r="G648" s="501"/>
      <c r="H648" s="501"/>
      <c r="I648" s="501"/>
    </row>
    <row r="649">
      <c r="A649" s="501"/>
      <c r="B649" s="501"/>
      <c r="C649" s="501"/>
      <c r="D649" s="501"/>
      <c r="E649" s="501"/>
      <c r="F649" s="501"/>
      <c r="G649" s="501"/>
      <c r="H649" s="501"/>
      <c r="I649" s="501"/>
    </row>
    <row r="650">
      <c r="A650" s="501"/>
      <c r="B650" s="501"/>
      <c r="C650" s="501"/>
      <c r="D650" s="501"/>
      <c r="E650" s="501"/>
      <c r="F650" s="501"/>
      <c r="G650" s="501"/>
      <c r="H650" s="501"/>
      <c r="I650" s="501"/>
    </row>
    <row r="651">
      <c r="A651" s="501"/>
      <c r="B651" s="501"/>
      <c r="C651" s="501"/>
      <c r="D651" s="501"/>
      <c r="E651" s="501"/>
      <c r="F651" s="501"/>
      <c r="G651" s="501"/>
      <c r="H651" s="501"/>
      <c r="I651" s="501"/>
    </row>
    <row r="652">
      <c r="A652" s="501"/>
      <c r="B652" s="501"/>
      <c r="C652" s="501"/>
      <c r="D652" s="501"/>
      <c r="E652" s="501"/>
      <c r="F652" s="501"/>
      <c r="G652" s="501"/>
      <c r="H652" s="501"/>
      <c r="I652" s="501"/>
    </row>
    <row r="653">
      <c r="A653" s="501"/>
      <c r="B653" s="501"/>
      <c r="C653" s="501"/>
      <c r="D653" s="501"/>
      <c r="E653" s="501"/>
      <c r="F653" s="501"/>
      <c r="G653" s="501"/>
      <c r="H653" s="501"/>
      <c r="I653" s="501"/>
    </row>
    <row r="654">
      <c r="A654" s="501"/>
      <c r="B654" s="501"/>
      <c r="C654" s="501"/>
      <c r="D654" s="501"/>
      <c r="E654" s="501"/>
      <c r="F654" s="501"/>
      <c r="G654" s="501"/>
      <c r="H654" s="501"/>
      <c r="I654" s="501"/>
    </row>
    <row r="655">
      <c r="A655" s="501"/>
      <c r="B655" s="501"/>
      <c r="C655" s="501"/>
      <c r="D655" s="501"/>
      <c r="E655" s="501"/>
      <c r="F655" s="501"/>
      <c r="G655" s="501"/>
      <c r="H655" s="501"/>
      <c r="I655" s="501"/>
    </row>
    <row r="656">
      <c r="A656" s="501"/>
      <c r="B656" s="501"/>
      <c r="C656" s="501"/>
      <c r="D656" s="501"/>
      <c r="E656" s="501"/>
      <c r="F656" s="501"/>
      <c r="G656" s="501"/>
      <c r="H656" s="501"/>
      <c r="I656" s="501"/>
    </row>
    <row r="657">
      <c r="A657" s="501"/>
      <c r="B657" s="501"/>
      <c r="C657" s="501"/>
      <c r="D657" s="501"/>
      <c r="E657" s="501"/>
      <c r="F657" s="501"/>
      <c r="G657" s="501"/>
      <c r="H657" s="501"/>
      <c r="I657" s="501"/>
    </row>
    <row r="658">
      <c r="A658" s="501"/>
      <c r="B658" s="501"/>
      <c r="C658" s="501"/>
      <c r="D658" s="501"/>
      <c r="E658" s="501"/>
      <c r="F658" s="501"/>
      <c r="G658" s="501"/>
      <c r="H658" s="501"/>
      <c r="I658" s="501"/>
    </row>
    <row r="659">
      <c r="A659" s="501"/>
      <c r="B659" s="501"/>
      <c r="C659" s="501"/>
      <c r="D659" s="501"/>
      <c r="E659" s="501"/>
      <c r="F659" s="501"/>
      <c r="G659" s="501"/>
      <c r="H659" s="501"/>
      <c r="I659" s="501"/>
    </row>
    <row r="660">
      <c r="A660" s="501"/>
      <c r="B660" s="501"/>
      <c r="C660" s="501"/>
      <c r="D660" s="501"/>
      <c r="E660" s="501"/>
      <c r="F660" s="501"/>
      <c r="G660" s="501"/>
      <c r="H660" s="501"/>
      <c r="I660" s="501"/>
    </row>
    <row r="661">
      <c r="A661" s="501"/>
      <c r="B661" s="501"/>
      <c r="C661" s="501"/>
      <c r="D661" s="501"/>
      <c r="E661" s="501"/>
      <c r="F661" s="501"/>
      <c r="G661" s="501"/>
      <c r="H661" s="501"/>
      <c r="I661" s="501"/>
    </row>
    <row r="662">
      <c r="A662" s="501"/>
      <c r="B662" s="501"/>
      <c r="C662" s="501"/>
      <c r="D662" s="501"/>
      <c r="E662" s="501"/>
      <c r="F662" s="501"/>
      <c r="G662" s="501"/>
      <c r="H662" s="501"/>
      <c r="I662" s="501"/>
    </row>
    <row r="663">
      <c r="A663" s="501"/>
      <c r="B663" s="501"/>
      <c r="C663" s="501"/>
      <c r="D663" s="501"/>
      <c r="E663" s="501"/>
      <c r="F663" s="501"/>
      <c r="G663" s="501"/>
      <c r="H663" s="501"/>
      <c r="I663" s="501"/>
    </row>
    <row r="664">
      <c r="A664" s="501"/>
      <c r="B664" s="501"/>
      <c r="C664" s="501"/>
      <c r="D664" s="501"/>
      <c r="E664" s="501"/>
      <c r="F664" s="501"/>
      <c r="G664" s="501"/>
      <c r="H664" s="501"/>
      <c r="I664" s="501"/>
    </row>
    <row r="665">
      <c r="A665" s="501"/>
      <c r="B665" s="501"/>
      <c r="C665" s="501"/>
      <c r="D665" s="501"/>
      <c r="E665" s="501"/>
      <c r="F665" s="501"/>
      <c r="G665" s="501"/>
      <c r="H665" s="501"/>
      <c r="I665" s="501"/>
    </row>
    <row r="666">
      <c r="A666" s="501"/>
      <c r="B666" s="501"/>
      <c r="C666" s="501"/>
      <c r="D666" s="501"/>
      <c r="E666" s="501"/>
      <c r="F666" s="501"/>
      <c r="G666" s="501"/>
      <c r="H666" s="501"/>
      <c r="I666" s="501"/>
    </row>
    <row r="667">
      <c r="A667" s="501"/>
      <c r="B667" s="501"/>
      <c r="C667" s="501"/>
      <c r="D667" s="501"/>
      <c r="E667" s="501"/>
      <c r="F667" s="501"/>
      <c r="G667" s="501"/>
      <c r="H667" s="501"/>
      <c r="I667" s="501"/>
    </row>
    <row r="668">
      <c r="A668" s="501"/>
      <c r="B668" s="501"/>
      <c r="C668" s="501"/>
      <c r="D668" s="501"/>
      <c r="E668" s="501"/>
      <c r="F668" s="501"/>
      <c r="G668" s="501"/>
      <c r="H668" s="501"/>
      <c r="I668" s="501"/>
    </row>
    <row r="669">
      <c r="A669" s="501"/>
      <c r="B669" s="501"/>
      <c r="C669" s="501"/>
      <c r="D669" s="501"/>
      <c r="E669" s="501"/>
      <c r="F669" s="501"/>
      <c r="G669" s="501"/>
      <c r="H669" s="501"/>
      <c r="I669" s="501"/>
    </row>
    <row r="670">
      <c r="A670" s="501"/>
      <c r="B670" s="501"/>
      <c r="C670" s="501"/>
      <c r="D670" s="501"/>
      <c r="E670" s="501"/>
      <c r="F670" s="501"/>
      <c r="G670" s="501"/>
      <c r="H670" s="501"/>
      <c r="I670" s="501"/>
    </row>
    <row r="671">
      <c r="A671" s="501"/>
      <c r="B671" s="501"/>
      <c r="C671" s="501"/>
      <c r="D671" s="501"/>
      <c r="E671" s="501"/>
      <c r="F671" s="501"/>
      <c r="G671" s="501"/>
      <c r="H671" s="501"/>
      <c r="I671" s="501"/>
    </row>
    <row r="672">
      <c r="A672" s="501"/>
      <c r="B672" s="501"/>
      <c r="C672" s="501"/>
      <c r="D672" s="501"/>
      <c r="E672" s="501"/>
      <c r="F672" s="501"/>
      <c r="G672" s="501"/>
      <c r="H672" s="501"/>
      <c r="I672" s="501"/>
    </row>
    <row r="673">
      <c r="A673" s="501"/>
      <c r="B673" s="501"/>
      <c r="C673" s="501"/>
      <c r="D673" s="501"/>
      <c r="E673" s="501"/>
      <c r="F673" s="501"/>
      <c r="G673" s="501"/>
      <c r="H673" s="501"/>
      <c r="I673" s="501"/>
    </row>
    <row r="674">
      <c r="A674" s="501"/>
      <c r="B674" s="501"/>
      <c r="C674" s="501"/>
      <c r="D674" s="501"/>
      <c r="E674" s="501"/>
      <c r="F674" s="501"/>
      <c r="G674" s="501"/>
      <c r="H674" s="501"/>
      <c r="I674" s="501"/>
    </row>
    <row r="675">
      <c r="A675" s="501"/>
      <c r="B675" s="501"/>
      <c r="C675" s="501"/>
      <c r="D675" s="501"/>
      <c r="E675" s="501"/>
      <c r="F675" s="501"/>
      <c r="G675" s="501"/>
      <c r="H675" s="501"/>
      <c r="I675" s="501"/>
    </row>
    <row r="676">
      <c r="A676" s="501"/>
      <c r="B676" s="501"/>
      <c r="C676" s="501"/>
      <c r="D676" s="501"/>
      <c r="E676" s="501"/>
      <c r="F676" s="501"/>
      <c r="G676" s="501"/>
      <c r="H676" s="501"/>
      <c r="I676" s="501"/>
    </row>
    <row r="677">
      <c r="A677" s="501"/>
      <c r="B677" s="501"/>
      <c r="C677" s="501"/>
      <c r="D677" s="501"/>
      <c r="E677" s="501"/>
      <c r="F677" s="501"/>
      <c r="G677" s="501"/>
      <c r="H677" s="501"/>
      <c r="I677" s="501"/>
    </row>
    <row r="678">
      <c r="A678" s="501"/>
      <c r="B678" s="501"/>
      <c r="C678" s="501"/>
      <c r="D678" s="501"/>
      <c r="E678" s="501"/>
      <c r="F678" s="501"/>
      <c r="G678" s="501"/>
      <c r="H678" s="501"/>
      <c r="I678" s="501"/>
    </row>
    <row r="679">
      <c r="A679" s="501"/>
      <c r="B679" s="501"/>
      <c r="C679" s="501"/>
      <c r="D679" s="501"/>
      <c r="E679" s="501"/>
      <c r="F679" s="501"/>
      <c r="G679" s="501"/>
      <c r="H679" s="501"/>
      <c r="I679" s="501"/>
    </row>
    <row r="680">
      <c r="A680" s="501"/>
      <c r="B680" s="501"/>
      <c r="C680" s="501"/>
      <c r="D680" s="501"/>
      <c r="E680" s="501"/>
      <c r="F680" s="501"/>
      <c r="G680" s="501"/>
      <c r="H680" s="501"/>
      <c r="I680" s="501"/>
    </row>
    <row r="681">
      <c r="A681" s="501"/>
      <c r="B681" s="501"/>
      <c r="C681" s="501"/>
      <c r="D681" s="501"/>
      <c r="E681" s="501"/>
      <c r="F681" s="501"/>
      <c r="G681" s="501"/>
      <c r="H681" s="501"/>
      <c r="I681" s="501"/>
    </row>
    <row r="682">
      <c r="A682" s="501"/>
      <c r="B682" s="501"/>
      <c r="C682" s="501"/>
      <c r="D682" s="501"/>
      <c r="E682" s="501"/>
      <c r="F682" s="501"/>
      <c r="G682" s="501"/>
      <c r="H682" s="501"/>
      <c r="I682" s="501"/>
    </row>
    <row r="683">
      <c r="A683" s="501"/>
      <c r="B683" s="501"/>
      <c r="C683" s="501"/>
      <c r="D683" s="501"/>
      <c r="E683" s="501"/>
      <c r="F683" s="501"/>
      <c r="G683" s="501"/>
      <c r="H683" s="501"/>
      <c r="I683" s="501"/>
    </row>
    <row r="684">
      <c r="A684" s="501"/>
      <c r="B684" s="501"/>
      <c r="C684" s="501"/>
      <c r="D684" s="501"/>
      <c r="E684" s="501"/>
      <c r="F684" s="501"/>
      <c r="G684" s="501"/>
      <c r="H684" s="501"/>
      <c r="I684" s="501"/>
    </row>
    <row r="685">
      <c r="A685" s="501"/>
      <c r="B685" s="501"/>
      <c r="C685" s="501"/>
      <c r="D685" s="501"/>
      <c r="E685" s="501"/>
      <c r="F685" s="501"/>
      <c r="G685" s="501"/>
      <c r="H685" s="501"/>
      <c r="I685" s="501"/>
    </row>
    <row r="686">
      <c r="A686" s="501"/>
      <c r="B686" s="501"/>
      <c r="C686" s="501"/>
      <c r="D686" s="501"/>
      <c r="E686" s="501"/>
      <c r="F686" s="501"/>
      <c r="G686" s="501"/>
      <c r="H686" s="501"/>
      <c r="I686" s="501"/>
    </row>
    <row r="687">
      <c r="A687" s="501"/>
      <c r="B687" s="501"/>
      <c r="C687" s="501"/>
      <c r="D687" s="501"/>
      <c r="E687" s="501"/>
      <c r="F687" s="501"/>
      <c r="G687" s="501"/>
      <c r="H687" s="501"/>
      <c r="I687" s="501"/>
    </row>
    <row r="688">
      <c r="A688" s="501"/>
      <c r="B688" s="501"/>
      <c r="C688" s="501"/>
      <c r="D688" s="501"/>
      <c r="E688" s="501"/>
      <c r="F688" s="501"/>
      <c r="G688" s="501"/>
      <c r="H688" s="501"/>
      <c r="I688" s="501"/>
    </row>
    <row r="689">
      <c r="A689" s="501"/>
      <c r="B689" s="501"/>
      <c r="C689" s="501"/>
      <c r="D689" s="501"/>
      <c r="E689" s="501"/>
      <c r="F689" s="501"/>
      <c r="G689" s="501"/>
      <c r="H689" s="501"/>
      <c r="I689" s="501"/>
    </row>
    <row r="690">
      <c r="A690" s="501"/>
      <c r="B690" s="501"/>
      <c r="C690" s="501"/>
      <c r="D690" s="501"/>
      <c r="E690" s="501"/>
      <c r="F690" s="501"/>
      <c r="G690" s="501"/>
      <c r="H690" s="501"/>
      <c r="I690" s="501"/>
    </row>
    <row r="691">
      <c r="A691" s="501"/>
      <c r="B691" s="501"/>
      <c r="C691" s="501"/>
      <c r="D691" s="501"/>
      <c r="E691" s="501"/>
      <c r="F691" s="501"/>
      <c r="G691" s="501"/>
      <c r="H691" s="501"/>
      <c r="I691" s="501"/>
    </row>
    <row r="692">
      <c r="A692" s="501"/>
      <c r="B692" s="501"/>
      <c r="C692" s="501"/>
      <c r="D692" s="501"/>
      <c r="E692" s="501"/>
      <c r="F692" s="501"/>
      <c r="G692" s="501"/>
      <c r="H692" s="501"/>
      <c r="I692" s="501"/>
    </row>
    <row r="693">
      <c r="A693" s="501"/>
      <c r="B693" s="501"/>
      <c r="C693" s="501"/>
      <c r="D693" s="501"/>
      <c r="E693" s="501"/>
      <c r="F693" s="501"/>
      <c r="G693" s="501"/>
      <c r="H693" s="501"/>
      <c r="I693" s="501"/>
    </row>
    <row r="694">
      <c r="A694" s="501"/>
      <c r="B694" s="501"/>
      <c r="C694" s="501"/>
      <c r="D694" s="501"/>
      <c r="E694" s="501"/>
      <c r="F694" s="501"/>
      <c r="G694" s="501"/>
      <c r="H694" s="501"/>
      <c r="I694" s="501"/>
    </row>
    <row r="695">
      <c r="A695" s="501"/>
      <c r="B695" s="501"/>
      <c r="C695" s="501"/>
      <c r="D695" s="501"/>
      <c r="E695" s="501"/>
      <c r="F695" s="501"/>
      <c r="G695" s="501"/>
      <c r="H695" s="501"/>
      <c r="I695" s="501"/>
    </row>
    <row r="696">
      <c r="A696" s="501"/>
      <c r="B696" s="501"/>
      <c r="C696" s="501"/>
      <c r="D696" s="501"/>
      <c r="E696" s="501"/>
      <c r="F696" s="501"/>
      <c r="G696" s="501"/>
      <c r="H696" s="501"/>
      <c r="I696" s="501"/>
    </row>
    <row r="697">
      <c r="A697" s="501"/>
      <c r="B697" s="501"/>
      <c r="C697" s="501"/>
      <c r="D697" s="501"/>
      <c r="E697" s="501"/>
      <c r="F697" s="501"/>
      <c r="G697" s="501"/>
      <c r="H697" s="501"/>
      <c r="I697" s="501"/>
    </row>
    <row r="698">
      <c r="A698" s="501"/>
      <c r="B698" s="501"/>
      <c r="C698" s="501"/>
      <c r="D698" s="501"/>
      <c r="E698" s="501"/>
      <c r="F698" s="501"/>
      <c r="G698" s="501"/>
      <c r="H698" s="501"/>
      <c r="I698" s="501"/>
    </row>
    <row r="699">
      <c r="A699" s="501"/>
      <c r="B699" s="501"/>
      <c r="C699" s="501"/>
      <c r="D699" s="501"/>
      <c r="E699" s="501"/>
      <c r="F699" s="501"/>
      <c r="G699" s="501"/>
      <c r="H699" s="501"/>
      <c r="I699" s="501"/>
    </row>
    <row r="700">
      <c r="A700" s="501"/>
      <c r="B700" s="501"/>
      <c r="C700" s="501"/>
      <c r="D700" s="501"/>
      <c r="E700" s="501"/>
      <c r="F700" s="501"/>
      <c r="G700" s="501"/>
      <c r="H700" s="501"/>
      <c r="I700" s="501"/>
    </row>
    <row r="701">
      <c r="A701" s="501"/>
      <c r="B701" s="501"/>
      <c r="C701" s="501"/>
      <c r="D701" s="501"/>
      <c r="E701" s="501"/>
      <c r="F701" s="501"/>
      <c r="G701" s="501"/>
      <c r="H701" s="501"/>
      <c r="I701" s="501"/>
    </row>
    <row r="702">
      <c r="A702" s="501"/>
      <c r="B702" s="501"/>
      <c r="C702" s="501"/>
      <c r="D702" s="501"/>
      <c r="E702" s="501"/>
      <c r="F702" s="501"/>
      <c r="G702" s="501"/>
      <c r="H702" s="501"/>
      <c r="I702" s="501"/>
    </row>
    <row r="703">
      <c r="A703" s="501"/>
      <c r="B703" s="501"/>
      <c r="C703" s="501"/>
      <c r="D703" s="501"/>
      <c r="E703" s="501"/>
      <c r="F703" s="501"/>
      <c r="G703" s="501"/>
      <c r="H703" s="501"/>
      <c r="I703" s="501"/>
    </row>
    <row r="704">
      <c r="A704" s="501"/>
      <c r="B704" s="501"/>
      <c r="C704" s="501"/>
      <c r="D704" s="501"/>
      <c r="E704" s="501"/>
      <c r="F704" s="501"/>
      <c r="G704" s="501"/>
      <c r="H704" s="501"/>
      <c r="I704" s="501"/>
    </row>
    <row r="705">
      <c r="A705" s="501"/>
      <c r="B705" s="501"/>
      <c r="C705" s="501"/>
      <c r="D705" s="501"/>
      <c r="E705" s="501"/>
      <c r="F705" s="501"/>
      <c r="G705" s="501"/>
      <c r="H705" s="501"/>
      <c r="I705" s="501"/>
    </row>
    <row r="706">
      <c r="A706" s="501"/>
      <c r="B706" s="501"/>
      <c r="C706" s="501"/>
      <c r="D706" s="501"/>
      <c r="E706" s="501"/>
      <c r="F706" s="501"/>
      <c r="G706" s="501"/>
      <c r="H706" s="501"/>
      <c r="I706" s="501"/>
    </row>
    <row r="707">
      <c r="A707" s="501"/>
      <c r="B707" s="501"/>
      <c r="C707" s="501"/>
      <c r="D707" s="501"/>
      <c r="E707" s="501"/>
      <c r="F707" s="501"/>
      <c r="G707" s="501"/>
      <c r="H707" s="501"/>
      <c r="I707" s="501"/>
    </row>
    <row r="708">
      <c r="A708" s="501"/>
      <c r="B708" s="501"/>
      <c r="C708" s="501"/>
      <c r="D708" s="501"/>
      <c r="E708" s="501"/>
      <c r="F708" s="501"/>
      <c r="G708" s="501"/>
      <c r="H708" s="501"/>
      <c r="I708" s="501"/>
    </row>
    <row r="709">
      <c r="A709" s="501"/>
      <c r="B709" s="501"/>
      <c r="C709" s="501"/>
      <c r="D709" s="501"/>
      <c r="E709" s="501"/>
      <c r="F709" s="501"/>
      <c r="G709" s="501"/>
      <c r="H709" s="501"/>
      <c r="I709" s="501"/>
    </row>
    <row r="710">
      <c r="A710" s="501"/>
      <c r="B710" s="501"/>
      <c r="C710" s="501"/>
      <c r="D710" s="501"/>
      <c r="E710" s="501"/>
      <c r="F710" s="501"/>
      <c r="G710" s="501"/>
      <c r="H710" s="501"/>
      <c r="I710" s="501"/>
    </row>
    <row r="711">
      <c r="A711" s="501"/>
      <c r="B711" s="501"/>
      <c r="C711" s="501"/>
      <c r="D711" s="501"/>
      <c r="E711" s="501"/>
      <c r="F711" s="501"/>
      <c r="G711" s="501"/>
      <c r="H711" s="501"/>
      <c r="I711" s="501"/>
    </row>
    <row r="712">
      <c r="A712" s="501"/>
      <c r="B712" s="501"/>
      <c r="C712" s="501"/>
      <c r="D712" s="501"/>
      <c r="E712" s="501"/>
      <c r="F712" s="501"/>
      <c r="G712" s="501"/>
      <c r="H712" s="501"/>
      <c r="I712" s="501"/>
    </row>
    <row r="713">
      <c r="A713" s="501"/>
      <c r="B713" s="501"/>
      <c r="C713" s="501"/>
      <c r="D713" s="501"/>
      <c r="E713" s="501"/>
      <c r="F713" s="501"/>
      <c r="G713" s="501"/>
      <c r="H713" s="501"/>
      <c r="I713" s="501"/>
    </row>
    <row r="714">
      <c r="A714" s="501"/>
      <c r="B714" s="501"/>
      <c r="C714" s="501"/>
      <c r="D714" s="501"/>
      <c r="E714" s="501"/>
      <c r="F714" s="501"/>
      <c r="G714" s="501"/>
      <c r="H714" s="501"/>
      <c r="I714" s="501"/>
    </row>
    <row r="715">
      <c r="A715" s="501"/>
      <c r="B715" s="501"/>
      <c r="C715" s="501"/>
      <c r="D715" s="501"/>
      <c r="E715" s="501"/>
      <c r="F715" s="501"/>
      <c r="G715" s="501"/>
      <c r="H715" s="501"/>
      <c r="I715" s="501"/>
    </row>
    <row r="716">
      <c r="A716" s="501"/>
      <c r="B716" s="501"/>
      <c r="C716" s="501"/>
      <c r="D716" s="501"/>
      <c r="E716" s="501"/>
      <c r="F716" s="501"/>
      <c r="G716" s="501"/>
      <c r="H716" s="501"/>
      <c r="I716" s="501"/>
    </row>
    <row r="717">
      <c r="A717" s="501"/>
      <c r="B717" s="501"/>
      <c r="C717" s="501"/>
      <c r="D717" s="501"/>
      <c r="E717" s="501"/>
      <c r="F717" s="501"/>
      <c r="G717" s="501"/>
      <c r="H717" s="501"/>
      <c r="I717" s="501"/>
    </row>
    <row r="718">
      <c r="A718" s="501"/>
      <c r="B718" s="501"/>
      <c r="C718" s="501"/>
      <c r="D718" s="501"/>
      <c r="E718" s="501"/>
      <c r="F718" s="501"/>
      <c r="G718" s="501"/>
      <c r="H718" s="501"/>
      <c r="I718" s="501"/>
    </row>
    <row r="719">
      <c r="A719" s="501"/>
      <c r="B719" s="501"/>
      <c r="C719" s="501"/>
      <c r="D719" s="501"/>
      <c r="E719" s="501"/>
      <c r="F719" s="501"/>
      <c r="G719" s="501"/>
      <c r="H719" s="501"/>
      <c r="I719" s="501"/>
    </row>
    <row r="720">
      <c r="A720" s="501"/>
      <c r="B720" s="501"/>
      <c r="C720" s="501"/>
      <c r="D720" s="501"/>
      <c r="E720" s="501"/>
      <c r="F720" s="501"/>
      <c r="G720" s="501"/>
      <c r="H720" s="501"/>
      <c r="I720" s="501"/>
    </row>
    <row r="721">
      <c r="A721" s="501"/>
      <c r="B721" s="501"/>
      <c r="C721" s="501"/>
      <c r="D721" s="501"/>
      <c r="E721" s="501"/>
      <c r="F721" s="501"/>
      <c r="G721" s="501"/>
      <c r="H721" s="501"/>
      <c r="I721" s="501"/>
    </row>
    <row r="722">
      <c r="A722" s="501"/>
      <c r="B722" s="501"/>
      <c r="C722" s="501"/>
      <c r="D722" s="501"/>
      <c r="E722" s="501"/>
      <c r="F722" s="501"/>
      <c r="G722" s="501"/>
      <c r="H722" s="501"/>
      <c r="I722" s="501"/>
    </row>
    <row r="723">
      <c r="A723" s="501"/>
      <c r="B723" s="501"/>
      <c r="C723" s="501"/>
      <c r="D723" s="501"/>
      <c r="E723" s="501"/>
      <c r="F723" s="501"/>
      <c r="G723" s="501"/>
      <c r="H723" s="501"/>
      <c r="I723" s="501"/>
    </row>
    <row r="724">
      <c r="A724" s="501"/>
      <c r="B724" s="501"/>
      <c r="C724" s="501"/>
      <c r="D724" s="501"/>
      <c r="E724" s="501"/>
      <c r="F724" s="501"/>
      <c r="G724" s="501"/>
      <c r="H724" s="501"/>
      <c r="I724" s="501"/>
    </row>
    <row r="725">
      <c r="A725" s="501"/>
      <c r="B725" s="501"/>
      <c r="C725" s="501"/>
      <c r="D725" s="501"/>
      <c r="E725" s="501"/>
      <c r="F725" s="501"/>
      <c r="G725" s="501"/>
      <c r="H725" s="501"/>
      <c r="I725" s="501"/>
    </row>
    <row r="726">
      <c r="A726" s="501"/>
      <c r="B726" s="501"/>
      <c r="C726" s="501"/>
      <c r="D726" s="501"/>
      <c r="E726" s="501"/>
      <c r="F726" s="501"/>
      <c r="G726" s="501"/>
      <c r="H726" s="501"/>
      <c r="I726" s="501"/>
    </row>
    <row r="727">
      <c r="A727" s="501"/>
      <c r="B727" s="501"/>
      <c r="C727" s="501"/>
      <c r="D727" s="501"/>
      <c r="E727" s="501"/>
      <c r="F727" s="501"/>
      <c r="G727" s="501"/>
      <c r="H727" s="501"/>
      <c r="I727" s="501"/>
    </row>
    <row r="728">
      <c r="A728" s="501"/>
      <c r="B728" s="501"/>
      <c r="C728" s="501"/>
      <c r="D728" s="501"/>
      <c r="E728" s="501"/>
      <c r="F728" s="501"/>
      <c r="G728" s="501"/>
      <c r="H728" s="501"/>
      <c r="I728" s="501"/>
    </row>
    <row r="729">
      <c r="A729" s="501"/>
      <c r="B729" s="501"/>
      <c r="C729" s="501"/>
      <c r="D729" s="501"/>
      <c r="E729" s="501"/>
      <c r="F729" s="501"/>
      <c r="G729" s="501"/>
      <c r="H729" s="501"/>
      <c r="I729" s="501"/>
    </row>
    <row r="730">
      <c r="A730" s="501"/>
      <c r="B730" s="501"/>
      <c r="C730" s="501"/>
      <c r="D730" s="501"/>
      <c r="E730" s="501"/>
      <c r="F730" s="501"/>
      <c r="G730" s="501"/>
      <c r="H730" s="501"/>
      <c r="I730" s="501"/>
    </row>
    <row r="731">
      <c r="A731" s="501"/>
      <c r="B731" s="501"/>
      <c r="C731" s="501"/>
      <c r="D731" s="501"/>
      <c r="E731" s="501"/>
      <c r="F731" s="501"/>
      <c r="G731" s="501"/>
      <c r="H731" s="501"/>
      <c r="I731" s="501"/>
    </row>
    <row r="732">
      <c r="A732" s="501"/>
      <c r="B732" s="501"/>
      <c r="C732" s="501"/>
      <c r="D732" s="501"/>
      <c r="E732" s="501"/>
      <c r="F732" s="501"/>
      <c r="G732" s="501"/>
      <c r="H732" s="501"/>
      <c r="I732" s="501"/>
    </row>
    <row r="733">
      <c r="A733" s="501"/>
      <c r="B733" s="501"/>
      <c r="C733" s="501"/>
      <c r="D733" s="501"/>
      <c r="E733" s="501"/>
      <c r="F733" s="501"/>
      <c r="G733" s="501"/>
      <c r="H733" s="501"/>
      <c r="I733" s="501"/>
    </row>
    <row r="734">
      <c r="A734" s="501"/>
      <c r="B734" s="501"/>
      <c r="C734" s="501"/>
      <c r="D734" s="501"/>
      <c r="E734" s="501"/>
      <c r="F734" s="501"/>
      <c r="G734" s="501"/>
      <c r="H734" s="501"/>
      <c r="I734" s="501"/>
    </row>
    <row r="735">
      <c r="A735" s="501"/>
      <c r="B735" s="501"/>
      <c r="C735" s="501"/>
      <c r="D735" s="501"/>
      <c r="E735" s="501"/>
      <c r="F735" s="501"/>
      <c r="G735" s="501"/>
      <c r="H735" s="501"/>
      <c r="I735" s="501"/>
    </row>
    <row r="736">
      <c r="A736" s="501"/>
      <c r="B736" s="501"/>
      <c r="C736" s="501"/>
      <c r="D736" s="501"/>
      <c r="E736" s="501"/>
      <c r="F736" s="501"/>
      <c r="G736" s="501"/>
      <c r="H736" s="501"/>
      <c r="I736" s="501"/>
    </row>
    <row r="737">
      <c r="A737" s="501"/>
      <c r="B737" s="501"/>
      <c r="C737" s="501"/>
      <c r="D737" s="501"/>
      <c r="E737" s="501"/>
      <c r="F737" s="501"/>
      <c r="G737" s="501"/>
      <c r="H737" s="501"/>
      <c r="I737" s="501"/>
    </row>
    <row r="738">
      <c r="A738" s="501"/>
      <c r="B738" s="501"/>
      <c r="C738" s="501"/>
      <c r="D738" s="501"/>
      <c r="E738" s="501"/>
      <c r="F738" s="501"/>
      <c r="G738" s="501"/>
      <c r="H738" s="501"/>
      <c r="I738" s="501"/>
    </row>
    <row r="739">
      <c r="A739" s="501"/>
      <c r="B739" s="501"/>
      <c r="C739" s="501"/>
      <c r="D739" s="501"/>
      <c r="E739" s="501"/>
      <c r="F739" s="501"/>
      <c r="G739" s="501"/>
      <c r="H739" s="501"/>
      <c r="I739" s="501"/>
    </row>
    <row r="740">
      <c r="A740" s="501"/>
      <c r="B740" s="501"/>
      <c r="C740" s="501"/>
      <c r="D740" s="501"/>
      <c r="E740" s="501"/>
      <c r="F740" s="501"/>
      <c r="G740" s="501"/>
      <c r="H740" s="501"/>
      <c r="I740" s="501"/>
    </row>
    <row r="741">
      <c r="A741" s="501"/>
      <c r="B741" s="501"/>
      <c r="C741" s="501"/>
      <c r="D741" s="501"/>
      <c r="E741" s="501"/>
      <c r="F741" s="501"/>
      <c r="G741" s="501"/>
      <c r="H741" s="501"/>
      <c r="I741" s="501"/>
    </row>
    <row r="742">
      <c r="A742" s="501"/>
      <c r="B742" s="501"/>
      <c r="C742" s="501"/>
      <c r="D742" s="501"/>
      <c r="E742" s="501"/>
      <c r="F742" s="501"/>
      <c r="G742" s="501"/>
      <c r="H742" s="501"/>
      <c r="I742" s="501"/>
    </row>
    <row r="743">
      <c r="A743" s="501"/>
      <c r="B743" s="501"/>
      <c r="C743" s="501"/>
      <c r="D743" s="501"/>
      <c r="E743" s="501"/>
      <c r="F743" s="501"/>
      <c r="G743" s="501"/>
      <c r="H743" s="501"/>
      <c r="I743" s="501"/>
    </row>
    <row r="744">
      <c r="A744" s="501"/>
      <c r="B744" s="501"/>
      <c r="C744" s="501"/>
      <c r="D744" s="501"/>
      <c r="E744" s="501"/>
      <c r="F744" s="501"/>
      <c r="G744" s="501"/>
      <c r="H744" s="501"/>
      <c r="I744" s="501"/>
    </row>
    <row r="745">
      <c r="A745" s="501"/>
      <c r="B745" s="501"/>
      <c r="C745" s="501"/>
      <c r="D745" s="501"/>
      <c r="E745" s="501"/>
      <c r="F745" s="501"/>
      <c r="G745" s="501"/>
      <c r="H745" s="501"/>
      <c r="I745" s="501"/>
    </row>
    <row r="746">
      <c r="A746" s="501"/>
      <c r="B746" s="501"/>
      <c r="C746" s="501"/>
      <c r="D746" s="501"/>
      <c r="E746" s="501"/>
      <c r="F746" s="501"/>
      <c r="G746" s="501"/>
      <c r="H746" s="501"/>
      <c r="I746" s="501"/>
    </row>
    <row r="747">
      <c r="A747" s="501"/>
      <c r="B747" s="501"/>
      <c r="C747" s="501"/>
      <c r="D747" s="501"/>
      <c r="E747" s="501"/>
      <c r="F747" s="501"/>
      <c r="G747" s="501"/>
      <c r="H747" s="501"/>
      <c r="I747" s="501"/>
    </row>
    <row r="748">
      <c r="A748" s="501"/>
      <c r="B748" s="501"/>
      <c r="C748" s="501"/>
      <c r="D748" s="501"/>
      <c r="E748" s="501"/>
      <c r="F748" s="501"/>
      <c r="G748" s="501"/>
      <c r="H748" s="501"/>
      <c r="I748" s="501"/>
    </row>
    <row r="749">
      <c r="A749" s="501"/>
      <c r="B749" s="501"/>
      <c r="C749" s="501"/>
      <c r="D749" s="501"/>
      <c r="E749" s="501"/>
      <c r="F749" s="501"/>
      <c r="G749" s="501"/>
      <c r="H749" s="501"/>
      <c r="I749" s="501"/>
    </row>
    <row r="750">
      <c r="A750" s="501"/>
      <c r="B750" s="501"/>
      <c r="C750" s="501"/>
      <c r="D750" s="501"/>
      <c r="E750" s="501"/>
      <c r="F750" s="501"/>
      <c r="G750" s="501"/>
      <c r="H750" s="501"/>
      <c r="I750" s="501"/>
    </row>
    <row r="751">
      <c r="A751" s="501"/>
      <c r="B751" s="501"/>
      <c r="C751" s="501"/>
      <c r="D751" s="501"/>
      <c r="E751" s="501"/>
      <c r="F751" s="501"/>
      <c r="G751" s="501"/>
      <c r="H751" s="501"/>
      <c r="I751" s="501"/>
    </row>
    <row r="752">
      <c r="A752" s="501"/>
      <c r="B752" s="501"/>
      <c r="C752" s="501"/>
      <c r="D752" s="501"/>
      <c r="E752" s="501"/>
      <c r="F752" s="501"/>
      <c r="G752" s="501"/>
      <c r="H752" s="501"/>
      <c r="I752" s="501"/>
    </row>
    <row r="753">
      <c r="A753" s="501"/>
      <c r="B753" s="501"/>
      <c r="C753" s="501"/>
      <c r="D753" s="501"/>
      <c r="E753" s="501"/>
      <c r="F753" s="501"/>
      <c r="G753" s="501"/>
      <c r="H753" s="501"/>
      <c r="I753" s="501"/>
    </row>
    <row r="754">
      <c r="A754" s="501"/>
      <c r="B754" s="501"/>
      <c r="C754" s="501"/>
      <c r="D754" s="501"/>
      <c r="E754" s="501"/>
      <c r="F754" s="501"/>
      <c r="G754" s="501"/>
      <c r="H754" s="501"/>
      <c r="I754" s="501"/>
    </row>
    <row r="755">
      <c r="A755" s="501"/>
      <c r="B755" s="501"/>
      <c r="C755" s="501"/>
      <c r="D755" s="501"/>
      <c r="E755" s="501"/>
      <c r="F755" s="501"/>
      <c r="G755" s="501"/>
      <c r="H755" s="501"/>
      <c r="I755" s="501"/>
    </row>
    <row r="756">
      <c r="A756" s="501"/>
      <c r="B756" s="501"/>
      <c r="C756" s="501"/>
      <c r="D756" s="501"/>
      <c r="E756" s="501"/>
      <c r="F756" s="501"/>
      <c r="G756" s="501"/>
      <c r="H756" s="501"/>
      <c r="I756" s="501"/>
    </row>
    <row r="757">
      <c r="A757" s="501"/>
      <c r="B757" s="501"/>
      <c r="C757" s="501"/>
      <c r="D757" s="501"/>
      <c r="E757" s="501"/>
      <c r="F757" s="501"/>
      <c r="G757" s="501"/>
      <c r="H757" s="501"/>
      <c r="I757" s="501"/>
    </row>
    <row r="758">
      <c r="A758" s="501"/>
      <c r="B758" s="501"/>
      <c r="C758" s="501"/>
      <c r="D758" s="501"/>
      <c r="E758" s="501"/>
      <c r="F758" s="501"/>
      <c r="G758" s="501"/>
      <c r="H758" s="501"/>
      <c r="I758" s="501"/>
    </row>
    <row r="759">
      <c r="A759" s="501"/>
      <c r="B759" s="501"/>
      <c r="C759" s="501"/>
      <c r="D759" s="501"/>
      <c r="E759" s="501"/>
      <c r="F759" s="501"/>
      <c r="G759" s="501"/>
      <c r="H759" s="501"/>
      <c r="I759" s="501"/>
    </row>
    <row r="760">
      <c r="A760" s="501"/>
      <c r="B760" s="501"/>
      <c r="C760" s="501"/>
      <c r="D760" s="501"/>
      <c r="E760" s="501"/>
      <c r="F760" s="501"/>
      <c r="G760" s="501"/>
      <c r="H760" s="501"/>
      <c r="I760" s="501"/>
    </row>
    <row r="761">
      <c r="A761" s="501"/>
      <c r="B761" s="501"/>
      <c r="C761" s="501"/>
      <c r="D761" s="501"/>
      <c r="E761" s="501"/>
      <c r="F761" s="501"/>
      <c r="G761" s="501"/>
      <c r="H761" s="501"/>
      <c r="I761" s="501"/>
    </row>
    <row r="762">
      <c r="A762" s="501"/>
      <c r="B762" s="501"/>
      <c r="C762" s="501"/>
      <c r="D762" s="501"/>
      <c r="E762" s="501"/>
      <c r="F762" s="501"/>
      <c r="G762" s="501"/>
      <c r="H762" s="501"/>
      <c r="I762" s="501"/>
    </row>
    <row r="763">
      <c r="A763" s="501"/>
      <c r="B763" s="501"/>
      <c r="C763" s="501"/>
      <c r="D763" s="501"/>
      <c r="E763" s="501"/>
      <c r="F763" s="501"/>
      <c r="G763" s="501"/>
      <c r="H763" s="501"/>
      <c r="I763" s="501"/>
    </row>
    <row r="764">
      <c r="A764" s="501"/>
      <c r="B764" s="501"/>
      <c r="C764" s="501"/>
      <c r="D764" s="501"/>
      <c r="E764" s="501"/>
      <c r="F764" s="501"/>
      <c r="G764" s="501"/>
      <c r="H764" s="501"/>
      <c r="I764" s="501"/>
    </row>
    <row r="765">
      <c r="A765" s="501"/>
      <c r="B765" s="501"/>
      <c r="C765" s="501"/>
      <c r="D765" s="501"/>
      <c r="E765" s="501"/>
      <c r="F765" s="501"/>
      <c r="G765" s="501"/>
      <c r="H765" s="501"/>
      <c r="I765" s="501"/>
    </row>
    <row r="766">
      <c r="A766" s="501"/>
      <c r="B766" s="501"/>
      <c r="C766" s="501"/>
      <c r="D766" s="501"/>
      <c r="E766" s="501"/>
      <c r="F766" s="501"/>
      <c r="G766" s="501"/>
      <c r="H766" s="501"/>
      <c r="I766" s="501"/>
    </row>
    <row r="767">
      <c r="A767" s="501"/>
      <c r="B767" s="501"/>
      <c r="C767" s="501"/>
      <c r="D767" s="501"/>
      <c r="E767" s="501"/>
      <c r="F767" s="501"/>
      <c r="G767" s="501"/>
      <c r="H767" s="501"/>
      <c r="I767" s="501"/>
    </row>
    <row r="768">
      <c r="A768" s="501"/>
      <c r="B768" s="501"/>
      <c r="C768" s="501"/>
      <c r="D768" s="501"/>
      <c r="E768" s="501"/>
      <c r="F768" s="501"/>
      <c r="G768" s="501"/>
      <c r="H768" s="501"/>
      <c r="I768" s="501"/>
    </row>
    <row r="769">
      <c r="A769" s="501"/>
      <c r="B769" s="501"/>
      <c r="C769" s="501"/>
      <c r="D769" s="501"/>
      <c r="E769" s="501"/>
      <c r="F769" s="501"/>
      <c r="G769" s="501"/>
      <c r="H769" s="501"/>
      <c r="I769" s="501"/>
    </row>
    <row r="770">
      <c r="A770" s="501"/>
      <c r="B770" s="501"/>
      <c r="C770" s="501"/>
      <c r="D770" s="501"/>
      <c r="E770" s="501"/>
      <c r="F770" s="501"/>
      <c r="G770" s="501"/>
      <c r="H770" s="501"/>
      <c r="I770" s="501"/>
    </row>
    <row r="771">
      <c r="A771" s="501"/>
      <c r="B771" s="501"/>
      <c r="C771" s="501"/>
      <c r="D771" s="501"/>
      <c r="E771" s="501"/>
      <c r="F771" s="501"/>
      <c r="G771" s="501"/>
      <c r="H771" s="501"/>
      <c r="I771" s="501"/>
    </row>
    <row r="772">
      <c r="A772" s="501"/>
      <c r="B772" s="501"/>
      <c r="C772" s="501"/>
      <c r="D772" s="501"/>
      <c r="E772" s="501"/>
      <c r="F772" s="501"/>
      <c r="G772" s="501"/>
      <c r="H772" s="501"/>
      <c r="I772" s="501"/>
    </row>
    <row r="773">
      <c r="A773" s="501"/>
      <c r="B773" s="501"/>
      <c r="C773" s="501"/>
      <c r="D773" s="501"/>
      <c r="E773" s="501"/>
      <c r="F773" s="501"/>
      <c r="G773" s="501"/>
      <c r="H773" s="501"/>
      <c r="I773" s="501"/>
    </row>
    <row r="774">
      <c r="A774" s="501"/>
      <c r="B774" s="501"/>
      <c r="C774" s="501"/>
      <c r="D774" s="501"/>
      <c r="E774" s="501"/>
      <c r="F774" s="501"/>
      <c r="G774" s="501"/>
      <c r="H774" s="501"/>
      <c r="I774" s="501"/>
    </row>
    <row r="775">
      <c r="A775" s="501"/>
      <c r="B775" s="501"/>
      <c r="C775" s="501"/>
      <c r="D775" s="501"/>
      <c r="E775" s="501"/>
      <c r="F775" s="501"/>
      <c r="G775" s="501"/>
      <c r="H775" s="501"/>
      <c r="I775" s="501"/>
    </row>
    <row r="776">
      <c r="A776" s="501"/>
      <c r="B776" s="501"/>
      <c r="C776" s="501"/>
      <c r="D776" s="501"/>
      <c r="E776" s="501"/>
      <c r="F776" s="501"/>
      <c r="G776" s="501"/>
      <c r="H776" s="501"/>
      <c r="I776" s="501"/>
    </row>
    <row r="777">
      <c r="A777" s="501"/>
      <c r="B777" s="501"/>
      <c r="C777" s="501"/>
      <c r="D777" s="501"/>
      <c r="E777" s="501"/>
      <c r="F777" s="501"/>
      <c r="G777" s="501"/>
      <c r="H777" s="501"/>
      <c r="I777" s="501"/>
    </row>
    <row r="778">
      <c r="A778" s="501"/>
      <c r="B778" s="501"/>
      <c r="C778" s="501"/>
      <c r="D778" s="501"/>
      <c r="E778" s="501"/>
      <c r="F778" s="501"/>
      <c r="G778" s="501"/>
      <c r="H778" s="501"/>
      <c r="I778" s="501"/>
    </row>
    <row r="779">
      <c r="A779" s="501"/>
      <c r="B779" s="501"/>
      <c r="C779" s="501"/>
      <c r="D779" s="501"/>
      <c r="E779" s="501"/>
      <c r="F779" s="501"/>
      <c r="G779" s="501"/>
      <c r="H779" s="501"/>
      <c r="I779" s="501"/>
    </row>
    <row r="780">
      <c r="A780" s="501"/>
      <c r="B780" s="501"/>
      <c r="C780" s="501"/>
      <c r="D780" s="501"/>
      <c r="E780" s="501"/>
      <c r="F780" s="501"/>
      <c r="G780" s="501"/>
      <c r="H780" s="501"/>
      <c r="I780" s="501"/>
    </row>
    <row r="781">
      <c r="A781" s="501"/>
      <c r="B781" s="501"/>
      <c r="C781" s="501"/>
      <c r="D781" s="501"/>
      <c r="E781" s="501"/>
      <c r="F781" s="501"/>
      <c r="G781" s="501"/>
      <c r="H781" s="501"/>
      <c r="I781" s="501"/>
    </row>
    <row r="782">
      <c r="A782" s="501"/>
      <c r="B782" s="501"/>
      <c r="C782" s="501"/>
      <c r="D782" s="501"/>
      <c r="E782" s="501"/>
      <c r="F782" s="501"/>
      <c r="G782" s="501"/>
      <c r="H782" s="501"/>
      <c r="I782" s="501"/>
    </row>
    <row r="783">
      <c r="A783" s="501"/>
      <c r="B783" s="501"/>
      <c r="C783" s="501"/>
      <c r="D783" s="501"/>
      <c r="E783" s="501"/>
      <c r="F783" s="501"/>
      <c r="G783" s="501"/>
      <c r="H783" s="501"/>
      <c r="I783" s="501"/>
    </row>
    <row r="784">
      <c r="A784" s="501"/>
      <c r="B784" s="501"/>
      <c r="C784" s="501"/>
      <c r="D784" s="501"/>
      <c r="E784" s="501"/>
      <c r="F784" s="501"/>
      <c r="G784" s="501"/>
      <c r="H784" s="501"/>
      <c r="I784" s="501"/>
    </row>
    <row r="785">
      <c r="A785" s="501"/>
      <c r="B785" s="501"/>
      <c r="C785" s="501"/>
      <c r="D785" s="501"/>
      <c r="E785" s="501"/>
      <c r="F785" s="501"/>
      <c r="G785" s="501"/>
      <c r="H785" s="501"/>
      <c r="I785" s="501"/>
    </row>
    <row r="786">
      <c r="A786" s="501"/>
      <c r="B786" s="501"/>
      <c r="C786" s="501"/>
      <c r="D786" s="501"/>
      <c r="E786" s="501"/>
      <c r="F786" s="501"/>
      <c r="G786" s="501"/>
      <c r="H786" s="501"/>
      <c r="I786" s="501"/>
    </row>
    <row r="787">
      <c r="A787" s="501"/>
      <c r="B787" s="501"/>
      <c r="C787" s="501"/>
      <c r="D787" s="501"/>
      <c r="E787" s="501"/>
      <c r="F787" s="501"/>
      <c r="G787" s="501"/>
      <c r="H787" s="501"/>
      <c r="I787" s="501"/>
    </row>
    <row r="788">
      <c r="A788" s="501"/>
      <c r="B788" s="501"/>
      <c r="C788" s="501"/>
      <c r="D788" s="501"/>
      <c r="E788" s="501"/>
      <c r="F788" s="501"/>
      <c r="G788" s="501"/>
      <c r="H788" s="501"/>
      <c r="I788" s="501"/>
    </row>
    <row r="789">
      <c r="A789" s="501"/>
      <c r="B789" s="501"/>
      <c r="C789" s="501"/>
      <c r="D789" s="501"/>
      <c r="E789" s="501"/>
      <c r="F789" s="501"/>
      <c r="G789" s="501"/>
      <c r="H789" s="501"/>
      <c r="I789" s="501"/>
    </row>
    <row r="790">
      <c r="A790" s="501"/>
      <c r="B790" s="501"/>
      <c r="C790" s="501"/>
      <c r="D790" s="501"/>
      <c r="E790" s="501"/>
      <c r="F790" s="501"/>
      <c r="G790" s="501"/>
      <c r="H790" s="501"/>
      <c r="I790" s="501"/>
    </row>
    <row r="791">
      <c r="A791" s="501"/>
      <c r="B791" s="501"/>
      <c r="C791" s="501"/>
      <c r="D791" s="501"/>
      <c r="E791" s="501"/>
      <c r="F791" s="501"/>
      <c r="G791" s="501"/>
      <c r="H791" s="501"/>
      <c r="I791" s="501"/>
    </row>
    <row r="792">
      <c r="A792" s="501"/>
      <c r="B792" s="501"/>
      <c r="C792" s="501"/>
      <c r="D792" s="501"/>
      <c r="E792" s="501"/>
      <c r="F792" s="501"/>
      <c r="G792" s="501"/>
      <c r="H792" s="501"/>
      <c r="I792" s="501"/>
    </row>
    <row r="793">
      <c r="A793" s="501"/>
      <c r="B793" s="501"/>
      <c r="C793" s="501"/>
      <c r="D793" s="501"/>
      <c r="E793" s="501"/>
      <c r="F793" s="501"/>
      <c r="G793" s="501"/>
      <c r="H793" s="501"/>
      <c r="I793" s="501"/>
    </row>
    <row r="794">
      <c r="A794" s="501"/>
      <c r="B794" s="501"/>
      <c r="C794" s="501"/>
      <c r="D794" s="501"/>
      <c r="E794" s="501"/>
      <c r="F794" s="501"/>
      <c r="G794" s="501"/>
      <c r="H794" s="501"/>
      <c r="I794" s="501"/>
    </row>
    <row r="795">
      <c r="A795" s="501"/>
      <c r="B795" s="501"/>
      <c r="C795" s="501"/>
      <c r="D795" s="501"/>
      <c r="E795" s="501"/>
      <c r="F795" s="501"/>
      <c r="G795" s="501"/>
      <c r="H795" s="501"/>
      <c r="I795" s="501"/>
    </row>
    <row r="796">
      <c r="A796" s="501"/>
      <c r="B796" s="501"/>
      <c r="C796" s="501"/>
      <c r="D796" s="501"/>
      <c r="E796" s="501"/>
      <c r="F796" s="501"/>
      <c r="G796" s="501"/>
      <c r="H796" s="501"/>
      <c r="I796" s="501"/>
    </row>
    <row r="797">
      <c r="A797" s="501"/>
      <c r="B797" s="501"/>
      <c r="C797" s="501"/>
      <c r="D797" s="501"/>
      <c r="E797" s="501"/>
      <c r="F797" s="501"/>
      <c r="G797" s="501"/>
      <c r="H797" s="501"/>
      <c r="I797" s="501"/>
    </row>
    <row r="798">
      <c r="A798" s="501"/>
      <c r="B798" s="501"/>
      <c r="C798" s="501"/>
      <c r="D798" s="501"/>
      <c r="E798" s="501"/>
      <c r="F798" s="501"/>
      <c r="G798" s="501"/>
      <c r="H798" s="501"/>
      <c r="I798" s="501"/>
    </row>
    <row r="799">
      <c r="A799" s="501"/>
      <c r="B799" s="501"/>
      <c r="C799" s="501"/>
      <c r="D799" s="501"/>
      <c r="E799" s="501"/>
      <c r="F799" s="501"/>
      <c r="G799" s="501"/>
      <c r="H799" s="501"/>
      <c r="I799" s="501"/>
    </row>
    <row r="800">
      <c r="A800" s="501"/>
      <c r="B800" s="501"/>
      <c r="C800" s="501"/>
      <c r="D800" s="501"/>
      <c r="E800" s="501"/>
      <c r="F800" s="501"/>
      <c r="G800" s="501"/>
      <c r="H800" s="501"/>
      <c r="I800" s="501"/>
    </row>
    <row r="801">
      <c r="A801" s="501"/>
      <c r="B801" s="501"/>
      <c r="C801" s="501"/>
      <c r="D801" s="501"/>
      <c r="E801" s="501"/>
      <c r="F801" s="501"/>
      <c r="G801" s="501"/>
      <c r="H801" s="501"/>
      <c r="I801" s="501"/>
    </row>
    <row r="802">
      <c r="A802" s="501"/>
      <c r="B802" s="501"/>
      <c r="C802" s="501"/>
      <c r="D802" s="501"/>
      <c r="E802" s="501"/>
      <c r="F802" s="501"/>
      <c r="G802" s="501"/>
      <c r="H802" s="501"/>
      <c r="I802" s="501"/>
    </row>
    <row r="803">
      <c r="A803" s="501"/>
      <c r="B803" s="501"/>
      <c r="C803" s="501"/>
      <c r="D803" s="501"/>
      <c r="E803" s="501"/>
      <c r="F803" s="501"/>
      <c r="G803" s="501"/>
      <c r="H803" s="501"/>
      <c r="I803" s="501"/>
    </row>
    <row r="804">
      <c r="A804" s="501"/>
      <c r="B804" s="501"/>
      <c r="C804" s="501"/>
      <c r="D804" s="501"/>
      <c r="E804" s="501"/>
      <c r="F804" s="501"/>
      <c r="G804" s="501"/>
      <c r="H804" s="501"/>
      <c r="I804" s="501"/>
    </row>
    <row r="805">
      <c r="A805" s="501"/>
      <c r="B805" s="501"/>
      <c r="C805" s="501"/>
      <c r="D805" s="501"/>
      <c r="E805" s="501"/>
      <c r="F805" s="501"/>
      <c r="G805" s="501"/>
      <c r="H805" s="501"/>
      <c r="I805" s="501"/>
    </row>
    <row r="806">
      <c r="A806" s="501"/>
      <c r="B806" s="501"/>
      <c r="C806" s="501"/>
      <c r="D806" s="501"/>
      <c r="E806" s="501"/>
      <c r="F806" s="501"/>
      <c r="G806" s="501"/>
      <c r="H806" s="501"/>
      <c r="I806" s="501"/>
    </row>
    <row r="807">
      <c r="A807" s="501"/>
      <c r="B807" s="501"/>
      <c r="C807" s="501"/>
      <c r="D807" s="501"/>
      <c r="E807" s="501"/>
      <c r="F807" s="501"/>
      <c r="G807" s="501"/>
      <c r="H807" s="501"/>
      <c r="I807" s="501"/>
    </row>
    <row r="808">
      <c r="A808" s="501"/>
      <c r="B808" s="501"/>
      <c r="C808" s="501"/>
      <c r="D808" s="501"/>
      <c r="E808" s="501"/>
      <c r="F808" s="501"/>
      <c r="G808" s="501"/>
      <c r="H808" s="501"/>
      <c r="I808" s="501"/>
    </row>
    <row r="809">
      <c r="A809" s="501"/>
      <c r="B809" s="501"/>
      <c r="C809" s="501"/>
      <c r="D809" s="501"/>
      <c r="E809" s="501"/>
      <c r="F809" s="501"/>
      <c r="G809" s="501"/>
      <c r="H809" s="501"/>
      <c r="I809" s="501"/>
    </row>
    <row r="810">
      <c r="A810" s="501"/>
      <c r="B810" s="501"/>
      <c r="C810" s="501"/>
      <c r="D810" s="501"/>
      <c r="E810" s="501"/>
      <c r="F810" s="501"/>
      <c r="G810" s="501"/>
      <c r="H810" s="501"/>
      <c r="I810" s="501"/>
    </row>
    <row r="811">
      <c r="A811" s="501"/>
      <c r="B811" s="501"/>
      <c r="C811" s="501"/>
      <c r="D811" s="501"/>
      <c r="E811" s="501"/>
      <c r="F811" s="501"/>
      <c r="G811" s="501"/>
      <c r="H811" s="501"/>
      <c r="I811" s="501"/>
    </row>
    <row r="812">
      <c r="A812" s="501"/>
      <c r="B812" s="501"/>
      <c r="C812" s="501"/>
      <c r="D812" s="501"/>
      <c r="E812" s="501"/>
      <c r="F812" s="501"/>
      <c r="G812" s="501"/>
      <c r="H812" s="501"/>
      <c r="I812" s="501"/>
    </row>
    <row r="813">
      <c r="A813" s="501"/>
      <c r="B813" s="501"/>
      <c r="C813" s="501"/>
      <c r="D813" s="501"/>
      <c r="E813" s="501"/>
      <c r="F813" s="501"/>
      <c r="G813" s="501"/>
      <c r="H813" s="501"/>
      <c r="I813" s="501"/>
    </row>
    <row r="814">
      <c r="A814" s="501"/>
      <c r="B814" s="501"/>
      <c r="C814" s="501"/>
      <c r="D814" s="501"/>
      <c r="E814" s="501"/>
      <c r="F814" s="501"/>
      <c r="G814" s="501"/>
      <c r="H814" s="501"/>
      <c r="I814" s="501"/>
    </row>
    <row r="815">
      <c r="A815" s="501"/>
      <c r="B815" s="501"/>
      <c r="C815" s="501"/>
      <c r="D815" s="501"/>
      <c r="E815" s="501"/>
      <c r="F815" s="501"/>
      <c r="G815" s="501"/>
      <c r="H815" s="501"/>
      <c r="I815" s="501"/>
    </row>
    <row r="816">
      <c r="A816" s="501"/>
      <c r="B816" s="501"/>
      <c r="C816" s="501"/>
      <c r="D816" s="501"/>
      <c r="E816" s="501"/>
      <c r="F816" s="501"/>
      <c r="G816" s="501"/>
      <c r="H816" s="501"/>
      <c r="I816" s="501"/>
    </row>
    <row r="817">
      <c r="A817" s="501"/>
      <c r="B817" s="501"/>
      <c r="C817" s="501"/>
      <c r="D817" s="501"/>
      <c r="E817" s="501"/>
      <c r="F817" s="501"/>
      <c r="G817" s="501"/>
      <c r="H817" s="501"/>
      <c r="I817" s="501"/>
    </row>
    <row r="818">
      <c r="A818" s="501"/>
      <c r="B818" s="501"/>
      <c r="C818" s="501"/>
      <c r="D818" s="501"/>
      <c r="E818" s="501"/>
      <c r="F818" s="501"/>
      <c r="G818" s="501"/>
      <c r="H818" s="501"/>
      <c r="I818" s="501"/>
    </row>
    <row r="819">
      <c r="A819" s="501"/>
      <c r="B819" s="501"/>
      <c r="C819" s="501"/>
      <c r="D819" s="501"/>
      <c r="E819" s="501"/>
      <c r="F819" s="501"/>
      <c r="G819" s="501"/>
      <c r="H819" s="501"/>
      <c r="I819" s="501"/>
    </row>
    <row r="820">
      <c r="A820" s="501"/>
      <c r="B820" s="501"/>
      <c r="C820" s="501"/>
      <c r="D820" s="501"/>
      <c r="E820" s="501"/>
      <c r="F820" s="501"/>
      <c r="G820" s="501"/>
      <c r="H820" s="501"/>
      <c r="I820" s="501"/>
    </row>
    <row r="821">
      <c r="A821" s="501"/>
      <c r="B821" s="501"/>
      <c r="C821" s="501"/>
      <c r="D821" s="501"/>
      <c r="E821" s="501"/>
      <c r="F821" s="501"/>
      <c r="G821" s="501"/>
      <c r="H821" s="501"/>
      <c r="I821" s="501"/>
    </row>
    <row r="822">
      <c r="A822" s="501"/>
      <c r="B822" s="501"/>
      <c r="C822" s="501"/>
      <c r="D822" s="501"/>
      <c r="E822" s="501"/>
      <c r="F822" s="501"/>
      <c r="G822" s="501"/>
      <c r="H822" s="501"/>
      <c r="I822" s="501"/>
    </row>
    <row r="823">
      <c r="A823" s="501"/>
      <c r="B823" s="501"/>
      <c r="C823" s="501"/>
      <c r="D823" s="501"/>
      <c r="E823" s="501"/>
      <c r="F823" s="501"/>
      <c r="G823" s="501"/>
      <c r="H823" s="501"/>
      <c r="I823" s="501"/>
    </row>
    <row r="824">
      <c r="A824" s="501"/>
      <c r="B824" s="501"/>
      <c r="C824" s="501"/>
      <c r="D824" s="501"/>
      <c r="E824" s="501"/>
      <c r="F824" s="501"/>
      <c r="G824" s="501"/>
      <c r="H824" s="501"/>
      <c r="I824" s="501"/>
    </row>
    <row r="825">
      <c r="A825" s="501"/>
      <c r="B825" s="501"/>
      <c r="C825" s="501"/>
      <c r="D825" s="501"/>
      <c r="E825" s="501"/>
      <c r="F825" s="501"/>
      <c r="G825" s="501"/>
      <c r="H825" s="501"/>
      <c r="I825" s="501"/>
    </row>
    <row r="826">
      <c r="A826" s="501"/>
      <c r="B826" s="501"/>
      <c r="C826" s="501"/>
      <c r="D826" s="501"/>
      <c r="E826" s="501"/>
      <c r="F826" s="501"/>
      <c r="G826" s="501"/>
      <c r="H826" s="501"/>
      <c r="I826" s="501"/>
    </row>
    <row r="827">
      <c r="A827" s="501"/>
      <c r="B827" s="501"/>
      <c r="C827" s="501"/>
      <c r="D827" s="501"/>
      <c r="E827" s="501"/>
      <c r="F827" s="501"/>
      <c r="G827" s="501"/>
      <c r="H827" s="501"/>
      <c r="I827" s="501"/>
    </row>
    <row r="828">
      <c r="A828" s="501"/>
      <c r="B828" s="501"/>
      <c r="C828" s="501"/>
      <c r="D828" s="501"/>
      <c r="E828" s="501"/>
      <c r="F828" s="501"/>
      <c r="G828" s="501"/>
      <c r="H828" s="501"/>
      <c r="I828" s="501"/>
    </row>
    <row r="829">
      <c r="A829" s="501"/>
      <c r="B829" s="501"/>
      <c r="C829" s="501"/>
      <c r="D829" s="501"/>
      <c r="E829" s="501"/>
      <c r="F829" s="501"/>
      <c r="G829" s="501"/>
      <c r="H829" s="501"/>
      <c r="I829" s="501"/>
    </row>
    <row r="830">
      <c r="A830" s="501"/>
      <c r="B830" s="501"/>
      <c r="C830" s="501"/>
      <c r="D830" s="501"/>
      <c r="E830" s="501"/>
      <c r="F830" s="501"/>
      <c r="G830" s="501"/>
      <c r="H830" s="501"/>
      <c r="I830" s="501"/>
    </row>
    <row r="831">
      <c r="A831" s="501"/>
      <c r="B831" s="501"/>
      <c r="C831" s="501"/>
      <c r="D831" s="501"/>
      <c r="E831" s="501"/>
      <c r="F831" s="501"/>
      <c r="G831" s="501"/>
      <c r="H831" s="501"/>
      <c r="I831" s="501"/>
    </row>
    <row r="832">
      <c r="A832" s="501"/>
      <c r="B832" s="501"/>
      <c r="C832" s="501"/>
      <c r="D832" s="501"/>
      <c r="E832" s="501"/>
      <c r="F832" s="501"/>
      <c r="G832" s="501"/>
      <c r="H832" s="501"/>
      <c r="I832" s="501"/>
    </row>
    <row r="833">
      <c r="A833" s="501"/>
      <c r="B833" s="501"/>
      <c r="C833" s="501"/>
      <c r="D833" s="501"/>
      <c r="E833" s="501"/>
      <c r="F833" s="501"/>
      <c r="G833" s="501"/>
      <c r="H833" s="501"/>
      <c r="I833" s="501"/>
    </row>
    <row r="834">
      <c r="A834" s="501"/>
      <c r="B834" s="501"/>
      <c r="C834" s="501"/>
      <c r="D834" s="501"/>
      <c r="E834" s="501"/>
      <c r="F834" s="501"/>
      <c r="G834" s="501"/>
      <c r="H834" s="501"/>
      <c r="I834" s="501"/>
    </row>
    <row r="835">
      <c r="A835" s="501"/>
      <c r="B835" s="501"/>
      <c r="C835" s="501"/>
      <c r="D835" s="501"/>
      <c r="E835" s="501"/>
      <c r="F835" s="501"/>
      <c r="G835" s="501"/>
      <c r="H835" s="501"/>
      <c r="I835" s="501"/>
    </row>
    <row r="836">
      <c r="A836" s="501"/>
      <c r="B836" s="501"/>
      <c r="C836" s="501"/>
      <c r="D836" s="501"/>
      <c r="E836" s="501"/>
      <c r="F836" s="501"/>
      <c r="G836" s="501"/>
      <c r="H836" s="501"/>
      <c r="I836" s="501"/>
    </row>
    <row r="837">
      <c r="A837" s="501"/>
      <c r="B837" s="501"/>
      <c r="C837" s="501"/>
      <c r="D837" s="501"/>
      <c r="E837" s="501"/>
      <c r="F837" s="501"/>
      <c r="G837" s="501"/>
      <c r="H837" s="501"/>
      <c r="I837" s="501"/>
    </row>
    <row r="838">
      <c r="A838" s="501"/>
      <c r="B838" s="501"/>
      <c r="C838" s="501"/>
      <c r="D838" s="501"/>
      <c r="E838" s="501"/>
      <c r="F838" s="501"/>
      <c r="G838" s="501"/>
      <c r="H838" s="501"/>
      <c r="I838" s="501"/>
    </row>
    <row r="839">
      <c r="A839" s="501"/>
      <c r="B839" s="501"/>
      <c r="C839" s="501"/>
      <c r="D839" s="501"/>
      <c r="E839" s="501"/>
      <c r="F839" s="501"/>
      <c r="G839" s="501"/>
      <c r="H839" s="501"/>
      <c r="I839" s="501"/>
    </row>
    <row r="840">
      <c r="A840" s="501"/>
      <c r="B840" s="501"/>
      <c r="C840" s="501"/>
      <c r="D840" s="501"/>
      <c r="E840" s="501"/>
      <c r="F840" s="501"/>
      <c r="G840" s="501"/>
      <c r="H840" s="501"/>
      <c r="I840" s="501"/>
    </row>
    <row r="841">
      <c r="A841" s="501"/>
      <c r="B841" s="501"/>
      <c r="C841" s="501"/>
      <c r="D841" s="501"/>
      <c r="E841" s="501"/>
      <c r="F841" s="501"/>
      <c r="G841" s="501"/>
      <c r="H841" s="501"/>
      <c r="I841" s="501"/>
    </row>
    <row r="842">
      <c r="A842" s="501"/>
      <c r="B842" s="501"/>
      <c r="C842" s="501"/>
      <c r="D842" s="501"/>
      <c r="E842" s="501"/>
      <c r="F842" s="501"/>
      <c r="G842" s="501"/>
      <c r="H842" s="501"/>
      <c r="I842" s="501"/>
    </row>
    <row r="843">
      <c r="A843" s="501"/>
      <c r="B843" s="501"/>
      <c r="C843" s="501"/>
      <c r="D843" s="501"/>
      <c r="E843" s="501"/>
      <c r="F843" s="501"/>
      <c r="G843" s="501"/>
      <c r="H843" s="501"/>
      <c r="I843" s="501"/>
    </row>
    <row r="844">
      <c r="A844" s="501"/>
      <c r="B844" s="501"/>
      <c r="C844" s="501"/>
      <c r="D844" s="501"/>
      <c r="E844" s="501"/>
      <c r="F844" s="501"/>
      <c r="G844" s="501"/>
      <c r="H844" s="501"/>
      <c r="I844" s="501"/>
    </row>
    <row r="845">
      <c r="A845" s="501"/>
      <c r="B845" s="501"/>
      <c r="C845" s="501"/>
      <c r="D845" s="501"/>
      <c r="E845" s="501"/>
      <c r="F845" s="501"/>
      <c r="G845" s="501"/>
      <c r="H845" s="501"/>
      <c r="I845" s="501"/>
    </row>
    <row r="846">
      <c r="A846" s="501"/>
      <c r="B846" s="501"/>
      <c r="C846" s="501"/>
      <c r="D846" s="501"/>
      <c r="E846" s="501"/>
      <c r="F846" s="501"/>
      <c r="G846" s="501"/>
      <c r="H846" s="501"/>
      <c r="I846" s="501"/>
    </row>
    <row r="847">
      <c r="A847" s="501"/>
      <c r="B847" s="501"/>
      <c r="C847" s="501"/>
      <c r="D847" s="501"/>
      <c r="E847" s="501"/>
      <c r="F847" s="501"/>
      <c r="G847" s="501"/>
      <c r="H847" s="501"/>
      <c r="I847" s="501"/>
    </row>
    <row r="848">
      <c r="A848" s="501"/>
      <c r="B848" s="501"/>
      <c r="C848" s="501"/>
      <c r="D848" s="501"/>
      <c r="E848" s="501"/>
      <c r="F848" s="501"/>
      <c r="G848" s="501"/>
      <c r="H848" s="501"/>
      <c r="I848" s="501"/>
    </row>
    <row r="849">
      <c r="A849" s="501"/>
      <c r="B849" s="501"/>
      <c r="C849" s="501"/>
      <c r="D849" s="501"/>
      <c r="E849" s="501"/>
      <c r="F849" s="501"/>
      <c r="G849" s="501"/>
      <c r="H849" s="501"/>
      <c r="I849" s="501"/>
    </row>
    <row r="850">
      <c r="A850" s="501"/>
      <c r="B850" s="501"/>
      <c r="C850" s="501"/>
      <c r="D850" s="501"/>
      <c r="E850" s="501"/>
      <c r="F850" s="501"/>
      <c r="G850" s="501"/>
      <c r="H850" s="501"/>
      <c r="I850" s="501"/>
    </row>
    <row r="851">
      <c r="A851" s="501"/>
      <c r="B851" s="501"/>
      <c r="C851" s="501"/>
      <c r="D851" s="501"/>
      <c r="E851" s="501"/>
      <c r="F851" s="501"/>
      <c r="G851" s="501"/>
      <c r="H851" s="501"/>
      <c r="I851" s="501"/>
    </row>
    <row r="852">
      <c r="A852" s="501"/>
      <c r="B852" s="501"/>
      <c r="C852" s="501"/>
      <c r="D852" s="501"/>
      <c r="E852" s="501"/>
      <c r="F852" s="501"/>
      <c r="G852" s="501"/>
      <c r="H852" s="501"/>
      <c r="I852" s="501"/>
    </row>
    <row r="853">
      <c r="A853" s="501"/>
      <c r="B853" s="501"/>
      <c r="C853" s="501"/>
      <c r="D853" s="501"/>
      <c r="E853" s="501"/>
      <c r="F853" s="501"/>
      <c r="G853" s="501"/>
      <c r="H853" s="501"/>
      <c r="I853" s="501"/>
    </row>
    <row r="854">
      <c r="A854" s="501"/>
      <c r="B854" s="501"/>
      <c r="C854" s="501"/>
      <c r="D854" s="501"/>
      <c r="E854" s="501"/>
      <c r="F854" s="501"/>
      <c r="G854" s="501"/>
      <c r="H854" s="501"/>
      <c r="I854" s="501"/>
    </row>
    <row r="855">
      <c r="A855" s="501"/>
      <c r="B855" s="501"/>
      <c r="C855" s="501"/>
      <c r="D855" s="501"/>
      <c r="E855" s="501"/>
      <c r="F855" s="501"/>
      <c r="G855" s="501"/>
      <c r="H855" s="501"/>
      <c r="I855" s="501"/>
    </row>
    <row r="856">
      <c r="A856" s="501"/>
      <c r="B856" s="501"/>
      <c r="C856" s="501"/>
      <c r="D856" s="501"/>
      <c r="E856" s="501"/>
      <c r="F856" s="501"/>
      <c r="G856" s="501"/>
      <c r="H856" s="501"/>
      <c r="I856" s="501"/>
    </row>
    <row r="857">
      <c r="A857" s="501"/>
      <c r="B857" s="501"/>
      <c r="C857" s="501"/>
      <c r="D857" s="501"/>
      <c r="E857" s="501"/>
      <c r="F857" s="501"/>
      <c r="G857" s="501"/>
      <c r="H857" s="501"/>
      <c r="I857" s="501"/>
    </row>
    <row r="858">
      <c r="A858" s="501"/>
      <c r="B858" s="501"/>
      <c r="C858" s="501"/>
      <c r="D858" s="501"/>
      <c r="E858" s="501"/>
      <c r="F858" s="501"/>
      <c r="G858" s="501"/>
      <c r="H858" s="501"/>
      <c r="I858" s="501"/>
    </row>
    <row r="859">
      <c r="A859" s="501"/>
      <c r="B859" s="501"/>
      <c r="C859" s="501"/>
      <c r="D859" s="501"/>
      <c r="E859" s="501"/>
      <c r="F859" s="501"/>
      <c r="G859" s="501"/>
      <c r="H859" s="501"/>
      <c r="I859" s="501"/>
    </row>
    <row r="860">
      <c r="A860" s="501"/>
      <c r="B860" s="501"/>
      <c r="C860" s="501"/>
      <c r="D860" s="501"/>
      <c r="E860" s="501"/>
      <c r="F860" s="501"/>
      <c r="G860" s="501"/>
      <c r="H860" s="501"/>
      <c r="I860" s="501"/>
    </row>
    <row r="861">
      <c r="A861" s="501"/>
      <c r="B861" s="501"/>
      <c r="C861" s="501"/>
      <c r="D861" s="501"/>
      <c r="E861" s="501"/>
      <c r="F861" s="501"/>
      <c r="G861" s="501"/>
      <c r="H861" s="501"/>
      <c r="I861" s="501"/>
    </row>
    <row r="862">
      <c r="A862" s="501"/>
      <c r="B862" s="501"/>
      <c r="C862" s="501"/>
      <c r="D862" s="501"/>
      <c r="E862" s="501"/>
      <c r="F862" s="501"/>
      <c r="G862" s="501"/>
      <c r="H862" s="501"/>
      <c r="I862" s="501"/>
    </row>
    <row r="863">
      <c r="A863" s="501"/>
      <c r="B863" s="501"/>
      <c r="C863" s="501"/>
      <c r="D863" s="501"/>
      <c r="E863" s="501"/>
      <c r="F863" s="501"/>
      <c r="G863" s="501"/>
      <c r="H863" s="501"/>
      <c r="I863" s="501"/>
    </row>
    <row r="864">
      <c r="A864" s="501"/>
      <c r="B864" s="501"/>
      <c r="C864" s="501"/>
      <c r="D864" s="501"/>
      <c r="E864" s="501"/>
      <c r="F864" s="501"/>
      <c r="G864" s="501"/>
      <c r="H864" s="501"/>
      <c r="I864" s="501"/>
    </row>
    <row r="865">
      <c r="A865" s="501"/>
      <c r="B865" s="501"/>
      <c r="C865" s="501"/>
      <c r="D865" s="501"/>
      <c r="E865" s="501"/>
      <c r="F865" s="501"/>
      <c r="G865" s="501"/>
      <c r="H865" s="501"/>
      <c r="I865" s="501"/>
    </row>
    <row r="866">
      <c r="A866" s="501"/>
      <c r="B866" s="501"/>
      <c r="C866" s="501"/>
      <c r="D866" s="501"/>
      <c r="E866" s="501"/>
      <c r="F866" s="501"/>
      <c r="G866" s="501"/>
      <c r="H866" s="501"/>
      <c r="I866" s="501"/>
    </row>
    <row r="867">
      <c r="A867" s="501"/>
      <c r="B867" s="501"/>
      <c r="C867" s="501"/>
      <c r="D867" s="501"/>
      <c r="E867" s="501"/>
      <c r="F867" s="501"/>
      <c r="G867" s="501"/>
      <c r="H867" s="501"/>
      <c r="I867" s="501"/>
    </row>
    <row r="868">
      <c r="A868" s="501"/>
      <c r="B868" s="501"/>
      <c r="C868" s="501"/>
      <c r="D868" s="501"/>
      <c r="E868" s="501"/>
      <c r="F868" s="501"/>
      <c r="G868" s="501"/>
      <c r="H868" s="501"/>
      <c r="I868" s="501"/>
    </row>
    <row r="869">
      <c r="A869" s="501"/>
      <c r="B869" s="501"/>
      <c r="C869" s="501"/>
      <c r="D869" s="501"/>
      <c r="E869" s="501"/>
      <c r="F869" s="501"/>
      <c r="G869" s="501"/>
      <c r="H869" s="501"/>
      <c r="I869" s="501"/>
    </row>
    <row r="870">
      <c r="A870" s="501"/>
      <c r="B870" s="501"/>
      <c r="C870" s="501"/>
      <c r="D870" s="501"/>
      <c r="E870" s="501"/>
      <c r="F870" s="501"/>
      <c r="G870" s="501"/>
      <c r="H870" s="501"/>
      <c r="I870" s="501"/>
    </row>
    <row r="871">
      <c r="A871" s="501"/>
      <c r="B871" s="501"/>
      <c r="C871" s="501"/>
      <c r="D871" s="501"/>
      <c r="E871" s="501"/>
      <c r="F871" s="501"/>
      <c r="G871" s="501"/>
      <c r="H871" s="501"/>
      <c r="I871" s="501"/>
    </row>
    <row r="872">
      <c r="A872" s="501"/>
      <c r="B872" s="501"/>
      <c r="C872" s="501"/>
      <c r="D872" s="501"/>
      <c r="E872" s="501"/>
      <c r="F872" s="501"/>
      <c r="G872" s="501"/>
      <c r="H872" s="501"/>
      <c r="I872" s="501"/>
    </row>
    <row r="873">
      <c r="A873" s="501"/>
      <c r="B873" s="501"/>
      <c r="C873" s="501"/>
      <c r="D873" s="501"/>
      <c r="E873" s="501"/>
      <c r="F873" s="501"/>
      <c r="G873" s="501"/>
      <c r="H873" s="501"/>
      <c r="I873" s="501"/>
    </row>
    <row r="874">
      <c r="A874" s="501"/>
      <c r="B874" s="501"/>
      <c r="C874" s="501"/>
      <c r="D874" s="501"/>
      <c r="E874" s="501"/>
      <c r="F874" s="501"/>
      <c r="G874" s="501"/>
      <c r="H874" s="501"/>
      <c r="I874" s="501"/>
    </row>
    <row r="875">
      <c r="A875" s="501"/>
      <c r="B875" s="501"/>
      <c r="C875" s="501"/>
      <c r="D875" s="501"/>
      <c r="E875" s="501"/>
      <c r="F875" s="501"/>
      <c r="G875" s="501"/>
      <c r="H875" s="501"/>
      <c r="I875" s="501"/>
    </row>
    <row r="876">
      <c r="A876" s="501"/>
      <c r="B876" s="501"/>
      <c r="C876" s="501"/>
      <c r="D876" s="501"/>
      <c r="E876" s="501"/>
      <c r="F876" s="501"/>
      <c r="G876" s="501"/>
      <c r="H876" s="501"/>
      <c r="I876" s="501"/>
    </row>
    <row r="877">
      <c r="A877" s="501"/>
      <c r="B877" s="501"/>
      <c r="C877" s="501"/>
      <c r="D877" s="501"/>
      <c r="E877" s="501"/>
      <c r="F877" s="501"/>
      <c r="G877" s="501"/>
      <c r="H877" s="501"/>
      <c r="I877" s="501"/>
    </row>
    <row r="878">
      <c r="A878" s="501"/>
      <c r="B878" s="501"/>
      <c r="C878" s="501"/>
      <c r="D878" s="501"/>
      <c r="E878" s="501"/>
      <c r="F878" s="501"/>
      <c r="G878" s="501"/>
      <c r="H878" s="501"/>
      <c r="I878" s="501"/>
    </row>
    <row r="879">
      <c r="A879" s="501"/>
      <c r="B879" s="501"/>
      <c r="C879" s="501"/>
      <c r="D879" s="501"/>
      <c r="E879" s="501"/>
      <c r="F879" s="501"/>
      <c r="G879" s="501"/>
      <c r="H879" s="501"/>
      <c r="I879" s="501"/>
    </row>
    <row r="880">
      <c r="A880" s="501"/>
      <c r="B880" s="501"/>
      <c r="C880" s="501"/>
      <c r="D880" s="501"/>
      <c r="E880" s="501"/>
      <c r="F880" s="501"/>
      <c r="G880" s="501"/>
      <c r="H880" s="501"/>
      <c r="I880" s="501"/>
    </row>
    <row r="881">
      <c r="A881" s="501"/>
      <c r="B881" s="501"/>
      <c r="C881" s="501"/>
      <c r="D881" s="501"/>
      <c r="E881" s="501"/>
      <c r="F881" s="501"/>
      <c r="G881" s="501"/>
      <c r="H881" s="501"/>
      <c r="I881" s="501"/>
    </row>
    <row r="882">
      <c r="A882" s="501"/>
      <c r="B882" s="501"/>
      <c r="C882" s="501"/>
      <c r="D882" s="501"/>
      <c r="E882" s="501"/>
      <c r="F882" s="501"/>
      <c r="G882" s="501"/>
      <c r="H882" s="501"/>
      <c r="I882" s="501"/>
    </row>
    <row r="883">
      <c r="A883" s="501"/>
      <c r="B883" s="501"/>
      <c r="C883" s="501"/>
      <c r="D883" s="501"/>
      <c r="E883" s="501"/>
      <c r="F883" s="501"/>
      <c r="G883" s="501"/>
      <c r="H883" s="501"/>
      <c r="I883" s="501"/>
    </row>
    <row r="884">
      <c r="A884" s="501"/>
      <c r="B884" s="501"/>
      <c r="C884" s="501"/>
      <c r="D884" s="501"/>
      <c r="E884" s="501"/>
      <c r="F884" s="501"/>
      <c r="G884" s="501"/>
      <c r="H884" s="501"/>
      <c r="I884" s="501"/>
    </row>
    <row r="885">
      <c r="A885" s="501"/>
      <c r="B885" s="501"/>
      <c r="C885" s="501"/>
      <c r="D885" s="501"/>
      <c r="E885" s="501"/>
      <c r="F885" s="501"/>
      <c r="G885" s="501"/>
      <c r="H885" s="501"/>
      <c r="I885" s="501"/>
    </row>
    <row r="886">
      <c r="A886" s="501"/>
      <c r="B886" s="501"/>
      <c r="C886" s="501"/>
      <c r="D886" s="501"/>
      <c r="E886" s="501"/>
      <c r="F886" s="501"/>
      <c r="G886" s="501"/>
      <c r="H886" s="501"/>
      <c r="I886" s="501"/>
    </row>
    <row r="887">
      <c r="A887" s="501"/>
      <c r="B887" s="501"/>
      <c r="C887" s="501"/>
      <c r="D887" s="501"/>
      <c r="E887" s="501"/>
      <c r="F887" s="501"/>
      <c r="G887" s="501"/>
      <c r="H887" s="501"/>
      <c r="I887" s="501"/>
    </row>
    <row r="888">
      <c r="A888" s="501"/>
      <c r="B888" s="501"/>
      <c r="C888" s="501"/>
      <c r="D888" s="501"/>
      <c r="E888" s="501"/>
      <c r="F888" s="501"/>
      <c r="G888" s="501"/>
      <c r="H888" s="501"/>
      <c r="I888" s="501"/>
    </row>
    <row r="889">
      <c r="A889" s="501"/>
      <c r="B889" s="501"/>
      <c r="C889" s="501"/>
      <c r="D889" s="501"/>
      <c r="E889" s="501"/>
      <c r="F889" s="501"/>
      <c r="G889" s="501"/>
      <c r="H889" s="501"/>
      <c r="I889" s="501"/>
    </row>
    <row r="890">
      <c r="A890" s="501"/>
      <c r="B890" s="501"/>
      <c r="C890" s="501"/>
      <c r="D890" s="501"/>
      <c r="E890" s="501"/>
      <c r="F890" s="501"/>
      <c r="G890" s="501"/>
      <c r="H890" s="501"/>
      <c r="I890" s="501"/>
    </row>
    <row r="891">
      <c r="A891" s="501"/>
      <c r="B891" s="501"/>
      <c r="C891" s="501"/>
      <c r="D891" s="501"/>
      <c r="E891" s="501"/>
      <c r="F891" s="501"/>
      <c r="G891" s="501"/>
      <c r="H891" s="501"/>
      <c r="I891" s="501"/>
    </row>
    <row r="892">
      <c r="A892" s="501"/>
      <c r="B892" s="501"/>
      <c r="C892" s="501"/>
      <c r="D892" s="501"/>
      <c r="E892" s="501"/>
      <c r="F892" s="501"/>
      <c r="G892" s="501"/>
      <c r="H892" s="501"/>
      <c r="I892" s="501"/>
    </row>
    <row r="893">
      <c r="A893" s="501"/>
      <c r="B893" s="501"/>
      <c r="C893" s="501"/>
      <c r="D893" s="501"/>
      <c r="E893" s="501"/>
      <c r="F893" s="501"/>
      <c r="G893" s="501"/>
      <c r="H893" s="501"/>
      <c r="I893" s="501"/>
    </row>
    <row r="894">
      <c r="A894" s="501"/>
      <c r="B894" s="501"/>
      <c r="C894" s="501"/>
      <c r="D894" s="501"/>
      <c r="E894" s="501"/>
      <c r="F894" s="501"/>
      <c r="G894" s="501"/>
      <c r="H894" s="501"/>
      <c r="I894" s="501"/>
    </row>
    <row r="895">
      <c r="A895" s="501"/>
      <c r="B895" s="501"/>
      <c r="C895" s="501"/>
      <c r="D895" s="501"/>
      <c r="E895" s="501"/>
      <c r="F895" s="501"/>
      <c r="G895" s="501"/>
      <c r="H895" s="501"/>
      <c r="I895" s="501"/>
    </row>
    <row r="896">
      <c r="A896" s="501"/>
      <c r="B896" s="501"/>
      <c r="C896" s="501"/>
      <c r="D896" s="501"/>
      <c r="E896" s="501"/>
      <c r="F896" s="501"/>
      <c r="G896" s="501"/>
      <c r="H896" s="501"/>
      <c r="I896" s="501"/>
    </row>
    <row r="897">
      <c r="A897" s="501"/>
      <c r="B897" s="501"/>
      <c r="C897" s="501"/>
      <c r="D897" s="501"/>
      <c r="E897" s="501"/>
      <c r="F897" s="501"/>
      <c r="G897" s="501"/>
      <c r="H897" s="501"/>
      <c r="I897" s="501"/>
    </row>
    <row r="898">
      <c r="A898" s="501"/>
      <c r="B898" s="501"/>
      <c r="C898" s="501"/>
      <c r="D898" s="501"/>
      <c r="E898" s="501"/>
      <c r="F898" s="501"/>
      <c r="G898" s="501"/>
      <c r="H898" s="501"/>
      <c r="I898" s="501"/>
    </row>
    <row r="899">
      <c r="A899" s="501"/>
      <c r="B899" s="501"/>
      <c r="C899" s="501"/>
      <c r="D899" s="501"/>
      <c r="E899" s="501"/>
      <c r="F899" s="501"/>
      <c r="G899" s="501"/>
      <c r="H899" s="501"/>
      <c r="I899" s="501"/>
    </row>
    <row r="900">
      <c r="A900" s="501"/>
      <c r="B900" s="501"/>
      <c r="C900" s="501"/>
      <c r="D900" s="501"/>
      <c r="E900" s="501"/>
      <c r="F900" s="501"/>
      <c r="G900" s="501"/>
      <c r="H900" s="501"/>
      <c r="I900" s="501"/>
    </row>
    <row r="901">
      <c r="A901" s="501"/>
      <c r="B901" s="501"/>
      <c r="C901" s="501"/>
      <c r="D901" s="501"/>
      <c r="E901" s="501"/>
      <c r="F901" s="501"/>
      <c r="G901" s="501"/>
      <c r="H901" s="501"/>
      <c r="I901" s="501"/>
    </row>
    <row r="902">
      <c r="A902" s="501"/>
      <c r="B902" s="501"/>
      <c r="C902" s="501"/>
      <c r="D902" s="501"/>
      <c r="E902" s="501"/>
      <c r="F902" s="501"/>
      <c r="G902" s="501"/>
      <c r="H902" s="501"/>
      <c r="I902" s="501"/>
    </row>
    <row r="903">
      <c r="A903" s="501"/>
      <c r="B903" s="501"/>
      <c r="C903" s="501"/>
      <c r="D903" s="501"/>
      <c r="E903" s="501"/>
      <c r="F903" s="501"/>
      <c r="G903" s="501"/>
      <c r="H903" s="501"/>
      <c r="I903" s="501"/>
    </row>
    <row r="904">
      <c r="A904" s="501"/>
      <c r="B904" s="501"/>
      <c r="C904" s="501"/>
      <c r="D904" s="501"/>
      <c r="E904" s="501"/>
      <c r="F904" s="501"/>
      <c r="G904" s="501"/>
      <c r="H904" s="501"/>
      <c r="I904" s="501"/>
    </row>
    <row r="905">
      <c r="A905" s="501"/>
      <c r="B905" s="501"/>
      <c r="C905" s="501"/>
      <c r="D905" s="501"/>
      <c r="E905" s="501"/>
      <c r="F905" s="501"/>
      <c r="G905" s="501"/>
      <c r="H905" s="501"/>
      <c r="I905" s="501"/>
    </row>
    <row r="906">
      <c r="A906" s="501"/>
      <c r="B906" s="501"/>
      <c r="C906" s="501"/>
      <c r="D906" s="501"/>
      <c r="E906" s="501"/>
      <c r="F906" s="501"/>
      <c r="G906" s="501"/>
      <c r="H906" s="501"/>
      <c r="I906" s="501"/>
    </row>
    <row r="907">
      <c r="A907" s="501"/>
      <c r="B907" s="501"/>
      <c r="C907" s="501"/>
      <c r="D907" s="501"/>
      <c r="E907" s="501"/>
      <c r="F907" s="501"/>
      <c r="G907" s="501"/>
      <c r="H907" s="501"/>
      <c r="I907" s="501"/>
    </row>
    <row r="908">
      <c r="A908" s="501"/>
      <c r="B908" s="501"/>
      <c r="C908" s="501"/>
      <c r="D908" s="501"/>
      <c r="E908" s="501"/>
      <c r="F908" s="501"/>
      <c r="G908" s="501"/>
      <c r="H908" s="501"/>
      <c r="I908" s="501"/>
    </row>
    <row r="909">
      <c r="A909" s="501"/>
      <c r="B909" s="501"/>
      <c r="C909" s="501"/>
      <c r="D909" s="501"/>
      <c r="E909" s="501"/>
      <c r="F909" s="501"/>
      <c r="G909" s="501"/>
      <c r="H909" s="501"/>
      <c r="I909" s="501"/>
    </row>
    <row r="910">
      <c r="A910" s="501"/>
      <c r="B910" s="501"/>
      <c r="C910" s="501"/>
      <c r="D910" s="501"/>
      <c r="E910" s="501"/>
      <c r="F910" s="501"/>
      <c r="G910" s="501"/>
      <c r="H910" s="501"/>
      <c r="I910" s="501"/>
    </row>
    <row r="911">
      <c r="A911" s="501"/>
      <c r="B911" s="501"/>
      <c r="C911" s="501"/>
      <c r="D911" s="501"/>
      <c r="E911" s="501"/>
      <c r="F911" s="501"/>
      <c r="G911" s="501"/>
      <c r="H911" s="501"/>
      <c r="I911" s="501"/>
    </row>
    <row r="912">
      <c r="A912" s="501"/>
      <c r="B912" s="501"/>
      <c r="C912" s="501"/>
      <c r="D912" s="501"/>
      <c r="E912" s="501"/>
      <c r="F912" s="501"/>
      <c r="G912" s="501"/>
      <c r="H912" s="501"/>
      <c r="I912" s="501"/>
    </row>
    <row r="913">
      <c r="A913" s="501"/>
      <c r="B913" s="501"/>
      <c r="C913" s="501"/>
      <c r="D913" s="501"/>
      <c r="E913" s="501"/>
      <c r="F913" s="501"/>
      <c r="G913" s="501"/>
      <c r="H913" s="501"/>
      <c r="I913" s="501"/>
    </row>
    <row r="914">
      <c r="A914" s="501"/>
      <c r="B914" s="501"/>
      <c r="C914" s="501"/>
      <c r="D914" s="501"/>
      <c r="E914" s="501"/>
      <c r="F914" s="501"/>
      <c r="G914" s="501"/>
      <c r="H914" s="501"/>
      <c r="I914" s="501"/>
    </row>
    <row r="915">
      <c r="A915" s="501"/>
      <c r="B915" s="501"/>
      <c r="C915" s="501"/>
      <c r="D915" s="501"/>
      <c r="E915" s="501"/>
      <c r="F915" s="501"/>
      <c r="G915" s="501"/>
      <c r="H915" s="501"/>
      <c r="I915" s="501"/>
    </row>
    <row r="916">
      <c r="A916" s="501"/>
      <c r="B916" s="501"/>
      <c r="C916" s="501"/>
      <c r="D916" s="501"/>
      <c r="E916" s="501"/>
      <c r="F916" s="501"/>
      <c r="G916" s="501"/>
      <c r="H916" s="501"/>
      <c r="I916" s="501"/>
    </row>
    <row r="917">
      <c r="A917" s="501"/>
      <c r="B917" s="501"/>
      <c r="C917" s="501"/>
      <c r="D917" s="501"/>
      <c r="E917" s="501"/>
      <c r="F917" s="501"/>
      <c r="G917" s="501"/>
      <c r="H917" s="501"/>
      <c r="I917" s="501"/>
    </row>
    <row r="918">
      <c r="A918" s="501"/>
      <c r="B918" s="501"/>
      <c r="C918" s="501"/>
      <c r="D918" s="501"/>
      <c r="E918" s="501"/>
      <c r="F918" s="501"/>
      <c r="G918" s="501"/>
      <c r="H918" s="501"/>
      <c r="I918" s="501"/>
    </row>
    <row r="919">
      <c r="A919" s="501"/>
      <c r="B919" s="501"/>
      <c r="C919" s="501"/>
      <c r="D919" s="501"/>
      <c r="E919" s="501"/>
      <c r="F919" s="501"/>
      <c r="G919" s="501"/>
      <c r="H919" s="501"/>
      <c r="I919" s="501"/>
    </row>
    <row r="920">
      <c r="A920" s="501"/>
      <c r="B920" s="501"/>
      <c r="C920" s="501"/>
      <c r="D920" s="501"/>
      <c r="E920" s="501"/>
      <c r="F920" s="501"/>
      <c r="G920" s="501"/>
      <c r="H920" s="501"/>
      <c r="I920" s="501"/>
    </row>
    <row r="921">
      <c r="A921" s="501"/>
      <c r="B921" s="501"/>
      <c r="C921" s="501"/>
      <c r="D921" s="501"/>
      <c r="E921" s="501"/>
      <c r="F921" s="501"/>
      <c r="G921" s="501"/>
      <c r="H921" s="501"/>
      <c r="I921" s="501"/>
    </row>
    <row r="922">
      <c r="A922" s="501"/>
      <c r="B922" s="501"/>
      <c r="C922" s="501"/>
      <c r="D922" s="501"/>
      <c r="E922" s="501"/>
      <c r="F922" s="501"/>
      <c r="G922" s="501"/>
      <c r="H922" s="501"/>
      <c r="I922" s="501"/>
    </row>
    <row r="923">
      <c r="A923" s="501"/>
      <c r="B923" s="501"/>
      <c r="C923" s="501"/>
      <c r="D923" s="501"/>
      <c r="E923" s="501"/>
      <c r="F923" s="501"/>
      <c r="G923" s="501"/>
      <c r="H923" s="501"/>
      <c r="I923" s="501"/>
    </row>
    <row r="924">
      <c r="A924" s="501"/>
      <c r="B924" s="501"/>
      <c r="C924" s="501"/>
      <c r="D924" s="501"/>
      <c r="E924" s="501"/>
      <c r="F924" s="501"/>
      <c r="G924" s="501"/>
      <c r="H924" s="501"/>
      <c r="I924" s="501"/>
    </row>
    <row r="925">
      <c r="A925" s="501"/>
      <c r="B925" s="501"/>
      <c r="C925" s="501"/>
      <c r="D925" s="501"/>
      <c r="E925" s="501"/>
      <c r="F925" s="501"/>
      <c r="G925" s="501"/>
      <c r="H925" s="501"/>
      <c r="I925" s="501"/>
    </row>
    <row r="926">
      <c r="A926" s="501"/>
      <c r="B926" s="501"/>
      <c r="C926" s="501"/>
      <c r="D926" s="501"/>
      <c r="E926" s="501"/>
      <c r="F926" s="501"/>
      <c r="G926" s="501"/>
      <c r="H926" s="501"/>
      <c r="I926" s="501"/>
    </row>
    <row r="927">
      <c r="A927" s="501"/>
      <c r="B927" s="501"/>
      <c r="C927" s="501"/>
      <c r="D927" s="501"/>
      <c r="E927" s="501"/>
      <c r="F927" s="501"/>
      <c r="G927" s="501"/>
      <c r="H927" s="501"/>
      <c r="I927" s="501"/>
    </row>
    <row r="928">
      <c r="A928" s="501"/>
      <c r="B928" s="501"/>
      <c r="C928" s="501"/>
      <c r="D928" s="501"/>
      <c r="E928" s="501"/>
      <c r="F928" s="501"/>
      <c r="G928" s="501"/>
      <c r="H928" s="501"/>
      <c r="I928" s="501"/>
    </row>
    <row r="929">
      <c r="A929" s="501"/>
      <c r="B929" s="501"/>
      <c r="C929" s="501"/>
      <c r="D929" s="501"/>
      <c r="E929" s="501"/>
      <c r="F929" s="501"/>
      <c r="G929" s="501"/>
      <c r="H929" s="501"/>
      <c r="I929" s="501"/>
    </row>
    <row r="930">
      <c r="A930" s="501"/>
      <c r="B930" s="501"/>
      <c r="C930" s="501"/>
      <c r="D930" s="501"/>
      <c r="E930" s="501"/>
      <c r="F930" s="501"/>
      <c r="G930" s="501"/>
      <c r="H930" s="501"/>
      <c r="I930" s="501"/>
    </row>
    <row r="931">
      <c r="A931" s="501"/>
      <c r="B931" s="501"/>
      <c r="C931" s="501"/>
      <c r="D931" s="501"/>
      <c r="E931" s="501"/>
      <c r="F931" s="501"/>
      <c r="G931" s="501"/>
      <c r="H931" s="501"/>
      <c r="I931" s="501"/>
    </row>
    <row r="932">
      <c r="A932" s="501"/>
      <c r="B932" s="501"/>
      <c r="C932" s="501"/>
      <c r="D932" s="501"/>
      <c r="E932" s="501"/>
      <c r="F932" s="501"/>
      <c r="G932" s="501"/>
      <c r="H932" s="501"/>
      <c r="I932" s="501"/>
    </row>
    <row r="933">
      <c r="A933" s="501"/>
      <c r="B933" s="501"/>
      <c r="C933" s="501"/>
      <c r="D933" s="501"/>
      <c r="E933" s="501"/>
      <c r="F933" s="501"/>
      <c r="G933" s="501"/>
      <c r="H933" s="501"/>
      <c r="I933" s="501"/>
    </row>
    <row r="934">
      <c r="A934" s="501"/>
      <c r="B934" s="501"/>
      <c r="C934" s="501"/>
      <c r="D934" s="501"/>
      <c r="E934" s="501"/>
      <c r="F934" s="501"/>
      <c r="G934" s="501"/>
      <c r="H934" s="501"/>
      <c r="I934" s="501"/>
    </row>
    <row r="935">
      <c r="A935" s="501"/>
      <c r="B935" s="501"/>
      <c r="C935" s="501"/>
      <c r="D935" s="501"/>
      <c r="E935" s="501"/>
      <c r="F935" s="501"/>
      <c r="G935" s="501"/>
      <c r="H935" s="501"/>
      <c r="I935" s="501"/>
    </row>
    <row r="936">
      <c r="A936" s="501"/>
      <c r="B936" s="501"/>
      <c r="C936" s="501"/>
      <c r="D936" s="501"/>
      <c r="E936" s="501"/>
      <c r="F936" s="501"/>
      <c r="G936" s="501"/>
      <c r="H936" s="501"/>
      <c r="I936" s="501"/>
    </row>
    <row r="937">
      <c r="A937" s="501"/>
      <c r="B937" s="501"/>
      <c r="C937" s="501"/>
      <c r="D937" s="501"/>
      <c r="E937" s="501"/>
      <c r="F937" s="501"/>
      <c r="G937" s="501"/>
      <c r="H937" s="501"/>
      <c r="I937" s="501"/>
    </row>
    <row r="938">
      <c r="A938" s="501"/>
      <c r="B938" s="501"/>
      <c r="C938" s="501"/>
      <c r="D938" s="501"/>
      <c r="E938" s="501"/>
      <c r="F938" s="501"/>
      <c r="G938" s="501"/>
      <c r="H938" s="501"/>
      <c r="I938" s="501"/>
    </row>
    <row r="939">
      <c r="A939" s="501"/>
      <c r="B939" s="501"/>
      <c r="C939" s="501"/>
      <c r="D939" s="501"/>
      <c r="E939" s="501"/>
      <c r="F939" s="501"/>
      <c r="G939" s="501"/>
      <c r="H939" s="501"/>
      <c r="I939" s="501"/>
    </row>
    <row r="940">
      <c r="A940" s="501"/>
      <c r="B940" s="501"/>
      <c r="C940" s="501"/>
      <c r="D940" s="501"/>
      <c r="E940" s="501"/>
      <c r="F940" s="501"/>
      <c r="G940" s="501"/>
      <c r="H940" s="501"/>
      <c r="I940" s="501"/>
    </row>
    <row r="941">
      <c r="A941" s="501"/>
      <c r="B941" s="501"/>
      <c r="C941" s="501"/>
      <c r="D941" s="501"/>
      <c r="E941" s="501"/>
      <c r="F941" s="501"/>
      <c r="G941" s="501"/>
      <c r="H941" s="501"/>
      <c r="I941" s="501"/>
    </row>
    <row r="942">
      <c r="A942" s="501"/>
      <c r="B942" s="501"/>
      <c r="C942" s="501"/>
      <c r="D942" s="501"/>
      <c r="E942" s="501"/>
      <c r="F942" s="501"/>
      <c r="G942" s="501"/>
      <c r="H942" s="501"/>
      <c r="I942" s="501"/>
    </row>
    <row r="943">
      <c r="A943" s="501"/>
      <c r="B943" s="501"/>
      <c r="C943" s="501"/>
      <c r="D943" s="501"/>
      <c r="E943" s="501"/>
      <c r="F943" s="501"/>
      <c r="G943" s="501"/>
      <c r="H943" s="501"/>
      <c r="I943" s="501"/>
    </row>
    <row r="944">
      <c r="A944" s="501"/>
      <c r="B944" s="501"/>
      <c r="C944" s="501"/>
      <c r="D944" s="501"/>
      <c r="E944" s="501"/>
      <c r="F944" s="501"/>
      <c r="G944" s="501"/>
      <c r="H944" s="501"/>
      <c r="I944" s="501"/>
    </row>
    <row r="945">
      <c r="A945" s="501"/>
      <c r="B945" s="501"/>
      <c r="C945" s="501"/>
      <c r="D945" s="501"/>
      <c r="E945" s="501"/>
      <c r="F945" s="501"/>
      <c r="G945" s="501"/>
      <c r="H945" s="501"/>
      <c r="I945" s="501"/>
    </row>
    <row r="946">
      <c r="A946" s="501"/>
      <c r="B946" s="501"/>
      <c r="C946" s="501"/>
      <c r="D946" s="501"/>
      <c r="E946" s="501"/>
      <c r="F946" s="501"/>
      <c r="G946" s="501"/>
      <c r="H946" s="501"/>
      <c r="I946" s="501"/>
    </row>
    <row r="947">
      <c r="A947" s="501"/>
      <c r="B947" s="501"/>
      <c r="C947" s="501"/>
      <c r="D947" s="501"/>
      <c r="E947" s="501"/>
      <c r="F947" s="501"/>
      <c r="G947" s="501"/>
      <c r="H947" s="501"/>
      <c r="I947" s="501"/>
    </row>
    <row r="948">
      <c r="A948" s="501"/>
      <c r="B948" s="501"/>
      <c r="C948" s="501"/>
      <c r="D948" s="501"/>
      <c r="E948" s="501"/>
      <c r="F948" s="501"/>
      <c r="G948" s="501"/>
      <c r="H948" s="501"/>
      <c r="I948" s="501"/>
    </row>
    <row r="949">
      <c r="A949" s="501"/>
      <c r="B949" s="501"/>
      <c r="C949" s="501"/>
      <c r="D949" s="501"/>
      <c r="E949" s="501"/>
      <c r="F949" s="501"/>
      <c r="G949" s="501"/>
      <c r="H949" s="501"/>
      <c r="I949" s="501"/>
    </row>
    <row r="950">
      <c r="A950" s="501"/>
      <c r="B950" s="501"/>
      <c r="C950" s="501"/>
      <c r="D950" s="501"/>
      <c r="E950" s="501"/>
      <c r="F950" s="501"/>
      <c r="G950" s="501"/>
      <c r="H950" s="501"/>
      <c r="I950" s="501"/>
    </row>
    <row r="951">
      <c r="A951" s="501"/>
      <c r="B951" s="501"/>
      <c r="C951" s="501"/>
      <c r="D951" s="501"/>
      <c r="E951" s="501"/>
      <c r="F951" s="501"/>
      <c r="G951" s="501"/>
      <c r="H951" s="501"/>
      <c r="I951" s="501"/>
    </row>
    <row r="952">
      <c r="A952" s="501"/>
      <c r="B952" s="501"/>
      <c r="C952" s="501"/>
      <c r="D952" s="501"/>
      <c r="E952" s="501"/>
      <c r="F952" s="501"/>
      <c r="G952" s="501"/>
      <c r="H952" s="501"/>
      <c r="I952" s="501"/>
    </row>
    <row r="953">
      <c r="A953" s="501"/>
      <c r="B953" s="501"/>
      <c r="C953" s="501"/>
      <c r="D953" s="501"/>
      <c r="E953" s="501"/>
      <c r="F953" s="501"/>
      <c r="G953" s="501"/>
      <c r="H953" s="501"/>
      <c r="I953" s="501"/>
    </row>
    <row r="954">
      <c r="A954" s="501"/>
      <c r="B954" s="501"/>
      <c r="C954" s="501"/>
      <c r="D954" s="501"/>
      <c r="E954" s="501"/>
      <c r="F954" s="501"/>
      <c r="G954" s="501"/>
      <c r="H954" s="501"/>
      <c r="I954" s="501"/>
    </row>
    <row r="955">
      <c r="A955" s="501"/>
      <c r="B955" s="501"/>
      <c r="C955" s="501"/>
      <c r="D955" s="501"/>
      <c r="E955" s="501"/>
      <c r="F955" s="501"/>
      <c r="G955" s="501"/>
      <c r="H955" s="501"/>
      <c r="I955" s="501"/>
    </row>
    <row r="956">
      <c r="A956" s="501"/>
      <c r="B956" s="501"/>
      <c r="C956" s="501"/>
      <c r="D956" s="501"/>
      <c r="E956" s="501"/>
      <c r="F956" s="501"/>
      <c r="G956" s="501"/>
      <c r="H956" s="501"/>
      <c r="I956" s="501"/>
    </row>
    <row r="957">
      <c r="A957" s="501"/>
      <c r="B957" s="501"/>
      <c r="C957" s="501"/>
      <c r="D957" s="501"/>
      <c r="E957" s="501"/>
      <c r="F957" s="501"/>
      <c r="G957" s="501"/>
      <c r="H957" s="501"/>
      <c r="I957" s="501"/>
    </row>
    <row r="958">
      <c r="A958" s="501"/>
      <c r="B958" s="501"/>
      <c r="C958" s="501"/>
      <c r="D958" s="501"/>
      <c r="E958" s="501"/>
      <c r="F958" s="501"/>
      <c r="G958" s="501"/>
      <c r="H958" s="501"/>
      <c r="I958" s="501"/>
    </row>
    <row r="959">
      <c r="A959" s="501"/>
      <c r="B959" s="501"/>
      <c r="C959" s="501"/>
      <c r="D959" s="501"/>
      <c r="E959" s="501"/>
      <c r="F959" s="501"/>
      <c r="G959" s="501"/>
      <c r="H959" s="501"/>
      <c r="I959" s="501"/>
    </row>
    <row r="960">
      <c r="A960" s="501"/>
      <c r="B960" s="501"/>
      <c r="C960" s="501"/>
      <c r="D960" s="501"/>
      <c r="E960" s="501"/>
      <c r="F960" s="501"/>
      <c r="G960" s="501"/>
      <c r="H960" s="501"/>
      <c r="I960" s="501"/>
    </row>
    <row r="961">
      <c r="A961" s="501"/>
      <c r="B961" s="501"/>
      <c r="C961" s="501"/>
      <c r="D961" s="501"/>
      <c r="E961" s="501"/>
      <c r="F961" s="501"/>
      <c r="G961" s="501"/>
      <c r="H961" s="501"/>
      <c r="I961" s="501"/>
    </row>
    <row r="962">
      <c r="A962" s="501"/>
      <c r="B962" s="501"/>
      <c r="C962" s="501"/>
      <c r="D962" s="501"/>
      <c r="E962" s="501"/>
      <c r="F962" s="501"/>
      <c r="G962" s="501"/>
      <c r="H962" s="501"/>
      <c r="I962" s="501"/>
    </row>
    <row r="963">
      <c r="A963" s="501"/>
      <c r="B963" s="501"/>
      <c r="C963" s="501"/>
      <c r="D963" s="501"/>
      <c r="E963" s="501"/>
      <c r="F963" s="501"/>
      <c r="G963" s="501"/>
      <c r="H963" s="501"/>
      <c r="I963" s="501"/>
    </row>
    <row r="964">
      <c r="A964" s="501"/>
      <c r="B964" s="501"/>
      <c r="C964" s="501"/>
      <c r="D964" s="501"/>
      <c r="E964" s="501"/>
      <c r="F964" s="501"/>
      <c r="G964" s="501"/>
      <c r="H964" s="501"/>
      <c r="I964" s="501"/>
    </row>
    <row r="965">
      <c r="A965" s="501"/>
      <c r="B965" s="501"/>
      <c r="C965" s="501"/>
      <c r="D965" s="501"/>
      <c r="E965" s="501"/>
      <c r="F965" s="501"/>
      <c r="G965" s="501"/>
      <c r="H965" s="501"/>
      <c r="I965" s="501"/>
    </row>
    <row r="966">
      <c r="A966" s="501"/>
      <c r="B966" s="501"/>
      <c r="C966" s="501"/>
      <c r="D966" s="501"/>
      <c r="E966" s="501"/>
      <c r="F966" s="501"/>
      <c r="G966" s="501"/>
      <c r="H966" s="501"/>
      <c r="I966" s="501"/>
    </row>
    <row r="967">
      <c r="A967" s="501"/>
      <c r="B967" s="501"/>
      <c r="C967" s="501"/>
      <c r="D967" s="501"/>
      <c r="E967" s="501"/>
      <c r="F967" s="501"/>
      <c r="G967" s="501"/>
      <c r="H967" s="501"/>
      <c r="I967" s="501"/>
    </row>
    <row r="968">
      <c r="A968" s="501"/>
      <c r="B968" s="501"/>
      <c r="C968" s="501"/>
      <c r="D968" s="501"/>
      <c r="E968" s="501"/>
      <c r="F968" s="501"/>
      <c r="G968" s="501"/>
      <c r="H968" s="501"/>
      <c r="I968" s="501"/>
    </row>
    <row r="969">
      <c r="A969" s="501"/>
      <c r="B969" s="501"/>
      <c r="C969" s="501"/>
      <c r="D969" s="501"/>
      <c r="E969" s="501"/>
      <c r="F969" s="501"/>
      <c r="G969" s="501"/>
      <c r="H969" s="501"/>
      <c r="I969" s="501"/>
    </row>
    <row r="970">
      <c r="A970" s="501"/>
      <c r="B970" s="501"/>
      <c r="C970" s="501"/>
      <c r="D970" s="501"/>
      <c r="E970" s="501"/>
      <c r="F970" s="501"/>
      <c r="G970" s="501"/>
      <c r="H970" s="501"/>
      <c r="I970" s="501"/>
    </row>
    <row r="971">
      <c r="A971" s="501"/>
      <c r="B971" s="501"/>
      <c r="C971" s="501"/>
      <c r="D971" s="501"/>
      <c r="E971" s="501"/>
      <c r="F971" s="501"/>
      <c r="G971" s="501"/>
      <c r="H971" s="501"/>
      <c r="I971" s="501"/>
    </row>
    <row r="972">
      <c r="A972" s="501"/>
      <c r="B972" s="501"/>
      <c r="C972" s="501"/>
      <c r="D972" s="501"/>
      <c r="E972" s="501"/>
      <c r="F972" s="501"/>
      <c r="G972" s="501"/>
      <c r="H972" s="501"/>
      <c r="I972" s="501"/>
    </row>
    <row r="973">
      <c r="A973" s="501"/>
      <c r="B973" s="501"/>
      <c r="C973" s="501"/>
      <c r="D973" s="501"/>
      <c r="E973" s="501"/>
      <c r="F973" s="501"/>
      <c r="G973" s="501"/>
      <c r="H973" s="501"/>
      <c r="I973" s="501"/>
    </row>
    <row r="974">
      <c r="A974" s="501"/>
      <c r="B974" s="501"/>
      <c r="C974" s="501"/>
      <c r="D974" s="501"/>
      <c r="E974" s="501"/>
      <c r="F974" s="501"/>
      <c r="G974" s="501"/>
      <c r="H974" s="501"/>
      <c r="I974" s="501"/>
    </row>
    <row r="975">
      <c r="A975" s="501"/>
      <c r="B975" s="501"/>
      <c r="C975" s="501"/>
      <c r="D975" s="501"/>
      <c r="E975" s="501"/>
      <c r="F975" s="501"/>
      <c r="G975" s="501"/>
      <c r="H975" s="501"/>
      <c r="I975" s="501"/>
    </row>
    <row r="976">
      <c r="A976" s="501"/>
      <c r="B976" s="501"/>
      <c r="C976" s="501"/>
      <c r="D976" s="501"/>
      <c r="E976" s="501"/>
      <c r="F976" s="501"/>
      <c r="G976" s="501"/>
      <c r="H976" s="501"/>
      <c r="I976" s="501"/>
    </row>
    <row r="977">
      <c r="A977" s="501"/>
      <c r="B977" s="501"/>
      <c r="C977" s="501"/>
      <c r="D977" s="501"/>
      <c r="E977" s="501"/>
      <c r="F977" s="501"/>
      <c r="G977" s="501"/>
      <c r="H977" s="501"/>
      <c r="I977" s="501"/>
    </row>
    <row r="978">
      <c r="A978" s="501"/>
      <c r="B978" s="501"/>
      <c r="C978" s="501"/>
      <c r="D978" s="501"/>
      <c r="E978" s="501"/>
      <c r="F978" s="501"/>
      <c r="G978" s="501"/>
      <c r="H978" s="501"/>
      <c r="I978" s="501"/>
    </row>
    <row r="979">
      <c r="A979" s="501"/>
      <c r="B979" s="501"/>
      <c r="C979" s="501"/>
      <c r="D979" s="501"/>
      <c r="E979" s="501"/>
      <c r="F979" s="501"/>
      <c r="G979" s="501"/>
      <c r="H979" s="501"/>
      <c r="I979" s="501"/>
    </row>
    <row r="980">
      <c r="A980" s="501"/>
      <c r="B980" s="501"/>
      <c r="C980" s="501"/>
      <c r="D980" s="501"/>
      <c r="E980" s="501"/>
      <c r="F980" s="501"/>
      <c r="G980" s="501"/>
      <c r="H980" s="501"/>
      <c r="I980" s="501"/>
    </row>
    <row r="981">
      <c r="A981" s="501"/>
      <c r="B981" s="501"/>
      <c r="C981" s="501"/>
      <c r="D981" s="501"/>
      <c r="E981" s="501"/>
      <c r="F981" s="501"/>
      <c r="G981" s="501"/>
      <c r="H981" s="501"/>
      <c r="I981" s="501"/>
    </row>
    <row r="982">
      <c r="A982" s="501"/>
      <c r="B982" s="501"/>
      <c r="C982" s="501"/>
      <c r="D982" s="501"/>
      <c r="E982" s="501"/>
      <c r="F982" s="501"/>
      <c r="G982" s="501"/>
      <c r="H982" s="501"/>
      <c r="I982" s="501"/>
    </row>
    <row r="983">
      <c r="A983" s="501"/>
      <c r="B983" s="501"/>
      <c r="C983" s="501"/>
      <c r="D983" s="501"/>
      <c r="E983" s="501"/>
      <c r="F983" s="501"/>
      <c r="G983" s="501"/>
      <c r="H983" s="501"/>
      <c r="I983" s="501"/>
    </row>
    <row r="984">
      <c r="A984" s="501"/>
      <c r="B984" s="501"/>
      <c r="C984" s="501"/>
      <c r="D984" s="501"/>
      <c r="E984" s="501"/>
      <c r="F984" s="501"/>
      <c r="G984" s="501"/>
      <c r="H984" s="501"/>
      <c r="I984" s="501"/>
    </row>
    <row r="985">
      <c r="A985" s="501"/>
      <c r="B985" s="501"/>
      <c r="C985" s="501"/>
      <c r="D985" s="501"/>
      <c r="E985" s="501"/>
      <c r="F985" s="501"/>
      <c r="G985" s="501"/>
      <c r="H985" s="501"/>
      <c r="I985" s="501"/>
    </row>
    <row r="986">
      <c r="A986" s="501"/>
      <c r="B986" s="501"/>
      <c r="C986" s="501"/>
      <c r="D986" s="501"/>
      <c r="E986" s="501"/>
      <c r="F986" s="501"/>
      <c r="G986" s="501"/>
      <c r="H986" s="501"/>
      <c r="I986" s="501"/>
    </row>
    <row r="987">
      <c r="A987" s="501"/>
      <c r="B987" s="501"/>
      <c r="C987" s="501"/>
      <c r="D987" s="501"/>
      <c r="E987" s="501"/>
      <c r="F987" s="501"/>
      <c r="G987" s="501"/>
      <c r="H987" s="501"/>
      <c r="I987" s="501"/>
    </row>
    <row r="988">
      <c r="A988" s="501"/>
      <c r="B988" s="501"/>
      <c r="C988" s="501"/>
      <c r="D988" s="501"/>
      <c r="E988" s="501"/>
      <c r="F988" s="501"/>
      <c r="G988" s="501"/>
      <c r="H988" s="501"/>
      <c r="I988" s="501"/>
    </row>
    <row r="989">
      <c r="A989" s="501"/>
      <c r="B989" s="501"/>
      <c r="C989" s="501"/>
      <c r="D989" s="501"/>
      <c r="E989" s="501"/>
      <c r="F989" s="501"/>
      <c r="G989" s="501"/>
      <c r="H989" s="501"/>
      <c r="I989" s="501"/>
    </row>
    <row r="990">
      <c r="A990" s="501"/>
      <c r="B990" s="501"/>
      <c r="C990" s="501"/>
      <c r="D990" s="501"/>
      <c r="E990" s="501"/>
      <c r="F990" s="501"/>
      <c r="G990" s="501"/>
      <c r="H990" s="501"/>
      <c r="I990" s="501"/>
    </row>
    <row r="991">
      <c r="A991" s="501"/>
      <c r="B991" s="501"/>
      <c r="C991" s="501"/>
      <c r="D991" s="501"/>
      <c r="E991" s="501"/>
      <c r="F991" s="501"/>
      <c r="G991" s="501"/>
      <c r="H991" s="501"/>
      <c r="I991" s="501"/>
    </row>
    <row r="992">
      <c r="A992" s="501"/>
      <c r="B992" s="501"/>
      <c r="C992" s="501"/>
      <c r="D992" s="501"/>
      <c r="E992" s="501"/>
      <c r="F992" s="501"/>
      <c r="G992" s="501"/>
      <c r="H992" s="501"/>
      <c r="I992" s="501"/>
    </row>
    <row r="993">
      <c r="A993" s="501"/>
      <c r="B993" s="501"/>
      <c r="C993" s="501"/>
      <c r="D993" s="501"/>
      <c r="E993" s="501"/>
      <c r="F993" s="501"/>
      <c r="G993" s="501"/>
      <c r="H993" s="501"/>
      <c r="I993" s="501"/>
    </row>
    <row r="994">
      <c r="A994" s="501"/>
      <c r="B994" s="501"/>
      <c r="C994" s="501"/>
      <c r="D994" s="501"/>
      <c r="E994" s="501"/>
      <c r="F994" s="501"/>
      <c r="G994" s="501"/>
      <c r="H994" s="501"/>
      <c r="I994" s="501"/>
    </row>
    <row r="995">
      <c r="A995" s="501"/>
      <c r="B995" s="501"/>
      <c r="C995" s="501"/>
      <c r="D995" s="501"/>
      <c r="E995" s="501"/>
      <c r="F995" s="501"/>
      <c r="G995" s="501"/>
      <c r="H995" s="501"/>
      <c r="I995" s="501"/>
    </row>
    <row r="996">
      <c r="A996" s="501"/>
      <c r="B996" s="501"/>
      <c r="C996" s="501"/>
      <c r="D996" s="501"/>
      <c r="E996" s="501"/>
      <c r="F996" s="501"/>
      <c r="G996" s="501"/>
      <c r="H996" s="501"/>
      <c r="I996" s="501"/>
    </row>
    <row r="997">
      <c r="A997" s="501"/>
      <c r="B997" s="501"/>
      <c r="C997" s="501"/>
      <c r="D997" s="501"/>
      <c r="E997" s="501"/>
      <c r="F997" s="501"/>
      <c r="G997" s="501"/>
      <c r="H997" s="501"/>
      <c r="I997" s="501"/>
    </row>
    <row r="998">
      <c r="A998" s="501"/>
      <c r="B998" s="501"/>
      <c r="C998" s="501"/>
      <c r="D998" s="501"/>
      <c r="E998" s="501"/>
      <c r="F998" s="501"/>
      <c r="G998" s="501"/>
      <c r="H998" s="501"/>
      <c r="I998" s="501"/>
    </row>
    <row r="999">
      <c r="A999" s="501"/>
      <c r="B999" s="501"/>
      <c r="C999" s="501"/>
      <c r="D999" s="501"/>
      <c r="E999" s="501"/>
      <c r="F999" s="501"/>
      <c r="G999" s="501"/>
      <c r="H999" s="501"/>
      <c r="I999" s="501"/>
    </row>
    <row r="1000">
      <c r="A1000" s="501"/>
      <c r="B1000" s="501"/>
      <c r="C1000" s="501"/>
      <c r="D1000" s="501"/>
      <c r="E1000" s="501"/>
      <c r="F1000" s="501"/>
      <c r="G1000" s="501"/>
      <c r="H1000" s="501"/>
      <c r="I1000" s="501"/>
    </row>
  </sheetData>
  <mergeCells count="1">
    <mergeCell ref="A1:E1"/>
  </mergeCells>
  <conditionalFormatting sqref="A1:I1000">
    <cfRule type="notContainsBlanks" dxfId="67" priority="1">
      <formula>LEN(TRIM(A1))&gt;0</formula>
    </cfRule>
  </conditionalFormatting>
  <dataValidations>
    <dataValidation type="list" allowBlank="1" sqref="F1">
      <formula1>$A$3:$A$1000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63"/>
    <col customWidth="1" min="2" max="2" width="15.13"/>
    <col customWidth="1" min="3" max="3" width="5.88"/>
    <col customWidth="1" min="4" max="8" width="17.25"/>
  </cols>
  <sheetData>
    <row r="1">
      <c r="A1" s="503" t="s">
        <v>324</v>
      </c>
      <c r="B1" s="504"/>
      <c r="C1" s="505"/>
      <c r="D1" s="506" t="s">
        <v>325</v>
      </c>
      <c r="E1" s="507"/>
      <c r="F1" s="507"/>
      <c r="G1" s="508"/>
      <c r="H1" s="505"/>
    </row>
    <row r="2">
      <c r="A2" s="509" t="s">
        <v>326</v>
      </c>
      <c r="B2" s="510" t="s">
        <v>327</v>
      </c>
      <c r="C2" s="505"/>
      <c r="D2" s="511" t="s">
        <v>328</v>
      </c>
      <c r="E2" s="512" t="s">
        <v>329</v>
      </c>
      <c r="F2" s="505" t="s">
        <v>330</v>
      </c>
      <c r="G2" s="513" t="s">
        <v>331</v>
      </c>
      <c r="H2" s="505"/>
    </row>
    <row r="3">
      <c r="A3" s="514">
        <v>514183.0</v>
      </c>
      <c r="B3" s="515" t="s">
        <v>332</v>
      </c>
      <c r="C3" s="516"/>
      <c r="D3" s="517">
        <v>2021.0</v>
      </c>
      <c r="E3" s="516">
        <v>2966.04</v>
      </c>
      <c r="F3" s="516">
        <v>0.0</v>
      </c>
      <c r="G3" s="518">
        <v>0.0</v>
      </c>
      <c r="H3" s="516"/>
    </row>
    <row r="4">
      <c r="A4" s="519">
        <v>531739.0</v>
      </c>
      <c r="B4" s="520" t="s">
        <v>333</v>
      </c>
      <c r="C4" s="521"/>
      <c r="D4" s="517">
        <v>2022.0</v>
      </c>
      <c r="E4" s="516">
        <v>752.52</v>
      </c>
      <c r="F4" s="521">
        <v>0.0</v>
      </c>
      <c r="G4" s="522">
        <v>0.0</v>
      </c>
      <c r="H4" s="521"/>
    </row>
    <row r="5">
      <c r="A5" s="523" t="s">
        <v>276</v>
      </c>
      <c r="B5" s="520" t="s">
        <v>45</v>
      </c>
      <c r="C5" s="524"/>
      <c r="D5" s="517">
        <v>2023.0</v>
      </c>
      <c r="E5" s="525"/>
      <c r="F5" s="524"/>
      <c r="G5" s="526"/>
      <c r="H5" s="524"/>
    </row>
    <row r="6">
      <c r="A6" s="527" t="s">
        <v>334</v>
      </c>
      <c r="B6" s="520" t="s">
        <v>183</v>
      </c>
      <c r="C6" s="524"/>
      <c r="D6" s="517">
        <v>2024.0</v>
      </c>
      <c r="E6" s="525"/>
      <c r="F6" s="524"/>
      <c r="G6" s="526"/>
      <c r="H6" s="524"/>
    </row>
    <row r="7">
      <c r="A7" s="527" t="s">
        <v>335</v>
      </c>
      <c r="B7" s="520" t="s">
        <v>184</v>
      </c>
      <c r="C7" s="524"/>
      <c r="D7" s="517">
        <v>2025.0</v>
      </c>
      <c r="E7" s="524"/>
      <c r="F7" s="524"/>
      <c r="G7" s="526"/>
      <c r="H7" s="524"/>
    </row>
    <row r="8">
      <c r="A8" s="528" t="s">
        <v>336</v>
      </c>
      <c r="B8" s="520" t="s">
        <v>337</v>
      </c>
      <c r="C8" s="524"/>
      <c r="D8" s="517">
        <v>2026.0</v>
      </c>
      <c r="E8" s="524"/>
      <c r="F8" s="524"/>
      <c r="G8" s="526"/>
      <c r="H8" s="524"/>
    </row>
    <row r="9">
      <c r="A9" s="528" t="s">
        <v>5</v>
      </c>
      <c r="B9" s="520" t="s">
        <v>338</v>
      </c>
      <c r="C9" s="524"/>
      <c r="D9" s="517">
        <v>2027.0</v>
      </c>
      <c r="E9" s="524"/>
      <c r="F9" s="524"/>
      <c r="G9" s="526"/>
      <c r="H9" s="524"/>
    </row>
    <row r="10">
      <c r="A10" s="528" t="s">
        <v>339</v>
      </c>
      <c r="B10" s="529"/>
      <c r="C10" s="524"/>
      <c r="D10" s="517">
        <v>2028.0</v>
      </c>
      <c r="E10" s="524"/>
      <c r="F10" s="524"/>
      <c r="G10" s="526"/>
      <c r="H10" s="524"/>
    </row>
    <row r="11">
      <c r="A11" s="528" t="s">
        <v>340</v>
      </c>
      <c r="B11" s="529"/>
      <c r="C11" s="524"/>
      <c r="D11" s="517">
        <v>2029.0</v>
      </c>
      <c r="E11" s="524"/>
      <c r="F11" s="524"/>
      <c r="G11" s="526"/>
      <c r="H11" s="524"/>
    </row>
    <row r="12">
      <c r="A12" s="528" t="s">
        <v>341</v>
      </c>
      <c r="B12" s="529"/>
      <c r="C12" s="524"/>
      <c r="D12" s="517">
        <v>2030.0</v>
      </c>
      <c r="E12" s="524"/>
      <c r="F12" s="524"/>
      <c r="G12" s="526"/>
      <c r="H12" s="524"/>
    </row>
    <row r="13">
      <c r="A13" s="527" t="s">
        <v>342</v>
      </c>
      <c r="B13" s="529"/>
      <c r="C13" s="524"/>
      <c r="D13" s="530">
        <v>2031.0</v>
      </c>
      <c r="E13" s="531"/>
      <c r="F13" s="531"/>
      <c r="G13" s="532"/>
      <c r="H13" s="524"/>
    </row>
    <row r="14">
      <c r="A14" s="528" t="s">
        <v>343</v>
      </c>
      <c r="B14" s="529"/>
      <c r="C14" s="533"/>
      <c r="D14" s="534"/>
      <c r="E14" s="534"/>
      <c r="F14" s="533"/>
      <c r="G14" s="533"/>
      <c r="H14" s="533"/>
    </row>
    <row r="15">
      <c r="A15" s="528" t="s">
        <v>344</v>
      </c>
      <c r="B15" s="529"/>
      <c r="C15" s="535"/>
      <c r="D15" s="535"/>
      <c r="E15" s="535"/>
      <c r="F15" s="535"/>
      <c r="G15" s="535"/>
      <c r="H15" s="535"/>
    </row>
    <row r="16">
      <c r="A16" s="523" t="s">
        <v>345</v>
      </c>
      <c r="B16" s="529"/>
      <c r="C16" s="533"/>
      <c r="D16" s="533"/>
      <c r="E16" s="533"/>
      <c r="F16" s="533"/>
      <c r="G16" s="533"/>
      <c r="H16" s="533"/>
    </row>
    <row r="17">
      <c r="A17" s="528" t="s">
        <v>346</v>
      </c>
      <c r="B17" s="529"/>
      <c r="C17" s="533"/>
      <c r="D17" s="533"/>
      <c r="E17" s="533"/>
      <c r="F17" s="533"/>
      <c r="G17" s="533"/>
      <c r="H17" s="533"/>
    </row>
    <row r="18">
      <c r="A18" s="528" t="s">
        <v>347</v>
      </c>
      <c r="B18" s="529"/>
      <c r="C18" s="533"/>
      <c r="D18" s="533"/>
      <c r="E18" s="533"/>
      <c r="F18" s="533"/>
      <c r="G18" s="533"/>
      <c r="H18" s="533"/>
    </row>
    <row r="19">
      <c r="A19" s="528" t="s">
        <v>348</v>
      </c>
      <c r="B19" s="529"/>
      <c r="C19" s="533"/>
      <c r="D19" s="533"/>
      <c r="E19" s="533"/>
      <c r="F19" s="533"/>
      <c r="G19" s="533"/>
      <c r="H19" s="533"/>
    </row>
    <row r="20">
      <c r="A20" s="527" t="s">
        <v>349</v>
      </c>
      <c r="B20" s="529"/>
      <c r="C20" s="533"/>
      <c r="D20" s="533"/>
      <c r="E20" s="533"/>
      <c r="F20" s="533"/>
      <c r="G20" s="533"/>
      <c r="H20" s="533"/>
    </row>
    <row r="21">
      <c r="A21" s="528" t="s">
        <v>350</v>
      </c>
      <c r="B21" s="529"/>
      <c r="C21" s="533"/>
      <c r="D21" s="533"/>
      <c r="E21" s="533"/>
      <c r="F21" s="533"/>
      <c r="G21" s="533"/>
      <c r="H21" s="533"/>
    </row>
    <row r="22">
      <c r="A22" s="528" t="s">
        <v>351</v>
      </c>
      <c r="B22" s="529"/>
      <c r="C22" s="533"/>
      <c r="D22" s="533"/>
      <c r="E22" s="533"/>
      <c r="F22" s="533"/>
      <c r="G22" s="533"/>
      <c r="H22" s="533"/>
    </row>
    <row r="23">
      <c r="A23" s="528" t="s">
        <v>352</v>
      </c>
      <c r="B23" s="529"/>
      <c r="C23" s="533"/>
      <c r="D23" s="533"/>
      <c r="E23" s="533"/>
      <c r="F23" s="533"/>
      <c r="G23" s="533"/>
      <c r="H23" s="533"/>
    </row>
    <row r="24">
      <c r="A24" s="527" t="s">
        <v>353</v>
      </c>
      <c r="B24" s="529"/>
      <c r="C24" s="533"/>
      <c r="D24" s="533"/>
      <c r="E24" s="533"/>
      <c r="F24" s="533"/>
      <c r="G24" s="533"/>
      <c r="H24" s="533"/>
    </row>
    <row r="25">
      <c r="A25" s="528" t="s">
        <v>54</v>
      </c>
      <c r="B25" s="529"/>
      <c r="C25" s="533"/>
      <c r="D25" s="533"/>
      <c r="E25" s="533"/>
      <c r="F25" s="533"/>
      <c r="G25" s="533"/>
      <c r="H25" s="533"/>
    </row>
    <row r="26">
      <c r="A26" s="528" t="s">
        <v>354</v>
      </c>
      <c r="B26" s="529"/>
      <c r="C26" s="533"/>
      <c r="D26" s="533"/>
      <c r="E26" s="533"/>
      <c r="F26" s="533"/>
      <c r="G26" s="533"/>
      <c r="H26" s="533"/>
    </row>
    <row r="27">
      <c r="A27" s="528" t="s">
        <v>355</v>
      </c>
      <c r="B27" s="529"/>
      <c r="C27" s="533"/>
      <c r="D27" s="533"/>
      <c r="E27" s="533"/>
      <c r="F27" s="533"/>
      <c r="G27" s="533"/>
      <c r="H27" s="533"/>
    </row>
    <row r="28">
      <c r="A28" s="528" t="s">
        <v>356</v>
      </c>
      <c r="B28" s="529"/>
      <c r="C28" s="533"/>
      <c r="D28" s="533"/>
      <c r="E28" s="533"/>
      <c r="F28" s="533"/>
      <c r="G28" s="533"/>
      <c r="H28" s="533"/>
    </row>
    <row r="29">
      <c r="A29" s="528" t="s">
        <v>357</v>
      </c>
      <c r="B29" s="529"/>
      <c r="C29" s="533"/>
      <c r="D29" s="533"/>
      <c r="E29" s="533"/>
      <c r="F29" s="533"/>
      <c r="G29" s="533"/>
      <c r="H29" s="533"/>
    </row>
    <row r="30">
      <c r="A30" s="528" t="s">
        <v>358</v>
      </c>
      <c r="B30" s="529"/>
      <c r="C30" s="533"/>
      <c r="D30" s="533"/>
      <c r="E30" s="533"/>
      <c r="F30" s="533"/>
      <c r="G30" s="533"/>
      <c r="H30" s="533"/>
    </row>
    <row r="31">
      <c r="A31" s="528" t="s">
        <v>359</v>
      </c>
      <c r="B31" s="529"/>
      <c r="C31" s="533"/>
      <c r="D31" s="533"/>
      <c r="E31" s="533"/>
      <c r="F31" s="533"/>
      <c r="G31" s="533"/>
      <c r="H31" s="533"/>
    </row>
    <row r="32">
      <c r="A32" s="527" t="s">
        <v>360</v>
      </c>
      <c r="B32" s="529"/>
      <c r="C32" s="533"/>
      <c r="D32" s="533"/>
      <c r="E32" s="533"/>
      <c r="F32" s="533"/>
      <c r="G32" s="533"/>
      <c r="H32" s="533"/>
    </row>
    <row r="33">
      <c r="A33" s="528" t="s">
        <v>361</v>
      </c>
      <c r="B33" s="529"/>
      <c r="C33" s="533"/>
      <c r="D33" s="533"/>
      <c r="E33" s="533"/>
      <c r="F33" s="533"/>
      <c r="G33" s="533"/>
      <c r="H33" s="533"/>
    </row>
    <row r="34">
      <c r="A34" s="528" t="s">
        <v>362</v>
      </c>
      <c r="B34" s="529"/>
      <c r="C34" s="533"/>
      <c r="D34" s="533"/>
      <c r="E34" s="533"/>
      <c r="F34" s="533"/>
      <c r="G34" s="533"/>
      <c r="H34" s="533"/>
    </row>
    <row r="35">
      <c r="A35" s="528" t="s">
        <v>363</v>
      </c>
      <c r="B35" s="529"/>
      <c r="C35" s="533"/>
      <c r="D35" s="533"/>
      <c r="E35" s="533"/>
      <c r="F35" s="533"/>
      <c r="G35" s="533"/>
      <c r="H35" s="533"/>
    </row>
    <row r="36">
      <c r="A36" s="528" t="s">
        <v>364</v>
      </c>
      <c r="B36" s="529"/>
      <c r="C36" s="533"/>
      <c r="D36" s="533"/>
      <c r="E36" s="533"/>
      <c r="F36" s="533"/>
      <c r="G36" s="533"/>
      <c r="H36" s="533"/>
    </row>
    <row r="37">
      <c r="A37" s="528" t="s">
        <v>365</v>
      </c>
      <c r="B37" s="529"/>
      <c r="C37" s="533"/>
      <c r="D37" s="533"/>
      <c r="E37" s="533"/>
      <c r="F37" s="533"/>
      <c r="G37" s="533"/>
      <c r="H37" s="533"/>
    </row>
    <row r="38">
      <c r="A38" s="528" t="s">
        <v>366</v>
      </c>
      <c r="B38" s="529"/>
      <c r="C38" s="533"/>
      <c r="D38" s="533"/>
      <c r="E38" s="533"/>
      <c r="F38" s="533"/>
      <c r="G38" s="533"/>
      <c r="H38" s="533"/>
    </row>
    <row r="39">
      <c r="A39" s="527" t="s">
        <v>367</v>
      </c>
      <c r="B39" s="529"/>
      <c r="C39" s="533"/>
      <c r="D39" s="533"/>
      <c r="E39" s="533"/>
      <c r="F39" s="533"/>
      <c r="G39" s="533"/>
      <c r="H39" s="533"/>
    </row>
    <row r="40">
      <c r="A40" s="527" t="s">
        <v>368</v>
      </c>
      <c r="B40" s="529"/>
      <c r="C40" s="533"/>
      <c r="D40" s="533"/>
      <c r="E40" s="533"/>
      <c r="F40" s="533"/>
      <c r="G40" s="533"/>
      <c r="H40" s="533"/>
    </row>
    <row r="41">
      <c r="A41" s="528" t="s">
        <v>369</v>
      </c>
      <c r="B41" s="529"/>
      <c r="C41" s="533"/>
      <c r="D41" s="533"/>
      <c r="E41" s="533"/>
      <c r="F41" s="533"/>
      <c r="G41" s="533"/>
      <c r="H41" s="533"/>
    </row>
    <row r="42">
      <c r="A42" s="527" t="s">
        <v>182</v>
      </c>
      <c r="B42" s="529"/>
      <c r="C42" s="533"/>
      <c r="D42" s="533"/>
      <c r="E42" s="533"/>
      <c r="F42" s="533"/>
      <c r="G42" s="533"/>
      <c r="H42" s="533"/>
    </row>
    <row r="43">
      <c r="A43" s="528" t="s">
        <v>370</v>
      </c>
      <c r="B43" s="529"/>
      <c r="C43" s="533"/>
      <c r="D43" s="533"/>
      <c r="E43" s="533"/>
      <c r="F43" s="533"/>
      <c r="G43" s="533"/>
      <c r="H43" s="533"/>
    </row>
    <row r="44">
      <c r="A44" s="527" t="s">
        <v>371</v>
      </c>
      <c r="B44" s="529"/>
      <c r="C44" s="533"/>
      <c r="D44" s="533"/>
      <c r="E44" s="533"/>
      <c r="F44" s="533"/>
      <c r="G44" s="533"/>
      <c r="H44" s="533"/>
    </row>
    <row r="45">
      <c r="A45" s="528" t="s">
        <v>372</v>
      </c>
      <c r="B45" s="529"/>
      <c r="C45" s="533"/>
      <c r="D45" s="533"/>
      <c r="E45" s="533"/>
      <c r="F45" s="533"/>
      <c r="G45" s="533"/>
      <c r="H45" s="533"/>
    </row>
    <row r="46">
      <c r="A46" s="528" t="s">
        <v>373</v>
      </c>
      <c r="B46" s="529"/>
      <c r="C46" s="533"/>
      <c r="D46" s="533"/>
      <c r="E46" s="533"/>
      <c r="F46" s="533"/>
      <c r="G46" s="533"/>
      <c r="H46" s="533"/>
    </row>
    <row r="47">
      <c r="A47" s="528" t="s">
        <v>374</v>
      </c>
      <c r="B47" s="529"/>
      <c r="C47" s="533"/>
      <c r="D47" s="533"/>
      <c r="E47" s="533"/>
      <c r="F47" s="533"/>
      <c r="G47" s="533"/>
      <c r="H47" s="533"/>
    </row>
    <row r="48">
      <c r="A48" s="528" t="s">
        <v>375</v>
      </c>
      <c r="B48" s="529"/>
      <c r="C48" s="533"/>
      <c r="D48" s="533"/>
      <c r="E48" s="533"/>
      <c r="F48" s="533"/>
      <c r="G48" s="533"/>
      <c r="H48" s="533"/>
    </row>
    <row r="49">
      <c r="A49" s="528" t="s">
        <v>376</v>
      </c>
      <c r="B49" s="529"/>
      <c r="C49" s="533"/>
      <c r="D49" s="533"/>
      <c r="E49" s="533"/>
      <c r="F49" s="533"/>
      <c r="G49" s="533"/>
      <c r="H49" s="533"/>
    </row>
    <row r="50">
      <c r="A50" s="528" t="s">
        <v>377</v>
      </c>
      <c r="B50" s="529"/>
      <c r="C50" s="533"/>
      <c r="D50" s="533"/>
      <c r="E50" s="533"/>
      <c r="F50" s="533"/>
      <c r="G50" s="533"/>
      <c r="H50" s="533"/>
    </row>
    <row r="51">
      <c r="A51" s="528" t="s">
        <v>181</v>
      </c>
      <c r="B51" s="529"/>
      <c r="C51" s="533"/>
      <c r="D51" s="533"/>
      <c r="E51" s="533"/>
      <c r="F51" s="533"/>
      <c r="G51" s="533"/>
      <c r="H51" s="533"/>
    </row>
    <row r="52">
      <c r="A52" s="527" t="s">
        <v>378</v>
      </c>
      <c r="B52" s="529"/>
      <c r="C52" s="533"/>
      <c r="D52" s="533"/>
      <c r="E52" s="533"/>
      <c r="F52" s="533"/>
      <c r="G52" s="533"/>
      <c r="H52" s="533"/>
    </row>
    <row r="53">
      <c r="A53" s="528" t="s">
        <v>379</v>
      </c>
      <c r="B53" s="529"/>
      <c r="C53" s="533"/>
      <c r="D53" s="533"/>
      <c r="E53" s="533"/>
      <c r="F53" s="533"/>
      <c r="G53" s="533"/>
      <c r="H53" s="533"/>
    </row>
    <row r="54">
      <c r="A54" s="528" t="s">
        <v>380</v>
      </c>
      <c r="B54" s="529"/>
      <c r="C54" s="533"/>
      <c r="D54" s="533"/>
      <c r="E54" s="533"/>
      <c r="F54" s="533"/>
      <c r="G54" s="533"/>
      <c r="H54" s="533"/>
    </row>
    <row r="55">
      <c r="A55" s="528" t="s">
        <v>381</v>
      </c>
      <c r="B55" s="529"/>
      <c r="C55" s="533"/>
      <c r="D55" s="533"/>
      <c r="E55" s="533"/>
      <c r="F55" s="533"/>
      <c r="G55" s="533"/>
      <c r="H55" s="533"/>
    </row>
    <row r="56">
      <c r="A56" s="527" t="s">
        <v>382</v>
      </c>
      <c r="B56" s="529"/>
      <c r="C56" s="533"/>
      <c r="D56" s="533"/>
      <c r="E56" s="533"/>
      <c r="F56" s="533"/>
      <c r="G56" s="533"/>
      <c r="H56" s="533"/>
    </row>
    <row r="57">
      <c r="A57" s="527" t="s">
        <v>48</v>
      </c>
      <c r="B57" s="529"/>
      <c r="C57" s="533"/>
      <c r="D57" s="533"/>
      <c r="E57" s="533"/>
      <c r="F57" s="533"/>
      <c r="G57" s="533"/>
      <c r="H57" s="533"/>
    </row>
    <row r="58">
      <c r="A58" s="527" t="s">
        <v>383</v>
      </c>
      <c r="B58" s="529"/>
      <c r="C58" s="533"/>
      <c r="D58" s="533"/>
      <c r="E58" s="533"/>
      <c r="F58" s="533"/>
      <c r="G58" s="533"/>
      <c r="H58" s="533"/>
    </row>
    <row r="59">
      <c r="A59" s="536" t="s">
        <v>384</v>
      </c>
      <c r="B59" s="529"/>
      <c r="C59" s="533"/>
      <c r="D59" s="533"/>
      <c r="E59" s="533"/>
      <c r="F59" s="533"/>
      <c r="G59" s="533"/>
      <c r="H59" s="533"/>
    </row>
    <row r="60">
      <c r="A60" s="537" t="s">
        <v>385</v>
      </c>
      <c r="B60" s="538"/>
      <c r="C60" s="533"/>
      <c r="D60" s="533"/>
      <c r="E60" s="533"/>
      <c r="F60" s="533"/>
      <c r="G60" s="533"/>
      <c r="H60" s="533"/>
    </row>
    <row r="61">
      <c r="A61" s="539"/>
      <c r="B61" s="538"/>
      <c r="C61" s="533"/>
      <c r="D61" s="533"/>
      <c r="E61" s="533"/>
      <c r="F61" s="533"/>
      <c r="G61" s="533"/>
      <c r="H61" s="533"/>
    </row>
    <row r="62">
      <c r="A62" s="539"/>
      <c r="B62" s="538"/>
      <c r="C62" s="533"/>
      <c r="D62" s="533"/>
      <c r="E62" s="533"/>
      <c r="F62" s="533"/>
      <c r="G62" s="533"/>
      <c r="H62" s="533"/>
    </row>
    <row r="63">
      <c r="A63" s="539"/>
      <c r="B63" s="538"/>
      <c r="C63" s="533"/>
      <c r="D63" s="533"/>
      <c r="E63" s="533"/>
      <c r="F63" s="533"/>
      <c r="G63" s="533"/>
      <c r="H63" s="533"/>
    </row>
    <row r="64">
      <c r="A64" s="539"/>
      <c r="B64" s="538"/>
      <c r="C64" s="533"/>
      <c r="D64" s="533"/>
      <c r="E64" s="533"/>
      <c r="F64" s="533"/>
      <c r="G64" s="533"/>
      <c r="H64" s="533"/>
    </row>
    <row r="65">
      <c r="A65" s="539"/>
      <c r="B65" s="538"/>
      <c r="C65" s="533"/>
      <c r="D65" s="533"/>
      <c r="E65" s="533"/>
      <c r="F65" s="533"/>
      <c r="G65" s="533"/>
      <c r="H65" s="533"/>
    </row>
    <row r="66">
      <c r="A66" s="539"/>
      <c r="B66" s="538"/>
      <c r="C66" s="533"/>
      <c r="D66" s="533"/>
      <c r="E66" s="533"/>
      <c r="F66" s="533"/>
      <c r="G66" s="533"/>
      <c r="H66" s="533"/>
    </row>
    <row r="67">
      <c r="A67" s="539"/>
      <c r="B67" s="538"/>
      <c r="C67" s="533"/>
      <c r="D67" s="533"/>
      <c r="E67" s="533"/>
      <c r="F67" s="533"/>
      <c r="G67" s="533"/>
      <c r="H67" s="533"/>
    </row>
    <row r="68">
      <c r="A68" s="539"/>
      <c r="B68" s="538"/>
      <c r="C68" s="533"/>
      <c r="D68" s="533"/>
      <c r="E68" s="533"/>
      <c r="F68" s="533"/>
      <c r="G68" s="533"/>
      <c r="H68" s="533"/>
    </row>
    <row r="69">
      <c r="A69" s="539"/>
      <c r="B69" s="538"/>
      <c r="C69" s="533"/>
      <c r="D69" s="533"/>
      <c r="E69" s="533"/>
      <c r="F69" s="533"/>
      <c r="G69" s="533"/>
      <c r="H69" s="533"/>
    </row>
    <row r="70">
      <c r="A70" s="540"/>
      <c r="B70" s="529"/>
      <c r="C70" s="533"/>
      <c r="D70" s="533"/>
      <c r="E70" s="533"/>
      <c r="F70" s="533"/>
      <c r="G70" s="533"/>
      <c r="H70" s="533"/>
    </row>
    <row r="71">
      <c r="A71" s="540"/>
      <c r="B71" s="529"/>
      <c r="C71" s="533"/>
      <c r="D71" s="533"/>
      <c r="E71" s="533"/>
      <c r="F71" s="533"/>
      <c r="G71" s="533"/>
      <c r="H71" s="533"/>
    </row>
    <row r="72">
      <c r="A72" s="540"/>
      <c r="B72" s="529"/>
      <c r="C72" s="533"/>
      <c r="D72" s="533"/>
      <c r="E72" s="533"/>
      <c r="F72" s="533"/>
      <c r="G72" s="533"/>
      <c r="H72" s="533"/>
    </row>
    <row r="73">
      <c r="A73" s="540"/>
      <c r="B73" s="529"/>
      <c r="C73" s="533"/>
      <c r="D73" s="533"/>
      <c r="E73" s="533"/>
      <c r="F73" s="533"/>
      <c r="G73" s="533"/>
      <c r="H73" s="533"/>
    </row>
    <row r="74">
      <c r="A74" s="540"/>
      <c r="B74" s="529"/>
      <c r="C74" s="533"/>
      <c r="D74" s="533"/>
      <c r="E74" s="533"/>
      <c r="F74" s="533"/>
      <c r="G74" s="533"/>
      <c r="H74" s="533"/>
    </row>
    <row r="75">
      <c r="A75" s="540"/>
      <c r="B75" s="529"/>
      <c r="C75" s="533"/>
      <c r="D75" s="533"/>
      <c r="E75" s="533"/>
      <c r="F75" s="533"/>
      <c r="G75" s="533"/>
      <c r="H75" s="533"/>
    </row>
    <row r="76">
      <c r="A76" s="540"/>
      <c r="B76" s="529"/>
      <c r="C76" s="533"/>
      <c r="D76" s="533"/>
      <c r="E76" s="533"/>
      <c r="F76" s="533"/>
      <c r="G76" s="533"/>
      <c r="H76" s="533"/>
    </row>
    <row r="77">
      <c r="A77" s="540"/>
      <c r="B77" s="529"/>
      <c r="C77" s="533"/>
      <c r="D77" s="533"/>
      <c r="E77" s="533"/>
      <c r="F77" s="533"/>
      <c r="G77" s="533"/>
      <c r="H77" s="533"/>
    </row>
    <row r="78">
      <c r="A78" s="540"/>
      <c r="B78" s="529"/>
      <c r="C78" s="533"/>
      <c r="D78" s="533"/>
      <c r="E78" s="533"/>
      <c r="F78" s="533"/>
      <c r="G78" s="533"/>
      <c r="H78" s="533"/>
    </row>
    <row r="79">
      <c r="A79" s="540"/>
      <c r="B79" s="529"/>
      <c r="C79" s="533"/>
      <c r="D79" s="533"/>
      <c r="E79" s="533"/>
      <c r="F79" s="533"/>
      <c r="G79" s="533"/>
      <c r="H79" s="533"/>
    </row>
    <row r="80">
      <c r="A80" s="541"/>
      <c r="B80" s="542"/>
      <c r="C80" s="533"/>
      <c r="D80" s="533"/>
      <c r="E80" s="533"/>
      <c r="F80" s="533"/>
      <c r="G80" s="533"/>
      <c r="H80" s="533"/>
    </row>
  </sheetData>
  <autoFilter ref="$A$2:$B$60">
    <sortState ref="A2:B60">
      <sortCondition ref="B2:B60"/>
      <sortCondition ref="A2:A60"/>
    </sortState>
  </autoFilter>
  <mergeCells count="2">
    <mergeCell ref="A1:B1"/>
    <mergeCell ref="D1:G1"/>
  </mergeCells>
  <conditionalFormatting sqref="B2:B9">
    <cfRule type="notContainsBlanks" dxfId="50" priority="1">
      <formula>LEN(TRIM(B2))&gt;0</formula>
    </cfRule>
  </conditionalFormatting>
  <conditionalFormatting sqref="A4:A59">
    <cfRule type="cellIs" dxfId="41" priority="2" operator="equal">
      <formula>"Total Annual Dividend"</formula>
    </cfRule>
  </conditionalFormatting>
  <conditionalFormatting sqref="A4:A59">
    <cfRule type="notContainsBlanks" dxfId="66" priority="3">
      <formula>LEN(TRIM(A4))&gt;0</formula>
    </cfRule>
  </conditionalFormatting>
  <conditionalFormatting sqref="A1:H80">
    <cfRule type="cellIs" dxfId="68" priority="4" operator="equal">
      <formula>"Annual Dividends"</formula>
    </cfRule>
  </conditionalFormatting>
  <conditionalFormatting sqref="A1:H80">
    <cfRule type="cellIs" dxfId="69" priority="5" operator="equal">
      <formula>"Total Dividends"</formula>
    </cfRule>
  </conditionalFormatting>
  <conditionalFormatting sqref="A1:H80">
    <cfRule type="cellIs" dxfId="37" priority="6" operator="equal">
      <formula>"Dividend Withdrew"</formula>
    </cfRule>
  </conditionalFormatting>
  <conditionalFormatting sqref="A1:H80">
    <cfRule type="cellIs" dxfId="70" priority="7" operator="equal">
      <formula>"Dividend Invested"</formula>
    </cfRule>
  </conditionalFormatting>
  <conditionalFormatting sqref="A1:H80">
    <cfRule type="cellIs" dxfId="71" priority="8" operator="equal">
      <formula>"Portfolio Value"</formula>
    </cfRule>
  </conditionalFormatting>
  <conditionalFormatting sqref="A1:H80">
    <cfRule type="notContainsBlanks" dxfId="20" priority="9">
      <formula>LEN(TRIM(A1))&gt;0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543" t="s">
        <v>386</v>
      </c>
    </row>
    <row r="3">
      <c r="A3" s="543" t="s">
        <v>387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7.25"/>
    <col customWidth="1" min="4" max="4" width="15.0"/>
    <col customWidth="1" min="5" max="5" width="14.0"/>
    <col customWidth="1" min="10" max="10" width="14.13"/>
    <col customWidth="1" min="14" max="14" width="9.75"/>
  </cols>
  <sheetData>
    <row r="1">
      <c r="A1" s="544" t="s">
        <v>388</v>
      </c>
      <c r="B1" s="545"/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5"/>
      <c r="N1" s="546"/>
    </row>
    <row r="2">
      <c r="A2" s="547"/>
      <c r="B2" s="548"/>
      <c r="C2" s="548"/>
      <c r="D2" s="548"/>
      <c r="E2" s="548"/>
      <c r="F2" s="548"/>
      <c r="G2" s="548"/>
      <c r="H2" s="548"/>
      <c r="I2" s="548"/>
      <c r="J2" s="548"/>
      <c r="K2" s="548"/>
      <c r="L2" s="548"/>
      <c r="M2" s="548"/>
      <c r="N2" s="549"/>
    </row>
    <row r="3">
      <c r="A3" s="550"/>
      <c r="B3" s="550"/>
      <c r="C3" s="551"/>
      <c r="D3" s="551"/>
      <c r="I3" s="550"/>
      <c r="N3" s="550"/>
    </row>
    <row r="4">
      <c r="A4" s="550"/>
      <c r="B4" s="550"/>
      <c r="C4" s="551"/>
      <c r="D4" s="551"/>
      <c r="F4" s="552" t="s">
        <v>389</v>
      </c>
      <c r="G4" s="553"/>
      <c r="H4" s="554" t="s">
        <v>390</v>
      </c>
      <c r="I4" s="553"/>
      <c r="N4" s="550"/>
    </row>
    <row r="5">
      <c r="A5" s="550"/>
      <c r="B5" s="550"/>
      <c r="C5" s="551"/>
      <c r="D5" s="551"/>
      <c r="F5" s="555"/>
      <c r="G5" s="556"/>
      <c r="H5" s="557" t="s">
        <v>391</v>
      </c>
      <c r="I5" s="556"/>
      <c r="N5" s="550"/>
    </row>
    <row r="6">
      <c r="A6" s="550"/>
      <c r="B6" s="550"/>
      <c r="C6" s="551"/>
      <c r="D6" s="551"/>
      <c r="F6" s="550"/>
      <c r="G6" s="550"/>
      <c r="H6" s="550"/>
      <c r="I6" s="550"/>
      <c r="N6" s="550"/>
    </row>
    <row r="7">
      <c r="A7" s="550"/>
      <c r="B7" s="550"/>
      <c r="C7" s="551"/>
      <c r="D7" s="551"/>
      <c r="F7" s="552" t="s">
        <v>392</v>
      </c>
      <c r="G7" s="553"/>
      <c r="H7" s="554" t="s">
        <v>393</v>
      </c>
      <c r="I7" s="553"/>
      <c r="N7" s="550"/>
    </row>
    <row r="8">
      <c r="A8" s="550"/>
      <c r="B8" s="550"/>
      <c r="C8" s="551"/>
      <c r="D8" s="551"/>
      <c r="F8" s="555"/>
      <c r="G8" s="556"/>
      <c r="H8" s="557" t="s">
        <v>394</v>
      </c>
      <c r="I8" s="556"/>
      <c r="N8" s="550"/>
    </row>
    <row r="9">
      <c r="A9" s="550"/>
      <c r="B9" s="550"/>
      <c r="C9" s="551"/>
      <c r="D9" s="551"/>
      <c r="F9" s="558"/>
      <c r="G9" s="558"/>
      <c r="H9" s="550"/>
      <c r="I9" s="550"/>
      <c r="N9" s="550"/>
    </row>
    <row r="10">
      <c r="A10" s="550"/>
      <c r="B10" s="550"/>
      <c r="C10" s="551"/>
      <c r="D10" s="551"/>
      <c r="F10" s="552" t="s">
        <v>395</v>
      </c>
      <c r="G10" s="553"/>
      <c r="H10" s="554" t="s">
        <v>396</v>
      </c>
      <c r="I10" s="553"/>
      <c r="N10" s="550"/>
    </row>
    <row r="11">
      <c r="A11" s="550"/>
      <c r="B11" s="550"/>
      <c r="C11" s="551"/>
      <c r="D11" s="551"/>
      <c r="F11" s="555"/>
      <c r="G11" s="556"/>
      <c r="H11" s="557" t="s">
        <v>397</v>
      </c>
      <c r="I11" s="556"/>
      <c r="N11" s="550"/>
    </row>
    <row r="12">
      <c r="A12" s="550"/>
      <c r="B12" s="550"/>
      <c r="C12" s="551"/>
      <c r="D12" s="551"/>
      <c r="F12" s="558"/>
      <c r="G12" s="558"/>
      <c r="H12" s="550"/>
      <c r="I12" s="550"/>
      <c r="N12" s="550"/>
    </row>
    <row r="13">
      <c r="A13" s="550"/>
      <c r="B13" s="550"/>
      <c r="C13" s="551"/>
      <c r="D13" s="551"/>
      <c r="F13" s="552" t="s">
        <v>398</v>
      </c>
      <c r="G13" s="553"/>
      <c r="H13" s="554" t="s">
        <v>399</v>
      </c>
      <c r="I13" s="553"/>
      <c r="N13" s="550"/>
    </row>
    <row r="14">
      <c r="A14" s="550"/>
      <c r="B14" s="550"/>
      <c r="C14" s="551"/>
      <c r="D14" s="551"/>
      <c r="F14" s="555"/>
      <c r="G14" s="556"/>
      <c r="H14" s="557" t="s">
        <v>400</v>
      </c>
      <c r="I14" s="556"/>
      <c r="N14" s="550"/>
    </row>
    <row r="15">
      <c r="A15" s="550"/>
      <c r="B15" s="550"/>
      <c r="C15" s="551"/>
      <c r="D15" s="551"/>
      <c r="F15" s="558"/>
      <c r="G15" s="558"/>
      <c r="H15" s="550"/>
      <c r="I15" s="550"/>
      <c r="N15" s="550"/>
    </row>
    <row r="16">
      <c r="A16" s="550"/>
      <c r="B16" s="550"/>
      <c r="C16" s="551"/>
      <c r="D16" s="551"/>
      <c r="F16" s="552" t="s">
        <v>401</v>
      </c>
      <c r="G16" s="553"/>
      <c r="H16" s="559" t="s">
        <v>402</v>
      </c>
      <c r="I16" s="553"/>
      <c r="N16" s="550"/>
    </row>
    <row r="17">
      <c r="A17" s="550"/>
      <c r="B17" s="550"/>
      <c r="C17" s="551"/>
      <c r="D17" s="551"/>
      <c r="E17" s="560"/>
      <c r="F17" s="555"/>
      <c r="G17" s="556"/>
      <c r="H17" s="561" t="s">
        <v>403</v>
      </c>
      <c r="I17" s="556"/>
      <c r="J17" s="550"/>
      <c r="K17" s="550"/>
      <c r="L17" s="550"/>
      <c r="M17" s="550"/>
      <c r="N17" s="550"/>
    </row>
    <row r="18">
      <c r="A18" s="550"/>
      <c r="B18" s="550"/>
      <c r="G18" s="550"/>
      <c r="H18" s="550"/>
      <c r="I18" s="550"/>
      <c r="J18" s="550"/>
      <c r="K18" s="550"/>
      <c r="L18" s="550"/>
      <c r="M18" s="550"/>
      <c r="N18" s="550"/>
    </row>
    <row r="19">
      <c r="A19" s="562" t="s">
        <v>404</v>
      </c>
    </row>
    <row r="20">
      <c r="A20" s="550"/>
      <c r="B20" s="550"/>
      <c r="C20" s="550"/>
      <c r="D20" s="550"/>
      <c r="E20" s="550"/>
      <c r="F20" s="550"/>
      <c r="G20" s="550"/>
      <c r="H20" s="550"/>
      <c r="I20" s="550"/>
      <c r="J20" s="550"/>
      <c r="K20" s="550"/>
      <c r="L20" s="550"/>
      <c r="M20" s="550"/>
      <c r="N20" s="550"/>
    </row>
    <row r="21">
      <c r="A21" s="550"/>
      <c r="B21" s="550"/>
      <c r="C21" s="563" t="s">
        <v>405</v>
      </c>
      <c r="D21" s="564"/>
      <c r="E21" s="564"/>
      <c r="F21" s="564"/>
      <c r="G21" s="564"/>
      <c r="H21" s="564"/>
      <c r="I21" s="564"/>
      <c r="J21" s="564"/>
      <c r="K21" s="564"/>
      <c r="L21" s="565"/>
      <c r="M21" s="550"/>
      <c r="N21" s="550"/>
    </row>
    <row r="22">
      <c r="A22" s="550"/>
      <c r="B22" s="550"/>
      <c r="C22" s="566"/>
      <c r="D22" s="567"/>
      <c r="E22" s="567"/>
      <c r="F22" s="567"/>
      <c r="G22" s="567"/>
      <c r="H22" s="567"/>
      <c r="I22" s="567"/>
      <c r="J22" s="567"/>
      <c r="K22" s="567"/>
      <c r="L22" s="568"/>
      <c r="M22" s="550"/>
      <c r="N22" s="550"/>
    </row>
    <row r="23">
      <c r="A23" s="550"/>
      <c r="B23" s="550"/>
      <c r="C23" s="550"/>
      <c r="D23" s="550"/>
      <c r="E23" s="550"/>
      <c r="F23" s="550"/>
      <c r="G23" s="550"/>
      <c r="H23" s="550"/>
      <c r="I23" s="550"/>
      <c r="J23" s="550"/>
      <c r="K23" s="550"/>
      <c r="L23" s="550"/>
      <c r="M23" s="550"/>
      <c r="N23" s="550"/>
    </row>
    <row r="24">
      <c r="A24" s="550"/>
      <c r="B24" s="550"/>
      <c r="C24" s="569" t="s">
        <v>406</v>
      </c>
      <c r="D24" s="570" t="s">
        <v>407</v>
      </c>
      <c r="E24" s="571"/>
      <c r="F24" s="571"/>
      <c r="G24" s="571"/>
      <c r="H24" s="571"/>
      <c r="I24" s="571"/>
      <c r="J24" s="571"/>
      <c r="K24" s="571"/>
      <c r="L24" s="572"/>
      <c r="M24" s="550"/>
      <c r="N24" s="550"/>
    </row>
    <row r="25">
      <c r="A25" s="550"/>
      <c r="B25" s="550"/>
      <c r="C25" s="550"/>
      <c r="D25" s="550"/>
      <c r="E25" s="550"/>
      <c r="F25" s="550"/>
      <c r="G25" s="550"/>
      <c r="H25" s="550"/>
      <c r="I25" s="550"/>
      <c r="J25" s="550"/>
      <c r="K25" s="550"/>
      <c r="L25" s="550"/>
      <c r="M25" s="550"/>
      <c r="N25" s="550"/>
    </row>
    <row r="26">
      <c r="A26" s="573"/>
      <c r="B26" s="573"/>
      <c r="C26" s="574"/>
      <c r="D26" s="575" t="s">
        <v>408</v>
      </c>
      <c r="E26" s="565"/>
      <c r="F26" s="575" t="s">
        <v>409</v>
      </c>
      <c r="G26" s="565"/>
      <c r="H26" s="575" t="s">
        <v>410</v>
      </c>
      <c r="I26" s="565"/>
      <c r="J26" s="575" t="s">
        <v>411</v>
      </c>
      <c r="K26" s="565"/>
      <c r="L26" s="573"/>
      <c r="M26" s="573"/>
      <c r="N26" s="573"/>
    </row>
    <row r="27">
      <c r="A27" s="573"/>
      <c r="B27" s="573"/>
      <c r="C27" s="574"/>
      <c r="D27" s="576" t="s">
        <v>412</v>
      </c>
      <c r="E27" s="577"/>
      <c r="F27" s="578">
        <v>0.0</v>
      </c>
      <c r="G27" s="577"/>
      <c r="H27" s="578" t="s">
        <v>300</v>
      </c>
      <c r="I27" s="577"/>
      <c r="J27" s="578" t="s">
        <v>413</v>
      </c>
      <c r="K27" s="577"/>
      <c r="L27" s="573"/>
      <c r="M27" s="573"/>
      <c r="N27" s="573"/>
    </row>
    <row r="28">
      <c r="A28" s="573"/>
      <c r="B28" s="573"/>
      <c r="C28" s="574"/>
      <c r="D28" s="579" t="s">
        <v>414</v>
      </c>
      <c r="E28" s="577"/>
      <c r="F28" s="578">
        <v>1.0</v>
      </c>
      <c r="G28" s="577"/>
      <c r="H28" s="578" t="s">
        <v>415</v>
      </c>
      <c r="I28" s="577"/>
      <c r="J28" s="578" t="s">
        <v>416</v>
      </c>
      <c r="K28" s="577"/>
      <c r="L28" s="573"/>
      <c r="M28" s="573"/>
      <c r="N28" s="573"/>
    </row>
    <row r="29">
      <c r="A29" s="573"/>
      <c r="B29" s="573"/>
      <c r="C29" s="574"/>
      <c r="D29" s="579" t="s">
        <v>417</v>
      </c>
      <c r="E29" s="577"/>
      <c r="F29" s="579">
        <v>3.0</v>
      </c>
      <c r="G29" s="577"/>
      <c r="H29" s="578" t="s">
        <v>418</v>
      </c>
      <c r="I29" s="577"/>
      <c r="J29" s="578" t="s">
        <v>419</v>
      </c>
      <c r="K29" s="577"/>
      <c r="L29" s="573"/>
      <c r="M29" s="573"/>
      <c r="N29" s="573"/>
    </row>
    <row r="30">
      <c r="A30" s="573"/>
      <c r="B30" s="573"/>
      <c r="C30" s="574"/>
      <c r="D30" s="579" t="s">
        <v>420</v>
      </c>
      <c r="E30" s="577"/>
      <c r="F30" s="579">
        <v>9.0</v>
      </c>
      <c r="G30" s="577"/>
      <c r="H30" s="578" t="s">
        <v>421</v>
      </c>
      <c r="I30" s="577"/>
      <c r="J30" s="578" t="s">
        <v>422</v>
      </c>
      <c r="K30" s="577"/>
      <c r="L30" s="573"/>
      <c r="M30" s="573"/>
      <c r="N30" s="573"/>
    </row>
    <row r="31">
      <c r="A31" s="573"/>
      <c r="B31" s="573"/>
      <c r="C31" s="574"/>
      <c r="D31" s="576" t="s">
        <v>423</v>
      </c>
      <c r="E31" s="577"/>
      <c r="F31" s="576">
        <v>27.0</v>
      </c>
      <c r="G31" s="577"/>
      <c r="H31" s="578" t="s">
        <v>424</v>
      </c>
      <c r="I31" s="577"/>
      <c r="J31" s="578" t="s">
        <v>425</v>
      </c>
      <c r="K31" s="577"/>
      <c r="L31" s="573"/>
      <c r="M31" s="573"/>
      <c r="N31" s="573"/>
    </row>
    <row r="32">
      <c r="A32" s="550"/>
      <c r="B32" s="550"/>
      <c r="C32" s="550"/>
      <c r="D32" s="550"/>
      <c r="E32" s="550"/>
      <c r="F32" s="550"/>
      <c r="G32" s="550"/>
      <c r="H32" s="550"/>
      <c r="I32" s="550"/>
      <c r="J32" s="550"/>
      <c r="K32" s="550"/>
      <c r="L32" s="550"/>
      <c r="M32" s="550"/>
      <c r="N32" s="550"/>
    </row>
    <row r="33">
      <c r="A33" s="550"/>
      <c r="B33" s="550"/>
      <c r="C33" s="550"/>
      <c r="E33" s="580" t="s">
        <v>426</v>
      </c>
      <c r="F33" s="581"/>
      <c r="G33" s="582">
        <v>20.0</v>
      </c>
      <c r="H33" s="581"/>
      <c r="I33" s="583">
        <f>G33*2</f>
        <v>40</v>
      </c>
      <c r="J33" s="581"/>
      <c r="K33" s="573"/>
      <c r="L33" s="550"/>
      <c r="M33" s="550"/>
      <c r="N33" s="550"/>
    </row>
    <row r="34">
      <c r="A34" s="550"/>
      <c r="B34" s="550"/>
      <c r="C34" s="550"/>
      <c r="D34" s="584"/>
      <c r="E34" s="585"/>
      <c r="F34" s="586"/>
      <c r="G34" s="585"/>
      <c r="H34" s="586"/>
      <c r="I34" s="585"/>
      <c r="J34" s="586"/>
      <c r="K34" s="550"/>
      <c r="L34" s="550"/>
      <c r="M34" s="550"/>
      <c r="N34" s="550"/>
    </row>
    <row r="35">
      <c r="A35" s="550"/>
      <c r="B35" s="550"/>
      <c r="C35" s="550"/>
      <c r="D35" s="584"/>
      <c r="E35" s="587"/>
      <c r="F35" s="588"/>
      <c r="G35" s="587"/>
      <c r="H35" s="588"/>
      <c r="I35" s="587"/>
      <c r="J35" s="588"/>
      <c r="K35" s="550"/>
      <c r="L35" s="550"/>
      <c r="M35" s="550"/>
      <c r="N35" s="550"/>
    </row>
    <row r="36">
      <c r="A36" s="550"/>
      <c r="B36" s="550"/>
      <c r="C36" s="550"/>
      <c r="D36" s="550"/>
      <c r="E36" s="550"/>
      <c r="F36" s="550"/>
      <c r="G36" s="550"/>
      <c r="H36" s="550"/>
      <c r="I36" s="550"/>
      <c r="J36" s="550"/>
      <c r="K36" s="550"/>
      <c r="L36" s="550"/>
      <c r="M36" s="550"/>
      <c r="N36" s="550"/>
    </row>
    <row r="37">
      <c r="A37" s="562" t="s">
        <v>404</v>
      </c>
    </row>
    <row r="38">
      <c r="A38" s="560"/>
      <c r="B38" s="560"/>
      <c r="C38" s="560"/>
      <c r="D38" s="560"/>
      <c r="E38" s="560"/>
      <c r="F38" s="560"/>
      <c r="G38" s="560"/>
      <c r="H38" s="560"/>
      <c r="I38" s="560"/>
      <c r="J38" s="560"/>
      <c r="K38" s="560"/>
      <c r="L38" s="560"/>
      <c r="M38" s="560"/>
      <c r="N38" s="560"/>
    </row>
    <row r="39">
      <c r="A39" s="589"/>
      <c r="B39" s="590" t="s">
        <v>427</v>
      </c>
      <c r="C39" s="564"/>
      <c r="D39" s="564"/>
      <c r="E39" s="564"/>
      <c r="F39" s="564"/>
      <c r="G39" s="564"/>
      <c r="H39" s="564"/>
      <c r="I39" s="564"/>
      <c r="J39" s="564"/>
      <c r="K39" s="564"/>
      <c r="L39" s="564"/>
      <c r="M39" s="565"/>
      <c r="N39" s="589"/>
    </row>
    <row r="40">
      <c r="A40" s="589"/>
      <c r="B40" s="567"/>
      <c r="C40" s="567"/>
      <c r="D40" s="567"/>
      <c r="E40" s="567"/>
      <c r="F40" s="567"/>
      <c r="G40" s="567"/>
      <c r="H40" s="567"/>
      <c r="I40" s="567"/>
      <c r="J40" s="567"/>
      <c r="K40" s="567"/>
      <c r="L40" s="567"/>
      <c r="M40" s="568"/>
      <c r="N40" s="589"/>
    </row>
    <row r="41">
      <c r="A41" s="560"/>
      <c r="B41" s="560"/>
      <c r="C41" s="560"/>
      <c r="D41" s="560"/>
      <c r="E41" s="560"/>
      <c r="F41" s="560"/>
      <c r="G41" s="560"/>
      <c r="H41" s="560"/>
      <c r="I41" s="560"/>
      <c r="J41" s="560"/>
      <c r="K41" s="560"/>
      <c r="L41" s="560"/>
      <c r="M41" s="560"/>
      <c r="N41" s="560"/>
    </row>
    <row r="42">
      <c r="A42" s="591"/>
      <c r="B42" s="563" t="s">
        <v>406</v>
      </c>
      <c r="C42" s="592" t="s">
        <v>428</v>
      </c>
      <c r="D42" s="564"/>
      <c r="E42" s="564"/>
      <c r="F42" s="564"/>
      <c r="G42" s="564"/>
      <c r="H42" s="564"/>
      <c r="I42" s="564"/>
      <c r="J42" s="564"/>
      <c r="K42" s="564"/>
      <c r="L42" s="564"/>
      <c r="M42" s="565"/>
      <c r="N42" s="591"/>
    </row>
    <row r="43">
      <c r="A43" s="560"/>
      <c r="B43" s="566"/>
      <c r="C43" s="567"/>
      <c r="D43" s="567"/>
      <c r="E43" s="567"/>
      <c r="F43" s="567"/>
      <c r="G43" s="567"/>
      <c r="H43" s="567"/>
      <c r="I43" s="567"/>
      <c r="J43" s="567"/>
      <c r="K43" s="567"/>
      <c r="L43" s="567"/>
      <c r="M43" s="568"/>
      <c r="N43" s="560"/>
    </row>
    <row r="44">
      <c r="A44" s="560"/>
      <c r="B44" s="560"/>
      <c r="C44" s="593" t="s">
        <v>429</v>
      </c>
      <c r="D44" s="594" t="s">
        <v>430</v>
      </c>
      <c r="E44" s="571"/>
      <c r="F44" s="571"/>
      <c r="G44" s="571"/>
      <c r="H44" s="571"/>
      <c r="I44" s="571"/>
      <c r="J44" s="571"/>
      <c r="K44" s="571"/>
      <c r="L44" s="572"/>
      <c r="M44" s="560"/>
      <c r="N44" s="560"/>
    </row>
    <row r="45">
      <c r="A45" s="560"/>
      <c r="B45" s="560"/>
      <c r="C45" s="560"/>
      <c r="D45" s="560"/>
      <c r="E45" s="560"/>
      <c r="F45" s="560"/>
      <c r="G45" s="560"/>
      <c r="H45" s="560"/>
      <c r="I45" s="560"/>
      <c r="J45" s="560"/>
      <c r="K45" s="560"/>
      <c r="L45" s="560"/>
      <c r="M45" s="560"/>
      <c r="N45" s="560"/>
    </row>
    <row r="46">
      <c r="A46" s="591"/>
      <c r="B46" s="563" t="s">
        <v>431</v>
      </c>
      <c r="C46" s="565"/>
      <c r="D46" s="563" t="s">
        <v>432</v>
      </c>
      <c r="E46" s="565"/>
      <c r="F46" s="563" t="s">
        <v>433</v>
      </c>
      <c r="G46" s="565"/>
      <c r="H46" s="563" t="s">
        <v>434</v>
      </c>
      <c r="I46" s="565"/>
      <c r="J46" s="563" t="s">
        <v>435</v>
      </c>
      <c r="K46" s="565"/>
      <c r="L46" s="563" t="s">
        <v>436</v>
      </c>
      <c r="M46" s="565"/>
      <c r="N46" s="591"/>
    </row>
    <row r="47">
      <c r="A47" s="591"/>
      <c r="B47" s="595">
        <v>50.0</v>
      </c>
      <c r="C47" s="577"/>
      <c r="D47" s="596">
        <v>1.0</v>
      </c>
      <c r="E47" s="577"/>
      <c r="F47" s="596">
        <v>0.9</v>
      </c>
      <c r="G47" s="577"/>
      <c r="H47" s="597">
        <f t="shared" ref="H47:H63" si="1">B47*F47</f>
        <v>45</v>
      </c>
      <c r="I47" s="577"/>
      <c r="J47" s="597">
        <f t="shared" ref="J47:J63" si="2">B47-H47</f>
        <v>5</v>
      </c>
      <c r="K47" s="577"/>
      <c r="L47" s="596">
        <f t="shared" ref="L47:L63" si="3">B47/J47*F47</f>
        <v>9</v>
      </c>
      <c r="M47" s="577"/>
      <c r="N47" s="591"/>
    </row>
    <row r="48">
      <c r="A48" s="591"/>
      <c r="B48" s="595">
        <v>50.0</v>
      </c>
      <c r="C48" s="577"/>
      <c r="D48" s="596">
        <v>1.0</v>
      </c>
      <c r="E48" s="577"/>
      <c r="F48" s="596">
        <v>0.85</v>
      </c>
      <c r="G48" s="577"/>
      <c r="H48" s="597">
        <f t="shared" si="1"/>
        <v>42.5</v>
      </c>
      <c r="I48" s="577"/>
      <c r="J48" s="597">
        <f t="shared" si="2"/>
        <v>7.5</v>
      </c>
      <c r="K48" s="577"/>
      <c r="L48" s="596">
        <f t="shared" si="3"/>
        <v>5.666666667</v>
      </c>
      <c r="M48" s="577"/>
      <c r="N48" s="591"/>
    </row>
    <row r="49">
      <c r="A49" s="591"/>
      <c r="B49" s="595">
        <v>50.0</v>
      </c>
      <c r="C49" s="577"/>
      <c r="D49" s="596">
        <v>1.0</v>
      </c>
      <c r="E49" s="577"/>
      <c r="F49" s="598">
        <v>0.8</v>
      </c>
      <c r="G49" s="577"/>
      <c r="H49" s="597">
        <f t="shared" si="1"/>
        <v>40</v>
      </c>
      <c r="I49" s="577"/>
      <c r="J49" s="597">
        <f t="shared" si="2"/>
        <v>10</v>
      </c>
      <c r="K49" s="577"/>
      <c r="L49" s="596">
        <f t="shared" si="3"/>
        <v>4</v>
      </c>
      <c r="M49" s="577"/>
      <c r="N49" s="591"/>
    </row>
    <row r="50">
      <c r="A50" s="591"/>
      <c r="B50" s="595">
        <v>50.0</v>
      </c>
      <c r="C50" s="577"/>
      <c r="D50" s="596">
        <v>1.0</v>
      </c>
      <c r="E50" s="577"/>
      <c r="F50" s="598">
        <v>0.75</v>
      </c>
      <c r="G50" s="577"/>
      <c r="H50" s="597">
        <f t="shared" si="1"/>
        <v>37.5</v>
      </c>
      <c r="I50" s="577"/>
      <c r="J50" s="597">
        <f t="shared" si="2"/>
        <v>12.5</v>
      </c>
      <c r="K50" s="577"/>
      <c r="L50" s="596">
        <f t="shared" si="3"/>
        <v>3</v>
      </c>
      <c r="M50" s="577"/>
      <c r="N50" s="591"/>
    </row>
    <row r="51">
      <c r="A51" s="591"/>
      <c r="B51" s="595">
        <v>50.0</v>
      </c>
      <c r="C51" s="577"/>
      <c r="D51" s="596">
        <v>1.0</v>
      </c>
      <c r="E51" s="577"/>
      <c r="F51" s="599">
        <v>0.7</v>
      </c>
      <c r="G51" s="577"/>
      <c r="H51" s="597">
        <f t="shared" si="1"/>
        <v>35</v>
      </c>
      <c r="I51" s="577"/>
      <c r="J51" s="597">
        <f t="shared" si="2"/>
        <v>15</v>
      </c>
      <c r="K51" s="577"/>
      <c r="L51" s="596">
        <f t="shared" si="3"/>
        <v>2.333333333</v>
      </c>
      <c r="M51" s="577"/>
      <c r="N51" s="591"/>
    </row>
    <row r="52">
      <c r="A52" s="560"/>
      <c r="B52" s="595">
        <v>50.0</v>
      </c>
      <c r="C52" s="577"/>
      <c r="D52" s="596">
        <v>1.0</v>
      </c>
      <c r="E52" s="577"/>
      <c r="F52" s="599">
        <v>0.65</v>
      </c>
      <c r="G52" s="577"/>
      <c r="H52" s="597">
        <f t="shared" si="1"/>
        <v>32.5</v>
      </c>
      <c r="I52" s="577"/>
      <c r="J52" s="597">
        <f t="shared" si="2"/>
        <v>17.5</v>
      </c>
      <c r="K52" s="577"/>
      <c r="L52" s="596">
        <f t="shared" si="3"/>
        <v>1.857142857</v>
      </c>
      <c r="M52" s="577"/>
      <c r="N52" s="591"/>
    </row>
    <row r="53">
      <c r="A53" s="560"/>
      <c r="B53" s="595">
        <v>50.0</v>
      </c>
      <c r="C53" s="577"/>
      <c r="D53" s="596">
        <v>1.0</v>
      </c>
      <c r="E53" s="577"/>
      <c r="F53" s="599">
        <v>0.6</v>
      </c>
      <c r="G53" s="577"/>
      <c r="H53" s="597">
        <f t="shared" si="1"/>
        <v>30</v>
      </c>
      <c r="I53" s="577"/>
      <c r="J53" s="597">
        <f t="shared" si="2"/>
        <v>20</v>
      </c>
      <c r="K53" s="577"/>
      <c r="L53" s="596">
        <f t="shared" si="3"/>
        <v>1.5</v>
      </c>
      <c r="M53" s="577"/>
      <c r="N53" s="591"/>
    </row>
    <row r="54">
      <c r="A54" s="560"/>
      <c r="B54" s="595">
        <v>50.0</v>
      </c>
      <c r="C54" s="577"/>
      <c r="D54" s="596">
        <v>1.0</v>
      </c>
      <c r="E54" s="577"/>
      <c r="F54" s="599">
        <v>0.55</v>
      </c>
      <c r="G54" s="577"/>
      <c r="H54" s="597">
        <f t="shared" si="1"/>
        <v>27.5</v>
      </c>
      <c r="I54" s="577"/>
      <c r="J54" s="597">
        <f t="shared" si="2"/>
        <v>22.5</v>
      </c>
      <c r="K54" s="577"/>
      <c r="L54" s="596">
        <f t="shared" si="3"/>
        <v>1.222222222</v>
      </c>
      <c r="M54" s="577"/>
      <c r="N54" s="591"/>
    </row>
    <row r="55">
      <c r="A55" s="560"/>
      <c r="B55" s="595">
        <v>50.0</v>
      </c>
      <c r="C55" s="577"/>
      <c r="D55" s="596">
        <v>1.0</v>
      </c>
      <c r="E55" s="577"/>
      <c r="F55" s="599">
        <v>0.5</v>
      </c>
      <c r="G55" s="577"/>
      <c r="H55" s="597">
        <f t="shared" si="1"/>
        <v>25</v>
      </c>
      <c r="I55" s="577"/>
      <c r="J55" s="597">
        <f t="shared" si="2"/>
        <v>25</v>
      </c>
      <c r="K55" s="577"/>
      <c r="L55" s="596">
        <f t="shared" si="3"/>
        <v>1</v>
      </c>
      <c r="M55" s="577"/>
      <c r="N55" s="591"/>
    </row>
    <row r="56">
      <c r="A56" s="560"/>
      <c r="B56" s="595">
        <v>50.0</v>
      </c>
      <c r="C56" s="577"/>
      <c r="D56" s="596">
        <v>1.0</v>
      </c>
      <c r="E56" s="577"/>
      <c r="F56" s="599">
        <v>0.45</v>
      </c>
      <c r="G56" s="577"/>
      <c r="H56" s="597">
        <f t="shared" si="1"/>
        <v>22.5</v>
      </c>
      <c r="I56" s="577"/>
      <c r="J56" s="597">
        <f t="shared" si="2"/>
        <v>27.5</v>
      </c>
      <c r="K56" s="577"/>
      <c r="L56" s="596">
        <f t="shared" si="3"/>
        <v>0.8181818182</v>
      </c>
      <c r="M56" s="577"/>
      <c r="N56" s="591"/>
    </row>
    <row r="57">
      <c r="A57" s="560"/>
      <c r="B57" s="595">
        <v>50.0</v>
      </c>
      <c r="C57" s="577"/>
      <c r="D57" s="596">
        <v>1.0</v>
      </c>
      <c r="E57" s="577"/>
      <c r="F57" s="599">
        <v>0.4</v>
      </c>
      <c r="G57" s="577"/>
      <c r="H57" s="597">
        <f t="shared" si="1"/>
        <v>20</v>
      </c>
      <c r="I57" s="577"/>
      <c r="J57" s="597">
        <f t="shared" si="2"/>
        <v>30</v>
      </c>
      <c r="K57" s="577"/>
      <c r="L57" s="596">
        <f t="shared" si="3"/>
        <v>0.6666666667</v>
      </c>
      <c r="M57" s="577"/>
      <c r="N57" s="591"/>
    </row>
    <row r="58">
      <c r="A58" s="560"/>
      <c r="B58" s="595">
        <v>50.0</v>
      </c>
      <c r="C58" s="577"/>
      <c r="D58" s="596">
        <v>1.0</v>
      </c>
      <c r="E58" s="577"/>
      <c r="F58" s="599">
        <v>0.35</v>
      </c>
      <c r="G58" s="577"/>
      <c r="H58" s="597">
        <f t="shared" si="1"/>
        <v>17.5</v>
      </c>
      <c r="I58" s="577"/>
      <c r="J58" s="597">
        <f t="shared" si="2"/>
        <v>32.5</v>
      </c>
      <c r="K58" s="577"/>
      <c r="L58" s="596">
        <f t="shared" si="3"/>
        <v>0.5384615385</v>
      </c>
      <c r="M58" s="577"/>
      <c r="N58" s="591"/>
    </row>
    <row r="59">
      <c r="A59" s="560"/>
      <c r="B59" s="595">
        <v>50.0</v>
      </c>
      <c r="C59" s="577"/>
      <c r="D59" s="596">
        <v>1.0</v>
      </c>
      <c r="E59" s="577"/>
      <c r="F59" s="599">
        <v>0.3</v>
      </c>
      <c r="G59" s="577"/>
      <c r="H59" s="597">
        <f t="shared" si="1"/>
        <v>15</v>
      </c>
      <c r="I59" s="577"/>
      <c r="J59" s="597">
        <f t="shared" si="2"/>
        <v>35</v>
      </c>
      <c r="K59" s="577"/>
      <c r="L59" s="596">
        <f t="shared" si="3"/>
        <v>0.4285714286</v>
      </c>
      <c r="M59" s="577"/>
      <c r="N59" s="591"/>
    </row>
    <row r="60">
      <c r="A60" s="560"/>
      <c r="B60" s="595">
        <v>50.0</v>
      </c>
      <c r="C60" s="577"/>
      <c r="D60" s="596">
        <v>1.0</v>
      </c>
      <c r="E60" s="577"/>
      <c r="F60" s="599">
        <v>0.25</v>
      </c>
      <c r="G60" s="577"/>
      <c r="H60" s="597">
        <f t="shared" si="1"/>
        <v>12.5</v>
      </c>
      <c r="I60" s="577"/>
      <c r="J60" s="597">
        <f t="shared" si="2"/>
        <v>37.5</v>
      </c>
      <c r="K60" s="577"/>
      <c r="L60" s="596">
        <f t="shared" si="3"/>
        <v>0.3333333333</v>
      </c>
      <c r="M60" s="577"/>
      <c r="N60" s="591"/>
    </row>
    <row r="61">
      <c r="A61" s="560"/>
      <c r="B61" s="595">
        <v>50.0</v>
      </c>
      <c r="C61" s="577"/>
      <c r="D61" s="596">
        <v>1.0</v>
      </c>
      <c r="E61" s="577"/>
      <c r="F61" s="599">
        <v>0.2</v>
      </c>
      <c r="G61" s="577"/>
      <c r="H61" s="597">
        <f t="shared" si="1"/>
        <v>10</v>
      </c>
      <c r="I61" s="577"/>
      <c r="J61" s="597">
        <f t="shared" si="2"/>
        <v>40</v>
      </c>
      <c r="K61" s="577"/>
      <c r="L61" s="596">
        <f t="shared" si="3"/>
        <v>0.25</v>
      </c>
      <c r="M61" s="577"/>
      <c r="N61" s="591"/>
    </row>
    <row r="62">
      <c r="A62" s="560"/>
      <c r="B62" s="595">
        <v>50.0</v>
      </c>
      <c r="C62" s="577"/>
      <c r="D62" s="596">
        <v>1.0</v>
      </c>
      <c r="E62" s="577"/>
      <c r="F62" s="599">
        <v>0.15</v>
      </c>
      <c r="G62" s="577"/>
      <c r="H62" s="597">
        <f t="shared" si="1"/>
        <v>7.5</v>
      </c>
      <c r="I62" s="577"/>
      <c r="J62" s="597">
        <f t="shared" si="2"/>
        <v>42.5</v>
      </c>
      <c r="K62" s="577"/>
      <c r="L62" s="596">
        <f t="shared" si="3"/>
        <v>0.1764705882</v>
      </c>
      <c r="M62" s="577"/>
      <c r="N62" s="591"/>
    </row>
    <row r="63">
      <c r="A63" s="560"/>
      <c r="B63" s="595">
        <v>50.0</v>
      </c>
      <c r="C63" s="577"/>
      <c r="D63" s="596">
        <v>1.0</v>
      </c>
      <c r="E63" s="577"/>
      <c r="F63" s="599">
        <v>0.1</v>
      </c>
      <c r="G63" s="577"/>
      <c r="H63" s="597">
        <f t="shared" si="1"/>
        <v>5</v>
      </c>
      <c r="I63" s="577"/>
      <c r="J63" s="597">
        <f t="shared" si="2"/>
        <v>45</v>
      </c>
      <c r="K63" s="577"/>
      <c r="L63" s="596">
        <f t="shared" si="3"/>
        <v>0.1111111111</v>
      </c>
      <c r="M63" s="577"/>
      <c r="N63" s="591"/>
    </row>
    <row r="64">
      <c r="A64" s="562"/>
      <c r="B64" s="562"/>
      <c r="C64" s="562"/>
      <c r="D64" s="562"/>
      <c r="E64" s="562"/>
      <c r="F64" s="562"/>
      <c r="G64" s="562"/>
      <c r="H64" s="562"/>
      <c r="I64" s="562"/>
      <c r="J64" s="562"/>
      <c r="K64" s="562"/>
      <c r="L64" s="562"/>
      <c r="M64" s="562"/>
      <c r="N64" s="562"/>
    </row>
    <row r="65">
      <c r="A65" s="562"/>
      <c r="B65" s="600" t="s">
        <v>437</v>
      </c>
      <c r="C65" s="601"/>
      <c r="D65" s="601"/>
      <c r="E65" s="601"/>
      <c r="F65" s="601"/>
      <c r="G65" s="601"/>
      <c r="H65" s="601"/>
      <c r="I65" s="601"/>
      <c r="J65" s="601"/>
      <c r="K65" s="601"/>
      <c r="L65" s="601"/>
      <c r="M65" s="602"/>
      <c r="N65" s="562"/>
    </row>
    <row r="66">
      <c r="A66" s="562"/>
      <c r="B66" s="603"/>
      <c r="C66" s="604"/>
      <c r="D66" s="604"/>
      <c r="E66" s="604"/>
      <c r="F66" s="604"/>
      <c r="G66" s="604"/>
      <c r="H66" s="604"/>
      <c r="I66" s="604"/>
      <c r="J66" s="604"/>
      <c r="K66" s="604"/>
      <c r="L66" s="604"/>
      <c r="M66" s="605"/>
      <c r="N66" s="562"/>
    </row>
    <row r="67">
      <c r="A67" s="562"/>
      <c r="B67" s="563" t="s">
        <v>431</v>
      </c>
      <c r="C67" s="565"/>
      <c r="D67" s="563" t="s">
        <v>438</v>
      </c>
      <c r="E67" s="565"/>
      <c r="F67" s="563" t="s">
        <v>433</v>
      </c>
      <c r="G67" s="565"/>
      <c r="H67" s="563" t="s">
        <v>434</v>
      </c>
      <c r="I67" s="565"/>
      <c r="J67" s="563" t="s">
        <v>439</v>
      </c>
      <c r="K67" s="565"/>
      <c r="L67" s="563" t="s">
        <v>440</v>
      </c>
      <c r="M67" s="565"/>
      <c r="N67" s="562"/>
    </row>
    <row r="68">
      <c r="A68" s="562"/>
      <c r="B68" s="595">
        <v>50.0</v>
      </c>
      <c r="C68" s="577"/>
      <c r="D68" s="596">
        <v>1.0</v>
      </c>
      <c r="E68" s="577"/>
      <c r="F68" s="596">
        <v>0.82</v>
      </c>
      <c r="G68" s="577"/>
      <c r="H68" s="597">
        <f>B68*F68</f>
        <v>41</v>
      </c>
      <c r="I68" s="577"/>
      <c r="J68" s="597">
        <f>B68-H68</f>
        <v>9</v>
      </c>
      <c r="K68" s="577"/>
      <c r="L68" s="596">
        <f>B68/J68*F68</f>
        <v>4.555555556</v>
      </c>
      <c r="M68" s="577"/>
      <c r="N68" s="562"/>
    </row>
    <row r="69">
      <c r="A69" s="562"/>
      <c r="B69" s="562"/>
      <c r="C69" s="562"/>
      <c r="D69" s="562"/>
      <c r="E69" s="562"/>
      <c r="F69" s="562"/>
      <c r="G69" s="562"/>
      <c r="H69" s="562"/>
      <c r="I69" s="562"/>
      <c r="J69" s="562"/>
      <c r="K69" s="562"/>
      <c r="L69" s="562"/>
      <c r="M69" s="562"/>
      <c r="N69" s="562"/>
    </row>
    <row r="70">
      <c r="A70" s="562" t="s">
        <v>404</v>
      </c>
    </row>
    <row r="71">
      <c r="A71" s="550"/>
      <c r="B71" s="550"/>
      <c r="G71" s="550"/>
      <c r="H71" s="550"/>
      <c r="I71" s="550"/>
      <c r="J71" s="550"/>
      <c r="K71" s="550"/>
      <c r="L71" s="550"/>
      <c r="M71" s="550"/>
      <c r="N71" s="550"/>
    </row>
    <row r="72">
      <c r="A72" s="550"/>
      <c r="B72" s="550"/>
      <c r="E72" s="606" t="s">
        <v>441</v>
      </c>
      <c r="F72" s="607"/>
      <c r="G72" s="553"/>
      <c r="H72" s="554" t="s">
        <v>442</v>
      </c>
      <c r="I72" s="607"/>
      <c r="J72" s="553"/>
      <c r="N72" s="560"/>
    </row>
    <row r="73">
      <c r="A73" s="550"/>
      <c r="B73" s="550"/>
      <c r="E73" s="555"/>
      <c r="F73" s="608"/>
      <c r="G73" s="556"/>
      <c r="H73" s="608"/>
      <c r="I73" s="608"/>
      <c r="J73" s="556"/>
      <c r="N73" s="550"/>
    </row>
    <row r="74">
      <c r="A74" s="550"/>
      <c r="B74" s="550"/>
      <c r="E74" s="550"/>
      <c r="F74" s="550"/>
      <c r="G74" s="550"/>
      <c r="H74" s="550"/>
      <c r="I74" s="550"/>
      <c r="J74" s="550"/>
      <c r="N74" s="609"/>
    </row>
    <row r="75">
      <c r="A75" s="550"/>
      <c r="B75" s="550"/>
      <c r="E75" s="610" t="s">
        <v>443</v>
      </c>
      <c r="F75" s="607"/>
      <c r="G75" s="553"/>
      <c r="H75" s="611" t="s">
        <v>444</v>
      </c>
      <c r="I75" s="607"/>
      <c r="J75" s="553"/>
      <c r="N75" s="550"/>
    </row>
    <row r="76">
      <c r="A76" s="550"/>
      <c r="B76" s="550"/>
      <c r="E76" s="555"/>
      <c r="F76" s="608"/>
      <c r="G76" s="556"/>
      <c r="H76" s="608"/>
      <c r="I76" s="608"/>
      <c r="J76" s="556"/>
      <c r="N76" s="560"/>
    </row>
    <row r="77">
      <c r="A77" s="550"/>
      <c r="B77" s="550"/>
      <c r="E77" s="550"/>
      <c r="F77" s="550"/>
      <c r="G77" s="550"/>
      <c r="H77" s="550"/>
      <c r="I77" s="550"/>
      <c r="J77" s="550"/>
      <c r="N77" s="550"/>
    </row>
    <row r="78">
      <c r="A78" s="550"/>
      <c r="B78" s="550"/>
      <c r="E78" s="606" t="s">
        <v>445</v>
      </c>
      <c r="F78" s="607"/>
      <c r="G78" s="553"/>
      <c r="H78" s="554" t="s">
        <v>446</v>
      </c>
      <c r="I78" s="607"/>
      <c r="J78" s="553"/>
      <c r="N78" s="609"/>
    </row>
    <row r="79">
      <c r="A79" s="550"/>
      <c r="B79" s="550"/>
      <c r="E79" s="555"/>
      <c r="F79" s="608"/>
      <c r="G79" s="556"/>
      <c r="H79" s="608"/>
      <c r="I79" s="608"/>
      <c r="J79" s="556"/>
      <c r="N79" s="550"/>
    </row>
    <row r="80">
      <c r="A80" s="550"/>
      <c r="B80" s="550"/>
      <c r="C80" s="550"/>
      <c r="D80" s="550"/>
      <c r="E80" s="550"/>
      <c r="F80" s="550"/>
      <c r="G80" s="550"/>
      <c r="H80" s="550"/>
      <c r="I80" s="550"/>
      <c r="J80" s="550"/>
      <c r="N80" s="550"/>
    </row>
    <row r="81">
      <c r="A81" s="550"/>
      <c r="B81" s="550"/>
      <c r="C81" s="550"/>
      <c r="D81" s="560"/>
      <c r="E81" s="612" t="s">
        <v>447</v>
      </c>
      <c r="F81" s="607"/>
      <c r="G81" s="553"/>
      <c r="H81" s="613" t="s">
        <v>448</v>
      </c>
      <c r="I81" s="607"/>
      <c r="J81" s="553"/>
      <c r="N81" s="550"/>
    </row>
    <row r="82">
      <c r="A82" s="550"/>
      <c r="B82" s="550"/>
      <c r="C82" s="550"/>
      <c r="D82" s="560"/>
      <c r="E82" s="555"/>
      <c r="F82" s="608"/>
      <c r="G82" s="556"/>
      <c r="H82" s="608"/>
      <c r="I82" s="608"/>
      <c r="J82" s="556"/>
      <c r="N82" s="550"/>
    </row>
    <row r="83">
      <c r="A83" s="550"/>
      <c r="B83" s="550"/>
      <c r="C83" s="550"/>
      <c r="D83" s="560"/>
      <c r="E83" s="584"/>
      <c r="F83" s="584"/>
      <c r="G83" s="584"/>
      <c r="H83" s="584"/>
      <c r="I83" s="584"/>
      <c r="J83" s="584"/>
      <c r="K83" s="584"/>
      <c r="L83" s="584"/>
      <c r="M83" s="614"/>
      <c r="N83" s="550"/>
    </row>
    <row r="84">
      <c r="A84" s="615" t="s">
        <v>404</v>
      </c>
    </row>
    <row r="85">
      <c r="A85" s="550"/>
      <c r="B85" s="550"/>
      <c r="C85" s="550"/>
      <c r="D85" s="560"/>
      <c r="E85" s="584"/>
      <c r="F85" s="584"/>
      <c r="G85" s="584"/>
      <c r="H85" s="584"/>
      <c r="I85" s="584"/>
      <c r="J85" s="584"/>
      <c r="K85" s="584"/>
      <c r="L85" s="584"/>
      <c r="M85" s="614"/>
      <c r="N85" s="550"/>
    </row>
    <row r="86">
      <c r="A86" s="550"/>
      <c r="B86" s="550"/>
      <c r="C86" s="550"/>
      <c r="D86" s="616" t="s">
        <v>449</v>
      </c>
      <c r="E86" s="617"/>
      <c r="F86" s="617"/>
      <c r="G86" s="617"/>
      <c r="H86" s="617"/>
      <c r="I86" s="617"/>
      <c r="J86" s="617"/>
      <c r="K86" s="617"/>
      <c r="L86" s="618"/>
      <c r="M86" s="614"/>
      <c r="N86" s="550"/>
    </row>
    <row r="87">
      <c r="A87" s="550"/>
      <c r="B87" s="550"/>
      <c r="C87" s="550"/>
      <c r="D87" s="560"/>
      <c r="E87" s="560"/>
      <c r="F87" s="560"/>
      <c r="G87" s="550"/>
      <c r="H87" s="550"/>
      <c r="I87" s="550"/>
      <c r="J87" s="550"/>
      <c r="K87" s="550"/>
      <c r="L87" s="550"/>
      <c r="M87" s="550"/>
      <c r="N87" s="550"/>
    </row>
    <row r="88">
      <c r="A88" s="550"/>
      <c r="B88" s="550"/>
      <c r="C88" s="550"/>
      <c r="D88" s="550"/>
      <c r="E88" s="616" t="s">
        <v>450</v>
      </c>
      <c r="F88" s="617"/>
      <c r="G88" s="617"/>
      <c r="H88" s="617"/>
      <c r="I88" s="617"/>
      <c r="J88" s="617"/>
      <c r="K88" s="618"/>
      <c r="L88" s="550"/>
      <c r="M88" s="550"/>
      <c r="N88" s="550"/>
    </row>
    <row r="89">
      <c r="A89" s="550"/>
      <c r="B89" s="550"/>
      <c r="C89" s="550"/>
      <c r="D89" s="550"/>
      <c r="E89" s="584"/>
      <c r="F89" s="584"/>
      <c r="G89" s="584"/>
      <c r="H89" s="584"/>
      <c r="I89" s="584"/>
      <c r="J89" s="584"/>
      <c r="K89" s="550"/>
      <c r="L89" s="550"/>
      <c r="M89" s="550"/>
      <c r="N89" s="550"/>
    </row>
    <row r="90">
      <c r="A90" s="550"/>
      <c r="B90" s="550"/>
      <c r="C90" s="550"/>
      <c r="D90" s="550"/>
      <c r="E90" s="616" t="s">
        <v>451</v>
      </c>
      <c r="F90" s="617"/>
      <c r="G90" s="617"/>
      <c r="H90" s="617"/>
      <c r="I90" s="617"/>
      <c r="J90" s="617"/>
      <c r="K90" s="618"/>
      <c r="L90" s="550"/>
      <c r="M90" s="550"/>
      <c r="N90" s="550"/>
    </row>
    <row r="91">
      <c r="A91" s="550"/>
      <c r="B91" s="550"/>
      <c r="C91" s="550"/>
      <c r="D91" s="550"/>
      <c r="E91" s="584"/>
      <c r="F91" s="584"/>
      <c r="G91" s="584"/>
      <c r="H91" s="584"/>
      <c r="I91" s="584"/>
      <c r="J91" s="584"/>
      <c r="K91" s="550"/>
      <c r="L91" s="550"/>
      <c r="M91" s="550"/>
      <c r="N91" s="550"/>
    </row>
    <row r="92">
      <c r="A92" s="550"/>
      <c r="B92" s="550"/>
      <c r="C92" s="550"/>
      <c r="D92" s="616" t="s">
        <v>452</v>
      </c>
      <c r="E92" s="617"/>
      <c r="F92" s="617"/>
      <c r="G92" s="617"/>
      <c r="H92" s="617"/>
      <c r="I92" s="617"/>
      <c r="J92" s="617"/>
      <c r="K92" s="617"/>
      <c r="L92" s="618"/>
      <c r="M92" s="550"/>
      <c r="N92" s="550"/>
    </row>
    <row r="93">
      <c r="A93" s="550"/>
      <c r="B93" s="550"/>
      <c r="C93" s="550"/>
      <c r="D93" s="619" t="s">
        <v>453</v>
      </c>
      <c r="E93" s="617"/>
      <c r="F93" s="618"/>
      <c r="G93" s="619" t="s">
        <v>454</v>
      </c>
      <c r="H93" s="617"/>
      <c r="I93" s="618"/>
      <c r="J93" s="619" t="s">
        <v>455</v>
      </c>
      <c r="K93" s="617"/>
      <c r="L93" s="618"/>
      <c r="M93" s="584"/>
      <c r="N93" s="550"/>
    </row>
    <row r="94">
      <c r="A94" s="550"/>
      <c r="B94" s="550"/>
      <c r="C94" s="550"/>
      <c r="D94" s="550"/>
      <c r="E94" s="560"/>
      <c r="F94" s="560"/>
      <c r="G94" s="560"/>
      <c r="H94" s="560"/>
      <c r="I94" s="560"/>
      <c r="J94" s="560"/>
      <c r="K94" s="584"/>
      <c r="L94" s="584"/>
      <c r="M94" s="584"/>
      <c r="N94" s="550"/>
    </row>
    <row r="95">
      <c r="A95" s="550"/>
      <c r="B95" s="550"/>
      <c r="C95" s="550"/>
      <c r="D95" s="616" t="s">
        <v>456</v>
      </c>
      <c r="E95" s="617"/>
      <c r="F95" s="617"/>
      <c r="G95" s="617"/>
      <c r="H95" s="617"/>
      <c r="I95" s="617"/>
      <c r="J95" s="617"/>
      <c r="K95" s="617"/>
      <c r="L95" s="618"/>
      <c r="M95" s="584"/>
      <c r="N95" s="550"/>
    </row>
    <row r="96">
      <c r="A96" s="550"/>
      <c r="B96" s="550"/>
      <c r="C96" s="550"/>
      <c r="D96" s="620" t="s">
        <v>457</v>
      </c>
      <c r="E96" s="617"/>
      <c r="F96" s="618"/>
      <c r="G96" s="621" t="s">
        <v>458</v>
      </c>
      <c r="H96" s="622"/>
      <c r="I96" s="623"/>
      <c r="J96" s="624" t="s">
        <v>459</v>
      </c>
      <c r="K96" s="617"/>
      <c r="L96" s="618"/>
      <c r="M96" s="584"/>
      <c r="N96" s="550"/>
    </row>
    <row r="97">
      <c r="A97" s="550"/>
      <c r="B97" s="550"/>
      <c r="C97" s="550"/>
      <c r="D97" s="550"/>
      <c r="E97" s="560"/>
      <c r="F97" s="560"/>
      <c r="G97" s="625"/>
      <c r="H97" s="626"/>
      <c r="I97" s="627"/>
      <c r="J97" s="560"/>
      <c r="K97" s="584"/>
      <c r="L97" s="584"/>
      <c r="M97" s="584"/>
      <c r="N97" s="550"/>
    </row>
    <row r="98">
      <c r="A98" s="550"/>
      <c r="B98" s="550"/>
      <c r="C98" s="550"/>
      <c r="D98" s="560"/>
      <c r="E98" s="560"/>
      <c r="F98" s="560"/>
      <c r="G98" s="550"/>
      <c r="H98" s="550"/>
      <c r="I98" s="550"/>
      <c r="J98" s="550"/>
      <c r="K98" s="550"/>
      <c r="L98" s="550"/>
      <c r="M98" s="550"/>
      <c r="N98" s="550"/>
    </row>
    <row r="99">
      <c r="A99" s="550"/>
      <c r="B99" s="550"/>
      <c r="C99" s="550"/>
      <c r="D99" s="628" t="s">
        <v>460</v>
      </c>
      <c r="E99" s="622"/>
      <c r="F99" s="622"/>
      <c r="G99" s="622"/>
      <c r="H99" s="622"/>
      <c r="I99" s="622"/>
      <c r="J99" s="622"/>
      <c r="K99" s="622"/>
      <c r="L99" s="623"/>
      <c r="M99" s="550"/>
      <c r="N99" s="550"/>
    </row>
    <row r="100">
      <c r="A100" s="550"/>
      <c r="B100" s="550"/>
      <c r="C100" s="550"/>
      <c r="D100" s="625"/>
      <c r="E100" s="626"/>
      <c r="F100" s="626"/>
      <c r="G100" s="626"/>
      <c r="H100" s="626"/>
      <c r="I100" s="626"/>
      <c r="J100" s="626"/>
      <c r="K100" s="626"/>
      <c r="L100" s="627"/>
      <c r="M100" s="550"/>
      <c r="N100" s="550"/>
    </row>
    <row r="101">
      <c r="A101" s="550"/>
      <c r="B101" s="550"/>
      <c r="C101" s="550"/>
      <c r="D101" s="629" t="s">
        <v>461</v>
      </c>
      <c r="E101" s="630"/>
      <c r="F101" s="631"/>
      <c r="G101" s="629" t="s">
        <v>462</v>
      </c>
      <c r="H101" s="630"/>
      <c r="I101" s="631"/>
      <c r="J101" s="632" t="s">
        <v>463</v>
      </c>
      <c r="K101" s="630"/>
      <c r="L101" s="631"/>
      <c r="M101" s="550"/>
      <c r="N101" s="550"/>
    </row>
    <row r="102">
      <c r="A102" s="550"/>
      <c r="B102" s="550"/>
      <c r="C102" s="550"/>
      <c r="D102" s="614"/>
      <c r="E102" s="614"/>
      <c r="F102" s="614"/>
      <c r="G102" s="614"/>
      <c r="H102" s="614"/>
      <c r="I102" s="614"/>
      <c r="J102" s="614"/>
      <c r="K102" s="614"/>
      <c r="L102" s="614"/>
      <c r="M102" s="550"/>
      <c r="N102" s="550"/>
    </row>
    <row r="103">
      <c r="A103" s="550"/>
      <c r="B103" s="550"/>
      <c r="C103" s="550"/>
      <c r="D103" s="633" t="s">
        <v>464</v>
      </c>
      <c r="E103" s="634"/>
      <c r="F103" s="634"/>
      <c r="G103" s="634"/>
      <c r="H103" s="634"/>
      <c r="I103" s="634"/>
      <c r="J103" s="634"/>
      <c r="K103" s="634"/>
      <c r="L103" s="635"/>
      <c r="M103" s="550"/>
      <c r="N103" s="550"/>
    </row>
    <row r="104">
      <c r="A104" s="550"/>
      <c r="B104" s="550"/>
      <c r="C104" s="550"/>
      <c r="D104" s="636" t="s">
        <v>465</v>
      </c>
      <c r="E104" s="637"/>
      <c r="F104" s="637"/>
      <c r="G104" s="637"/>
      <c r="H104" s="637"/>
      <c r="I104" s="637"/>
      <c r="J104" s="637"/>
      <c r="K104" s="637"/>
      <c r="L104" s="638"/>
      <c r="M104" s="550"/>
      <c r="N104" s="550"/>
    </row>
    <row r="105">
      <c r="A105" s="550"/>
      <c r="B105" s="550"/>
      <c r="C105" s="550"/>
      <c r="D105" s="639" t="s">
        <v>466</v>
      </c>
      <c r="E105" s="640"/>
      <c r="F105" s="640"/>
      <c r="G105" s="640"/>
      <c r="H105" s="640"/>
      <c r="I105" s="640"/>
      <c r="J105" s="640"/>
      <c r="K105" s="640"/>
      <c r="L105" s="641"/>
      <c r="M105" s="550"/>
      <c r="N105" s="550"/>
    </row>
    <row r="106">
      <c r="A106" s="550"/>
      <c r="B106" s="550"/>
      <c r="C106" s="550"/>
      <c r="D106" s="550"/>
      <c r="E106" s="550"/>
      <c r="F106" s="550"/>
      <c r="G106" s="550"/>
      <c r="H106" s="550"/>
      <c r="I106" s="550"/>
      <c r="J106" s="550"/>
      <c r="K106" s="550"/>
      <c r="L106" s="550"/>
      <c r="M106" s="550"/>
      <c r="N106" s="550"/>
    </row>
    <row r="107">
      <c r="A107" s="550"/>
      <c r="B107" s="550"/>
      <c r="C107" s="550"/>
      <c r="D107" s="550"/>
      <c r="E107" s="642" t="s">
        <v>467</v>
      </c>
      <c r="F107" s="601"/>
      <c r="G107" s="601"/>
      <c r="H107" s="601"/>
      <c r="I107" s="601"/>
      <c r="J107" s="601"/>
      <c r="K107" s="602"/>
    </row>
    <row r="108">
      <c r="A108" s="550"/>
      <c r="B108" s="550"/>
      <c r="C108" s="550"/>
      <c r="D108" s="550"/>
      <c r="E108" s="643" t="s">
        <v>468</v>
      </c>
      <c r="F108" s="644"/>
      <c r="G108" s="644"/>
      <c r="H108" s="644"/>
      <c r="I108" s="644"/>
      <c r="J108" s="644"/>
      <c r="K108" s="645"/>
    </row>
    <row r="109">
      <c r="A109" s="550"/>
      <c r="B109" s="550"/>
      <c r="C109" s="550"/>
      <c r="D109" s="550"/>
      <c r="E109" s="646" t="s">
        <v>469</v>
      </c>
      <c r="F109" s="647"/>
      <c r="G109" s="648"/>
      <c r="H109" s="649" t="s">
        <v>470</v>
      </c>
      <c r="I109" s="648"/>
      <c r="J109" s="649" t="s">
        <v>471</v>
      </c>
      <c r="K109" s="650"/>
    </row>
    <row r="110">
      <c r="A110" s="550"/>
      <c r="B110" s="550"/>
      <c r="C110" s="550"/>
      <c r="D110" s="584"/>
      <c r="E110" s="584"/>
      <c r="F110" s="584"/>
      <c r="G110" s="584"/>
      <c r="H110" s="584"/>
      <c r="I110" s="584"/>
      <c r="J110" s="584"/>
      <c r="K110" s="584"/>
      <c r="L110" s="584"/>
      <c r="M110" s="550"/>
      <c r="N110" s="550"/>
    </row>
    <row r="111">
      <c r="A111" s="550"/>
      <c r="B111" s="550"/>
      <c r="C111" s="550"/>
      <c r="D111" s="651" t="s">
        <v>464</v>
      </c>
      <c r="E111" s="652"/>
      <c r="F111" s="652"/>
      <c r="G111" s="652"/>
      <c r="H111" s="652"/>
      <c r="I111" s="652"/>
      <c r="J111" s="652"/>
      <c r="K111" s="652"/>
      <c r="L111" s="653"/>
      <c r="M111" s="550"/>
      <c r="N111" s="550"/>
    </row>
    <row r="112">
      <c r="A112" s="550"/>
      <c r="B112" s="550"/>
      <c r="C112" s="550"/>
      <c r="D112" s="654" t="s">
        <v>472</v>
      </c>
      <c r="E112" s="655"/>
      <c r="F112" s="655"/>
      <c r="G112" s="655"/>
      <c r="H112" s="655"/>
      <c r="I112" s="655"/>
      <c r="J112" s="655"/>
      <c r="K112" s="655"/>
      <c r="L112" s="656"/>
      <c r="M112" s="550"/>
      <c r="N112" s="550"/>
    </row>
    <row r="113">
      <c r="A113" s="550"/>
      <c r="B113" s="550"/>
      <c r="C113" s="550"/>
      <c r="D113" s="657" t="s">
        <v>473</v>
      </c>
      <c r="E113" s="658"/>
      <c r="F113" s="658"/>
      <c r="G113" s="658"/>
      <c r="H113" s="658"/>
      <c r="I113" s="658"/>
      <c r="J113" s="658"/>
      <c r="K113" s="658"/>
      <c r="L113" s="659"/>
      <c r="M113" s="550"/>
      <c r="N113" s="550"/>
    </row>
    <row r="114">
      <c r="A114" s="550"/>
      <c r="B114" s="550"/>
      <c r="C114" s="550"/>
      <c r="D114" s="657" t="s">
        <v>474</v>
      </c>
      <c r="E114" s="658"/>
      <c r="F114" s="658"/>
      <c r="G114" s="658"/>
      <c r="H114" s="658"/>
      <c r="I114" s="658"/>
      <c r="J114" s="658"/>
      <c r="K114" s="658"/>
      <c r="L114" s="659"/>
      <c r="M114" s="550"/>
      <c r="N114" s="550"/>
    </row>
    <row r="115">
      <c r="A115" s="550"/>
      <c r="B115" s="550"/>
      <c r="C115" s="550"/>
      <c r="D115" s="660" t="s">
        <v>475</v>
      </c>
      <c r="E115" s="661"/>
      <c r="F115" s="661"/>
      <c r="G115" s="661"/>
      <c r="H115" s="661"/>
      <c r="I115" s="661"/>
      <c r="J115" s="661"/>
      <c r="K115" s="661"/>
      <c r="L115" s="662"/>
      <c r="M115" s="550"/>
      <c r="N115" s="550"/>
    </row>
    <row r="116">
      <c r="A116" s="550"/>
      <c r="B116" s="550"/>
      <c r="C116" s="550"/>
      <c r="D116" s="663"/>
      <c r="E116" s="664"/>
      <c r="F116" s="664"/>
      <c r="G116" s="664"/>
      <c r="H116" s="664"/>
      <c r="I116" s="664"/>
      <c r="J116" s="664"/>
      <c r="K116" s="664"/>
      <c r="L116" s="665"/>
      <c r="M116" s="550"/>
      <c r="N116" s="550"/>
    </row>
    <row r="117">
      <c r="A117" s="550"/>
      <c r="B117" s="550"/>
      <c r="C117" s="550"/>
      <c r="D117" s="550"/>
      <c r="E117" s="550"/>
      <c r="F117" s="550"/>
      <c r="G117" s="550"/>
      <c r="H117" s="550"/>
      <c r="I117" s="550"/>
      <c r="J117" s="550"/>
      <c r="K117" s="550"/>
      <c r="L117" s="550"/>
      <c r="M117" s="550"/>
      <c r="N117" s="550"/>
    </row>
    <row r="118">
      <c r="A118" s="562" t="s">
        <v>404</v>
      </c>
    </row>
    <row r="119">
      <c r="A119" s="550"/>
      <c r="B119" s="550"/>
      <c r="C119" s="550"/>
      <c r="D119" s="550"/>
      <c r="E119" s="560"/>
      <c r="F119" s="560"/>
      <c r="G119" s="560"/>
      <c r="H119" s="560"/>
      <c r="I119" s="560"/>
      <c r="J119" s="560"/>
      <c r="K119" s="584"/>
      <c r="L119" s="584"/>
      <c r="M119" s="584"/>
      <c r="N119" s="550"/>
    </row>
    <row r="120">
      <c r="A120" s="550"/>
      <c r="B120" s="550"/>
      <c r="C120" s="550"/>
      <c r="D120" s="550"/>
      <c r="E120" s="550"/>
      <c r="F120" s="666" t="s">
        <v>476</v>
      </c>
      <c r="G120" s="617"/>
      <c r="H120" s="617"/>
      <c r="I120" s="617"/>
      <c r="J120" s="618"/>
      <c r="K120" s="550"/>
      <c r="L120" s="550"/>
      <c r="M120" s="550"/>
      <c r="N120" s="550"/>
    </row>
    <row r="121">
      <c r="A121" s="550"/>
      <c r="B121" s="550"/>
      <c r="C121" s="550"/>
      <c r="D121" s="550"/>
      <c r="E121" s="550"/>
      <c r="F121" s="667" t="s">
        <v>477</v>
      </c>
      <c r="G121" s="626"/>
      <c r="H121" s="626"/>
      <c r="I121" s="619" t="s">
        <v>478</v>
      </c>
      <c r="J121" s="617"/>
      <c r="K121" s="550"/>
      <c r="L121" s="550"/>
      <c r="M121" s="550"/>
      <c r="N121" s="550"/>
    </row>
    <row r="122">
      <c r="A122" s="550"/>
      <c r="B122" s="550"/>
      <c r="C122" s="550"/>
      <c r="D122" s="550"/>
      <c r="E122" s="560"/>
      <c r="F122" s="550"/>
      <c r="G122" s="550"/>
      <c r="H122" s="550"/>
      <c r="I122" s="550"/>
      <c r="J122" s="550"/>
      <c r="K122" s="584"/>
      <c r="L122" s="584"/>
      <c r="M122" s="584"/>
      <c r="N122" s="550"/>
    </row>
    <row r="123">
      <c r="A123" s="550"/>
      <c r="B123" s="550"/>
      <c r="C123" s="550"/>
      <c r="D123" s="550"/>
      <c r="E123" s="616" t="s">
        <v>479</v>
      </c>
      <c r="F123" s="617"/>
      <c r="G123" s="617"/>
      <c r="H123" s="617"/>
      <c r="I123" s="617"/>
      <c r="J123" s="617"/>
      <c r="K123" s="618"/>
      <c r="L123" s="550"/>
      <c r="M123" s="550"/>
      <c r="N123" s="550"/>
    </row>
    <row r="124">
      <c r="A124" s="550"/>
      <c r="B124" s="550"/>
      <c r="C124" s="550"/>
      <c r="D124" s="550"/>
      <c r="E124" s="619" t="s">
        <v>480</v>
      </c>
      <c r="F124" s="618"/>
      <c r="G124" s="668" t="s">
        <v>481</v>
      </c>
      <c r="H124" s="669" t="s">
        <v>482</v>
      </c>
      <c r="I124" s="617"/>
      <c r="J124" s="618"/>
      <c r="K124" s="668" t="s">
        <v>483</v>
      </c>
      <c r="L124" s="550"/>
      <c r="M124" s="550"/>
      <c r="N124" s="550"/>
    </row>
    <row r="125">
      <c r="A125" s="550"/>
      <c r="B125" s="550"/>
      <c r="C125" s="550"/>
      <c r="D125" s="550"/>
      <c r="E125" s="562"/>
      <c r="F125" s="614"/>
      <c r="G125" s="614"/>
      <c r="H125" s="550"/>
      <c r="I125" s="560"/>
      <c r="J125" s="614"/>
      <c r="K125" s="584"/>
      <c r="L125" s="584"/>
      <c r="M125" s="584"/>
      <c r="N125" s="550"/>
    </row>
    <row r="126">
      <c r="A126" s="550"/>
      <c r="B126" s="550"/>
      <c r="C126" s="550"/>
      <c r="D126" s="670" t="s">
        <v>484</v>
      </c>
      <c r="E126" s="671"/>
      <c r="F126" s="671"/>
      <c r="G126" s="671"/>
      <c r="H126" s="671"/>
      <c r="I126" s="671"/>
      <c r="J126" s="671"/>
      <c r="K126" s="671"/>
      <c r="L126" s="672"/>
      <c r="M126" s="584"/>
      <c r="N126" s="550"/>
    </row>
    <row r="127">
      <c r="A127" s="550"/>
      <c r="B127" s="550"/>
      <c r="C127" s="550"/>
      <c r="D127" s="550"/>
      <c r="E127" s="562"/>
      <c r="F127" s="614"/>
      <c r="G127" s="614"/>
      <c r="H127" s="550"/>
      <c r="I127" s="560"/>
      <c r="J127" s="614"/>
      <c r="K127" s="584"/>
      <c r="L127" s="584"/>
      <c r="M127" s="584"/>
      <c r="N127" s="550"/>
    </row>
    <row r="128">
      <c r="A128" s="550"/>
      <c r="B128" s="550"/>
      <c r="C128" s="550"/>
      <c r="D128" s="550"/>
      <c r="E128" s="562"/>
      <c r="F128" s="619" t="s">
        <v>485</v>
      </c>
      <c r="G128" s="617"/>
      <c r="H128" s="617"/>
      <c r="I128" s="617"/>
      <c r="J128" s="618"/>
      <c r="K128" s="584"/>
      <c r="L128" s="584"/>
      <c r="M128" s="584"/>
      <c r="N128" s="550"/>
    </row>
    <row r="129">
      <c r="A129" s="550"/>
      <c r="B129" s="550"/>
      <c r="C129" s="550"/>
      <c r="D129" s="550"/>
      <c r="E129" s="562"/>
      <c r="F129" s="669" t="s">
        <v>486</v>
      </c>
      <c r="G129" s="618"/>
      <c r="H129" s="669" t="s">
        <v>487</v>
      </c>
      <c r="I129" s="617"/>
      <c r="J129" s="618"/>
      <c r="K129" s="584"/>
      <c r="L129" s="584"/>
      <c r="M129" s="584"/>
      <c r="N129" s="550"/>
    </row>
    <row r="130">
      <c r="A130" s="550"/>
      <c r="B130" s="550"/>
      <c r="C130" s="550"/>
      <c r="D130" s="550"/>
      <c r="E130" s="562"/>
      <c r="F130" s="614"/>
      <c r="G130" s="614"/>
      <c r="H130" s="614"/>
      <c r="I130" s="614"/>
      <c r="J130" s="614"/>
      <c r="K130" s="584"/>
      <c r="L130" s="584"/>
      <c r="M130" s="584"/>
      <c r="N130" s="550"/>
    </row>
    <row r="131">
      <c r="A131" s="550"/>
      <c r="B131" s="550"/>
      <c r="C131" s="550"/>
      <c r="D131" s="550"/>
      <c r="E131" s="619" t="s">
        <v>488</v>
      </c>
      <c r="F131" s="617"/>
      <c r="G131" s="617"/>
      <c r="H131" s="617"/>
      <c r="I131" s="617"/>
      <c r="J131" s="617"/>
      <c r="K131" s="618"/>
      <c r="L131" s="584"/>
      <c r="M131" s="584"/>
      <c r="N131" s="550"/>
    </row>
    <row r="132">
      <c r="A132" s="550"/>
      <c r="B132" s="550"/>
      <c r="C132" s="550"/>
      <c r="D132" s="550"/>
      <c r="E132" s="669" t="s">
        <v>489</v>
      </c>
      <c r="F132" s="618"/>
      <c r="G132" s="669" t="s">
        <v>490</v>
      </c>
      <c r="H132" s="618"/>
      <c r="I132" s="669" t="s">
        <v>491</v>
      </c>
      <c r="J132" s="617"/>
      <c r="K132" s="618"/>
      <c r="L132" s="584"/>
      <c r="N132" s="550"/>
    </row>
    <row r="133">
      <c r="A133" s="550"/>
      <c r="B133" s="550"/>
      <c r="C133" s="550"/>
      <c r="D133" s="550"/>
      <c r="E133" s="562"/>
      <c r="F133" s="614"/>
      <c r="G133" s="614"/>
      <c r="H133" s="550"/>
      <c r="I133" s="560"/>
      <c r="J133" s="614"/>
      <c r="K133" s="584"/>
      <c r="L133" s="584"/>
      <c r="M133" s="584"/>
      <c r="N133" s="550"/>
    </row>
    <row r="134">
      <c r="A134" s="550"/>
      <c r="B134" s="550"/>
      <c r="C134" s="550"/>
      <c r="D134" s="550"/>
      <c r="E134" s="616" t="s">
        <v>492</v>
      </c>
      <c r="F134" s="617"/>
      <c r="G134" s="617"/>
      <c r="H134" s="617"/>
      <c r="I134" s="617"/>
      <c r="J134" s="617"/>
      <c r="K134" s="618"/>
      <c r="L134" s="584"/>
      <c r="M134" s="584"/>
      <c r="N134" s="550"/>
    </row>
    <row r="135">
      <c r="A135" s="550"/>
      <c r="B135" s="550"/>
      <c r="C135" s="550"/>
      <c r="D135" s="550"/>
      <c r="E135" s="616" t="s">
        <v>493</v>
      </c>
      <c r="F135" s="617"/>
      <c r="G135" s="617"/>
      <c r="H135" s="673" t="s">
        <v>494</v>
      </c>
      <c r="I135" s="674"/>
      <c r="J135" s="674"/>
      <c r="K135" s="675"/>
      <c r="L135" s="584"/>
      <c r="M135" s="584"/>
      <c r="N135" s="550"/>
    </row>
    <row r="136">
      <c r="A136" s="550"/>
      <c r="B136" s="550"/>
      <c r="C136" s="550"/>
      <c r="D136" s="550"/>
      <c r="E136" s="562"/>
      <c r="F136" s="562"/>
      <c r="G136" s="614"/>
      <c r="H136" s="550"/>
      <c r="I136" s="560"/>
      <c r="J136" s="614"/>
      <c r="K136" s="584"/>
      <c r="L136" s="584"/>
      <c r="M136" s="584"/>
      <c r="N136" s="550"/>
    </row>
    <row r="137">
      <c r="A137" s="550"/>
      <c r="B137" s="550"/>
      <c r="C137" s="550"/>
      <c r="D137" s="676" t="s">
        <v>495</v>
      </c>
      <c r="E137" s="671"/>
      <c r="F137" s="671"/>
      <c r="G137" s="671"/>
      <c r="H137" s="671"/>
      <c r="I137" s="671"/>
      <c r="J137" s="671"/>
      <c r="K137" s="671"/>
      <c r="L137" s="672"/>
      <c r="M137" s="584"/>
      <c r="N137" s="550"/>
    </row>
    <row r="138">
      <c r="A138" s="550"/>
      <c r="B138" s="550"/>
      <c r="C138" s="550"/>
      <c r="M138" s="584"/>
      <c r="N138" s="550"/>
    </row>
    <row r="139">
      <c r="A139" s="562" t="s">
        <v>404</v>
      </c>
    </row>
    <row r="140">
      <c r="A140" s="550"/>
      <c r="B140" s="550"/>
      <c r="C140" s="550"/>
      <c r="M140" s="584"/>
      <c r="N140" s="550"/>
    </row>
    <row r="141">
      <c r="A141" s="550"/>
      <c r="B141" s="550"/>
      <c r="C141" s="550"/>
      <c r="D141" s="677" t="s">
        <v>496</v>
      </c>
      <c r="E141" s="630"/>
      <c r="F141" s="630"/>
      <c r="G141" s="630"/>
      <c r="H141" s="630"/>
      <c r="I141" s="630"/>
      <c r="J141" s="630"/>
      <c r="K141" s="630"/>
      <c r="L141" s="631"/>
      <c r="M141" s="584"/>
      <c r="N141" s="550"/>
    </row>
    <row r="142">
      <c r="A142" s="550"/>
      <c r="B142" s="550"/>
      <c r="C142" s="550"/>
      <c r="D142" s="678" t="s">
        <v>497</v>
      </c>
      <c r="E142" s="679"/>
      <c r="F142" s="679"/>
      <c r="G142" s="679"/>
      <c r="H142" s="679"/>
      <c r="I142" s="679"/>
      <c r="J142" s="679"/>
      <c r="K142" s="679"/>
      <c r="L142" s="680"/>
      <c r="M142" s="584"/>
      <c r="N142" s="550"/>
    </row>
    <row r="143">
      <c r="A143" s="550"/>
      <c r="B143" s="550"/>
      <c r="C143" s="550"/>
      <c r="D143" s="681" t="s">
        <v>498</v>
      </c>
      <c r="E143" s="644"/>
      <c r="F143" s="644"/>
      <c r="G143" s="644"/>
      <c r="H143" s="644"/>
      <c r="I143" s="644"/>
      <c r="J143" s="644"/>
      <c r="K143" s="644"/>
      <c r="L143" s="645"/>
      <c r="M143" s="584"/>
      <c r="N143" s="550"/>
    </row>
    <row r="144">
      <c r="A144" s="550"/>
      <c r="B144" s="550"/>
      <c r="C144" s="550"/>
      <c r="D144" s="681" t="s">
        <v>499</v>
      </c>
      <c r="E144" s="644"/>
      <c r="F144" s="644"/>
      <c r="G144" s="644"/>
      <c r="H144" s="644"/>
      <c r="I144" s="644"/>
      <c r="J144" s="644"/>
      <c r="K144" s="644"/>
      <c r="L144" s="645"/>
      <c r="M144" s="584"/>
      <c r="N144" s="550"/>
    </row>
    <row r="145">
      <c r="A145" s="550"/>
      <c r="B145" s="550"/>
      <c r="C145" s="550"/>
      <c r="D145" s="682" t="s">
        <v>500</v>
      </c>
      <c r="E145" s="647"/>
      <c r="F145" s="647"/>
      <c r="G145" s="647"/>
      <c r="H145" s="647"/>
      <c r="I145" s="647"/>
      <c r="J145" s="647"/>
      <c r="K145" s="647"/>
      <c r="L145" s="650"/>
      <c r="M145" s="584"/>
      <c r="N145" s="550"/>
    </row>
    <row r="146">
      <c r="A146" s="550"/>
      <c r="B146" s="550"/>
      <c r="C146" s="550"/>
      <c r="D146" s="550"/>
      <c r="E146" s="550"/>
      <c r="F146" s="550"/>
      <c r="G146" s="550"/>
      <c r="H146" s="550"/>
      <c r="I146" s="550"/>
      <c r="J146" s="560"/>
      <c r="K146" s="584"/>
      <c r="L146" s="584"/>
      <c r="M146" s="584"/>
      <c r="N146" s="550"/>
    </row>
    <row r="147">
      <c r="A147" s="550"/>
      <c r="B147" s="550"/>
      <c r="C147" s="550"/>
      <c r="D147" s="629" t="s">
        <v>501</v>
      </c>
      <c r="E147" s="630"/>
      <c r="F147" s="630"/>
      <c r="G147" s="630"/>
      <c r="H147" s="630"/>
      <c r="I147" s="630"/>
      <c r="J147" s="630"/>
      <c r="K147" s="630"/>
      <c r="L147" s="631"/>
      <c r="M147" s="584"/>
      <c r="N147" s="550"/>
    </row>
    <row r="148">
      <c r="A148" s="550"/>
      <c r="B148" s="550"/>
      <c r="C148" s="550"/>
      <c r="D148" s="683" t="s">
        <v>502</v>
      </c>
      <c r="E148" s="679"/>
      <c r="F148" s="679"/>
      <c r="G148" s="679"/>
      <c r="H148" s="679"/>
      <c r="I148" s="679"/>
      <c r="J148" s="679"/>
      <c r="K148" s="679"/>
      <c r="L148" s="680"/>
      <c r="M148" s="550"/>
      <c r="N148" s="550"/>
    </row>
    <row r="149">
      <c r="A149" s="550"/>
      <c r="B149" s="550"/>
      <c r="C149" s="550"/>
      <c r="D149" s="684" t="s">
        <v>503</v>
      </c>
      <c r="E149" s="644"/>
      <c r="F149" s="644"/>
      <c r="G149" s="644"/>
      <c r="H149" s="644"/>
      <c r="I149" s="644"/>
      <c r="J149" s="644"/>
      <c r="K149" s="644"/>
      <c r="L149" s="645"/>
      <c r="M149" s="584"/>
      <c r="N149" s="550"/>
    </row>
    <row r="150">
      <c r="A150" s="550"/>
      <c r="B150" s="550"/>
      <c r="C150" s="550"/>
      <c r="D150" s="684" t="s">
        <v>504</v>
      </c>
      <c r="E150" s="644"/>
      <c r="F150" s="644"/>
      <c r="G150" s="644"/>
      <c r="H150" s="644"/>
      <c r="I150" s="644"/>
      <c r="J150" s="644"/>
      <c r="K150" s="644"/>
      <c r="L150" s="645"/>
      <c r="M150" s="584"/>
      <c r="N150" s="550"/>
    </row>
    <row r="151">
      <c r="A151" s="550"/>
      <c r="B151" s="550"/>
      <c r="C151" s="550"/>
      <c r="D151" s="684" t="s">
        <v>505</v>
      </c>
      <c r="E151" s="644"/>
      <c r="F151" s="644"/>
      <c r="G151" s="644"/>
      <c r="H151" s="644"/>
      <c r="I151" s="644"/>
      <c r="J151" s="644"/>
      <c r="K151" s="644"/>
      <c r="L151" s="645"/>
      <c r="M151" s="584"/>
      <c r="N151" s="550"/>
    </row>
    <row r="152">
      <c r="A152" s="550"/>
      <c r="B152" s="550"/>
      <c r="C152" s="550"/>
      <c r="D152" s="685" t="s">
        <v>506</v>
      </c>
      <c r="E152" s="647"/>
      <c r="F152" s="647"/>
      <c r="G152" s="647"/>
      <c r="H152" s="647"/>
      <c r="I152" s="647"/>
      <c r="J152" s="647"/>
      <c r="K152" s="647"/>
      <c r="L152" s="650"/>
      <c r="M152" s="584"/>
      <c r="N152" s="550"/>
    </row>
    <row r="153">
      <c r="A153" s="550"/>
      <c r="B153" s="550"/>
      <c r="C153" s="550"/>
      <c r="D153" s="550"/>
      <c r="E153" s="560"/>
      <c r="F153" s="550"/>
      <c r="G153" s="550"/>
      <c r="H153" s="550"/>
      <c r="I153" s="550"/>
      <c r="J153" s="560"/>
      <c r="K153" s="584"/>
      <c r="L153" s="584"/>
      <c r="M153" s="584"/>
      <c r="N153" s="550"/>
    </row>
    <row r="154">
      <c r="A154" s="550"/>
      <c r="B154" s="550"/>
      <c r="C154" s="550"/>
      <c r="D154" s="686" t="s">
        <v>507</v>
      </c>
      <c r="M154" s="584"/>
      <c r="N154" s="550"/>
    </row>
    <row r="155">
      <c r="A155" s="550"/>
      <c r="B155" s="550"/>
      <c r="C155" s="550"/>
      <c r="D155" s="550"/>
      <c r="E155" s="560"/>
      <c r="F155" s="560"/>
      <c r="G155" s="560"/>
      <c r="H155" s="560"/>
      <c r="I155" s="560"/>
      <c r="J155" s="560"/>
      <c r="K155" s="584"/>
      <c r="L155" s="584"/>
      <c r="M155" s="584"/>
      <c r="N155" s="550"/>
    </row>
    <row r="156">
      <c r="A156" s="550"/>
      <c r="B156" s="550"/>
      <c r="C156" s="550"/>
      <c r="D156" s="614" t="s">
        <v>508</v>
      </c>
      <c r="M156" s="584"/>
      <c r="N156" s="550"/>
    </row>
    <row r="157">
      <c r="A157" s="550"/>
      <c r="B157" s="550"/>
      <c r="C157" s="550"/>
      <c r="M157" s="584"/>
      <c r="N157" s="550"/>
    </row>
    <row r="158">
      <c r="A158" s="550"/>
      <c r="B158" s="550"/>
      <c r="C158" s="550"/>
      <c r="D158" s="550"/>
      <c r="L158" s="584"/>
      <c r="M158" s="584"/>
      <c r="N158" s="550"/>
    </row>
    <row r="159">
      <c r="A159" s="687"/>
      <c r="B159" s="687"/>
      <c r="C159" s="688"/>
      <c r="D159" s="689" t="s">
        <v>509</v>
      </c>
      <c r="E159" s="690"/>
      <c r="F159" s="690"/>
      <c r="G159" s="690"/>
      <c r="H159" s="690"/>
      <c r="I159" s="690"/>
      <c r="J159" s="690"/>
      <c r="K159" s="690"/>
      <c r="L159" s="691"/>
      <c r="M159" s="574"/>
      <c r="N159" s="687"/>
    </row>
    <row r="160">
      <c r="A160" s="687"/>
      <c r="B160" s="687"/>
      <c r="C160" s="688"/>
      <c r="D160" s="689" t="s">
        <v>510</v>
      </c>
      <c r="E160" s="690"/>
      <c r="F160" s="690"/>
      <c r="G160" s="690"/>
      <c r="H160" s="690"/>
      <c r="I160" s="690"/>
      <c r="J160" s="690"/>
      <c r="K160" s="690"/>
      <c r="L160" s="691"/>
      <c r="M160" s="574"/>
      <c r="N160" s="687"/>
    </row>
    <row r="161">
      <c r="A161" s="687"/>
      <c r="B161" s="687"/>
      <c r="C161" s="687"/>
      <c r="D161" s="688"/>
      <c r="K161" s="692"/>
      <c r="L161" s="574"/>
      <c r="M161" s="574"/>
      <c r="N161" s="687"/>
    </row>
  </sheetData>
  <mergeCells count="246">
    <mergeCell ref="H58:I58"/>
    <mergeCell ref="J58:K58"/>
    <mergeCell ref="H59:I59"/>
    <mergeCell ref="J59:K59"/>
    <mergeCell ref="L59:M59"/>
    <mergeCell ref="H60:I60"/>
    <mergeCell ref="J60:K60"/>
    <mergeCell ref="L60:M60"/>
    <mergeCell ref="B57:C57"/>
    <mergeCell ref="D57:E57"/>
    <mergeCell ref="F57:G57"/>
    <mergeCell ref="H57:I57"/>
    <mergeCell ref="J57:K57"/>
    <mergeCell ref="L57:M57"/>
    <mergeCell ref="B58:C58"/>
    <mergeCell ref="L58:M58"/>
    <mergeCell ref="B60:C60"/>
    <mergeCell ref="B61:C61"/>
    <mergeCell ref="D61:E61"/>
    <mergeCell ref="F61:G61"/>
    <mergeCell ref="H61:I61"/>
    <mergeCell ref="J61:K61"/>
    <mergeCell ref="L61:M61"/>
    <mergeCell ref="D58:E58"/>
    <mergeCell ref="F58:G58"/>
    <mergeCell ref="B59:C59"/>
    <mergeCell ref="D59:E59"/>
    <mergeCell ref="F59:G59"/>
    <mergeCell ref="D60:E60"/>
    <mergeCell ref="F60:G60"/>
    <mergeCell ref="H63:I63"/>
    <mergeCell ref="J63:K63"/>
    <mergeCell ref="B67:C67"/>
    <mergeCell ref="B68:C68"/>
    <mergeCell ref="D68:E68"/>
    <mergeCell ref="F68:G68"/>
    <mergeCell ref="H68:I68"/>
    <mergeCell ref="J68:K68"/>
    <mergeCell ref="L68:M68"/>
    <mergeCell ref="A70:N70"/>
    <mergeCell ref="D63:E63"/>
    <mergeCell ref="F63:G63"/>
    <mergeCell ref="E72:G73"/>
    <mergeCell ref="H72:J73"/>
    <mergeCell ref="E75:G76"/>
    <mergeCell ref="H75:J76"/>
    <mergeCell ref="H78:J79"/>
    <mergeCell ref="E78:G79"/>
    <mergeCell ref="E81:G82"/>
    <mergeCell ref="H81:J82"/>
    <mergeCell ref="A84:N84"/>
    <mergeCell ref="D86:L86"/>
    <mergeCell ref="E88:K88"/>
    <mergeCell ref="E90:K90"/>
    <mergeCell ref="D92:L92"/>
    <mergeCell ref="D93:F93"/>
    <mergeCell ref="G93:I93"/>
    <mergeCell ref="J93:L93"/>
    <mergeCell ref="D95:L95"/>
    <mergeCell ref="D96:F96"/>
    <mergeCell ref="J96:L96"/>
    <mergeCell ref="G96:I97"/>
    <mergeCell ref="D99:L100"/>
    <mergeCell ref="D101:F101"/>
    <mergeCell ref="G101:I101"/>
    <mergeCell ref="J101:L101"/>
    <mergeCell ref="D103:L103"/>
    <mergeCell ref="D104:L104"/>
    <mergeCell ref="D105:L105"/>
    <mergeCell ref="E107:K107"/>
    <mergeCell ref="E108:K108"/>
    <mergeCell ref="E109:G109"/>
    <mergeCell ref="H109:I109"/>
    <mergeCell ref="J109:K109"/>
    <mergeCell ref="D111:L111"/>
    <mergeCell ref="D112:L112"/>
    <mergeCell ref="D113:L113"/>
    <mergeCell ref="D114:L114"/>
    <mergeCell ref="D115:L116"/>
    <mergeCell ref="A118:N118"/>
    <mergeCell ref="F120:J120"/>
    <mergeCell ref="I121:J121"/>
    <mergeCell ref="F121:H121"/>
    <mergeCell ref="E123:K123"/>
    <mergeCell ref="E124:F124"/>
    <mergeCell ref="H124:J124"/>
    <mergeCell ref="D126:L126"/>
    <mergeCell ref="F128:J128"/>
    <mergeCell ref="F129:G129"/>
    <mergeCell ref="H129:J129"/>
    <mergeCell ref="E131:K131"/>
    <mergeCell ref="E132:F132"/>
    <mergeCell ref="G132:H132"/>
    <mergeCell ref="I132:K132"/>
    <mergeCell ref="E134:K134"/>
    <mergeCell ref="E135:G135"/>
    <mergeCell ref="D28:E28"/>
    <mergeCell ref="D29:E29"/>
    <mergeCell ref="F29:G29"/>
    <mergeCell ref="H29:I29"/>
    <mergeCell ref="J29:K29"/>
    <mergeCell ref="D30:E30"/>
    <mergeCell ref="F30:G30"/>
    <mergeCell ref="D31:E31"/>
    <mergeCell ref="F31:G31"/>
    <mergeCell ref="H31:I31"/>
    <mergeCell ref="J31:K31"/>
    <mergeCell ref="E33:F35"/>
    <mergeCell ref="G33:H35"/>
    <mergeCell ref="I33:J35"/>
    <mergeCell ref="J46:K46"/>
    <mergeCell ref="L46:M46"/>
    <mergeCell ref="A37:N37"/>
    <mergeCell ref="B39:M40"/>
    <mergeCell ref="B42:B43"/>
    <mergeCell ref="C42:M43"/>
    <mergeCell ref="D44:L44"/>
    <mergeCell ref="B46:C46"/>
    <mergeCell ref="D46:E46"/>
    <mergeCell ref="F46:G46"/>
    <mergeCell ref="H46:I46"/>
    <mergeCell ref="D47:E47"/>
    <mergeCell ref="F47:G47"/>
    <mergeCell ref="H47:I47"/>
    <mergeCell ref="J47:K47"/>
    <mergeCell ref="L47:M47"/>
    <mergeCell ref="B47:C47"/>
    <mergeCell ref="B48:C48"/>
    <mergeCell ref="D48:E48"/>
    <mergeCell ref="F48:G48"/>
    <mergeCell ref="H48:I48"/>
    <mergeCell ref="J48:K48"/>
    <mergeCell ref="L48:M48"/>
    <mergeCell ref="A1:N2"/>
    <mergeCell ref="F4:G5"/>
    <mergeCell ref="H4:I4"/>
    <mergeCell ref="H5:I5"/>
    <mergeCell ref="F7:G8"/>
    <mergeCell ref="H7:I7"/>
    <mergeCell ref="H8:I8"/>
    <mergeCell ref="F10:G11"/>
    <mergeCell ref="H10:I10"/>
    <mergeCell ref="H11:I11"/>
    <mergeCell ref="F13:G14"/>
    <mergeCell ref="H13:I13"/>
    <mergeCell ref="H14:I14"/>
    <mergeCell ref="F16:G17"/>
    <mergeCell ref="H16:I16"/>
    <mergeCell ref="H17:I17"/>
    <mergeCell ref="A19:N19"/>
    <mergeCell ref="C21:L22"/>
    <mergeCell ref="D24:L24"/>
    <mergeCell ref="D26:E26"/>
    <mergeCell ref="F26:G26"/>
    <mergeCell ref="F28:G28"/>
    <mergeCell ref="H28:I28"/>
    <mergeCell ref="H26:I26"/>
    <mergeCell ref="J26:K26"/>
    <mergeCell ref="D27:E27"/>
    <mergeCell ref="F27:G27"/>
    <mergeCell ref="H27:I27"/>
    <mergeCell ref="J27:K27"/>
    <mergeCell ref="J28:K28"/>
    <mergeCell ref="H30:I30"/>
    <mergeCell ref="J30:K30"/>
    <mergeCell ref="D50:E50"/>
    <mergeCell ref="F50:G50"/>
    <mergeCell ref="H50:I50"/>
    <mergeCell ref="J50:K50"/>
    <mergeCell ref="B49:C49"/>
    <mergeCell ref="D49:E49"/>
    <mergeCell ref="F49:G49"/>
    <mergeCell ref="H49:I49"/>
    <mergeCell ref="J49:K49"/>
    <mergeCell ref="L49:M49"/>
    <mergeCell ref="L50:M50"/>
    <mergeCell ref="B50:C50"/>
    <mergeCell ref="B51:C51"/>
    <mergeCell ref="D51:E51"/>
    <mergeCell ref="F51:G51"/>
    <mergeCell ref="H51:I51"/>
    <mergeCell ref="J51:K51"/>
    <mergeCell ref="L51:M51"/>
    <mergeCell ref="H53:I53"/>
    <mergeCell ref="J53:K53"/>
    <mergeCell ref="H54:I54"/>
    <mergeCell ref="J54:K54"/>
    <mergeCell ref="L54:M54"/>
    <mergeCell ref="H55:I55"/>
    <mergeCell ref="J55:K55"/>
    <mergeCell ref="L55:M55"/>
    <mergeCell ref="B52:C52"/>
    <mergeCell ref="D52:E52"/>
    <mergeCell ref="F52:G52"/>
    <mergeCell ref="H52:I52"/>
    <mergeCell ref="J52:K52"/>
    <mergeCell ref="L52:M52"/>
    <mergeCell ref="B53:C53"/>
    <mergeCell ref="L53:M53"/>
    <mergeCell ref="B55:C55"/>
    <mergeCell ref="B56:C56"/>
    <mergeCell ref="D56:E56"/>
    <mergeCell ref="F56:G56"/>
    <mergeCell ref="H56:I56"/>
    <mergeCell ref="J56:K56"/>
    <mergeCell ref="L56:M56"/>
    <mergeCell ref="D53:E53"/>
    <mergeCell ref="F53:G53"/>
    <mergeCell ref="B54:C54"/>
    <mergeCell ref="D54:E54"/>
    <mergeCell ref="F54:G54"/>
    <mergeCell ref="D55:E55"/>
    <mergeCell ref="F55:G55"/>
    <mergeCell ref="B62:C62"/>
    <mergeCell ref="D62:E62"/>
    <mergeCell ref="F62:G62"/>
    <mergeCell ref="H62:I62"/>
    <mergeCell ref="J62:K62"/>
    <mergeCell ref="L62:M62"/>
    <mergeCell ref="B63:C63"/>
    <mergeCell ref="L63:M63"/>
    <mergeCell ref="B65:M66"/>
    <mergeCell ref="D67:E67"/>
    <mergeCell ref="F67:G67"/>
    <mergeCell ref="H67:I67"/>
    <mergeCell ref="J67:K67"/>
    <mergeCell ref="L67:M67"/>
    <mergeCell ref="H135:K135"/>
    <mergeCell ref="D137:L137"/>
    <mergeCell ref="A139:N139"/>
    <mergeCell ref="D141:L141"/>
    <mergeCell ref="D142:L142"/>
    <mergeCell ref="D143:L143"/>
    <mergeCell ref="D144:L144"/>
    <mergeCell ref="D154:L154"/>
    <mergeCell ref="D156:L157"/>
    <mergeCell ref="D159:L159"/>
    <mergeCell ref="D160:L160"/>
    <mergeCell ref="D161:J161"/>
    <mergeCell ref="D145:L145"/>
    <mergeCell ref="D147:L147"/>
    <mergeCell ref="D148:L148"/>
    <mergeCell ref="D149:L149"/>
    <mergeCell ref="D150:L150"/>
    <mergeCell ref="D151:L151"/>
    <mergeCell ref="D152:L152"/>
  </mergeCells>
  <conditionalFormatting sqref="A1:C108 D1:G98 H1:M73 N1:N161 H75:M75 H77:M78 H81:M86 H88:H97 I88:I92 J88:J97 K93:M97 I94:I97 D101:D108 E101:H116 J101:J116 I102:I116 K107:L116 M107:M109 A110:D161 E118:M161 O123:O124">
    <cfRule type="cellIs" dxfId="44" priority="1" operator="equal">
      <formula>"Always buy on Red "</formula>
    </cfRule>
  </conditionalFormatting>
  <conditionalFormatting sqref="A1:C108 D1:G98 H1:M73 N1:N161 H75:M75 H77:M78 H81:M86 H88:H97 I88:I92 J88:J97 K93:M97 I94:I97 D101:D108 E101:H116 J101:J116 I102:I116 K107:L116 M107:M109 A110:D161 E118:M161 O123:O124">
    <cfRule type="cellIs" dxfId="72" priority="2" operator="equal">
      <formula>"Check market Conditions "</formula>
    </cfRule>
  </conditionalFormatting>
  <conditionalFormatting sqref="E81:G81">
    <cfRule type="cellIs" dxfId="19" priority="3" operator="equal">
      <formula>"10001 to 100000"</formula>
    </cfRule>
  </conditionalFormatting>
  <conditionalFormatting sqref="A1:C108 D1:G98 H1:M73 N1:N161 H75:M75 H77:M78 H81:M86 H88:H97 I88:I92 J88:J97 K93:M97 I94:I97 D101:D108 E101:H116 J101:J116 I102:I116 K107:L116 M107:M109 A110:D161 E118:M161 O123:O124">
    <cfRule type="cellIs" dxfId="18" priority="4" operator="equal">
      <formula>"S.I.P"</formula>
    </cfRule>
  </conditionalFormatting>
  <conditionalFormatting sqref="A1:C108 D1:G98 H1:M73 N1:N161 H75:M75 H77:M78 H81:M86 H88:H97 I88:I92 J88:J97 K93:M97 I94:I97 D101:D108 E101:H116 J101:J116 I102:I116 K107:L116 M107:M109 A110:D161 E118:M161 O123:O124">
    <cfRule type="cellIs" dxfId="73" priority="5" operator="equal">
      <formula>"Min Quantity"</formula>
    </cfRule>
  </conditionalFormatting>
  <conditionalFormatting sqref="A1:C108 D1:G98 H1:M73 N1:N161 H75:M75 H77:M78 H81:M86 H88:H97 I88:I92 J88:J97 K93:M97 I94:I97 D101:D108 E101:H116 J101:J116 I102:I116 K107:L116 M107:M109 A110:D161 E118:M161 O123:O124">
    <cfRule type="cellIs" dxfId="19" priority="6" operator="equal">
      <formula>"Govt"</formula>
    </cfRule>
  </conditionalFormatting>
  <conditionalFormatting sqref="A1:C108 D1:G98 H1:M73 N1:N161 H75:M75 H77:M78 H81:M86 H88:H97 I88:I92 J88:J97 K93:M97 I94:I97 D101:D108 E101:H116 J101:J116 I102:I116 K107:L116 M107:M109 A110:D161 E118:M161 O123:O124">
    <cfRule type="cellIs" dxfId="34" priority="7" operator="equal">
      <formula>"Finance Ministry"</formula>
    </cfRule>
  </conditionalFormatting>
  <conditionalFormatting sqref="A1:C108 D1:G98 H1:M73 N1:N161 H75:M75 H77:M78 H81:M86 H88:H97 I88:I92 J88:J97 K93:M97 I94:I97 D101:D108 E101:H116 J101:J116 I102:I116 K107:L116 M107:M109 A110:D161 E118:M161 O123:O124">
    <cfRule type="cellIs" dxfId="74" priority="8" operator="equal">
      <formula>"RBI"</formula>
    </cfRule>
  </conditionalFormatting>
  <conditionalFormatting sqref="A1:C108 D1:G98 H1:M73 N1:N161 H75:M75 H77:M78 H81:M86 H88:H97 I88:I92 J88:J97 K93:M97 I94:I97 D101:D108 E101:H116 J101:J116 I102:I116 K107:L116 M107:M109 A110:D161 E118:M161 O123:O124">
    <cfRule type="cellIs" dxfId="75" priority="9" operator="equal">
      <formula>"1 year"</formula>
    </cfRule>
  </conditionalFormatting>
  <conditionalFormatting sqref="A1:C108 D1:G98 H1:M73 N1:N161 H75:M75 H77:M78 H81:M86 H88:H97 I88:I92 J88:J97 K93:M97 I94:I97 D101:D108 E101:H116 J101:J116 I102:I116 K107:L116 M107:M109 A110:D161 E118:M161 O123:O124">
    <cfRule type="cellIs" dxfId="70" priority="10" operator="equal">
      <formula>"1 Month"</formula>
    </cfRule>
  </conditionalFormatting>
  <conditionalFormatting sqref="A1:C108 D1:G98 H1:M73 N1:N161 H75:M75 H77:M78 H81:M86 H88:H97 I88:I92 J88:J97 K93:M97 I94:I97 D101:D108 E101:H116 J101:J116 I102:I116 K107:L116 M107:M109 A110:D161 E118:M161 O123:O124">
    <cfRule type="cellIs" dxfId="37" priority="11" operator="equal">
      <formula>"5 year"</formula>
    </cfRule>
  </conditionalFormatting>
  <conditionalFormatting sqref="A1:C108 D1:G98 H1:M73 N1:N161 H75:M75 H77:M78 H81:M86 H88:H97 I88:I92 J88:J97 K93:M97 I94:I97 D101:D108 E101:H116 J101:J116 I102:I116 K107:L116 M107:M109 A110:D161 E118:M161 O123:O124">
    <cfRule type="cellIs" dxfId="76" priority="12" operator="equal">
      <formula>"Financial Statement. Balance sheet, Cash Flow statement"</formula>
    </cfRule>
  </conditionalFormatting>
  <conditionalFormatting sqref="A1:C108 D1:G98 H1:M73 N1:N161 H75:M75 H77:M78 H81:M86 H88:H97 I88:I92 J88:J97 K93:M97 I94:I97 D101:D108 E101:H116 J101:J116 I102:I116 K107:L116 M107:M109 A110:D161 E118:M161 O123:O124">
    <cfRule type="cellIs" dxfId="77" priority="13" operator="equal">
      <formula>"Buy On Dip"</formula>
    </cfRule>
  </conditionalFormatting>
  <conditionalFormatting sqref="A1:C108 D1:G98 H1:M73 N1:N161 H75:M75 H77:M78 H81:M86 H88:H97 I88:I92 J88:J97 K93:M97 I94:I97 D101:D108 E101:H116 J101:J116 I102:I116 K107:L116 M107:M109 A110:D161 E118:M161 O123:O124">
    <cfRule type="cellIs" dxfId="18" priority="14" operator="equal">
      <formula>"Result"</formula>
    </cfRule>
  </conditionalFormatting>
  <conditionalFormatting sqref="A1:C108 D1:G98 H1:M73 N1:N161 H75:M75 H77:M78 H81:M86 H88:H97 I88:I92 J88:J97 K93:M97 I94:I97 D101:D108 E101:H116 J101:J116 I102:I116 K107:L116 M107:M109 A110:D161 E118:M161 O123:O124">
    <cfRule type="cellIs" dxfId="77" priority="15" operator="equal">
      <formula>"Business Model"</formula>
    </cfRule>
  </conditionalFormatting>
  <conditionalFormatting sqref="L47:M63 L67:M68">
    <cfRule type="notContainsBlanks" dxfId="78" priority="16">
      <formula>LEN(TRIM(L47))&gt;0</formula>
    </cfRule>
  </conditionalFormatting>
  <conditionalFormatting sqref="E107:K107">
    <cfRule type="cellIs" dxfId="77" priority="17" operator="equal">
      <formula>"BOD Strategy"</formula>
    </cfRule>
  </conditionalFormatting>
  <conditionalFormatting sqref="F120:J120">
    <cfRule type="cellIs" dxfId="19" priority="18" operator="equal">
      <formula>"Positional Trading"</formula>
    </cfRule>
  </conditionalFormatting>
  <conditionalFormatting sqref="A1:N2">
    <cfRule type="notContainsBlanks" dxfId="29" priority="19">
      <formula>LEN(TRIM(A1))&gt;0</formula>
    </cfRule>
  </conditionalFormatting>
  <conditionalFormatting sqref="B47:C63 F47:G63 B67:C68 F67:G68">
    <cfRule type="notContainsBlanks" dxfId="79" priority="20">
      <formula>LEN(TRIM(B47))&gt;0</formula>
    </cfRule>
  </conditionalFormatting>
  <conditionalFormatting sqref="A1:C108 D1:G98 H1:M73 N1:N161 H75:M75 H77:M78 H81:M86 H88:H97 I88:I92 J88:J97 K93:M97 I94:I97 D101:D108 E101:H116 J101:J116 I102:I116 K107:L116 M107:M109 A110:D161 E118:M161 O123:O124">
    <cfRule type="notContainsBlanks" dxfId="20" priority="21">
      <formula>LEN(TRIM(A1))&gt;0</formula>
    </cfRule>
  </conditionalFormatting>
  <drawing r:id="rId1"/>
</worksheet>
</file>